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eliance" sheetId="2" r:id="rId6"/>
    <sheet name="HDFC" sheetId="3" r:id="rId7"/>
    <sheet name="ASIANPAINT" sheetId="4" r:id="rId8"/>
    <sheet name="Tatasteel" sheetId="5" r:id="rId9"/>
    <sheet name="ITC" sheetId="6" r:id="rId10"/>
    <sheet name="sentiment analysis" sheetId="7" r:id="rId11"/>
    <sheet name="summary" sheetId="8" r:id="rId12"/>
    <sheet name="Sheet19" sheetId="9" r:id="rId13"/>
    <sheet name="Sheet21" sheetId="10" r:id="rId14"/>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<sst xmlns="http://schemas.openxmlformats.org/spreadsheetml/2006/main" uniqueCount="10382">
  <si>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</si>
  <si>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</si>
  <si>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</si>
  <si>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</si>
  <si>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reliance</t>
  </si>
  <si>
    <t>Table 1</t>
  </si>
  <si>
    <t>2021-2022</t>
  </si>
  <si>
    <t>DATE</t>
  </si>
  <si>
    <t>SERIES</t>
  </si>
  <si>
    <t>OPEN</t>
  </si>
  <si>
    <t>HIGH</t>
  </si>
  <si>
    <t>LOW</t>
  </si>
  <si>
    <t>PREV. CLOSE</t>
  </si>
  <si>
    <t>LTP</t>
  </si>
  <si>
    <t>CLOSE</t>
  </si>
  <si>
    <t>VWAP</t>
  </si>
  <si>
    <t>52W H</t>
  </si>
  <si>
    <t>52W L</t>
  </si>
  <si>
    <t>VOLUME</t>
  </si>
  <si>
    <t>VALUE</t>
  </si>
  <si>
    <t>NO. OF  TRADES</t>
  </si>
  <si>
    <t>RETURN</t>
  </si>
  <si>
    <t>EQ</t>
  </si>
  <si>
    <t>10,91,74,11,938.75</t>
  </si>
  <si>
    <t>13,63,52,37,475.50</t>
  </si>
  <si>
    <t>12,83,34,69,592.40</t>
  </si>
  <si>
    <t>22,61,30,14,349.45</t>
  </si>
  <si>
    <t>14,22,94,31,685.15</t>
  </si>
  <si>
    <t>12,88,62,34,947.40</t>
  </si>
  <si>
    <t>18,54,92,12,834.60</t>
  </si>
  <si>
    <t>17,30,18,90,369.20</t>
  </si>
  <si>
    <t>17,59,81,48,869.55</t>
  </si>
  <si>
    <t>13,98,33,64,354.95</t>
  </si>
  <si>
    <t>16,22,50,59,561.75</t>
  </si>
  <si>
    <t>15,13,85,41,714.75</t>
  </si>
  <si>
    <t>12,69,69,48,264.60</t>
  </si>
  <si>
    <t>10,41,28,93,969.95</t>
  </si>
  <si>
    <t>18,67,69,94,629.30</t>
  </si>
  <si>
    <t>18,25,60,21,294.40</t>
  </si>
  <si>
    <t>15,78,50,76,087.60</t>
  </si>
  <si>
    <t>16,26,63,39,428.25</t>
  </si>
  <si>
    <t>18,39,53,21,175.10</t>
  </si>
  <si>
    <t>21,36,66,39,469.15</t>
  </si>
  <si>
    <t>19,52,03,30,406.15</t>
  </si>
  <si>
    <t>11,00,03,63,969.30</t>
  </si>
  <si>
    <t>12,96,50,19,708.85</t>
  </si>
  <si>
    <t>11,00,21,30,529.15</t>
  </si>
  <si>
    <t>12,43,03,61,106.65</t>
  </si>
  <si>
    <t>12,00,12,88,654.20</t>
  </si>
  <si>
    <t>11,64,83,80,362.00</t>
  </si>
  <si>
    <t>11,80,93,11,727.55</t>
  </si>
  <si>
    <t>10,68,62,67,806.30</t>
  </si>
  <si>
    <t>11,06,86,82,258.50</t>
  </si>
  <si>
    <t>15,04,96,77,721.40</t>
  </si>
  <si>
    <t>10,49,95,27,489.65</t>
  </si>
  <si>
    <t>9,95,44,41,992.30</t>
  </si>
  <si>
    <t>7,86,99,36,694.65</t>
  </si>
  <si>
    <t>13,46,69,76,071.40</t>
  </si>
  <si>
    <t>6,80,87,00,908.60</t>
  </si>
  <si>
    <t>24,47,65,88,080.35</t>
  </si>
  <si>
    <t>53,87,87,91,589.65</t>
  </si>
  <si>
    <t>58,78,14,21,578.65</t>
  </si>
  <si>
    <t>28,13,88,92,609.00</t>
  </si>
  <si>
    <t>24,76,41,87,584.75</t>
  </si>
  <si>
    <t>24,57,88,78,322.80</t>
  </si>
  <si>
    <t>14,67,44,74,225.95</t>
  </si>
  <si>
    <t>16,69,79,58,781.50</t>
  </si>
  <si>
    <t>9,88,23,32,305.85</t>
  </si>
  <si>
    <t>11,52,88,03,336.15</t>
  </si>
  <si>
    <t>14,36,82,72,855.15</t>
  </si>
  <si>
    <t>14,06,38,17,595.10</t>
  </si>
  <si>
    <t>20,94,50,97,794.90</t>
  </si>
  <si>
    <t>15,80,86,11,100.25</t>
  </si>
  <si>
    <t>11,08,10,47,107.15</t>
  </si>
  <si>
    <t>16,07,71,76,562.55</t>
  </si>
  <si>
    <t>30,04,17,25,159.95</t>
  </si>
  <si>
    <t>12,51,68,52,291.50</t>
  </si>
  <si>
    <t>13,33,88,60,847.10</t>
  </si>
  <si>
    <t>17,04,27,62,228.55</t>
  </si>
  <si>
    <t>91,79,98,04,632.60</t>
  </si>
  <si>
    <t>53,80,10,77,040.15</t>
  </si>
  <si>
    <t>19,65,43,79,828.10</t>
  </si>
  <si>
    <t>26,20,54,56,482.80</t>
  </si>
  <si>
    <t>19,22,48,81,425.10</t>
  </si>
  <si>
    <t>12,20,19,07,893.30</t>
  </si>
  <si>
    <t>13,78,40,74,726.20</t>
  </si>
  <si>
    <t>11,58,73,48,896.60</t>
  </si>
  <si>
    <t>9,93,02,24,311.45</t>
  </si>
  <si>
    <t>10,17,98,75,556.55</t>
  </si>
  <si>
    <t>10,82,78,97,142.35</t>
  </si>
  <si>
    <t>8,65,38,18,441.75</t>
  </si>
  <si>
    <t>8,27,35,07,305.50</t>
  </si>
  <si>
    <t>6,50,09,81,050.55</t>
  </si>
  <si>
    <t>8,23,00,64,622.00</t>
  </si>
  <si>
    <t>9,09,85,50,274.55</t>
  </si>
  <si>
    <t>8,57,45,69,194.50</t>
  </si>
  <si>
    <t>8,12,97,63,377.95</t>
  </si>
  <si>
    <t>6,52,47,18,783.00</t>
  </si>
  <si>
    <t>7,76,91,10,029.90</t>
  </si>
  <si>
    <t>9,71,78,85,501.10</t>
  </si>
  <si>
    <t>11,96,36,23,196.15</t>
  </si>
  <si>
    <t>10,30,07,36,942.35</t>
  </si>
  <si>
    <t>12,10,62,41,436.45</t>
  </si>
  <si>
    <t>13,06,91,40,427.40</t>
  </si>
  <si>
    <t>10,73,34,44,604.55</t>
  </si>
  <si>
    <t>10,42,40,20,795.65</t>
  </si>
  <si>
    <t>11,33,73,35,626.50</t>
  </si>
  <si>
    <t>12,78,28,21,702.95</t>
  </si>
  <si>
    <t>20,86,36,38,485.35</t>
  </si>
  <si>
    <t>16,11,63,99,922.15</t>
  </si>
  <si>
    <t>7,17,98,73,286.45</t>
  </si>
  <si>
    <t>11,52,49,60,575.40</t>
  </si>
  <si>
    <t>8,91,67,94,682.95</t>
  </si>
  <si>
    <t>7,94,33,26,100.05</t>
  </si>
  <si>
    <t>12,57,80,27,784.10</t>
  </si>
  <si>
    <t>22,04,23,43,431.70</t>
  </si>
  <si>
    <t>12,65,99,86,994.25</t>
  </si>
  <si>
    <t>10,09,14,14,052.70</t>
  </si>
  <si>
    <t>9,37,75,02,601.90</t>
  </si>
  <si>
    <t>9,80,94,54,490.65</t>
  </si>
  <si>
    <t>11,90,51,65,196.90</t>
  </si>
  <si>
    <t>13,61,13,64,533.60</t>
  </si>
  <si>
    <t>19,13,38,18,233.65</t>
  </si>
  <si>
    <t>10,77,77,69,127.85</t>
  </si>
  <si>
    <t>14,63,81,52,005.70</t>
  </si>
  <si>
    <t>27,59,50,93,541.45</t>
  </si>
  <si>
    <t>11,69,80,56,162.60</t>
  </si>
  <si>
    <t>10,51,67,81,284.45</t>
  </si>
  <si>
    <t>33,34,54,03,715.90</t>
  </si>
  <si>
    <t>37,96,72,65,940.30</t>
  </si>
  <si>
    <t>19,51,81,92,088.85</t>
  </si>
  <si>
    <t>16,03,32,48,252.30</t>
  </si>
  <si>
    <t>10,02,83,69,652.20</t>
  </si>
  <si>
    <t>17,93,02,86,910.15</t>
  </si>
  <si>
    <t>9,77,45,84,167.80</t>
  </si>
  <si>
    <t>9,96,50,45,382.75</t>
  </si>
  <si>
    <t>14,94,90,50,569.95</t>
  </si>
  <si>
    <t>38,79,85,80,126.85</t>
  </si>
  <si>
    <t>13,03,95,53,487.25</t>
  </si>
  <si>
    <t>10,99,15,10,851.65</t>
  </si>
  <si>
    <t>12,31,34,09,794.10</t>
  </si>
  <si>
    <t>17,99,34,32,142.75</t>
  </si>
  <si>
    <t>17,44,63,21,055.45</t>
  </si>
  <si>
    <t>17,81,51,16,544.95</t>
  </si>
  <si>
    <t>21,14,10,19,462.35</t>
  </si>
  <si>
    <t>11,37,98,66,281.20</t>
  </si>
  <si>
    <t>15,78,97,02,474.85</t>
  </si>
  <si>
    <t>10,42,33,89,476.20</t>
  </si>
  <si>
    <t>12,88,43,46,776.35</t>
  </si>
  <si>
    <t>16,12,67,67,140.45</t>
  </si>
  <si>
    <t>12,24,08,33,224.70</t>
  </si>
  <si>
    <t>7,55,44,40,823.00</t>
  </si>
  <si>
    <t>19,23,70,49,930.20</t>
  </si>
  <si>
    <t>18,28,12,09,273.00</t>
  </si>
  <si>
    <t>8,20,74,02,615.65</t>
  </si>
  <si>
    <t>12,37,06,07,840.50</t>
  </si>
  <si>
    <t>10,74,85,97,410.00</t>
  </si>
  <si>
    <t>17,02,58,55,506.65</t>
  </si>
  <si>
    <t>11,14,41,19,425.10</t>
  </si>
  <si>
    <t>15,89,98,37,285.85</t>
  </si>
  <si>
    <t>25,40,84,16,389.20</t>
  </si>
  <si>
    <t>13,41,10,67,863.00</t>
  </si>
  <si>
    <t>20,72,50,06,859.30</t>
  </si>
  <si>
    <t>11,85,98,59,536.85</t>
  </si>
  <si>
    <t>12,11,33,30,049.05</t>
  </si>
  <si>
    <t>11,91,11,87,008.75</t>
  </si>
  <si>
    <t>16,73,68,93,522.25</t>
  </si>
  <si>
    <t>18,02,98,85,097.90</t>
  </si>
  <si>
    <t>12,24,33,84,395.60</t>
  </si>
  <si>
    <t>13,76,47,33,320.45</t>
  </si>
  <si>
    <t>1,96,58,00,892.45</t>
  </si>
  <si>
    <t>23,30,69,81,380.10</t>
  </si>
  <si>
    <t>18,15,23,75,051.00</t>
  </si>
  <si>
    <t>12,01,27,42,203.00</t>
  </si>
  <si>
    <t>12,62,78,28,736.25</t>
  </si>
  <si>
    <t>10,38,40,09,844.25</t>
  </si>
  <si>
    <t>5,72,25,94,256.70</t>
  </si>
  <si>
    <t>13,26,91,27,406.10</t>
  </si>
  <si>
    <t>11,67,60,42,764.70</t>
  </si>
  <si>
    <t>9,68,63,86,834.65</t>
  </si>
  <si>
    <t>26,50,01,12,857.50</t>
  </si>
  <si>
    <t>27,61,35,01,135.60</t>
  </si>
  <si>
    <t>18,44,47,68,823.80</t>
  </si>
  <si>
    <t>47,99,49,98,310.55</t>
  </si>
  <si>
    <t>17,70,18,96,486.35</t>
  </si>
  <si>
    <t>27,66,34,93,598.00</t>
  </si>
  <si>
    <t>36,00,38,21,297.30</t>
  </si>
  <si>
    <t>11,42,31,47,561.65</t>
  </si>
  <si>
    <t>14,57,35,15,872.05</t>
  </si>
  <si>
    <t>21,61,10,45,769.40</t>
  </si>
  <si>
    <t>11,38,70,71,064.70</t>
  </si>
  <si>
    <t>12,38,11,07,849.30</t>
  </si>
  <si>
    <t>9,76,09,53,632.95</t>
  </si>
  <si>
    <t>14,95,94,57,280.85</t>
  </si>
  <si>
    <t>9,43,28,10,632.75</t>
  </si>
  <si>
    <t>14,44,06,14,208.20</t>
  </si>
  <si>
    <t>14,31,01,34,060.60</t>
  </si>
  <si>
    <t>10,28,77,01,638.50</t>
  </si>
  <si>
    <t>10,77,68,55,117.15</t>
  </si>
  <si>
    <t>22,79,71,50,333.50</t>
  </si>
  <si>
    <t>15,05,85,13,385.60</t>
  </si>
  <si>
    <t>13,73,01,77,504.20</t>
  </si>
  <si>
    <t>19,12,51,25,458.70</t>
  </si>
  <si>
    <t>9,91,15,98,013.55</t>
  </si>
  <si>
    <t>8,59,29,80,567.85</t>
  </si>
  <si>
    <t>4,38,80,54,040.05</t>
  </si>
  <si>
    <t>7,02,82,26,280.45</t>
  </si>
  <si>
    <t>17,08,56,10,789.25</t>
  </si>
  <si>
    <t>32,04,10,15,240.70</t>
  </si>
  <si>
    <t>10,36,81,36,137.70</t>
  </si>
  <si>
    <t>5,98,65,68,510.10</t>
  </si>
  <si>
    <t>12,20,14,91,701.65</t>
  </si>
  <si>
    <t>13,19,59,34,862.50</t>
  </si>
  <si>
    <t>16,15,67,35,762.35</t>
  </si>
  <si>
    <t>14,74,52,14,277.80</t>
  </si>
  <si>
    <t>10,38,05,27,641.00</t>
  </si>
  <si>
    <t>18,39,39,12,175.85</t>
  </si>
  <si>
    <t>17,11,62,27,265.60</t>
  </si>
  <si>
    <t>13,81,94,65,157.00</t>
  </si>
  <si>
    <t>23,41,43,60,751.05</t>
  </si>
  <si>
    <t>9,47,64,27,091.05</t>
  </si>
  <si>
    <t>7,28,53,64,914.75</t>
  </si>
  <si>
    <t>11,35,76,96,261.65</t>
  </si>
  <si>
    <t>18,88,57,33,850.80</t>
  </si>
  <si>
    <t>15,24,06,31,432.55</t>
  </si>
  <si>
    <t>24,40,97,35,846.55</t>
  </si>
  <si>
    <t>26,51,27,43,789.90</t>
  </si>
  <si>
    <t>21,56,17,79,760.10</t>
  </si>
  <si>
    <t>15,89,35,36,411.75</t>
  </si>
  <si>
    <t>13,38,46,12,779.60</t>
  </si>
  <si>
    <t>14,58,91,69,629.60</t>
  </si>
  <si>
    <t>11,02,54,84,207.55</t>
  </si>
  <si>
    <t>10,45,71,43,007.15</t>
  </si>
  <si>
    <t>11,91,53,65,723.15</t>
  </si>
  <si>
    <t>11,52,55,87,391.70</t>
  </si>
  <si>
    <t>13,01,52,60,812.95</t>
  </si>
  <si>
    <t>12,57,93,55,094.55</t>
  </si>
  <si>
    <t>13,70,20,86,540.00</t>
  </si>
  <si>
    <t>17,42,31,86,717.85</t>
  </si>
  <si>
    <t>11,56,68,67,666.20</t>
  </si>
  <si>
    <t>12,32,18,14,147.55</t>
  </si>
  <si>
    <t>11,59,63,25,561.15</t>
  </si>
  <si>
    <t>14,47,12,12,589.25</t>
  </si>
  <si>
    <t>7,63,03,67,399.75</t>
  </si>
  <si>
    <t>12,34,90,78,484.55</t>
  </si>
  <si>
    <t>14,77,35,84,971.00</t>
  </si>
  <si>
    <t>8,06,71,02,258.45</t>
  </si>
  <si>
    <t>26,27,20,08,237.55</t>
  </si>
  <si>
    <t>15,40,38,44,188.65</t>
  </si>
  <si>
    <t>22,88,76,83,561.40</t>
  </si>
  <si>
    <t>23,55,11,57,613.65</t>
  </si>
  <si>
    <t>11,24,64,76,348.75</t>
  </si>
  <si>
    <t>11,66,01,49,352.95</t>
  </si>
  <si>
    <t>18,73,01,68,161.15</t>
  </si>
  <si>
    <t>21,81,30,21,864.70</t>
  </si>
  <si>
    <t>21,82,27,06,477.90</t>
  </si>
  <si>
    <t>19,80,55,99,252.70</t>
  </si>
  <si>
    <t>13,55,42,90,818.70</t>
  </si>
  <si>
    <t>9,24,39,98,854.25</t>
  </si>
  <si>
    <t>17,53,71,36,611.95</t>
  </si>
  <si>
    <t>12,32,98,54,279.30</t>
  </si>
  <si>
    <t>24,28,72,96,550.40</t>
  </si>
  <si>
    <t>13,65,15,02,305.15</t>
  </si>
  <si>
    <t>26,11,27,51,091.55</t>
  </si>
  <si>
    <t>18,17,14,79,956.25</t>
  </si>
  <si>
    <t>15,54,41,15,850.20</t>
  </si>
  <si>
    <t>17,04,36,06,171.05</t>
  </si>
  <si>
    <t>11,92,20,93,056.05</t>
  </si>
  <si>
    <t>10,51,21,98,455.70</t>
  </si>
  <si>
    <t>19,42,00,19,029.30</t>
  </si>
  <si>
    <t>16,12,34,65,625.40</t>
  </si>
  <si>
    <t>9,65,83,25,026.60</t>
  </si>
  <si>
    <t>average return</t>
  </si>
  <si>
    <t>Volatality of Return</t>
  </si>
  <si>
    <t>average volume</t>
  </si>
  <si>
    <t>indicator</t>
  </si>
  <si>
    <t>actu return</t>
  </si>
  <si>
    <t>2022-2023</t>
  </si>
  <si>
    <t>return</t>
  </si>
  <si>
    <t>9,72,70,52,260.30</t>
  </si>
  <si>
    <t>16,00,24,66,152.10</t>
  </si>
  <si>
    <t>14,78,43,87,493.60</t>
  </si>
  <si>
    <t>18,47,33,48,627.45</t>
  </si>
  <si>
    <t>18,20,14,44,976.80</t>
  </si>
  <si>
    <t>11,13,16,87,285.25</t>
  </si>
  <si>
    <t>15,68,41,39,811.00</t>
  </si>
  <si>
    <t>12,25,81,58,723.00</t>
  </si>
  <si>
    <t>11,68,44,40,905.45</t>
  </si>
  <si>
    <t>31,70,95,58,937.80</t>
  </si>
  <si>
    <t>31,36,49,25,329.30</t>
  </si>
  <si>
    <t>27,78,62,22,124.30</t>
  </si>
  <si>
    <t>19,23,44,86,953.00</t>
  </si>
  <si>
    <t>21,34,98,02,724.25</t>
  </si>
  <si>
    <t>15,48,72,83,096.85</t>
  </si>
  <si>
    <t>24,94,49,37,712.60</t>
  </si>
  <si>
    <t>33,38,11,06,175.20</t>
  </si>
  <si>
    <t>23,68,54,32,933.45</t>
  </si>
  <si>
    <t>12,16,02,68,319.90</t>
  </si>
  <si>
    <t>24,23,24,82,662.45</t>
  </si>
  <si>
    <t>21,26,90,98,539.05</t>
  </si>
  <si>
    <t>23,75,82,82,132.90</t>
  </si>
  <si>
    <t>21,20,42,15,137.35</t>
  </si>
  <si>
    <t>22,46,78,46,480.75</t>
  </si>
  <si>
    <t>18,85,17,60,949.05</t>
  </si>
  <si>
    <t>22,70,07,52,366.95</t>
  </si>
  <si>
    <t>21,84,67,99,849.40</t>
  </si>
  <si>
    <t>15,15,84,12,714.25</t>
  </si>
  <si>
    <t>19,10,45,26,814.40</t>
  </si>
  <si>
    <t>20,21,91,14,283.45</t>
  </si>
  <si>
    <t>16,91,93,58,308.20</t>
  </si>
  <si>
    <t>25,84,08,01,772.20</t>
  </si>
  <si>
    <t>18,42,77,94,860.95</t>
  </si>
  <si>
    <t>16,35,32,68,081.50</t>
  </si>
  <si>
    <t>15,40,76,80,360.40</t>
  </si>
  <si>
    <t>21,35,18,51,439.70</t>
  </si>
  <si>
    <t>19,62,72,94,687.95</t>
  </si>
  <si>
    <t>16,88,20,83,950.05</t>
  </si>
  <si>
    <t>85,99,38,98,870.00</t>
  </si>
  <si>
    <t>11,90,35,42,973.55</t>
  </si>
  <si>
    <t>27,58,41,03,887.40</t>
  </si>
  <si>
    <t>30,86,14,49,556.90</t>
  </si>
  <si>
    <t>14,21,05,99,849.75</t>
  </si>
  <si>
    <t>15,81,54,85,543.85</t>
  </si>
  <si>
    <t>15,78,62,94,151.30</t>
  </si>
  <si>
    <t>22,03,88,90,334.10</t>
  </si>
  <si>
    <t>22,87,89,43,836.30</t>
  </si>
  <si>
    <t>21,51,96,68,179.50</t>
  </si>
  <si>
    <t>17,91,01,40,469.65</t>
  </si>
  <si>
    <t>13,50,27,08,125.15</t>
  </si>
  <si>
    <t>20,56,01,73,723.70</t>
  </si>
  <si>
    <t>29,26,06,39,914.30</t>
  </si>
  <si>
    <t>14,21,69,89,371.65</t>
  </si>
  <si>
    <t>13,85,98,27,576.20</t>
  </si>
  <si>
    <t>12,36,80,75,581.25</t>
  </si>
  <si>
    <t>22,30,64,90,549.05</t>
  </si>
  <si>
    <t>16,37,69,08,912.20</t>
  </si>
  <si>
    <t>17,93,81,04,628.25</t>
  </si>
  <si>
    <t>15,75,83,39,977.00</t>
  </si>
  <si>
    <t>22,68,22,90,935.35</t>
  </si>
  <si>
    <t>27,69,17,90,169.90</t>
  </si>
  <si>
    <t>92,11,99,94,931.80</t>
  </si>
  <si>
    <t>46,59,49,29,825.60</t>
  </si>
  <si>
    <t>19,87,51,58,179.60</t>
  </si>
  <si>
    <t>26,63,72,48,724.35</t>
  </si>
  <si>
    <t>25,72,34,62,115.35</t>
  </si>
  <si>
    <t>21,00,28,72,434.25</t>
  </si>
  <si>
    <t>15,34,33,20,840.20</t>
  </si>
  <si>
    <t>12,06,15,61,234.20</t>
  </si>
  <si>
    <t>15,74,47,18,033.45</t>
  </si>
  <si>
    <t>18,78,12,43,733.65</t>
  </si>
  <si>
    <t>10,62,39,95,556.20</t>
  </si>
  <si>
    <t>16,84,98,06,027.65</t>
  </si>
  <si>
    <t>18,43,23,14,366.20</t>
  </si>
  <si>
    <t>27,67,61,29,582.85</t>
  </si>
  <si>
    <t>18,93,34,28,050.10</t>
  </si>
  <si>
    <t>12,67,99,94,866.30</t>
  </si>
  <si>
    <t>25,83,88,70,736.65</t>
  </si>
  <si>
    <t>12,68,09,27,214.10</t>
  </si>
  <si>
    <t>9,65,04,59,374.80</t>
  </si>
  <si>
    <t>14,11,01,46,776.35</t>
  </si>
  <si>
    <t>17,41,72,22,455.45</t>
  </si>
  <si>
    <t>18,55,20,37,709.10</t>
  </si>
  <si>
    <t>16,59,49,94,133.95</t>
  </si>
  <si>
    <t>17,04,08,29,415.65</t>
  </si>
  <si>
    <t>17,15,39,07,762.65</t>
  </si>
  <si>
    <t>16,36,54,07,365.90</t>
  </si>
  <si>
    <t>12,04,44,17,897.15</t>
  </si>
  <si>
    <t>12,74,10,05,921.30</t>
  </si>
  <si>
    <t>9,81,07,22,225.40</t>
  </si>
  <si>
    <t>15,33,25,63,329.35</t>
  </si>
  <si>
    <t>8,06,07,90,553.15</t>
  </si>
  <si>
    <t>8,11,59,22,559.35</t>
  </si>
  <si>
    <t>9,07,74,57,998.05</t>
  </si>
  <si>
    <t>11,48,97,47,684.60</t>
  </si>
  <si>
    <t>11,39,33,40,723.50</t>
  </si>
  <si>
    <t>11,75,00,46,560.20</t>
  </si>
  <si>
    <t>12,67,67,50,456.45</t>
  </si>
  <si>
    <t>9,62,23,00,857.85</t>
  </si>
  <si>
    <t>12,99,99,29,105.55</t>
  </si>
  <si>
    <t>23,93,60,68,091.80</t>
  </si>
  <si>
    <t>27,92,19,81,356.70</t>
  </si>
  <si>
    <t>23,70,73,62,824.55</t>
  </si>
  <si>
    <t>15,27,53,78,547.55</t>
  </si>
  <si>
    <t>13,40,36,22,183.40</t>
  </si>
  <si>
    <t>13,04,16,46,173.55</t>
  </si>
  <si>
    <t>8,91,96,02,471.35</t>
  </si>
  <si>
    <t>8,41,41,88,239.00</t>
  </si>
  <si>
    <t>9,89,13,79,842.80</t>
  </si>
  <si>
    <t>8,90,95,27,157.50</t>
  </si>
  <si>
    <t>10,73,57,22,213.80</t>
  </si>
  <si>
    <t>10,39,30,65,929.10</t>
  </si>
  <si>
    <t>12,31,26,02,615.90</t>
  </si>
  <si>
    <t>23,41,48,92,723.80</t>
  </si>
  <si>
    <t>8,76,73,14,647.00</t>
  </si>
  <si>
    <t>9,77,54,96,109.20</t>
  </si>
  <si>
    <t>10,68,79,28,437.35</t>
  </si>
  <si>
    <t>11,83,96,11,958.30</t>
  </si>
  <si>
    <t>10,79,81,21,356.15</t>
  </si>
  <si>
    <t>13,77,64,01,753.70</t>
  </si>
  <si>
    <t>17,82,37,38,488.00</t>
  </si>
  <si>
    <t>18,46,17,91,856.30</t>
  </si>
  <si>
    <t>15,80,72,34,115.85</t>
  </si>
  <si>
    <t>20,37,18,10,194.00</t>
  </si>
  <si>
    <t>13,02,99,23,334.80</t>
  </si>
  <si>
    <t>9,93,95,56,462.20</t>
  </si>
  <si>
    <t>14,99,64,87,081.50</t>
  </si>
  <si>
    <t>8,65,79,40,132.20</t>
  </si>
  <si>
    <t>7,01,99,27,774.65</t>
  </si>
  <si>
    <t>10,11,24,92,555.10</t>
  </si>
  <si>
    <t>8,10,58,61,297.40</t>
  </si>
  <si>
    <t>8,04,77,37,069.20</t>
  </si>
  <si>
    <t>10,05,48,22,904.25</t>
  </si>
  <si>
    <t>18,34,49,14,890.00</t>
  </si>
  <si>
    <t>14,04,02,01,497.40</t>
  </si>
  <si>
    <t>22,20,20,63,579.30</t>
  </si>
  <si>
    <t>10,06,81,97,552.85</t>
  </si>
  <si>
    <t>9,47,86,48,257.95</t>
  </si>
  <si>
    <t>3,85,98,66,818.15</t>
  </si>
  <si>
    <t>13,91,86,29,427.80</t>
  </si>
  <si>
    <t>14,14,13,65,856.20</t>
  </si>
  <si>
    <t>20,38,32,47,305.20</t>
  </si>
  <si>
    <t>14,60,63,11,320.10</t>
  </si>
  <si>
    <t>16,39,19,94,975.90</t>
  </si>
  <si>
    <t>10,51,03,78,542.40</t>
  </si>
  <si>
    <t>7,86,72,09,428.75</t>
  </si>
  <si>
    <t>14,98,85,68,897.45</t>
  </si>
  <si>
    <t>14,12,44,30,758.45</t>
  </si>
  <si>
    <t>13,55,82,51,214.20</t>
  </si>
  <si>
    <t>7,09,25,62,040.10</t>
  </si>
  <si>
    <t>14,85,38,80,989.55</t>
  </si>
  <si>
    <t>10,95,20,68,321.50</t>
  </si>
  <si>
    <t>8,51,41,00,480.75</t>
  </si>
  <si>
    <t>11,66,68,07,298.05</t>
  </si>
  <si>
    <t>7,99,17,93,077.85</t>
  </si>
  <si>
    <t>6,33,71,49,845.85</t>
  </si>
  <si>
    <t>7,53,87,48,417.35</t>
  </si>
  <si>
    <t>7,80,17,36,581.00</t>
  </si>
  <si>
    <t>7,58,06,60,698.90</t>
  </si>
  <si>
    <t>11,11,08,42,573.85</t>
  </si>
  <si>
    <t>8,83,73,31,953.30</t>
  </si>
  <si>
    <t>39,08,19,53,191.85</t>
  </si>
  <si>
    <t>13,84,71,36,356.65</t>
  </si>
  <si>
    <t>32,92,99,88,867.00</t>
  </si>
  <si>
    <t>11,99,02,09,635.60</t>
  </si>
  <si>
    <t>14,57,50,17,227.75</t>
  </si>
  <si>
    <t>18,43,96,68,158.05</t>
  </si>
  <si>
    <t>10,65,19,99,752.80</t>
  </si>
  <si>
    <t>10,40,87,39,251.40</t>
  </si>
  <si>
    <t>9,49,29,88,488.55</t>
  </si>
  <si>
    <t>15,34,64,88,528.00</t>
  </si>
  <si>
    <t>11,40,65,08,900.60</t>
  </si>
  <si>
    <t>10,08,39,40,253.45</t>
  </si>
  <si>
    <t>8,79,19,39,261.60</t>
  </si>
  <si>
    <t>10,38,82,61,664.65</t>
  </si>
  <si>
    <t>18,88,23,67,676.10</t>
  </si>
  <si>
    <t>9,21,43,19,519.75</t>
  </si>
  <si>
    <t>8,94,24,20,886.85</t>
  </si>
  <si>
    <t>10,23,68,89,380.75</t>
  </si>
  <si>
    <t>8,88,05,81,065.90</t>
  </si>
  <si>
    <t>12,02,35,88,105.45</t>
  </si>
  <si>
    <t>6,97,70,59,265.30</t>
  </si>
  <si>
    <t>6,74,14,52,650.05</t>
  </si>
  <si>
    <t>8,73,59,79,365.75</t>
  </si>
  <si>
    <t>8,11,41,44,680.25</t>
  </si>
  <si>
    <t>8,61,11,63,857.75</t>
  </si>
  <si>
    <t>6,29,22,10,762.05</t>
  </si>
  <si>
    <t>9,04,31,99,290.70</t>
  </si>
  <si>
    <t>10,81,63,99,502.15</t>
  </si>
  <si>
    <t>15,83,76,39,744.30</t>
  </si>
  <si>
    <t>7,42,81,25,091.15</t>
  </si>
  <si>
    <t>12,77,96,28,419.65</t>
  </si>
  <si>
    <t>9,53,99,91,868.55</t>
  </si>
  <si>
    <t>13,45,91,64,952.45</t>
  </si>
  <si>
    <t>20,30,62,72,476.25</t>
  </si>
  <si>
    <t>23,35,82,92,572.35</t>
  </si>
  <si>
    <t>15,37,33,25,638.55</t>
  </si>
  <si>
    <t>12,23,96,50,262.85</t>
  </si>
  <si>
    <t>15,37,22,36,749.05</t>
  </si>
  <si>
    <t>13,62,38,98,939.80</t>
  </si>
  <si>
    <t>16,89,76,29,055.85</t>
  </si>
  <si>
    <t>12,33,67,10,126.65</t>
  </si>
  <si>
    <t>18,37,16,44,661.35</t>
  </si>
  <si>
    <t>13,67,47,34,133.05</t>
  </si>
  <si>
    <t>27,86,69,37,052.40</t>
  </si>
  <si>
    <t>23,52,10,08,144.60</t>
  </si>
  <si>
    <t>24,65,63,84,337.05</t>
  </si>
  <si>
    <t>20,99,52,29,704.30</t>
  </si>
  <si>
    <t>14,65,93,21,464.40</t>
  </si>
  <si>
    <t>26,43,25,10,094.95</t>
  </si>
  <si>
    <t>15,83,13,18,495.45</t>
  </si>
  <si>
    <t>16,15,12,25,520.20</t>
  </si>
  <si>
    <t>22,89,98,22,662.10</t>
  </si>
  <si>
    <t>14,31,60,05,705.25</t>
  </si>
  <si>
    <t>11,61,17,24,209.05</t>
  </si>
  <si>
    <t>11,10,08,81,219.90</t>
  </si>
  <si>
    <t>15,63,54,20,227.95</t>
  </si>
  <si>
    <t>37,37,99,21,255.85</t>
  </si>
  <si>
    <t>19,48,33,14,957.80</t>
  </si>
  <si>
    <t>13,26,09,80,980.85</t>
  </si>
  <si>
    <t>9,90,84,16,474.30</t>
  </si>
  <si>
    <t>14,91,64,58,652.90</t>
  </si>
  <si>
    <t>12,18,88,88,236.70</t>
  </si>
  <si>
    <t>10,80,78,33,963.95</t>
  </si>
  <si>
    <t>10,36,87,96,539.40</t>
  </si>
  <si>
    <t>12,23,00,93,429.05</t>
  </si>
  <si>
    <t>23,69,04,36,663.80</t>
  </si>
  <si>
    <t>12,45,62,84,409.25</t>
  </si>
  <si>
    <t>10,05,17,32,048.90</t>
  </si>
  <si>
    <t>15,99,42,00,481.70</t>
  </si>
  <si>
    <t>11,32,40,34,037.10</t>
  </si>
  <si>
    <t>17,53,24,25,276.00</t>
  </si>
  <si>
    <t>17,81,03,28,720.90</t>
  </si>
  <si>
    <t>14,30,15,40,668.50</t>
  </si>
  <si>
    <t>13,60,19,04,297.45</t>
  </si>
  <si>
    <t>16,90,49,04,240.65</t>
  </si>
  <si>
    <t>22,69,59,25,219.15</t>
  </si>
  <si>
    <t>18,89,47,58,462.15</t>
  </si>
  <si>
    <t>34,94,35,97,049.60</t>
  </si>
  <si>
    <t>19,77,00,27,745.25</t>
  </si>
  <si>
    <t>22,28,55,72,145.65</t>
  </si>
  <si>
    <t>11,49,64,91,661.40</t>
  </si>
  <si>
    <t>16,90,05,52,054.30</t>
  </si>
  <si>
    <t>12,68,99,75,563.60</t>
  </si>
  <si>
    <t>14,51,16,43,743.50</t>
  </si>
  <si>
    <t>13,03,93,73,592.90</t>
  </si>
  <si>
    <t>19,34,02,93,216.90</t>
  </si>
  <si>
    <t>30,10,73,14,074.90</t>
  </si>
  <si>
    <t>volatality of return</t>
  </si>
  <si>
    <t>actual return</t>
  </si>
  <si>
    <t>2023-2024</t>
  </si>
  <si>
    <t>Return</t>
  </si>
  <si>
    <t>11,05,78,79,559.90</t>
  </si>
  <si>
    <t>17,45,47,36,439.85</t>
  </si>
  <si>
    <t>19,91,74,29,621.50</t>
  </si>
  <si>
    <t>13,98,09,69,369.40</t>
  </si>
  <si>
    <t>11,35,12,55,127.75</t>
  </si>
  <si>
    <t>19,69,52,62,387.55</t>
  </si>
  <si>
    <t>13,44,75,64,946.75</t>
  </si>
  <si>
    <t>19,62,34,93,252.40</t>
  </si>
  <si>
    <t>11,24,44,58,267.80</t>
  </si>
  <si>
    <t>13,29,80,39,126.00</t>
  </si>
  <si>
    <t>7,57,57,82,937.90</t>
  </si>
  <si>
    <t>8,28,91,02,461.70</t>
  </si>
  <si>
    <t>14,09,35,09,408.65</t>
  </si>
  <si>
    <t>10,08,39,30,491.20</t>
  </si>
  <si>
    <t>9,39,93,18,934.15</t>
  </si>
  <si>
    <t>10,03,94,93,207.75</t>
  </si>
  <si>
    <t>17,30,79,47,047.80</t>
  </si>
  <si>
    <t>14,61,12,50,968.30</t>
  </si>
  <si>
    <t>7,89,67,75,124.85</t>
  </si>
  <si>
    <t>9,71,66,26,291.25</t>
  </si>
  <si>
    <t>9,88,09,00,102.30</t>
  </si>
  <si>
    <t>10,42,77,25,788.55</t>
  </si>
  <si>
    <t>7,38,98,73,116.30</t>
  </si>
  <si>
    <t>12,51,20,18,443.70</t>
  </si>
  <si>
    <t>12,15,19,66,094.10</t>
  </si>
  <si>
    <t>7,93,96,58,229.75</t>
  </si>
  <si>
    <t>7,85,94,81,400.85</t>
  </si>
  <si>
    <t>9,95,35,70,679.50</t>
  </si>
  <si>
    <t>9,92,69,61,637.20</t>
  </si>
  <si>
    <t>11,87,02,19,947.45</t>
  </si>
  <si>
    <t>9,03,82,04,553.15</t>
  </si>
  <si>
    <t>8,42,62,66,009.20</t>
  </si>
  <si>
    <t>6,91,65,83,531.40</t>
  </si>
  <si>
    <t>9,16,39,84,988.70</t>
  </si>
  <si>
    <t>12,88,37,32,875.05</t>
  </si>
  <si>
    <t>14,50,66,12,501.75</t>
  </si>
  <si>
    <t>11,64,06,58,051.85</t>
  </si>
  <si>
    <t>13,21,69,61,279.00</t>
  </si>
  <si>
    <t>30,99,22,95,693.45</t>
  </si>
  <si>
    <t>16,64,81,39,919.55</t>
  </si>
  <si>
    <t>17,93,33,84,336.15</t>
  </si>
  <si>
    <t>12,43,55,36,493.30</t>
  </si>
  <si>
    <t>8,55,44,57,378.70</t>
  </si>
  <si>
    <t>11,83,65,09,766.30</t>
  </si>
  <si>
    <t>13,94,99,25,583.10</t>
  </si>
  <si>
    <t>6,76,43,00,003.70</t>
  </si>
  <si>
    <t>7,31,50,18,537.50</t>
  </si>
  <si>
    <t>13,02,44,09,119.20</t>
  </si>
  <si>
    <t>15,57,21,20,760.55</t>
  </si>
  <si>
    <t>13,91,13,15,989.45</t>
  </si>
  <si>
    <t>28,72,22,02,805.50</t>
  </si>
  <si>
    <t>8,01,90,25,286.30</t>
  </si>
  <si>
    <t>8,14,04,54,943.70</t>
  </si>
  <si>
    <t>8,23,10,21,944.90</t>
  </si>
  <si>
    <t>8,97,08,24,759.40</t>
  </si>
  <si>
    <t>7,71,36,44,596.40</t>
  </si>
  <si>
    <t>14,58,49,60,042.70</t>
  </si>
  <si>
    <t>11,16,24,30,554.95</t>
  </si>
  <si>
    <t>13,23,32,13,873.00</t>
  </si>
  <si>
    <t>13,09,12,51,360.20</t>
  </si>
  <si>
    <t>14,56,42,07,451.25</t>
  </si>
  <si>
    <t>9,63,09,11,136.45</t>
  </si>
  <si>
    <t>12,22,99,54,790.40</t>
  </si>
  <si>
    <t>23,19,15,25,858.60</t>
  </si>
  <si>
    <t>16,32,91,64,522.95</t>
  </si>
  <si>
    <t>41,87,19,95,571.75</t>
  </si>
  <si>
    <t>25,51,99,75,405.90</t>
  </si>
  <si>
    <t>24,04,87,64,830.55</t>
  </si>
  <si>
    <t>18,79,83,57,651.30</t>
  </si>
  <si>
    <t>19,11,78,13,181.40</t>
  </si>
  <si>
    <t>28,51,07,31,060.60</t>
  </si>
  <si>
    <t>33,60,18,45,465.45</t>
  </si>
  <si>
    <t>51,03,95,78,142.75</t>
  </si>
  <si>
    <t>50,60,39,56,720.15</t>
  </si>
  <si>
    <t>38,56,51,57,004.35</t>
  </si>
  <si>
    <t>29,56,01,18,805.00</t>
  </si>
  <si>
    <t>14,98,86,81,530.35</t>
  </si>
  <si>
    <t>16,30,93,70,484.50</t>
  </si>
  <si>
    <t>21,61,28,19,116.55</t>
  </si>
  <si>
    <t>26,23,06,15,302.10</t>
  </si>
  <si>
    <t>10,86,29,27,967.25</t>
  </si>
  <si>
    <t>12,03,92,88,137.45</t>
  </si>
  <si>
    <t>15,84,29,03,032.05</t>
  </si>
  <si>
    <t>12,57,96,30,763.10</t>
  </si>
  <si>
    <t>28,57,56,03,699.10</t>
  </si>
  <si>
    <t>7,53,49,73,865.10</t>
  </si>
  <si>
    <t>12,37,72,91,186.25</t>
  </si>
  <si>
    <t>14,35,63,84,371.85</t>
  </si>
  <si>
    <t>19,59,53,55,860.30</t>
  </si>
  <si>
    <t>28,11,82,25,498.75</t>
  </si>
  <si>
    <t>12,27,15,88,459.95</t>
  </si>
  <si>
    <t>13,10,15,45,280.60</t>
  </si>
  <si>
    <t>17,43,96,52,935.65</t>
  </si>
  <si>
    <t>23,70,19,83,763.10</t>
  </si>
  <si>
    <t>11,65,97,93,136.25</t>
  </si>
  <si>
    <t>9,72,80,35,039.30</t>
  </si>
  <si>
    <t>12,03,25,00,977.45</t>
  </si>
  <si>
    <t>17,71,22,28,152.35</t>
  </si>
  <si>
    <t>27,50,36,65,768.50</t>
  </si>
  <si>
    <t>15,50,82,40,986.20</t>
  </si>
  <si>
    <t>20,46,48,39,388.10</t>
  </si>
  <si>
    <t>14,76,45,44,103.55</t>
  </si>
  <si>
    <t>26,07,70,96,813.90</t>
  </si>
  <si>
    <t>21,85,67,99,694.25</t>
  </si>
  <si>
    <t>11,28,05,12,429.60</t>
  </si>
  <si>
    <t>10,51,17,62,468.35</t>
  </si>
  <si>
    <t>9,95,30,29,723.50</t>
  </si>
  <si>
    <t>16,55,27,69,825.75</t>
  </si>
  <si>
    <t>28,14,51,73,638.30</t>
  </si>
  <si>
    <t>16,38,22,49,910.10</t>
  </si>
  <si>
    <t>19,92,72,45,602.50</t>
  </si>
  <si>
    <t>15,69,54,91,695.65</t>
  </si>
  <si>
    <t>11,30,11,41,212.65</t>
  </si>
  <si>
    <t>31,30,49,96,690.80</t>
  </si>
  <si>
    <t>9,17,87,15,239.40</t>
  </si>
  <si>
    <t>67,86,44,89,357.80</t>
  </si>
  <si>
    <t>14,49,22,94,094.80</t>
  </si>
  <si>
    <t>22,66,18,97,562.05</t>
  </si>
  <si>
    <t>16,70,32,85,186.15</t>
  </si>
  <si>
    <t>11,81,45,81,030.50</t>
  </si>
  <si>
    <t>13,80,78,21,671.35</t>
  </si>
  <si>
    <t>17,07,38,06,729.35</t>
  </si>
  <si>
    <t>14,50,75,25,911.60</t>
  </si>
  <si>
    <t>10,28,55,26,678.70</t>
  </si>
  <si>
    <t>11,85,11,41,943.50</t>
  </si>
  <si>
    <t>12,69,21,81,391.50</t>
  </si>
  <si>
    <t>6,29,67,30,156.55</t>
  </si>
  <si>
    <t>8,72,45,97,410.05</t>
  </si>
  <si>
    <t>11,81,76,66,201.85</t>
  </si>
  <si>
    <t>11,45,23,67,310.50</t>
  </si>
  <si>
    <t>14,75,62,75,104.15</t>
  </si>
  <si>
    <t>11,89,89,99,931.90</t>
  </si>
  <si>
    <t>6,95,65,22,674.05</t>
  </si>
  <si>
    <t>9,31,76,49,591.75</t>
  </si>
  <si>
    <t>10,44,29,44,805.70</t>
  </si>
  <si>
    <t>13,89,81,02,710.85</t>
  </si>
  <si>
    <t>10,26,18,59,218.60</t>
  </si>
  <si>
    <t>8,96,62,23,109.05</t>
  </si>
  <si>
    <t>13,14,00,35,999.60</t>
  </si>
  <si>
    <t>16,99,49,10,102.90</t>
  </si>
  <si>
    <t>13,31,51,43,153.75</t>
  </si>
  <si>
    <t>19,42,22,70,423.05</t>
  </si>
  <si>
    <t>14,74,73,54,996.70</t>
  </si>
  <si>
    <t>11,86,51,33,915.60</t>
  </si>
  <si>
    <t>12,23,32,75,556.75</t>
  </si>
  <si>
    <t>10,29,24,87,339.95</t>
  </si>
  <si>
    <t>12,42,64,55,971.70</t>
  </si>
  <si>
    <t>8,10,26,78,736.35</t>
  </si>
  <si>
    <t>9,20,82,87,625.15</t>
  </si>
  <si>
    <t>16,81,04,55,976.65</t>
  </si>
  <si>
    <t>8,92,86,95,452.35</t>
  </si>
  <si>
    <t>1,65,32,02,914.45</t>
  </si>
  <si>
    <t>4,46,41,62,629.45</t>
  </si>
  <si>
    <t>14,33,94,87,044.50</t>
  </si>
  <si>
    <t>15,52,37,61,404.10</t>
  </si>
  <si>
    <t>9,16,87,51,612.00</t>
  </si>
  <si>
    <t>5,26,91,53,540.00</t>
  </si>
  <si>
    <t>9,76,32,57,904.05</t>
  </si>
  <si>
    <t>10,18,10,03,165.90</t>
  </si>
  <si>
    <t>10,21,97,70,255.80</t>
  </si>
  <si>
    <t>8,09,02,26,237.15</t>
  </si>
  <si>
    <t>16,43,36,74,720.45</t>
  </si>
  <si>
    <t>15,07,85,54,701.80</t>
  </si>
  <si>
    <t>33,88,02,61,609.25</t>
  </si>
  <si>
    <t>17,13,59,06,079.40</t>
  </si>
  <si>
    <t>18,84,29,40,784.80</t>
  </si>
  <si>
    <t>15,45,64,91,179.15</t>
  </si>
  <si>
    <t>20,19,68,20,469.50</t>
  </si>
  <si>
    <t>9,98,87,95,871.30</t>
  </si>
  <si>
    <t>12,53,91,53,828.90</t>
  </si>
  <si>
    <t>8,69,06,54,768.25</t>
  </si>
  <si>
    <t>11,23,30,58,046.60</t>
  </si>
  <si>
    <t>12,14,96,35,536.75</t>
  </si>
  <si>
    <t>20,91,64,13,095.30</t>
  </si>
  <si>
    <t>19,81,89,94,725.95</t>
  </si>
  <si>
    <t>17,86,15,36,572.75</t>
  </si>
  <si>
    <t>21,47,67,99,671.65</t>
  </si>
  <si>
    <t>22,73,51,94,766.35</t>
  </si>
  <si>
    <t>17,56,29,46,483.40</t>
  </si>
  <si>
    <t>21,17,17,13,990.35</t>
  </si>
  <si>
    <t>9,63,02,62,624.25</t>
  </si>
  <si>
    <t>11,90,35,47,787.85</t>
  </si>
  <si>
    <t>16,00,92,95,262.65</t>
  </si>
  <si>
    <t>14,06,74,90,670.90</t>
  </si>
  <si>
    <t>5,21,58,08,110.05</t>
  </si>
  <si>
    <t>9,67,13,31,567.50</t>
  </si>
  <si>
    <t>11,77,80,06,447.25</t>
  </si>
  <si>
    <t>12,48,39,71,502.55</t>
  </si>
  <si>
    <t>10,53,98,86,698.05</t>
  </si>
  <si>
    <t>10,05,71,68,474.15</t>
  </si>
  <si>
    <t>7,00,35,71,441.95</t>
  </si>
  <si>
    <t>14,52,67,42,701.55</t>
  </si>
  <si>
    <t>31,97,92,89,599.90</t>
  </si>
  <si>
    <t>20,48,77,45,085.40</t>
  </si>
  <si>
    <t>11,92,02,19,926.15</t>
  </si>
  <si>
    <t>12,56,36,73,259.40</t>
  </si>
  <si>
    <t>16,70,27,84,157.50</t>
  </si>
  <si>
    <t>14,00,53,71,079.55</t>
  </si>
  <si>
    <t>14,23,89,41,782.60</t>
  </si>
  <si>
    <t>9,95,71,10,928.55</t>
  </si>
  <si>
    <t>26,82,30,81,585.30</t>
  </si>
  <si>
    <t>29,19,98,12,068.10</t>
  </si>
  <si>
    <t>15,92,46,81,035.80</t>
  </si>
  <si>
    <t>33,95,56,52,629.40</t>
  </si>
  <si>
    <t>20,11,45,36,190.80</t>
  </si>
  <si>
    <t>21,54,54,02,809.00</t>
  </si>
  <si>
    <t>19,07,54,09,129.85</t>
  </si>
  <si>
    <t>28,62,83,19,858.85</t>
  </si>
  <si>
    <t>12,81,31,04,310.25</t>
  </si>
  <si>
    <t>12,93,63,28,247.70</t>
  </si>
  <si>
    <t>13,36,86,50,630.75</t>
  </si>
  <si>
    <t>21,18,16,03,384.90</t>
  </si>
  <si>
    <t>18,36,04,29,342.90</t>
  </si>
  <si>
    <t>9,68,00,50,427.50</t>
  </si>
  <si>
    <t>11,32,15,54,002.65</t>
  </si>
  <si>
    <t>10,47,60,84,977.75</t>
  </si>
  <si>
    <t>14,74,01,28,065.85</t>
  </si>
  <si>
    <t>14,31,97,75,078.35</t>
  </si>
  <si>
    <t>9,87,43,95,305.15</t>
  </si>
  <si>
    <t>10,45,22,64,180.75</t>
  </si>
  <si>
    <t>18,75,79,66,311.65</t>
  </si>
  <si>
    <t>27,22,87,62,576.20</t>
  </si>
  <si>
    <t>21,53,48,40,027.25</t>
  </si>
  <si>
    <t>11,17,31,63,735.60</t>
  </si>
  <si>
    <t>16,10,04,08,443.55</t>
  </si>
  <si>
    <t>12,67,36,07,274.50</t>
  </si>
  <si>
    <t>34,58,24,93,286.65</t>
  </si>
  <si>
    <t>17,99,89,57,520.55</t>
  </si>
  <si>
    <t>1,07,07,43,614.70</t>
  </si>
  <si>
    <t>15,05,63,20,911.10</t>
  </si>
  <si>
    <t>10,63,48,36,947.90</t>
  </si>
  <si>
    <t>11,67,47,86,490.95</t>
  </si>
  <si>
    <t>12,36,28,39,422.10</t>
  </si>
  <si>
    <t>16,63,48,94,693.10</t>
  </si>
  <si>
    <t>13,94,38,14,809.40</t>
  </si>
  <si>
    <t>19,53,93,20,816.80</t>
  </si>
  <si>
    <t>26,65,94,95,810.00</t>
  </si>
  <si>
    <t>27,29,45,38,070.95</t>
  </si>
  <si>
    <t>13,10,35,38,361.45</t>
  </si>
  <si>
    <t>11,78,79,73,196.45</t>
  </si>
  <si>
    <t>12,20,06,51,007.80</t>
  </si>
  <si>
    <t>18,88,29,74,161.40</t>
  </si>
  <si>
    <t>28,40,86,77,998.20</t>
  </si>
  <si>
    <t>16,48,04,30,505.15</t>
  </si>
  <si>
    <t>24,26,29,83,466.45</t>
  </si>
  <si>
    <t>32,65,92,43,942.20</t>
  </si>
  <si>
    <t>7,45,50,79,986.05</t>
  </si>
  <si>
    <t>2024-2025</t>
  </si>
  <si>
    <t>13,20,77,26,108.30</t>
  </si>
  <si>
    <t>10,34,04,31,852.20</t>
  </si>
  <si>
    <t>21,18,77,69,929.50</t>
  </si>
  <si>
    <t>10,88,42,50,027.90</t>
  </si>
  <si>
    <t>12,40,09,63,621.65</t>
  </si>
  <si>
    <t>10,40,23,78,582.00</t>
  </si>
  <si>
    <t>13,50,87,81,489.15</t>
  </si>
  <si>
    <t>22,94,46,47,360.80</t>
  </si>
  <si>
    <t>18,94,98,08,687.30</t>
  </si>
  <si>
    <t>13,68,75,64,159.45</t>
  </si>
  <si>
    <t>27,94,15,31,144.35</t>
  </si>
  <si>
    <t>23,00,43,85,019.15</t>
  </si>
  <si>
    <t>15,27,13,48,793.50</t>
  </si>
  <si>
    <t>21,50,31,28,837.35</t>
  </si>
  <si>
    <t>15,26,45,81,699.05</t>
  </si>
  <si>
    <t>23,23,52,72,655.30</t>
  </si>
  <si>
    <t>13,70,58,73,642.80</t>
  </si>
  <si>
    <t>10,60,58,75,230.60</t>
  </si>
  <si>
    <t>16,91,07,77,825.20</t>
  </si>
  <si>
    <t>21,34,25,18,418.90</t>
  </si>
  <si>
    <t>24,77,47,10,139.90</t>
  </si>
  <si>
    <t>10,54,34,11,394.40</t>
  </si>
  <si>
    <t>20,35,65,96,310.45</t>
  </si>
  <si>
    <t>13,37,83,80,314.55</t>
  </si>
  <si>
    <t>15,41,72,56,016.70</t>
  </si>
  <si>
    <t>14,71,13,41,390.80</t>
  </si>
  <si>
    <t>11,81,92,08,707.95</t>
  </si>
  <si>
    <t>10,18,77,93,904.10</t>
  </si>
  <si>
    <t>7,17,09,75,946.20</t>
  </si>
  <si>
    <t>20,81,93,70,913.85</t>
  </si>
  <si>
    <t>15,60,87,99,277.70</t>
  </si>
  <si>
    <t>61,16,60,842.00</t>
  </si>
  <si>
    <t>16,02,20,37,765.60</t>
  </si>
  <si>
    <t>15,00,37,55,079.70</t>
  </si>
  <si>
    <t>21,59,81,31,626.70</t>
  </si>
  <si>
    <t>10,51,01,70,789.40</t>
  </si>
  <si>
    <t>9,75,89,27,330.85</t>
  </si>
  <si>
    <t>11,45,92,72,719.50</t>
  </si>
  <si>
    <t>10,67,76,49,558.60</t>
  </si>
  <si>
    <t>18,84,33,10,309.75</t>
  </si>
  <si>
    <t>44,42,93,52,174.10</t>
  </si>
  <si>
    <t>32,05,59,04,968.10</t>
  </si>
  <si>
    <t>52,14,18,56,366.90</t>
  </si>
  <si>
    <t>24,63,70,03,697.65</t>
  </si>
  <si>
    <t>25,53,78,85,916.05</t>
  </si>
  <si>
    <t>27,07,10,00,141.85</t>
  </si>
  <si>
    <t>13,70,01,44,470.70</t>
  </si>
  <si>
    <t>17,23,53,09,310.25</t>
  </si>
  <si>
    <t>14,78,95,62,953.35</t>
  </si>
  <si>
    <t>13,46,19,77,299.90</t>
  </si>
  <si>
    <t>12,00,97,35,003.50</t>
  </si>
  <si>
    <t>10,64,02,38,520.10</t>
  </si>
  <si>
    <t>12,80,63,97,074.45</t>
  </si>
  <si>
    <t>23,73,24,84,114.90</t>
  </si>
  <si>
    <t>45,33,93,57,875.00</t>
  </si>
  <si>
    <t>12,80,91,05,423.85</t>
  </si>
  <si>
    <t>10,20,59,07,632.15</t>
  </si>
  <si>
    <t>32,85,09,99,298.60</t>
  </si>
  <si>
    <t>43,38,32,60,604.40</t>
  </si>
  <si>
    <t>45,18,08,50,345.25</t>
  </si>
  <si>
    <t>12,07,51,37,299.45</t>
  </si>
  <si>
    <t>12,12,64,29,929.15</t>
  </si>
  <si>
    <t>14,04,94,06,822.65</t>
  </si>
  <si>
    <t>10,65,57,15,706.45</t>
  </si>
  <si>
    <t>19,32,37,16,027.90</t>
  </si>
  <si>
    <t>15,18,14,79,272.55</t>
  </si>
  <si>
    <t>11,06,14,03,124.60</t>
  </si>
  <si>
    <t>11,25,39,68,347.05</t>
  </si>
  <si>
    <t>18,92,40,71,474.55</t>
  </si>
  <si>
    <t>20,58,96,34,191.20</t>
  </si>
  <si>
    <t>8,50,45,91,755.00</t>
  </si>
  <si>
    <t>14,85,95,48,266.10</t>
  </si>
  <si>
    <t>19,40,39,09,511.40</t>
  </si>
  <si>
    <t>20,55,41,78,349.45</t>
  </si>
  <si>
    <t>29,67,13,39,998.45</t>
  </si>
  <si>
    <t>26,80,36,49,945.60</t>
  </si>
  <si>
    <t>17,79,66,51,407.60</t>
  </si>
  <si>
    <t>18,65,91,22,151.40</t>
  </si>
  <si>
    <t>14,84,94,80,970.80</t>
  </si>
  <si>
    <t>11,45,26,61,155.40</t>
  </si>
  <si>
    <t>12,47,96,37,390.30</t>
  </si>
  <si>
    <t>15,14,04,71,169.85</t>
  </si>
  <si>
    <t>16,28,35,66,572.30</t>
  </si>
  <si>
    <t>15,41,16,92,078.15</t>
  </si>
  <si>
    <t>24,73,31,28,212.00</t>
  </si>
  <si>
    <t>14,99,35,89,440.05</t>
  </si>
  <si>
    <t>11,97,93,63,870.55</t>
  </si>
  <si>
    <t>17,99,66,62,105.65</t>
  </si>
  <si>
    <t>9,18,46,80,574.05</t>
  </si>
  <si>
    <t>11,98,96,80,025.65</t>
  </si>
  <si>
    <t>9,17,29,71,802.70</t>
  </si>
  <si>
    <t>9,16,86,16,380.80</t>
  </si>
  <si>
    <t>13,86,53,25,209.75</t>
  </si>
  <si>
    <t>20,56,03,27,724.60</t>
  </si>
  <si>
    <t>12,60,50,24,714.40</t>
  </si>
  <si>
    <t>11,66,05,26,038.60</t>
  </si>
  <si>
    <t>15,64,19,35,953.20</t>
  </si>
  <si>
    <t>13,90,78,42,193.30</t>
  </si>
  <si>
    <t>13,35,11,14,538.35</t>
  </si>
  <si>
    <t>9,40,21,08,149.05</t>
  </si>
  <si>
    <t>14,41,33,56,125.80</t>
  </si>
  <si>
    <t>58,24,23,37,590.95</t>
  </si>
  <si>
    <t>62,98,70,09,675.80</t>
  </si>
  <si>
    <t>17,05,29,33,370.55</t>
  </si>
  <si>
    <t>16,52,81,93,207.35</t>
  </si>
  <si>
    <t>18,11,45,82,555.90</t>
  </si>
  <si>
    <t>24,45,39,50,049.65</t>
  </si>
  <si>
    <t>28,49,94,95,837.10</t>
  </si>
  <si>
    <t>13,17,23,42,172.80</t>
  </si>
  <si>
    <t>15,76,87,77,163.00</t>
  </si>
  <si>
    <t>14,23,57,32,813.00</t>
  </si>
  <si>
    <t>32,74,44,74,466.75</t>
  </si>
  <si>
    <t>12,85,63,98,757.55</t>
  </si>
  <si>
    <t>8,07,04,08,899.55</t>
  </si>
  <si>
    <t>8,73,41,02,749.70</t>
  </si>
  <si>
    <t>12,60,46,50,688.95</t>
  </si>
  <si>
    <t>24,87,55,02,062.25</t>
  </si>
  <si>
    <t>45,89,08,94,255.50</t>
  </si>
  <si>
    <t>13,20,84,20,985.10</t>
  </si>
  <si>
    <t>25,58,74,44,695.30</t>
  </si>
  <si>
    <t>10,52,02,89,097.25</t>
  </si>
  <si>
    <t>28,17,97,60,605.20</t>
  </si>
  <si>
    <t>31,15,23,28,126.20</t>
  </si>
  <si>
    <t>40,20,86,25,079.45</t>
  </si>
  <si>
    <t>24,14,29,92,536.60</t>
  </si>
  <si>
    <t>53,74,62,34,225.65</t>
  </si>
  <si>
    <t>51,83,07,08,670.55</t>
  </si>
  <si>
    <t>30,50,95,18,408.05</t>
  </si>
  <si>
    <t>23,56,19,05,588.15</t>
  </si>
  <si>
    <t>19,84,51,68,137.95</t>
  </si>
  <si>
    <t>30,73,96,75,824.55</t>
  </si>
  <si>
    <t>10,97,74,31,923.95</t>
  </si>
  <si>
    <t>16,78,07,32,590.05</t>
  </si>
  <si>
    <t>45,72,68,23,453.35</t>
  </si>
  <si>
    <t>27,01,48,52,678.00</t>
  </si>
  <si>
    <t>21,13,03,92,926.65</t>
  </si>
  <si>
    <t>16,39,51,16,698.50</t>
  </si>
  <si>
    <t>19,23,30,63,988.40</t>
  </si>
  <si>
    <t>21,43,48,71,569.75</t>
  </si>
  <si>
    <t>23,13,93,46,660.10</t>
  </si>
  <si>
    <t>29,56,19,35,442.55</t>
  </si>
  <si>
    <t>24,73,28,26,126.10</t>
  </si>
  <si>
    <t>14,47,97,33,719.25</t>
  </si>
  <si>
    <t>15,98,86,83,034.00</t>
  </si>
  <si>
    <t>16,07,30,73,274.15</t>
  </si>
  <si>
    <t>12,44,97,44,606.90</t>
  </si>
  <si>
    <t>2,84,82,64,119.80</t>
  </si>
  <si>
    <t>25,76,44,50,096.55</t>
  </si>
  <si>
    <t>21,11,31,19,455.50</t>
  </si>
  <si>
    <t>28,44,95,04,045.35</t>
  </si>
  <si>
    <t>12,58,18,00,339.00</t>
  </si>
  <si>
    <t>25,44,19,00,935.60</t>
  </si>
  <si>
    <t>11,55,10,68,872.50</t>
  </si>
  <si>
    <t>13,63,56,94,812.30</t>
  </si>
  <si>
    <t>18,41,82,08,535.90</t>
  </si>
  <si>
    <t>15,93,89,29,092.75</t>
  </si>
  <si>
    <t>17,14,35,01,436.40</t>
  </si>
  <si>
    <t>17,94,94,63,404.35</t>
  </si>
  <si>
    <t>23,80,49,02,094.90</t>
  </si>
  <si>
    <t>25,53,04,60,769.30</t>
  </si>
  <si>
    <t>37,35,50,89,803.05</t>
  </si>
  <si>
    <t>11,94,81,33,607.60</t>
  </si>
  <si>
    <t>12,38,56,14,506.45</t>
  </si>
  <si>
    <t>19,24,61,53,609.30</t>
  </si>
  <si>
    <t>17,04,19,75,591.70</t>
  </si>
  <si>
    <t>14,31,59,72,962.55</t>
  </si>
  <si>
    <t>22,27,92,47,257.55</t>
  </si>
  <si>
    <t>25,70,17,43,568.80</t>
  </si>
  <si>
    <t>22,24,98,86,629.55</t>
  </si>
  <si>
    <t>11,87,97,01,933.90</t>
  </si>
  <si>
    <t>19,10,51,10,924.90</t>
  </si>
  <si>
    <t>20,63,95,94,557.20</t>
  </si>
  <si>
    <t>15,03,44,57,832.65</t>
  </si>
  <si>
    <t>26,45,91,66,488.55</t>
  </si>
  <si>
    <t>36,00,26,21,429.30</t>
  </si>
  <si>
    <t>12,06,66,29,924.30</t>
  </si>
  <si>
    <t>21,81,47,94,516.85</t>
  </si>
  <si>
    <t>15,87,03,98,087.10</t>
  </si>
  <si>
    <t>17,60,25,40,036.00</t>
  </si>
  <si>
    <t>24,69,94,97,247.50</t>
  </si>
  <si>
    <t>12,26,20,91,651.05</t>
  </si>
  <si>
    <t>8,26,46,75,853.25</t>
  </si>
  <si>
    <t>12,21,71,76,986.80</t>
  </si>
  <si>
    <t>8,56,28,95,530.20</t>
  </si>
  <si>
    <t>10,71,22,29,377.50</t>
  </si>
  <si>
    <t>7,77,03,38,353.90</t>
  </si>
  <si>
    <t>7,19,48,99,836.45</t>
  </si>
  <si>
    <t>19,11,50,27,208.35</t>
  </si>
  <si>
    <t>19,40,67,15,598.75</t>
  </si>
  <si>
    <t>18,30,86,52,263.95</t>
  </si>
  <si>
    <t>12,46,35,97,633.45</t>
  </si>
  <si>
    <t>24,43,93,45,120.55</t>
  </si>
  <si>
    <t>16,08,88,82,554.20</t>
  </si>
  <si>
    <t>10,11,76,85,547.70</t>
  </si>
  <si>
    <t>17,04,22,74,859.85</t>
  </si>
  <si>
    <t>16,19,17,65,836.20</t>
  </si>
  <si>
    <t>11,97,46,00,753.05</t>
  </si>
  <si>
    <t>17,82,84,86,685.90</t>
  </si>
  <si>
    <t>38,19,97,28,794.40</t>
  </si>
  <si>
    <t>18,36,20,47,246.70</t>
  </si>
  <si>
    <t>18,71,03,66,859.10</t>
  </si>
  <si>
    <t>13,11,00,04,094.65</t>
  </si>
  <si>
    <t>11,05,36,24,692.80</t>
  </si>
  <si>
    <t>17,82,72,72,395.00</t>
  </si>
  <si>
    <t>11,72,31,27,883.65</t>
  </si>
  <si>
    <t>13,02,66,73,067.35</t>
  </si>
  <si>
    <t>7,33,11,19,895.80</t>
  </si>
  <si>
    <t>11,57,86,93,152.95</t>
  </si>
  <si>
    <t>8,30,52,91,978.45</t>
  </si>
  <si>
    <t>8,97,22,48,877.35</t>
  </si>
  <si>
    <t>11,53,89,63,041.00</t>
  </si>
  <si>
    <t>21,25,84,96,964.75</t>
  </si>
  <si>
    <t>12,96,33,36,513.05</t>
  </si>
  <si>
    <t>12,73,63,85,821.45</t>
  </si>
  <si>
    <t>11,13,92,40,963.05</t>
  </si>
  <si>
    <t>8,72,42,86,360.55</t>
  </si>
  <si>
    <t>11,02,37,57,522.95</t>
  </si>
  <si>
    <t>25,59,86,19,531.25</t>
  </si>
  <si>
    <t>10,38,02,76,762.25</t>
  </si>
  <si>
    <t>12,51,32,77,266.75</t>
  </si>
  <si>
    <t>9,96,02,41,446.85</t>
  </si>
  <si>
    <t>8,16,76,61,853.95</t>
  </si>
  <si>
    <t>7,62,66,01,753.25</t>
  </si>
  <si>
    <t>9,61,92,77,166.50</t>
  </si>
  <si>
    <t>8,50,13,82,497.70</t>
  </si>
  <si>
    <t>8,72,10,21,715.35</t>
  </si>
  <si>
    <t>13,97,34,92,939.80</t>
  </si>
  <si>
    <t>13,88,36,37,029.45</t>
  </si>
  <si>
    <t>27,73,81,25,737.60</t>
  </si>
  <si>
    <t>20,96,99,45,818.55</t>
  </si>
  <si>
    <t>13,25,37,11,939.15</t>
  </si>
  <si>
    <t>10,16,64,51,492.55</t>
  </si>
  <si>
    <t>17,34,79,17,723.20</t>
  </si>
  <si>
    <t>20,49,40,65,096.80</t>
  </si>
  <si>
    <t>14,86,43,40,065.65</t>
  </si>
  <si>
    <t>12,52,86,23,904.20</t>
  </si>
  <si>
    <t>15,00,75,14,668.90</t>
  </si>
  <si>
    <t>11,92,17,66,653.80</t>
  </si>
  <si>
    <t>20,63,08,43,725.15</t>
  </si>
  <si>
    <t>19,50,88,93,454.65</t>
  </si>
  <si>
    <t>20,15,80,06,340.60</t>
  </si>
  <si>
    <t>20,16,45,61,988.35</t>
  </si>
  <si>
    <t>27,79,96,53,516.40</t>
  </si>
  <si>
    <t>26,33,59,01,171.15</t>
  </si>
  <si>
    <t>17,69,95,68,389.85</t>
  </si>
  <si>
    <t>15,44,40,62,345.35</t>
  </si>
  <si>
    <t>19,21,93,99,902.90</t>
  </si>
  <si>
    <t>23,19,47,74,030.90</t>
  </si>
  <si>
    <t>15,25,42,61,046.80</t>
  </si>
  <si>
    <t>Average return</t>
  </si>
  <si>
    <t>2025-2026</t>
  </si>
  <si>
    <t>12,68,88,02,512.15</t>
  </si>
  <si>
    <t>9,26,55,30,670.85</t>
  </si>
  <si>
    <t>21,60,89,77,995.10</t>
  </si>
  <si>
    <t>25,49,15,01,838.90</t>
  </si>
  <si>
    <t>23,06,52,09,423.00</t>
  </si>
  <si>
    <t>12,09,47,49,463.20</t>
  </si>
  <si>
    <t>13,62,68,31,085.65</t>
  </si>
  <si>
    <t>16,62,71,77,949.10</t>
  </si>
  <si>
    <t>10,19,18,64,641.70</t>
  </si>
  <si>
    <t>19,40,78,71,411.00</t>
  </si>
  <si>
    <t>13,46,99,49,890.00</t>
  </si>
  <si>
    <t>16,91,49,00,850.30</t>
  </si>
  <si>
    <t>13,59,45,97,555.00</t>
  </si>
  <si>
    <t>13,59,20,84,385.00</t>
  </si>
  <si>
    <t>18,80,79,07,514.70</t>
  </si>
  <si>
    <t>42,14,71,23,069.00</t>
  </si>
  <si>
    <t>45,41,70,61,104.50</t>
  </si>
  <si>
    <t>35,79,72,20,282.00</t>
  </si>
  <si>
    <t>24,89,41,40,200.00</t>
  </si>
  <si>
    <t>18,16,58,43,553.00</t>
  </si>
  <si>
    <t>19,98,55,59,677.40</t>
  </si>
  <si>
    <t>18,98,81,26,278.30</t>
  </si>
  <si>
    <t>22,71,78,78,064.30</t>
  </si>
  <si>
    <t>18,89,57,51,340.10</t>
  </si>
  <si>
    <t>15,22,49,70,250.50</t>
  </si>
  <si>
    <t>16,23,61,02,678.90</t>
  </si>
  <si>
    <t>7,92,80,45,614.70</t>
  </si>
  <si>
    <t>29,08,36,83,834.80</t>
  </si>
  <si>
    <t>13,14,97,97,875.40</t>
  </si>
  <si>
    <t>8,94,47,05,922.30</t>
  </si>
  <si>
    <t>16,11,59,06,328.30</t>
  </si>
  <si>
    <t>8,76,12,09,045.90</t>
  </si>
  <si>
    <t>17,07,14,02,011.90</t>
  </si>
  <si>
    <t>9,22,43,12,172.60</t>
  </si>
  <si>
    <t>6,96,01,05,851.40</t>
  </si>
  <si>
    <t>17,97,22,11,281.70</t>
  </si>
  <si>
    <t>8,41,15,75,745.50</t>
  </si>
  <si>
    <t>19,48,34,24,681.60</t>
  </si>
  <si>
    <t>19,57,81,54,095.00</t>
  </si>
  <si>
    <t>11,40,08,64,785.00</t>
  </si>
  <si>
    <t>15,89,25,72,174.10</t>
  </si>
  <si>
    <t>11,50,58,06,730.50</t>
  </si>
  <si>
    <t>19,78,94,68,217.00</t>
  </si>
  <si>
    <t>11,81,68,75,426.10</t>
  </si>
  <si>
    <t>11,43,30,33,631.80</t>
  </si>
  <si>
    <t>11,41,54,76,580.50</t>
  </si>
  <si>
    <t>11,93,38,50,942.70</t>
  </si>
  <si>
    <t>12,75,06,12,321.30</t>
  </si>
  <si>
    <t>13,89,39,05,321.30</t>
  </si>
  <si>
    <t>12,14,94,12,490.70</t>
  </si>
  <si>
    <t>14,84,65,17,402.40</t>
  </si>
  <si>
    <t>9,56,36,29,434.00</t>
  </si>
  <si>
    <t>14,34,83,70,217.60</t>
  </si>
  <si>
    <t>42,43,33,00,495.60</t>
  </si>
  <si>
    <t>8,70,50,05,211.50</t>
  </si>
  <si>
    <t>23,89,35,22,923.20</t>
  </si>
  <si>
    <t>11,04,38,61,535.40</t>
  </si>
  <si>
    <t>21,81,33,25,246.10</t>
  </si>
  <si>
    <t>16,80,89,08,375.40</t>
  </si>
  <si>
    <t>12,69,23,29,820.10</t>
  </si>
  <si>
    <t>15,79,07,50,945.40</t>
  </si>
  <si>
    <t>9,65,78,44,399.40</t>
  </si>
  <si>
    <t>17,15,69,79,936.80</t>
  </si>
  <si>
    <t>10,06,09,08,691.00</t>
  </si>
  <si>
    <t>11,15,98,58,745.50</t>
  </si>
  <si>
    <t>11,01,66,84,351.60</t>
  </si>
  <si>
    <t>13,59,84,41,338.60</t>
  </si>
  <si>
    <t>15,23,34,58,376.40</t>
  </si>
  <si>
    <t>10,82,39,82,872.20</t>
  </si>
  <si>
    <t>15,34,15,29,534.70</t>
  </si>
  <si>
    <t>12,10,04,48,372.90</t>
  </si>
  <si>
    <t>15,42,16,36,574.60</t>
  </si>
  <si>
    <t>17,54,22,05,685.80</t>
  </si>
  <si>
    <t>15,18,91,04,342.00</t>
  </si>
  <si>
    <t>32,21,07,51,693.50</t>
  </si>
  <si>
    <t>28,90,27,00,383.40</t>
  </si>
  <si>
    <t>11,87,53,15,134.70</t>
  </si>
  <si>
    <t>20,74,07,88,758.30</t>
  </si>
  <si>
    <t>16,52,80,44,233.50</t>
  </si>
  <si>
    <t>10,80,25,52,328.10</t>
  </si>
  <si>
    <t>15,08,22,11,933.30</t>
  </si>
  <si>
    <t>10,17,67,19,970.80</t>
  </si>
  <si>
    <t>23,76,63,74,015.30</t>
  </si>
  <si>
    <t>14,42,34,88,951.80</t>
  </si>
  <si>
    <t>8,90,49,07,900.60</t>
  </si>
  <si>
    <t>12,99,11,63,046.80</t>
  </si>
  <si>
    <t>8,11,30,06,686.00</t>
  </si>
  <si>
    <t>13,78,30,47,743.50</t>
  </si>
  <si>
    <t>12,09,05,91,567.60</t>
  </si>
  <si>
    <t>13,75,43,51,256.50</t>
  </si>
  <si>
    <t>16,98,03,68,560.10</t>
  </si>
  <si>
    <t>10,32,19,69,058.70</t>
  </si>
  <si>
    <t>9,79,96,29,519.90</t>
  </si>
  <si>
    <t>16,31,30,18,769.80</t>
  </si>
  <si>
    <t>20,33,42,96,972.40</t>
  </si>
  <si>
    <t>12,37,79,83,949.70</t>
  </si>
  <si>
    <t>15,73,34,74,504.40</t>
  </si>
  <si>
    <t>8,22,78,76,997.30</t>
  </si>
  <si>
    <t>8,44,57,89,682.30</t>
  </si>
  <si>
    <t>16,89,13,59,345.30</t>
  </si>
  <si>
    <t>18,17,35,99,832.00</t>
  </si>
  <si>
    <t>25,79,60,85,387.60</t>
  </si>
  <si>
    <t>15,20,83,77,268.50</t>
  </si>
  <si>
    <t>15,82,76,20,364.30</t>
  </si>
  <si>
    <t>10,74,21,61,678.40</t>
  </si>
  <si>
    <t>18,03,59,88,833.70</t>
  </si>
  <si>
    <t>7,91,73,73,815.60</t>
  </si>
  <si>
    <t>9,63,76,80,456.60</t>
  </si>
  <si>
    <t>13,41,66,75,656.70</t>
  </si>
  <si>
    <t>10,75,22,66,849.20</t>
  </si>
  <si>
    <t>13,50,14,79,258.50</t>
  </si>
  <si>
    <t>10,31,06,08,459.50</t>
  </si>
  <si>
    <t>7,53,36,35,758.20</t>
  </si>
  <si>
    <t>12,19,64,51,860.10</t>
  </si>
  <si>
    <t>10,61,78,06,261.00</t>
  </si>
  <si>
    <t>13,20,85,89,778.10</t>
  </si>
  <si>
    <t>18,95,93,42,246.10</t>
  </si>
  <si>
    <t>10,86,82,28,760.60</t>
  </si>
  <si>
    <t>19,44,63,55,038.70</t>
  </si>
  <si>
    <t>8,21,67,78,017.50</t>
  </si>
  <si>
    <t>15,69,63,73,894.00</t>
  </si>
  <si>
    <t>13,59,73,42,647.00</t>
  </si>
  <si>
    <t>19,58,01,10,793.70</t>
  </si>
  <si>
    <t>19,95,75,82,304.90</t>
  </si>
  <si>
    <t>16,49,76,35,567.10</t>
  </si>
  <si>
    <t>17,49,29,14,973.80</t>
  </si>
  <si>
    <t>16,95,66,55,218.30</t>
  </si>
  <si>
    <t>15,59,31,76,402.20</t>
  </si>
  <si>
    <t>11,69,32,12,975.10</t>
  </si>
  <si>
    <t>12,14,76,69,213.50</t>
  </si>
  <si>
    <t>8,81,53,17,323.10</t>
  </si>
  <si>
    <t>10,43,34,92,493.50</t>
  </si>
  <si>
    <t>13,45,53,95,764.80</t>
  </si>
  <si>
    <t>14,98,71,55,897.30</t>
  </si>
  <si>
    <t>17,08,46,36,046.80</t>
  </si>
  <si>
    <t>27,33,62,05,033.00</t>
  </si>
  <si>
    <t>36,13,76,73,257.50</t>
  </si>
  <si>
    <t>3,03,28,61,642.80</t>
  </si>
  <si>
    <t>27,40,03,74,842.50</t>
  </si>
  <si>
    <t>14,06,86,22,023.20</t>
  </si>
  <si>
    <t>20,89,18,82,342.50</t>
  </si>
  <si>
    <t>26,18,22,48,923.90</t>
  </si>
  <si>
    <t>17,85,88,00,582.60</t>
  </si>
  <si>
    <t>13,90,59,20,959.90</t>
  </si>
  <si>
    <t>13,03,02,57,785.30</t>
  </si>
  <si>
    <t>12,57,91,61,982.90</t>
  </si>
  <si>
    <t>14,82,11,44,472.70</t>
  </si>
  <si>
    <t>25,05,96,56,533.30</t>
  </si>
  <si>
    <t>11,62,87,33,264.10</t>
  </si>
  <si>
    <t>10,55,09,78,254.30</t>
  </si>
  <si>
    <t>10,61,69,76,771.80</t>
  </si>
  <si>
    <t>18,76,25,17,172.20</t>
  </si>
  <si>
    <t>10,89,79,56,389.70</t>
  </si>
  <si>
    <t>11,65,10,84,505.30</t>
  </si>
  <si>
    <t>8,90,62,94,222.30</t>
  </si>
  <si>
    <t>16,79,05,05,249.50</t>
  </si>
  <si>
    <t>8,64,46,40,452.70</t>
  </si>
  <si>
    <t>28,04,93,06,041.50</t>
  </si>
  <si>
    <t>14,89,73,85,970.30</t>
  </si>
  <si>
    <t>28,33,78,41,303.40</t>
  </si>
  <si>
    <t>23,24,69,09,829.70</t>
  </si>
  <si>
    <t>21,96,65,88,733.90</t>
  </si>
  <si>
    <t>15,31,57,04,900.90</t>
  </si>
  <si>
    <t>14,08,38,38,960.40</t>
  </si>
  <si>
    <t>14,01,64,86,649.50</t>
  </si>
  <si>
    <t>17,66,02,97,036.30</t>
  </si>
  <si>
    <t>9,37,65,93,978.90</t>
  </si>
  <si>
    <t>18,32,08,33,054.60</t>
  </si>
  <si>
    <t>15,62,92,90,582.50</t>
  </si>
  <si>
    <t>17,41,23,09,977.70</t>
  </si>
  <si>
    <t>17,60,10,83,501.20</t>
  </si>
  <si>
    <t>12,30,48,93,787.50</t>
  </si>
  <si>
    <t>7,25,04,28,118.40</t>
  </si>
  <si>
    <t>7,94,19,40,758.50</t>
  </si>
  <si>
    <t>8,97,18,36,560.70</t>
  </si>
  <si>
    <t>18,11,75,38,818.10</t>
  </si>
  <si>
    <t>10,98,91,03,491.90</t>
  </si>
  <si>
    <t>10,16,93,53,778.00</t>
  </si>
  <si>
    <t>21,83,41,30,206.80</t>
  </si>
  <si>
    <t>16,01,02,06,159.50</t>
  </si>
  <si>
    <t>11,80,79,16,323.50</t>
  </si>
  <si>
    <t>13,74,86,00,530.90</t>
  </si>
  <si>
    <t>3,60,14,35,338.70</t>
  </si>
  <si>
    <t>9,24,36,16,142.30</t>
  </si>
  <si>
    <t>13,60,47,45,435.00</t>
  </si>
  <si>
    <t>9,04,36,50,348.50</t>
  </si>
  <si>
    <t>10,11,63,46,867.10</t>
  </si>
  <si>
    <t>10,49,19,99,169.40</t>
  </si>
  <si>
    <t>13,83,53,33,400.10</t>
  </si>
  <si>
    <t>41,56,90,80,602.20</t>
  </si>
  <si>
    <t>16,87,52,53,099.50</t>
  </si>
  <si>
    <t>24,41,00,37,550.10</t>
  </si>
  <si>
    <t>12,27,06,72,520.90</t>
  </si>
  <si>
    <t>13,05,72,59,395.40</t>
  </si>
  <si>
    <t>19,67,81,31,155.40</t>
  </si>
  <si>
    <t>12,13,49,50,551.20</t>
  </si>
  <si>
    <t>25,13,52,47,618.00</t>
  </si>
  <si>
    <t>28,86,31,28,634.10</t>
  </si>
  <si>
    <t>18,47,91,64,578.50</t>
  </si>
  <si>
    <t>24,27,89,65,746.30</t>
  </si>
  <si>
    <t>22,07,01,50,220.10</t>
  </si>
  <si>
    <t>13,68,75,60,136.70</t>
  </si>
  <si>
    <t>36,34,65,67,203.10</t>
  </si>
  <si>
    <t>15,53,53,35,257.60</t>
  </si>
  <si>
    <t>29,05,08,18,209.00</t>
  </si>
  <si>
    <t>15,63,74,18,399.50</t>
  </si>
  <si>
    <t>13,37,81,45,108.70</t>
  </si>
  <si>
    <t>21,57,56,43,258.50</t>
  </si>
  <si>
    <t>36,80,20,06,349.10</t>
  </si>
  <si>
    <t>12,12,79,57,783.70</t>
  </si>
  <si>
    <t>16,99,74,46,034.90</t>
  </si>
  <si>
    <t>11,94,23,66,313.00</t>
  </si>
  <si>
    <t>8,44,58,11,902.30</t>
  </si>
  <si>
    <t>14,97,11,96,098.30</t>
  </si>
  <si>
    <t>10,41,25,35,997.80</t>
  </si>
  <si>
    <t>16,18,68,60,274.50</t>
  </si>
  <si>
    <t>15,31,32,21,949.70</t>
  </si>
  <si>
    <t>8,40,88,65,413.30</t>
  </si>
  <si>
    <t>15,27,21,75,589.40</t>
  </si>
  <si>
    <t>7,90,69,56,447.40</t>
  </si>
  <si>
    <t>16,82,79,34,160.10</t>
  </si>
  <si>
    <t>11,61,22,83,011.40</t>
  </si>
  <si>
    <t>11,06,02,70,073.70</t>
  </si>
  <si>
    <t>17,85,39,17,144.10</t>
  </si>
  <si>
    <t>15,17,13,07,392.70</t>
  </si>
  <si>
    <t>23,42,42,95,896.50</t>
  </si>
  <si>
    <t>16,81,35,12,507.20</t>
  </si>
  <si>
    <t>32,22,81,24,369.60</t>
  </si>
  <si>
    <t>43,36,79,43,821.30</t>
  </si>
  <si>
    <t>35,89,99,97,226.10</t>
  </si>
  <si>
    <t>27,28,52,57,299.50</t>
  </si>
  <si>
    <t>34,92,05,85,822.30</t>
  </si>
  <si>
    <t>25,49,71,67,382.50</t>
  </si>
  <si>
    <t>30,65,16,92,543.40</t>
  </si>
  <si>
    <t>29,26,48,77,793.70</t>
  </si>
  <si>
    <t>23,96,82,36,254.70</t>
  </si>
  <si>
    <t>31,61,93,78,231.50</t>
  </si>
  <si>
    <t>26,57,68,82,526.60</t>
  </si>
  <si>
    <t>13,46,51,78,867.70</t>
  </si>
  <si>
    <t>23,01,06,87,830.50</t>
  </si>
  <si>
    <t>32,62,84,66,606.50</t>
  </si>
  <si>
    <t>26,65,59,71,496.80</t>
  </si>
  <si>
    <t>26,31,50,89,062.40</t>
  </si>
  <si>
    <t>27,01,49,40,455.50</t>
  </si>
  <si>
    <t>31,64,17,34,742.50</t>
  </si>
  <si>
    <t>32,86,45,44,984.70</t>
  </si>
  <si>
    <t>19,76,33,87,955.30</t>
  </si>
  <si>
    <t>Avrage return</t>
  </si>
  <si>
    <t>HDFC</t>
  </si>
  <si>
    <t>Symbol</t>
  </si>
  <si>
    <t>Series</t>
  </si>
  <si>
    <t>Date</t>
  </si>
  <si>
    <t>Prev Close</t>
  </si>
  <si>
    <t>Open Price</t>
  </si>
  <si>
    <t>High Price</t>
  </si>
  <si>
    <t>Low Price</t>
  </si>
  <si>
    <t>Last Price</t>
  </si>
  <si>
    <t>Close Price</t>
  </si>
  <si>
    <t>Average Price</t>
  </si>
  <si>
    <t>Total Traded Quantity</t>
  </si>
  <si>
    <t>Turnover ₹</t>
  </si>
  <si>
    <t>No. of Trades</t>
  </si>
  <si>
    <t>Deliverable Qty</t>
  </si>
  <si>
    <t>% Dly Qt to Traded Qty</t>
  </si>
  <si>
    <t>HDFCBANK</t>
  </si>
  <si>
    <t>1,78,81,881</t>
  </si>
  <si>
    <t>26,47,47,05,849.45</t>
  </si>
  <si>
    <t>3,38,659</t>
  </si>
  <si>
    <t>95,72,778</t>
  </si>
  <si>
    <t>80,03,293</t>
  </si>
  <si>
    <t>11,61,31,25,554.75</t>
  </si>
  <si>
    <t>2,38,305</t>
  </si>
  <si>
    <t>28,74,301</t>
  </si>
  <si>
    <t>75,37,867</t>
  </si>
  <si>
    <t>10,88,81,66,737.05</t>
  </si>
  <si>
    <t>2,15,174</t>
  </si>
  <si>
    <t>24,99,978</t>
  </si>
  <si>
    <t>1,25,44,090</t>
  </si>
  <si>
    <t>18,12,66,86,315.60</t>
  </si>
  <si>
    <t>2,08,801</t>
  </si>
  <si>
    <t>74,34,774</t>
  </si>
  <si>
    <t>88,06,796</t>
  </si>
  <si>
    <t>12,73,05,41,278.95</t>
  </si>
  <si>
    <t>2,23,974</t>
  </si>
  <si>
    <t>46,39,816</t>
  </si>
  <si>
    <t>1,40,78,908</t>
  </si>
  <si>
    <t>20,03,26,18,013.65</t>
  </si>
  <si>
    <t>2,14,798</t>
  </si>
  <si>
    <t>69,46,513</t>
  </si>
  <si>
    <t>1,12,74,564</t>
  </si>
  <si>
    <t>15,49,65,90,803.50</t>
  </si>
  <si>
    <t>4,06,501</t>
  </si>
  <si>
    <t>56,26,304</t>
  </si>
  <si>
    <t>BL</t>
  </si>
  <si>
    <t>1,23,800</t>
  </si>
  <si>
    <t>16,96,06,000.00</t>
  </si>
  <si>
    <t>-</t>
  </si>
  <si>
    <t>93,00,341</t>
  </si>
  <si>
    <t>12,86,45,36,273.50</t>
  </si>
  <si>
    <t>1,89,809</t>
  </si>
  <si>
    <t>47,69,084</t>
  </si>
  <si>
    <t>1,72,22,492</t>
  </si>
  <si>
    <t>24,28,79,66,847.35</t>
  </si>
  <si>
    <t>3,17,928</t>
  </si>
  <si>
    <t>94,64,480</t>
  </si>
  <si>
    <t>78,03,263</t>
  </si>
  <si>
    <t>11,20,59,42,978.00</t>
  </si>
  <si>
    <t>1,88,460</t>
  </si>
  <si>
    <t>38,43,600</t>
  </si>
  <si>
    <t>1,20,34,621</t>
  </si>
  <si>
    <t>16,77,23,59,445.00</t>
  </si>
  <si>
    <t>3,25,777</t>
  </si>
  <si>
    <t>54,46,700</t>
  </si>
  <si>
    <t>1,15,93,135</t>
  </si>
  <si>
    <t>16,29,17,06,863.05</t>
  </si>
  <si>
    <t>2,83,993</t>
  </si>
  <si>
    <t>64,47,436</t>
  </si>
  <si>
    <t>1,92,42,656</t>
  </si>
  <si>
    <t>26,81,03,33,683.20</t>
  </si>
  <si>
    <t>3,20,987</t>
  </si>
  <si>
    <t>96,70,836</t>
  </si>
  <si>
    <t>1,13,56,764</t>
  </si>
  <si>
    <t>16,10,77,81,693.85</t>
  </si>
  <si>
    <t>2,42,760</t>
  </si>
  <si>
    <t>52,93,080</t>
  </si>
  <si>
    <t>1,50,85,476</t>
  </si>
  <si>
    <t>21,31,86,06,947.85</t>
  </si>
  <si>
    <t>2,91,268</t>
  </si>
  <si>
    <t>97,91,881</t>
  </si>
  <si>
    <t>1,02,96,453</t>
  </si>
  <si>
    <t>14,72,80,96,470.65</t>
  </si>
  <si>
    <t>2,33,200</t>
  </si>
  <si>
    <t>56,50,216</t>
  </si>
  <si>
    <t>1,20,51,970</t>
  </si>
  <si>
    <t>17,63,43,76,658.60</t>
  </si>
  <si>
    <t>1,97,146</t>
  </si>
  <si>
    <t>71,96,647</t>
  </si>
  <si>
    <t>1,20,39,276</t>
  </si>
  <si>
    <t>17,83,19,60,366.75</t>
  </si>
  <si>
    <t>2,52,296</t>
  </si>
  <si>
    <t>48,18,551</t>
  </si>
  <si>
    <t>1,76,16,451</t>
  </si>
  <si>
    <t>25,03,52,89,801.25</t>
  </si>
  <si>
    <t>4,47,876</t>
  </si>
  <si>
    <t>89,82,938</t>
  </si>
  <si>
    <t>1,12,36,850</t>
  </si>
  <si>
    <t>15,70,99,45,763.35</t>
  </si>
  <si>
    <t>3,41,238</t>
  </si>
  <si>
    <t>57,20,050</t>
  </si>
  <si>
    <t>1,07,43,164</t>
  </si>
  <si>
    <t>15,08,12,19,692.00</t>
  </si>
  <si>
    <t>2,63,951</t>
  </si>
  <si>
    <t>44,54,875</t>
  </si>
  <si>
    <t>72,10,806</t>
  </si>
  <si>
    <t>10,09,63,92,172.10</t>
  </si>
  <si>
    <t>1,62,134</t>
  </si>
  <si>
    <t>28,95,687</t>
  </si>
  <si>
    <t>57,38,522</t>
  </si>
  <si>
    <t>8,05,31,13,106.30</t>
  </si>
  <si>
    <t>1,36,848</t>
  </si>
  <si>
    <t>25,76,264</t>
  </si>
  <si>
    <t>60,24,167</t>
  </si>
  <si>
    <t>8,54,79,58,579.70</t>
  </si>
  <si>
    <t>1,60,474</t>
  </si>
  <si>
    <t>28,61,702</t>
  </si>
  <si>
    <t>55,30,025</t>
  </si>
  <si>
    <t>7,85,18,85,465.25</t>
  </si>
  <si>
    <t>1,56,544</t>
  </si>
  <si>
    <t>29,86,441</t>
  </si>
  <si>
    <t>72,59,517</t>
  </si>
  <si>
    <t>10,22,31,21,394.30</t>
  </si>
  <si>
    <t>2,21,164</t>
  </si>
  <si>
    <t>43,39,573</t>
  </si>
  <si>
    <t>68,87,463</t>
  </si>
  <si>
    <t>9,63,03,79,958.00</t>
  </si>
  <si>
    <t>1,89,135</t>
  </si>
  <si>
    <t>39,33,052</t>
  </si>
  <si>
    <t>53,02,071</t>
  </si>
  <si>
    <t>7,36,29,47,078.85</t>
  </si>
  <si>
    <t>2,04,439</t>
  </si>
  <si>
    <t>28,78,510</t>
  </si>
  <si>
    <t>75,60,346</t>
  </si>
  <si>
    <t>10,74,99,46,504.20</t>
  </si>
  <si>
    <t>2,32,157</t>
  </si>
  <si>
    <t>39,95,095</t>
  </si>
  <si>
    <t>1,10,82,640</t>
  </si>
  <si>
    <t>16,32,56,27,028.60</t>
  </si>
  <si>
    <t>3,03,758</t>
  </si>
  <si>
    <t>66,40,863</t>
  </si>
  <si>
    <t>50,65,458</t>
  </si>
  <si>
    <t>7,41,15,90,231.20</t>
  </si>
  <si>
    <t>1,30,871</t>
  </si>
  <si>
    <t>27,27,068</t>
  </si>
  <si>
    <t>53,42,092</t>
  </si>
  <si>
    <t>7,73,16,37,700.80</t>
  </si>
  <si>
    <t>1,62,817</t>
  </si>
  <si>
    <t>25,41,468</t>
  </si>
  <si>
    <t>96,70,823</t>
  </si>
  <si>
    <t>14,28,70,85,746.80</t>
  </si>
  <si>
    <t>2,34,594</t>
  </si>
  <si>
    <t>36,83,384</t>
  </si>
  <si>
    <t>1,10,73,051</t>
  </si>
  <si>
    <t>16,72,88,12,270.30</t>
  </si>
  <si>
    <t>3,32,858</t>
  </si>
  <si>
    <t>47,81,064</t>
  </si>
  <si>
    <t>96,18,487</t>
  </si>
  <si>
    <t>14,27,35,38,928.15</t>
  </si>
  <si>
    <t>2,63,807</t>
  </si>
  <si>
    <t>47,31,625</t>
  </si>
  <si>
    <t>61,41,995</t>
  </si>
  <si>
    <t>9,08,19,27,510.05</t>
  </si>
  <si>
    <t>1,80,525</t>
  </si>
  <si>
    <t>24,62,775</t>
  </si>
  <si>
    <t>1,02,19,748</t>
  </si>
  <si>
    <t>15,04,30,40,015.15</t>
  </si>
  <si>
    <t>2,09,715</t>
  </si>
  <si>
    <t>49,15,883</t>
  </si>
  <si>
    <t>88,75,010</t>
  </si>
  <si>
    <t>13,27,34,37,477.90</t>
  </si>
  <si>
    <t>2,21,597</t>
  </si>
  <si>
    <t>52,95,971</t>
  </si>
  <si>
    <t>78,30,527</t>
  </si>
  <si>
    <t>11,80,22,87,069.65</t>
  </si>
  <si>
    <t>2,05,932</t>
  </si>
  <si>
    <t>37,43,023</t>
  </si>
  <si>
    <t>55,15,081</t>
  </si>
  <si>
    <t>8,35,93,76,485.70</t>
  </si>
  <si>
    <t>1,64,990</t>
  </si>
  <si>
    <t>27,07,141</t>
  </si>
  <si>
    <t>53,12,008</t>
  </si>
  <si>
    <t>7,96,80,47,689.75</t>
  </si>
  <si>
    <t>1,19,874</t>
  </si>
  <si>
    <t>30,61,801</t>
  </si>
  <si>
    <t>51,43,630</t>
  </si>
  <si>
    <t>7,79,07,80,309.90</t>
  </si>
  <si>
    <t>1,57,719</t>
  </si>
  <si>
    <t>21,37,844</t>
  </si>
  <si>
    <t>47,12,238</t>
  </si>
  <si>
    <t>7,10,48,08,087.10</t>
  </si>
  <si>
    <t>1,79,989</t>
  </si>
  <si>
    <t>26,84,082</t>
  </si>
  <si>
    <t>40,45,834</t>
  </si>
  <si>
    <t>6,07,34,88,211.50</t>
  </si>
  <si>
    <t>1,34,014</t>
  </si>
  <si>
    <t>23,81,811</t>
  </si>
  <si>
    <t>49,36,270</t>
  </si>
  <si>
    <t>7,34,01,18,763.80</t>
  </si>
  <si>
    <t>1,74,145</t>
  </si>
  <si>
    <t>34,13,458</t>
  </si>
  <si>
    <t>51,11,721</t>
  </si>
  <si>
    <t>7,60,64,16,086.90</t>
  </si>
  <si>
    <t>1,34,064</t>
  </si>
  <si>
    <t>23,87,438</t>
  </si>
  <si>
    <t>57,41,770</t>
  </si>
  <si>
    <t>8,49,75,70,554.50</t>
  </si>
  <si>
    <t>1,65,786</t>
  </si>
  <si>
    <t>34,84,470</t>
  </si>
  <si>
    <t>36,02,987</t>
  </si>
  <si>
    <t>5,36,00,93,939.55</t>
  </si>
  <si>
    <t>1,18,634</t>
  </si>
  <si>
    <t>17,97,686</t>
  </si>
  <si>
    <t>44,40,982</t>
  </si>
  <si>
    <t>6,54,69,98,199.95</t>
  </si>
  <si>
    <t>1,47,161</t>
  </si>
  <si>
    <t>23,60,747</t>
  </si>
  <si>
    <t>37,84,801</t>
  </si>
  <si>
    <t>5,63,97,58,160.45</t>
  </si>
  <si>
    <t>1,26,209</t>
  </si>
  <si>
    <t>17,99,385</t>
  </si>
  <si>
    <t>38,51,049</t>
  </si>
  <si>
    <t>5,71,78,99,444.30</t>
  </si>
  <si>
    <t>1,40,563</t>
  </si>
  <si>
    <t>23,73,410</t>
  </si>
  <si>
    <t>46,41,901</t>
  </si>
  <si>
    <t>6,82,84,22,222.05</t>
  </si>
  <si>
    <t>1,62,372</t>
  </si>
  <si>
    <t>26,02,883</t>
  </si>
  <si>
    <t>59,69,030</t>
  </si>
  <si>
    <t>8,77,78,32,377.50</t>
  </si>
  <si>
    <t>1,76,020</t>
  </si>
  <si>
    <t>32,89,110</t>
  </si>
  <si>
    <t>36,30,236</t>
  </si>
  <si>
    <t>5,35,61,08,568.70</t>
  </si>
  <si>
    <t>1,21,439</t>
  </si>
  <si>
    <t>17,74,707</t>
  </si>
  <si>
    <t>71,83,412</t>
  </si>
  <si>
    <t>10,74,65,48,095.35</t>
  </si>
  <si>
    <t>1,76,519</t>
  </si>
  <si>
    <t>43,24,982</t>
  </si>
  <si>
    <t>39,22,434</t>
  </si>
  <si>
    <t>5,83,33,78,822.25</t>
  </si>
  <si>
    <t>1,04,106</t>
  </si>
  <si>
    <t>20,70,834</t>
  </si>
  <si>
    <t>73,92,512</t>
  </si>
  <si>
    <t>11,10,53,97,440.30</t>
  </si>
  <si>
    <t>1,61,391</t>
  </si>
  <si>
    <t>44,17,197</t>
  </si>
  <si>
    <t>51,91,588</t>
  </si>
  <si>
    <t>7,86,63,53,151.80</t>
  </si>
  <si>
    <t>1,57,842</t>
  </si>
  <si>
    <t>32,42,646</t>
  </si>
  <si>
    <t>46,78,393</t>
  </si>
  <si>
    <t>7,06,63,37,440.20</t>
  </si>
  <si>
    <t>30,47,669</t>
  </si>
  <si>
    <t>54,85,846</t>
  </si>
  <si>
    <t>8,21,90,41,607.30</t>
  </si>
  <si>
    <t>1,19,595</t>
  </si>
  <si>
    <t>40,97,229</t>
  </si>
  <si>
    <t>48,39,511</t>
  </si>
  <si>
    <t>7,26,42,97,159.95</t>
  </si>
  <si>
    <t>1,13,300</t>
  </si>
  <si>
    <t>33,00,089</t>
  </si>
  <si>
    <t>84,55,721</t>
  </si>
  <si>
    <t>12,61,08,24,917.85</t>
  </si>
  <si>
    <t>1,77,593</t>
  </si>
  <si>
    <t>53,09,019</t>
  </si>
  <si>
    <t>74,13,518</t>
  </si>
  <si>
    <t>10,99,19,26,075.40</t>
  </si>
  <si>
    <t>1,75,142</t>
  </si>
  <si>
    <t>56,54,492</t>
  </si>
  <si>
    <t>36,86,941</t>
  </si>
  <si>
    <t>5,52,16,83,947.90</t>
  </si>
  <si>
    <t>1,36,148</t>
  </si>
  <si>
    <t>21,21,120</t>
  </si>
  <si>
    <t>88,34,516</t>
  </si>
  <si>
    <t>13,49,08,18,207.25</t>
  </si>
  <si>
    <t>2,22,855</t>
  </si>
  <si>
    <t>44,47,203</t>
  </si>
  <si>
    <t>48,14,595</t>
  </si>
  <si>
    <t>7,41,17,30,515.65</t>
  </si>
  <si>
    <t>1,19,316</t>
  </si>
  <si>
    <t>30,55,239</t>
  </si>
  <si>
    <t>42,10,461</t>
  </si>
  <si>
    <t>6,42,66,30,345.65</t>
  </si>
  <si>
    <t>1,37,221</t>
  </si>
  <si>
    <t>23,68,698</t>
  </si>
  <si>
    <t>53,47,921</t>
  </si>
  <si>
    <t>8,05,09,52,657.80</t>
  </si>
  <si>
    <t>1,62,723</t>
  </si>
  <si>
    <t>33,76,292</t>
  </si>
  <si>
    <t>72,29,489</t>
  </si>
  <si>
    <t>10,79,33,86,505.90</t>
  </si>
  <si>
    <t>1,60,971</t>
  </si>
  <si>
    <t>39,56,375</t>
  </si>
  <si>
    <t>90,89,071</t>
  </si>
  <si>
    <t>13,57,85,89,687.20</t>
  </si>
  <si>
    <t>1,58,600</t>
  </si>
  <si>
    <t>63,29,919</t>
  </si>
  <si>
    <t>48,94,247</t>
  </si>
  <si>
    <t>7,34,24,59,151.85</t>
  </si>
  <si>
    <t>1,14,595</t>
  </si>
  <si>
    <t>30,04,238</t>
  </si>
  <si>
    <t>52,19,401</t>
  </si>
  <si>
    <t>7,92,33,04,983.85</t>
  </si>
  <si>
    <t>1,92,039</t>
  </si>
  <si>
    <t>28,98,079</t>
  </si>
  <si>
    <t>25,85,314</t>
  </si>
  <si>
    <t>3,94,05,52,739.25</t>
  </si>
  <si>
    <t>11,75,158</t>
  </si>
  <si>
    <t>1,25,55,800</t>
  </si>
  <si>
    <t>18,55,27,79,056.10</t>
  </si>
  <si>
    <t>4,10,524</t>
  </si>
  <si>
    <t>66,26,486</t>
  </si>
  <si>
    <t>11,87,75,895.00</t>
  </si>
  <si>
    <t>1,20,87,125</t>
  </si>
  <si>
    <t>17,44,60,42,345.60</t>
  </si>
  <si>
    <t>3,29,311</t>
  </si>
  <si>
    <t>85,68,066</t>
  </si>
  <si>
    <t>66,03,557</t>
  </si>
  <si>
    <t>9,61,34,92,161.75</t>
  </si>
  <si>
    <t>2,53,822</t>
  </si>
  <si>
    <t>38,28,445</t>
  </si>
  <si>
    <t>65,63,342</t>
  </si>
  <si>
    <t>9,48,54,65,854.05</t>
  </si>
  <si>
    <t>2,65,409</t>
  </si>
  <si>
    <t>44,91,778</t>
  </si>
  <si>
    <t>65,83,583</t>
  </si>
  <si>
    <t>9,44,69,65,208.20</t>
  </si>
  <si>
    <t>2,38,911</t>
  </si>
  <si>
    <t>49,80,099</t>
  </si>
  <si>
    <t>1,12,00,715</t>
  </si>
  <si>
    <t>16,16,75,23,312.40</t>
  </si>
  <si>
    <t>2,05,605</t>
  </si>
  <si>
    <t>90,77,138</t>
  </si>
  <si>
    <t>1,03,35,171</t>
  </si>
  <si>
    <t>14,64,08,20,175.95</t>
  </si>
  <si>
    <t>3,50,925</t>
  </si>
  <si>
    <t>76,92,903</t>
  </si>
  <si>
    <t>68,51,115</t>
  </si>
  <si>
    <t>9,74,50,30,008.90</t>
  </si>
  <si>
    <t>1,74,810</t>
  </si>
  <si>
    <t>48,61,470</t>
  </si>
  <si>
    <t>58,27,744</t>
  </si>
  <si>
    <t>8,29,06,19,852.85</t>
  </si>
  <si>
    <t>1,82,078</t>
  </si>
  <si>
    <t>39,84,364</t>
  </si>
  <si>
    <t>66,29,393</t>
  </si>
  <si>
    <t>9,45,27,48,883.15</t>
  </si>
  <si>
    <t>2,39,364</t>
  </si>
  <si>
    <t>48,20,387</t>
  </si>
  <si>
    <t>60,16,560</t>
  </si>
  <si>
    <t>8,59,35,28,258.80</t>
  </si>
  <si>
    <t>1,68,518</t>
  </si>
  <si>
    <t>41,82,501</t>
  </si>
  <si>
    <t>1,10,26,974</t>
  </si>
  <si>
    <t>16,13,18,29,092.80</t>
  </si>
  <si>
    <t>2,94,722</t>
  </si>
  <si>
    <t>66,67,254</t>
  </si>
  <si>
    <t>94,11,204</t>
  </si>
  <si>
    <t>13,95,92,95,159.95</t>
  </si>
  <si>
    <t>2,34,822</t>
  </si>
  <si>
    <t>47,31,088</t>
  </si>
  <si>
    <t>66,69,635</t>
  </si>
  <si>
    <t>9,94,07,73,286.65</t>
  </si>
  <si>
    <t>1,27,752</t>
  </si>
  <si>
    <t>41,02,296</t>
  </si>
  <si>
    <t>54,99,024</t>
  </si>
  <si>
    <t>8,25,65,54,642.95</t>
  </si>
  <si>
    <t>1,23,204</t>
  </si>
  <si>
    <t>29,96,603</t>
  </si>
  <si>
    <t>74,19,173</t>
  </si>
  <si>
    <t>11,22,06,85,566.10</t>
  </si>
  <si>
    <t>2,07,153</t>
  </si>
  <si>
    <t>45,16,112</t>
  </si>
  <si>
    <t>62,92,893</t>
  </si>
  <si>
    <t>9,44,85,74,027.30</t>
  </si>
  <si>
    <t>2,36,089</t>
  </si>
  <si>
    <t>43,74,018</t>
  </si>
  <si>
    <t>42,98,837</t>
  </si>
  <si>
    <t>6,44,25,66,924.55</t>
  </si>
  <si>
    <t>1,18,442</t>
  </si>
  <si>
    <t>27,63,118</t>
  </si>
  <si>
    <t>83,29,214</t>
  </si>
  <si>
    <t>12,67,23,63,672.35</t>
  </si>
  <si>
    <t>2,00,611</t>
  </si>
  <si>
    <t>57,77,126</t>
  </si>
  <si>
    <t>31,26,389</t>
  </si>
  <si>
    <t>4,78,32,41,013.45</t>
  </si>
  <si>
    <t>1,34,405</t>
  </si>
  <si>
    <t>16,46,403</t>
  </si>
  <si>
    <t>41,41,333</t>
  </si>
  <si>
    <t>6,26,97,63,890.20</t>
  </si>
  <si>
    <t>1,63,880</t>
  </si>
  <si>
    <t>26,22,683</t>
  </si>
  <si>
    <t>1,14,92,966</t>
  </si>
  <si>
    <t>17,67,98,59,685.55</t>
  </si>
  <si>
    <t>2,75,951</t>
  </si>
  <si>
    <t>40,34,630</t>
  </si>
  <si>
    <t>65,75,203</t>
  </si>
  <si>
    <t>9,89,88,14,016.90</t>
  </si>
  <si>
    <t>2,41,660</t>
  </si>
  <si>
    <t>35,40,286</t>
  </si>
  <si>
    <t>54,21,527</t>
  </si>
  <si>
    <t>8,24,72,98,230.75</t>
  </si>
  <si>
    <t>1,49,392</t>
  </si>
  <si>
    <t>32,17,739</t>
  </si>
  <si>
    <t>91,90,657</t>
  </si>
  <si>
    <t>14,24,71,97,594.25</t>
  </si>
  <si>
    <t>2,14,219</t>
  </si>
  <si>
    <t>61,27,613</t>
  </si>
  <si>
    <t>38,63,987</t>
  </si>
  <si>
    <t>6,01,47,97,348.15</t>
  </si>
  <si>
    <t>1,28,323</t>
  </si>
  <si>
    <t>20,11,671</t>
  </si>
  <si>
    <t>55,59,501</t>
  </si>
  <si>
    <t>8,66,91,23,592.15</t>
  </si>
  <si>
    <t>2,00,243</t>
  </si>
  <si>
    <t>30,23,297</t>
  </si>
  <si>
    <t>31,91,069</t>
  </si>
  <si>
    <t>4,94,94,59,160.20</t>
  </si>
  <si>
    <t>1,17,093</t>
  </si>
  <si>
    <t>16,92,869</t>
  </si>
  <si>
    <t>45,24,583</t>
  </si>
  <si>
    <t>7,07,29,24,768.40</t>
  </si>
  <si>
    <t>1,15,034</t>
  </si>
  <si>
    <t>27,42,963</t>
  </si>
  <si>
    <t>60,31,288</t>
  </si>
  <si>
    <t>9,50,69,85,062.70</t>
  </si>
  <si>
    <t>2,03,147</t>
  </si>
  <si>
    <t>38,04,884</t>
  </si>
  <si>
    <t>62,11,279</t>
  </si>
  <si>
    <t>9,85,52,73,405.65</t>
  </si>
  <si>
    <t>2,30,930</t>
  </si>
  <si>
    <t>39,24,656</t>
  </si>
  <si>
    <t>48,09,262</t>
  </si>
  <si>
    <t>7,61,35,44,239.00</t>
  </si>
  <si>
    <t>1,73,323</t>
  </si>
  <si>
    <t>31,65,332</t>
  </si>
  <si>
    <t>53,67,667</t>
  </si>
  <si>
    <t>8,49,33,28,640.90</t>
  </si>
  <si>
    <t>2,00,088</t>
  </si>
  <si>
    <t>35,43,509</t>
  </si>
  <si>
    <t>39,38,448</t>
  </si>
  <si>
    <t>6,18,11,91,132.55</t>
  </si>
  <si>
    <t>1,66,678</t>
  </si>
  <si>
    <t>25,34,940</t>
  </si>
  <si>
    <t>36,22,748</t>
  </si>
  <si>
    <t>5,68,70,30,982.25</t>
  </si>
  <si>
    <t>1,74,293</t>
  </si>
  <si>
    <t>19,67,275</t>
  </si>
  <si>
    <t>33,62,040</t>
  </si>
  <si>
    <t>5,29,34,25,818.35</t>
  </si>
  <si>
    <t>1,02,369</t>
  </si>
  <si>
    <t>20,05,117</t>
  </si>
  <si>
    <t>41,25,474</t>
  </si>
  <si>
    <t>6,46,80,28,137.75</t>
  </si>
  <si>
    <t>1,15,424</t>
  </si>
  <si>
    <t>26,68,239</t>
  </si>
  <si>
    <t>44,79,582</t>
  </si>
  <si>
    <t>6,99,00,94,956.85</t>
  </si>
  <si>
    <t>1,62,851</t>
  </si>
  <si>
    <t>33,54,836</t>
  </si>
  <si>
    <t>48,79,253</t>
  </si>
  <si>
    <t>7,57,38,82,023.65</t>
  </si>
  <si>
    <t>1,52,737</t>
  </si>
  <si>
    <t>37,48,148</t>
  </si>
  <si>
    <t>74,11,499</t>
  </si>
  <si>
    <t>11,44,15,51,323.50</t>
  </si>
  <si>
    <t>1,96,864</t>
  </si>
  <si>
    <t>54,19,693</t>
  </si>
  <si>
    <t>51,30,275</t>
  </si>
  <si>
    <t>7,95,89,96,358.25</t>
  </si>
  <si>
    <t>1,58,542</t>
  </si>
  <si>
    <t>24,78,795</t>
  </si>
  <si>
    <t>1,02,49,051</t>
  </si>
  <si>
    <t>16,15,48,11,176.70</t>
  </si>
  <si>
    <t>2,03,624</t>
  </si>
  <si>
    <t>61,60,971</t>
  </si>
  <si>
    <t>43,90,805</t>
  </si>
  <si>
    <t>6,88,94,37,483.30</t>
  </si>
  <si>
    <t>1,44,006</t>
  </si>
  <si>
    <t>26,18,610</t>
  </si>
  <si>
    <t>73,87,498</t>
  </si>
  <si>
    <t>11,41,02,02,963.40</t>
  </si>
  <si>
    <t>1,62,406</t>
  </si>
  <si>
    <t>46,42,760</t>
  </si>
  <si>
    <t>52,91,101</t>
  </si>
  <si>
    <t>8,13,23,32,795.90</t>
  </si>
  <si>
    <t>2,04,046</t>
  </si>
  <si>
    <t>30,43,041</t>
  </si>
  <si>
    <t>68,32,152</t>
  </si>
  <si>
    <t>10,66,67,87,042.00</t>
  </si>
  <si>
    <t>2,21,318</t>
  </si>
  <si>
    <t>43,66,722</t>
  </si>
  <si>
    <t>1,04,03,351</t>
  </si>
  <si>
    <t>16,57,28,94,842.45</t>
  </si>
  <si>
    <t>2,85,125</t>
  </si>
  <si>
    <t>62,12,213</t>
  </si>
  <si>
    <t>82,07,731</t>
  </si>
  <si>
    <t>13,35,00,52,031.55</t>
  </si>
  <si>
    <t>2,45,375</t>
  </si>
  <si>
    <t>50,61,617</t>
  </si>
  <si>
    <t>63,86,895</t>
  </si>
  <si>
    <t>10,25,14,17,507.15</t>
  </si>
  <si>
    <t>1,93,041</t>
  </si>
  <si>
    <t>34,72,588</t>
  </si>
  <si>
    <t>81,31,518</t>
  </si>
  <si>
    <t>12,96,99,42,389.35</t>
  </si>
  <si>
    <t>1,80,383</t>
  </si>
  <si>
    <t>54,00,885</t>
  </si>
  <si>
    <t>79,87,674</t>
  </si>
  <si>
    <t>12,73,92,78,381.65</t>
  </si>
  <si>
    <t>2,16,914</t>
  </si>
  <si>
    <t>42,13,557</t>
  </si>
  <si>
    <t>55,64,298</t>
  </si>
  <si>
    <t>8,77,75,82,941.65</t>
  </si>
  <si>
    <t>1,45,318</t>
  </si>
  <si>
    <t>38,62,291</t>
  </si>
  <si>
    <t>35,25,514</t>
  </si>
  <si>
    <t>5,61,03,00,755.65</t>
  </si>
  <si>
    <t>1,41,789</t>
  </si>
  <si>
    <t>22,40,254</t>
  </si>
  <si>
    <t>51,28,589</t>
  </si>
  <si>
    <t>8,14,93,78,134.45</t>
  </si>
  <si>
    <t>1,54,894</t>
  </si>
  <si>
    <t>33,46,622</t>
  </si>
  <si>
    <t>93,00,415</t>
  </si>
  <si>
    <t>15,01,93,64,575.35</t>
  </si>
  <si>
    <t>1,98,719</t>
  </si>
  <si>
    <t>62,27,027</t>
  </si>
  <si>
    <t>56,32,862</t>
  </si>
  <si>
    <t>9,11,09,70,657.30</t>
  </si>
  <si>
    <t>1,79,258</t>
  </si>
  <si>
    <t>34,60,296</t>
  </si>
  <si>
    <t>36,22,781</t>
  </si>
  <si>
    <t>5,83,99,65,046.25</t>
  </si>
  <si>
    <t>1,80,918</t>
  </si>
  <si>
    <t>22,98,470</t>
  </si>
  <si>
    <t>65,40,424</t>
  </si>
  <si>
    <t>10,66,90,09,659.45</t>
  </si>
  <si>
    <t>1,99,109</t>
  </si>
  <si>
    <t>42,88,726</t>
  </si>
  <si>
    <t>40,88,473</t>
  </si>
  <si>
    <t>6,67,55,77,153.90</t>
  </si>
  <si>
    <t>1,27,205</t>
  </si>
  <si>
    <t>21,49,685</t>
  </si>
  <si>
    <t>31,12,822</t>
  </si>
  <si>
    <t>5,09,92,33,631.50</t>
  </si>
  <si>
    <t>1,21,391</t>
  </si>
  <si>
    <t>17,98,733</t>
  </si>
  <si>
    <t>73,78,644</t>
  </si>
  <si>
    <t>12,30,89,70,465.55</t>
  </si>
  <si>
    <t>2,18,094</t>
  </si>
  <si>
    <t>38,35,435</t>
  </si>
  <si>
    <t>1,44,28,228</t>
  </si>
  <si>
    <t>24,38,37,00,241.85</t>
  </si>
  <si>
    <t>4,13,049</t>
  </si>
  <si>
    <t>82,20,482</t>
  </si>
  <si>
    <t>44,93,770</t>
  </si>
  <si>
    <t>7,57,36,46,982.90</t>
  </si>
  <si>
    <t>1,46,669</t>
  </si>
  <si>
    <t>22,18,411</t>
  </si>
  <si>
    <t>54,54,284</t>
  </si>
  <si>
    <t>9,14,22,41,514.60</t>
  </si>
  <si>
    <t>1,87,374</t>
  </si>
  <si>
    <t>35,21,937</t>
  </si>
  <si>
    <t>48,69,095</t>
  </si>
  <si>
    <t>8,14,18,31,326.95</t>
  </si>
  <si>
    <t>1,81,241</t>
  </si>
  <si>
    <t>29,26,337</t>
  </si>
  <si>
    <t>60,87,777</t>
  </si>
  <si>
    <t>10,30,55,20,528.65</t>
  </si>
  <si>
    <t>1,73,531</t>
  </si>
  <si>
    <t>31,71,466</t>
  </si>
  <si>
    <t>82,13,383</t>
  </si>
  <si>
    <t>13,59,27,47,672.70</t>
  </si>
  <si>
    <t>2,30,480</t>
  </si>
  <si>
    <t>40,06,629</t>
  </si>
  <si>
    <t>60,45,328</t>
  </si>
  <si>
    <t>10,01,58,73,516.45</t>
  </si>
  <si>
    <t>1,67,665</t>
  </si>
  <si>
    <t>42,94,683</t>
  </si>
  <si>
    <t>66,24,821</t>
  </si>
  <si>
    <t>10,92,84,33,828.30</t>
  </si>
  <si>
    <t>1,59,662</t>
  </si>
  <si>
    <t>48,49,303</t>
  </si>
  <si>
    <t>88,98,875</t>
  </si>
  <si>
    <t>14,39,42,11,074.40</t>
  </si>
  <si>
    <t>1,97,678</t>
  </si>
  <si>
    <t>53,21,326</t>
  </si>
  <si>
    <t>62,03,437</t>
  </si>
  <si>
    <t>9,82,72,17,126.80</t>
  </si>
  <si>
    <t>1,87,391</t>
  </si>
  <si>
    <t>35,09,518</t>
  </si>
  <si>
    <t>40,61,160</t>
  </si>
  <si>
    <t>6,47,71,68,351.50</t>
  </si>
  <si>
    <t>1,54,509</t>
  </si>
  <si>
    <t>21,86,450</t>
  </si>
  <si>
    <t>66,18,861</t>
  </si>
  <si>
    <t>10,65,68,13,765.40</t>
  </si>
  <si>
    <t>1,90,992</t>
  </si>
  <si>
    <t>43,27,632</t>
  </si>
  <si>
    <t>51,03,669</t>
  </si>
  <si>
    <t>8,14,66,88,582.90</t>
  </si>
  <si>
    <t>1,71,297</t>
  </si>
  <si>
    <t>30,13,031</t>
  </si>
  <si>
    <t>5,48,404</t>
  </si>
  <si>
    <t>87,42,47,081.10</t>
  </si>
  <si>
    <t>3,27,517</t>
  </si>
  <si>
    <t>94,71,790</t>
  </si>
  <si>
    <t>15,02,24,53,102.50</t>
  </si>
  <si>
    <t>2,01,396</t>
  </si>
  <si>
    <t>74,15,309</t>
  </si>
  <si>
    <t>63,47,738</t>
  </si>
  <si>
    <t>10,01,02,75,270.50</t>
  </si>
  <si>
    <t>2,40,815</t>
  </si>
  <si>
    <t>46,13,239</t>
  </si>
  <si>
    <t>68,57,063</t>
  </si>
  <si>
    <t>10,67,62,61,141.35</t>
  </si>
  <si>
    <t>2,33,747</t>
  </si>
  <si>
    <t>53,16,027</t>
  </si>
  <si>
    <t>39,99,702</t>
  </si>
  <si>
    <t>6,17,53,23,288.30</t>
  </si>
  <si>
    <t>1,57,896</t>
  </si>
  <si>
    <t>23,59,811</t>
  </si>
  <si>
    <t>74,57,046</t>
  </si>
  <si>
    <t>11,57,07,22,042.80</t>
  </si>
  <si>
    <t>1,70,825</t>
  </si>
  <si>
    <t>60,28,992</t>
  </si>
  <si>
    <t>47,66,797</t>
  </si>
  <si>
    <t>7,44,32,40,911.85</t>
  </si>
  <si>
    <t>2,31,105</t>
  </si>
  <si>
    <t>33,48,551</t>
  </si>
  <si>
    <t>41,22,703</t>
  </si>
  <si>
    <t>6,38,20,46,601.15</t>
  </si>
  <si>
    <t>1,39,578</t>
  </si>
  <si>
    <t>31,20,847</t>
  </si>
  <si>
    <t>37,99,439</t>
  </si>
  <si>
    <t>5,83,39,10,234.85</t>
  </si>
  <si>
    <t>1,45,953</t>
  </si>
  <si>
    <t>24,26,211</t>
  </si>
  <si>
    <t>45,76,437</t>
  </si>
  <si>
    <t>7,03,21,68,198.55</t>
  </si>
  <si>
    <t>1,81,690</t>
  </si>
  <si>
    <t>27,75,777</t>
  </si>
  <si>
    <t>76,30,636</t>
  </si>
  <si>
    <t>11,63,03,87,262.15</t>
  </si>
  <si>
    <t>2,22,669</t>
  </si>
  <si>
    <t>51,81,802</t>
  </si>
  <si>
    <t>56,17,607</t>
  </si>
  <si>
    <t>8,52,41,61,069.85</t>
  </si>
  <si>
    <t>1,64,898</t>
  </si>
  <si>
    <t>34,30,808</t>
  </si>
  <si>
    <t>1,54,01,143</t>
  </si>
  <si>
    <t>23,47,88,56,200.40</t>
  </si>
  <si>
    <t>1,41,801</t>
  </si>
  <si>
    <t>1,32,38,732</t>
  </si>
  <si>
    <t>51,25,826</t>
  </si>
  <si>
    <t>7,78,39,49,039.15</t>
  </si>
  <si>
    <t>1,38,468</t>
  </si>
  <si>
    <t>34,49,892</t>
  </si>
  <si>
    <t>93,12,468</t>
  </si>
  <si>
    <t>13,94,11,34,793.15</t>
  </si>
  <si>
    <t>2,50,716</t>
  </si>
  <si>
    <t>71,21,233</t>
  </si>
  <si>
    <t>64,95,498</t>
  </si>
  <si>
    <t>9,67,17,97,937.90</t>
  </si>
  <si>
    <t>2,02,157</t>
  </si>
  <si>
    <t>40,00,943</t>
  </si>
  <si>
    <t>1,26,10,771</t>
  </si>
  <si>
    <t>19,02,46,41,550.10</t>
  </si>
  <si>
    <t>2,57,120</t>
  </si>
  <si>
    <t>91,36,547</t>
  </si>
  <si>
    <t>43,38,817</t>
  </si>
  <si>
    <t>6,50,85,62,416.95</t>
  </si>
  <si>
    <t>1,62,233</t>
  </si>
  <si>
    <t>26,02,790</t>
  </si>
  <si>
    <t>56,01,555</t>
  </si>
  <si>
    <t>8,50,93,95,043.85</t>
  </si>
  <si>
    <t>1,87,845</t>
  </si>
  <si>
    <t>38,34,955</t>
  </si>
  <si>
    <t>40,62,347</t>
  </si>
  <si>
    <t>6,18,48,45,154.85</t>
  </si>
  <si>
    <t>1,43,318</t>
  </si>
  <si>
    <t>27,22,337</t>
  </si>
  <si>
    <t>35,14,766</t>
  </si>
  <si>
    <t>5,29,76,35,143.40</t>
  </si>
  <si>
    <t>1,41,743</t>
  </si>
  <si>
    <t>18,70,296</t>
  </si>
  <si>
    <t>62,13,767</t>
  </si>
  <si>
    <t>9,46,86,35,108.15</t>
  </si>
  <si>
    <t>1,48,533</t>
  </si>
  <si>
    <t>43,33,305</t>
  </si>
  <si>
    <t>76,47,767</t>
  </si>
  <si>
    <t>11,81,73,05,888.55</t>
  </si>
  <si>
    <t>2,29,215</t>
  </si>
  <si>
    <t>56,41,750</t>
  </si>
  <si>
    <t>58,73,872</t>
  </si>
  <si>
    <t>8,99,03,97,300.15</t>
  </si>
  <si>
    <t>1,48,558</t>
  </si>
  <si>
    <t>39,00,369</t>
  </si>
  <si>
    <t>38,89,692</t>
  </si>
  <si>
    <t>5,91,75,12,516.45</t>
  </si>
  <si>
    <t>1,23,564</t>
  </si>
  <si>
    <t>25,03,457</t>
  </si>
  <si>
    <t>51,61,071</t>
  </si>
  <si>
    <t>7,86,35,62,721.05</t>
  </si>
  <si>
    <t>1,43,473</t>
  </si>
  <si>
    <t>30,12,915</t>
  </si>
  <si>
    <t>45,95,550</t>
  </si>
  <si>
    <t>6,91,67,56,665.40</t>
  </si>
  <si>
    <t>1,75,566</t>
  </si>
  <si>
    <t>27,80,047</t>
  </si>
  <si>
    <t>50,57,574</t>
  </si>
  <si>
    <t>7,60,71,73,782.90</t>
  </si>
  <si>
    <t>1,33,205</t>
  </si>
  <si>
    <t>32,07,512</t>
  </si>
  <si>
    <t>66,05,216</t>
  </si>
  <si>
    <t>9,94,17,39,913.65</t>
  </si>
  <si>
    <t>1,79,348</t>
  </si>
  <si>
    <t>43,27,258</t>
  </si>
  <si>
    <t>74,97,384</t>
  </si>
  <si>
    <t>11,08,90,43,997.50</t>
  </si>
  <si>
    <t>1,94,713</t>
  </si>
  <si>
    <t>43,84,118</t>
  </si>
  <si>
    <t>1,05,78,334</t>
  </si>
  <si>
    <t>15,09,14,75,327.05</t>
  </si>
  <si>
    <t>4,11,439</t>
  </si>
  <si>
    <t>61,30,252</t>
  </si>
  <si>
    <t>45,59,375</t>
  </si>
  <si>
    <t>6,57,40,78,457.00</t>
  </si>
  <si>
    <t>1,71,631</t>
  </si>
  <si>
    <t>29,26,685</t>
  </si>
  <si>
    <t>42,88,742</t>
  </si>
  <si>
    <t>6,19,11,98,173.75</t>
  </si>
  <si>
    <t>1,67,203</t>
  </si>
  <si>
    <t>26,21,782</t>
  </si>
  <si>
    <t>48,89,583</t>
  </si>
  <si>
    <t>7,08,56,01,869.05</t>
  </si>
  <si>
    <t>1,62,623</t>
  </si>
  <si>
    <t>34,88,706</t>
  </si>
  <si>
    <t>27,80,512</t>
  </si>
  <si>
    <t>3,99,92,33,572.85</t>
  </si>
  <si>
    <t>1,10,788</t>
  </si>
  <si>
    <t>13,33,057</t>
  </si>
  <si>
    <t>23,52,549</t>
  </si>
  <si>
    <t>3,38,97,65,991.15</t>
  </si>
  <si>
    <t>1,02,204</t>
  </si>
  <si>
    <t>10,59,977</t>
  </si>
  <si>
    <t>27,25,339</t>
  </si>
  <si>
    <t>3,97,98,61,736.65</t>
  </si>
  <si>
    <t>1,15,091</t>
  </si>
  <si>
    <t>15,37,103</t>
  </si>
  <si>
    <t>38,34,351</t>
  </si>
  <si>
    <t>5,57,94,43,240.75</t>
  </si>
  <si>
    <t>1,14,258</t>
  </si>
  <si>
    <t>26,99,942</t>
  </si>
  <si>
    <t>36,07,959</t>
  </si>
  <si>
    <t>5,26,51,99,026.30</t>
  </si>
  <si>
    <t>21,72,466</t>
  </si>
  <si>
    <t>31,62,868</t>
  </si>
  <si>
    <t>4,67,60,36,651.65</t>
  </si>
  <si>
    <t>1,23,205</t>
  </si>
  <si>
    <t>22,13,965</t>
  </si>
  <si>
    <t>45,34,592</t>
  </si>
  <si>
    <t>6,83,73,17,353.95</t>
  </si>
  <si>
    <t>1,49,449</t>
  </si>
  <si>
    <t>25,47,793</t>
  </si>
  <si>
    <t>44,28,676</t>
  </si>
  <si>
    <t>6,73,90,31,718.85</t>
  </si>
  <si>
    <t>1,34,455</t>
  </si>
  <si>
    <t>22,90,497</t>
  </si>
  <si>
    <t>71,66,319</t>
  </si>
  <si>
    <t>11,14,29,88,763.20</t>
  </si>
  <si>
    <t>2,08,851</t>
  </si>
  <si>
    <t>43,30,325</t>
  </si>
  <si>
    <t>48,14,465</t>
  </si>
  <si>
    <t>7,41,76,94,108.65</t>
  </si>
  <si>
    <t>1,43,958</t>
  </si>
  <si>
    <t>26,10,792</t>
  </si>
  <si>
    <t>55,89,692</t>
  </si>
  <si>
    <t>8,67,54,65,609.40</t>
  </si>
  <si>
    <t>1,66,966</t>
  </si>
  <si>
    <t>33,18,463</t>
  </si>
  <si>
    <t>44,28,248</t>
  </si>
  <si>
    <t>6,89,43,10,964.25</t>
  </si>
  <si>
    <t>1,59,643</t>
  </si>
  <si>
    <t>27,24,323</t>
  </si>
  <si>
    <t>41,94,599</t>
  </si>
  <si>
    <t>6,53,80,55,144.40</t>
  </si>
  <si>
    <t>1,66,520</t>
  </si>
  <si>
    <t>26,92,404</t>
  </si>
  <si>
    <t>1,05,42,765</t>
  </si>
  <si>
    <t>16,49,67,87,237.55</t>
  </si>
  <si>
    <t>2,39,760</t>
  </si>
  <si>
    <t>84,72,922</t>
  </si>
  <si>
    <t>2,09,81,948</t>
  </si>
  <si>
    <t>32,15,87,17,522.45</t>
  </si>
  <si>
    <t>2,59,715</t>
  </si>
  <si>
    <t>1,34,11,804</t>
  </si>
  <si>
    <t>56,04,484</t>
  </si>
  <si>
    <t>8,60,41,02,722.25</t>
  </si>
  <si>
    <t>1,49,071</t>
  </si>
  <si>
    <t>32,41,415</t>
  </si>
  <si>
    <t>1,14,94,686</t>
  </si>
  <si>
    <t>17,59,35,33,649.05</t>
  </si>
  <si>
    <t>2,94,100</t>
  </si>
  <si>
    <t>70,79,977</t>
  </si>
  <si>
    <t>61,70,576</t>
  </si>
  <si>
    <t>9,48,39,60,773.90</t>
  </si>
  <si>
    <t>2,02,364</t>
  </si>
  <si>
    <t>26,41,844</t>
  </si>
  <si>
    <t>71,58,813</t>
  </si>
  <si>
    <t>10,91,87,35,959.45</t>
  </si>
  <si>
    <t>2,27,709</t>
  </si>
  <si>
    <t>42,33,848</t>
  </si>
  <si>
    <t>75,98,923</t>
  </si>
  <si>
    <t>11,49,52,22,004.60</t>
  </si>
  <si>
    <t>1,87,879</t>
  </si>
  <si>
    <t>52,45,213</t>
  </si>
  <si>
    <t>57,68,847</t>
  </si>
  <si>
    <t>8,70,91,64,177.35</t>
  </si>
  <si>
    <t>1,84,858</t>
  </si>
  <si>
    <t>35,48,919</t>
  </si>
  <si>
    <t>59,34,254</t>
  </si>
  <si>
    <t>8,86,34,01,561.75</t>
  </si>
  <si>
    <t>2,11,145</t>
  </si>
  <si>
    <t>35,47,344</t>
  </si>
  <si>
    <t>67,97,124</t>
  </si>
  <si>
    <t>9,97,25,48,095.60</t>
  </si>
  <si>
    <t>3,07,977</t>
  </si>
  <si>
    <t>35,19,095</t>
  </si>
  <si>
    <t>1,43,08,919</t>
  </si>
  <si>
    <t>20,81,81,70,830.00</t>
  </si>
  <si>
    <t>3,98,704</t>
  </si>
  <si>
    <t>90,49,568</t>
  </si>
  <si>
    <t>1,24,62,604</t>
  </si>
  <si>
    <t>18,38,86,22,965.70</t>
  </si>
  <si>
    <t>3,10,264</t>
  </si>
  <si>
    <t>91,79,509</t>
  </si>
  <si>
    <t>64,21,273</t>
  </si>
  <si>
    <t>9,49,82,16,296.10</t>
  </si>
  <si>
    <t>1,78,623</t>
  </si>
  <si>
    <t>39,81,352</t>
  </si>
  <si>
    <t>73,69,742</t>
  </si>
  <si>
    <t>11,05,77,83,148.00</t>
  </si>
  <si>
    <t>2,09,907</t>
  </si>
  <si>
    <t>35,75,266</t>
  </si>
  <si>
    <t>69,84,645</t>
  </si>
  <si>
    <t>10,66,03,87,041.25</t>
  </si>
  <si>
    <t>1,82,857</t>
  </si>
  <si>
    <t>46,95,614</t>
  </si>
  <si>
    <t>52,82,381</t>
  </si>
  <si>
    <t>8,07,04,75,923.25</t>
  </si>
  <si>
    <t>2,80,078</t>
  </si>
  <si>
    <t>35,47,783</t>
  </si>
  <si>
    <t>57,89,979</t>
  </si>
  <si>
    <t>8,82,13,62,879.95</t>
  </si>
  <si>
    <t>1,68,452</t>
  </si>
  <si>
    <t>39,67,301</t>
  </si>
  <si>
    <t>61,34,021</t>
  </si>
  <si>
    <t>9,06,95,79,092.75</t>
  </si>
  <si>
    <t>2,63,901</t>
  </si>
  <si>
    <t>37,93,237</t>
  </si>
  <si>
    <t>69,90,565</t>
  </si>
  <si>
    <t>10,20,40,65,680.95</t>
  </si>
  <si>
    <t>2,17,552</t>
  </si>
  <si>
    <t>41,97,709</t>
  </si>
  <si>
    <t>56,54,171</t>
  </si>
  <si>
    <t>8,40,92,11,754.95</t>
  </si>
  <si>
    <t>1,52,404</t>
  </si>
  <si>
    <t>33,79,878</t>
  </si>
  <si>
    <t>71,57,265</t>
  </si>
  <si>
    <t>10,90,29,40,455.85</t>
  </si>
  <si>
    <t>2,13,562</t>
  </si>
  <si>
    <t>46,16,913</t>
  </si>
  <si>
    <t>53,55,552</t>
  </si>
  <si>
    <t>8,11,01,62,062.90</t>
  </si>
  <si>
    <t>1,43,617</t>
  </si>
  <si>
    <t>37,04,108</t>
  </si>
  <si>
    <t>73,28,310</t>
  </si>
  <si>
    <t>10,84,13,72,315.75</t>
  </si>
  <si>
    <t>2,28,169</t>
  </si>
  <si>
    <t>54,09,143</t>
  </si>
  <si>
    <t>65,67,533</t>
  </si>
  <si>
    <t>9,85,08,25,873.15</t>
  </si>
  <si>
    <t>2,13,639</t>
  </si>
  <si>
    <t>41,45,769</t>
  </si>
  <si>
    <t>50,16,132</t>
  </si>
  <si>
    <t>7,62,98,65,425.35</t>
  </si>
  <si>
    <t>1,42,489</t>
  </si>
  <si>
    <t>29,24,735</t>
  </si>
  <si>
    <t>36,75,604</t>
  </si>
  <si>
    <t>5,55,67,43,520.45</t>
  </si>
  <si>
    <t>1,24,317</t>
  </si>
  <si>
    <t>17,87,207</t>
  </si>
  <si>
    <t>38,98,064</t>
  </si>
  <si>
    <t>5,87,04,62,943.20</t>
  </si>
  <si>
    <t>1,35,186</t>
  </si>
  <si>
    <t>22,21,655</t>
  </si>
  <si>
    <t>37,34,033</t>
  </si>
  <si>
    <t>5,67,02,27,018.00</t>
  </si>
  <si>
    <t>1,48,113</t>
  </si>
  <si>
    <t>18,43,676</t>
  </si>
  <si>
    <t>47,68,098</t>
  </si>
  <si>
    <t>7,19,42,45,650.20</t>
  </si>
  <si>
    <t>2,38,977</t>
  </si>
  <si>
    <t>23,62,526</t>
  </si>
  <si>
    <t>45,14,781</t>
  </si>
  <si>
    <t>6,82,24,87,865.95</t>
  </si>
  <si>
    <t>1,82,373</t>
  </si>
  <si>
    <t>28,97,494</t>
  </si>
  <si>
    <t>1,18,15,383</t>
  </si>
  <si>
    <t>17,11,18,12,498.00</t>
  </si>
  <si>
    <t>3,64,952</t>
  </si>
  <si>
    <t>71,59,199</t>
  </si>
  <si>
    <t>91,59,327</t>
  </si>
  <si>
    <t>13,32,33,09,790.05</t>
  </si>
  <si>
    <t>2,04,609</t>
  </si>
  <si>
    <t>62,57,959</t>
  </si>
  <si>
    <t>1,24,40,416</t>
  </si>
  <si>
    <t>17,72,69,91,025.25</t>
  </si>
  <si>
    <t>3,37,515</t>
  </si>
  <si>
    <t>92,06,870</t>
  </si>
  <si>
    <t>1,92,52,780</t>
  </si>
  <si>
    <t>26,43,33,16,653.60</t>
  </si>
  <si>
    <t>5,90,118</t>
  </si>
  <si>
    <t>1,35,93,351</t>
  </si>
  <si>
    <t>87,63,961</t>
  </si>
  <si>
    <t>12,07,09,39,839.35</t>
  </si>
  <si>
    <t>3,55,777</t>
  </si>
  <si>
    <t>56,07,536</t>
  </si>
  <si>
    <t>1,06,09,682</t>
  </si>
  <si>
    <t>14,42,55,84,670.80</t>
  </si>
  <si>
    <t>3,51,310</t>
  </si>
  <si>
    <t>70,05,918</t>
  </si>
  <si>
    <t>1,35,27,229</t>
  </si>
  <si>
    <t>17,78,42,38,071.95</t>
  </si>
  <si>
    <t>4,26,139</t>
  </si>
  <si>
    <t>84,18,793</t>
  </si>
  <si>
    <t>1,96,06,246</t>
  </si>
  <si>
    <t>25,58,96,77,980.15</t>
  </si>
  <si>
    <t>5,27,016</t>
  </si>
  <si>
    <t>1,19,34,591</t>
  </si>
  <si>
    <t>1,15,67,347</t>
  </si>
  <si>
    <t>15,58,83,58,448.15</t>
  </si>
  <si>
    <t>3,30,592</t>
  </si>
  <si>
    <t>74,59,892</t>
  </si>
  <si>
    <t>1,11,36,603</t>
  </si>
  <si>
    <t>15,64,48,70,615.70</t>
  </si>
  <si>
    <t>2,77,256</t>
  </si>
  <si>
    <t>58,15,424</t>
  </si>
  <si>
    <t>75,75,390</t>
  </si>
  <si>
    <t>10,57,87,97,843.20</t>
  </si>
  <si>
    <t>2,04,283</t>
  </si>
  <si>
    <t>44,34,451</t>
  </si>
  <si>
    <t>1,25,09,063</t>
  </si>
  <si>
    <t>17,93,39,40,554.75</t>
  </si>
  <si>
    <t>3,44,549</t>
  </si>
  <si>
    <t>72,20,428</t>
  </si>
  <si>
    <t>94,33,964</t>
  </si>
  <si>
    <t>13,53,79,48,637.95</t>
  </si>
  <si>
    <t>2,77,249</t>
  </si>
  <si>
    <t>60,25,245</t>
  </si>
  <si>
    <t>66,82,054</t>
  </si>
  <si>
    <t>9,66,56,23,348.95</t>
  </si>
  <si>
    <t>2,23,791</t>
  </si>
  <si>
    <t>44,12,774</t>
  </si>
  <si>
    <t>74,11,977</t>
  </si>
  <si>
    <t>10,98,60,72,825.80</t>
  </si>
  <si>
    <t>2,37,930</t>
  </si>
  <si>
    <t>44,37,033</t>
  </si>
  <si>
    <t>61,28,938</t>
  </si>
  <si>
    <t>9,09,80,11,072.35</t>
  </si>
  <si>
    <t>2,04,348</t>
  </si>
  <si>
    <t>40,58,527</t>
  </si>
  <si>
    <t>52,30,907</t>
  </si>
  <si>
    <t>7,73,47,91,215.15</t>
  </si>
  <si>
    <t>2,17,951</t>
  </si>
  <si>
    <t>25,96,078</t>
  </si>
  <si>
    <t>1,55,94,128</t>
  </si>
  <si>
    <t>23,10,58,06,046.35</t>
  </si>
  <si>
    <t>2,01,491</t>
  </si>
  <si>
    <t>1,26,17,083</t>
  </si>
  <si>
    <t>1,00,80,022</t>
  </si>
  <si>
    <t>14,60,74,32,713.30</t>
  </si>
  <si>
    <t>2,47,575</t>
  </si>
  <si>
    <t>56,45,030</t>
  </si>
  <si>
    <t>81,83,231</t>
  </si>
  <si>
    <t>11,70,97,62,372.25</t>
  </si>
  <si>
    <t>2,23,085</t>
  </si>
  <si>
    <t>52,10,224</t>
  </si>
  <si>
    <t>78,77,443</t>
  </si>
  <si>
    <t>11,16,50,74,398.95</t>
  </si>
  <si>
    <t>2,63,045</t>
  </si>
  <si>
    <t>46,59,853</t>
  </si>
  <si>
    <t>61,88,724</t>
  </si>
  <si>
    <t>8,92,46,54,172.95</t>
  </si>
  <si>
    <t>2,03,589</t>
  </si>
  <si>
    <t>39,47,381</t>
  </si>
  <si>
    <t>1,00,54,871</t>
  </si>
  <si>
    <t>14,76,57,80,325.45</t>
  </si>
  <si>
    <t>2,25,951</t>
  </si>
  <si>
    <t>70,90,115</t>
  </si>
  <si>
    <t>71,47,857</t>
  </si>
  <si>
    <t>10,53,58,00,362.90</t>
  </si>
  <si>
    <t>1,75,701</t>
  </si>
  <si>
    <t>39,77,915</t>
  </si>
  <si>
    <t>72,84,278</t>
  </si>
  <si>
    <t>10,88,80,17,388.80</t>
  </si>
  <si>
    <t>2,25,554</t>
  </si>
  <si>
    <t>47,98,533</t>
  </si>
  <si>
    <t>Volatality of return</t>
  </si>
  <si>
    <t>SYMBOL</t>
  </si>
  <si>
    <t>4,87,25,485</t>
  </si>
  <si>
    <t>80,45,39,72,718.55</t>
  </si>
  <si>
    <t>9,20,761</t>
  </si>
  <si>
    <t>1,95,54,980</t>
  </si>
  <si>
    <t>1,54,61,291</t>
  </si>
  <si>
    <t>25,04,21,97,750.45</t>
  </si>
  <si>
    <t>4,40,413</t>
  </si>
  <si>
    <t>67,83,757</t>
  </si>
  <si>
    <t>1,35,13,930</t>
  </si>
  <si>
    <t>21,14,02,25,559.20</t>
  </si>
  <si>
    <t>4,14,144</t>
  </si>
  <si>
    <t>78,82,128</t>
  </si>
  <si>
    <t>2,03,90,866</t>
  </si>
  <si>
    <t>31,09,76,18,185.95</t>
  </si>
  <si>
    <t>4,31,701</t>
  </si>
  <si>
    <t>1,45,78,431</t>
  </si>
  <si>
    <t>2,06,28,161</t>
  </si>
  <si>
    <t>31,16,51,85,145.30</t>
  </si>
  <si>
    <t>3,71,256</t>
  </si>
  <si>
    <t>1,33,23,404</t>
  </si>
  <si>
    <t>1,03,99,533</t>
  </si>
  <si>
    <t>15,61,17,07,406.60</t>
  </si>
  <si>
    <t>3,85,962</t>
  </si>
  <si>
    <t>69,62,013</t>
  </si>
  <si>
    <t>1,37,17,701</t>
  </si>
  <si>
    <t>20,47,12,05,729.10</t>
  </si>
  <si>
    <t>3,65,154</t>
  </si>
  <si>
    <t>92,37,043</t>
  </si>
  <si>
    <t>1,44,46,260</t>
  </si>
  <si>
    <t>21,34,84,37,343.80</t>
  </si>
  <si>
    <t>3,99,313</t>
  </si>
  <si>
    <t>90,61,541</t>
  </si>
  <si>
    <t>2,28,10,188</t>
  </si>
  <si>
    <t>32,11,72,57,835.45</t>
  </si>
  <si>
    <t>6,50,936</t>
  </si>
  <si>
    <t>1,62,93,702</t>
  </si>
  <si>
    <t>3,70,48,011</t>
  </si>
  <si>
    <t>50,44,04,28,788.55</t>
  </si>
  <si>
    <t>9,61,819</t>
  </si>
  <si>
    <t>2,45,20,385</t>
  </si>
  <si>
    <t>2,46,62,868</t>
  </si>
  <si>
    <t>33,28,41,92,237.45</t>
  </si>
  <si>
    <t>4,24,453</t>
  </si>
  <si>
    <t>1,62,64,587</t>
  </si>
  <si>
    <t>2,62,23,135</t>
  </si>
  <si>
    <t>35,74,89,42,819.35</t>
  </si>
  <si>
    <t>2,88,746</t>
  </si>
  <si>
    <t>2,01,53,852</t>
  </si>
  <si>
    <t>1,03,29,574</t>
  </si>
  <si>
    <t>14,05,75,09,231.75</t>
  </si>
  <si>
    <t>3,17,119</t>
  </si>
  <si>
    <t>53,12,415</t>
  </si>
  <si>
    <t>1,04,67,744</t>
  </si>
  <si>
    <t>14,15,76,39,113.95</t>
  </si>
  <si>
    <t>3,02,713</t>
  </si>
  <si>
    <t>50,26,963</t>
  </si>
  <si>
    <t>85,08,421</t>
  </si>
  <si>
    <t>11,67,22,25,925.50</t>
  </si>
  <si>
    <t>2,95,807</t>
  </si>
  <si>
    <t>44,36,263</t>
  </si>
  <si>
    <t>90,27,167</t>
  </si>
  <si>
    <t>12,37,32,29,228.55</t>
  </si>
  <si>
    <t>2,56,736</t>
  </si>
  <si>
    <t>54,74,691</t>
  </si>
  <si>
    <t>1,03,86,861</t>
  </si>
  <si>
    <t>14,22,07,08,700.25</t>
  </si>
  <si>
    <t>1,82,049</t>
  </si>
  <si>
    <t>73,86,475</t>
  </si>
  <si>
    <t>1,42,00,738</t>
  </si>
  <si>
    <t>19,74,65,33,797.30</t>
  </si>
  <si>
    <t>2,62,069</t>
  </si>
  <si>
    <t>84,54,095</t>
  </si>
  <si>
    <t>97,47,158</t>
  </si>
  <si>
    <t>13,55,25,59,643.90</t>
  </si>
  <si>
    <t>2,21,031</t>
  </si>
  <si>
    <t>61,27,912</t>
  </si>
  <si>
    <t>1,45,27,958</t>
  </si>
  <si>
    <t>19,99,87,48,922.05</t>
  </si>
  <si>
    <t>3,23,211</t>
  </si>
  <si>
    <t>93,19,443</t>
  </si>
  <si>
    <t>89,31,456</t>
  </si>
  <si>
    <t>12,16,64,64,277.30</t>
  </si>
  <si>
    <t>2,16,825</t>
  </si>
  <si>
    <t>53,45,763</t>
  </si>
  <si>
    <t>1,33,65,634</t>
  </si>
  <si>
    <t>17,66,90,93,791.95</t>
  </si>
  <si>
    <t>3,53,439</t>
  </si>
  <si>
    <t>88,13,715</t>
  </si>
  <si>
    <t>1,63,81,217</t>
  </si>
  <si>
    <t>21,38,62,30,365.40</t>
  </si>
  <si>
    <t>3,15,707</t>
  </si>
  <si>
    <t>1,14,37,293</t>
  </si>
  <si>
    <t>1,00,56,906</t>
  </si>
  <si>
    <t>13,42,51,32,837.95</t>
  </si>
  <si>
    <t>2,04,894</t>
  </si>
  <si>
    <t>56,75,153</t>
  </si>
  <si>
    <t>85,51,462</t>
  </si>
  <si>
    <t>11,49,05,50,846.50</t>
  </si>
  <si>
    <t>3,25,879</t>
  </si>
  <si>
    <t>49,09,202</t>
  </si>
  <si>
    <t>1,11,91,145</t>
  </si>
  <si>
    <t>14,63,38,65,531.95</t>
  </si>
  <si>
    <t>4,11,521</t>
  </si>
  <si>
    <t>68,36,437</t>
  </si>
  <si>
    <t>83,84,119</t>
  </si>
  <si>
    <t>10,91,23,31,002.70</t>
  </si>
  <si>
    <t>2,78,869</t>
  </si>
  <si>
    <t>44,43,428</t>
  </si>
  <si>
    <t>49,02,178</t>
  </si>
  <si>
    <t>6,37,83,42,592.45</t>
  </si>
  <si>
    <t>1,65,187</t>
  </si>
  <si>
    <t>20,97,397</t>
  </si>
  <si>
    <t>83,20,722</t>
  </si>
  <si>
    <t>10,89,24,32,064.40</t>
  </si>
  <si>
    <t>2,04,025</t>
  </si>
  <si>
    <t>48,12,774</t>
  </si>
  <si>
    <t>78,66,192</t>
  </si>
  <si>
    <t>10,39,46,68,975.65</t>
  </si>
  <si>
    <t>2,06,774</t>
  </si>
  <si>
    <t>45,72,201</t>
  </si>
  <si>
    <t>1,02,68,753</t>
  </si>
  <si>
    <t>13,20,88,58,469.15</t>
  </si>
  <si>
    <t>2,71,471</t>
  </si>
  <si>
    <t>65,51,034</t>
  </si>
  <si>
    <t>69,59,675</t>
  </si>
  <si>
    <t>9,13,09,82,889.25</t>
  </si>
  <si>
    <t>1,68,094</t>
  </si>
  <si>
    <t>40,13,046</t>
  </si>
  <si>
    <t>97,43,160</t>
  </si>
  <si>
    <t>12,85,50,45,365.50</t>
  </si>
  <si>
    <t>1,89,598</t>
  </si>
  <si>
    <t>63,80,092</t>
  </si>
  <si>
    <t>64,35,398</t>
  </si>
  <si>
    <t>8,45,13,79,583.55</t>
  </si>
  <si>
    <t>1,72,378</t>
  </si>
  <si>
    <t>35,28,928</t>
  </si>
  <si>
    <t>64,43,556</t>
  </si>
  <si>
    <t>8,56,61,44,702.45</t>
  </si>
  <si>
    <t>2,12,264</t>
  </si>
  <si>
    <t>38,60,760</t>
  </si>
  <si>
    <t>1,34,96,214</t>
  </si>
  <si>
    <t>18,29,52,60,027.75</t>
  </si>
  <si>
    <t>3,80,760</t>
  </si>
  <si>
    <t>79,43,634</t>
  </si>
  <si>
    <t>1,20,15,859</t>
  </si>
  <si>
    <t>16,63,23,15,263.75</t>
  </si>
  <si>
    <t>1,96,266</t>
  </si>
  <si>
    <t>84,05,082</t>
  </si>
  <si>
    <t>63,12,337</t>
  </si>
  <si>
    <t>8,89,61,29,502.80</t>
  </si>
  <si>
    <t>1,91,283</t>
  </si>
  <si>
    <t>37,70,222</t>
  </si>
  <si>
    <t>67,42,694</t>
  </si>
  <si>
    <t>9,41,43,34,821.10</t>
  </si>
  <si>
    <t>1,78,695</t>
  </si>
  <si>
    <t>44,00,633</t>
  </si>
  <si>
    <t>60,45,948</t>
  </si>
  <si>
    <t>8,41,02,76,065.05</t>
  </si>
  <si>
    <t>1,52,770</t>
  </si>
  <si>
    <t>34,61,082</t>
  </si>
  <si>
    <t>57,37,510</t>
  </si>
  <si>
    <t>7,93,80,05,254.70</t>
  </si>
  <si>
    <t>1,60,429</t>
  </si>
  <si>
    <t>34,58,109</t>
  </si>
  <si>
    <t>34,78,622</t>
  </si>
  <si>
    <t>4,83,09,49,975.05</t>
  </si>
  <si>
    <t>1,74,541</t>
  </si>
  <si>
    <t>18,79,231</t>
  </si>
  <si>
    <t>30,86,633</t>
  </si>
  <si>
    <t>4,26,03,32,744.20</t>
  </si>
  <si>
    <t>1,26,359</t>
  </si>
  <si>
    <t>13,88,767</t>
  </si>
  <si>
    <t>51,26,983</t>
  </si>
  <si>
    <t>6,98,50,65,721.75</t>
  </si>
  <si>
    <t>1,33,385</t>
  </si>
  <si>
    <t>34,14,627</t>
  </si>
  <si>
    <t>29,93,294</t>
  </si>
  <si>
    <t>4,09,98,30,912.80</t>
  </si>
  <si>
    <t>1,08,646</t>
  </si>
  <si>
    <t>12,45,470</t>
  </si>
  <si>
    <t>36,55,908</t>
  </si>
  <si>
    <t>5,00,28,26,094.50</t>
  </si>
  <si>
    <t>1,49,498</t>
  </si>
  <si>
    <t>19,66,831</t>
  </si>
  <si>
    <t>45,77,715</t>
  </si>
  <si>
    <t>6,18,88,00,152.60</t>
  </si>
  <si>
    <t>1,59,998</t>
  </si>
  <si>
    <t>28,41,114</t>
  </si>
  <si>
    <t>54,46,286</t>
  </si>
  <si>
    <t>7,18,11,45,207.65</t>
  </si>
  <si>
    <t>2,69,494</t>
  </si>
  <si>
    <t>35,34,036</t>
  </si>
  <si>
    <t>59,35,178</t>
  </si>
  <si>
    <t>7,81,09,16,645.65</t>
  </si>
  <si>
    <t>2,47,100</t>
  </si>
  <si>
    <t>36,17,141</t>
  </si>
  <si>
    <t>59,05,235</t>
  </si>
  <si>
    <t>7,72,10,44,050.45</t>
  </si>
  <si>
    <t>2,39,871</t>
  </si>
  <si>
    <t>32,62,631</t>
  </si>
  <si>
    <t>60,84,596</t>
  </si>
  <si>
    <t>7,89,63,14,988.40</t>
  </si>
  <si>
    <t>2,69,747</t>
  </si>
  <si>
    <t>30,65,105</t>
  </si>
  <si>
    <t>73,61,961</t>
  </si>
  <si>
    <t>9,44,23,47,329.35</t>
  </si>
  <si>
    <t>2,93,741</t>
  </si>
  <si>
    <t>44,04,126</t>
  </si>
  <si>
    <t>79,68,420</t>
  </si>
  <si>
    <t>10,46,39,10,206.85</t>
  </si>
  <si>
    <t>2,14,315</t>
  </si>
  <si>
    <t>51,78,660</t>
  </si>
  <si>
    <t>66,10,342</t>
  </si>
  <si>
    <t>8,86,59,41,646.10</t>
  </si>
  <si>
    <t>1,90,833</t>
  </si>
  <si>
    <t>38,37,013</t>
  </si>
  <si>
    <t>40,79,849</t>
  </si>
  <si>
    <t>5,42,49,72,795.20</t>
  </si>
  <si>
    <t>1,44,197</t>
  </si>
  <si>
    <t>22,78,477</t>
  </si>
  <si>
    <t>76,86,122</t>
  </si>
  <si>
    <t>10,27,56,34,335.15</t>
  </si>
  <si>
    <t>2,24,102</t>
  </si>
  <si>
    <t>28,99,363</t>
  </si>
  <si>
    <t>40,06,716</t>
  </si>
  <si>
    <t>5,42,88,48,372.95</t>
  </si>
  <si>
    <t>2,65,751</t>
  </si>
  <si>
    <t>21,54,728</t>
  </si>
  <si>
    <t>49,02,082</t>
  </si>
  <si>
    <t>6,67,97,21,013.60</t>
  </si>
  <si>
    <t>1,53,532</t>
  </si>
  <si>
    <t>28,20,551</t>
  </si>
  <si>
    <t>48,85,287</t>
  </si>
  <si>
    <t>6,56,84,95,136.05</t>
  </si>
  <si>
    <t>1,70,596</t>
  </si>
  <si>
    <t>29,78,267</t>
  </si>
  <si>
    <t>49,97,023</t>
  </si>
  <si>
    <t>6,71,30,40,907.65</t>
  </si>
  <si>
    <t>1,55,488</t>
  </si>
  <si>
    <t>31,98,246</t>
  </si>
  <si>
    <t>62,37,911</t>
  </si>
  <si>
    <t>8,40,16,64,068.50</t>
  </si>
  <si>
    <t>1,53,516</t>
  </si>
  <si>
    <t>33,85,436</t>
  </si>
  <si>
    <t>57,36,226</t>
  </si>
  <si>
    <t>7,72,25,38,774.50</t>
  </si>
  <si>
    <t>1,47,092</t>
  </si>
  <si>
    <t>40,59,233</t>
  </si>
  <si>
    <t>42,43,740</t>
  </si>
  <si>
    <t>5,73,85,08,714.75</t>
  </si>
  <si>
    <t>1,22,056</t>
  </si>
  <si>
    <t>26,87,132</t>
  </si>
  <si>
    <t>71,62,859</t>
  </si>
  <si>
    <t>9,79,03,34,619.55</t>
  </si>
  <si>
    <t>1,75,254</t>
  </si>
  <si>
    <t>44,57,746</t>
  </si>
  <si>
    <t>75,24,539</t>
  </si>
  <si>
    <t>10,27,46,05,412.40</t>
  </si>
  <si>
    <t>1,75,408</t>
  </si>
  <si>
    <t>52,92,401</t>
  </si>
  <si>
    <t>88,71,571</t>
  </si>
  <si>
    <t>12,30,96,03,700.50</t>
  </si>
  <si>
    <t>1,77,340</t>
  </si>
  <si>
    <t>62,52,423</t>
  </si>
  <si>
    <t>62,37,015</t>
  </si>
  <si>
    <t>8,74,47,24,388.50</t>
  </si>
  <si>
    <t>1,22,217</t>
  </si>
  <si>
    <t>46,98,117</t>
  </si>
  <si>
    <t>37,31,440</t>
  </si>
  <si>
    <t>5,23,54,81,481.55</t>
  </si>
  <si>
    <t>1,15,690</t>
  </si>
  <si>
    <t>23,85,267</t>
  </si>
  <si>
    <t>49,38,487</t>
  </si>
  <si>
    <t>6,88,97,88,254.60</t>
  </si>
  <si>
    <t>1,07,652</t>
  </si>
  <si>
    <t>33,82,902</t>
  </si>
  <si>
    <t>79,72,805</t>
  </si>
  <si>
    <t>10,93,22,96,276.95</t>
  </si>
  <si>
    <t>1,85,857</t>
  </si>
  <si>
    <t>50,63,094</t>
  </si>
  <si>
    <t>51,86,205</t>
  </si>
  <si>
    <t>7,05,18,94,375.95</t>
  </si>
  <si>
    <t>1,56,703</t>
  </si>
  <si>
    <t>29,92,747</t>
  </si>
  <si>
    <t>67,97,823</t>
  </si>
  <si>
    <t>9,22,87,35,489.20</t>
  </si>
  <si>
    <t>1,26,512</t>
  </si>
  <si>
    <t>47,10,365</t>
  </si>
  <si>
    <t>1,01,66,110</t>
  </si>
  <si>
    <t>13,70,21,25,272.85</t>
  </si>
  <si>
    <t>2,91,810</t>
  </si>
  <si>
    <t>71,99,900</t>
  </si>
  <si>
    <t>78,96,269</t>
  </si>
  <si>
    <t>10,65,24,52,469.15</t>
  </si>
  <si>
    <t>1,41,741</t>
  </si>
  <si>
    <t>50,88,248</t>
  </si>
  <si>
    <t>1,01,73,931</t>
  </si>
  <si>
    <t>13,87,88,62,594.90</t>
  </si>
  <si>
    <t>2,79,863</t>
  </si>
  <si>
    <t>77,41,686</t>
  </si>
  <si>
    <t>63,20,139</t>
  </si>
  <si>
    <t>8,61,47,10,412.00</t>
  </si>
  <si>
    <t>1,58,369</t>
  </si>
  <si>
    <t>41,83,622</t>
  </si>
  <si>
    <t>63,64,796</t>
  </si>
  <si>
    <t>8,81,19,47,079.70</t>
  </si>
  <si>
    <t>1,90,910</t>
  </si>
  <si>
    <t>35,33,143</t>
  </si>
  <si>
    <t>6,85,922</t>
  </si>
  <si>
    <t>95,51,46,385.00</t>
  </si>
  <si>
    <t>50,71,563</t>
  </si>
  <si>
    <t>7,06,67,00,506.25</t>
  </si>
  <si>
    <t>1,56,586</t>
  </si>
  <si>
    <t>25,80,137</t>
  </si>
  <si>
    <t>42,63,982</t>
  </si>
  <si>
    <t>5,94,98,86,417.25</t>
  </si>
  <si>
    <t>1,15,649</t>
  </si>
  <si>
    <t>25,70,760</t>
  </si>
  <si>
    <t>46,06,389</t>
  </si>
  <si>
    <t>6,44,80,18,339.80</t>
  </si>
  <si>
    <t>1,31,184</t>
  </si>
  <si>
    <t>27,74,857</t>
  </si>
  <si>
    <t>87,10,203</t>
  </si>
  <si>
    <t>12,36,16,05,197.85</t>
  </si>
  <si>
    <t>2,13,161</t>
  </si>
  <si>
    <t>57,45,696</t>
  </si>
  <si>
    <t>1,00,09,868</t>
  </si>
  <si>
    <t>14,30,13,85,368.80</t>
  </si>
  <si>
    <t>2,41,020</t>
  </si>
  <si>
    <t>66,24,853</t>
  </si>
  <si>
    <t>65,96,518</t>
  </si>
  <si>
    <t>9,50,40,16,259.35</t>
  </si>
  <si>
    <t>1,46,180</t>
  </si>
  <si>
    <t>45,24,404</t>
  </si>
  <si>
    <t>75,18,255</t>
  </si>
  <si>
    <t>10,76,31,37,989.20</t>
  </si>
  <si>
    <t>1,65,021</t>
  </si>
  <si>
    <t>52,15,624</t>
  </si>
  <si>
    <t>54,87,749</t>
  </si>
  <si>
    <t>7,83,33,55,196.55</t>
  </si>
  <si>
    <t>2,06,821</t>
  </si>
  <si>
    <t>33,65,558</t>
  </si>
  <si>
    <t>60,06,103</t>
  </si>
  <si>
    <t>8,59,67,34,035.35</t>
  </si>
  <si>
    <t>2,28,173</t>
  </si>
  <si>
    <t>38,72,371</t>
  </si>
  <si>
    <t>46,34,491</t>
  </si>
  <si>
    <t>6,62,36,49,945.65</t>
  </si>
  <si>
    <t>1,21,554</t>
  </si>
  <si>
    <t>27,54,688</t>
  </si>
  <si>
    <t>6,85,923</t>
  </si>
  <si>
    <t>97,88,46,417.15</t>
  </si>
  <si>
    <t>76,78,868</t>
  </si>
  <si>
    <t>11,16,94,57,261.65</t>
  </si>
  <si>
    <t>2,07,907</t>
  </si>
  <si>
    <t>41,39,183</t>
  </si>
  <si>
    <t>86,76,551</t>
  </si>
  <si>
    <t>12,70,86,37,823.20</t>
  </si>
  <si>
    <t>2,19,403</t>
  </si>
  <si>
    <t>63,12,330</t>
  </si>
  <si>
    <t>91,50,883</t>
  </si>
  <si>
    <t>13,57,64,83,134.00</t>
  </si>
  <si>
    <t>2,36,473</t>
  </si>
  <si>
    <t>69,90,323</t>
  </si>
  <si>
    <t>44,25,185</t>
  </si>
  <si>
    <t>6,56,69,82,475.55</t>
  </si>
  <si>
    <t>1,75,766</t>
  </si>
  <si>
    <t>32,83,921</t>
  </si>
  <si>
    <t>62,81,878</t>
  </si>
  <si>
    <t>9,43,49,64,816.80</t>
  </si>
  <si>
    <t>1,72,125</t>
  </si>
  <si>
    <t>46,82,614</t>
  </si>
  <si>
    <t>61,92,175</t>
  </si>
  <si>
    <t>9,30,87,43,851.90</t>
  </si>
  <si>
    <t>1,90,873</t>
  </si>
  <si>
    <t>44,99,905</t>
  </si>
  <si>
    <t>41,71,069</t>
  </si>
  <si>
    <t>6,28,78,79,823.10</t>
  </si>
  <si>
    <t>1,26,031</t>
  </si>
  <si>
    <t>29,00,950</t>
  </si>
  <si>
    <t>40,31,851</t>
  </si>
  <si>
    <t>6,04,06,84,835.50</t>
  </si>
  <si>
    <t>1,47,346</t>
  </si>
  <si>
    <t>22,98,218</t>
  </si>
  <si>
    <t>41,17,033</t>
  </si>
  <si>
    <t>6,07,01,40,731.70</t>
  </si>
  <si>
    <t>1,22,931</t>
  </si>
  <si>
    <t>25,91,613</t>
  </si>
  <si>
    <t>74,83,442</t>
  </si>
  <si>
    <t>10,93,84,31,495.85</t>
  </si>
  <si>
    <t>1,44,071</t>
  </si>
  <si>
    <t>47,37,698</t>
  </si>
  <si>
    <t>67,27,760</t>
  </si>
  <si>
    <t>9,87,18,97,938.50</t>
  </si>
  <si>
    <t>1,40,656</t>
  </si>
  <si>
    <t>46,89,197</t>
  </si>
  <si>
    <t>59,11,520</t>
  </si>
  <si>
    <t>8,73,61,66,442.20</t>
  </si>
  <si>
    <t>1,27,054</t>
  </si>
  <si>
    <t>36,93,897</t>
  </si>
  <si>
    <t>38,53,088</t>
  </si>
  <si>
    <t>5,66,96,34,958.80</t>
  </si>
  <si>
    <t>1,28,698</t>
  </si>
  <si>
    <t>22,85,799</t>
  </si>
  <si>
    <t>43,26,589</t>
  </si>
  <si>
    <t>6,22,46,08,203.95</t>
  </si>
  <si>
    <t>1,87,389</t>
  </si>
  <si>
    <t>24,93,343</t>
  </si>
  <si>
    <t>50,67,700</t>
  </si>
  <si>
    <t>7,44,37,85,303.75</t>
  </si>
  <si>
    <t>1,92,942</t>
  </si>
  <si>
    <t>29,48,334</t>
  </si>
  <si>
    <t>1,12,01,568</t>
  </si>
  <si>
    <t>16,46,19,81,807.55</t>
  </si>
  <si>
    <t>1,82,041</t>
  </si>
  <si>
    <t>61,46,956</t>
  </si>
  <si>
    <t>60,19,043</t>
  </si>
  <si>
    <t>8,89,28,60,828.10</t>
  </si>
  <si>
    <t>1,19,285</t>
  </si>
  <si>
    <t>36,65,208</t>
  </si>
  <si>
    <t>60,65,966</t>
  </si>
  <si>
    <t>9,05,97,54,660.00</t>
  </si>
  <si>
    <t>1,28,519</t>
  </si>
  <si>
    <t>43,37,890</t>
  </si>
  <si>
    <t>61,19,348</t>
  </si>
  <si>
    <t>9,16,64,92,283.65</t>
  </si>
  <si>
    <t>1,15,379</t>
  </si>
  <si>
    <t>41,61,011</t>
  </si>
  <si>
    <t>48,88,103</t>
  </si>
  <si>
    <t>7,24,92,68,552.20</t>
  </si>
  <si>
    <t>33,79,255</t>
  </si>
  <si>
    <t>55,82,345</t>
  </si>
  <si>
    <t>8,32,77,93,778.20</t>
  </si>
  <si>
    <t>1,05,543</t>
  </si>
  <si>
    <t>30,67,771</t>
  </si>
  <si>
    <t>75,64,444</t>
  </si>
  <si>
    <t>11,36,16,70,171.70</t>
  </si>
  <si>
    <t>1,59,222</t>
  </si>
  <si>
    <t>50,60,078</t>
  </si>
  <si>
    <t>55,40,246</t>
  </si>
  <si>
    <t>8,29,97,19,758.65</t>
  </si>
  <si>
    <t>1,58,509</t>
  </si>
  <si>
    <t>40,20,172</t>
  </si>
  <si>
    <t>65,00,983</t>
  </si>
  <si>
    <t>9,81,31,39,426.55</t>
  </si>
  <si>
    <t>1,78,976</t>
  </si>
  <si>
    <t>43,95,012</t>
  </si>
  <si>
    <t>1,01,09,880</t>
  </si>
  <si>
    <t>15,35,99,82,950.00</t>
  </si>
  <si>
    <t>2,66,662</t>
  </si>
  <si>
    <t>67,55,553</t>
  </si>
  <si>
    <t>67,69,686</t>
  </si>
  <si>
    <t>10,32,65,31,542.60</t>
  </si>
  <si>
    <t>2,09,664</t>
  </si>
  <si>
    <t>41,03,802</t>
  </si>
  <si>
    <t>1,02,80,023</t>
  </si>
  <si>
    <t>15,41,15,85,013.35</t>
  </si>
  <si>
    <t>2,04,150</t>
  </si>
  <si>
    <t>73,53,883</t>
  </si>
  <si>
    <t>60,38,019</t>
  </si>
  <si>
    <t>9,06,40,64,674.30</t>
  </si>
  <si>
    <t>1,23,407</t>
  </si>
  <si>
    <t>39,81,527</t>
  </si>
  <si>
    <t>53,90,834</t>
  </si>
  <si>
    <t>8,18,63,58,426.60</t>
  </si>
  <si>
    <t>1,25,775</t>
  </si>
  <si>
    <t>33,84,983</t>
  </si>
  <si>
    <t>45,36,152</t>
  </si>
  <si>
    <t>6,87,47,79,529.40</t>
  </si>
  <si>
    <t>1,29,113</t>
  </si>
  <si>
    <t>27,89,254</t>
  </si>
  <si>
    <t>60,24,072</t>
  </si>
  <si>
    <t>9,00,56,66,828.65</t>
  </si>
  <si>
    <t>1,30,337</t>
  </si>
  <si>
    <t>33,37,049</t>
  </si>
  <si>
    <t>79,03,126</t>
  </si>
  <si>
    <t>11,46,86,24,906.55</t>
  </si>
  <si>
    <t>2,54,765</t>
  </si>
  <si>
    <t>47,30,527</t>
  </si>
  <si>
    <t>44,61,743</t>
  </si>
  <si>
    <t>6,36,36,59,216.05</t>
  </si>
  <si>
    <t>1,83,001</t>
  </si>
  <si>
    <t>24,89,197</t>
  </si>
  <si>
    <t>63,19,850</t>
  </si>
  <si>
    <t>8,99,82,92,829.25</t>
  </si>
  <si>
    <t>1,81,595</t>
  </si>
  <si>
    <t>38,74,624</t>
  </si>
  <si>
    <t>59,08,066</t>
  </si>
  <si>
    <t>8,25,50,59,324.45</t>
  </si>
  <si>
    <t>2,15,474</t>
  </si>
  <si>
    <t>33,84,446</t>
  </si>
  <si>
    <t>72,05,194</t>
  </si>
  <si>
    <t>9,99,97,18,372.70</t>
  </si>
  <si>
    <t>2,58,296</t>
  </si>
  <si>
    <t>47,37,741</t>
  </si>
  <si>
    <t>78,90,878</t>
  </si>
  <si>
    <t>11,10,97,99,543.35</t>
  </si>
  <si>
    <t>1,81,624</t>
  </si>
  <si>
    <t>47,09,460</t>
  </si>
  <si>
    <t>57,70,556</t>
  </si>
  <si>
    <t>8,13,65,20,348.45</t>
  </si>
  <si>
    <t>1,47,339</t>
  </si>
  <si>
    <t>38,23,032</t>
  </si>
  <si>
    <t>57,69,263</t>
  </si>
  <si>
    <t>8,35,59,97,412.35</t>
  </si>
  <si>
    <t>1,30,624</t>
  </si>
  <si>
    <t>39,44,499</t>
  </si>
  <si>
    <t>62,74,599</t>
  </si>
  <si>
    <t>9,09,21,18,877.70</t>
  </si>
  <si>
    <t>1,70,441</t>
  </si>
  <si>
    <t>42,51,575</t>
  </si>
  <si>
    <t>66,48,997</t>
  </si>
  <si>
    <t>9,49,12,76,053.80</t>
  </si>
  <si>
    <t>1,60,989</t>
  </si>
  <si>
    <t>48,65,856</t>
  </si>
  <si>
    <t>65,54,651</t>
  </si>
  <si>
    <t>9,23,69,03,280.05</t>
  </si>
  <si>
    <t>2,15,487</t>
  </si>
  <si>
    <t>41,89,926</t>
  </si>
  <si>
    <t>72,60,810</t>
  </si>
  <si>
    <t>10,21,32,63,445.80</t>
  </si>
  <si>
    <t>1,34,054</t>
  </si>
  <si>
    <t>51,47,322</t>
  </si>
  <si>
    <t>46,12,525</t>
  </si>
  <si>
    <t>6,48,86,07,643.50</t>
  </si>
  <si>
    <t>1,12,637</t>
  </si>
  <si>
    <t>29,69,793</t>
  </si>
  <si>
    <t>73,57,117</t>
  </si>
  <si>
    <t>10,24,45,25,589.70</t>
  </si>
  <si>
    <t>2,19,960</t>
  </si>
  <si>
    <t>49,56,624</t>
  </si>
  <si>
    <t>64,24,960</t>
  </si>
  <si>
    <t>9,21,75,92,931.30</t>
  </si>
  <si>
    <t>1,49,782</t>
  </si>
  <si>
    <t>31,14,030</t>
  </si>
  <si>
    <t>92,05,250</t>
  </si>
  <si>
    <t>13,28,67,64,094.40</t>
  </si>
  <si>
    <t>1,85,541</t>
  </si>
  <si>
    <t>43,71,481</t>
  </si>
  <si>
    <t>52,80,554</t>
  </si>
  <si>
    <t>7,65,61,44,753.65</t>
  </si>
  <si>
    <t>1,44,735</t>
  </si>
  <si>
    <t>32,26,764</t>
  </si>
  <si>
    <t>64,83,520</t>
  </si>
  <si>
    <t>9,49,80,87,668.10</t>
  </si>
  <si>
    <t>1,86,569</t>
  </si>
  <si>
    <t>35,43,870</t>
  </si>
  <si>
    <t>39,49,039</t>
  </si>
  <si>
    <t>5,71,64,41,334.25</t>
  </si>
  <si>
    <t>1,49,480</t>
  </si>
  <si>
    <t>25,11,393</t>
  </si>
  <si>
    <t>52,46,303</t>
  </si>
  <si>
    <t>7,59,01,43,970.30</t>
  </si>
  <si>
    <t>1,12,584</t>
  </si>
  <si>
    <t>33,57,945</t>
  </si>
  <si>
    <t>10,83,897</t>
  </si>
  <si>
    <t>1,58,29,62,572.75</t>
  </si>
  <si>
    <t>4,66,892</t>
  </si>
  <si>
    <t>68,86,697</t>
  </si>
  <si>
    <t>10,03,32,74,401.00</t>
  </si>
  <si>
    <t>1,74,010</t>
  </si>
  <si>
    <t>50,86,954</t>
  </si>
  <si>
    <t>79,68,638</t>
  </si>
  <si>
    <t>11,61,74,89,645.45</t>
  </si>
  <si>
    <t>1,67,453</t>
  </si>
  <si>
    <t>61,90,681</t>
  </si>
  <si>
    <t>52,37,139</t>
  </si>
  <si>
    <t>7,64,34,52,528.10</t>
  </si>
  <si>
    <t>1,42,985</t>
  </si>
  <si>
    <t>32,96,642</t>
  </si>
  <si>
    <t>64,15,264</t>
  </si>
  <si>
    <t>9,54,23,06,136.50</t>
  </si>
  <si>
    <t>1,97,801</t>
  </si>
  <si>
    <t>38,99,406</t>
  </si>
  <si>
    <t>95,36,878</t>
  </si>
  <si>
    <t>14,49,25,30,604.20</t>
  </si>
  <si>
    <t>2,09,190</t>
  </si>
  <si>
    <t>66,82,068</t>
  </si>
  <si>
    <t>63,60,203</t>
  </si>
  <si>
    <t>9,66,84,07,272.05</t>
  </si>
  <si>
    <t>1,34,056</t>
  </si>
  <si>
    <t>43,16,158</t>
  </si>
  <si>
    <t>51,66,176</t>
  </si>
  <si>
    <t>7,80,84,53,715.85</t>
  </si>
  <si>
    <t>1,58,632</t>
  </si>
  <si>
    <t>29,59,149</t>
  </si>
  <si>
    <t>54,09,030</t>
  </si>
  <si>
    <t>8,10,25,28,471.55</t>
  </si>
  <si>
    <t>1,50,429</t>
  </si>
  <si>
    <t>35,93,837</t>
  </si>
  <si>
    <t>49,17,917</t>
  </si>
  <si>
    <t>7,38,65,87,082.60</t>
  </si>
  <si>
    <t>1,23,611</t>
  </si>
  <si>
    <t>31,04,244</t>
  </si>
  <si>
    <t>46,34,895</t>
  </si>
  <si>
    <t>7,00,63,81,268.25</t>
  </si>
  <si>
    <t>29,45,729</t>
  </si>
  <si>
    <t>63,87,091</t>
  </si>
  <si>
    <t>9,65,32,35,507.40</t>
  </si>
  <si>
    <t>1,39,631</t>
  </si>
  <si>
    <t>42,74,394</t>
  </si>
  <si>
    <t>2,83,61,169</t>
  </si>
  <si>
    <t>45,36,87,89,544.60</t>
  </si>
  <si>
    <t>6,11,619</t>
  </si>
  <si>
    <t>1,53,17,967</t>
  </si>
  <si>
    <t>95,97,695</t>
  </si>
  <si>
    <t>15,48,96,57,292.10</t>
  </si>
  <si>
    <t>2,54,705</t>
  </si>
  <si>
    <t>63,43,124</t>
  </si>
  <si>
    <t>55,15,101</t>
  </si>
  <si>
    <t>8,90,65,72,969.00</t>
  </si>
  <si>
    <t>1,58,707</t>
  </si>
  <si>
    <t>34,70,935</t>
  </si>
  <si>
    <t>67,89,075</t>
  </si>
  <si>
    <t>11,06,91,79,609.25</t>
  </si>
  <si>
    <t>2,08,132</t>
  </si>
  <si>
    <t>39,54,055</t>
  </si>
  <si>
    <t>60,50,465</t>
  </si>
  <si>
    <t>9,82,45,11,118.70</t>
  </si>
  <si>
    <t>1,33,033</t>
  </si>
  <si>
    <t>38,55,491</t>
  </si>
  <si>
    <t>52,29,616</t>
  </si>
  <si>
    <t>8,42,86,47,397.70</t>
  </si>
  <si>
    <t>1,55,906</t>
  </si>
  <si>
    <t>36,17,158</t>
  </si>
  <si>
    <t>41,72,408</t>
  </si>
  <si>
    <t>6,66,47,13,134.40</t>
  </si>
  <si>
    <t>1,56,009</t>
  </si>
  <si>
    <t>25,91,643</t>
  </si>
  <si>
    <t>42,73,157</t>
  </si>
  <si>
    <t>6,82,06,13,224.25</t>
  </si>
  <si>
    <t>1,59,221</t>
  </si>
  <si>
    <t>28,71,575</t>
  </si>
  <si>
    <t>50,92,869</t>
  </si>
  <si>
    <t>8,14,24,53,343.30</t>
  </si>
  <si>
    <t>1,24,888</t>
  </si>
  <si>
    <t>37,38,575</t>
  </si>
  <si>
    <t>85,98,980</t>
  </si>
  <si>
    <t>13,88,38,49,723.65</t>
  </si>
  <si>
    <t>1,61,678</t>
  </si>
  <si>
    <t>59,65,589</t>
  </si>
  <si>
    <t>42,05,248</t>
  </si>
  <si>
    <t>6,81,37,92,904.55</t>
  </si>
  <si>
    <t>1,17,799</t>
  </si>
  <si>
    <t>26,66,082</t>
  </si>
  <si>
    <t>80,52,990</t>
  </si>
  <si>
    <t>12,88,93,97,052.70</t>
  </si>
  <si>
    <t>1,65,436</t>
  </si>
  <si>
    <t>58,41,703</t>
  </si>
  <si>
    <t>63,19,118</t>
  </si>
  <si>
    <t>10,12,42,73,482.90</t>
  </si>
  <si>
    <t>1,86,705</t>
  </si>
  <si>
    <t>46,09,779</t>
  </si>
  <si>
    <t>75,92,403</t>
  </si>
  <si>
    <t>12,17,62,99,410.40</t>
  </si>
  <si>
    <t>1,37,140</t>
  </si>
  <si>
    <t>60,30,327</t>
  </si>
  <si>
    <t>1,02,23,183</t>
  </si>
  <si>
    <t>16,61,32,68,315.75</t>
  </si>
  <si>
    <t>2,23,935</t>
  </si>
  <si>
    <t>72,12,087</t>
  </si>
  <si>
    <t>39,05,539</t>
  </si>
  <si>
    <t>6,28,77,98,248.00</t>
  </si>
  <si>
    <t>1,57,768</t>
  </si>
  <si>
    <t>26,75,200</t>
  </si>
  <si>
    <t>57,96,311</t>
  </si>
  <si>
    <t>9,30,17,37,289.50</t>
  </si>
  <si>
    <t>1,98,169</t>
  </si>
  <si>
    <t>37,67,906</t>
  </si>
  <si>
    <t>61,76,546</t>
  </si>
  <si>
    <t>9,92,69,51,123.55</t>
  </si>
  <si>
    <t>1,52,759</t>
  </si>
  <si>
    <t>47,67,748</t>
  </si>
  <si>
    <t>58,37,360</t>
  </si>
  <si>
    <t>9,39,82,61,261.05</t>
  </si>
  <si>
    <t>1,75,386</t>
  </si>
  <si>
    <t>45,80,110</t>
  </si>
  <si>
    <t>74,01,817</t>
  </si>
  <si>
    <t>11,96,11,38,033.60</t>
  </si>
  <si>
    <t>1,62,638</t>
  </si>
  <si>
    <t>54,44,038</t>
  </si>
  <si>
    <t>59,81,692</t>
  </si>
  <si>
    <t>9,73,14,03,133.75</t>
  </si>
  <si>
    <t>1,42,195</t>
  </si>
  <si>
    <t>44,69,120</t>
  </si>
  <si>
    <t>72,17,404</t>
  </si>
  <si>
    <t>11,86,30,26,689.80</t>
  </si>
  <si>
    <t>1,91,429</t>
  </si>
  <si>
    <t>49,84,206</t>
  </si>
  <si>
    <t>85,15,851</t>
  </si>
  <si>
    <t>14,06,53,39,215.85</t>
  </si>
  <si>
    <t>1,65,451</t>
  </si>
  <si>
    <t>54,91,823</t>
  </si>
  <si>
    <t>71,13,820</t>
  </si>
  <si>
    <t>11,79,66,81,944.40</t>
  </si>
  <si>
    <t>1,83,221</t>
  </si>
  <si>
    <t>49,89,446</t>
  </si>
  <si>
    <t>90,91,324</t>
  </si>
  <si>
    <t>15,08,77,60,729.00</t>
  </si>
  <si>
    <t>1,45,032</t>
  </si>
  <si>
    <t>54,07,373</t>
  </si>
  <si>
    <t>73,23,979</t>
  </si>
  <si>
    <t>11,96,80,01,262.30</t>
  </si>
  <si>
    <t>1,77,618</t>
  </si>
  <si>
    <t>52,36,766</t>
  </si>
  <si>
    <t>48,02,271</t>
  </si>
  <si>
    <t>7,86,10,87,915.35</t>
  </si>
  <si>
    <t>1,11,511</t>
  </si>
  <si>
    <t>29,99,960</t>
  </si>
  <si>
    <t>35,87,349</t>
  </si>
  <si>
    <t>5,84,77,49,606.55</t>
  </si>
  <si>
    <t>20,13,155</t>
  </si>
  <si>
    <t>46,34,599</t>
  </si>
  <si>
    <t>7,53,52,06,897.25</t>
  </si>
  <si>
    <t>1,55,853</t>
  </si>
  <si>
    <t>29,68,950</t>
  </si>
  <si>
    <t>48,73,548</t>
  </si>
  <si>
    <t>7,88,11,52,431.20</t>
  </si>
  <si>
    <t>1,56,615</t>
  </si>
  <si>
    <t>32,42,753</t>
  </si>
  <si>
    <t>53,46,576</t>
  </si>
  <si>
    <t>8,53,37,38,599.50</t>
  </si>
  <si>
    <t>1,61,132</t>
  </si>
  <si>
    <t>32,05,816</t>
  </si>
  <si>
    <t>49,53,661</t>
  </si>
  <si>
    <t>8,01,05,32,444.25</t>
  </si>
  <si>
    <t>1,27,280</t>
  </si>
  <si>
    <t>30,52,548</t>
  </si>
  <si>
    <t>39,63,386</t>
  </si>
  <si>
    <t>6,42,96,69,607.95</t>
  </si>
  <si>
    <t>1,01,780</t>
  </si>
  <si>
    <t>22,07,068</t>
  </si>
  <si>
    <t>43,45,935</t>
  </si>
  <si>
    <t>7,07,71,64,442.15</t>
  </si>
  <si>
    <t>1,43,232</t>
  </si>
  <si>
    <t>32,11,265</t>
  </si>
  <si>
    <t>55,06,448</t>
  </si>
  <si>
    <t>8,97,45,49,942.25</t>
  </si>
  <si>
    <t>2,04,767</t>
  </si>
  <si>
    <t>36,85,001</t>
  </si>
  <si>
    <t>35,61,320</t>
  </si>
  <si>
    <t>5,81,26,10,084.20</t>
  </si>
  <si>
    <t>1,38,629</t>
  </si>
  <si>
    <t>22,17,017</t>
  </si>
  <si>
    <t>21,90,689</t>
  </si>
  <si>
    <t>3,56,96,97,184.00</t>
  </si>
  <si>
    <t>10,36,063</t>
  </si>
  <si>
    <t>7,74,148</t>
  </si>
  <si>
    <t>1,26,04,29,066.20</t>
  </si>
  <si>
    <t>41,89,015</t>
  </si>
  <si>
    <t>6,84,74,95,805.65</t>
  </si>
  <si>
    <t>1,02,047</t>
  </si>
  <si>
    <t>27,54,739</t>
  </si>
  <si>
    <t>51,75,800</t>
  </si>
  <si>
    <t>8,39,88,37,748.00</t>
  </si>
  <si>
    <t>1,64,250</t>
  </si>
  <si>
    <t>32,71,719</t>
  </si>
  <si>
    <t>54,70,718</t>
  </si>
  <si>
    <t>8,76,55,09,490.95</t>
  </si>
  <si>
    <t>1,93,143</t>
  </si>
  <si>
    <t>35,82,675</t>
  </si>
  <si>
    <t>45,46,231</t>
  </si>
  <si>
    <t>7,24,10,79,692.35</t>
  </si>
  <si>
    <t>1,47,775</t>
  </si>
  <si>
    <t>29,19,025</t>
  </si>
  <si>
    <t>53,64,670</t>
  </si>
  <si>
    <t>8,59,32,88,222.10</t>
  </si>
  <si>
    <t>1,64,427</t>
  </si>
  <si>
    <t>36,32,471</t>
  </si>
  <si>
    <t>81,85,883</t>
  </si>
  <si>
    <t>12,86,92,32,604.25</t>
  </si>
  <si>
    <t>2,90,553</t>
  </si>
  <si>
    <t>63,00,941</t>
  </si>
  <si>
    <t>75,97,899</t>
  </si>
  <si>
    <t>12,04,47,52,262.45</t>
  </si>
  <si>
    <t>2,63,176</t>
  </si>
  <si>
    <t>54,79,706</t>
  </si>
  <si>
    <t>46,25,035</t>
  </si>
  <si>
    <t>7,37,12,03,643.65</t>
  </si>
  <si>
    <t>1,60,323</t>
  </si>
  <si>
    <t>27,96,561</t>
  </si>
  <si>
    <t>46,22,273</t>
  </si>
  <si>
    <t>7,38,94,63,181.30</t>
  </si>
  <si>
    <t>1,49,441</t>
  </si>
  <si>
    <t>30,09,511</t>
  </si>
  <si>
    <t>73,74,047</t>
  </si>
  <si>
    <t>11,79,95,32,275.45</t>
  </si>
  <si>
    <t>2,16,647</t>
  </si>
  <si>
    <t>36,69,896</t>
  </si>
  <si>
    <t>53,93,177</t>
  </si>
  <si>
    <t>8,64,20,51,691.35</t>
  </si>
  <si>
    <t>1,36,682</t>
  </si>
  <si>
    <t>32,02,706</t>
  </si>
  <si>
    <t>95,45,321</t>
  </si>
  <si>
    <t>15,57,15,75,456.30</t>
  </si>
  <si>
    <t>2,73,645</t>
  </si>
  <si>
    <t>57,89,503</t>
  </si>
  <si>
    <t>55,86,081</t>
  </si>
  <si>
    <t>9,17,99,47,870.95</t>
  </si>
  <si>
    <t>2,12,074</t>
  </si>
  <si>
    <t>36,94,351</t>
  </si>
  <si>
    <t>94,21,702</t>
  </si>
  <si>
    <t>15,65,50,96,016.05</t>
  </si>
  <si>
    <t>1,83,678</t>
  </si>
  <si>
    <t>67,61,155</t>
  </si>
  <si>
    <t>77,22,200</t>
  </si>
  <si>
    <t>12,93,37,89,977.65</t>
  </si>
  <si>
    <t>3,02,449</t>
  </si>
  <si>
    <t>57,85,548</t>
  </si>
  <si>
    <t>1,24,91,970</t>
  </si>
  <si>
    <t>21,14,35,17,490.30</t>
  </si>
  <si>
    <t>2,29,064</t>
  </si>
  <si>
    <t>89,97,454</t>
  </si>
  <si>
    <t>73,52,071</t>
  </si>
  <si>
    <t>12,18,89,18,619.35</t>
  </si>
  <si>
    <t>1,90,090</t>
  </si>
  <si>
    <t>49,00,092</t>
  </si>
  <si>
    <t>1,75,89,974</t>
  </si>
  <si>
    <t>28,39,09,35,612.35</t>
  </si>
  <si>
    <t>3,64,306</t>
  </si>
  <si>
    <t>1,25,93,316</t>
  </si>
  <si>
    <t>92,56,411</t>
  </si>
  <si>
    <t>14,84,12,78,614.15</t>
  </si>
  <si>
    <t>2,82,514</t>
  </si>
  <si>
    <t>56,45,620</t>
  </si>
  <si>
    <t>92,98,122</t>
  </si>
  <si>
    <t>14,93,95,88,504.95</t>
  </si>
  <si>
    <t>3,13,012</t>
  </si>
  <si>
    <t>58,80,193</t>
  </si>
  <si>
    <t>86,51,395</t>
  </si>
  <si>
    <t>14,13,24,76,806.60</t>
  </si>
  <si>
    <t>2,30,246</t>
  </si>
  <si>
    <t>46,77,377</t>
  </si>
  <si>
    <t>87,48,553</t>
  </si>
  <si>
    <t>14,01,47,86,208.00</t>
  </si>
  <si>
    <t>2,72,747</t>
  </si>
  <si>
    <t>52,88,239</t>
  </si>
  <si>
    <t>72,05,550</t>
  </si>
  <si>
    <t>11,83,12,79,561.50</t>
  </si>
  <si>
    <t>2,96,046</t>
  </si>
  <si>
    <t>44,61,313</t>
  </si>
  <si>
    <t>55,83,836</t>
  </si>
  <si>
    <t>9,25,13,44,923.60</t>
  </si>
  <si>
    <t>1,60,975</t>
  </si>
  <si>
    <t>39,12,306</t>
  </si>
  <si>
    <t>51,32,294</t>
  </si>
  <si>
    <t>8,47,20,10,812.25</t>
  </si>
  <si>
    <t>1,54,701</t>
  </si>
  <si>
    <t>33,67,728</t>
  </si>
  <si>
    <t>42,22,413</t>
  </si>
  <si>
    <t>7,00,18,61,740.25</t>
  </si>
  <si>
    <t>1,22,581</t>
  </si>
  <si>
    <t>28,06,902</t>
  </si>
  <si>
    <t>58,88,668</t>
  </si>
  <si>
    <t>9,69,55,34,662.35</t>
  </si>
  <si>
    <t>1,56,658</t>
  </si>
  <si>
    <t>39,03,281</t>
  </si>
  <si>
    <t>40,86,058</t>
  </si>
  <si>
    <t>6,75,34,56,557.50</t>
  </si>
  <si>
    <t>1,12,380</t>
  </si>
  <si>
    <t>26,80,657</t>
  </si>
  <si>
    <t>28,68,472</t>
  </si>
  <si>
    <t>4,74,17,28,896.75</t>
  </si>
  <si>
    <t>1,28,413</t>
  </si>
  <si>
    <t>16,03,818</t>
  </si>
  <si>
    <t>54,54,296</t>
  </si>
  <si>
    <t>9,09,55,01,854.70</t>
  </si>
  <si>
    <t>1,88,196</t>
  </si>
  <si>
    <t>32,84,370</t>
  </si>
  <si>
    <t>57,19,356</t>
  </si>
  <si>
    <t>9,53,18,63,377.00</t>
  </si>
  <si>
    <t>1,31,147</t>
  </si>
  <si>
    <t>35,76,018</t>
  </si>
  <si>
    <t>40,31,250</t>
  </si>
  <si>
    <t>6,74,83,66,478.80</t>
  </si>
  <si>
    <t>1,12,501</t>
  </si>
  <si>
    <t>16,10,834</t>
  </si>
  <si>
    <t>44,78,135</t>
  </si>
  <si>
    <t>7,41,09,51,450.25</t>
  </si>
  <si>
    <t>1,16,571</t>
  </si>
  <si>
    <t>21,22,264</t>
  </si>
  <si>
    <t>40,43,353</t>
  </si>
  <si>
    <t>6,68,40,47,187.45</t>
  </si>
  <si>
    <t>1,61,532</t>
  </si>
  <si>
    <t>16,57,241</t>
  </si>
  <si>
    <t>61,94,648</t>
  </si>
  <si>
    <t>10,20,56,67,202.40</t>
  </si>
  <si>
    <t>1,67,166</t>
  </si>
  <si>
    <t>27,41,753</t>
  </si>
  <si>
    <t>51,79,551</t>
  </si>
  <si>
    <t>8,40,48,52,589.05</t>
  </si>
  <si>
    <t>1,39,134</t>
  </si>
  <si>
    <t>28,38,734</t>
  </si>
  <si>
    <t>1,39,41,005</t>
  </si>
  <si>
    <t>22,34,74,75,793.50</t>
  </si>
  <si>
    <t>2,27,065</t>
  </si>
  <si>
    <t>46,10,082</t>
  </si>
  <si>
    <t>85,30,870</t>
  </si>
  <si>
    <t>13,60,19,92,894.90</t>
  </si>
  <si>
    <t>1,79,066</t>
  </si>
  <si>
    <t>44,56,233</t>
  </si>
  <si>
    <t>71,56,486</t>
  </si>
  <si>
    <t>11,37,92,44,627.25</t>
  </si>
  <si>
    <t>1,43,487</t>
  </si>
  <si>
    <t>33,81,817</t>
  </si>
  <si>
    <t>94,96,996</t>
  </si>
  <si>
    <t>15,17,36,65,803.80</t>
  </si>
  <si>
    <t>1,28,911</t>
  </si>
  <si>
    <t>28,49,154</t>
  </si>
  <si>
    <t>70,68,628</t>
  </si>
  <si>
    <t>11,32,21,67,673.75</t>
  </si>
  <si>
    <t>1,70,088</t>
  </si>
  <si>
    <t>30,98,750</t>
  </si>
  <si>
    <t>86,95,907</t>
  </si>
  <si>
    <t>13,84,21,64,334.75</t>
  </si>
  <si>
    <t>1,45,929</t>
  </si>
  <si>
    <t>26,65,184</t>
  </si>
  <si>
    <t>74,93,117</t>
  </si>
  <si>
    <t>12,06,81,76,740.30</t>
  </si>
  <si>
    <t>1,47,003</t>
  </si>
  <si>
    <t>27,99,132</t>
  </si>
  <si>
    <t>1,35,02,355</t>
  </si>
  <si>
    <t>22,02,93,57,861.45</t>
  </si>
  <si>
    <t>1,70,565</t>
  </si>
  <si>
    <t>40,25,512</t>
  </si>
  <si>
    <t>1,00,49,887</t>
  </si>
  <si>
    <t>16,36,88,28,094.50</t>
  </si>
  <si>
    <t>1,69,090</t>
  </si>
  <si>
    <t>30,31,735</t>
  </si>
  <si>
    <t>1,03,50,083</t>
  </si>
  <si>
    <t>16,93,52,18,497.40</t>
  </si>
  <si>
    <t>1,38,340</t>
  </si>
  <si>
    <t>34,12,703</t>
  </si>
  <si>
    <t>1,36,93,500</t>
  </si>
  <si>
    <t>21,83,35,68,464.50</t>
  </si>
  <si>
    <t>2,16,265</t>
  </si>
  <si>
    <t>37,55,232</t>
  </si>
  <si>
    <t>1,32,21,775</t>
  </si>
  <si>
    <t>20,94,98,79,575.00</t>
  </si>
  <si>
    <t>1,64,259</t>
  </si>
  <si>
    <t>26,48,118</t>
  </si>
  <si>
    <t>1,65,92,806</t>
  </si>
  <si>
    <t>26,06,05,11,633.95</t>
  </si>
  <si>
    <t>1,93,032</t>
  </si>
  <si>
    <t>33,28,303</t>
  </si>
  <si>
    <t>1,86,32,377</t>
  </si>
  <si>
    <t>29,05,80,23,463.95</t>
  </si>
  <si>
    <t>2,09,694</t>
  </si>
  <si>
    <t>68,34,871</t>
  </si>
  <si>
    <t>1,08,76,671</t>
  </si>
  <si>
    <t>16,82,87,24,100.65</t>
  </si>
  <si>
    <t>2,25,162</t>
  </si>
  <si>
    <t>46,21,863</t>
  </si>
  <si>
    <t>1,14,75,438</t>
  </si>
  <si>
    <t>17,85,50,50,758.60</t>
  </si>
  <si>
    <t>1,77,856</t>
  </si>
  <si>
    <t>56,56,689</t>
  </si>
  <si>
    <t>1,32,51,557</t>
  </si>
  <si>
    <t>20,59,61,24,335.40</t>
  </si>
  <si>
    <t>1,94,499</t>
  </si>
  <si>
    <t>32,55,441</t>
  </si>
  <si>
    <t>1,65,25,247</t>
  </si>
  <si>
    <t>25,88,17,67,757.50</t>
  </si>
  <si>
    <t>1,66,646</t>
  </si>
  <si>
    <t>22,46,766</t>
  </si>
  <si>
    <t>70,88,662</t>
  </si>
  <si>
    <t>11,15,26,57,442.95</t>
  </si>
  <si>
    <t>1,39,019</t>
  </si>
  <si>
    <t>21,51,120</t>
  </si>
  <si>
    <t>1,41,82,089</t>
  </si>
  <si>
    <t>22,35,75,56,930.90</t>
  </si>
  <si>
    <t>1,71,995</t>
  </si>
  <si>
    <t>22,16,559</t>
  </si>
  <si>
    <t>1,57,38,874</t>
  </si>
  <si>
    <t>24,64,17,90,955.35</t>
  </si>
  <si>
    <t>1,71,286</t>
  </si>
  <si>
    <t>25,65,670</t>
  </si>
  <si>
    <t>1,59,36,003</t>
  </si>
  <si>
    <t>25,01,05,12,320.00</t>
  </si>
  <si>
    <t>1,71,004</t>
  </si>
  <si>
    <t>22,09,533</t>
  </si>
  <si>
    <t>1,96,38,151</t>
  </si>
  <si>
    <t>30,92,58,14,365.90</t>
  </si>
  <si>
    <t>1,95,952</t>
  </si>
  <si>
    <t>43,46,740</t>
  </si>
  <si>
    <t>1,98,81,806</t>
  </si>
  <si>
    <t>31,63,98,48,468.25</t>
  </si>
  <si>
    <t>2,08,681</t>
  </si>
  <si>
    <t>47,71,362</t>
  </si>
  <si>
    <t>1,73,55,614</t>
  </si>
  <si>
    <t>27,80,28,79,066.75</t>
  </si>
  <si>
    <t>2,13,559</t>
  </si>
  <si>
    <t>49,27,372</t>
  </si>
  <si>
    <t>AVERAGE RETURN</t>
  </si>
  <si>
    <t>2,00,12,699</t>
  </si>
  <si>
    <t>32,18,59,70,936.50</t>
  </si>
  <si>
    <t>1,65,016</t>
  </si>
  <si>
    <t>23,56,666</t>
  </si>
  <si>
    <t>2,16,82,696</t>
  </si>
  <si>
    <t>35,71,20,51,912.40</t>
  </si>
  <si>
    <t>2,85,701</t>
  </si>
  <si>
    <t>59,85,667</t>
  </si>
  <si>
    <t>2,23,18,672</t>
  </si>
  <si>
    <t>37,02,99,76,857.60</t>
  </si>
  <si>
    <t>2,33,336</t>
  </si>
  <si>
    <t>44,16,527</t>
  </si>
  <si>
    <t>1,59,06,643</t>
  </si>
  <si>
    <t>26,43,90,42,028.15</t>
  </si>
  <si>
    <t>1,38,726</t>
  </si>
  <si>
    <t>17,35,856</t>
  </si>
  <si>
    <t>2,11,80,771</t>
  </si>
  <si>
    <t>35,21,44,68,680.05</t>
  </si>
  <si>
    <t>2,00,423</t>
  </si>
  <si>
    <t>64,03,988</t>
  </si>
  <si>
    <t>1,34,77,752</t>
  </si>
  <si>
    <t>22,63,09,71,070.95</t>
  </si>
  <si>
    <t>1,83,654</t>
  </si>
  <si>
    <t>37,49,528</t>
  </si>
  <si>
    <t>1,76,65,043</t>
  </si>
  <si>
    <t>29,79,57,08,472.95</t>
  </si>
  <si>
    <t>1,77,271</t>
  </si>
  <si>
    <t>25,63,024</t>
  </si>
  <si>
    <t>1,62,02,574</t>
  </si>
  <si>
    <t>27,04,41,65,347.35</t>
  </si>
  <si>
    <t>2,42,646</t>
  </si>
  <si>
    <t>55,76,536</t>
  </si>
  <si>
    <t>1,48,18,613</t>
  </si>
  <si>
    <t>24,70,12,10,477.55</t>
  </si>
  <si>
    <t>1,98,013</t>
  </si>
  <si>
    <t>47,53,066</t>
  </si>
  <si>
    <t>1,23,70,584</t>
  </si>
  <si>
    <t>20,58,80,90,646.20</t>
  </si>
  <si>
    <t>1,42,796</t>
  </si>
  <si>
    <t>18,94,807</t>
  </si>
  <si>
    <t>1,64,61,358</t>
  </si>
  <si>
    <t>27,50,85,41,645.25</t>
  </si>
  <si>
    <t>1,71,106</t>
  </si>
  <si>
    <t>42,49,514</t>
  </si>
  <si>
    <t>1,00,64,309</t>
  </si>
  <si>
    <t>16,80,83,90,125.10</t>
  </si>
  <si>
    <t>1,59,632</t>
  </si>
  <si>
    <t>37,68,485</t>
  </si>
  <si>
    <t>1,78,37,926</t>
  </si>
  <si>
    <t>29,98,91,17,787.95</t>
  </si>
  <si>
    <t>1,81,877</t>
  </si>
  <si>
    <t>66,44,555</t>
  </si>
  <si>
    <t>2,51,76,534</t>
  </si>
  <si>
    <t>42,09,41,15,747.50</t>
  </si>
  <si>
    <t>2,30,940</t>
  </si>
  <si>
    <t>78,69,001</t>
  </si>
  <si>
    <t>1,36,96,375</t>
  </si>
  <si>
    <t>22,81,93,00,576.90</t>
  </si>
  <si>
    <t>1,84,866</t>
  </si>
  <si>
    <t>40,28,705</t>
  </si>
  <si>
    <t>2,38,95,196</t>
  </si>
  <si>
    <t>39,99,23,03,899.70</t>
  </si>
  <si>
    <t>2,58,905</t>
  </si>
  <si>
    <t>42,54,912</t>
  </si>
  <si>
    <t>1,39,58,136</t>
  </si>
  <si>
    <t>23,42,89,39,295.55</t>
  </si>
  <si>
    <t>1,82,365</t>
  </si>
  <si>
    <t>34,10,418</t>
  </si>
  <si>
    <t>1,61,10,592</t>
  </si>
  <si>
    <t>27,26,63,77,374.55</t>
  </si>
  <si>
    <t>1,85,905</t>
  </si>
  <si>
    <t>34,44,446</t>
  </si>
  <si>
    <t>1,47,03,635</t>
  </si>
  <si>
    <t>24,80,92,69,719.05</t>
  </si>
  <si>
    <t>1,76,478</t>
  </si>
  <si>
    <t>29,87,497</t>
  </si>
  <si>
    <t>2,84,27,319</t>
  </si>
  <si>
    <t>48,68,79,68,070.25</t>
  </si>
  <si>
    <t>2,55,713</t>
  </si>
  <si>
    <t>65,63,905</t>
  </si>
  <si>
    <t>3,13,85,208</t>
  </si>
  <si>
    <t>51,48,13,96,583.70</t>
  </si>
  <si>
    <t>6,97,018</t>
  </si>
  <si>
    <t>1,70,89,608</t>
  </si>
  <si>
    <t>1,86,22,262</t>
  </si>
  <si>
    <t>30,64,32,51,208.65</t>
  </si>
  <si>
    <t>2,40,839</t>
  </si>
  <si>
    <t>48,62,261</t>
  </si>
  <si>
    <t>2,18,44,469</t>
  </si>
  <si>
    <t>36,02,79,43,472.75</t>
  </si>
  <si>
    <t>2,70,463</t>
  </si>
  <si>
    <t>57,28,006</t>
  </si>
  <si>
    <t>2,31,70,275</t>
  </si>
  <si>
    <t>38,10,33,10,084.95</t>
  </si>
  <si>
    <t>2,28,151</t>
  </si>
  <si>
    <t>50,86,170</t>
  </si>
  <si>
    <t>1,78,67,309</t>
  </si>
  <si>
    <t>29,58,89,45,347.95</t>
  </si>
  <si>
    <t>2,19,658</t>
  </si>
  <si>
    <t>39,88,602</t>
  </si>
  <si>
    <t>1,12,39,380</t>
  </si>
  <si>
    <t>18,68,75,07,675.25</t>
  </si>
  <si>
    <t>2,00,542</t>
  </si>
  <si>
    <t>30,11,860</t>
  </si>
  <si>
    <t>92,56,130</t>
  </si>
  <si>
    <t>15,51,89,20,431.50</t>
  </si>
  <si>
    <t>2,04,219</t>
  </si>
  <si>
    <t>32,46,381</t>
  </si>
  <si>
    <t>1,63,61,043</t>
  </si>
  <si>
    <t>27,06,63,15,642.35</t>
  </si>
  <si>
    <t>2,36,552</t>
  </si>
  <si>
    <t>46,93,548</t>
  </si>
  <si>
    <t>1,52,33,434</t>
  </si>
  <si>
    <t>24,96,49,17,751.70</t>
  </si>
  <si>
    <t>2,24,112</t>
  </si>
  <si>
    <t>32,09,871</t>
  </si>
  <si>
    <t>2,48,23,471</t>
  </si>
  <si>
    <t>40,86,05,59,448.95</t>
  </si>
  <si>
    <t>2,78,185</t>
  </si>
  <si>
    <t>48,76,002</t>
  </si>
  <si>
    <t>1,52,30,166</t>
  </si>
  <si>
    <t>25,00,03,35,648.35</t>
  </si>
  <si>
    <t>1,97,258</t>
  </si>
  <si>
    <t>35,31,945</t>
  </si>
  <si>
    <t>1,41,67,016</t>
  </si>
  <si>
    <t>23,25,79,23,466.55</t>
  </si>
  <si>
    <t>2,04,936</t>
  </si>
  <si>
    <t>28,96,707</t>
  </si>
  <si>
    <t>1,12,35,037</t>
  </si>
  <si>
    <t>18,44,03,00,706.25</t>
  </si>
  <si>
    <t>1,98,675</t>
  </si>
  <si>
    <t>21,42,827</t>
  </si>
  <si>
    <t>1,67,94,056</t>
  </si>
  <si>
    <t>27,28,48,71,539.45</t>
  </si>
  <si>
    <t>2,98,545</t>
  </si>
  <si>
    <t>58,75,912</t>
  </si>
  <si>
    <t>1,48,88,465</t>
  </si>
  <si>
    <t>23,91,85,72,885.90</t>
  </si>
  <si>
    <t>3,18,672</t>
  </si>
  <si>
    <t>49,45,842</t>
  </si>
  <si>
    <t>1,33,17,533</t>
  </si>
  <si>
    <t>21,45,68,49,112.15</t>
  </si>
  <si>
    <t>2,47,378</t>
  </si>
  <si>
    <t>56,58,462</t>
  </si>
  <si>
    <t>1,09,08,146</t>
  </si>
  <si>
    <t>17,84,79,15,681.45</t>
  </si>
  <si>
    <t>2,07,071</t>
  </si>
  <si>
    <t>31,51,605</t>
  </si>
  <si>
    <t>1,85,62,964</t>
  </si>
  <si>
    <t>30,33,11,62,063.85</t>
  </si>
  <si>
    <t>2,64,829</t>
  </si>
  <si>
    <t>34,53,800</t>
  </si>
  <si>
    <t>2,16,67,135</t>
  </si>
  <si>
    <t>34,95,45,11,959.60</t>
  </si>
  <si>
    <t>2,91,055</t>
  </si>
  <si>
    <t>66,42,898</t>
  </si>
  <si>
    <t>2,51,83,469</t>
  </si>
  <si>
    <t>40,60,14,23,757.55</t>
  </si>
  <si>
    <t>2,82,772</t>
  </si>
  <si>
    <t>54,95,345</t>
  </si>
  <si>
    <t>89,29,855</t>
  </si>
  <si>
    <t>14,35,58,01,663.75</t>
  </si>
  <si>
    <t>3,16,938</t>
  </si>
  <si>
    <t>32,88,557</t>
  </si>
  <si>
    <t>93,48,621</t>
  </si>
  <si>
    <t>15,05,56,21,088.80</t>
  </si>
  <si>
    <t>1,53,663</t>
  </si>
  <si>
    <t>28,90,771</t>
  </si>
  <si>
    <t>1,60,91,426</t>
  </si>
  <si>
    <t>25,71,56,16,381.45</t>
  </si>
  <si>
    <t>2,33,706</t>
  </si>
  <si>
    <t>50,98,265</t>
  </si>
  <si>
    <t>1,24,74,513</t>
  </si>
  <si>
    <t>19,98,55,40,209.25</t>
  </si>
  <si>
    <t>1,76,230</t>
  </si>
  <si>
    <t>39,34,644</t>
  </si>
  <si>
    <t>1,86,97,761</t>
  </si>
  <si>
    <t>30,23,52,56,021.30</t>
  </si>
  <si>
    <t>2,68,888</t>
  </si>
  <si>
    <t>53,30,369</t>
  </si>
  <si>
    <t>91,06,289</t>
  </si>
  <si>
    <t>14,69,56,39,541.25</t>
  </si>
  <si>
    <t>1,85,235</t>
  </si>
  <si>
    <t>29,48,383</t>
  </si>
  <si>
    <t>67,04,146</t>
  </si>
  <si>
    <t>10,75,57,48,258.60</t>
  </si>
  <si>
    <t>1,56,138</t>
  </si>
  <si>
    <t>31,88,691</t>
  </si>
  <si>
    <t>1,39,63,054</t>
  </si>
  <si>
    <t>22,37,68,05,987.05</t>
  </si>
  <si>
    <t>1,84,386</t>
  </si>
  <si>
    <t>61,79,907</t>
  </si>
  <si>
    <t>1,00,56,984</t>
  </si>
  <si>
    <t>16,15,91,16,681.25</t>
  </si>
  <si>
    <t>1,74,004</t>
  </si>
  <si>
    <t>44,18,111</t>
  </si>
  <si>
    <t>1,76,88,738</t>
  </si>
  <si>
    <t>28,13,24,06,376.20</t>
  </si>
  <si>
    <t>2,71,848</t>
  </si>
  <si>
    <t>59,65,872</t>
  </si>
  <si>
    <t>78,89,636</t>
  </si>
  <si>
    <t>12,60,95,94,950.00</t>
  </si>
  <si>
    <t>1,81,546</t>
  </si>
  <si>
    <t>42,48,458</t>
  </si>
  <si>
    <t>1,24,14,573</t>
  </si>
  <si>
    <t>19,93,77,59,557.10</t>
  </si>
  <si>
    <t>1,62,051</t>
  </si>
  <si>
    <t>43,83,742</t>
  </si>
  <si>
    <t>1,00,02,813</t>
  </si>
  <si>
    <t>16,00,12,91,895.20</t>
  </si>
  <si>
    <t>2,87,119</t>
  </si>
  <si>
    <t>42,73,291</t>
  </si>
  <si>
    <t>1,21,54,473</t>
  </si>
  <si>
    <t>19,79,01,44,100.50</t>
  </si>
  <si>
    <t>2,76,058</t>
  </si>
  <si>
    <t>56,96,387</t>
  </si>
  <si>
    <t>2,82,98,070</t>
  </si>
  <si>
    <t>46,59,85,24,688.10</t>
  </si>
  <si>
    <t>3,67,511</t>
  </si>
  <si>
    <t>1,00,15,810</t>
  </si>
  <si>
    <t>1,06,69,609</t>
  </si>
  <si>
    <t>17,59,94,09,604.40</t>
  </si>
  <si>
    <t>2,48,242</t>
  </si>
  <si>
    <t>47,58,035</t>
  </si>
  <si>
    <t>80,65,157</t>
  </si>
  <si>
    <t>13,20,53,20,442.40</t>
  </si>
  <si>
    <t>1,99,872</t>
  </si>
  <si>
    <t>43,28,332</t>
  </si>
  <si>
    <t>1,69,15,932</t>
  </si>
  <si>
    <t>27,97,99,20,820.40</t>
  </si>
  <si>
    <t>3,14,003</t>
  </si>
  <si>
    <t>85,17,518</t>
  </si>
  <si>
    <t>2,97,81,475</t>
  </si>
  <si>
    <t>49,83,32,44,547.95</t>
  </si>
  <si>
    <t>4,39,006</t>
  </si>
  <si>
    <t>1,68,87,785</t>
  </si>
  <si>
    <t>2,03,49,508</t>
  </si>
  <si>
    <t>34,56,76,75,938.75</t>
  </si>
  <si>
    <t>3,26,058</t>
  </si>
  <si>
    <t>1,47,89,780</t>
  </si>
  <si>
    <t>2,20,52,058</t>
  </si>
  <si>
    <t>38,22,31,61,666.50</t>
  </si>
  <si>
    <t>5,40,520</t>
  </si>
  <si>
    <t>1,15,12,012</t>
  </si>
  <si>
    <t>1,93,97,594</t>
  </si>
  <si>
    <t>33,57,79,54,092.40</t>
  </si>
  <si>
    <t>3,79,487</t>
  </si>
  <si>
    <t>77,95,269</t>
  </si>
  <si>
    <t>1,85,82,877</t>
  </si>
  <si>
    <t>31,24,95,28,816.15</t>
  </si>
  <si>
    <t>4,77,385</t>
  </si>
  <si>
    <t>94,31,298</t>
  </si>
  <si>
    <t>2,60,78,272</t>
  </si>
  <si>
    <t>43,67,15,47,685.50</t>
  </si>
  <si>
    <t>3,77,109</t>
  </si>
  <si>
    <t>79,30,745</t>
  </si>
  <si>
    <t>99,63,168</t>
  </si>
  <si>
    <t>16,57,41,55,973.95</t>
  </si>
  <si>
    <t>3,20,533</t>
  </si>
  <si>
    <t>38,63,511</t>
  </si>
  <si>
    <t>1,91,99,221</t>
  </si>
  <si>
    <t>31,85,31,62,737.15</t>
  </si>
  <si>
    <t>3,17,755</t>
  </si>
  <si>
    <t>39,19,467</t>
  </si>
  <si>
    <t>2,53,35,213</t>
  </si>
  <si>
    <t>42,18,04,75,745.65</t>
  </si>
  <si>
    <t>3,79,237</t>
  </si>
  <si>
    <t>74,17,565</t>
  </si>
  <si>
    <t>3,54,79,179</t>
  </si>
  <si>
    <t>58,32,32,00,837.30</t>
  </si>
  <si>
    <t>4,98,866</t>
  </si>
  <si>
    <t>2,00,20,165</t>
  </si>
  <si>
    <t>2,09,56,773</t>
  </si>
  <si>
    <t>34,54,98,48,532.65</t>
  </si>
  <si>
    <t>4,32,632</t>
  </si>
  <si>
    <t>54,98,771</t>
  </si>
  <si>
    <t>1,23,63,607</t>
  </si>
  <si>
    <t>20,30,98,76,686.30</t>
  </si>
  <si>
    <t>4,62,491</t>
  </si>
  <si>
    <t>62,76,284</t>
  </si>
  <si>
    <t>W3</t>
  </si>
  <si>
    <t>3,91,73,820.00</t>
  </si>
  <si>
    <t>2,46,26,464</t>
  </si>
  <si>
    <t>40,89,25,07,962.10</t>
  </si>
  <si>
    <t>4,35,163</t>
  </si>
  <si>
    <t>99,84,310</t>
  </si>
  <si>
    <t>1,42,200</t>
  </si>
  <si>
    <t>9,13,71,030.00</t>
  </si>
  <si>
    <t>1,15,800</t>
  </si>
  <si>
    <t>4,05,38,409</t>
  </si>
  <si>
    <t>68,25,98,72,564.30</t>
  </si>
  <si>
    <t>7,04,526</t>
  </si>
  <si>
    <t>1,65,99,436</t>
  </si>
  <si>
    <t>2,73,810</t>
  </si>
  <si>
    <t>45,96,99,609.00</t>
  </si>
  <si>
    <t>1,37,400</t>
  </si>
  <si>
    <t>8,74,20,150.00</t>
  </si>
  <si>
    <t>1,12,200</t>
  </si>
  <si>
    <t>1,64,67,567</t>
  </si>
  <si>
    <t>27,70,59,15,264.20</t>
  </si>
  <si>
    <t>4,27,479</t>
  </si>
  <si>
    <t>63,04,659</t>
  </si>
  <si>
    <t>2,81,05,474</t>
  </si>
  <si>
    <t>47,38,80,96,303.30</t>
  </si>
  <si>
    <t>4,33,278</t>
  </si>
  <si>
    <t>1,31,78,804</t>
  </si>
  <si>
    <t>3,44,400</t>
  </si>
  <si>
    <t>22,38,09,240.00</t>
  </si>
  <si>
    <t>3,29,400</t>
  </si>
  <si>
    <t>3,18,600</t>
  </si>
  <si>
    <t>20,42,71,710.00</t>
  </si>
  <si>
    <t>2,85,000</t>
  </si>
  <si>
    <t>2,10,77,124</t>
  </si>
  <si>
    <t>35,42,64,65,573.70</t>
  </si>
  <si>
    <t>3,37,174</t>
  </si>
  <si>
    <t>1,13,44,016</t>
  </si>
  <si>
    <t>5,31,49,500.00</t>
  </si>
  <si>
    <t>1,60,89,722</t>
  </si>
  <si>
    <t>26,99,45,70,123.70</t>
  </si>
  <si>
    <t>2,96,190</t>
  </si>
  <si>
    <t>90,94,607</t>
  </si>
  <si>
    <t>2,79,96,298</t>
  </si>
  <si>
    <t>47,37,50,21,905.75</t>
  </si>
  <si>
    <t>5,34,396</t>
  </si>
  <si>
    <t>1,01,39,007</t>
  </si>
  <si>
    <t>4,45,200</t>
  </si>
  <si>
    <t>28,88,38,980.00</t>
  </si>
  <si>
    <t>3,93,600</t>
  </si>
  <si>
    <t>5,13,97,770.00</t>
  </si>
  <si>
    <t>1,23,97,179</t>
  </si>
  <si>
    <t>20,98,80,22,760.35</t>
  </si>
  <si>
    <t>2,51,108</t>
  </si>
  <si>
    <t>57,93,581</t>
  </si>
  <si>
    <t>2,98,70,651</t>
  </si>
  <si>
    <t>50,21,48,60,523.75</t>
  </si>
  <si>
    <t>5,06,283</t>
  </si>
  <si>
    <t>1,42,26,217</t>
  </si>
  <si>
    <t>4,96,79,310.00</t>
  </si>
  <si>
    <t>1,70,400</t>
  </si>
  <si>
    <t>10,07,08,050.00</t>
  </si>
  <si>
    <t>1,08,000</t>
  </si>
  <si>
    <t>2,05,07,842</t>
  </si>
  <si>
    <t>33,82,93,21,793.55</t>
  </si>
  <si>
    <t>4,22,378</t>
  </si>
  <si>
    <t>1,35,10,158</t>
  </si>
  <si>
    <t>1,72,82,503</t>
  </si>
  <si>
    <t>28,49,90,54,865.30</t>
  </si>
  <si>
    <t>4,34,555</t>
  </si>
  <si>
    <t>94,57,401</t>
  </si>
  <si>
    <t>1,55,400</t>
  </si>
  <si>
    <t>9,12,34,740.00</t>
  </si>
  <si>
    <t>1,44,600</t>
  </si>
  <si>
    <t>1,76,97,094</t>
  </si>
  <si>
    <t>29,36,64,53,399.30</t>
  </si>
  <si>
    <t>3,85,496</t>
  </si>
  <si>
    <t>57,58,362</t>
  </si>
  <si>
    <t>3,56,400</t>
  </si>
  <si>
    <t>21,35,19,120.00</t>
  </si>
  <si>
    <t>3,00,000</t>
  </si>
  <si>
    <t>3,02,400</t>
  </si>
  <si>
    <t>17,59,56,540.00</t>
  </si>
  <si>
    <t>2,88,600</t>
  </si>
  <si>
    <t>1,40,58,161</t>
  </si>
  <si>
    <t>23,11,63,46,478.45</t>
  </si>
  <si>
    <t>3,80,609</t>
  </si>
  <si>
    <t>65,88,171</t>
  </si>
  <si>
    <t>4,46,400</t>
  </si>
  <si>
    <t>25,51,19,700.00</t>
  </si>
  <si>
    <t>3,84,600</t>
  </si>
  <si>
    <t>2,88,36,973</t>
  </si>
  <si>
    <t>47,09,31,13,412.85</t>
  </si>
  <si>
    <t>4,39,722</t>
  </si>
  <si>
    <t>96,06,761</t>
  </si>
  <si>
    <t>1,86,94,152</t>
  </si>
  <si>
    <t>30,69,07,12,012.15</t>
  </si>
  <si>
    <t>3,10,206</t>
  </si>
  <si>
    <t>57,85,079</t>
  </si>
  <si>
    <t>6,13,800</t>
  </si>
  <si>
    <t>35,48,16,240.00</t>
  </si>
  <si>
    <t>5,95,200</t>
  </si>
  <si>
    <t>1,41,50,459</t>
  </si>
  <si>
    <t>23,39,19,43,678.55</t>
  </si>
  <si>
    <t>2,56,889</t>
  </si>
  <si>
    <t>56,47,029</t>
  </si>
  <si>
    <t>4,00,200</t>
  </si>
  <si>
    <t>24,09,53,550.00</t>
  </si>
  <si>
    <t>3,65,400</t>
  </si>
  <si>
    <t>2,18,86,914</t>
  </si>
  <si>
    <t>36,11,62,74,511.30</t>
  </si>
  <si>
    <t>3,00,979</t>
  </si>
  <si>
    <t>74,01,918</t>
  </si>
  <si>
    <t>3,71,97,630.00</t>
  </si>
  <si>
    <t>2,51,95,680.00</t>
  </si>
  <si>
    <t>1,66,80,618</t>
  </si>
  <si>
    <t>27,36,02,30,365.00</t>
  </si>
  <si>
    <t>2,28,397</t>
  </si>
  <si>
    <t>55,46,894</t>
  </si>
  <si>
    <t>2,53,90,559</t>
  </si>
  <si>
    <t>41,61,49,59,546.45</t>
  </si>
  <si>
    <t>3,32,263</t>
  </si>
  <si>
    <t>68,35,898</t>
  </si>
  <si>
    <t>1,12,425</t>
  </si>
  <si>
    <t>18,55,57,462.50</t>
  </si>
  <si>
    <t>1,41,12,911</t>
  </si>
  <si>
    <t>22,94,42,47,784.10</t>
  </si>
  <si>
    <t>2,71,050</t>
  </si>
  <si>
    <t>59,68,867</t>
  </si>
  <si>
    <t>1,56,52,205</t>
  </si>
  <si>
    <t>25,18,37,94,816.50</t>
  </si>
  <si>
    <t>3,49,385</t>
  </si>
  <si>
    <t>62,96,942</t>
  </si>
  <si>
    <t>1,70,68,771</t>
  </si>
  <si>
    <t>27,25,31,51,750.90</t>
  </si>
  <si>
    <t>3,00,850</t>
  </si>
  <si>
    <t>74,82,636</t>
  </si>
  <si>
    <t>2,64,42,020</t>
  </si>
  <si>
    <t>42,31,28,60,300.10</t>
  </si>
  <si>
    <t>4,00,922</t>
  </si>
  <si>
    <t>94,05,436</t>
  </si>
  <si>
    <t>1,28,16,683</t>
  </si>
  <si>
    <t>20,38,61,33,002.30</t>
  </si>
  <si>
    <t>2,82,239</t>
  </si>
  <si>
    <t>58,30,172</t>
  </si>
  <si>
    <t>1,09,18,635</t>
  </si>
  <si>
    <t>17,39,41,09,160.45</t>
  </si>
  <si>
    <t>2,41,780</t>
  </si>
  <si>
    <t>49,67,663</t>
  </si>
  <si>
    <t>1,61,36,785</t>
  </si>
  <si>
    <t>25,62,67,13,594.35</t>
  </si>
  <si>
    <t>4,20,291</t>
  </si>
  <si>
    <t>68,03,467</t>
  </si>
  <si>
    <t>1,82,49,294</t>
  </si>
  <si>
    <t>28,87,01,23,207.45</t>
  </si>
  <si>
    <t>3,29,674</t>
  </si>
  <si>
    <t>1,03,07,529</t>
  </si>
  <si>
    <t>2,15,72,896</t>
  </si>
  <si>
    <t>34,16,27,75,004.65</t>
  </si>
  <si>
    <t>3,97,769</t>
  </si>
  <si>
    <t>73,52,169</t>
  </si>
  <si>
    <t>1,50,34,878</t>
  </si>
  <si>
    <t>23,52,84,89,943.80</t>
  </si>
  <si>
    <t>3,50,735</t>
  </si>
  <si>
    <t>87,64,737</t>
  </si>
  <si>
    <t>1,44,33,619</t>
  </si>
  <si>
    <t>22,72,46,92,200.70</t>
  </si>
  <si>
    <t>2,89,068</t>
  </si>
  <si>
    <t>80,43,360</t>
  </si>
  <si>
    <t>1,77,69,466</t>
  </si>
  <si>
    <t>28,22,44,20,149.05</t>
  </si>
  <si>
    <t>3,41,561</t>
  </si>
  <si>
    <t>92,26,802</t>
  </si>
  <si>
    <t>1,40,42,102</t>
  </si>
  <si>
    <t>22,32,07,81,696.10</t>
  </si>
  <si>
    <t>2,97,743</t>
  </si>
  <si>
    <t>74,65,190</t>
  </si>
  <si>
    <t>5,00,37,886</t>
  </si>
  <si>
    <t>78,60,89,31,136.20</t>
  </si>
  <si>
    <t>4,19,748</t>
  </si>
  <si>
    <t>2,73,44,438</t>
  </si>
  <si>
    <t>2,16,13,388</t>
  </si>
  <si>
    <t>33,91,85,08,405.30</t>
  </si>
  <si>
    <t>4,50,304</t>
  </si>
  <si>
    <t>1,17,12,682</t>
  </si>
  <si>
    <t>1,25,36,819</t>
  </si>
  <si>
    <t>19,83,36,66,505.30</t>
  </si>
  <si>
    <t>2,36,702</t>
  </si>
  <si>
    <t>68,78,890</t>
  </si>
  <si>
    <t>1,93,56,041</t>
  </si>
  <si>
    <t>30,51,03,14,620.10</t>
  </si>
  <si>
    <t>4,07,651</t>
  </si>
  <si>
    <t>73,19,213</t>
  </si>
  <si>
    <t>2,81,60,455</t>
  </si>
  <si>
    <t>44,73,03,93,184.30</t>
  </si>
  <si>
    <t>3,94,705</t>
  </si>
  <si>
    <t>1,02,22,093</t>
  </si>
  <si>
    <t>1,71,04,171</t>
  </si>
  <si>
    <t>27,39,52,55,131.15</t>
  </si>
  <si>
    <t>2,82,493</t>
  </si>
  <si>
    <t>63,02,758</t>
  </si>
  <si>
    <t>1,72,51,105</t>
  </si>
  <si>
    <t>27,94,12,56,455.40</t>
  </si>
  <si>
    <t>2,63,597</t>
  </si>
  <si>
    <t>70,88,173</t>
  </si>
  <si>
    <t>1,57,86,511</t>
  </si>
  <si>
    <t>25,75,28,84,037.25</t>
  </si>
  <si>
    <t>2,90,843</t>
  </si>
  <si>
    <t>1,17,94,625</t>
  </si>
  <si>
    <t>1,95,16,670</t>
  </si>
  <si>
    <t>31,91,89,59,857.45</t>
  </si>
  <si>
    <t>3,10,906</t>
  </si>
  <si>
    <t>84,20,128</t>
  </si>
  <si>
    <t>2,32,10,047</t>
  </si>
  <si>
    <t>38,15,17,41,645.90</t>
  </si>
  <si>
    <t>3,53,522</t>
  </si>
  <si>
    <t>1,09,13,856</t>
  </si>
  <si>
    <t>1,17,69,424</t>
  </si>
  <si>
    <t>19,32,98,82,409.25</t>
  </si>
  <si>
    <t>2,69,108</t>
  </si>
  <si>
    <t>45,94,361</t>
  </si>
  <si>
    <t>8,67,05,601</t>
  </si>
  <si>
    <t>1,43,98,61,31,583.85</t>
  </si>
  <si>
    <t>4,85,971</t>
  </si>
  <si>
    <t>6,21,76,243</t>
  </si>
  <si>
    <t>1,85,28,144</t>
  </si>
  <si>
    <t>30,32,12,24,693.30</t>
  </si>
  <si>
    <t>2,92,658</t>
  </si>
  <si>
    <t>76,32,991</t>
  </si>
  <si>
    <t>5,77,37,324</t>
  </si>
  <si>
    <t>90,68,40,80,075.60</t>
  </si>
  <si>
    <t>9,77,717</t>
  </si>
  <si>
    <t>3,52,68,822</t>
  </si>
  <si>
    <t>3,64,20,721</t>
  </si>
  <si>
    <t>56,64,66,57,569.55</t>
  </si>
  <si>
    <t>6,14,240</t>
  </si>
  <si>
    <t>2,04,39,570</t>
  </si>
  <si>
    <t>3,08,52,125</t>
  </si>
  <si>
    <t>47,65,39,55,740.50</t>
  </si>
  <si>
    <t>5,48,206</t>
  </si>
  <si>
    <t>2,04,33,576</t>
  </si>
  <si>
    <t>2,01,04,377</t>
  </si>
  <si>
    <t>30,82,57,20,275.30</t>
  </si>
  <si>
    <t>3,38,863</t>
  </si>
  <si>
    <t>1,42,95,701</t>
  </si>
  <si>
    <t>1,37,87,654</t>
  </si>
  <si>
    <t>21,16,71,97,917.55</t>
  </si>
  <si>
    <t>3,03,026</t>
  </si>
  <si>
    <t>79,08,660</t>
  </si>
  <si>
    <t>1,96,69,269</t>
  </si>
  <si>
    <t>29,98,35,98,526.15</t>
  </si>
  <si>
    <t>3,84,553</t>
  </si>
  <si>
    <t>1,35,95,388</t>
  </si>
  <si>
    <t>2,76,77,094</t>
  </si>
  <si>
    <t>42,25,20,70,128.65</t>
  </si>
  <si>
    <t>3,24,684</t>
  </si>
  <si>
    <t>1,36,38,761</t>
  </si>
  <si>
    <t>1,60,26,891</t>
  </si>
  <si>
    <t>24,50,83,75,856.50</t>
  </si>
  <si>
    <t>2,74,764</t>
  </si>
  <si>
    <t>93,39,695</t>
  </si>
  <si>
    <t>1,94,85,847</t>
  </si>
  <si>
    <t>29,46,14,59,601.05</t>
  </si>
  <si>
    <t>4,66,405</t>
  </si>
  <si>
    <t>1,28,69,902</t>
  </si>
  <si>
    <t>2,73,24,715</t>
  </si>
  <si>
    <t>41,51,59,75,722.85</t>
  </si>
  <si>
    <t>4,65,424</t>
  </si>
  <si>
    <t>1,55,48,264</t>
  </si>
  <si>
    <t>2,42,56,337</t>
  </si>
  <si>
    <t>37,37,31,76,644.20</t>
  </si>
  <si>
    <t>3,60,029</t>
  </si>
  <si>
    <t>1,74,51,398</t>
  </si>
  <si>
    <t>88,79,678</t>
  </si>
  <si>
    <t>13,66,66,72,813.35</t>
  </si>
  <si>
    <t>2,21,516</t>
  </si>
  <si>
    <t>59,38,403</t>
  </si>
  <si>
    <t>82,27,486</t>
  </si>
  <si>
    <t>12,48,67,90,439.80</t>
  </si>
  <si>
    <t>2,19,643</t>
  </si>
  <si>
    <t>56,37,607</t>
  </si>
  <si>
    <t>1,66,33,146</t>
  </si>
  <si>
    <t>25,33,48,54,412.75</t>
  </si>
  <si>
    <t>3,75,460</t>
  </si>
  <si>
    <t>1,02,96,948</t>
  </si>
  <si>
    <t>1,56,66,680</t>
  </si>
  <si>
    <t>24,04,71,40,129.10</t>
  </si>
  <si>
    <t>2,82,864</t>
  </si>
  <si>
    <t>95,31,878</t>
  </si>
  <si>
    <t>1,10,12,668</t>
  </si>
  <si>
    <t>16,97,78,44,444.80</t>
  </si>
  <si>
    <t>2,39,200</t>
  </si>
  <si>
    <t>70,92,056</t>
  </si>
  <si>
    <t>1,98,72,650</t>
  </si>
  <si>
    <t>30,59,28,84,042.20</t>
  </si>
  <si>
    <t>2,56,367</t>
  </si>
  <si>
    <t>1,38,87,161</t>
  </si>
  <si>
    <t>89,28,042</t>
  </si>
  <si>
    <t>13,65,26,81,917.00</t>
  </si>
  <si>
    <t>2,23,477</t>
  </si>
  <si>
    <t>53,32,772</t>
  </si>
  <si>
    <t>1,64,51,279</t>
  </si>
  <si>
    <t>25,37,54,68,422.15</t>
  </si>
  <si>
    <t>3,82,090</t>
  </si>
  <si>
    <t>99,11,443</t>
  </si>
  <si>
    <t>1,56,08,100</t>
  </si>
  <si>
    <t>23,79,63,58,906.90</t>
  </si>
  <si>
    <t>3,42,915</t>
  </si>
  <si>
    <t>90,49,826</t>
  </si>
  <si>
    <t>1,51,26,182</t>
  </si>
  <si>
    <t>22,94,06,29,736.40</t>
  </si>
  <si>
    <t>3,31,067</t>
  </si>
  <si>
    <t>91,83,556</t>
  </si>
  <si>
    <t>1,05,47,005</t>
  </si>
  <si>
    <t>16,02,45,69,217.40</t>
  </si>
  <si>
    <t>2,67,376</t>
  </si>
  <si>
    <t>69,03,339</t>
  </si>
  <si>
    <t>1,11,88,068</t>
  </si>
  <si>
    <t>17,00,67,38,603.70</t>
  </si>
  <si>
    <t>2,49,005</t>
  </si>
  <si>
    <t>63,65,030</t>
  </si>
  <si>
    <t>1,41,55,998</t>
  </si>
  <si>
    <t>21,31,69,45,153.10</t>
  </si>
  <si>
    <t>3,72,043</t>
  </si>
  <si>
    <t>1,00,78,087</t>
  </si>
  <si>
    <t>2,77,80,899</t>
  </si>
  <si>
    <t>40,82,54,80,054.70</t>
  </si>
  <si>
    <t>6,24,140</t>
  </si>
  <si>
    <t>1,63,71,972</t>
  </si>
  <si>
    <t>1,59,70,266</t>
  </si>
  <si>
    <t>23,49,13,78,766.10</t>
  </si>
  <si>
    <t>2,83,464</t>
  </si>
  <si>
    <t>1,11,20,498</t>
  </si>
  <si>
    <t>1,16,55,491</t>
  </si>
  <si>
    <t>17,24,41,38,134.55</t>
  </si>
  <si>
    <t>2,69,734</t>
  </si>
  <si>
    <t>71,57,538</t>
  </si>
  <si>
    <t>1,63,17,412</t>
  </si>
  <si>
    <t>24,18,28,40,370.90</t>
  </si>
  <si>
    <t>4,22,644</t>
  </si>
  <si>
    <t>73,50,202</t>
  </si>
  <si>
    <t>13,11,69,307.00</t>
  </si>
  <si>
    <t>1,69,38,733</t>
  </si>
  <si>
    <t>24,88,64,25,534.80</t>
  </si>
  <si>
    <t>3,40,052</t>
  </si>
  <si>
    <t>70,38,967</t>
  </si>
  <si>
    <t>2,26,12,577</t>
  </si>
  <si>
    <t>33,29,18,73,290.70</t>
  </si>
  <si>
    <t>2,60,964</t>
  </si>
  <si>
    <t>1,57,05,946</t>
  </si>
  <si>
    <t>90,47,670</t>
  </si>
  <si>
    <t>13,45,61,52,900.70</t>
  </si>
  <si>
    <t>2,26,806</t>
  </si>
  <si>
    <t>59,28,328</t>
  </si>
  <si>
    <t>1,27,96,865</t>
  </si>
  <si>
    <t>19,04,49,45,751.70</t>
  </si>
  <si>
    <t>3,86,836</t>
  </si>
  <si>
    <t>90,45,785</t>
  </si>
  <si>
    <t>2,09,76,424</t>
  </si>
  <si>
    <t>31,13,90,51,244.05</t>
  </si>
  <si>
    <t>5,85,794</t>
  </si>
  <si>
    <t>93,47,401</t>
  </si>
  <si>
    <t>1,56,99,773</t>
  </si>
  <si>
    <t>23,37,74,06,572.30</t>
  </si>
  <si>
    <t>4,99,216</t>
  </si>
  <si>
    <t>60,62,315</t>
  </si>
  <si>
    <t>1,10,58,370</t>
  </si>
  <si>
    <t>16,45,14,04,289.60</t>
  </si>
  <si>
    <t>2,81,527</t>
  </si>
  <si>
    <t>62,63,802</t>
  </si>
  <si>
    <t>70,07,593</t>
  </si>
  <si>
    <t>10,41,79,71,067.75</t>
  </si>
  <si>
    <t>1,81,055</t>
  </si>
  <si>
    <t>39,24,576</t>
  </si>
  <si>
    <t>19,75,463</t>
  </si>
  <si>
    <t>2,96,22,07,492.65</t>
  </si>
  <si>
    <t>7,72,458</t>
  </si>
  <si>
    <t>1,03,02,957</t>
  </si>
  <si>
    <t>15,35,88,48,457.45</t>
  </si>
  <si>
    <t>3,18,892</t>
  </si>
  <si>
    <t>53,82,293</t>
  </si>
  <si>
    <t>2,06,22,730</t>
  </si>
  <si>
    <t>31,05,15,66,881.50</t>
  </si>
  <si>
    <t>3,31,586</t>
  </si>
  <si>
    <t>1,12,54,599</t>
  </si>
  <si>
    <t>1,48,56,919</t>
  </si>
  <si>
    <t>22,44,90,02,896.90</t>
  </si>
  <si>
    <t>2,70,257</t>
  </si>
  <si>
    <t>92,11,530</t>
  </si>
  <si>
    <t>1,18,50,937</t>
  </si>
  <si>
    <t>17,80,58,35,559.30</t>
  </si>
  <si>
    <t>2,98,602</t>
  </si>
  <si>
    <t>79,24,052</t>
  </si>
  <si>
    <t>96,65,726</t>
  </si>
  <si>
    <t>14,55,13,79,677.65</t>
  </si>
  <si>
    <t>2,00,480</t>
  </si>
  <si>
    <t>57,02,845</t>
  </si>
  <si>
    <t>1,24,79,986</t>
  </si>
  <si>
    <t>18,94,19,39,824.75</t>
  </si>
  <si>
    <t>2,91,918</t>
  </si>
  <si>
    <t>75,56,905</t>
  </si>
  <si>
    <t>1,45,61,825</t>
  </si>
  <si>
    <t>22,03,55,95,098.85</t>
  </si>
  <si>
    <t>2,61,084</t>
  </si>
  <si>
    <t>49,91,663</t>
  </si>
  <si>
    <t>65,23,110</t>
  </si>
  <si>
    <t>9,90,99,95,976.95</t>
  </si>
  <si>
    <t>1,70,796</t>
  </si>
  <si>
    <t>38,34,686</t>
  </si>
  <si>
    <t>82,34,596</t>
  </si>
  <si>
    <t>12,59,07,57,692.80</t>
  </si>
  <si>
    <t>1,91,494</t>
  </si>
  <si>
    <t>57,71,108</t>
  </si>
  <si>
    <t>1,42,44,669</t>
  </si>
  <si>
    <t>21,82,11,67,498.85</t>
  </si>
  <si>
    <t>2,54,566</t>
  </si>
  <si>
    <t>1,03,73,959</t>
  </si>
  <si>
    <t>1,70,21,244</t>
  </si>
  <si>
    <t>26,33,97,38,845.55</t>
  </si>
  <si>
    <t>3,14,977</t>
  </si>
  <si>
    <t>1,25,73,984</t>
  </si>
  <si>
    <t>3,47,45,720</t>
  </si>
  <si>
    <t>54,04,86,90,749.35</t>
  </si>
  <si>
    <t>3,52,886</t>
  </si>
  <si>
    <t>2,41,27,159</t>
  </si>
  <si>
    <t>1,10,76,768</t>
  </si>
  <si>
    <t>17,27,04,79,586.70</t>
  </si>
  <si>
    <t>2,99,721</t>
  </si>
  <si>
    <t>78,16,765</t>
  </si>
  <si>
    <t>2,53,31,228</t>
  </si>
  <si>
    <t>40,33,38,20,531.20</t>
  </si>
  <si>
    <t>4,41,679</t>
  </si>
  <si>
    <t>1,89,92,621</t>
  </si>
  <si>
    <t>2,61,15,410</t>
  </si>
  <si>
    <t>42,46,55,36,275.85</t>
  </si>
  <si>
    <t>3,97,106</t>
  </si>
  <si>
    <t>1,51,52,680</t>
  </si>
  <si>
    <t>1,93,06,530</t>
  </si>
  <si>
    <t>31,41,95,73,681.05</t>
  </si>
  <si>
    <t>3,40,998</t>
  </si>
  <si>
    <t>1,12,06,777</t>
  </si>
  <si>
    <t>1,02,25,193</t>
  </si>
  <si>
    <t>16,65,15,13,307.40</t>
  </si>
  <si>
    <t>2,19,921</t>
  </si>
  <si>
    <t>69,93,493</t>
  </si>
  <si>
    <t>1,68,64,019</t>
  </si>
  <si>
    <t>27,80,74,18,190.95</t>
  </si>
  <si>
    <t>3,72,167</t>
  </si>
  <si>
    <t>1,25,03,238</t>
  </si>
  <si>
    <t>1,15,93,810</t>
  </si>
  <si>
    <t>19,16,46,09,234.90</t>
  </si>
  <si>
    <t>3,76,768</t>
  </si>
  <si>
    <t>80,95,762</t>
  </si>
  <si>
    <t>1,82,90,738</t>
  </si>
  <si>
    <t>30,09,58,21,186.80</t>
  </si>
  <si>
    <t>3,86,854</t>
  </si>
  <si>
    <t>1,25,47,290</t>
  </si>
  <si>
    <t>1,46,73,457</t>
  </si>
  <si>
    <t>23,89,04,10,498.90</t>
  </si>
  <si>
    <t>3,52,315</t>
  </si>
  <si>
    <t>79,26,681</t>
  </si>
  <si>
    <t>1,75,86,183</t>
  </si>
  <si>
    <t>29,03,53,47,300.80</t>
  </si>
  <si>
    <t>3,45,239</t>
  </si>
  <si>
    <t>1,24,01,147</t>
  </si>
  <si>
    <t>6,94,18,565</t>
  </si>
  <si>
    <t>1,14,91,20,65,107.80</t>
  </si>
  <si>
    <t>4,20,832</t>
  </si>
  <si>
    <t>4,95,73,293</t>
  </si>
  <si>
    <t>90,07,377</t>
  </si>
  <si>
    <t>14,93,22,77,614.85</t>
  </si>
  <si>
    <t>2,58,215</t>
  </si>
  <si>
    <t>57,29,288</t>
  </si>
  <si>
    <t>1,20,04,223</t>
  </si>
  <si>
    <t>19,82,17,02,426.65</t>
  </si>
  <si>
    <t>2,57,002</t>
  </si>
  <si>
    <t>68,61,842</t>
  </si>
  <si>
    <t>1,71,16,260</t>
  </si>
  <si>
    <t>28,45,12,45,154.05</t>
  </si>
  <si>
    <t>4,15,287</t>
  </si>
  <si>
    <t>1,14,01,194</t>
  </si>
  <si>
    <t>1,82,94,620</t>
  </si>
  <si>
    <t>30,60,44,91,502.45</t>
  </si>
  <si>
    <t>3,85,913</t>
  </si>
  <si>
    <t>1,05,06,095</t>
  </si>
  <si>
    <t>2,42,89,425</t>
  </si>
  <si>
    <t>40,70,27,11,527.50</t>
  </si>
  <si>
    <t>4,50,284</t>
  </si>
  <si>
    <t>1,71,51,697</t>
  </si>
  <si>
    <t>90,22,928</t>
  </si>
  <si>
    <t>15,14,45,82,177.45</t>
  </si>
  <si>
    <t>2,43,596</t>
  </si>
  <si>
    <t>50,04,732</t>
  </si>
  <si>
    <t>1,35,04,539</t>
  </si>
  <si>
    <t>22,90,18,80,536.75</t>
  </si>
  <si>
    <t>3,21,373</t>
  </si>
  <si>
    <t>91,79,567</t>
  </si>
  <si>
    <t>2,20,38,235</t>
  </si>
  <si>
    <t>37,71,30,47,859.00</t>
  </si>
  <si>
    <t>4,23,062</t>
  </si>
  <si>
    <t>1,50,56,267</t>
  </si>
  <si>
    <t>1,25,05,713</t>
  </si>
  <si>
    <t>21,35,36,50,105.25</t>
  </si>
  <si>
    <t>2,64,143</t>
  </si>
  <si>
    <t>91,95,603</t>
  </si>
  <si>
    <t>71,19,843</t>
  </si>
  <si>
    <t>12,11,45,68,489.30</t>
  </si>
  <si>
    <t>2,58,349</t>
  </si>
  <si>
    <t>44,16,670</t>
  </si>
  <si>
    <t>1,46,21,046</t>
  </si>
  <si>
    <t>24,81,81,49,211.10</t>
  </si>
  <si>
    <t>3,34,886</t>
  </si>
  <si>
    <t>86,90,628</t>
  </si>
  <si>
    <t>1,41,94,881</t>
  </si>
  <si>
    <t>23,86,54,12,912.55</t>
  </si>
  <si>
    <t>4,26,015</t>
  </si>
  <si>
    <t>86,13,392</t>
  </si>
  <si>
    <t>1,33,67,028</t>
  </si>
  <si>
    <t>22,48,31,29,792.50</t>
  </si>
  <si>
    <t>3,35,934</t>
  </si>
  <si>
    <t>94,57,028</t>
  </si>
  <si>
    <t>1,59,44,735</t>
  </si>
  <si>
    <t>26,77,82,51,761.45</t>
  </si>
  <si>
    <t>4,26,162</t>
  </si>
  <si>
    <t>96,17,611</t>
  </si>
  <si>
    <t>89,99,235</t>
  </si>
  <si>
    <t>15,04,53,04,192.30</t>
  </si>
  <si>
    <t>3,68,430</t>
  </si>
  <si>
    <t>56,43,830</t>
  </si>
  <si>
    <t>1,26,63,444</t>
  </si>
  <si>
    <t>21,03,19,58,360.50</t>
  </si>
  <si>
    <t>2,69,602</t>
  </si>
  <si>
    <t>65,28,474</t>
  </si>
  <si>
    <t>80,57,912</t>
  </si>
  <si>
    <t>13,32,14,22,833.20</t>
  </si>
  <si>
    <t>1,73,498</t>
  </si>
  <si>
    <t>53,76,758</t>
  </si>
  <si>
    <t>91,57,005</t>
  </si>
  <si>
    <t>15,13,92,71,150.70</t>
  </si>
  <si>
    <t>2,30,772</t>
  </si>
  <si>
    <t>67,16,094</t>
  </si>
  <si>
    <t>98,86,776</t>
  </si>
  <si>
    <t>16,26,47,60,030.85</t>
  </si>
  <si>
    <t>2,78,690</t>
  </si>
  <si>
    <t>59,97,002</t>
  </si>
  <si>
    <t>1,41,60,178</t>
  </si>
  <si>
    <t>23,59,95,25,731.75</t>
  </si>
  <si>
    <t>4,14,759</t>
  </si>
  <si>
    <t>97,81,433</t>
  </si>
  <si>
    <t>1,26,61,250</t>
  </si>
  <si>
    <t>21,17,51,43,184.95</t>
  </si>
  <si>
    <t>3,47,404</t>
  </si>
  <si>
    <t>70,75,982</t>
  </si>
  <si>
    <t>8,50,72,618</t>
  </si>
  <si>
    <t>1,33,19,36,18,859.55</t>
  </si>
  <si>
    <t>20,98,772</t>
  </si>
  <si>
    <t>5,33,80,592</t>
  </si>
  <si>
    <t>8,05,35,465</t>
  </si>
  <si>
    <t>1,20,40,26,78,844.55</t>
  </si>
  <si>
    <t>15,82,497</t>
  </si>
  <si>
    <t>5,59,33,202</t>
  </si>
  <si>
    <t>5,48,00,269</t>
  </si>
  <si>
    <t>81,31,68,62,185.55</t>
  </si>
  <si>
    <t>12,75,220</t>
  </si>
  <si>
    <t>4,09,88,837</t>
  </si>
  <si>
    <t>1,29,20,293</t>
  </si>
  <si>
    <t>19,17,26,37,247.30</t>
  </si>
  <si>
    <t>4,03,196</t>
  </si>
  <si>
    <t>47,71,146</t>
  </si>
  <si>
    <t>5,77,34,701</t>
  </si>
  <si>
    <t>83,29,15,08,720.05</t>
  </si>
  <si>
    <t>14,15,782</t>
  </si>
  <si>
    <t>3,79,49,562</t>
  </si>
  <si>
    <t>4,30,02,202</t>
  </si>
  <si>
    <t>61,74,01,25,439.00</t>
  </si>
  <si>
    <t>8,17,417</t>
  </si>
  <si>
    <t>2,74,74,718</t>
  </si>
  <si>
    <t>4,94,70,926</t>
  </si>
  <si>
    <t>70,94,91,59,079.50</t>
  </si>
  <si>
    <t>7,87,699</t>
  </si>
  <si>
    <t>3,15,35,782</t>
  </si>
  <si>
    <t>3,28,22,749</t>
  </si>
  <si>
    <t>47,72,87,90,185.85</t>
  </si>
  <si>
    <t>6,94,082</t>
  </si>
  <si>
    <t>2,37,04,142</t>
  </si>
  <si>
    <t>2,08,64,384</t>
  </si>
  <si>
    <t>30,20,98,49,168.35</t>
  </si>
  <si>
    <t>4,51,375</t>
  </si>
  <si>
    <t>1,12,58,264</t>
  </si>
  <si>
    <t>3,28,80,520</t>
  </si>
  <si>
    <t>48,07,95,51,289.50</t>
  </si>
  <si>
    <t>5,48,526</t>
  </si>
  <si>
    <t>1,98,99,886</t>
  </si>
  <si>
    <t>1,63,45,370</t>
  </si>
  <si>
    <t>23,95,17,31,259.20</t>
  </si>
  <si>
    <t>3,95,148</t>
  </si>
  <si>
    <t>1,04,41,607</t>
  </si>
  <si>
    <t>2,24,33,877</t>
  </si>
  <si>
    <t>32,79,41,41,061.40</t>
  </si>
  <si>
    <t>5,47,098</t>
  </si>
  <si>
    <t>1,18,94,099</t>
  </si>
  <si>
    <t>1,93,02,523</t>
  </si>
  <si>
    <t>27,83,57,69,812.35</t>
  </si>
  <si>
    <t>4,87,034</t>
  </si>
  <si>
    <t>95,05,231</t>
  </si>
  <si>
    <t>2,05,37,870</t>
  </si>
  <si>
    <t>29,61,79,40,997.40</t>
  </si>
  <si>
    <t>4,10,774</t>
  </si>
  <si>
    <t>1,23,54,485</t>
  </si>
  <si>
    <t>2,74,18,543</t>
  </si>
  <si>
    <t>39,36,90,92,511.05</t>
  </si>
  <si>
    <t>5,23,984</t>
  </si>
  <si>
    <t>1,76,64,287</t>
  </si>
  <si>
    <t>3,45,53,062</t>
  </si>
  <si>
    <t>48,91,02,44,009.15</t>
  </si>
  <si>
    <t>7,97,559</t>
  </si>
  <si>
    <t>2,23,15,085</t>
  </si>
  <si>
    <t>2,83,21,062</t>
  </si>
  <si>
    <t>39,71,79,43,985.60</t>
  </si>
  <si>
    <t>5,12,854</t>
  </si>
  <si>
    <t>1,89,21,440</t>
  </si>
  <si>
    <t>1,72,23,906</t>
  </si>
  <si>
    <t>24,02,57,25,748.70</t>
  </si>
  <si>
    <t>4,86,804</t>
  </si>
  <si>
    <t>1,11,02,019</t>
  </si>
  <si>
    <t>2,87,90,497</t>
  </si>
  <si>
    <t>40,15,76,78,244.65</t>
  </si>
  <si>
    <t>4,45,958</t>
  </si>
  <si>
    <t>1,61,99,067</t>
  </si>
  <si>
    <t>4,56,60,405</t>
  </si>
  <si>
    <t>62,70,09,16,687.85</t>
  </si>
  <si>
    <t>8,83,690</t>
  </si>
  <si>
    <t>2,49,52,955</t>
  </si>
  <si>
    <t>2,07,92,472</t>
  </si>
  <si>
    <t>29,16,21,28,685.10</t>
  </si>
  <si>
    <t>5,33,782</t>
  </si>
  <si>
    <t>1,05,60,634</t>
  </si>
  <si>
    <t>1,60,87,871</t>
  </si>
  <si>
    <t>22,81,21,94,900.15</t>
  </si>
  <si>
    <t>4,02,453</t>
  </si>
  <si>
    <t>88,20,734</t>
  </si>
  <si>
    <t>1,72,25,878</t>
  </si>
  <si>
    <t>24,47,68,80,448.95</t>
  </si>
  <si>
    <t>2,96,087</t>
  </si>
  <si>
    <t>1,21,72,296</t>
  </si>
  <si>
    <t>2,80,66,754</t>
  </si>
  <si>
    <t>40,50,28,22,506.55</t>
  </si>
  <si>
    <t>5,18,597</t>
  </si>
  <si>
    <t>1,79,63,922</t>
  </si>
  <si>
    <t>2,29,46,568</t>
  </si>
  <si>
    <t>33,18,73,13,941.50</t>
  </si>
  <si>
    <t>4,93,970</t>
  </si>
  <si>
    <t>1,47,41,892</t>
  </si>
  <si>
    <t>2,52,80,441</t>
  </si>
  <si>
    <t>35,89,27,43,575.45</t>
  </si>
  <si>
    <t>4,77,326</t>
  </si>
  <si>
    <t>1,42,39,980</t>
  </si>
  <si>
    <t>1,49,16,726</t>
  </si>
  <si>
    <t>21,26,04,19,308.00</t>
  </si>
  <si>
    <t>3,35,851</t>
  </si>
  <si>
    <t>96,40,709</t>
  </si>
  <si>
    <t>1,17,53,435</t>
  </si>
  <si>
    <t>16,76,05,78,868.05</t>
  </si>
  <si>
    <t>3,81,979</t>
  </si>
  <si>
    <t>71,60,171</t>
  </si>
  <si>
    <t>1,60,43,575</t>
  </si>
  <si>
    <t>22,78,11,19,940.60</t>
  </si>
  <si>
    <t>3,84,714</t>
  </si>
  <si>
    <t>1,02,38,487</t>
  </si>
  <si>
    <t>1,26,60,993</t>
  </si>
  <si>
    <t>17,91,00,38,294.10</t>
  </si>
  <si>
    <t>3,02,672</t>
  </si>
  <si>
    <t>82,85,620</t>
  </si>
  <si>
    <t>2,66,47,850</t>
  </si>
  <si>
    <t>37,39,25,69,225.70</t>
  </si>
  <si>
    <t>5,67,422</t>
  </si>
  <si>
    <t>1,69,04,852</t>
  </si>
  <si>
    <t>1,73,69,449</t>
  </si>
  <si>
    <t>24,65,65,07,108.45</t>
  </si>
  <si>
    <t>4,30,030</t>
  </si>
  <si>
    <t>1,09,39,226</t>
  </si>
  <si>
    <t>8,95,265</t>
  </si>
  <si>
    <t>1,28,12,70,465.10</t>
  </si>
  <si>
    <t>5,14,675</t>
  </si>
  <si>
    <t>1,78,08,237</t>
  </si>
  <si>
    <t>25,48,02,70,998.65</t>
  </si>
  <si>
    <t>3,20,401</t>
  </si>
  <si>
    <t>1,35,14,118</t>
  </si>
  <si>
    <t>1,89,95,836</t>
  </si>
  <si>
    <t>27,21,52,48,874.45</t>
  </si>
  <si>
    <t>3,45,780</t>
  </si>
  <si>
    <t>1,30,54,500</t>
  </si>
  <si>
    <t>2,12,04,765</t>
  </si>
  <si>
    <t>30,62,59,70,319.20</t>
  </si>
  <si>
    <t>4,29,803</t>
  </si>
  <si>
    <t>1,10,03,451</t>
  </si>
  <si>
    <t>2,46,74,023</t>
  </si>
  <si>
    <t>35,65,95,21,740.40</t>
  </si>
  <si>
    <t>3,01,040</t>
  </si>
  <si>
    <t>2,08,66,170</t>
  </si>
  <si>
    <t>2,52,65,547</t>
  </si>
  <si>
    <t>36,16,91,85,792.10</t>
  </si>
  <si>
    <t>4,00,746</t>
  </si>
  <si>
    <t>1,89,64,859</t>
  </si>
  <si>
    <t>3,27,09,227</t>
  </si>
  <si>
    <t>47,59,89,03,857.45</t>
  </si>
  <si>
    <t>5,63,469</t>
  </si>
  <si>
    <t>1,63,84,302</t>
  </si>
  <si>
    <t>3,15,33,727</t>
  </si>
  <si>
    <t>46,08,88,10,985.45</t>
  </si>
  <si>
    <t>5,55,367</t>
  </si>
  <si>
    <t>1,78,16,086</t>
  </si>
  <si>
    <t>2,62,16,079</t>
  </si>
  <si>
    <t>38,09,14,65,327.10</t>
  </si>
  <si>
    <t>3,55,538</t>
  </si>
  <si>
    <t>1,45,05,354</t>
  </si>
  <si>
    <t>7,18,06,902</t>
  </si>
  <si>
    <t>1,04,27,52,32,909.40</t>
  </si>
  <si>
    <t>4,23,259</t>
  </si>
  <si>
    <t>5,07,94,310</t>
  </si>
  <si>
    <t>1,07,18,928</t>
  </si>
  <si>
    <t>15,51,49,93,593.40</t>
  </si>
  <si>
    <t>2,98,423</t>
  </si>
  <si>
    <t>56,92,012</t>
  </si>
  <si>
    <t>1,80,91,797</t>
  </si>
  <si>
    <t>26,15,58,72,952.15</t>
  </si>
  <si>
    <t>3,57,501</t>
  </si>
  <si>
    <t>1,13,20,260</t>
  </si>
  <si>
    <t>2,18,03,047</t>
  </si>
  <si>
    <t>31,30,51,42,954.85</t>
  </si>
  <si>
    <t>3,91,871</t>
  </si>
  <si>
    <t>1,23,57,309</t>
  </si>
  <si>
    <t>1,44,61,430</t>
  </si>
  <si>
    <t>20,90,30,15,204.35</t>
  </si>
  <si>
    <t>2,61,033</t>
  </si>
  <si>
    <t>89,47,572</t>
  </si>
  <si>
    <t>2,29,90,163</t>
  </si>
  <si>
    <t>33,19,29,80,386.60</t>
  </si>
  <si>
    <t>4,08,312</t>
  </si>
  <si>
    <t>1,45,85,298</t>
  </si>
  <si>
    <t>2,84,22,145</t>
  </si>
  <si>
    <t>40,65,04,67,046.25</t>
  </si>
  <si>
    <t>5,19,149</t>
  </si>
  <si>
    <t>2,05,03,182</t>
  </si>
  <si>
    <t>3,10,84,334</t>
  </si>
  <si>
    <t>44,64,54,17,268.50</t>
  </si>
  <si>
    <t>4,12,302</t>
  </si>
  <si>
    <t>1,97,82,418</t>
  </si>
  <si>
    <t>2,77,96,071</t>
  </si>
  <si>
    <t>40,34,86,58,115.25</t>
  </si>
  <si>
    <t>3,70,836</t>
  </si>
  <si>
    <t>1,68,28,698</t>
  </si>
  <si>
    <t>1,25,99,785</t>
  </si>
  <si>
    <t>18,47,97,61,763.45</t>
  </si>
  <si>
    <t>2,66,085</t>
  </si>
  <si>
    <t>84,31,758</t>
  </si>
  <si>
    <t>2,06,12,723</t>
  </si>
  <si>
    <t>30,57,33,59,203.20</t>
  </si>
  <si>
    <t>3,15,849</t>
  </si>
  <si>
    <t>1,09,60,586</t>
  </si>
  <si>
    <t>2,27,92,193</t>
  </si>
  <si>
    <t>33,84,77,85,699.15</t>
  </si>
  <si>
    <t>3,81,267</t>
  </si>
  <si>
    <t>1,36,84,601</t>
  </si>
  <si>
    <t>4,44,67,533</t>
  </si>
  <si>
    <t>67,61,97,06,935.10</t>
  </si>
  <si>
    <t>6,38,189</t>
  </si>
  <si>
    <t>2,56,19,874</t>
  </si>
  <si>
    <t>2,95,27,951</t>
  </si>
  <si>
    <t>45,63,07,07,255.45</t>
  </si>
  <si>
    <t>4,46,260</t>
  </si>
  <si>
    <t>2,11,64,256</t>
  </si>
  <si>
    <t>1,02,41,470</t>
  </si>
  <si>
    <t>15,84,14,81,181.95</t>
  </si>
  <si>
    <t>2,82,686</t>
  </si>
  <si>
    <t>76,70,253</t>
  </si>
  <si>
    <t>1,09,42,247</t>
  </si>
  <si>
    <t>16,93,27,84,193.35</t>
  </si>
  <si>
    <t>2,86,447</t>
  </si>
  <si>
    <t>68,14,594</t>
  </si>
  <si>
    <t>4,09,783</t>
  </si>
  <si>
    <t>63,37,70,387.80</t>
  </si>
  <si>
    <t>1,39,03,700</t>
  </si>
  <si>
    <t>21,40,35,51,158.35</t>
  </si>
  <si>
    <t>2,64,951</t>
  </si>
  <si>
    <t>76,97,580</t>
  </si>
  <si>
    <t>2,05,42,104</t>
  </si>
  <si>
    <t>31,22,67,29,837.45</t>
  </si>
  <si>
    <t>3,53,957</t>
  </si>
  <si>
    <t>1,28,01,265</t>
  </si>
  <si>
    <t>1,17,07,624</t>
  </si>
  <si>
    <t>17,57,53,73,460.40</t>
  </si>
  <si>
    <t>3,03,733</t>
  </si>
  <si>
    <t>68,69,481</t>
  </si>
  <si>
    <t>1,03,72,443</t>
  </si>
  <si>
    <t>15,55,29,84,303.10</t>
  </si>
  <si>
    <t>2,54,321</t>
  </si>
  <si>
    <t>56,76,628</t>
  </si>
  <si>
    <t>1,71,17,442</t>
  </si>
  <si>
    <t>25,74,19,97,797.45</t>
  </si>
  <si>
    <t>4,00,151</t>
  </si>
  <si>
    <t>90,61,937</t>
  </si>
  <si>
    <t>1,72,88,217</t>
  </si>
  <si>
    <t>26,18,40,17,914.35</t>
  </si>
  <si>
    <t>3,85,294</t>
  </si>
  <si>
    <t>95,42,891</t>
  </si>
  <si>
    <t>2,11,49,219</t>
  </si>
  <si>
    <t>32,13,97,20,597.85</t>
  </si>
  <si>
    <t>5,31,868</t>
  </si>
  <si>
    <t>1,19,96,190</t>
  </si>
  <si>
    <t>1,34,13,530</t>
  </si>
  <si>
    <t>20,26,29,98,928.70</t>
  </si>
  <si>
    <t>2,92,429</t>
  </si>
  <si>
    <t>85,15,775</t>
  </si>
  <si>
    <t>1,12,20,790</t>
  </si>
  <si>
    <t>16,99,38,56,319.65</t>
  </si>
  <si>
    <t>2,70,693</t>
  </si>
  <si>
    <t>64,29,367</t>
  </si>
  <si>
    <t>1,77,22,602</t>
  </si>
  <si>
    <t>26,80,79,94,509.45</t>
  </si>
  <si>
    <t>4,12,279</t>
  </si>
  <si>
    <t>97,76,931</t>
  </si>
  <si>
    <t>1,24,27,347</t>
  </si>
  <si>
    <t>18,82,97,91,289.85</t>
  </si>
  <si>
    <t>3,07,546</t>
  </si>
  <si>
    <t>64,47,334</t>
  </si>
  <si>
    <t>1,80,46,675</t>
  </si>
  <si>
    <t>27,45,16,36,250.70</t>
  </si>
  <si>
    <t>3,46,924</t>
  </si>
  <si>
    <t>88,62,484</t>
  </si>
  <si>
    <t>2,61,53,691</t>
  </si>
  <si>
    <t>39,96,98,10,062.50</t>
  </si>
  <si>
    <t>3,96,483</t>
  </si>
  <si>
    <t>1,04,15,468</t>
  </si>
  <si>
    <t>1,67,37,503</t>
  </si>
  <si>
    <t>25,63,51,47,567.95</t>
  </si>
  <si>
    <t>3,67,994</t>
  </si>
  <si>
    <t>77,61,502</t>
  </si>
  <si>
    <t>1,59,32,621</t>
  </si>
  <si>
    <t>24,23,54,95,414.80</t>
  </si>
  <si>
    <t>3,09,946</t>
  </si>
  <si>
    <t>73,82,850</t>
  </si>
  <si>
    <t>1,43,96,698</t>
  </si>
  <si>
    <t>21,96,54,19,859.10</t>
  </si>
  <si>
    <t>2,90,222</t>
  </si>
  <si>
    <t>96,72,086</t>
  </si>
  <si>
    <t>1,42,40,301</t>
  </si>
  <si>
    <t>21,51,28,20,634.10</t>
  </si>
  <si>
    <t>3,44,750</t>
  </si>
  <si>
    <t>83,56,783</t>
  </si>
  <si>
    <t>2,08,43,931</t>
  </si>
  <si>
    <t>30,98,64,22,880.60</t>
  </si>
  <si>
    <t>4,65,848</t>
  </si>
  <si>
    <t>1,35,94,981</t>
  </si>
  <si>
    <t>2,31,40,639</t>
  </si>
  <si>
    <t>33,82,11,48,758.20</t>
  </si>
  <si>
    <t>6,69,580</t>
  </si>
  <si>
    <t>1,78,83,266</t>
  </si>
  <si>
    <t>1,36,38,304</t>
  </si>
  <si>
    <t>19,65,18,68,794.15</t>
  </si>
  <si>
    <t>3,68,755</t>
  </si>
  <si>
    <t>82,90,712</t>
  </si>
  <si>
    <t>1,35,23,601</t>
  </si>
  <si>
    <t>19,57,05,07,197.60</t>
  </si>
  <si>
    <t>4,63,000</t>
  </si>
  <si>
    <t>78,20,181</t>
  </si>
  <si>
    <t>1,28,32,571</t>
  </si>
  <si>
    <t>18,73,03,07,625.40</t>
  </si>
  <si>
    <t>3,15,935</t>
  </si>
  <si>
    <t>83,09,204</t>
  </si>
  <si>
    <t>1,94,65,998</t>
  </si>
  <si>
    <t>28,09,02,23,298.30</t>
  </si>
  <si>
    <t>3,93,567</t>
  </si>
  <si>
    <t>1,06,40,101</t>
  </si>
  <si>
    <t>1,74,72,618</t>
  </si>
  <si>
    <t>25,33,45,16,598.70</t>
  </si>
  <si>
    <t>3,82,855</t>
  </si>
  <si>
    <t>88,39,279</t>
  </si>
  <si>
    <t>1,04,60,095</t>
  </si>
  <si>
    <t>15,28,45,49,919.50</t>
  </si>
  <si>
    <t>2,68,477</t>
  </si>
  <si>
    <t>60,40,042</t>
  </si>
  <si>
    <t>5,28,557</t>
  </si>
  <si>
    <t>77,46,36,045.30</t>
  </si>
  <si>
    <t>2,76,670</t>
  </si>
  <si>
    <t>2,18,84,989</t>
  </si>
  <si>
    <t>31,95,37,90,444.80</t>
  </si>
  <si>
    <t>4,13,346</t>
  </si>
  <si>
    <t>1,56,85,407</t>
  </si>
  <si>
    <t>1,99,98,139</t>
  </si>
  <si>
    <t>29,12,21,60,427.50</t>
  </si>
  <si>
    <t>3,94,368</t>
  </si>
  <si>
    <t>1,15,01,213</t>
  </si>
  <si>
    <t>2,04,30,960</t>
  </si>
  <si>
    <t>30,17,85,06,688.95</t>
  </si>
  <si>
    <t>3,37,200</t>
  </si>
  <si>
    <t>1,15,92,193</t>
  </si>
  <si>
    <t>1,55,30,103</t>
  </si>
  <si>
    <t>23,40,89,82,967.80</t>
  </si>
  <si>
    <t>3,25,557</t>
  </si>
  <si>
    <t>89,25,912</t>
  </si>
  <si>
    <t>1,46,92,720</t>
  </si>
  <si>
    <t>22,53,40,43,945.55</t>
  </si>
  <si>
    <t>3,60,983</t>
  </si>
  <si>
    <t>85,78,854</t>
  </si>
  <si>
    <t>1,39,54,452</t>
  </si>
  <si>
    <t>21,36,62,45,980.65</t>
  </si>
  <si>
    <t>2,87,323</t>
  </si>
  <si>
    <t>82,58,977</t>
  </si>
  <si>
    <t>1,75,73,853</t>
  </si>
  <si>
    <t>26,54,04,04,866.50</t>
  </si>
  <si>
    <t>3,24,703</t>
  </si>
  <si>
    <t>1,02,69,574</t>
  </si>
  <si>
    <t>1,68,77,675</t>
  </si>
  <si>
    <t>25,55,22,06,595.80</t>
  </si>
  <si>
    <t>4,09,393</t>
  </si>
  <si>
    <t>1,01,63,087</t>
  </si>
  <si>
    <t>3,70,39,794</t>
  </si>
  <si>
    <t>56,62,52,43,621.65</t>
  </si>
  <si>
    <t>4,74,591</t>
  </si>
  <si>
    <t>2,45,61,027</t>
  </si>
  <si>
    <t>3,63,18,628</t>
  </si>
  <si>
    <t>56,94,29,88,275.80</t>
  </si>
  <si>
    <t>5,84,235</t>
  </si>
  <si>
    <t>2,09,67,682</t>
  </si>
  <si>
    <t>4,47,65,620</t>
  </si>
  <si>
    <t>67,36,84,18,218.55</t>
  </si>
  <si>
    <t>7,86,620</t>
  </si>
  <si>
    <t>1,53,39,068</t>
  </si>
  <si>
    <t>4,08,15,825</t>
  </si>
  <si>
    <t>62,19,63,52,485.40</t>
  </si>
  <si>
    <t>6,50,501</t>
  </si>
  <si>
    <t>1,72,26,690</t>
  </si>
  <si>
    <t>2,32,11,435</t>
  </si>
  <si>
    <t>36,14,02,49,317.55</t>
  </si>
  <si>
    <t>5,99,204</t>
  </si>
  <si>
    <t>1,25,28,131</t>
  </si>
  <si>
    <t>1,83,56,108</t>
  </si>
  <si>
    <t>28,86,44,83,389.90</t>
  </si>
  <si>
    <t>4,16,517</t>
  </si>
  <si>
    <t>85,58,942</t>
  </si>
  <si>
    <t>1,12,27,029</t>
  </si>
  <si>
    <t>17,59,19,12,808.65</t>
  </si>
  <si>
    <t>3,14,062</t>
  </si>
  <si>
    <t>75,35,938</t>
  </si>
  <si>
    <t>1,47,72,663</t>
  </si>
  <si>
    <t>23,10,79,28,769.20</t>
  </si>
  <si>
    <t>4,58,802</t>
  </si>
  <si>
    <t>83,60,761</t>
  </si>
  <si>
    <t>1,96,40,218</t>
  </si>
  <si>
    <t>30,97,22,87,118.05</t>
  </si>
  <si>
    <t>3,41,079</t>
  </si>
  <si>
    <t>95,69,983</t>
  </si>
  <si>
    <t>1,20,60,096</t>
  </si>
  <si>
    <t>19,07,72,28,502.15</t>
  </si>
  <si>
    <t>2,81,276</t>
  </si>
  <si>
    <t>78,52,775</t>
  </si>
  <si>
    <t>1,27,70,277</t>
  </si>
  <si>
    <t>20,33,18,73,861.15</t>
  </si>
  <si>
    <t>3,20,179</t>
  </si>
  <si>
    <t>78,75,479</t>
  </si>
  <si>
    <t>1,62,07,857</t>
  </si>
  <si>
    <t>25,99,80,73,833.50</t>
  </si>
  <si>
    <t>3,53,540</t>
  </si>
  <si>
    <t>92,80,334</t>
  </si>
  <si>
    <t>4,50,65,598</t>
  </si>
  <si>
    <t>74,10,75,87,437.40</t>
  </si>
  <si>
    <t>7,09,705</t>
  </si>
  <si>
    <t>2,48,50,893</t>
  </si>
  <si>
    <t>2,07,04,371</t>
  </si>
  <si>
    <t>34,53,26,04,621.85</t>
  </si>
  <si>
    <t>4,65,827</t>
  </si>
  <si>
    <t>1,29,30,152</t>
  </si>
  <si>
    <t>2,58,15,388</t>
  </si>
  <si>
    <t>42,81,94,37,838.90</t>
  </si>
  <si>
    <t>4,08,577</t>
  </si>
  <si>
    <t>1,35,92,741</t>
  </si>
  <si>
    <t>1,42,72,497</t>
  </si>
  <si>
    <t>23,76,26,44,259.60</t>
  </si>
  <si>
    <t>3,87,580</t>
  </si>
  <si>
    <t>80,66,775</t>
  </si>
  <si>
    <t>3,72,60,774</t>
  </si>
  <si>
    <t>63,53,11,28,010.50</t>
  </si>
  <si>
    <t>6,90,683</t>
  </si>
  <si>
    <t>1,92,31,430</t>
  </si>
  <si>
    <t>2,37,98,333</t>
  </si>
  <si>
    <t>40,52,88,70,562.05</t>
  </si>
  <si>
    <t>4,24,591</t>
  </si>
  <si>
    <t>1,50,83,364</t>
  </si>
  <si>
    <t>2,75,37,325</t>
  </si>
  <si>
    <t>46,75,61,42,645.90</t>
  </si>
  <si>
    <t>5,86,504</t>
  </si>
  <si>
    <t>1,46,20,093</t>
  </si>
  <si>
    <t>1,32,38,023</t>
  </si>
  <si>
    <t>22,40,65,74,604.55</t>
  </si>
  <si>
    <t>3,12,550</t>
  </si>
  <si>
    <t>77,02,121</t>
  </si>
  <si>
    <t>1,05,93,512</t>
  </si>
  <si>
    <t>18,00,61,89,828.25</t>
  </si>
  <si>
    <t>3,55,235</t>
  </si>
  <si>
    <t>62,50,644</t>
  </si>
  <si>
    <t>2,29,60,845</t>
  </si>
  <si>
    <t>39,54,91,18,301.05</t>
  </si>
  <si>
    <t>4,86,972</t>
  </si>
  <si>
    <t>1,02,99,873</t>
  </si>
  <si>
    <t>6,16,08,901</t>
  </si>
  <si>
    <t>1,09,47,08,77,766.90</t>
  </si>
  <si>
    <t>8,46,404</t>
  </si>
  <si>
    <t>3,86,98,242</t>
  </si>
  <si>
    <t>2,29,24,329</t>
  </si>
  <si>
    <t>39,77,87,17,290.50</t>
  </si>
  <si>
    <t>4,05,416</t>
  </si>
  <si>
    <t>1,54,88,873</t>
  </si>
  <si>
    <t>4,11,21,274</t>
  </si>
  <si>
    <t>68,12,92,39,005.75</t>
  </si>
  <si>
    <t>11,17,072</t>
  </si>
  <si>
    <t>2,66,57,099</t>
  </si>
  <si>
    <t>1,95,43,900</t>
  </si>
  <si>
    <t>32,05,33,06,234.35</t>
  </si>
  <si>
    <t>3,24,769</t>
  </si>
  <si>
    <t>1,42,97,454</t>
  </si>
  <si>
    <t>2,42,75,439</t>
  </si>
  <si>
    <t>39,77,60,84,749.70</t>
  </si>
  <si>
    <t>4,42,487</t>
  </si>
  <si>
    <t>1,67,11,437</t>
  </si>
  <si>
    <t>2,27,53,591</t>
  </si>
  <si>
    <t>37,03,37,58,498.90</t>
  </si>
  <si>
    <t>4,05,034</t>
  </si>
  <si>
    <t>1,49,77,914</t>
  </si>
  <si>
    <t>2,20,88,537</t>
  </si>
  <si>
    <t>35,62,18,65,220.10</t>
  </si>
  <si>
    <t>4,83,343</t>
  </si>
  <si>
    <t>1,47,12,286</t>
  </si>
  <si>
    <t>2,80,24,980</t>
  </si>
  <si>
    <t>45,51,42,20,345.85</t>
  </si>
  <si>
    <t>3,32,780</t>
  </si>
  <si>
    <t>1,66,63,973</t>
  </si>
  <si>
    <t>1,66,87,847</t>
  </si>
  <si>
    <t>27,06,76,66,840.40</t>
  </si>
  <si>
    <t>2,17,738</t>
  </si>
  <si>
    <t>95,95,558</t>
  </si>
  <si>
    <t>1,44,75,162</t>
  </si>
  <si>
    <t>23,47,63,41,772.45</t>
  </si>
  <si>
    <t>2,69,979</t>
  </si>
  <si>
    <t>85,09,090</t>
  </si>
  <si>
    <t>1,68,58,532</t>
  </si>
  <si>
    <t>27,19,76,55,556.65</t>
  </si>
  <si>
    <t>3,32,318</t>
  </si>
  <si>
    <t>94,44,621</t>
  </si>
  <si>
    <t>1,30,01,076</t>
  </si>
  <si>
    <t>20,93,05,35,372.85</t>
  </si>
  <si>
    <t>2,76,983</t>
  </si>
  <si>
    <t>81,18,699</t>
  </si>
  <si>
    <t>2,68,72,411</t>
  </si>
  <si>
    <t>44,00,79,04,357.70</t>
  </si>
  <si>
    <t>5,48,620</t>
  </si>
  <si>
    <t>1,65,99,256</t>
  </si>
  <si>
    <t>2,60,01,076</t>
  </si>
  <si>
    <t>42,22,47,80,773.65</t>
  </si>
  <si>
    <t>4,49,509</t>
  </si>
  <si>
    <t>1,02,15,610</t>
  </si>
  <si>
    <t>3,08,64,103</t>
  </si>
  <si>
    <t>49,50,99,47,077.30</t>
  </si>
  <si>
    <t>4,32,932</t>
  </si>
  <si>
    <t>1,54,18,875</t>
  </si>
  <si>
    <t>1,27,67,866</t>
  </si>
  <si>
    <t>20,60,20,46,896.30</t>
  </si>
  <si>
    <t>2,79,974</t>
  </si>
  <si>
    <t>68,58,515</t>
  </si>
  <si>
    <t>2,19,05,270</t>
  </si>
  <si>
    <t>35,25,36,30,971.05</t>
  </si>
  <si>
    <t>3,55,180</t>
  </si>
  <si>
    <t>1,38,65,974</t>
  </si>
  <si>
    <t>2,55,00,574</t>
  </si>
  <si>
    <t>41,10,61,52,746.35</t>
  </si>
  <si>
    <t>4,72,326</t>
  </si>
  <si>
    <t>1,24,91,496</t>
  </si>
  <si>
    <t>2,72,97,917</t>
  </si>
  <si>
    <t>44,10,64,24,811.40</t>
  </si>
  <si>
    <t>4,55,812</t>
  </si>
  <si>
    <t>1,08,36,941</t>
  </si>
  <si>
    <t>1,89,10,242</t>
  </si>
  <si>
    <t>30,58,38,06,061.70</t>
  </si>
  <si>
    <t>3,34,519</t>
  </si>
  <si>
    <t>99,52,915</t>
  </si>
  <si>
    <t>1,31,07,587</t>
  </si>
  <si>
    <t>21,39,93,47,523.90</t>
  </si>
  <si>
    <t>2,87,915</t>
  </si>
  <si>
    <t>86,08,562</t>
  </si>
  <si>
    <t>2,20,59,619</t>
  </si>
  <si>
    <t>36,58,86,23,126.10</t>
  </si>
  <si>
    <t>4,57,935</t>
  </si>
  <si>
    <t>1,23,83,195</t>
  </si>
  <si>
    <t>2,06,66,817</t>
  </si>
  <si>
    <t>33,53,74,31,288.70</t>
  </si>
  <si>
    <t>4,64,696</t>
  </si>
  <si>
    <t>1,21,12,310</t>
  </si>
  <si>
    <t>2,25,58,025</t>
  </si>
  <si>
    <t>36,27,38,37,922.85</t>
  </si>
  <si>
    <t>3,88,854</t>
  </si>
  <si>
    <t>1,45,45,393</t>
  </si>
  <si>
    <t>2,11,73,132</t>
  </si>
  <si>
    <t>34,24,18,47,264.50</t>
  </si>
  <si>
    <t>3,37,720</t>
  </si>
  <si>
    <t>1,20,68,956</t>
  </si>
  <si>
    <t>1,69,88,475</t>
  </si>
  <si>
    <t>27,83,95,62,575.60</t>
  </si>
  <si>
    <t>3,27,468</t>
  </si>
  <si>
    <t>94,72,859</t>
  </si>
  <si>
    <t>1,33,22,309</t>
  </si>
  <si>
    <t>22,05,61,57,155.50</t>
  </si>
  <si>
    <t>2,91,916</t>
  </si>
  <si>
    <t>92,26,887</t>
  </si>
  <si>
    <t>1,96,58,098</t>
  </si>
  <si>
    <t>32,72,35,06,965.00</t>
  </si>
  <si>
    <t>3,63,538</t>
  </si>
  <si>
    <t>1,26,28,587</t>
  </si>
  <si>
    <t>2,70,27,521</t>
  </si>
  <si>
    <t>43,60,41,63,966.10</t>
  </si>
  <si>
    <t>6,01,558</t>
  </si>
  <si>
    <t>1,51,22,063</t>
  </si>
  <si>
    <t>1,61,67,214</t>
  </si>
  <si>
    <t>25,99,64,12,110.40</t>
  </si>
  <si>
    <t>2,59,067</t>
  </si>
  <si>
    <t>84,19,023</t>
  </si>
  <si>
    <t>1,39,24,623</t>
  </si>
  <si>
    <t>22,62,34,79,529.55</t>
  </si>
  <si>
    <t>3,02,506</t>
  </si>
  <si>
    <t>76,29,703</t>
  </si>
  <si>
    <t>97,51,082</t>
  </si>
  <si>
    <t>15,87,92,78,800.80</t>
  </si>
  <si>
    <t>1,66,314</t>
  </si>
  <si>
    <t>53,71,807</t>
  </si>
  <si>
    <t>1,55,67,247</t>
  </si>
  <si>
    <t>25,51,69,52,644.85</t>
  </si>
  <si>
    <t>2,40,802</t>
  </si>
  <si>
    <t>71,59,684</t>
  </si>
  <si>
    <t>2,38,15,452</t>
  </si>
  <si>
    <t>38,69,65,27,016.25</t>
  </si>
  <si>
    <t>3,23,415</t>
  </si>
  <si>
    <t>1,46,02,427</t>
  </si>
  <si>
    <t>1,06,50,319</t>
  </si>
  <si>
    <t>17,38,75,21,802.75</t>
  </si>
  <si>
    <t>2,72,441</t>
  </si>
  <si>
    <t>69,04,642</t>
  </si>
  <si>
    <t>1,01,66,711</t>
  </si>
  <si>
    <t>16,54,76,68,751.15</t>
  </si>
  <si>
    <t>2,12,238</t>
  </si>
  <si>
    <t>72,12,100</t>
  </si>
  <si>
    <t>1,11,82,133</t>
  </si>
  <si>
    <t>18,36,44,86,559.55</t>
  </si>
  <si>
    <t>2,75,112</t>
  </si>
  <si>
    <t>78,46,052</t>
  </si>
  <si>
    <t>1,78,86,622</t>
  </si>
  <si>
    <t>29,32,67,92,469.00</t>
  </si>
  <si>
    <t>2,92,507</t>
  </si>
  <si>
    <t>1,10,20,707</t>
  </si>
  <si>
    <t>1,34,60,594</t>
  </si>
  <si>
    <t>22,02,53,91,586.45</t>
  </si>
  <si>
    <t>2,75,424</t>
  </si>
  <si>
    <t>85,41,633</t>
  </si>
  <si>
    <t>2,45,26,302</t>
  </si>
  <si>
    <t>40,16,32,06,501.15</t>
  </si>
  <si>
    <t>4,32,962</t>
  </si>
  <si>
    <t>1,87,60,652</t>
  </si>
  <si>
    <t>22,26,71,050</t>
  </si>
  <si>
    <t>3,64,81,13,05,104.20</t>
  </si>
  <si>
    <t>5,64,643</t>
  </si>
  <si>
    <t>15,43,80,134</t>
  </si>
  <si>
    <t>1,70,24,840</t>
  </si>
  <si>
    <t>27,78,34,83,803.95</t>
  </si>
  <si>
    <t>3,75,245</t>
  </si>
  <si>
    <t>1,20,18,518</t>
  </si>
  <si>
    <t>10,20,085</t>
  </si>
  <si>
    <t>1,66,97,77,136.50</t>
  </si>
  <si>
    <t>1,86,41,430</t>
  </si>
  <si>
    <t>30,42,48,19,912.05</t>
  </si>
  <si>
    <t>2,92,439</t>
  </si>
  <si>
    <t>1,25,51,277</t>
  </si>
  <si>
    <t>1,23,41,372</t>
  </si>
  <si>
    <t>20,23,42,15,559.05</t>
  </si>
  <si>
    <t>2,94,496</t>
  </si>
  <si>
    <t>62,68,023</t>
  </si>
  <si>
    <t>1,14,38,159</t>
  </si>
  <si>
    <t>18,82,07,12,001.80</t>
  </si>
  <si>
    <t>2,45,493</t>
  </si>
  <si>
    <t>86,88,322</t>
  </si>
  <si>
    <t>1,30,14,801</t>
  </si>
  <si>
    <t>21,34,13,04,566.10</t>
  </si>
  <si>
    <t>2,96,891</t>
  </si>
  <si>
    <t>85,62,105</t>
  </si>
  <si>
    <t>1,18,96,457</t>
  </si>
  <si>
    <t>19,52,02,44,474.05</t>
  </si>
  <si>
    <t>2,58,547</t>
  </si>
  <si>
    <t>78,16,428</t>
  </si>
  <si>
    <t>1,33,03,323</t>
  </si>
  <si>
    <t>21,92,65,34,318.85</t>
  </si>
  <si>
    <t>3,06,124</t>
  </si>
  <si>
    <t>69,78,769</t>
  </si>
  <si>
    <t>1,11,13,342</t>
  </si>
  <si>
    <t>18,29,09,01,279.50</t>
  </si>
  <si>
    <t>2,48,100</t>
  </si>
  <si>
    <t>45,60,477</t>
  </si>
  <si>
    <t>1,62,12,023</t>
  </si>
  <si>
    <t>26,90,91,82,591.25</t>
  </si>
  <si>
    <t>2,66,121</t>
  </si>
  <si>
    <t>92,74,830</t>
  </si>
  <si>
    <t>1,19,30,266</t>
  </si>
  <si>
    <t>19,84,79,46,539.35</t>
  </si>
  <si>
    <t>2,75,521</t>
  </si>
  <si>
    <t>70,79,723</t>
  </si>
  <si>
    <t>75,86,410</t>
  </si>
  <si>
    <t>12,67,56,30,406.45</t>
  </si>
  <si>
    <t>2,14,575</t>
  </si>
  <si>
    <t>52,58,278</t>
  </si>
  <si>
    <t>1,00,63,561</t>
  </si>
  <si>
    <t>16,79,50,97,219.15</t>
  </si>
  <si>
    <t>2,73,207</t>
  </si>
  <si>
    <t>56,93,003</t>
  </si>
  <si>
    <t>2,04,58,671</t>
  </si>
  <si>
    <t>34,60,16,83,780.25</t>
  </si>
  <si>
    <t>4,47,311</t>
  </si>
  <si>
    <t>1,22,37,216</t>
  </si>
  <si>
    <t>1,53,25,888</t>
  </si>
  <si>
    <t>26,22,17,70,150.40</t>
  </si>
  <si>
    <t>3,47,649</t>
  </si>
  <si>
    <t>97,14,192</t>
  </si>
  <si>
    <t>3,03,11,693</t>
  </si>
  <si>
    <t>52,57,86,27,456.00</t>
  </si>
  <si>
    <t>5,19,608</t>
  </si>
  <si>
    <t>1,74,65,531</t>
  </si>
  <si>
    <t>1,34,82,675</t>
  </si>
  <si>
    <t>23,68,80,96,929.70</t>
  </si>
  <si>
    <t>4,49,232</t>
  </si>
  <si>
    <t>87,94,661</t>
  </si>
  <si>
    <t>1,65,19,518</t>
  </si>
  <si>
    <t>29,21,97,57,725.30</t>
  </si>
  <si>
    <t>4,04,809</t>
  </si>
  <si>
    <t>94,25,560</t>
  </si>
  <si>
    <t>1,59,82,656</t>
  </si>
  <si>
    <t>28,43,25,92,068.70</t>
  </si>
  <si>
    <t>4,98,237</t>
  </si>
  <si>
    <t>98,63,354</t>
  </si>
  <si>
    <t>1,59,49,822</t>
  </si>
  <si>
    <t>28,36,69,59,862.95</t>
  </si>
  <si>
    <t>3,43,553</t>
  </si>
  <si>
    <t>1,09,85,707</t>
  </si>
  <si>
    <t>1,78,06,751</t>
  </si>
  <si>
    <t>31,33,50,62,628.80</t>
  </si>
  <si>
    <t>3,39,917</t>
  </si>
  <si>
    <t>1,30,02,178</t>
  </si>
  <si>
    <t>1,31,91,767</t>
  </si>
  <si>
    <t>22,88,20,63,615.10</t>
  </si>
  <si>
    <t>3,43,613</t>
  </si>
  <si>
    <t>95,41,132</t>
  </si>
  <si>
    <t>1,22,86,142</t>
  </si>
  <si>
    <t>21,20,38,53,820.45</t>
  </si>
  <si>
    <t>2,37,679</t>
  </si>
  <si>
    <t>69,53,201</t>
  </si>
  <si>
    <t>2,42,36,699</t>
  </si>
  <si>
    <t>41,07,62,20,098.05</t>
  </si>
  <si>
    <t>5,20,129</t>
  </si>
  <si>
    <t>1,76,10,464</t>
  </si>
  <si>
    <t>2,43,41,616</t>
  </si>
  <si>
    <t>40,74,21,81,439.25</t>
  </si>
  <si>
    <t>4,19,392</t>
  </si>
  <si>
    <t>1,36,73,903</t>
  </si>
  <si>
    <t>4,72,29,148</t>
  </si>
  <si>
    <t>77,05,68,14,750.10</t>
  </si>
  <si>
    <t>5,35,347</t>
  </si>
  <si>
    <t>2,80,14,374</t>
  </si>
  <si>
    <t>1,48,67,203</t>
  </si>
  <si>
    <t>24,46,49,06,859.05</t>
  </si>
  <si>
    <t>3,57,296</t>
  </si>
  <si>
    <t>95,03,807</t>
  </si>
  <si>
    <t>2,05,62,821</t>
  </si>
  <si>
    <t>33,72,55,05,661.60</t>
  </si>
  <si>
    <t>4,42,682</t>
  </si>
  <si>
    <t>95,64,097</t>
  </si>
  <si>
    <t>1,08,77,383</t>
  </si>
  <si>
    <t>17,94,09,24,970.40</t>
  </si>
  <si>
    <t>2,44,906</t>
  </si>
  <si>
    <t>51,65,604</t>
  </si>
  <si>
    <t>1,18,36,297</t>
  </si>
  <si>
    <t>19,54,77,19,278.00</t>
  </si>
  <si>
    <t>1,86,378</t>
  </si>
  <si>
    <t>85,29,644</t>
  </si>
  <si>
    <t>92,63,754</t>
  </si>
  <si>
    <t>15,58,82,85,093.55</t>
  </si>
  <si>
    <t>2,61,742</t>
  </si>
  <si>
    <t>61,20,592</t>
  </si>
  <si>
    <t>98,25,565</t>
  </si>
  <si>
    <t>16,54,70,93,800.10</t>
  </si>
  <si>
    <t>1,95,771</t>
  </si>
  <si>
    <t>59,37,555</t>
  </si>
  <si>
    <t>1,02,35,341</t>
  </si>
  <si>
    <t>17,38,73,34,812.90</t>
  </si>
  <si>
    <t>2,44,836</t>
  </si>
  <si>
    <t>62,62,690</t>
  </si>
  <si>
    <t>73,47,866</t>
  </si>
  <si>
    <t>12,31,66,27,212.90</t>
  </si>
  <si>
    <t>1,99,044</t>
  </si>
  <si>
    <t>47,17,214</t>
  </si>
  <si>
    <t>1,24,04,862</t>
  </si>
  <si>
    <t>20,77,68,48,848.90</t>
  </si>
  <si>
    <t>2,32,916</t>
  </si>
  <si>
    <t>82,55,525</t>
  </si>
  <si>
    <t>2,32,74,177</t>
  </si>
  <si>
    <t>40,33,00,32,735.80</t>
  </si>
  <si>
    <t>5,74,448</t>
  </si>
  <si>
    <t>1,27,67,823</t>
  </si>
  <si>
    <t>1,94,37,640</t>
  </si>
  <si>
    <t>33,46,73,38,354.45</t>
  </si>
  <si>
    <t>4,11,821</t>
  </si>
  <si>
    <t>1,03,90,546</t>
  </si>
  <si>
    <t>1,90,18,045</t>
  </si>
  <si>
    <t>33,02,15,03,108.55</t>
  </si>
  <si>
    <t>3,86,048</t>
  </si>
  <si>
    <t>1,23,09,362</t>
  </si>
  <si>
    <t>1,54,16,129</t>
  </si>
  <si>
    <t>27,07,05,10,755.60</t>
  </si>
  <si>
    <t>3,42,755</t>
  </si>
  <si>
    <t>1,05,27,020</t>
  </si>
  <si>
    <t>1,30,65,239</t>
  </si>
  <si>
    <t>22,74,18,61,620.40</t>
  </si>
  <si>
    <t>3,37,950</t>
  </si>
  <si>
    <t>78,65,650</t>
  </si>
  <si>
    <t>1,10,06,071</t>
  </si>
  <si>
    <t>19,13,04,22,535.50</t>
  </si>
  <si>
    <t>3,34,425</t>
  </si>
  <si>
    <t>69,98,364</t>
  </si>
  <si>
    <t>1,78,97,463</t>
  </si>
  <si>
    <t>31,21,57,11,397.75</t>
  </si>
  <si>
    <t>3,81,375</t>
  </si>
  <si>
    <t>1,06,58,618</t>
  </si>
  <si>
    <t>1,63,57,862</t>
  </si>
  <si>
    <t>28,40,34,32,611.95</t>
  </si>
  <si>
    <t>3,50,916</t>
  </si>
  <si>
    <t>98,06,297</t>
  </si>
  <si>
    <t>1,14,47,956</t>
  </si>
  <si>
    <t>19,82,20,46,508.90</t>
  </si>
  <si>
    <t>2,77,300</t>
  </si>
  <si>
    <t>81,52,758</t>
  </si>
  <si>
    <t>8,79,846</t>
  </si>
  <si>
    <t>1,52,98,70,165.60</t>
  </si>
  <si>
    <t>3,11,374</t>
  </si>
  <si>
    <t>1,40,44,624</t>
  </si>
  <si>
    <t>24,20,55,13,156.95</t>
  </si>
  <si>
    <t>3,42,162</t>
  </si>
  <si>
    <t>96,28,154</t>
  </si>
  <si>
    <t>2,21,16,203</t>
  </si>
  <si>
    <t>38,40,25,43,188.05</t>
  </si>
  <si>
    <t>3,62,395</t>
  </si>
  <si>
    <t>1,25,08,130</t>
  </si>
  <si>
    <t>1,38,93,955</t>
  </si>
  <si>
    <t>24,36,42,01,740.05</t>
  </si>
  <si>
    <t>2,49,677</t>
  </si>
  <si>
    <t>81,70,849</t>
  </si>
  <si>
    <t>12,55,133</t>
  </si>
  <si>
    <t>2,19,84,28,206.15</t>
  </si>
  <si>
    <t>94,47,728</t>
  </si>
  <si>
    <t>16,50,13,84,112.80</t>
  </si>
  <si>
    <t>3,15,964</t>
  </si>
  <si>
    <t>56,81,231</t>
  </si>
  <si>
    <t>8,59,105</t>
  </si>
  <si>
    <t>1,49,77,20,701.75</t>
  </si>
  <si>
    <t>99,51,493</t>
  </si>
  <si>
    <t>17,46,10,70,459.45</t>
  </si>
  <si>
    <t>2,53,333</t>
  </si>
  <si>
    <t>66,88,588</t>
  </si>
  <si>
    <t>1,22,82,681</t>
  </si>
  <si>
    <t>21,72,62,35,735.65</t>
  </si>
  <si>
    <t>3,66,875</t>
  </si>
  <si>
    <t>74,56,943</t>
  </si>
  <si>
    <t>1,56,97,703</t>
  </si>
  <si>
    <t>27,18,38,31,491.15</t>
  </si>
  <si>
    <t>4,10,691</t>
  </si>
  <si>
    <t>74,10,508</t>
  </si>
  <si>
    <t>1,78,64,250</t>
  </si>
  <si>
    <t>30,36,39,47,641.30</t>
  </si>
  <si>
    <t>3,84,592</t>
  </si>
  <si>
    <t>98,78,595</t>
  </si>
  <si>
    <t>1,35,73,235</t>
  </si>
  <si>
    <t>22,97,89,07,908.45</t>
  </si>
  <si>
    <t>3,31,159</t>
  </si>
  <si>
    <t>73,07,878</t>
  </si>
  <si>
    <t>1,35,40,984</t>
  </si>
  <si>
    <t>23,12,71,23,855.10</t>
  </si>
  <si>
    <t>2,91,631</t>
  </si>
  <si>
    <t>95,62,272</t>
  </si>
  <si>
    <t>2,54,90,636</t>
  </si>
  <si>
    <t>44,33,08,62,947.85</t>
  </si>
  <si>
    <t>4,58,303</t>
  </si>
  <si>
    <t>1,90,18,449</t>
  </si>
  <si>
    <t>1,78,58,256</t>
  </si>
  <si>
    <t>31,13,81,62,734.40</t>
  </si>
  <si>
    <t>3,68,837</t>
  </si>
  <si>
    <t>1,19,02,796</t>
  </si>
  <si>
    <t>1,23,86,806</t>
  </si>
  <si>
    <t>21,59,72,23,792.50</t>
  </si>
  <si>
    <t>2,60,956</t>
  </si>
  <si>
    <t>81,37,880</t>
  </si>
  <si>
    <t>21,38,68,637</t>
  </si>
  <si>
    <t>3,81,63,91,43,690.10</t>
  </si>
  <si>
    <t>6,00,228</t>
  </si>
  <si>
    <t>17,42,12,666</t>
  </si>
  <si>
    <t>1,54,67,783</t>
  </si>
  <si>
    <t>27,60,60,61,237.40</t>
  </si>
  <si>
    <t>2,61,322</t>
  </si>
  <si>
    <t>90,10,084</t>
  </si>
  <si>
    <t>1,63,57,488</t>
  </si>
  <si>
    <t>29,46,92,24,217.60</t>
  </si>
  <si>
    <t>3,30,771</t>
  </si>
  <si>
    <t>87,40,131</t>
  </si>
  <si>
    <t>1,78,61,196</t>
  </si>
  <si>
    <t>32,30,11,09,888.90</t>
  </si>
  <si>
    <t>3,79,898</t>
  </si>
  <si>
    <t>1,00,98,151</t>
  </si>
  <si>
    <t>1,38,34,768</t>
  </si>
  <si>
    <t>24,81,83,89,358.55</t>
  </si>
  <si>
    <t>3,77,555</t>
  </si>
  <si>
    <t>91,43,382</t>
  </si>
  <si>
    <t>75,55,438</t>
  </si>
  <si>
    <t>13,53,79,40,498.05</t>
  </si>
  <si>
    <t>2,19,254</t>
  </si>
  <si>
    <t>49,45,801</t>
  </si>
  <si>
    <t>2,17,05,121</t>
  </si>
  <si>
    <t>39,66,07,23,545.25</t>
  </si>
  <si>
    <t>3,04,635</t>
  </si>
  <si>
    <t>1,58,04,923</t>
  </si>
  <si>
    <t>2,23,34,542</t>
  </si>
  <si>
    <t>41,42,72,49,107.90</t>
  </si>
  <si>
    <t>4,36,235</t>
  </si>
  <si>
    <t>1,57,76,554</t>
  </si>
  <si>
    <t>1,98,41,357</t>
  </si>
  <si>
    <t>36,95,30,40,114.30</t>
  </si>
  <si>
    <t>4,36,462</t>
  </si>
  <si>
    <t>1,17,28,370</t>
  </si>
  <si>
    <t>88,91,578</t>
  </si>
  <si>
    <t>16,50,93,03,748.10</t>
  </si>
  <si>
    <t>3,06,905</t>
  </si>
  <si>
    <t>55,45,799</t>
  </si>
  <si>
    <t>1,34,73,956</t>
  </si>
  <si>
    <t>25,21,10,39,597.45</t>
  </si>
  <si>
    <t>2,34,236</t>
  </si>
  <si>
    <t>1,01,15,077</t>
  </si>
  <si>
    <t>66,62,740</t>
  </si>
  <si>
    <t>12,44,13,43,169.15</t>
  </si>
  <si>
    <t>2,31,195</t>
  </si>
  <si>
    <t>40,95,005</t>
  </si>
  <si>
    <t>70,22,713</t>
  </si>
  <si>
    <t>13,09,03,28,471.35</t>
  </si>
  <si>
    <t>2,33,801</t>
  </si>
  <si>
    <t>40,31,962</t>
  </si>
  <si>
    <t>86,46,895</t>
  </si>
  <si>
    <t>16,06,92,41,440.60</t>
  </si>
  <si>
    <t>2,01,479</t>
  </si>
  <si>
    <t>46,30,670</t>
  </si>
  <si>
    <t>95,04,501</t>
  </si>
  <si>
    <t>17,66,20,74,120.80</t>
  </si>
  <si>
    <t>2,18,405</t>
  </si>
  <si>
    <t>49,85,509</t>
  </si>
  <si>
    <t>65,53,541</t>
  </si>
  <si>
    <t>12,21,17,02,096.00</t>
  </si>
  <si>
    <t>1,77,602</t>
  </si>
  <si>
    <t>37,29,437</t>
  </si>
  <si>
    <t>1,05,39,766</t>
  </si>
  <si>
    <t>19,39,67,85,094.90</t>
  </si>
  <si>
    <t>2,73,231</t>
  </si>
  <si>
    <t>59,30,094</t>
  </si>
  <si>
    <t>1,17,11,156</t>
  </si>
  <si>
    <t>21,28,52,73,596.85</t>
  </si>
  <si>
    <t>2,35,785</t>
  </si>
  <si>
    <t>79,99,429</t>
  </si>
  <si>
    <t>1,26,90,385</t>
  </si>
  <si>
    <t>22,73,31,48,296.10</t>
  </si>
  <si>
    <t>2,26,833</t>
  </si>
  <si>
    <t>86,48,980</t>
  </si>
  <si>
    <t>1,28,46,174</t>
  </si>
  <si>
    <t>22,84,68,37,948.65</t>
  </si>
  <si>
    <t>2,48,859</t>
  </si>
  <si>
    <t>77,00,019</t>
  </si>
  <si>
    <t>55,22,296</t>
  </si>
  <si>
    <t>9,93,13,39,240.15</t>
  </si>
  <si>
    <t>1,96,041</t>
  </si>
  <si>
    <t>29,93,179</t>
  </si>
  <si>
    <t>72,42,917</t>
  </si>
  <si>
    <t>13,02,82,70,259.60</t>
  </si>
  <si>
    <t>1,86,401</t>
  </si>
  <si>
    <t>32,68,593</t>
  </si>
  <si>
    <t>52,40,839</t>
  </si>
  <si>
    <t>9,40,08,10,018.35</t>
  </si>
  <si>
    <t>2,06,346</t>
  </si>
  <si>
    <t>27,16,334</t>
  </si>
  <si>
    <t>36,29,665</t>
  </si>
  <si>
    <t>6,51,92,60,348.40</t>
  </si>
  <si>
    <t>1,18,374</t>
  </si>
  <si>
    <t>19,01,649</t>
  </si>
  <si>
    <t>1,11,11,109</t>
  </si>
  <si>
    <t>19,83,56,03,545.90</t>
  </si>
  <si>
    <t>2,42,576</t>
  </si>
  <si>
    <t>61,85,214</t>
  </si>
  <si>
    <t>70,58,618</t>
  </si>
  <si>
    <t>12,51,54,66,451.75</t>
  </si>
  <si>
    <t>1,78,863</t>
  </si>
  <si>
    <t>42,99,418</t>
  </si>
  <si>
    <t>36,56,903</t>
  </si>
  <si>
    <t>6,51,37,66,065.70</t>
  </si>
  <si>
    <t>1,37,050</t>
  </si>
  <si>
    <t>16,46,509</t>
  </si>
  <si>
    <t>92,79,288</t>
  </si>
  <si>
    <t>16,62,84,52,536.95</t>
  </si>
  <si>
    <t>2,07,825</t>
  </si>
  <si>
    <t>58,04,214</t>
  </si>
  <si>
    <t>1,22,13,097</t>
  </si>
  <si>
    <t>21,47,79,58,569.15</t>
  </si>
  <si>
    <t>3,31,392</t>
  </si>
  <si>
    <t>74,52,366</t>
  </si>
  <si>
    <t>94,08,174</t>
  </si>
  <si>
    <t>16,23,10,88,938.60</t>
  </si>
  <si>
    <t>2,86,152</t>
  </si>
  <si>
    <t>56,39,127</t>
  </si>
  <si>
    <t>67,63,953</t>
  </si>
  <si>
    <t>11,58,50,14,112.50</t>
  </si>
  <si>
    <t>1,83,035</t>
  </si>
  <si>
    <t>43,79,489</t>
  </si>
  <si>
    <t>98,69,095</t>
  </si>
  <si>
    <t>16,71,89,30,725.70</t>
  </si>
  <si>
    <t>3,33,259</t>
  </si>
  <si>
    <t>73,59,145</t>
  </si>
  <si>
    <t>2,02,10,111</t>
  </si>
  <si>
    <t>33,71,25,59,507.35</t>
  </si>
  <si>
    <t>4,84,900</t>
  </si>
  <si>
    <t>1,59,02,698</t>
  </si>
  <si>
    <t>87,26,640</t>
  </si>
  <si>
    <t>14,52,68,37,756.80</t>
  </si>
  <si>
    <t>2,15,325</t>
  </si>
  <si>
    <t>60,98,530</t>
  </si>
  <si>
    <t>1,08,34,533</t>
  </si>
  <si>
    <t>17,70,90,48,137.70</t>
  </si>
  <si>
    <t>2,75,849</t>
  </si>
  <si>
    <t>73,59,117</t>
  </si>
  <si>
    <t>1,33,30,716</t>
  </si>
  <si>
    <t>21,95,36,39,202.10</t>
  </si>
  <si>
    <t>3,15,905</t>
  </si>
  <si>
    <t>93,62,523</t>
  </si>
  <si>
    <t>70,11,446</t>
  </si>
  <si>
    <t>11,55,88,19,066.05</t>
  </si>
  <si>
    <t>45,47,576</t>
  </si>
  <si>
    <t>1,06,06,227</t>
  </si>
  <si>
    <t>17,51,00,25,478.45</t>
  </si>
  <si>
    <t>2,15,124</t>
  </si>
  <si>
    <t>67,79,516</t>
  </si>
  <si>
    <t>1,15,56,038</t>
  </si>
  <si>
    <t>18,90,57,38,551.00</t>
  </si>
  <si>
    <t>2,14,237</t>
  </si>
  <si>
    <t>83,58,047</t>
  </si>
  <si>
    <t>87,78,809</t>
  </si>
  <si>
    <t>14,45,70,09,775.10</t>
  </si>
  <si>
    <t>2,26,533</t>
  </si>
  <si>
    <t>59,64,056</t>
  </si>
  <si>
    <t>1,55,79,072</t>
  </si>
  <si>
    <t>25,63,13,80,761.95</t>
  </si>
  <si>
    <t>2,70,722</t>
  </si>
  <si>
    <t>72,11,191</t>
  </si>
  <si>
    <t>1,53,09,653</t>
  </si>
  <si>
    <t>25,31,98,45,164.80</t>
  </si>
  <si>
    <t>3,67,130</t>
  </si>
  <si>
    <t>76,97,124</t>
  </si>
  <si>
    <t>1,74,54,579</t>
  </si>
  <si>
    <t>29,07,65,66,202.70</t>
  </si>
  <si>
    <t>4,45,411</t>
  </si>
  <si>
    <t>1,18,72,698</t>
  </si>
  <si>
    <t>1,21,18,100</t>
  </si>
  <si>
    <t>20,10,00,37,678.05</t>
  </si>
  <si>
    <t>2,71,994</t>
  </si>
  <si>
    <t>90,52,586</t>
  </si>
  <si>
    <t>1,14,02,083</t>
  </si>
  <si>
    <t>18,61,24,39,467.95</t>
  </si>
  <si>
    <t>2,77,125</t>
  </si>
  <si>
    <t>85,46,424</t>
  </si>
  <si>
    <t>1,50,89,656</t>
  </si>
  <si>
    <t>25,20,82,71,808.85</t>
  </si>
  <si>
    <t>3,50,835</t>
  </si>
  <si>
    <t>85,76,705</t>
  </si>
  <si>
    <t>63,09,945</t>
  </si>
  <si>
    <t>10,57,19,94,646.45</t>
  </si>
  <si>
    <t>1,96,187</t>
  </si>
  <si>
    <t>43,46,810</t>
  </si>
  <si>
    <t>1,28,72,423</t>
  </si>
  <si>
    <t>21,69,94,04,205.05</t>
  </si>
  <si>
    <t>2,63,161</t>
  </si>
  <si>
    <t>72,27,795</t>
  </si>
  <si>
    <t>79,10,843</t>
  </si>
  <si>
    <t>13,42,08,73,179.40</t>
  </si>
  <si>
    <t>2,15,938</t>
  </si>
  <si>
    <t>55,43,535</t>
  </si>
  <si>
    <t>27,93,764</t>
  </si>
  <si>
    <t>4,73,32,38,897.95</t>
  </si>
  <si>
    <t>10,39,250</t>
  </si>
  <si>
    <t>1,01,38,270</t>
  </si>
  <si>
    <t>17,02,70,93,333.70</t>
  </si>
  <si>
    <t>2,30,780</t>
  </si>
  <si>
    <t>78,93,988</t>
  </si>
  <si>
    <t>1,43,08,251</t>
  </si>
  <si>
    <t>24,48,03,95,914.25</t>
  </si>
  <si>
    <t>3,42,091</t>
  </si>
  <si>
    <t>1,03,00,349</t>
  </si>
  <si>
    <t>1,18,37,753</t>
  </si>
  <si>
    <t>20,52,47,85,237.35</t>
  </si>
  <si>
    <t>2,75,185</t>
  </si>
  <si>
    <t>94,25,082</t>
  </si>
  <si>
    <t>1,33,80,358</t>
  </si>
  <si>
    <t>23,22,50,08,521.55</t>
  </si>
  <si>
    <t>2,25,108</t>
  </si>
  <si>
    <t>86,94,892</t>
  </si>
  <si>
    <t>1,17,54,800</t>
  </si>
  <si>
    <t>20,51,20,07,682.55</t>
  </si>
  <si>
    <t>3,26,327</t>
  </si>
  <si>
    <t>79,64,834</t>
  </si>
  <si>
    <t>85,97,975</t>
  </si>
  <si>
    <t>14,75,03,90,095.15</t>
  </si>
  <si>
    <t>1,75,150</t>
  </si>
  <si>
    <t>63,64,813</t>
  </si>
  <si>
    <t>1,13,62,352</t>
  </si>
  <si>
    <t>19,31,66,30,388.15</t>
  </si>
  <si>
    <t>1,82,730</t>
  </si>
  <si>
    <t>78,06,510</t>
  </si>
  <si>
    <t>1,14,04,785</t>
  </si>
  <si>
    <t>19,34,92,71,431.55</t>
  </si>
  <si>
    <t>2,86,053</t>
  </si>
  <si>
    <t>81,33,575</t>
  </si>
  <si>
    <t>63,01,217</t>
  </si>
  <si>
    <t>10,73,02,16,799.15</t>
  </si>
  <si>
    <t>2,00,278</t>
  </si>
  <si>
    <t>35,80,241</t>
  </si>
  <si>
    <t>99,79,946</t>
  </si>
  <si>
    <t>16,87,06,60,139.45</t>
  </si>
  <si>
    <t>3,09,031</t>
  </si>
  <si>
    <t>78,05,589</t>
  </si>
  <si>
    <t>64,69,473</t>
  </si>
  <si>
    <t>11,01,19,75,039.00</t>
  </si>
  <si>
    <t>2,62,946</t>
  </si>
  <si>
    <t>42,02,038</t>
  </si>
  <si>
    <t>81,75,455</t>
  </si>
  <si>
    <t>14,07,06,71,116.40</t>
  </si>
  <si>
    <t>3,22,226</t>
  </si>
  <si>
    <t>58,95,356</t>
  </si>
  <si>
    <t>59,42,056</t>
  </si>
  <si>
    <t>10,26,44,54,339.75</t>
  </si>
  <si>
    <t>3,00,603</t>
  </si>
  <si>
    <t>40,27,432</t>
  </si>
  <si>
    <t>1,31,95,255</t>
  </si>
  <si>
    <t>22,36,64,35,828.30</t>
  </si>
  <si>
    <t>2,46,655</t>
  </si>
  <si>
    <t>93,94,627</t>
  </si>
  <si>
    <t>78,40,470</t>
  </si>
  <si>
    <t>13,22,08,29,593.15</t>
  </si>
  <si>
    <t>2,92,907</t>
  </si>
  <si>
    <t>52,81,578</t>
  </si>
  <si>
    <t>1,03,46,823</t>
  </si>
  <si>
    <t>17,30,34,02,535.10</t>
  </si>
  <si>
    <t>2,45,559</t>
  </si>
  <si>
    <t>77,39,708</t>
  </si>
  <si>
    <t>1,20,69,354</t>
  </si>
  <si>
    <t>20,29,82,55,600.95</t>
  </si>
  <si>
    <t>2,22,521</t>
  </si>
  <si>
    <t>71,40,142</t>
  </si>
  <si>
    <t>1,78,93,400</t>
  </si>
  <si>
    <t>30,43,73,23,745.00</t>
  </si>
  <si>
    <t>3,33,728</t>
  </si>
  <si>
    <t>1,32,47,979</t>
  </si>
  <si>
    <t>2,72,58,364</t>
  </si>
  <si>
    <t>46,91,55,54,649.05</t>
  </si>
  <si>
    <t>4,39,035</t>
  </si>
  <si>
    <t>1,95,48,687</t>
  </si>
  <si>
    <t>1,06,02,682</t>
  </si>
  <si>
    <t>18,12,28,15,702.35</t>
  </si>
  <si>
    <t>2,98,350</t>
  </si>
  <si>
    <t>71,74,359</t>
  </si>
  <si>
    <t>99,60,479</t>
  </si>
  <si>
    <t>16,99,55,92,810.65</t>
  </si>
  <si>
    <t>3,23,741</t>
  </si>
  <si>
    <t>72,76,857</t>
  </si>
  <si>
    <t>1,07,91,936</t>
  </si>
  <si>
    <t>18,30,27,95,483.00</t>
  </si>
  <si>
    <t>3,61,183</t>
  </si>
  <si>
    <t>77,58,409</t>
  </si>
  <si>
    <t>1,64,83,044</t>
  </si>
  <si>
    <t>27,79,26,85,275.85</t>
  </si>
  <si>
    <t>3,99,697</t>
  </si>
  <si>
    <t>1,00,38,498</t>
  </si>
  <si>
    <t>66,86,457</t>
  </si>
  <si>
    <t>11,30,45,55,576.90</t>
  </si>
  <si>
    <t>1,91,461</t>
  </si>
  <si>
    <t>43,33,273</t>
  </si>
  <si>
    <t>78,02,025</t>
  </si>
  <si>
    <t>13,18,28,46,005.05</t>
  </si>
  <si>
    <t>2,84,969</t>
  </si>
  <si>
    <t>57,64,864</t>
  </si>
  <si>
    <t>99,49,215</t>
  </si>
  <si>
    <t>16,77,09,18,814.65</t>
  </si>
  <si>
    <t>2,72,484</t>
  </si>
  <si>
    <t>70,71,075</t>
  </si>
  <si>
    <t>93,92,053</t>
  </si>
  <si>
    <t>16,06,45,64,334.10</t>
  </si>
  <si>
    <t>2,77,146</t>
  </si>
  <si>
    <t>67,80,880</t>
  </si>
  <si>
    <t>78,68,132</t>
  </si>
  <si>
    <t>13,46,32,15,400.70</t>
  </si>
  <si>
    <t>1,85,351</t>
  </si>
  <si>
    <t>52,38,428</t>
  </si>
  <si>
    <t>94,75,957</t>
  </si>
  <si>
    <t>16,21,46,35,449.55</t>
  </si>
  <si>
    <t>3,65,060</t>
  </si>
  <si>
    <t>71,11,163</t>
  </si>
  <si>
    <t>1,09,53,589</t>
  </si>
  <si>
    <t>18,94,17,85,563.70</t>
  </si>
  <si>
    <t>2,48,631</t>
  </si>
  <si>
    <t>68,34,573</t>
  </si>
  <si>
    <t>76,10,703</t>
  </si>
  <si>
    <t>13,27,09,34,759.25</t>
  </si>
  <si>
    <t>2,01,878</t>
  </si>
  <si>
    <t>58,11,993</t>
  </si>
  <si>
    <t>89,16,989</t>
  </si>
  <si>
    <t>15,69,93,98,473.15</t>
  </si>
  <si>
    <t>2,18,030</t>
  </si>
  <si>
    <t>59,04,489</t>
  </si>
  <si>
    <t>1,67,54,132</t>
  </si>
  <si>
    <t>29,60,41,96,148.95</t>
  </si>
  <si>
    <t>2,10,244</t>
  </si>
  <si>
    <t>1,28,49,014</t>
  </si>
  <si>
    <t>86,96,868</t>
  </si>
  <si>
    <t>15,60,46,55,158.80</t>
  </si>
  <si>
    <t>2,86,856</t>
  </si>
  <si>
    <t>57,67,323</t>
  </si>
  <si>
    <t>1,95,50,708</t>
  </si>
  <si>
    <t>35,69,65,16,139.20</t>
  </si>
  <si>
    <t>4,07,401</t>
  </si>
  <si>
    <t>1,19,74,103</t>
  </si>
  <si>
    <t>1,22,39,221</t>
  </si>
  <si>
    <t>22,20,33,11,052.10</t>
  </si>
  <si>
    <t>2,65,431</t>
  </si>
  <si>
    <t>87,82,277</t>
  </si>
  <si>
    <t>2,08,29,050</t>
  </si>
  <si>
    <t>38,06,61,30,418.30</t>
  </si>
  <si>
    <t>4,16,415</t>
  </si>
  <si>
    <t>1,48,16,314</t>
  </si>
  <si>
    <t>1,43,86,824</t>
  </si>
  <si>
    <t>26,21,10,31,845.90</t>
  </si>
  <si>
    <t>2,76,619</t>
  </si>
  <si>
    <t>1,03,30,293</t>
  </si>
  <si>
    <t>1,42,55,503</t>
  </si>
  <si>
    <t>25,39,96,32,617.35</t>
  </si>
  <si>
    <t>4,09,481</t>
  </si>
  <si>
    <t>93,01,658</t>
  </si>
  <si>
    <t xml:space="preserve">Average return </t>
  </si>
  <si>
    <t xml:space="preserve">Volatality of return </t>
  </si>
  <si>
    <t xml:space="preserve">return </t>
  </si>
  <si>
    <t>57,86,782</t>
  </si>
  <si>
    <t>10,36,55,35,361.90</t>
  </si>
  <si>
    <t>1,44,509</t>
  </si>
  <si>
    <t>37,78,623</t>
  </si>
  <si>
    <t>56,25,019</t>
  </si>
  <si>
    <t>10,09,18,17,304.10</t>
  </si>
  <si>
    <t>1,47,618</t>
  </si>
  <si>
    <t>37,22,325</t>
  </si>
  <si>
    <t>1,67,70,227</t>
  </si>
  <si>
    <t>30,59,26,39,918.20</t>
  </si>
  <si>
    <t>3,16,416</t>
  </si>
  <si>
    <t>1,15,18,395</t>
  </si>
  <si>
    <t>1,89,97,725</t>
  </si>
  <si>
    <t>33,41,98,75,202.00</t>
  </si>
  <si>
    <t>3,74,557</t>
  </si>
  <si>
    <t>1,22,50,901</t>
  </si>
  <si>
    <t>1,77,81,936</t>
  </si>
  <si>
    <t>31,45,90,03,790.15</t>
  </si>
  <si>
    <t>3,55,184</t>
  </si>
  <si>
    <t>1,02,50,737</t>
  </si>
  <si>
    <t>1,12,27,304</t>
  </si>
  <si>
    <t>19,77,87,28,957.55</t>
  </si>
  <si>
    <t>2,07,950</t>
  </si>
  <si>
    <t>76,75,538</t>
  </si>
  <si>
    <t>1,63,87,883</t>
  </si>
  <si>
    <t>29,55,24,99,474.85</t>
  </si>
  <si>
    <t>3,95,826</t>
  </si>
  <si>
    <t>1,13,67,066</t>
  </si>
  <si>
    <t>2,46,49,172</t>
  </si>
  <si>
    <t>46,01,41,08,976.00</t>
  </si>
  <si>
    <t>3,60,194</t>
  </si>
  <si>
    <t>1,79,86,230</t>
  </si>
  <si>
    <t>95,68,410</t>
  </si>
  <si>
    <t>17,93,26,65,363.90</t>
  </si>
  <si>
    <t>2,52,887</t>
  </si>
  <si>
    <t>60,23,703</t>
  </si>
  <si>
    <t>1,78,51,542</t>
  </si>
  <si>
    <t>33,94,31,68,763.20</t>
  </si>
  <si>
    <t>3,94,807</t>
  </si>
  <si>
    <t>1,13,00,117</t>
  </si>
  <si>
    <t>1,71,23,649</t>
  </si>
  <si>
    <t>33,06,28,32,499.30</t>
  </si>
  <si>
    <t>4,11,337</t>
  </si>
  <si>
    <t>1,16,00,626</t>
  </si>
  <si>
    <t>2,29,80,875</t>
  </si>
  <si>
    <t>44,97,72,15,852.40</t>
  </si>
  <si>
    <t>5,12,026</t>
  </si>
  <si>
    <t>1,65,13,580</t>
  </si>
  <si>
    <t>1,52,85,321</t>
  </si>
  <si>
    <t>29,63,89,23,676.10</t>
  </si>
  <si>
    <t>2,47,823</t>
  </si>
  <si>
    <t>1,11,59,514</t>
  </si>
  <si>
    <t>1,29,65,877</t>
  </si>
  <si>
    <t>24,85,20,91,752.80</t>
  </si>
  <si>
    <t>2,27,034</t>
  </si>
  <si>
    <t>76,62,734</t>
  </si>
  <si>
    <t>92,50,439</t>
  </si>
  <si>
    <t>17,68,10,17,343.80</t>
  </si>
  <si>
    <t>2,01,781</t>
  </si>
  <si>
    <t>59,99,133</t>
  </si>
  <si>
    <t>69,60,246</t>
  </si>
  <si>
    <t>13,37,87,45,824.70</t>
  </si>
  <si>
    <t>1,55,527</t>
  </si>
  <si>
    <t>48,59,663</t>
  </si>
  <si>
    <t>94,59,154</t>
  </si>
  <si>
    <t>18,06,24,38,512.30</t>
  </si>
  <si>
    <t>1,86,299</t>
  </si>
  <si>
    <t>60,19,766</t>
  </si>
  <si>
    <t>1,59,68,435</t>
  </si>
  <si>
    <t>30,73,94,92,241.20</t>
  </si>
  <si>
    <t>2,75,126</t>
  </si>
  <si>
    <t>1,13,78,694</t>
  </si>
  <si>
    <t>1,14,06,024</t>
  </si>
  <si>
    <t>22,02,08,20,771.50</t>
  </si>
  <si>
    <t>2,36,285</t>
  </si>
  <si>
    <t>86,47,253</t>
  </si>
  <si>
    <t>75,34,012</t>
  </si>
  <si>
    <t>14,62,19,40,034.00</t>
  </si>
  <si>
    <t>1,60,044</t>
  </si>
  <si>
    <t>47,72,438</t>
  </si>
  <si>
    <t>87,45,078</t>
  </si>
  <si>
    <t>16,89,44,88,689.10</t>
  </si>
  <si>
    <t>1,40,830</t>
  </si>
  <si>
    <t>63,77,477</t>
  </si>
  <si>
    <t>1,07,10,389</t>
  </si>
  <si>
    <t>20,77,71,45,511.00</t>
  </si>
  <si>
    <t>1,78,998</t>
  </si>
  <si>
    <t>78,16,814</t>
  </si>
  <si>
    <t>1,74,01,715</t>
  </si>
  <si>
    <t>33,65,14,32,174.30</t>
  </si>
  <si>
    <t>2,80,256</t>
  </si>
  <si>
    <t>1,19,92,864</t>
  </si>
  <si>
    <t>85,94,398</t>
  </si>
  <si>
    <t>16,28,61,44,558.60</t>
  </si>
  <si>
    <t>2,92,155</t>
  </si>
  <si>
    <t>64,18,433</t>
  </si>
  <si>
    <t>93,09,486</t>
  </si>
  <si>
    <t>18,14,28,65,391.20</t>
  </si>
  <si>
    <t>2,07,249</t>
  </si>
  <si>
    <t>64,84,427</t>
  </si>
  <si>
    <t>1,21,21,051</t>
  </si>
  <si>
    <t>23,40,09,36,924.40</t>
  </si>
  <si>
    <t>2,34,495</t>
  </si>
  <si>
    <t>81,11,085</t>
  </si>
  <si>
    <t>77,22,654</t>
  </si>
  <si>
    <t>14,78,70,00,374.50</t>
  </si>
  <si>
    <t>1,89,542</t>
  </si>
  <si>
    <t>53,24,638</t>
  </si>
  <si>
    <t>1,61,20,729</t>
  </si>
  <si>
    <t>31,00,03,29,957.90</t>
  </si>
  <si>
    <t>2,24,596</t>
  </si>
  <si>
    <t>88,75,200</t>
  </si>
  <si>
    <t>79,34,005</t>
  </si>
  <si>
    <t>15,34,04,26,257.00</t>
  </si>
  <si>
    <t>1,75,140</t>
  </si>
  <si>
    <t>58,21,408</t>
  </si>
  <si>
    <t>51,01,482</t>
  </si>
  <si>
    <t>9,88,73,38,159.20</t>
  </si>
  <si>
    <t>1,56,815</t>
  </si>
  <si>
    <t>32,40,362</t>
  </si>
  <si>
    <t>1,19,39,545</t>
  </si>
  <si>
    <t>22,90,66,55,882.10</t>
  </si>
  <si>
    <t>1,76,524</t>
  </si>
  <si>
    <t>82,68,352</t>
  </si>
  <si>
    <t>75,66,020</t>
  </si>
  <si>
    <t>14,60,55,82,585.70</t>
  </si>
  <si>
    <t>2,05,548</t>
  </si>
  <si>
    <t>44,81,751</t>
  </si>
  <si>
    <t>1,06,53,335</t>
  </si>
  <si>
    <t>20,39,94,11,133.40</t>
  </si>
  <si>
    <t>2,55,429</t>
  </si>
  <si>
    <t>69,93,511</t>
  </si>
  <si>
    <t>47,83,036</t>
  </si>
  <si>
    <t>9,23,11,50,800.40</t>
  </si>
  <si>
    <t>1,16,301</t>
  </si>
  <si>
    <t>33,24,907</t>
  </si>
  <si>
    <t>54,01,430</t>
  </si>
  <si>
    <t>10,47,59,11,940.90</t>
  </si>
  <si>
    <t>2,01,842</t>
  </si>
  <si>
    <t>33,86,064</t>
  </si>
  <si>
    <t>1,30,81,074</t>
  </si>
  <si>
    <t>25,20,87,51,300.70</t>
  </si>
  <si>
    <t>2,02,672</t>
  </si>
  <si>
    <t>75,60,818</t>
  </si>
  <si>
    <t>90,78,797</t>
  </si>
  <si>
    <t>17,45,78,06,722.10</t>
  </si>
  <si>
    <t>1,79,687</t>
  </si>
  <si>
    <t>66,53,105</t>
  </si>
  <si>
    <t>1,44,58,897</t>
  </si>
  <si>
    <t>27,77,95,60,938.60</t>
  </si>
  <si>
    <t>2,15,462</t>
  </si>
  <si>
    <t>80,83,688</t>
  </si>
  <si>
    <t>1,43,74,039</t>
  </si>
  <si>
    <t>27,87,63,95,261.10</t>
  </si>
  <si>
    <t>1,52,055</t>
  </si>
  <si>
    <t>1,06,80,728</t>
  </si>
  <si>
    <t>73,34,411</t>
  </si>
  <si>
    <t>14,11,61,52,681.30</t>
  </si>
  <si>
    <t>2,02,297</t>
  </si>
  <si>
    <t>48,06,505</t>
  </si>
  <si>
    <t>1,21,88,792</t>
  </si>
  <si>
    <t>23,57,13,32,796.70</t>
  </si>
  <si>
    <t>2,02,204</t>
  </si>
  <si>
    <t>88,84,330</t>
  </si>
  <si>
    <t>64,80,771</t>
  </si>
  <si>
    <t>12,54,36,93,178.60</t>
  </si>
  <si>
    <t>2,05,372</t>
  </si>
  <si>
    <t>46,48,807</t>
  </si>
  <si>
    <t>1,11,27,709</t>
  </si>
  <si>
    <t>21,70,06,98,216.20</t>
  </si>
  <si>
    <t>2,16,860</t>
  </si>
  <si>
    <t>62,48,672</t>
  </si>
  <si>
    <t>1,50,63,504</t>
  </si>
  <si>
    <t>29,76,59,91,590.30</t>
  </si>
  <si>
    <t>3,54,572</t>
  </si>
  <si>
    <t>92,08,623</t>
  </si>
  <si>
    <t>66,01,294</t>
  </si>
  <si>
    <t>13,08,47,80,209.80</t>
  </si>
  <si>
    <t>2,03,285</t>
  </si>
  <si>
    <t>43,10,858</t>
  </si>
  <si>
    <t>77,66,563</t>
  </si>
  <si>
    <t>15,28,41,54,944.50</t>
  </si>
  <si>
    <t>2,81,306</t>
  </si>
  <si>
    <t>54,33,094</t>
  </si>
  <si>
    <t>55,48,197</t>
  </si>
  <si>
    <t>10,85,38,32,767.00</t>
  </si>
  <si>
    <t>1,81,762</t>
  </si>
  <si>
    <t>43,81,595</t>
  </si>
  <si>
    <t>81,74,565</t>
  </si>
  <si>
    <t>15,90,10,14,848.90</t>
  </si>
  <si>
    <t>1,79,174</t>
  </si>
  <si>
    <t>47,09,228</t>
  </si>
  <si>
    <t>60,58,881</t>
  </si>
  <si>
    <t>11,63,35,22,704.60</t>
  </si>
  <si>
    <t>1,87,789</t>
  </si>
  <si>
    <t>41,57,664</t>
  </si>
  <si>
    <t>82,56,873</t>
  </si>
  <si>
    <t>15,96,31,22,374.70</t>
  </si>
  <si>
    <t>1,99,177</t>
  </si>
  <si>
    <t>67,55,556</t>
  </si>
  <si>
    <t>84,89,368</t>
  </si>
  <si>
    <t>16,36,36,91,276.80</t>
  </si>
  <si>
    <t>2,19,738</t>
  </si>
  <si>
    <t>58,36,894</t>
  </si>
  <si>
    <t>92,16,908</t>
  </si>
  <si>
    <t>17,77,13,02,525.40</t>
  </si>
  <si>
    <t>2,51,910</t>
  </si>
  <si>
    <t>73,13,289</t>
  </si>
  <si>
    <t>84,38,110</t>
  </si>
  <si>
    <t>16,34,97,32,658.70</t>
  </si>
  <si>
    <t>2,02,215</t>
  </si>
  <si>
    <t>50,83,169</t>
  </si>
  <si>
    <t>1,64,50,204</t>
  </si>
  <si>
    <t>32,24,88,39,586.40</t>
  </si>
  <si>
    <t>2,61,970</t>
  </si>
  <si>
    <t>1,32,34,979</t>
  </si>
  <si>
    <t>58,69,759</t>
  </si>
  <si>
    <t>11,43,53,95,881.10</t>
  </si>
  <si>
    <t>1,76,324</t>
  </si>
  <si>
    <t>41,36,205</t>
  </si>
  <si>
    <t>1,13,12,661</t>
  </si>
  <si>
    <t>22,21,94,42,191.50</t>
  </si>
  <si>
    <t>2,31,814</t>
  </si>
  <si>
    <t>55,90,603</t>
  </si>
  <si>
    <t>92,02,966</t>
  </si>
  <si>
    <t>18,19,54,46,515.70</t>
  </si>
  <si>
    <t>2,06,190</t>
  </si>
  <si>
    <t>68,56,865</t>
  </si>
  <si>
    <t>2,50,42,415</t>
  </si>
  <si>
    <t>50,36,56,56,414.50</t>
  </si>
  <si>
    <t>3,43,662</t>
  </si>
  <si>
    <t>1,70,82,370</t>
  </si>
  <si>
    <t>1,41,06,692</t>
  </si>
  <si>
    <t>28,37,90,71,385.70</t>
  </si>
  <si>
    <t>2,26,961</t>
  </si>
  <si>
    <t>1,17,90,269</t>
  </si>
  <si>
    <t>68,24,510</t>
  </si>
  <si>
    <t>13,65,69,39,181.00</t>
  </si>
  <si>
    <t>1,99,780</t>
  </si>
  <si>
    <t>50,25,817</t>
  </si>
  <si>
    <t>71,94,693</t>
  </si>
  <si>
    <t>14,46,24,21,818.60</t>
  </si>
  <si>
    <t>1,69,976</t>
  </si>
  <si>
    <t>48,95,516</t>
  </si>
  <si>
    <t>94,39,125</t>
  </si>
  <si>
    <t>18,78,62,19,250.60</t>
  </si>
  <si>
    <t>2,68,429</t>
  </si>
  <si>
    <t>65,16,626</t>
  </si>
  <si>
    <t>84,30,253</t>
  </si>
  <si>
    <t>16,80,33,71,805.60</t>
  </si>
  <si>
    <t>1,82,242</t>
  </si>
  <si>
    <t>40,21,259</t>
  </si>
  <si>
    <t>39,31,972</t>
  </si>
  <si>
    <t>7,81,48,32,915.60</t>
  </si>
  <si>
    <t>1,50,676</t>
  </si>
  <si>
    <t>23,86,234</t>
  </si>
  <si>
    <t>56,74,713</t>
  </si>
  <si>
    <t>11,28,90,78,543.00</t>
  </si>
  <si>
    <t>1,63,393</t>
  </si>
  <si>
    <t>35,80,127</t>
  </si>
  <si>
    <t>76,12,158</t>
  </si>
  <si>
    <t>15,17,00,95,365.50</t>
  </si>
  <si>
    <t>1,99,823</t>
  </si>
  <si>
    <t>47,19,470</t>
  </si>
  <si>
    <t>69,30,714</t>
  </si>
  <si>
    <t>13,91,06,45,549.40</t>
  </si>
  <si>
    <t>1,51,284</t>
  </si>
  <si>
    <t>47,75,873</t>
  </si>
  <si>
    <t>85,15,155</t>
  </si>
  <si>
    <t>17,10,30,52,403.80</t>
  </si>
  <si>
    <t>1,84,619</t>
  </si>
  <si>
    <t>46,03,926</t>
  </si>
  <si>
    <t>62,58,461</t>
  </si>
  <si>
    <t>12,43,81,53,798.20</t>
  </si>
  <si>
    <t>1,25,871</t>
  </si>
  <si>
    <t>49,58,892</t>
  </si>
  <si>
    <t>10,71,175</t>
  </si>
  <si>
    <t>2,12,41,40,025.00</t>
  </si>
  <si>
    <t>65,44,425</t>
  </si>
  <si>
    <t>12,95,00,97,345.90</t>
  </si>
  <si>
    <t>1,32,854</t>
  </si>
  <si>
    <t>49,32,484</t>
  </si>
  <si>
    <t>72,49,084</t>
  </si>
  <si>
    <t>14,44,75,99,382.10</t>
  </si>
  <si>
    <t>1,57,806</t>
  </si>
  <si>
    <t>40,70,577</t>
  </si>
  <si>
    <t>89,97,306</t>
  </si>
  <si>
    <t>18,04,44,32,313.40</t>
  </si>
  <si>
    <t>2,16,845</t>
  </si>
  <si>
    <t>52,65,661</t>
  </si>
  <si>
    <t>1,12,64,579</t>
  </si>
  <si>
    <t>22,43,74,06,105.60</t>
  </si>
  <si>
    <t>2,56,020</t>
  </si>
  <si>
    <t>63,66,220</t>
  </si>
  <si>
    <t>80,64,723</t>
  </si>
  <si>
    <t>15,87,78,08,287.50</t>
  </si>
  <si>
    <t>2,21,823</t>
  </si>
  <si>
    <t>55,24,936</t>
  </si>
  <si>
    <t>1,11,54,539</t>
  </si>
  <si>
    <t>22,23,60,41,336.40</t>
  </si>
  <si>
    <t>2,75,691</t>
  </si>
  <si>
    <t>65,36,125</t>
  </si>
  <si>
    <t>74,18,407</t>
  </si>
  <si>
    <t>14,90,39,39,836.30</t>
  </si>
  <si>
    <t>2,26,727</t>
  </si>
  <si>
    <t>52,86,787</t>
  </si>
  <si>
    <t>68,17,458</t>
  </si>
  <si>
    <t>13,77,10,89,884.70</t>
  </si>
  <si>
    <t>1,91,989</t>
  </si>
  <si>
    <t>48,87,186</t>
  </si>
  <si>
    <t>95,53,588</t>
  </si>
  <si>
    <t>19,28,98,76,404.20</t>
  </si>
  <si>
    <t>1,83,573</t>
  </si>
  <si>
    <t>59,46,175</t>
  </si>
  <si>
    <t>46,53,299</t>
  </si>
  <si>
    <t>9,33,28,02,398.80</t>
  </si>
  <si>
    <t>1,63,735</t>
  </si>
  <si>
    <t>26,70,096</t>
  </si>
  <si>
    <t>60,29,790</t>
  </si>
  <si>
    <t>12,12,64,12,272.80</t>
  </si>
  <si>
    <t>2,19,624</t>
  </si>
  <si>
    <t>42,69,112</t>
  </si>
  <si>
    <t>99,47,848</t>
  </si>
  <si>
    <t>20,04,56,35,384.90</t>
  </si>
  <si>
    <t>2,34,546</t>
  </si>
  <si>
    <t>69,12,288</t>
  </si>
  <si>
    <t>75,77,018</t>
  </si>
  <si>
    <t>15,33,54,57,713.70</t>
  </si>
  <si>
    <t>1,52,763</t>
  </si>
  <si>
    <t>52,92,067</t>
  </si>
  <si>
    <t>1,10,91,516</t>
  </si>
  <si>
    <t>22,41,37,95,872.20</t>
  </si>
  <si>
    <t>1,99,191</t>
  </si>
  <si>
    <t>46,63,953</t>
  </si>
  <si>
    <t>56,58,629</t>
  </si>
  <si>
    <t>11,40,34,73,962.30</t>
  </si>
  <si>
    <t>1,38,595</t>
  </si>
  <si>
    <t>38,77,981</t>
  </si>
  <si>
    <t>69,66,973</t>
  </si>
  <si>
    <t>13,91,97,56,957.20</t>
  </si>
  <si>
    <t>2,48,150</t>
  </si>
  <si>
    <t>53,92,274</t>
  </si>
  <si>
    <t>1,19,89,029</t>
  </si>
  <si>
    <t>23,68,56,33,703.60</t>
  </si>
  <si>
    <t>1,94,332</t>
  </si>
  <si>
    <t>86,86,084</t>
  </si>
  <si>
    <t>70,40,102</t>
  </si>
  <si>
    <t>13,92,80,74,705.90</t>
  </si>
  <si>
    <t>2,11,058</t>
  </si>
  <si>
    <t>51,93,296</t>
  </si>
  <si>
    <t>65,40,593</t>
  </si>
  <si>
    <t>12,99,02,37,207.70</t>
  </si>
  <si>
    <t>2,23,527</t>
  </si>
  <si>
    <t>39,57,541</t>
  </si>
  <si>
    <t>69,47,632</t>
  </si>
  <si>
    <t>13,74,92,88,126.40</t>
  </si>
  <si>
    <t>1,78,320</t>
  </si>
  <si>
    <t>49,21,047</t>
  </si>
  <si>
    <t>45,52,927</t>
  </si>
  <si>
    <t>9,04,61,55,578.70</t>
  </si>
  <si>
    <t>1,65,998</t>
  </si>
  <si>
    <t>28,93,629</t>
  </si>
  <si>
    <t>64,68,901</t>
  </si>
  <si>
    <t>12,79,89,99,218.20</t>
  </si>
  <si>
    <t>2,37,925</t>
  </si>
  <si>
    <t>37,63,379</t>
  </si>
  <si>
    <t>67,88,698</t>
  </si>
  <si>
    <t>13,42,21,76,534.10</t>
  </si>
  <si>
    <t>1,77,703</t>
  </si>
  <si>
    <t>46,59,295</t>
  </si>
  <si>
    <t>87,55,858</t>
  </si>
  <si>
    <t>17,42,57,42,818.70</t>
  </si>
  <si>
    <t>1,74,342</t>
  </si>
  <si>
    <t>53,99,734</t>
  </si>
  <si>
    <t>96,42,398</t>
  </si>
  <si>
    <t>19,36,89,89,917.90</t>
  </si>
  <si>
    <t>2,20,027</t>
  </si>
  <si>
    <t>58,90,386</t>
  </si>
  <si>
    <t>61,76,219</t>
  </si>
  <si>
    <t>12,32,45,74,114.90</t>
  </si>
  <si>
    <t>1,70,899</t>
  </si>
  <si>
    <t>33,56,794</t>
  </si>
  <si>
    <t>49,75,114</t>
  </si>
  <si>
    <t>9,87,62,63,155.30</t>
  </si>
  <si>
    <t>1,73,424</t>
  </si>
  <si>
    <t>32,62,221</t>
  </si>
  <si>
    <t>62,19,925</t>
  </si>
  <si>
    <t>12,38,77,22,464.00</t>
  </si>
  <si>
    <t>1,60,599</t>
  </si>
  <si>
    <t>39,38,606</t>
  </si>
  <si>
    <t>99,16,751</t>
  </si>
  <si>
    <t>19,52,27,14,269.10</t>
  </si>
  <si>
    <t>2,53,318</t>
  </si>
  <si>
    <t>72,96,028</t>
  </si>
  <si>
    <t>87,59,022</t>
  </si>
  <si>
    <t>17,23,13,88,424.40</t>
  </si>
  <si>
    <t>2,17,503</t>
  </si>
  <si>
    <t>62,85,996</t>
  </si>
  <si>
    <t>1,69,17,731</t>
  </si>
  <si>
    <t>16,46,54,10,030.90</t>
  </si>
  <si>
    <t>2,96,302</t>
  </si>
  <si>
    <t>1,11,17,324</t>
  </si>
  <si>
    <t>2,54,38,255</t>
  </si>
  <si>
    <t>24,47,38,86,027.80</t>
  </si>
  <si>
    <t>3,77,835</t>
  </si>
  <si>
    <t>1,47,79,593</t>
  </si>
  <si>
    <t>1,48,23,813</t>
  </si>
  <si>
    <t>14,16,03,14,228.10</t>
  </si>
  <si>
    <t>2,60,839</t>
  </si>
  <si>
    <t>1,09,21,593</t>
  </si>
  <si>
    <t>2,01,78,344</t>
  </si>
  <si>
    <t>19,18,19,19,082.15</t>
  </si>
  <si>
    <t>4,10,933</t>
  </si>
  <si>
    <t>1,54,70,566</t>
  </si>
  <si>
    <t>1,41,96,320</t>
  </si>
  <si>
    <t>13,46,94,17,784.70</t>
  </si>
  <si>
    <t>3,43,637</t>
  </si>
  <si>
    <t>85,59,801</t>
  </si>
  <si>
    <t>1,60,83,481</t>
  </si>
  <si>
    <t>15,24,17,46,460.65</t>
  </si>
  <si>
    <t>2,88,240</t>
  </si>
  <si>
    <t>1,10,88,091</t>
  </si>
  <si>
    <t>1,75,97,657</t>
  </si>
  <si>
    <t>16,91,73,00,954.60</t>
  </si>
  <si>
    <t>2,12,281</t>
  </si>
  <si>
    <t>98,25,135</t>
  </si>
  <si>
    <t>1,16,02,111</t>
  </si>
  <si>
    <t>11,14,62,02,039.65</t>
  </si>
  <si>
    <t>2,10,037</t>
  </si>
  <si>
    <t>80,25,866</t>
  </si>
  <si>
    <t>1,17,11,307</t>
  </si>
  <si>
    <t>11,33,16,77,355.70</t>
  </si>
  <si>
    <t>1,93,535</t>
  </si>
  <si>
    <t>77,23,748</t>
  </si>
  <si>
    <t>1,39,85,539</t>
  </si>
  <si>
    <t>13,53,53,96,477.20</t>
  </si>
  <si>
    <t>1,81,800</t>
  </si>
  <si>
    <t>86,74,252</t>
  </si>
  <si>
    <t>1,80,91,100</t>
  </si>
  <si>
    <t>17,47,97,79,505.30</t>
  </si>
  <si>
    <t>2,18,336</t>
  </si>
  <si>
    <t>1,32,33,607</t>
  </si>
  <si>
    <t>1,51,13,633</t>
  </si>
  <si>
    <t>14,59,89,45,433.15</t>
  </si>
  <si>
    <t>2,20,801</t>
  </si>
  <si>
    <t>78,24,117</t>
  </si>
  <si>
    <t>1,43,63,519</t>
  </si>
  <si>
    <t>13,88,44,30,847.50</t>
  </si>
  <si>
    <t>2,65,851</t>
  </si>
  <si>
    <t>1,08,37,642</t>
  </si>
  <si>
    <t>1,44,86,377</t>
  </si>
  <si>
    <t>14,03,12,09,535.60</t>
  </si>
  <si>
    <t>1,98,502</t>
  </si>
  <si>
    <t>93,76,182</t>
  </si>
  <si>
    <t>1,86,61,794</t>
  </si>
  <si>
    <t>18,03,32,79,292.75</t>
  </si>
  <si>
    <t>2,01,920</t>
  </si>
  <si>
    <t>1,33,72,765</t>
  </si>
  <si>
    <t>1,73,61,476</t>
  </si>
  <si>
    <t>16,81,26,55,777.90</t>
  </si>
  <si>
    <t>2,69,236</t>
  </si>
  <si>
    <t>1,24,77,258</t>
  </si>
  <si>
    <t>1,77,91,598</t>
  </si>
  <si>
    <t>17,34,08,47,521.60</t>
  </si>
  <si>
    <t>2,67,040</t>
  </si>
  <si>
    <t>95,72,957</t>
  </si>
  <si>
    <t>3,12,43,267</t>
  </si>
  <si>
    <t>30,21,92,30,008.15</t>
  </si>
  <si>
    <t>2,20,137</t>
  </si>
  <si>
    <t>2,32,82,508</t>
  </si>
  <si>
    <t>1,08,54,415</t>
  </si>
  <si>
    <t>10,48,97,24,995.75</t>
  </si>
  <si>
    <t>1,39,126</t>
  </si>
  <si>
    <t>61,52,391</t>
  </si>
  <si>
    <t>2,10,22,298</t>
  </si>
  <si>
    <t>20,18,34,27,172.90</t>
  </si>
  <si>
    <t>1,90,721</t>
  </si>
  <si>
    <t>1,13,19,285</t>
  </si>
  <si>
    <t>1,51,17,220</t>
  </si>
  <si>
    <t>14,34,94,11,269.75</t>
  </si>
  <si>
    <t>2,48,417</t>
  </si>
  <si>
    <t>97,95,696</t>
  </si>
  <si>
    <t>3,14,13,279</t>
  </si>
  <si>
    <t>29,90,63,81,362.70</t>
  </si>
  <si>
    <t>2,56,060</t>
  </si>
  <si>
    <t>2,08,33,726</t>
  </si>
  <si>
    <t>1,48,74,656</t>
  </si>
  <si>
    <t>14,07,07,86,048.15</t>
  </si>
  <si>
    <t>2,09,563</t>
  </si>
  <si>
    <t>90,35,935</t>
  </si>
  <si>
    <t>3,23,98,179</t>
  </si>
  <si>
    <t>30,78,38,88,581.80</t>
  </si>
  <si>
    <t>2,96,694</t>
  </si>
  <si>
    <t>2,28,19,747</t>
  </si>
  <si>
    <t>2,82,96,687</t>
  </si>
  <si>
    <t>26,92,36,71,201.95</t>
  </si>
  <si>
    <t>2,54,597</t>
  </si>
  <si>
    <t>1,65,06,431</t>
  </si>
  <si>
    <t>2,53,50,832</t>
  </si>
  <si>
    <t>24,38,10,70,597.70</t>
  </si>
  <si>
    <t>2,84,713</t>
  </si>
  <si>
    <t>1,67,42,115</t>
  </si>
  <si>
    <t>2,66,58,296</t>
  </si>
  <si>
    <t>25,61,34,77,189.50</t>
  </si>
  <si>
    <t>2,62,320</t>
  </si>
  <si>
    <t>1,80,18,739</t>
  </si>
  <si>
    <t>1,85,42,683</t>
  </si>
  <si>
    <t>18,04,81,85,820.20</t>
  </si>
  <si>
    <t>2,42,243</t>
  </si>
  <si>
    <t>1,14,19,980</t>
  </si>
  <si>
    <t>2,55,35,736</t>
  </si>
  <si>
    <t>25,11,54,33,186.60</t>
  </si>
  <si>
    <t>2,46,182</t>
  </si>
  <si>
    <t>1,54,58,605</t>
  </si>
  <si>
    <t>1,59,39,710</t>
  </si>
  <si>
    <t>15,61,39,97,664.15</t>
  </si>
  <si>
    <t>2,09,764</t>
  </si>
  <si>
    <t>97,71,789</t>
  </si>
  <si>
    <t>1,53,70,950</t>
  </si>
  <si>
    <t>15,00,19,96,973.25</t>
  </si>
  <si>
    <t>2,13,008</t>
  </si>
  <si>
    <t>81,47,055</t>
  </si>
  <si>
    <t>1,14,327</t>
  </si>
  <si>
    <t>11,18,91,834.90</t>
  </si>
  <si>
    <t>1,37,57,080</t>
  </si>
  <si>
    <t>13,51,71,76,056.05</t>
  </si>
  <si>
    <t>2,37,034</t>
  </si>
  <si>
    <t>84,99,509</t>
  </si>
  <si>
    <t>2,72,219</t>
  </si>
  <si>
    <t>26,63,66,291.50</t>
  </si>
  <si>
    <t>1,86,34,254</t>
  </si>
  <si>
    <t>18,20,84,00,781.70</t>
  </si>
  <si>
    <t>2,80,003</t>
  </si>
  <si>
    <t>1,19,86,144</t>
  </si>
  <si>
    <t>2,29,34,382</t>
  </si>
  <si>
    <t>22,37,09,80,681.75</t>
  </si>
  <si>
    <t>2,17,173</t>
  </si>
  <si>
    <t>1,29,64,881</t>
  </si>
  <si>
    <t>2,33,10,447</t>
  </si>
  <si>
    <t>22,82,77,42,875.95</t>
  </si>
  <si>
    <t>2,51,500</t>
  </si>
  <si>
    <t>1,59,31,470</t>
  </si>
  <si>
    <t>2,29,36,566</t>
  </si>
  <si>
    <t>22,69,06,15,843.35</t>
  </si>
  <si>
    <t>3,62,882</t>
  </si>
  <si>
    <t>1,48,25,575</t>
  </si>
  <si>
    <t>2,52,10,511</t>
  </si>
  <si>
    <t>25,25,47,61,309.80</t>
  </si>
  <si>
    <t>3,71,430</t>
  </si>
  <si>
    <t>1,40,88,788</t>
  </si>
  <si>
    <t>2,21,95,202</t>
  </si>
  <si>
    <t>22,30,79,32,790.70</t>
  </si>
  <si>
    <t>4,16,206</t>
  </si>
  <si>
    <t>1,19,49,161</t>
  </si>
  <si>
    <t>34,71,600</t>
  </si>
  <si>
    <t>3,49,99,06,215.35</t>
  </si>
  <si>
    <t>22,08,820</t>
  </si>
  <si>
    <t>4,35,26,526</t>
  </si>
  <si>
    <t>44,10,04,30,667.15</t>
  </si>
  <si>
    <t>5,18,216</t>
  </si>
  <si>
    <t>2,94,30,278</t>
  </si>
  <si>
    <t>1,77,07,768</t>
  </si>
  <si>
    <t>17,69,70,89,817.30</t>
  </si>
  <si>
    <t>3,62,016</t>
  </si>
  <si>
    <t>1,03,25,814</t>
  </si>
  <si>
    <t>1,57,00,796</t>
  </si>
  <si>
    <t>15,76,22,65,430.25</t>
  </si>
  <si>
    <t>2,97,938</t>
  </si>
  <si>
    <t>1,08,76,558</t>
  </si>
  <si>
    <t>3,39,04,289</t>
  </si>
  <si>
    <t>33,94,41,77,651.40</t>
  </si>
  <si>
    <t>4,23,621</t>
  </si>
  <si>
    <t>1,78,02,447</t>
  </si>
  <si>
    <t>1,77,69,445</t>
  </si>
  <si>
    <t>17,90,96,76,109.65</t>
  </si>
  <si>
    <t>2,81,715</t>
  </si>
  <si>
    <t>1,01,83,404</t>
  </si>
  <si>
    <t>1,99,62,917</t>
  </si>
  <si>
    <t>19,99,35,06,579.25</t>
  </si>
  <si>
    <t>3,65,104</t>
  </si>
  <si>
    <t>1,10,16,753</t>
  </si>
  <si>
    <t>T0</t>
  </si>
  <si>
    <t>2,32,21,330</t>
  </si>
  <si>
    <t>22,97,45,58,984.15</t>
  </si>
  <si>
    <t>4,54,775</t>
  </si>
  <si>
    <t>1,45,30,695</t>
  </si>
  <si>
    <t>1,66,07,180</t>
  </si>
  <si>
    <t>16,46,02,36,700.55</t>
  </si>
  <si>
    <t>2,88,032</t>
  </si>
  <si>
    <t>99,95,580</t>
  </si>
  <si>
    <t>2,00,24,544</t>
  </si>
  <si>
    <t>19,82,85,27,608.75</t>
  </si>
  <si>
    <t>3,02,828</t>
  </si>
  <si>
    <t>1,07,92,510</t>
  </si>
  <si>
    <t>2,22,79,516</t>
  </si>
  <si>
    <t>21,93,38,18,395.90</t>
  </si>
  <si>
    <t>2,78,532</t>
  </si>
  <si>
    <t>1,14,00,343</t>
  </si>
  <si>
    <t>1,50,04,568</t>
  </si>
  <si>
    <t>14,70,38,32,279.80</t>
  </si>
  <si>
    <t>3,15,369</t>
  </si>
  <si>
    <t>1,06,69,610</t>
  </si>
  <si>
    <t>1,59,88,262</t>
  </si>
  <si>
    <t>15,76,73,86,584.00</t>
  </si>
  <si>
    <t>3,73,004</t>
  </si>
  <si>
    <t>1,13,29,554</t>
  </si>
  <si>
    <t>1,02,00,530</t>
  </si>
  <si>
    <t>10,07,05,24,484.25</t>
  </si>
  <si>
    <t>2,29,810</t>
  </si>
  <si>
    <t>51,78,183</t>
  </si>
  <si>
    <t>1,31,37,263</t>
  </si>
  <si>
    <t>13,03,40,39,694.95</t>
  </si>
  <si>
    <t>1,66,500</t>
  </si>
  <si>
    <t>90,64,648</t>
  </si>
  <si>
    <t>1,41,24,839</t>
  </si>
  <si>
    <t>13,93,18,55,903.95</t>
  </si>
  <si>
    <t>2,89,471</t>
  </si>
  <si>
    <t>84,00,766</t>
  </si>
  <si>
    <t>2,13,86,965</t>
  </si>
  <si>
    <t>21,06,50,33,481.45</t>
  </si>
  <si>
    <t>3,01,431</t>
  </si>
  <si>
    <t>1,56,69,091</t>
  </si>
  <si>
    <t>1,83,96,408</t>
  </si>
  <si>
    <t>18,28,36,67,280.45</t>
  </si>
  <si>
    <t>1,97,155</t>
  </si>
  <si>
    <t>1,24,83,495</t>
  </si>
  <si>
    <t>2,00,02,640</t>
  </si>
  <si>
    <t>19,89,62,87,879.55</t>
  </si>
  <si>
    <t>2,17,914</t>
  </si>
  <si>
    <t>1,32,76,284</t>
  </si>
  <si>
    <t>1,98,13,847</t>
  </si>
  <si>
    <t>19,60,91,99,278.35</t>
  </si>
  <si>
    <t>2,01,324</t>
  </si>
  <si>
    <t>1,43,80,578</t>
  </si>
  <si>
    <t>1,53,702</t>
  </si>
  <si>
    <t>15,25,41,549.90</t>
  </si>
  <si>
    <t>1,98,50,865</t>
  </si>
  <si>
    <t>19,92,64,17,239.25</t>
  </si>
  <si>
    <t>2,54,686</t>
  </si>
  <si>
    <t>1,23,10,443</t>
  </si>
  <si>
    <t>1,74,99,897</t>
  </si>
  <si>
    <t>17,51,86,94,760.00</t>
  </si>
  <si>
    <t>2,71,649</t>
  </si>
  <si>
    <t>1,17,81,873</t>
  </si>
  <si>
    <t>3,22,04,053</t>
  </si>
  <si>
    <t>32,26,16,18,761.75</t>
  </si>
  <si>
    <t>2,80,226</t>
  </si>
  <si>
    <t>2,31,58,827</t>
  </si>
  <si>
    <t>2,49,89,383</t>
  </si>
  <si>
    <t>24,86,65,05,641.80</t>
  </si>
  <si>
    <t>2,75,451</t>
  </si>
  <si>
    <t>1,43,45,733</t>
  </si>
  <si>
    <t>1,94,94,356</t>
  </si>
  <si>
    <t>19,48,61,97,443.70</t>
  </si>
  <si>
    <t>2,07,998</t>
  </si>
  <si>
    <t>1,05,53,283</t>
  </si>
  <si>
    <t>2,55,36,848</t>
  </si>
  <si>
    <t>25,81,63,56,116.10</t>
  </si>
  <si>
    <t>3,13,073</t>
  </si>
  <si>
    <t>1,68,30,504</t>
  </si>
  <si>
    <t>1,59,88,807</t>
  </si>
  <si>
    <t>16,13,15,18,093.40</t>
  </si>
  <si>
    <t>1,78,196</t>
  </si>
  <si>
    <t>1,11,79,507</t>
  </si>
  <si>
    <t>1,67,46,566</t>
  </si>
  <si>
    <t>16,84,13,29,243.20</t>
  </si>
  <si>
    <t>2,82,719</t>
  </si>
  <si>
    <t>1,04,12,743</t>
  </si>
  <si>
    <t>2,73,16,662</t>
  </si>
  <si>
    <t>27,05,01,86,723.20</t>
  </si>
  <si>
    <t>3,63,303</t>
  </si>
  <si>
    <t>1,80,25,565</t>
  </si>
  <si>
    <t>1,54,48,777</t>
  </si>
  <si>
    <t>15,35,36,18,863.90</t>
  </si>
  <si>
    <t>2,22,651</t>
  </si>
  <si>
    <t>1,06,62,697</t>
  </si>
  <si>
    <t>1,45,28,169</t>
  </si>
  <si>
    <t>14,50,32,48,744.00</t>
  </si>
  <si>
    <t>2,41,847</t>
  </si>
  <si>
    <t>1,01,17,111</t>
  </si>
  <si>
    <t>1,28,43,366</t>
  </si>
  <si>
    <t>12,85,43,50,197.30</t>
  </si>
  <si>
    <t>1,92,024</t>
  </si>
  <si>
    <t>77,82,512</t>
  </si>
  <si>
    <t>1,29,01,022</t>
  </si>
  <si>
    <t>12,92,94,80,947.90</t>
  </si>
  <si>
    <t>2,19,872</t>
  </si>
  <si>
    <t>85,40,982</t>
  </si>
  <si>
    <t>1,52,94,322</t>
  </si>
  <si>
    <t>15,27,41,86,067.40</t>
  </si>
  <si>
    <t>2,06,598</t>
  </si>
  <si>
    <t>88,51,628</t>
  </si>
  <si>
    <t>1,53,22,830</t>
  </si>
  <si>
    <t>15,18,34,09,188.40</t>
  </si>
  <si>
    <t>2,75,347</t>
  </si>
  <si>
    <t>1,03,99,067</t>
  </si>
  <si>
    <t>1,18,44,809</t>
  </si>
  <si>
    <t>11,80,88,32,354.30</t>
  </si>
  <si>
    <t>1,77,935</t>
  </si>
  <si>
    <t>75,53,960</t>
  </si>
  <si>
    <t>1,19,88,618</t>
  </si>
  <si>
    <t>12,00,68,83,854.10</t>
  </si>
  <si>
    <t>1,53,825</t>
  </si>
  <si>
    <t>89,74,647</t>
  </si>
  <si>
    <t>97,90,060</t>
  </si>
  <si>
    <t>9,75,03,88,373.60</t>
  </si>
  <si>
    <t>1,82,612</t>
  </si>
  <si>
    <t>56,89,455</t>
  </si>
  <si>
    <t>2,00,49,088</t>
  </si>
  <si>
    <t>19,94,36,98,733.60</t>
  </si>
  <si>
    <t>3,07,140</t>
  </si>
  <si>
    <t>1,05,78,543</t>
  </si>
  <si>
    <t>1,90,80,922</t>
  </si>
  <si>
    <t>18,79,88,80,243.80</t>
  </si>
  <si>
    <t>2,88,605</t>
  </si>
  <si>
    <t>1,37,49,573</t>
  </si>
  <si>
    <t>1,49,12,404</t>
  </si>
  <si>
    <t>14,63,61,96,743.00</t>
  </si>
  <si>
    <t>4,12,559</t>
  </si>
  <si>
    <t>95,59,809</t>
  </si>
  <si>
    <t>2,59,52,384</t>
  </si>
  <si>
    <t>25,56,06,67,946.00</t>
  </si>
  <si>
    <t>2,46,675</t>
  </si>
  <si>
    <t>1,90,02,918</t>
  </si>
  <si>
    <t>1,35,40,411</t>
  </si>
  <si>
    <t>13,37,28,75,582.70</t>
  </si>
  <si>
    <t>2,53,393</t>
  </si>
  <si>
    <t>81,88,244</t>
  </si>
  <si>
    <t>1,79,27,849</t>
  </si>
  <si>
    <t>17,83,48,64,449.30</t>
  </si>
  <si>
    <t>2,27,121</t>
  </si>
  <si>
    <t>94,34,296</t>
  </si>
  <si>
    <t>1,36,99,996</t>
  </si>
  <si>
    <t>13,64,98,27,358.40</t>
  </si>
  <si>
    <t>2,03,107</t>
  </si>
  <si>
    <t>60,62,889</t>
  </si>
  <si>
    <t>93,60,853</t>
  </si>
  <si>
    <t>9,28,89,52,052.70</t>
  </si>
  <si>
    <t>1,96,688</t>
  </si>
  <si>
    <t>70,31,168</t>
  </si>
  <si>
    <t>1,35,45,749</t>
  </si>
  <si>
    <t>13,42,79,99,756.00</t>
  </si>
  <si>
    <t>1,90,711</t>
  </si>
  <si>
    <t>84,36,541</t>
  </si>
  <si>
    <t>3,31,55,849</t>
  </si>
  <si>
    <t>32,79,62,79,701.40</t>
  </si>
  <si>
    <t>3,93,869</t>
  </si>
  <si>
    <t>2,21,77,609</t>
  </si>
  <si>
    <t>1,09,63,454</t>
  </si>
  <si>
    <t>10,88,24,83,821.40</t>
  </si>
  <si>
    <t>1,93,549</t>
  </si>
  <si>
    <t>70,39,332</t>
  </si>
  <si>
    <t>71,32,074</t>
  </si>
  <si>
    <t>7,07,41,47,525.95</t>
  </si>
  <si>
    <t>1,26,886</t>
  </si>
  <si>
    <t>24,85,813</t>
  </si>
  <si>
    <t>1,17,51,459</t>
  </si>
  <si>
    <t>11,73,33,33,129.85</t>
  </si>
  <si>
    <t>1,78,613</t>
  </si>
  <si>
    <t>78,14,202</t>
  </si>
  <si>
    <t>2,76,47,379</t>
  </si>
  <si>
    <t>27,21,41,19,283.50</t>
  </si>
  <si>
    <t>3,82,990</t>
  </si>
  <si>
    <t>2,09,56,352</t>
  </si>
  <si>
    <t>3,19,88,783</t>
  </si>
  <si>
    <t>30,78,75,69,132.70</t>
  </si>
  <si>
    <t>4,59,604</t>
  </si>
  <si>
    <t>2,26,50,555</t>
  </si>
  <si>
    <t>5,28,84,712</t>
  </si>
  <si>
    <t>50,24,57,38,779.65</t>
  </si>
  <si>
    <t>4,14,168</t>
  </si>
  <si>
    <t>4,39,98,886</t>
  </si>
  <si>
    <t>2,19,28,849</t>
  </si>
  <si>
    <t>20,77,96,38,865.45</t>
  </si>
  <si>
    <t>3,16,595</t>
  </si>
  <si>
    <t>1,43,41,808</t>
  </si>
  <si>
    <t>3,81,83,839</t>
  </si>
  <si>
    <t>35,92,75,36,459.55</t>
  </si>
  <si>
    <t>3,24,301</t>
  </si>
  <si>
    <t>3,09,38,163</t>
  </si>
  <si>
    <t>2,10,71,666</t>
  </si>
  <si>
    <t>19,74,13,46,998.05</t>
  </si>
  <si>
    <t>2,82,222</t>
  </si>
  <si>
    <t>1,59,11,209</t>
  </si>
  <si>
    <t>3,20,42,827</t>
  </si>
  <si>
    <t>30,12,90,21,006.45</t>
  </si>
  <si>
    <t>3,48,726</t>
  </si>
  <si>
    <t>1,96,82,550</t>
  </si>
  <si>
    <t>3,66,88,248</t>
  </si>
  <si>
    <t>34,11,44,24,012.75</t>
  </si>
  <si>
    <t>3,06,076</t>
  </si>
  <si>
    <t>2,77,00,155</t>
  </si>
  <si>
    <t>3,77,80,235</t>
  </si>
  <si>
    <t>35,10,44,52,366.25</t>
  </si>
  <si>
    <t>3,61,119</t>
  </si>
  <si>
    <t>2,79,60,990</t>
  </si>
  <si>
    <t>3,81,91,942</t>
  </si>
  <si>
    <t>35,42,60,72,965.65</t>
  </si>
  <si>
    <t>4,32,335</t>
  </si>
  <si>
    <t>2,55,89,700</t>
  </si>
  <si>
    <t>3,60,22,727</t>
  </si>
  <si>
    <t>33,50,55,44,795.30</t>
  </si>
  <si>
    <t>3,57,134</t>
  </si>
  <si>
    <t>2,53,87,797</t>
  </si>
  <si>
    <t>3,27,66,854</t>
  </si>
  <si>
    <t>30,29,75,28,335.75</t>
  </si>
  <si>
    <t>3,51,406</t>
  </si>
  <si>
    <t>1,84,90,570</t>
  </si>
  <si>
    <t>4,44,44,755</t>
  </si>
  <si>
    <t>40,82,53,01,054.65</t>
  </si>
  <si>
    <t>5,72,341</t>
  </si>
  <si>
    <t>2,79,90,021</t>
  </si>
  <si>
    <t>3,09,85,247</t>
  </si>
  <si>
    <t>28,39,64,80,018.55</t>
  </si>
  <si>
    <t>3,35,766</t>
  </si>
  <si>
    <t>2,00,36,841</t>
  </si>
  <si>
    <t>4,47,53,093</t>
  </si>
  <si>
    <t>41,04,34,45,636.30</t>
  </si>
  <si>
    <t>4,83,204</t>
  </si>
  <si>
    <t>2,48,63,244</t>
  </si>
  <si>
    <t>3,53,47,138</t>
  </si>
  <si>
    <t>33,04,77,87,224.50</t>
  </si>
  <si>
    <t>2,72,519</t>
  </si>
  <si>
    <t>2,57,68,276</t>
  </si>
  <si>
    <t>3,71,75,628</t>
  </si>
  <si>
    <t>34,69,37,41,736.20</t>
  </si>
  <si>
    <t>4,20,812</t>
  </si>
  <si>
    <t>2,33,37,389</t>
  </si>
  <si>
    <t>2,96,91,233</t>
  </si>
  <si>
    <t>27,66,73,70,875.05</t>
  </si>
  <si>
    <t>2,51,637</t>
  </si>
  <si>
    <t>2,17,92,184</t>
  </si>
  <si>
    <t>98,56,486</t>
  </si>
  <si>
    <t>9,15,86,89,990.90</t>
  </si>
  <si>
    <t>1,46,417</t>
  </si>
  <si>
    <t>45,58,330</t>
  </si>
  <si>
    <t>2,80,32,106</t>
  </si>
  <si>
    <t>25,90,55,16,822.80</t>
  </si>
  <si>
    <t>3,87,552</t>
  </si>
  <si>
    <t>1,79,29,669</t>
  </si>
  <si>
    <t>5,03,36,968</t>
  </si>
  <si>
    <t>48,04,39,34,757.85</t>
  </si>
  <si>
    <t>4,90,165</t>
  </si>
  <si>
    <t>3,39,91,872</t>
  </si>
  <si>
    <t>2,43,66,770</t>
  </si>
  <si>
    <t>23,21,94,30,282.65</t>
  </si>
  <si>
    <t>2,51,099</t>
  </si>
  <si>
    <t>1,82,91,924</t>
  </si>
  <si>
    <t>2,81,03,169</t>
  </si>
  <si>
    <t>26,70,43,14,508.90</t>
  </si>
  <si>
    <t>3,72,775</t>
  </si>
  <si>
    <t>1,97,89,477</t>
  </si>
  <si>
    <t>1,81,20,272</t>
  </si>
  <si>
    <t>17,06,43,39,108.70</t>
  </si>
  <si>
    <t>4,23,858</t>
  </si>
  <si>
    <t>1,13,28,454</t>
  </si>
  <si>
    <t>2,39,47,829</t>
  </si>
  <si>
    <t>22,46,95,73,398.45</t>
  </si>
  <si>
    <t>2,74,371</t>
  </si>
  <si>
    <t>1,76,66,012</t>
  </si>
  <si>
    <t>3,15,25,385</t>
  </si>
  <si>
    <t>29,44,26,15,462.90</t>
  </si>
  <si>
    <t>4,08,707</t>
  </si>
  <si>
    <t>1,82,44,866</t>
  </si>
  <si>
    <t>2,48,69,804</t>
  </si>
  <si>
    <t>23,10,17,39,084.15</t>
  </si>
  <si>
    <t>3,68,828</t>
  </si>
  <si>
    <t>1,68,76,206</t>
  </si>
  <si>
    <t>3,38,72,203</t>
  </si>
  <si>
    <t>31,24,26,14,792.65</t>
  </si>
  <si>
    <t>4,25,115</t>
  </si>
  <si>
    <t>2,06,80,584</t>
  </si>
  <si>
    <t>5,01,88,359</t>
  </si>
  <si>
    <t>45,78,48,29,506.25</t>
  </si>
  <si>
    <t>3,61,977</t>
  </si>
  <si>
    <t>3,99,07,545</t>
  </si>
  <si>
    <t>1,88,06,989</t>
  </si>
  <si>
    <t>17,34,35,14,574.60</t>
  </si>
  <si>
    <t>3,09,517</t>
  </si>
  <si>
    <t>1,05,41,147</t>
  </si>
  <si>
    <t>2,25,99,629</t>
  </si>
  <si>
    <t>20,91,18,78,079.60</t>
  </si>
  <si>
    <t>3,37,196</t>
  </si>
  <si>
    <t>88,83,355</t>
  </si>
  <si>
    <t>1,27,38,702</t>
  </si>
  <si>
    <t>11,75,51,17,113.45</t>
  </si>
  <si>
    <t>2,17,327</t>
  </si>
  <si>
    <t>71,77,757</t>
  </si>
  <si>
    <t>2,12,09,234</t>
  </si>
  <si>
    <t>19,48,82,60,011.45</t>
  </si>
  <si>
    <t>2,97,364</t>
  </si>
  <si>
    <t>85,57,551</t>
  </si>
  <si>
    <t>2,26,54,907</t>
  </si>
  <si>
    <t>20,69,58,10,498.85</t>
  </si>
  <si>
    <t>2,95,931</t>
  </si>
  <si>
    <t>1,28,08,207</t>
  </si>
  <si>
    <t>2,32,70,122</t>
  </si>
  <si>
    <t>21,43,56,60,334.00</t>
  </si>
  <si>
    <t>2,28,672</t>
  </si>
  <si>
    <t>1,49,88,411</t>
  </si>
  <si>
    <t>3,13,13,985</t>
  </si>
  <si>
    <t>28,66,25,10,212.40</t>
  </si>
  <si>
    <t>2,98,283</t>
  </si>
  <si>
    <t>1,69,94,295</t>
  </si>
  <si>
    <t>2,78,84,303</t>
  </si>
  <si>
    <t>25,34,69,43,106.45</t>
  </si>
  <si>
    <t>3,23,744</t>
  </si>
  <si>
    <t>2,02,13,660</t>
  </si>
  <si>
    <t>4,11,65,937</t>
  </si>
  <si>
    <t>37,10,36,36,109.45</t>
  </si>
  <si>
    <t>5,02,649</t>
  </si>
  <si>
    <t>2,40,28,758</t>
  </si>
  <si>
    <t>3,46,20,755</t>
  </si>
  <si>
    <t>30,80,16,52,275.45</t>
  </si>
  <si>
    <t>4,11,801</t>
  </si>
  <si>
    <t>2,67,65,937</t>
  </si>
  <si>
    <t>3,83,78,924</t>
  </si>
  <si>
    <t>33,74,97,54,117.70</t>
  </si>
  <si>
    <t>4,01,981</t>
  </si>
  <si>
    <t>1,94,91,777</t>
  </si>
  <si>
    <t>3,98,62,322</t>
  </si>
  <si>
    <t>34,52,08,91,227.90</t>
  </si>
  <si>
    <t>4,56,224</t>
  </si>
  <si>
    <t>2,23,63,360</t>
  </si>
  <si>
    <t>7,06,962</t>
  </si>
  <si>
    <t>61,41,02,541.30</t>
  </si>
  <si>
    <t>3,13,24,582</t>
  </si>
  <si>
    <t>27,36,00,19,475.00</t>
  </si>
  <si>
    <t>2,81,674</t>
  </si>
  <si>
    <t>1,35,20,710</t>
  </si>
  <si>
    <t>3,44,39,647</t>
  </si>
  <si>
    <t>29,70,42,05,809.35</t>
  </si>
  <si>
    <t>7,06,964</t>
  </si>
  <si>
    <t>2,16,29,001</t>
  </si>
  <si>
    <t>3,55,92,613</t>
  </si>
  <si>
    <t>29,67,09,87,891.55</t>
  </si>
  <si>
    <t>4,20,429</t>
  </si>
  <si>
    <t>1,86,86,662</t>
  </si>
  <si>
    <t>5,28,66,024</t>
  </si>
  <si>
    <t>44,90,79,44,293.60</t>
  </si>
  <si>
    <t>4,75,796</t>
  </si>
  <si>
    <t>2,97,96,626</t>
  </si>
  <si>
    <t>4,22,61,076</t>
  </si>
  <si>
    <t>35,25,93,18,337.50</t>
  </si>
  <si>
    <t>5,80,385</t>
  </si>
  <si>
    <t>2,67,28,940</t>
  </si>
  <si>
    <t>4,61,07,561</t>
  </si>
  <si>
    <t>38,35,49,69,893.00</t>
  </si>
  <si>
    <t>6,83,178</t>
  </si>
  <si>
    <t>2,75,87,429</t>
  </si>
  <si>
    <t>4,17,00,464</t>
  </si>
  <si>
    <t>34,09,98,71,018.10</t>
  </si>
  <si>
    <t>5,42,628</t>
  </si>
  <si>
    <t>2,26,92,726</t>
  </si>
  <si>
    <t>5,21,82,605</t>
  </si>
  <si>
    <t>43,41,59,02,026.80</t>
  </si>
  <si>
    <t>4,97,371</t>
  </si>
  <si>
    <t>2,88,89,106</t>
  </si>
  <si>
    <t>3,88,26,979</t>
  </si>
  <si>
    <t>32,74,75,78,708.05</t>
  </si>
  <si>
    <t>4,57,590</t>
  </si>
  <si>
    <t>2,00,71,710</t>
  </si>
  <si>
    <t>2,35,07,063</t>
  </si>
  <si>
    <t>19,75,49,16,389.35</t>
  </si>
  <si>
    <t>2,94,181</t>
  </si>
  <si>
    <t>1,35,48,006</t>
  </si>
  <si>
    <t>17,16,37,393</t>
  </si>
  <si>
    <t>1,37,61,50,84,047.35</t>
  </si>
  <si>
    <t>14,39,390</t>
  </si>
  <si>
    <t>9,96,28,149</t>
  </si>
  <si>
    <t>10,31,29,469</t>
  </si>
  <si>
    <t>80,86,58,60,514.30</t>
  </si>
  <si>
    <t>9,63,682</t>
  </si>
  <si>
    <t>6,61,11,622</t>
  </si>
  <si>
    <t>7,23,41,738</t>
  </si>
  <si>
    <t>54,42,75,19,734.60</t>
  </si>
  <si>
    <t>8,72,248</t>
  </si>
  <si>
    <t>4,41,05,103</t>
  </si>
  <si>
    <t>6,12,69,986</t>
  </si>
  <si>
    <t>46,66,53,56,241.25</t>
  </si>
  <si>
    <t>6,26,314</t>
  </si>
  <si>
    <t>3,44,73,827</t>
  </si>
  <si>
    <t>5,92,30,640</t>
  </si>
  <si>
    <t>46,50,89,23,123.65</t>
  </si>
  <si>
    <t>6,28,380</t>
  </si>
  <si>
    <t>3,58,52,906</t>
  </si>
  <si>
    <t>6,54,85,199</t>
  </si>
  <si>
    <t>49,85,36,60,404.55</t>
  </si>
  <si>
    <t>6,99,107</t>
  </si>
  <si>
    <t>4,19,29,255</t>
  </si>
  <si>
    <t>10,35,00,135</t>
  </si>
  <si>
    <t>76,37,01,80,749.45</t>
  </si>
  <si>
    <t>7,87,374</t>
  </si>
  <si>
    <t>6,24,23,108</t>
  </si>
  <si>
    <t>7,88,62,761</t>
  </si>
  <si>
    <t>58,79,41,04,725.50</t>
  </si>
  <si>
    <t>6,17,196</t>
  </si>
  <si>
    <t>5,00,17,843</t>
  </si>
  <si>
    <t>Average Return</t>
  </si>
  <si>
    <t>ASIANPAINT</t>
  </si>
  <si>
    <t xml:space="preserve">RETURN </t>
  </si>
  <si>
    <t>3,10,97,11,122.00</t>
  </si>
  <si>
    <t>3,18,49,19,119.35</t>
  </si>
  <si>
    <t>8,72,16,12,490.50</t>
  </si>
  <si>
    <t>5,12,48,71,995.00</t>
  </si>
  <si>
    <t>2,37,63,98,265.70</t>
  </si>
  <si>
    <t>3,11,26,83,743.85</t>
  </si>
  <si>
    <t>3,69,43,30,762.55</t>
  </si>
  <si>
    <t>3,10,51,53,771.85</t>
  </si>
  <si>
    <t>3,10,74,40,016.15</t>
  </si>
  <si>
    <t>7,34,91,45,879.05</t>
  </si>
  <si>
    <t>4,02,06,17,648.50</t>
  </si>
  <si>
    <t>3,81,96,47,272.30</t>
  </si>
  <si>
    <t>4,24,38,16,466.05</t>
  </si>
  <si>
    <t>4,07,43,99,949.45</t>
  </si>
  <si>
    <t>2,82,33,99,610.85</t>
  </si>
  <si>
    <t>2,21,82,87,556.55</t>
  </si>
  <si>
    <t>2,77,67,51,915.10</t>
  </si>
  <si>
    <t>3,37,73,94,306.10</t>
  </si>
  <si>
    <t>3,54,35,11,862.45</t>
  </si>
  <si>
    <t>2,64,76,09,978.20</t>
  </si>
  <si>
    <t>2,74,45,45,273.05</t>
  </si>
  <si>
    <t>3,14,28,74,058.15</t>
  </si>
  <si>
    <t>3,86,44,07,772.85</t>
  </si>
  <si>
    <t>3,62,93,15,843.90</t>
  </si>
  <si>
    <t>3,91,33,74,582.40</t>
  </si>
  <si>
    <t>2,97,30,62,779.80</t>
  </si>
  <si>
    <t>5,35,36,91,593.25</t>
  </si>
  <si>
    <t>29,17,87,76,832.20</t>
  </si>
  <si>
    <t>5,94,78,12,068.40</t>
  </si>
  <si>
    <t>3,73,91,77,174.55</t>
  </si>
  <si>
    <t>3,44,07,32,093.90</t>
  </si>
  <si>
    <t>3,40,78,71,552.00</t>
  </si>
  <si>
    <t>3,75,71,94,076.15</t>
  </si>
  <si>
    <t>2,29,35,59,297.20</t>
  </si>
  <si>
    <t>7,91,34,28,013.20</t>
  </si>
  <si>
    <t>3,66,94,59,803.60</t>
  </si>
  <si>
    <t>7,10,03,12,827.05</t>
  </si>
  <si>
    <t>2,09,58,79,007.05</t>
  </si>
  <si>
    <t>6,22,61,20,142.20</t>
  </si>
  <si>
    <t>3,52,53,92,391.75</t>
  </si>
  <si>
    <t>6,00,12,22,672.15</t>
  </si>
  <si>
    <t>4,10,26,42,761.40</t>
  </si>
  <si>
    <t>4,44,45,72,736.80</t>
  </si>
  <si>
    <t>2,34,34,55,468.55</t>
  </si>
  <si>
    <t>2,22,93,21,176.35</t>
  </si>
  <si>
    <t>3,94,88,04,440.10</t>
  </si>
  <si>
    <t>3,95,38,34,253.05</t>
  </si>
  <si>
    <t>2,59,45,73,062.55</t>
  </si>
  <si>
    <t>2,19,74,40,473.45</t>
  </si>
  <si>
    <t>6,83,72,91,109.25</t>
  </si>
  <si>
    <t>2,59,80,37,094.20</t>
  </si>
  <si>
    <t>4,68,35,23,669.95</t>
  </si>
  <si>
    <t>6,98,23,51,087.00</t>
  </si>
  <si>
    <t>2,20,81,47,851.80</t>
  </si>
  <si>
    <t>3,64,82,12,001.45</t>
  </si>
  <si>
    <t>3,02,78,95,738.40</t>
  </si>
  <si>
    <t>2,97,12,32,263.50</t>
  </si>
  <si>
    <t>2,36,56,11,038.90</t>
  </si>
  <si>
    <t>2,67,68,69,204.50</t>
  </si>
  <si>
    <t>3,72,41,65,759.95</t>
  </si>
  <si>
    <t>2,77,96,00,708.80</t>
  </si>
  <si>
    <t>2,55,68,46,184.65</t>
  </si>
  <si>
    <t>2,42,85,43,353.65</t>
  </si>
  <si>
    <t>2,61,01,46,036.00</t>
  </si>
  <si>
    <t>2,29,37,12,568.25</t>
  </si>
  <si>
    <t>3,74,69,37,365.90</t>
  </si>
  <si>
    <t>2,75,28,04,512.05</t>
  </si>
  <si>
    <t>1,65,00,51,148.05</t>
  </si>
  <si>
    <t>2,30,37,44,133.35</t>
  </si>
  <si>
    <t>2,10,99,18,847.25</t>
  </si>
  <si>
    <t>1,41,16,92,035.85</t>
  </si>
  <si>
    <t>1,89,69,48,406.10</t>
  </si>
  <si>
    <t>3,17,00,82,917.90</t>
  </si>
  <si>
    <t>2,49,81,24,639.40</t>
  </si>
  <si>
    <t>20,87,98,07,643.90</t>
  </si>
  <si>
    <t>6,18,92,75,529.40</t>
  </si>
  <si>
    <t>2,52,53,82,630.20</t>
  </si>
  <si>
    <t>3,50,30,41,092.20</t>
  </si>
  <si>
    <t>2,75,14,43,573.75</t>
  </si>
  <si>
    <t>2,99,18,79,258.15</t>
  </si>
  <si>
    <t>2,29,39,41,139.50</t>
  </si>
  <si>
    <t>3,17,69,59,978.20</t>
  </si>
  <si>
    <t>2,47,41,67,590.00</t>
  </si>
  <si>
    <t>7,37,64,33,470.50</t>
  </si>
  <si>
    <t>1,99,49,86,884.05</t>
  </si>
  <si>
    <t>2,07,89,98,829.25</t>
  </si>
  <si>
    <t>2,21,44,82,965.15</t>
  </si>
  <si>
    <t>2,47,28,39,795.90</t>
  </si>
  <si>
    <t>2,16,21,82,309.05</t>
  </si>
  <si>
    <t>2,93,79,57,454.25</t>
  </si>
  <si>
    <t>1,30,35,00,119.25</t>
  </si>
  <si>
    <t>1,71,22,82,906.75</t>
  </si>
  <si>
    <t>1,37,21,17,123.00</t>
  </si>
  <si>
    <t>6,14,03,70,454.35</t>
  </si>
  <si>
    <t>4,14,41,87,220.15</t>
  </si>
  <si>
    <t>12,09,32,91,730.10</t>
  </si>
  <si>
    <t>4,91,18,60,565.90</t>
  </si>
  <si>
    <t>2,32,65,11,025.60</t>
  </si>
  <si>
    <t>2,42,48,55,943.60</t>
  </si>
  <si>
    <t>4,02,67,16,033.75</t>
  </si>
  <si>
    <t>1,92,64,74,160.90</t>
  </si>
  <si>
    <t>3,25,15,91,995.40</t>
  </si>
  <si>
    <t>7,24,05,42,612.75</t>
  </si>
  <si>
    <t>7,99,07,48,247.40</t>
  </si>
  <si>
    <t>2,79,37,58,705.40</t>
  </si>
  <si>
    <t>2,76,38,08,801.75</t>
  </si>
  <si>
    <t>2,20,57,61,264.15</t>
  </si>
  <si>
    <t>4,30,96,38,008.15</t>
  </si>
  <si>
    <t>2,33,51,35,575.70</t>
  </si>
  <si>
    <t>1,97,44,77,842.15</t>
  </si>
  <si>
    <t>2,05,01,74,696.75</t>
  </si>
  <si>
    <t>1,91,81,34,162.25</t>
  </si>
  <si>
    <t>1,97,79,87,464.80</t>
  </si>
  <si>
    <t>1,73,04,35,189.75</t>
  </si>
  <si>
    <t>5,13,83,80,614.90</t>
  </si>
  <si>
    <t>2,26,76,49,635.85</t>
  </si>
  <si>
    <t>3,05,12,03,771.75</t>
  </si>
  <si>
    <t>2,73,27,39,872.60</t>
  </si>
  <si>
    <t>2,31,01,49,118.80</t>
  </si>
  <si>
    <t>9,57,80,32,371.15</t>
  </si>
  <si>
    <t>3,10,20,26,991.20</t>
  </si>
  <si>
    <t>3,24,55,26,196.50</t>
  </si>
  <si>
    <t>3,24,61,72,344.50</t>
  </si>
  <si>
    <t>6,77,52,51,151.30</t>
  </si>
  <si>
    <t>4,81,63,49,511.35</t>
  </si>
  <si>
    <t>2,95,26,22,044.40</t>
  </si>
  <si>
    <t>2,94,92,27,863.15</t>
  </si>
  <si>
    <t>2,54,44,99,596.20</t>
  </si>
  <si>
    <t>3,86,18,01,274.90</t>
  </si>
  <si>
    <t>2,91,44,13,923.40</t>
  </si>
  <si>
    <t>1,53,01,38,024.45</t>
  </si>
  <si>
    <t>1,86,99,43,533.35</t>
  </si>
  <si>
    <t>2,56,18,34,675.40</t>
  </si>
  <si>
    <t>2,15,05,73,527.10</t>
  </si>
  <si>
    <t>5,12,92,21,301.85</t>
  </si>
  <si>
    <t>3,35,53,40,423.15</t>
  </si>
  <si>
    <t>3,83,91,31,189.10</t>
  </si>
  <si>
    <t>15,41,25,84,387.95</t>
  </si>
  <si>
    <t>8,41,63,71,621.55</t>
  </si>
  <si>
    <t>6,27,77,48,600.80</t>
  </si>
  <si>
    <t>5,82,71,38,608.95</t>
  </si>
  <si>
    <t>14,30,47,30,935.15</t>
  </si>
  <si>
    <t>5,57,03,77,093.90</t>
  </si>
  <si>
    <t>3,47,87,19,734.15</t>
  </si>
  <si>
    <t>2,34,12,89,761.65</t>
  </si>
  <si>
    <t>2,73,99,03,748.60</t>
  </si>
  <si>
    <t>2,76,45,70,508.45</t>
  </si>
  <si>
    <t>83,49,61,310.70</t>
  </si>
  <si>
    <t>2,46,84,81,779.60</t>
  </si>
  <si>
    <t>2,09,87,78,332.20</t>
  </si>
  <si>
    <t>2,71,00,53,849.80</t>
  </si>
  <si>
    <t>2,94,17,72,475.20</t>
  </si>
  <si>
    <t>2,11,82,73,975.20</t>
  </si>
  <si>
    <t>2,20,58,98,130.80</t>
  </si>
  <si>
    <t>4,42,46,89,381.70</t>
  </si>
  <si>
    <t>5,20,32,80,368.95</t>
  </si>
  <si>
    <t>5,21,92,39,883.75</t>
  </si>
  <si>
    <t>7,02,88,02,293.25</t>
  </si>
  <si>
    <t>4,76,91,55,731.40</t>
  </si>
  <si>
    <t>3,35,99,19,163.80</t>
  </si>
  <si>
    <t>2,28,62,37,710.55</t>
  </si>
  <si>
    <t>3,22,53,19,766.25</t>
  </si>
  <si>
    <t>2,74,71,76,827.35</t>
  </si>
  <si>
    <t>7,38,63,76,690.50</t>
  </si>
  <si>
    <t>5,50,39,67,714.90</t>
  </si>
  <si>
    <t>2,97,92,72,291.50</t>
  </si>
  <si>
    <t>3,82,02,24,962.15</t>
  </si>
  <si>
    <t>3,38,51,38,976.10</t>
  </si>
  <si>
    <t>6,23,35,79,440.65</t>
  </si>
  <si>
    <t>3,60,60,99,724.60</t>
  </si>
  <si>
    <t>4,06,11,81,886.10</t>
  </si>
  <si>
    <t>8,34,05,92,551.65</t>
  </si>
  <si>
    <t>4,18,15,99,570.90</t>
  </si>
  <si>
    <t>2,83,64,18,229.10</t>
  </si>
  <si>
    <t>2,67,68,92,688.25</t>
  </si>
  <si>
    <t>1,65,84,20,466.70</t>
  </si>
  <si>
    <t>3,31,33,79,981.80</t>
  </si>
  <si>
    <t>3,04,96,57,493.15</t>
  </si>
  <si>
    <t>2,32,64,00,944.85</t>
  </si>
  <si>
    <t>2,02,44,55,814.10</t>
  </si>
  <si>
    <t>3,43,09,88,449.80</t>
  </si>
  <si>
    <t>2,13,82,05,846.20</t>
  </si>
  <si>
    <t>2,08,75,89,102.45</t>
  </si>
  <si>
    <t>4,05,70,74,152.35</t>
  </si>
  <si>
    <t>2,01,71,68,389.65</t>
  </si>
  <si>
    <t>2,33,13,39,633.30</t>
  </si>
  <si>
    <t>1,93,33,17,041.00</t>
  </si>
  <si>
    <t>2,38,49,25,665.70</t>
  </si>
  <si>
    <t>2,72,13,61,205.35</t>
  </si>
  <si>
    <t>3,59,78,40,737.85</t>
  </si>
  <si>
    <t>4,59,43,53,905.20</t>
  </si>
  <si>
    <t>3,43,59,68,391.35</t>
  </si>
  <si>
    <t>2,33,28,12,509.50</t>
  </si>
  <si>
    <t>2,59,25,30,395.55</t>
  </si>
  <si>
    <t>2,11,07,49,555.25</t>
  </si>
  <si>
    <t>4,03,52,73,931.75</t>
  </si>
  <si>
    <t>5,24,74,44,521.90</t>
  </si>
  <si>
    <t>3,69,35,55,745.30</t>
  </si>
  <si>
    <t>1,88,47,28,112.20</t>
  </si>
  <si>
    <t>4,92,23,97,653.95</t>
  </si>
  <si>
    <t>10,09,52,63,934.75</t>
  </si>
  <si>
    <t>4,74,23,74,270.10</t>
  </si>
  <si>
    <t>4,99,36,33,028.45</t>
  </si>
  <si>
    <t>8,34,70,64,705.55</t>
  </si>
  <si>
    <t>5,69,50,30,457.60</t>
  </si>
  <si>
    <t>2,79,95,53,587.20</t>
  </si>
  <si>
    <t>2,98,62,19,523.55</t>
  </si>
  <si>
    <t>3,21,47,19,219.60</t>
  </si>
  <si>
    <t>2,14,05,70,756.05</t>
  </si>
  <si>
    <t>2,89,40,66,150.30</t>
  </si>
  <si>
    <t>2,27,23,15,517.95</t>
  </si>
  <si>
    <t>2,74,16,59,596.00</t>
  </si>
  <si>
    <t>2,55,98,14,476.15</t>
  </si>
  <si>
    <t>1,53,04,85,124.15</t>
  </si>
  <si>
    <t>2,34,35,16,205.40</t>
  </si>
  <si>
    <t>1,88,43,44,659.80</t>
  </si>
  <si>
    <t>2,15,18,59,964.30</t>
  </si>
  <si>
    <t>2,17,06,43,162.15</t>
  </si>
  <si>
    <t>2,03,38,73,424.75</t>
  </si>
  <si>
    <t>2,07,90,90,142.70</t>
  </si>
  <si>
    <t>1,37,85,58,259.55</t>
  </si>
  <si>
    <t>1,77,77,47,030.90</t>
  </si>
  <si>
    <t>3,66,78,96,992.75</t>
  </si>
  <si>
    <t>3,05,43,70,761.80</t>
  </si>
  <si>
    <t>5,67,49,61,701.10</t>
  </si>
  <si>
    <t>3,86,16,05,391.45</t>
  </si>
  <si>
    <t>5,23,56,78,932.75</t>
  </si>
  <si>
    <t>9,14,86,61,680.50</t>
  </si>
  <si>
    <t>12,84,05,24,141.65</t>
  </si>
  <si>
    <t>19,04,37,46,111.80</t>
  </si>
  <si>
    <t>8,61,30,37,070.95</t>
  </si>
  <si>
    <t>6,98,64,35,011.60</t>
  </si>
  <si>
    <t>11,31,39,31,703.05</t>
  </si>
  <si>
    <t>11,71,70,24,241.60</t>
  </si>
  <si>
    <t>3,69,48,19,746.85</t>
  </si>
  <si>
    <t>3,58,70,04,074.30</t>
  </si>
  <si>
    <t>5,56,00,38,745.00</t>
  </si>
  <si>
    <t>3,90,33,90,408.80</t>
  </si>
  <si>
    <t>8,99,39,39,231.00</t>
  </si>
  <si>
    <t>3,86,93,06,020.90</t>
  </si>
  <si>
    <t>4,57,36,00,058.20</t>
  </si>
  <si>
    <t>2,87,03,72,395.00</t>
  </si>
  <si>
    <t>3,74,28,41,261.40</t>
  </si>
  <si>
    <t>3,26,96,24,533.15</t>
  </si>
  <si>
    <t>2,05,66,55,069.85</t>
  </si>
  <si>
    <t>3,42,12,41,769.65</t>
  </si>
  <si>
    <t>2,61,48,14,910.25</t>
  </si>
  <si>
    <t>4,53,81,99,345.85</t>
  </si>
  <si>
    <t>1,97,79,29,341.20</t>
  </si>
  <si>
    <t>Actual return</t>
  </si>
  <si>
    <t>2,72,33,37,477.50</t>
  </si>
  <si>
    <t>2,52,73,00,571.40</t>
  </si>
  <si>
    <t>2,31,50,96,301.75</t>
  </si>
  <si>
    <t>3,25,08,52,120.70</t>
  </si>
  <si>
    <t>2,16,46,72,430.95</t>
  </si>
  <si>
    <t>2,13,68,48,927.95</t>
  </si>
  <si>
    <t>2,49,15,27,601.15</t>
  </si>
  <si>
    <t>3,45,87,45,383.45</t>
  </si>
  <si>
    <t>3,13,13,15,753.50</t>
  </si>
  <si>
    <t>2,26,49,11,711.90</t>
  </si>
  <si>
    <t>2,55,65,64,462.65</t>
  </si>
  <si>
    <t>3,36,76,51,382.75</t>
  </si>
  <si>
    <t>2,14,67,04,513.20</t>
  </si>
  <si>
    <t>3,42,78,44,264.50</t>
  </si>
  <si>
    <t>5,32,27,44,328.95</t>
  </si>
  <si>
    <t>3,01,86,98,286.10</t>
  </si>
  <si>
    <t>6,47,45,40,862.75</t>
  </si>
  <si>
    <t>3,54,19,55,687.70</t>
  </si>
  <si>
    <t>1,89,62,46,489.30</t>
  </si>
  <si>
    <t>3,51,15,43,114.30</t>
  </si>
  <si>
    <t>2,24,70,05,829.90</t>
  </si>
  <si>
    <t>2,79,89,79,859.45</t>
  </si>
  <si>
    <t>2,98,91,23,029.45</t>
  </si>
  <si>
    <t>7,57,98,12,535.90</t>
  </si>
  <si>
    <t>5,71,06,71,314.85</t>
  </si>
  <si>
    <t>3,81,19,96,647.85</t>
  </si>
  <si>
    <t>3,45,16,09,492.55</t>
  </si>
  <si>
    <t>2,21,41,44,817.25</t>
  </si>
  <si>
    <t>3,54,21,90,924.05</t>
  </si>
  <si>
    <t>4,26,69,21,456.45</t>
  </si>
  <si>
    <t>2,35,13,08,679.65</t>
  </si>
  <si>
    <t>2,42,16,13,908.45</t>
  </si>
  <si>
    <t>2,58,07,32,152.25</t>
  </si>
  <si>
    <t>2,15,74,38,284.20</t>
  </si>
  <si>
    <t>9,79,82,11,579.50</t>
  </si>
  <si>
    <t>8,95,23,30,576.50</t>
  </si>
  <si>
    <t>5,29,01,85,437.25</t>
  </si>
  <si>
    <t>7,21,45,44,864.95</t>
  </si>
  <si>
    <t>6,88,16,27,243.55</t>
  </si>
  <si>
    <t>5,10,37,86,366.40</t>
  </si>
  <si>
    <t>3,35,80,99,749.35</t>
  </si>
  <si>
    <t>3,54,89,67,209.85</t>
  </si>
  <si>
    <t>3,38,59,01,720.20</t>
  </si>
  <si>
    <t>3,85,68,94,022.85</t>
  </si>
  <si>
    <t>4,74,34,99,271.30</t>
  </si>
  <si>
    <t>4,95,90,11,643.25</t>
  </si>
  <si>
    <t>4,31,70,78,845.50</t>
  </si>
  <si>
    <t>4,45,75,77,986.20</t>
  </si>
  <si>
    <t>6,03,55,78,078.35</t>
  </si>
  <si>
    <t>2,46,49,30,593.15</t>
  </si>
  <si>
    <t>3,41,43,60,260.70</t>
  </si>
  <si>
    <t>5,30,73,04,376.50</t>
  </si>
  <si>
    <t>4,19,95,52,280.15</t>
  </si>
  <si>
    <t>2,79,92,44,172.55</t>
  </si>
  <si>
    <t>4,97,61,46,449.25</t>
  </si>
  <si>
    <t>4,40,65,61,716.85</t>
  </si>
  <si>
    <t>6,08,92,76,681.70</t>
  </si>
  <si>
    <t>3,61,63,17,646.05</t>
  </si>
  <si>
    <t>5,01,17,76,651.35</t>
  </si>
  <si>
    <t>2,88,06,91,739.00</t>
  </si>
  <si>
    <t>3,48,91,07,252.00</t>
  </si>
  <si>
    <t>4,05,53,29,858.20</t>
  </si>
  <si>
    <t>1,81,22,18,718.10</t>
  </si>
  <si>
    <t>2,99,12,54,174.70</t>
  </si>
  <si>
    <t>5,93,13,23,930.95</t>
  </si>
  <si>
    <t>4,27,24,59,331.40</t>
  </si>
  <si>
    <t>3,64,81,14,905.75</t>
  </si>
  <si>
    <t>3,14,46,19,942.30</t>
  </si>
  <si>
    <t>3,23,50,43,947.25</t>
  </si>
  <si>
    <t>6,33,67,49,577.05</t>
  </si>
  <si>
    <t>2,59,22,44,436.80</t>
  </si>
  <si>
    <t>4,95,42,96,634.85</t>
  </si>
  <si>
    <t>2,47,97,63,970.65</t>
  </si>
  <si>
    <t>1,91,83,05,393.80</t>
  </si>
  <si>
    <t>2,62,33,42,426.10</t>
  </si>
  <si>
    <t>3,59,87,95,793.75</t>
  </si>
  <si>
    <t>3,89,05,17,390.15</t>
  </si>
  <si>
    <t>3,04,59,46,603.60</t>
  </si>
  <si>
    <t>8,93,58,20,789.40</t>
  </si>
  <si>
    <t>6,22,10,50,958.60</t>
  </si>
  <si>
    <t>4,32,62,65,918.55</t>
  </si>
  <si>
    <t>6,10,18,08,875.40</t>
  </si>
  <si>
    <t>3,58,47,24,704.20</t>
  </si>
  <si>
    <t>5,56,60,42,882.30</t>
  </si>
  <si>
    <t>3,98,77,19,657.40</t>
  </si>
  <si>
    <t>3,38,83,55,014.85</t>
  </si>
  <si>
    <t>2,75,37,94,270.95</t>
  </si>
  <si>
    <t>2,50,28,89,177.25</t>
  </si>
  <si>
    <t>3,72,02,58,498.15</t>
  </si>
  <si>
    <t>4,84,09,81,839.75</t>
  </si>
  <si>
    <t>1,87,14,32,763.85</t>
  </si>
  <si>
    <t>3,18,16,65,643.60</t>
  </si>
  <si>
    <t>2,88,36,41,144.30</t>
  </si>
  <si>
    <t>2,11,85,29,544.75</t>
  </si>
  <si>
    <t>2,03,13,87,583.15</t>
  </si>
  <si>
    <t>7,90,23,97,719.05</t>
  </si>
  <si>
    <t>2,79,25,43,578.90</t>
  </si>
  <si>
    <t>3,95,71,09,439.20</t>
  </si>
  <si>
    <t>2,08,10,37,116.85</t>
  </si>
  <si>
    <t>4,61,10,15,696.80</t>
  </si>
  <si>
    <t>3,42,55,48,271.75</t>
  </si>
  <si>
    <t>4,81,95,16,012.10</t>
  </si>
  <si>
    <t>4,86,65,84,837.70</t>
  </si>
  <si>
    <t>2,55,84,41,049.20</t>
  </si>
  <si>
    <t>1,77,51,67,846.55</t>
  </si>
  <si>
    <t>1,83,99,25,508.55</t>
  </si>
  <si>
    <t>2,32,62,96,661.80</t>
  </si>
  <si>
    <t>3,94,84,74,291.60</t>
  </si>
  <si>
    <t>2,43,00,04,904.50</t>
  </si>
  <si>
    <t>2,20,42,39,495.95</t>
  </si>
  <si>
    <t>2,66,81,87,534.10</t>
  </si>
  <si>
    <t>2,80,61,17,707.80</t>
  </si>
  <si>
    <t>2,01,09,13,848.40</t>
  </si>
  <si>
    <t>5,34,13,50,686.05</t>
  </si>
  <si>
    <t>3,33,67,14,583.45</t>
  </si>
  <si>
    <t>2,39,80,07,552.90</t>
  </si>
  <si>
    <t>2,04,07,97,517.50</t>
  </si>
  <si>
    <t>2,81,65,89,456.75</t>
  </si>
  <si>
    <t>1,74,82,48,760.50</t>
  </si>
  <si>
    <t>4,89,80,83,341.90</t>
  </si>
  <si>
    <t>5,04,59,30,338.30</t>
  </si>
  <si>
    <t>6,50,23,75,921.60</t>
  </si>
  <si>
    <t>9,03,24,10,231.65</t>
  </si>
  <si>
    <t>7,21,61,67,310.75</t>
  </si>
  <si>
    <t>3,09,46,39,985.40</t>
  </si>
  <si>
    <t>3,31,97,59,538.00</t>
  </si>
  <si>
    <t>3,08,12,12,451.20</t>
  </si>
  <si>
    <t>2,57,21,61,748.85</t>
  </si>
  <si>
    <t>2,40,67,24,476.85</t>
  </si>
  <si>
    <t>4,70,32,18,409.30</t>
  </si>
  <si>
    <t>5,89,61,14,169.30</t>
  </si>
  <si>
    <t>2,50,75,24,871.95</t>
  </si>
  <si>
    <t>2,71,63,16,837.35</t>
  </si>
  <si>
    <t>3,41,57,93,706.55</t>
  </si>
  <si>
    <t>3,27,90,21,580.35</t>
  </si>
  <si>
    <t>3,03,51,86,051.80</t>
  </si>
  <si>
    <t>7,22,44,30,976.50</t>
  </si>
  <si>
    <t>5,40,20,34,320.80</t>
  </si>
  <si>
    <t>55,89,01,260.00</t>
  </si>
  <si>
    <t>3,15,32,24,248.15</t>
  </si>
  <si>
    <t>6,13,32,69,516.15</t>
  </si>
  <si>
    <t>2,18,42,22,313.05</t>
  </si>
  <si>
    <t>2,51,67,40,522.00</t>
  </si>
  <si>
    <t>2,95,27,99,018.15</t>
  </si>
  <si>
    <t>2,46,70,71,199.35</t>
  </si>
  <si>
    <t>1,76,05,84,844.60</t>
  </si>
  <si>
    <t>1,92,67,53,747.85</t>
  </si>
  <si>
    <t>5,20,76,12,075.10</t>
  </si>
  <si>
    <t>4,30,87,20,770.35</t>
  </si>
  <si>
    <t>4,19,73,39,860.35</t>
  </si>
  <si>
    <t>2,48,17,14,736.65</t>
  </si>
  <si>
    <t>2,47,82,87,985.35</t>
  </si>
  <si>
    <t>2,67,33,67,892.45</t>
  </si>
  <si>
    <t>2,36,67,87,371.10</t>
  </si>
  <si>
    <t>2,17,50,39,305.55</t>
  </si>
  <si>
    <t>3,88,63,30,030.55</t>
  </si>
  <si>
    <t>1,89,14,81,184.50</t>
  </si>
  <si>
    <t>2,37,27,39,785.60</t>
  </si>
  <si>
    <t>1,51,45,84,759.20</t>
  </si>
  <si>
    <t>1,77,66,94,923.80</t>
  </si>
  <si>
    <t>2,78,31,54,950.20</t>
  </si>
  <si>
    <t>2,87,25,27,728.50</t>
  </si>
  <si>
    <t>2,75,91,58,879.55</t>
  </si>
  <si>
    <t>8,07,33,63,775.45</t>
  </si>
  <si>
    <t>2,42,26,51,358.40</t>
  </si>
  <si>
    <t>2,93,00,00,922.85</t>
  </si>
  <si>
    <t>2,91,49,69,954.75</t>
  </si>
  <si>
    <t>3,01,98,56,144.00</t>
  </si>
  <si>
    <t>5,87,40,82,333.40</t>
  </si>
  <si>
    <t>2,74,00,07,865.20</t>
  </si>
  <si>
    <t>2,73,73,83,331.30</t>
  </si>
  <si>
    <t>4,19,02,39,499.40</t>
  </si>
  <si>
    <t>2,80,43,06,293.80</t>
  </si>
  <si>
    <t>3,48,35,67,474.05</t>
  </si>
  <si>
    <t>2,50,41,51,134.40</t>
  </si>
  <si>
    <t>3,66,87,50,929.75</t>
  </si>
  <si>
    <t>2,01,60,58,002.15</t>
  </si>
  <si>
    <t>2,25,69,66,546.15</t>
  </si>
  <si>
    <t>1,89,64,72,131.55</t>
  </si>
  <si>
    <t>2,03,61,37,139.35</t>
  </si>
  <si>
    <t>3,75,77,95,087.75</t>
  </si>
  <si>
    <t>1,64,01,58,622.75</t>
  </si>
  <si>
    <t>2,25,88,17,364.90</t>
  </si>
  <si>
    <t>3,03,95,97,312.75</t>
  </si>
  <si>
    <t>1,85,33,15,473.40</t>
  </si>
  <si>
    <t>2,58,99,83,541.85</t>
  </si>
  <si>
    <t>3,09,00,02,805.30</t>
  </si>
  <si>
    <t>2,61,52,33,418.60</t>
  </si>
  <si>
    <t>2,53,43,26,084.10</t>
  </si>
  <si>
    <t>3,35,49,97,920.25</t>
  </si>
  <si>
    <t>3,11,05,28,372.60</t>
  </si>
  <si>
    <t>2,41,60,39,832.95</t>
  </si>
  <si>
    <t>2,55,96,47,728.00</t>
  </si>
  <si>
    <t>2,62,49,92,636.05</t>
  </si>
  <si>
    <t>4,53,16,59,431.40</t>
  </si>
  <si>
    <t>4,37,34,14,295.00</t>
  </si>
  <si>
    <t>1,87,65,47,210.50</t>
  </si>
  <si>
    <t>2,10,21,49,550.00</t>
  </si>
  <si>
    <t>2,63,46,74,245.75</t>
  </si>
  <si>
    <t>6,92,20,39,457.65</t>
  </si>
  <si>
    <t>8,89,23,43,263.20</t>
  </si>
  <si>
    <t>3,90,61,82,149.10</t>
  </si>
  <si>
    <t>2,98,53,09,543.15</t>
  </si>
  <si>
    <t>2,38,32,32,311.65</t>
  </si>
  <si>
    <t>4,89,48,75,994.35</t>
  </si>
  <si>
    <t>3,20,80,50,667.85</t>
  </si>
  <si>
    <t>5,36,73,08,422.70</t>
  </si>
  <si>
    <t>3,23,83,93,022.90</t>
  </si>
  <si>
    <t>3,55,08,66,346.30</t>
  </si>
  <si>
    <t>3,49,51,07,992.55</t>
  </si>
  <si>
    <t>3,06,84,65,324.55</t>
  </si>
  <si>
    <t>2,02,33,98,586.40</t>
  </si>
  <si>
    <t>2,24,47,19,933.40</t>
  </si>
  <si>
    <t>2,64,93,05,359.20</t>
  </si>
  <si>
    <t>1,96,71,24,383.90</t>
  </si>
  <si>
    <t>1,30,64,07,661.25</t>
  </si>
  <si>
    <t>1,45,79,18,190.95</t>
  </si>
  <si>
    <t>2,27,16,43,266.30</t>
  </si>
  <si>
    <t>2,22,17,21,585.55</t>
  </si>
  <si>
    <t>2,37,83,70,056.25</t>
  </si>
  <si>
    <t>1,82,65,01,996.25</t>
  </si>
  <si>
    <t>1,77,80,26,077.80</t>
  </si>
  <si>
    <t>1,62,17,30,913.85</t>
  </si>
  <si>
    <t>4,88,58,53,128.20</t>
  </si>
  <si>
    <t>3,91,98,26,414.50</t>
  </si>
  <si>
    <t>1,54,05,28,334.75</t>
  </si>
  <si>
    <t>5,10,03,43,163.40</t>
  </si>
  <si>
    <t>2,31,71,83,671.20</t>
  </si>
  <si>
    <t>1,71,24,88,953.55</t>
  </si>
  <si>
    <t>1,91,99,21,555.35</t>
  </si>
  <si>
    <t>3,01,39,98,661.15</t>
  </si>
  <si>
    <t>1,65,42,25,600.65</t>
  </si>
  <si>
    <t>2,21,07,82,913.25</t>
  </si>
  <si>
    <t>1,38,54,36,170.85</t>
  </si>
  <si>
    <t>2,28,30,30,123.30</t>
  </si>
  <si>
    <t>2,92,49,44,075.85</t>
  </si>
  <si>
    <t>6,14,60,77,444.20</t>
  </si>
  <si>
    <t>5,04,60,76,223.35</t>
  </si>
  <si>
    <t>5,33,37,14,114.95</t>
  </si>
  <si>
    <t>3,05,95,54,893.60</t>
  </si>
  <si>
    <t>1,97,55,89,123.55</t>
  </si>
  <si>
    <t>2,07,63,60,314.80</t>
  </si>
  <si>
    <t>2,83,68,87,130.70</t>
  </si>
  <si>
    <t>2,19,32,01,181.30</t>
  </si>
  <si>
    <t>2,21,82,67,432.50</t>
  </si>
  <si>
    <t>1,55,53,42,471.30</t>
  </si>
  <si>
    <t>3,01,39,62,064.15</t>
  </si>
  <si>
    <t>5,43,27,93,544.90</t>
  </si>
  <si>
    <t>2,85,17,08,612.55</t>
  </si>
  <si>
    <t>1,86,26,39,464.75</t>
  </si>
  <si>
    <t>1,76,36,42,312.90</t>
  </si>
  <si>
    <t>3,36,58,13,180.00</t>
  </si>
  <si>
    <t>3,43,76,52,395.85</t>
  </si>
  <si>
    <t>6,21,03,23,795.95</t>
  </si>
  <si>
    <t>1,68,95,63,757.70</t>
  </si>
  <si>
    <t>2,13,56,95,747.20</t>
  </si>
  <si>
    <t>2,04,45,35,327.30</t>
  </si>
  <si>
    <t>2,25,51,50,796.20</t>
  </si>
  <si>
    <t>2,15,85,14,875.15</t>
  </si>
  <si>
    <t>2,57,06,89,706.35</t>
  </si>
  <si>
    <t>2,25,10,59,008.65</t>
  </si>
  <si>
    <t>1,83,79,29,855.25</t>
  </si>
  <si>
    <t>1,65,37,25,524.85</t>
  </si>
  <si>
    <t>1,73,87,98,605.70</t>
  </si>
  <si>
    <t>3,11,75,13,630.20</t>
  </si>
  <si>
    <t>1,93,04,92,996.10</t>
  </si>
  <si>
    <t>3,63,00,68,174.70</t>
  </si>
  <si>
    <t>2,99,16,35,748.40</t>
  </si>
  <si>
    <t>3,97,27,30,988.60</t>
  </si>
  <si>
    <t>2,84,22,83,880.40</t>
  </si>
  <si>
    <t>3,12,62,87,115.85</t>
  </si>
  <si>
    <t>2,28,44,46,148.65</t>
  </si>
  <si>
    <t>9,99,96,10,804.45</t>
  </si>
  <si>
    <t>6,27,84,11,068.70</t>
  </si>
  <si>
    <t>2,55,23,06,646.95</t>
  </si>
  <si>
    <t>2,58,88,02,311.35</t>
  </si>
  <si>
    <t>2,58,96,61,628.75</t>
  </si>
  <si>
    <t>1,54,94,99,468.00</t>
  </si>
  <si>
    <t>1,95,72,46,280.10</t>
  </si>
  <si>
    <t>2,03,31,36,415.00</t>
  </si>
  <si>
    <t>1,81,12,89,391.65</t>
  </si>
  <si>
    <t>1,36,80,37,166.55</t>
  </si>
  <si>
    <t>1,55,62,05,162.55</t>
  </si>
  <si>
    <t>1,77,66,83,403.35</t>
  </si>
  <si>
    <t>1,67,67,74,540.05</t>
  </si>
  <si>
    <t>1,59,08,27,208.40</t>
  </si>
  <si>
    <t>7,49,42,60,796.65</t>
  </si>
  <si>
    <t>3,57,58,56,348.15</t>
  </si>
  <si>
    <t>2,53,18,88,968.15</t>
  </si>
  <si>
    <t>1,58,05,36,275.70</t>
  </si>
  <si>
    <t>1,85,83,67,579.40</t>
  </si>
  <si>
    <t>1,51,37,70,533.85</t>
  </si>
  <si>
    <t>1,80,48,06,404.20</t>
  </si>
  <si>
    <t>3,96,34,89,132.60</t>
  </si>
  <si>
    <t>3,27,29,62,229.95</t>
  </si>
  <si>
    <t>5,20,66,21,879.85</t>
  </si>
  <si>
    <t>2,42,51,63,503.10</t>
  </si>
  <si>
    <t>2,65,58,28,012.60</t>
  </si>
  <si>
    <t>3,25,64,30,329.95</t>
  </si>
  <si>
    <t>1,71,54,04,356.00</t>
  </si>
  <si>
    <t>2,85,90,01,340.75</t>
  </si>
  <si>
    <t>2,45,89,44,685.45</t>
  </si>
  <si>
    <t>2,85,97,61,132.55</t>
  </si>
  <si>
    <t>4,14,30,86,640.40</t>
  </si>
  <si>
    <t>1,95,73,68,597.40</t>
  </si>
  <si>
    <t>3,03,96,19,506.95</t>
  </si>
  <si>
    <t>2,38,45,55,468.75</t>
  </si>
  <si>
    <t>4,86,23,64,021.00</t>
  </si>
  <si>
    <t>1,59,15,30,172.70</t>
  </si>
  <si>
    <t>1,58,61,06,938.75</t>
  </si>
  <si>
    <t>2,13,44,62,655.95</t>
  </si>
  <si>
    <t>2,35,29,56,419.75</t>
  </si>
  <si>
    <t>2,09,21,90,416.25</t>
  </si>
  <si>
    <t>1,82,89,13,902.55</t>
  </si>
  <si>
    <t>2,61,24,85,104.70</t>
  </si>
  <si>
    <t>3,47,89,16,060.60</t>
  </si>
  <si>
    <t>2,55,02,82,726.25</t>
  </si>
  <si>
    <t>2,84,17,34,117.75</t>
  </si>
  <si>
    <t>2,82,06,64,301.15</t>
  </si>
  <si>
    <t>3,36,47,63,490.45</t>
  </si>
  <si>
    <t>2,17,34,75,302.15</t>
  </si>
  <si>
    <t>2,07,63,47,154.20</t>
  </si>
  <si>
    <t>3,01,75,74,294.10</t>
  </si>
  <si>
    <t>2,40,36,00,498.55</t>
  </si>
  <si>
    <t>8,75,85,36,304.05</t>
  </si>
  <si>
    <t>3,25,05,25,166.00</t>
  </si>
  <si>
    <t>2,95,16,40,474.15</t>
  </si>
  <si>
    <t>1,87,30,90,673.90</t>
  </si>
  <si>
    <t>3,13,94,57,052.95</t>
  </si>
  <si>
    <t>2,34,03,01,028.75</t>
  </si>
  <si>
    <t>2,87,40,41,420.05</t>
  </si>
  <si>
    <t>2,37,42,97,846.85</t>
  </si>
  <si>
    <t>1,73,69,08,553.35</t>
  </si>
  <si>
    <t>1,20,26,97,904.20</t>
  </si>
  <si>
    <t>1,67,42,00,655.65</t>
  </si>
  <si>
    <t>2,13,93,29,392.45</t>
  </si>
  <si>
    <t>4,07,69,99,776.80</t>
  </si>
  <si>
    <t>2,94,07,80,182.80</t>
  </si>
  <si>
    <t>2,59,77,34,022.95</t>
  </si>
  <si>
    <t>1,90,67,46,025.95</t>
  </si>
  <si>
    <t>2,77,84,00,870.70</t>
  </si>
  <si>
    <t>1,87,79,66,411.85</t>
  </si>
  <si>
    <t>1,12,09,95,437.05</t>
  </si>
  <si>
    <t>1,20,00,52,464.85</t>
  </si>
  <si>
    <t>1,17,82,52,480.10</t>
  </si>
  <si>
    <t>3,75,38,35,820.55</t>
  </si>
  <si>
    <t>4,42,54,45,993.35</t>
  </si>
  <si>
    <t>2,30,48,52,064.95</t>
  </si>
  <si>
    <t>1,74,79,07,929.95</t>
  </si>
  <si>
    <t>1,97,07,71,024.45</t>
  </si>
  <si>
    <t>5,22,93,84,859.80</t>
  </si>
  <si>
    <t>2,10,94,82,776.80</t>
  </si>
  <si>
    <t>2,25,08,28,100.20</t>
  </si>
  <si>
    <t>1,93,00,16,980.20</t>
  </si>
  <si>
    <t>2,42,49,21,818.85</t>
  </si>
  <si>
    <t>2,98,22,38,499.50</t>
  </si>
  <si>
    <t>1,28,57,64,146.05</t>
  </si>
  <si>
    <t>1,16,92,00,507.25</t>
  </si>
  <si>
    <t>1,81,04,48,074.40</t>
  </si>
  <si>
    <t>2,87,02,66,444.40</t>
  </si>
  <si>
    <t>3,57,87,36,751.10</t>
  </si>
  <si>
    <t>5,01,66,26,619.75</t>
  </si>
  <si>
    <t>2,16,71,15,317.10</t>
  </si>
  <si>
    <t>2,88,86,75,679.80</t>
  </si>
  <si>
    <t>2,71,90,86,597.95</t>
  </si>
  <si>
    <t>2,92,46,21,657.00</t>
  </si>
  <si>
    <t>4,71,43,36,174.20</t>
  </si>
  <si>
    <t>2,74,30,60,927.40</t>
  </si>
  <si>
    <t>1,70,08,84,872.25</t>
  </si>
  <si>
    <t>6,72,58,74,126.15</t>
  </si>
  <si>
    <t>4,89,99,13,073.05</t>
  </si>
  <si>
    <t>3,88,71,55,363.70</t>
  </si>
  <si>
    <t>2,83,11,32,462.65</t>
  </si>
  <si>
    <t>3,20,85,06,367.00</t>
  </si>
  <si>
    <t>2,60,59,77,189.80</t>
  </si>
  <si>
    <t>2,20,70,25,609.45</t>
  </si>
  <si>
    <t>2,66,94,64,652.25</t>
  </si>
  <si>
    <t>3,24,78,76,025.65</t>
  </si>
  <si>
    <t>3,13,54,31,725.45</t>
  </si>
  <si>
    <t>2,68,99,27,266.85</t>
  </si>
  <si>
    <t>2,65,57,58,018.20</t>
  </si>
  <si>
    <t>2,46,58,56,469.75</t>
  </si>
  <si>
    <t>1,49,63,44,917.95</t>
  </si>
  <si>
    <t>1,75,87,27,731.40</t>
  </si>
  <si>
    <t>2,20,43,34,814.90</t>
  </si>
  <si>
    <t>1,15,74,90,160.85</t>
  </si>
  <si>
    <t>2,06,25,23,283.25</t>
  </si>
  <si>
    <t>5,47,55,10,150.55</t>
  </si>
  <si>
    <t>5,04,71,60,433.30</t>
  </si>
  <si>
    <t>2,60,71,59,628.50</t>
  </si>
  <si>
    <t>3,45,10,54,390.80</t>
  </si>
  <si>
    <t>3,04,31,65,462.15</t>
  </si>
  <si>
    <t>2,65,44,01,760.70</t>
  </si>
  <si>
    <t>2,12,64,41,016.75</t>
  </si>
  <si>
    <t>1,87,18,38,596.55</t>
  </si>
  <si>
    <t>2,29,12,79,142.50</t>
  </si>
  <si>
    <t>2,41,41,88,986.50</t>
  </si>
  <si>
    <t>2,62,76,43,628.10</t>
  </si>
  <si>
    <t>1,11,56,47,633.35</t>
  </si>
  <si>
    <t>26,38,74,727.45</t>
  </si>
  <si>
    <t>1,25,01,34,113.50</t>
  </si>
  <si>
    <t>2,17,09,06,897.20</t>
  </si>
  <si>
    <t>2,11,14,63,858.05</t>
  </si>
  <si>
    <t>4,57,21,43,138.90</t>
  </si>
  <si>
    <t>1,27,88,69,993.50</t>
  </si>
  <si>
    <t>1,28,28,13,126.20</t>
  </si>
  <si>
    <t>1,53,79,31,540.40</t>
  </si>
  <si>
    <t>2,48,75,57,657.05</t>
  </si>
  <si>
    <t>2,36,46,99,220.40</t>
  </si>
  <si>
    <t>2,04,08,37,993.45</t>
  </si>
  <si>
    <t>1,96,06,80,377.40</t>
  </si>
  <si>
    <t>5,60,17,66,269.50</t>
  </si>
  <si>
    <t>3,04,37,67,709.25</t>
  </si>
  <si>
    <t>3,24,43,52,091.95</t>
  </si>
  <si>
    <t>3,23,53,77,814.60</t>
  </si>
  <si>
    <t>4,01,45,89,483.95</t>
  </si>
  <si>
    <t>3,50,16,75,559.25</t>
  </si>
  <si>
    <t>2,90,35,35,270.85</t>
  </si>
  <si>
    <t>2,92,31,49,196.60</t>
  </si>
  <si>
    <t>3,29,32,19,184.20</t>
  </si>
  <si>
    <t>3,38,92,23,419.70</t>
  </si>
  <si>
    <t>2,98,84,96,890.30</t>
  </si>
  <si>
    <t>5,36,52,62,123.40</t>
  </si>
  <si>
    <t>3,02,94,90,833.80</t>
  </si>
  <si>
    <t>2,59,85,31,549.85</t>
  </si>
  <si>
    <t>3,26,04,40,870.20</t>
  </si>
  <si>
    <t>5,22,71,75,386.60</t>
  </si>
  <si>
    <t>3,09,98,63,702.20</t>
  </si>
  <si>
    <t>2,02,29,25,133.05</t>
  </si>
  <si>
    <t>2,82,66,14,984.65</t>
  </si>
  <si>
    <t>2,64,37,32,575.20</t>
  </si>
  <si>
    <t>2,09,40,08,563.40</t>
  </si>
  <si>
    <t>96,46,15,249.85</t>
  </si>
  <si>
    <t>1,86,48,37,635.55</t>
  </si>
  <si>
    <t>1,28,31,91,878.95</t>
  </si>
  <si>
    <t>2,63,07,94,902.25</t>
  </si>
  <si>
    <t>1,40,27,51,510.35</t>
  </si>
  <si>
    <t>1,81,34,83,826.75</t>
  </si>
  <si>
    <t>2,20,55,22,435.20</t>
  </si>
  <si>
    <t>2,26,41,57,869.20</t>
  </si>
  <si>
    <t>1,76,56,43,934.30</t>
  </si>
  <si>
    <t>2,19,78,18,060.50</t>
  </si>
  <si>
    <t>2,38,01,31,693.25</t>
  </si>
  <si>
    <t>2,46,94,16,279.50</t>
  </si>
  <si>
    <t>7,30,89,99,438.65</t>
  </si>
  <si>
    <t>6,22,93,11,861.10</t>
  </si>
  <si>
    <t>2,96,87,57,419.35</t>
  </si>
  <si>
    <t>87,09,82,603.55</t>
  </si>
  <si>
    <t>7,24,06,83,404.70</t>
  </si>
  <si>
    <t>7,99,53,80,686.90</t>
  </si>
  <si>
    <t>5,92,89,87,578.85</t>
  </si>
  <si>
    <t>5,53,52,15,219.50</t>
  </si>
  <si>
    <t>3,78,60,74,346.25</t>
  </si>
  <si>
    <t>5,23,55,84,031.15</t>
  </si>
  <si>
    <t>8,81,80,24,560.35</t>
  </si>
  <si>
    <t>5,53,94,25,205.40</t>
  </si>
  <si>
    <t>2,71,40,53,455.50</t>
  </si>
  <si>
    <t>4,30,36,48,767.45</t>
  </si>
  <si>
    <t>3,36,48,43,397.40</t>
  </si>
  <si>
    <t>4,80,77,56,583.60</t>
  </si>
  <si>
    <t>3,36,40,27,574.45</t>
  </si>
  <si>
    <t>1,80,89,84,058.55</t>
  </si>
  <si>
    <t>2,12,80,69,980.50</t>
  </si>
  <si>
    <t>2,21,60,62,148.85</t>
  </si>
  <si>
    <t>3,20,39,75,021.30</t>
  </si>
  <si>
    <t>3,56,23,91,587.10</t>
  </si>
  <si>
    <t>1,68,34,52,581.50</t>
  </si>
  <si>
    <t>2,18,80,67,985.05</t>
  </si>
  <si>
    <t>2,79,15,76,252.00</t>
  </si>
  <si>
    <t>7,80,02,29,559.05</t>
  </si>
  <si>
    <t>4,92,21,09,873.85</t>
  </si>
  <si>
    <t>10,12,60,02,330.90</t>
  </si>
  <si>
    <t>3,70,67,84,500.60</t>
  </si>
  <si>
    <t>6,94,08,85,579.35</t>
  </si>
  <si>
    <t>6,42,01,87,047.80</t>
  </si>
  <si>
    <t>2,76,97,00,529.90</t>
  </si>
  <si>
    <t>25,64,97,665.95</t>
  </si>
  <si>
    <t>2,75,47,63,776.70</t>
  </si>
  <si>
    <t>2,07,82,67,723.40</t>
  </si>
  <si>
    <t>4,84,50,72,755.85</t>
  </si>
  <si>
    <t>4,48,92,07,109.35</t>
  </si>
  <si>
    <t>2,48,98,19,913.95</t>
  </si>
  <si>
    <t>1,91,19,09,308.40</t>
  </si>
  <si>
    <t>2,73,15,09,386.65</t>
  </si>
  <si>
    <t>3,98,55,87,935.20</t>
  </si>
  <si>
    <t>3,89,69,00,843.55</t>
  </si>
  <si>
    <t>2,66,92,23,600.40</t>
  </si>
  <si>
    <t>3,37,30,29,859.70</t>
  </si>
  <si>
    <t>2,30,66,41,646.85</t>
  </si>
  <si>
    <t>3,30,16,16,043.45</t>
  </si>
  <si>
    <t>4,67,70,25,707.35</t>
  </si>
  <si>
    <t>3,87,20,40,833.45</t>
  </si>
  <si>
    <t>3,27,38,15,626.60</t>
  </si>
  <si>
    <t>5,30,64,65,925.60</t>
  </si>
  <si>
    <t>1,60,11,53,520.40</t>
  </si>
  <si>
    <t>1,61,70,77,347.25</t>
  </si>
  <si>
    <t>2,34,10,57,057.70</t>
  </si>
  <si>
    <t>5,31,24,24,693.85</t>
  </si>
  <si>
    <t>3,35,30,47,551.70</t>
  </si>
  <si>
    <t>1,64,92,24,098.35</t>
  </si>
  <si>
    <t>2,92,08,44,644.25</t>
  </si>
  <si>
    <t>2,13,47,11,455.20</t>
  </si>
  <si>
    <t>5,04,71,59,853.30</t>
  </si>
  <si>
    <t>2,51,06,24,389.20</t>
  </si>
  <si>
    <t>2,57,94,07,314.80</t>
  </si>
  <si>
    <t>4,89,58,57,242.70</t>
  </si>
  <si>
    <t>3,73,18,28,290.40</t>
  </si>
  <si>
    <t>1,91,64,96,076.10</t>
  </si>
  <si>
    <t>2,66,23,48,565.55</t>
  </si>
  <si>
    <t>2,06,13,36,486.40</t>
  </si>
  <si>
    <t>4,54,47,02,819.40</t>
  </si>
  <si>
    <t>1,78,64,32,251.25</t>
  </si>
  <si>
    <t>1,62,22,42,766.00</t>
  </si>
  <si>
    <t>3,72,95,27,049.55</t>
  </si>
  <si>
    <t>7,35,06,09,795.55</t>
  </si>
  <si>
    <t>4,69,29,84,701.35</t>
  </si>
  <si>
    <t>2,25,75,53,195.30</t>
  </si>
  <si>
    <t>1,84,40,86,138.65</t>
  </si>
  <si>
    <t>4,70,69,13,138.05</t>
  </si>
  <si>
    <t>9,79,89,99,188.55</t>
  </si>
  <si>
    <t>6,83,79,00,078.45</t>
  </si>
  <si>
    <t>7,83,91,98,201.75</t>
  </si>
  <si>
    <t>2,86,43,30,363.75</t>
  </si>
  <si>
    <t>3,48,93,65,278.45</t>
  </si>
  <si>
    <t>4,30,14,43,504.60</t>
  </si>
  <si>
    <t>3,72,17,29,477.65</t>
  </si>
  <si>
    <t>14,73,41,478.40</t>
  </si>
  <si>
    <t>2,62,22,49,016.80</t>
  </si>
  <si>
    <t>2,68,85,68,407.95</t>
  </si>
  <si>
    <t>3,42,58,81,206.80</t>
  </si>
  <si>
    <t>2,17,92,95,662.85</t>
  </si>
  <si>
    <t>2,35,22,87,254.40</t>
  </si>
  <si>
    <t>3,14,31,20,141.70</t>
  </si>
  <si>
    <t>5,10,76,64,054.80</t>
  </si>
  <si>
    <t>3,88,53,33,695.30</t>
  </si>
  <si>
    <t>7,26,30,60,163.50</t>
  </si>
  <si>
    <t>2,74,52,56,624.95</t>
  </si>
  <si>
    <t>7,67,05,15,984.55</t>
  </si>
  <si>
    <t>7,17,23,67,696.60</t>
  </si>
  <si>
    <t>4,92,97,38,361.25</t>
  </si>
  <si>
    <t>4,67,95,33,601.75</t>
  </si>
  <si>
    <t>2,57,36,29,171.05</t>
  </si>
  <si>
    <t>2,48,81,40,426.20</t>
  </si>
  <si>
    <t>4,92,05,97,117.95</t>
  </si>
  <si>
    <t>2,11,56,45,015.10</t>
  </si>
  <si>
    <t>2,87,10,43,073.05</t>
  </si>
  <si>
    <t>2,16,14,37,869.10</t>
  </si>
  <si>
    <t>2,94,96,98,632.65</t>
  </si>
  <si>
    <t>3,28,30,19,639.35</t>
  </si>
  <si>
    <t>4,98,57,13,403.00</t>
  </si>
  <si>
    <t>2,57,50,19,859.65</t>
  </si>
  <si>
    <t>3,49,96,61,269.55</t>
  </si>
  <si>
    <t>2,74,97,22,792.75</t>
  </si>
  <si>
    <t>4,67,98,25,283.05</t>
  </si>
  <si>
    <t>3,51,75,56,522.70</t>
  </si>
  <si>
    <t>3,22,47,47,087.05</t>
  </si>
  <si>
    <t>3,11,18,15,663.05</t>
  </si>
  <si>
    <t>2,71,46,82,877.60</t>
  </si>
  <si>
    <t>2,85,28,78,532.30</t>
  </si>
  <si>
    <t>2,39,51,95,710.15</t>
  </si>
  <si>
    <t>2,40,36,74,177.60</t>
  </si>
  <si>
    <t>1,99,08,48,226.25</t>
  </si>
  <si>
    <t>6,83,15,61,456.50</t>
  </si>
  <si>
    <t>5,92,73,69,218.80</t>
  </si>
  <si>
    <t>5,65,67,16,521.10</t>
  </si>
  <si>
    <t>7,17,56,83,580.40</t>
  </si>
  <si>
    <t>6,21,70,96,947.95</t>
  </si>
  <si>
    <t>15,67,91,25,504.85</t>
  </si>
  <si>
    <t>6,39,68,37,442.55</t>
  </si>
  <si>
    <t>4,75,47,77,012.15</t>
  </si>
  <si>
    <t>5,54,46,42,541.00</t>
  </si>
  <si>
    <t>4,29,26,30,553.45</t>
  </si>
  <si>
    <t>3,59,22,07,689.30</t>
  </si>
  <si>
    <t>4,00,34,74,150.05</t>
  </si>
  <si>
    <t>2,51,91,95,555.40</t>
  </si>
  <si>
    <t>6,45,42,69,850.55</t>
  </si>
  <si>
    <t>10,91,66,81,612.30</t>
  </si>
  <si>
    <t>5,18,99,68,471.15</t>
  </si>
  <si>
    <t>4,18,94,86,747.30</t>
  </si>
  <si>
    <t>6,26,06,42,149.60</t>
  </si>
  <si>
    <t>2,75,99,46,792.50</t>
  </si>
  <si>
    <t>5,89,35,81,945.65</t>
  </si>
  <si>
    <t>3,87,61,59,960.85</t>
  </si>
  <si>
    <t>5,01,50,58,264.10</t>
  </si>
  <si>
    <t>5,29,76,04,231.75</t>
  </si>
  <si>
    <t>1,52,09,43,645.40</t>
  </si>
  <si>
    <t>1,37,13,85,382.00</t>
  </si>
  <si>
    <t>1,55,82,75,567.55</t>
  </si>
  <si>
    <t>1,66,58,14,594.20</t>
  </si>
  <si>
    <t>2,07,03,18,511.65</t>
  </si>
  <si>
    <t>3,72,70,54,259.95</t>
  </si>
  <si>
    <t>4,90,97,20,413.55</t>
  </si>
  <si>
    <t>2,46,53,54,965.35</t>
  </si>
  <si>
    <t>1,49,64,62,539.95</t>
  </si>
  <si>
    <t>3,19,39,17,624.15</t>
  </si>
  <si>
    <t>1,68,86,63,684.45</t>
  </si>
  <si>
    <t>2,64,80,52,661.35</t>
  </si>
  <si>
    <t>4,90,79,95,960.05</t>
  </si>
  <si>
    <t>2,21,61,46,359.90</t>
  </si>
  <si>
    <t>1,82,45,10,722.70</t>
  </si>
  <si>
    <t>7,67,67,48,459.45</t>
  </si>
  <si>
    <t>4,80,18,05,690.00</t>
  </si>
  <si>
    <t>6,95,96,75,271.85</t>
  </si>
  <si>
    <t>4,17,79,34,330.60</t>
  </si>
  <si>
    <t>3,06,11,15,127.10</t>
  </si>
  <si>
    <t>8,60,40,19,495.95</t>
  </si>
  <si>
    <t>5,54,48,28,604.60</t>
  </si>
  <si>
    <t>3,44,80,90,898.60</t>
  </si>
  <si>
    <t>3,42,11,84,305.00</t>
  </si>
  <si>
    <t>1,94,82,61,684.60</t>
  </si>
  <si>
    <t>1,34,78,60,703.85</t>
  </si>
  <si>
    <t>3,17,61,09,126.60</t>
  </si>
  <si>
    <t>4,97,20,72,194.60</t>
  </si>
  <si>
    <t>1,71,86,54,865.70</t>
  </si>
  <si>
    <t>3,45,79,21,906.40</t>
  </si>
  <si>
    <t>2,39,12,02,343.40</t>
  </si>
  <si>
    <t>3,10,11,93,912.05</t>
  </si>
  <si>
    <t>4,35,94,23,052.10</t>
  </si>
  <si>
    <t>3,62,98,55,462.65</t>
  </si>
  <si>
    <t>3,16,70,47,543.55</t>
  </si>
  <si>
    <t>5,50,79,35,530.10</t>
  </si>
  <si>
    <t>4,80,76,55,328.65</t>
  </si>
  <si>
    <t>2,78,45,71,947.30</t>
  </si>
  <si>
    <t>2,51,82,52,922.45</t>
  </si>
  <si>
    <t>3,80,07,55,073.15</t>
  </si>
  <si>
    <t>3,55,49,40,363.80</t>
  </si>
  <si>
    <t>2,96,70,37,962.35</t>
  </si>
  <si>
    <t>2,17,60,69,508.40</t>
  </si>
  <si>
    <t>3,81,65,23,237.45</t>
  </si>
  <si>
    <t>2,35,40,35,992.80</t>
  </si>
  <si>
    <t>2,05,94,21,914.05</t>
  </si>
  <si>
    <t>2,71,41,47,955.15</t>
  </si>
  <si>
    <t>2,44,61,14,222.65</t>
  </si>
  <si>
    <t>1,63,50,16,971.60</t>
  </si>
  <si>
    <t>1,87,39,75,356.55</t>
  </si>
  <si>
    <t>1,69,87,21,046.05</t>
  </si>
  <si>
    <t>3,12,29,38,107.20</t>
  </si>
  <si>
    <t>1,51,62,24,588.50</t>
  </si>
  <si>
    <t>1,82,77,39,369.70</t>
  </si>
  <si>
    <t>2,42,95,74,195.65</t>
  </si>
  <si>
    <t>3,03,82,32,477.60</t>
  </si>
  <si>
    <t>33,05,91,226.25</t>
  </si>
  <si>
    <t>3,33,51,45,770.85</t>
  </si>
  <si>
    <t>2,70,84,01,892.15</t>
  </si>
  <si>
    <t>5,24,21,39,767.65</t>
  </si>
  <si>
    <t>3,17,61,41,257.30</t>
  </si>
  <si>
    <t>5,74,53,22,672.70</t>
  </si>
  <si>
    <t>22,50,68,55,546.95</t>
  </si>
  <si>
    <t>8,60,56,93,685.30</t>
  </si>
  <si>
    <t>4,45,73,59,090.55</t>
  </si>
  <si>
    <t>2,99,44,27,872.30</t>
  </si>
  <si>
    <t>2,35,74,35,512.15</t>
  </si>
  <si>
    <t>2,34,33,95,970.15</t>
  </si>
  <si>
    <t>3,35,93,13,627.20</t>
  </si>
  <si>
    <t>9,37,40,65,272.65</t>
  </si>
  <si>
    <t>4,58,18,78,684.45</t>
  </si>
  <si>
    <t>2,88,28,97,491.10</t>
  </si>
  <si>
    <t>2,15,48,41,813.85</t>
  </si>
  <si>
    <t>3,71,78,32,912.45</t>
  </si>
  <si>
    <t>2,55,63,63,987.20</t>
  </si>
  <si>
    <t>2,26,40,67,727.50</t>
  </si>
  <si>
    <t>3,32,22,29,911.65</t>
  </si>
  <si>
    <t>2,47,81,64,524.35</t>
  </si>
  <si>
    <t>7,79,79,76,360.90</t>
  </si>
  <si>
    <t>4,22,93,41,851.15</t>
  </si>
  <si>
    <t>5,52,18,65,063.35</t>
  </si>
  <si>
    <t>3,96,37,46,939.60</t>
  </si>
  <si>
    <t>3,22,99,81,540.50</t>
  </si>
  <si>
    <t>2,60,82,30,600.90</t>
  </si>
  <si>
    <t>2,74,81,17,983.75</t>
  </si>
  <si>
    <t>2,36,83,87,855.65</t>
  </si>
  <si>
    <t>2,98,19,07,230.10</t>
  </si>
  <si>
    <t>2,01,72,39,137.85</t>
  </si>
  <si>
    <t>6,36,44,00,825.25</t>
  </si>
  <si>
    <t>3,94,66,30,739.20</t>
  </si>
  <si>
    <t>1,95,37,22,773.70</t>
  </si>
  <si>
    <t>1,37,54,37,152.75</t>
  </si>
  <si>
    <t>2,87,37,63,813.20</t>
  </si>
  <si>
    <t>1,86,95,88,002.05</t>
  </si>
  <si>
    <t>2,45,28,39,310.70</t>
  </si>
  <si>
    <t>1,56,58,57,129.30</t>
  </si>
  <si>
    <t>2,46,57,06,808.35</t>
  </si>
  <si>
    <t>3,12,56,38,365.70</t>
  </si>
  <si>
    <t>3,16,82,78,875.65</t>
  </si>
  <si>
    <t>2,71,87,12,345.65</t>
  </si>
  <si>
    <t>1,70,08,79,585.50</t>
  </si>
  <si>
    <t>3,32,32,61,023.35</t>
  </si>
  <si>
    <t>3,19,79,47,715.20</t>
  </si>
  <si>
    <t>2,82,84,28,867.50</t>
  </si>
  <si>
    <t>2,68,54,67,190.40</t>
  </si>
  <si>
    <t>2,96,72,15,703.55</t>
  </si>
  <si>
    <t>2,91,69,62,123.95</t>
  </si>
  <si>
    <t>4,29,26,58,861.25</t>
  </si>
  <si>
    <t>1,97,75,15,476.85</t>
  </si>
  <si>
    <t>1,26,44,78,025.35</t>
  </si>
  <si>
    <t>3,22,13,18,199.95</t>
  </si>
  <si>
    <t>1,88,60,55,484.70</t>
  </si>
  <si>
    <t>2,60,59,52,417.25</t>
  </si>
  <si>
    <t>1,23,51,87,855.45</t>
  </si>
  <si>
    <t>2,48,42,15,160.45</t>
  </si>
  <si>
    <t>2,02,09,30,748.45</t>
  </si>
  <si>
    <t>2,85,05,87,861.10</t>
  </si>
  <si>
    <t>2,59,30,55,630.55</t>
  </si>
  <si>
    <t>2,94,82,69,208.70</t>
  </si>
  <si>
    <t>3,09,36,74,162.85</t>
  </si>
  <si>
    <t>2,47,24,81,932.90</t>
  </si>
  <si>
    <t>12,60,11,80,853.70</t>
  </si>
  <si>
    <t>7,87,98,37,292.45</t>
  </si>
  <si>
    <t>2,92,50,06,807.85</t>
  </si>
  <si>
    <t>3,02,15,27,893.60</t>
  </si>
  <si>
    <t>2,67,87,29,501.15</t>
  </si>
  <si>
    <t>3,61,07,19,513.20</t>
  </si>
  <si>
    <t>2,61,93,71,809.05</t>
  </si>
  <si>
    <t>2,06,21,08,958.45</t>
  </si>
  <si>
    <t>3,06,85,08,976.40</t>
  </si>
  <si>
    <t>2,07,70,33,206.25</t>
  </si>
  <si>
    <t>1,64,24,44,694.15</t>
  </si>
  <si>
    <t>1,44,45,75,842.95</t>
  </si>
  <si>
    <t>1,43,33,27,262.80</t>
  </si>
  <si>
    <t>1,70,08,51,811.35</t>
  </si>
  <si>
    <t>1,72,10,98,413.60</t>
  </si>
  <si>
    <t>2,12,26,52,414.65</t>
  </si>
  <si>
    <t>2,27,29,65,793.50</t>
  </si>
  <si>
    <t>3,71,90,03,064.95</t>
  </si>
  <si>
    <t>2,06,74,30,347.00</t>
  </si>
  <si>
    <t>4,66,94,65,647.15</t>
  </si>
  <si>
    <t>3,31,30,36,251.60</t>
  </si>
  <si>
    <t>4,45,70,70,034.45</t>
  </si>
  <si>
    <t>2,08,69,15,604.70</t>
  </si>
  <si>
    <t>2,44,64,83,758.80</t>
  </si>
  <si>
    <t>1,37,18,17,056.15</t>
  </si>
  <si>
    <t>1,69,43,79,970.00</t>
  </si>
  <si>
    <t>1,67,39,95,004.85</t>
  </si>
  <si>
    <t>1,85,30,94,353.45</t>
  </si>
  <si>
    <t>1,84,66,73,569.20</t>
  </si>
  <si>
    <t>1,51,20,03,146.95</t>
  </si>
  <si>
    <t>2,67,12,31,103.95</t>
  </si>
  <si>
    <t>3,73,90,93,016.95</t>
  </si>
  <si>
    <t>2,54,77,88,335.30</t>
  </si>
  <si>
    <t>4,25,15,79,023.80</t>
  </si>
  <si>
    <t>4,48,62,25,170.45</t>
  </si>
  <si>
    <t>3,49,08,26,200.35</t>
  </si>
  <si>
    <t>3,00,40,27,398.60</t>
  </si>
  <si>
    <t>2,25,83,65,027.60</t>
  </si>
  <si>
    <t>1,82,61,96,169.70</t>
  </si>
  <si>
    <t>1,42,44,39,299.45</t>
  </si>
  <si>
    <t>2,71,85,99,396.85</t>
  </si>
  <si>
    <t>4,06,63,09,645.10</t>
  </si>
  <si>
    <t>4,49,56,81,154.35</t>
  </si>
  <si>
    <t>2,86,68,11,898.20</t>
  </si>
  <si>
    <t>2,32,04,26,188.00</t>
  </si>
  <si>
    <t>2,74,94,44,084.70</t>
  </si>
  <si>
    <t>2,85,96,11,268.60</t>
  </si>
  <si>
    <t>2,18,10,85,537.10</t>
  </si>
  <si>
    <t>1,33,07,97,649.80</t>
  </si>
  <si>
    <t>1,32,37,69,901.60</t>
  </si>
  <si>
    <t>1,81,99,20,596.40</t>
  </si>
  <si>
    <t>2,96,73,36,184.40</t>
  </si>
  <si>
    <t>1,70,83,55,787.60</t>
  </si>
  <si>
    <t>1,35,44,85,970.80</t>
  </si>
  <si>
    <t>3,03,38,72,117.50</t>
  </si>
  <si>
    <t>3,59,89,36,957.00</t>
  </si>
  <si>
    <t>2,24,71,36,438.60</t>
  </si>
  <si>
    <t>3,01,76,08,685.60</t>
  </si>
  <si>
    <t>1,69,60,15,229.20</t>
  </si>
  <si>
    <t>4,04,31,39,077.00</t>
  </si>
  <si>
    <t>5,31,52,92,783.00</t>
  </si>
  <si>
    <t>3,45,74,41,372.60</t>
  </si>
  <si>
    <t>2,21,68,52,600.70</t>
  </si>
  <si>
    <t>2,84,22,70,299.00</t>
  </si>
  <si>
    <t>3,54,60,48,010.40</t>
  </si>
  <si>
    <t>3,86,35,90,864.00</t>
  </si>
  <si>
    <t>1,83,72,68,694.20</t>
  </si>
  <si>
    <t>1,29,79,28,267.50</t>
  </si>
  <si>
    <t>2,52,72,89,936.00</t>
  </si>
  <si>
    <t>1,08,30,76,347.70</t>
  </si>
  <si>
    <t>2,10,52,08,273.10</t>
  </si>
  <si>
    <t>1,06,09,77,681.90</t>
  </si>
  <si>
    <t>2,91,70,99,101.90</t>
  </si>
  <si>
    <t>5,79,79,81,367.60</t>
  </si>
  <si>
    <t>1,78,83,86,495.70</t>
  </si>
  <si>
    <t>3,24,46,58,118.70</t>
  </si>
  <si>
    <t>8,17,30,46,111.50</t>
  </si>
  <si>
    <t>1,59,21,80,294.90</t>
  </si>
  <si>
    <t>1,79,05,40,599.80</t>
  </si>
  <si>
    <t>1,72,71,51,815.70</t>
  </si>
  <si>
    <t>2,23,64,94,687.30</t>
  </si>
  <si>
    <t>1,84,54,64,870.70</t>
  </si>
  <si>
    <t>2,34,09,93,113.80</t>
  </si>
  <si>
    <t>4,02,15,64,944.30</t>
  </si>
  <si>
    <t>3,16,87,20,833.50</t>
  </si>
  <si>
    <t>7,64,48,03,902.00</t>
  </si>
  <si>
    <t>3,93,62,59,598.60</t>
  </si>
  <si>
    <t>2,90,80,99,540.00</t>
  </si>
  <si>
    <t>3,48,95,41,462.20</t>
  </si>
  <si>
    <t>2,57,12,76,672.00</t>
  </si>
  <si>
    <t>1,19,46,09,089.70</t>
  </si>
  <si>
    <t>4,44,14,32,827.30</t>
  </si>
  <si>
    <t>1,34,95,08,429.40</t>
  </si>
  <si>
    <t>2,38,68,26,686.10</t>
  </si>
  <si>
    <t>1,84,20,73,400.20</t>
  </si>
  <si>
    <t>2,10,81,87,443.90</t>
  </si>
  <si>
    <t>3,63,21,56,218.30</t>
  </si>
  <si>
    <t>1,83,87,97,546.00</t>
  </si>
  <si>
    <t>2,92,30,27,853.10</t>
  </si>
  <si>
    <t>4,61,89,93,872.20</t>
  </si>
  <si>
    <t>3,78,28,22,817.80</t>
  </si>
  <si>
    <t>1,46,02,65,353.90</t>
  </si>
  <si>
    <t>2,12,54,38,016.90</t>
  </si>
  <si>
    <t>2,80,56,13,212.20</t>
  </si>
  <si>
    <t>5,84,75,45,663.90</t>
  </si>
  <si>
    <t>2,30,87,43,113.10</t>
  </si>
  <si>
    <t>2,58,04,76,380.10</t>
  </si>
  <si>
    <t>2,14,56,38,312.60</t>
  </si>
  <si>
    <t>1,46,23,97,463.30</t>
  </si>
  <si>
    <t>2,88,83,01,085.20</t>
  </si>
  <si>
    <t>1,26,42,29,735.30</t>
  </si>
  <si>
    <t>1,42,97,40,039.30</t>
  </si>
  <si>
    <t>92,72,44,568.90</t>
  </si>
  <si>
    <t>97,39,45,345.90</t>
  </si>
  <si>
    <t>87,23,01,520.90</t>
  </si>
  <si>
    <t>1,19,45,73,369.30</t>
  </si>
  <si>
    <t>89,65,46,545.90</t>
  </si>
  <si>
    <t>1,52,89,10,548.30</t>
  </si>
  <si>
    <t>4,15,93,05,149.80</t>
  </si>
  <si>
    <t>4,07,72,05,818.80</t>
  </si>
  <si>
    <t>3,05,90,12,568.50</t>
  </si>
  <si>
    <t>5,44,45,03,615.10</t>
  </si>
  <si>
    <t>2,85,96,89,906.00</t>
  </si>
  <si>
    <t>1,60,34,80,439.00</t>
  </si>
  <si>
    <t>5,02,10,94,057.10</t>
  </si>
  <si>
    <t>3,74,30,02,537.30</t>
  </si>
  <si>
    <t>2,93,57,02,156.30</t>
  </si>
  <si>
    <t>1,79,15,20,953.60</t>
  </si>
  <si>
    <t>1,51,52,59,131.70</t>
  </si>
  <si>
    <t>87,53,36,847.90</t>
  </si>
  <si>
    <t>2,74,24,13,198.50</t>
  </si>
  <si>
    <t>4,51,76,86,760.70</t>
  </si>
  <si>
    <t>1,80,17,13,644.40</t>
  </si>
  <si>
    <t>79,19,56,221.80</t>
  </si>
  <si>
    <t>2,00,44,58,783.10</t>
  </si>
  <si>
    <t>1,31,94,57,472.40</t>
  </si>
  <si>
    <t>1,91,16,06,922.90</t>
  </si>
  <si>
    <t>17,64,90,19,058.80</t>
  </si>
  <si>
    <t>3,72,32,34,769.70</t>
  </si>
  <si>
    <t>4,52,04,02,451.20</t>
  </si>
  <si>
    <t>3,36,59,06,195.70</t>
  </si>
  <si>
    <t>2,61,08,85,776.30</t>
  </si>
  <si>
    <t>2,36,15,33,560.30</t>
  </si>
  <si>
    <t>2,39,83,37,278.70</t>
  </si>
  <si>
    <t>2,97,72,75,502.90</t>
  </si>
  <si>
    <t>1,89,47,27,092.80</t>
  </si>
  <si>
    <t>1,78,26,83,504.90</t>
  </si>
  <si>
    <t>1,32,12,51,315.40</t>
  </si>
  <si>
    <t>1,08,17,16,977.90</t>
  </si>
  <si>
    <t>1,39,66,74,809.30</t>
  </si>
  <si>
    <t>1,46,31,34,103.00</t>
  </si>
  <si>
    <t>1,89,34,58,633.60</t>
  </si>
  <si>
    <t>89,46,42,603.90</t>
  </si>
  <si>
    <t>99,56,96,737.60</t>
  </si>
  <si>
    <t>9,27,34,01,995.40</t>
  </si>
  <si>
    <t>2,17,18,23,851.00</t>
  </si>
  <si>
    <t>3,26,34,85,069.30</t>
  </si>
  <si>
    <t>1,56,96,39,539.80</t>
  </si>
  <si>
    <t>3,66,38,92,010.10</t>
  </si>
  <si>
    <t>2,57,10,28,693.60</t>
  </si>
  <si>
    <t>2,22,84,69,864.40</t>
  </si>
  <si>
    <t>1,83,31,17,902.00</t>
  </si>
  <si>
    <t>1,51,25,51,558.60</t>
  </si>
  <si>
    <t>1,55,10,00,342.70</t>
  </si>
  <si>
    <t>85,05,35,067.30</t>
  </si>
  <si>
    <t>1,17,61,10,967.30</t>
  </si>
  <si>
    <t>1,63,95,47,744.80</t>
  </si>
  <si>
    <t>1,37,09,89,777.50</t>
  </si>
  <si>
    <t>2,62,05,77,770.70</t>
  </si>
  <si>
    <t>1,56,89,54,283.80</t>
  </si>
  <si>
    <t>82,24,27,063.90</t>
  </si>
  <si>
    <t>1,78,30,22,180.80</t>
  </si>
  <si>
    <t>1,71,33,39,299.00</t>
  </si>
  <si>
    <t>9,33,45,53,256.90</t>
  </si>
  <si>
    <t>1,80,11,19,633.40</t>
  </si>
  <si>
    <t>27,04,59,921.20</t>
  </si>
  <si>
    <t>2,04,80,84,911.10</t>
  </si>
  <si>
    <t>81,83,20,317.00</t>
  </si>
  <si>
    <t>1,38,58,46,403.60</t>
  </si>
  <si>
    <t>2,77,05,13,693.30</t>
  </si>
  <si>
    <t>1,55,97,22,955.50</t>
  </si>
  <si>
    <t>1,85,88,42,863.90</t>
  </si>
  <si>
    <t>1,53,21,03,170.50</t>
  </si>
  <si>
    <t>1,06,52,58,034.80</t>
  </si>
  <si>
    <t>1,31,56,51,964.00</t>
  </si>
  <si>
    <t>11,58,60,31,696.00</t>
  </si>
  <si>
    <t>2,05,97,32,475.00</t>
  </si>
  <si>
    <t>4,52,95,10,455.90</t>
  </si>
  <si>
    <t>2,05,46,50,737.90</t>
  </si>
  <si>
    <t>7,83,93,29,437.10</t>
  </si>
  <si>
    <t>17,03,93,98,688.50</t>
  </si>
  <si>
    <t>7,23,02,41,805.20</t>
  </si>
  <si>
    <t>3,56,76,12,443.80</t>
  </si>
  <si>
    <t>5,28,03,44,681.70</t>
  </si>
  <si>
    <t>4,02,86,71,093.90</t>
  </si>
  <si>
    <t>3,04,85,21,729.90</t>
  </si>
  <si>
    <t>2,46,24,51,544.00</t>
  </si>
  <si>
    <t>15,56,07,66,526.90</t>
  </si>
  <si>
    <t>2,80,65,87,933.10</t>
  </si>
  <si>
    <t>1,64,08,09,372.10</t>
  </si>
  <si>
    <t>3,34,72,03,855.30</t>
  </si>
  <si>
    <t>2,15,14,17,620.20</t>
  </si>
  <si>
    <t>1,42,86,37,555.30</t>
  </si>
  <si>
    <t>6,15,15,86,283.70</t>
  </si>
  <si>
    <t>3,69,18,47,992.40</t>
  </si>
  <si>
    <t>4,34,92,71,425.80</t>
  </si>
  <si>
    <t>2,79,75,78,281.60</t>
  </si>
  <si>
    <t>2,88,60,37,065.10</t>
  </si>
  <si>
    <t>5,17,57,89,766.70</t>
  </si>
  <si>
    <t>2,37,15,88,651.50</t>
  </si>
  <si>
    <t>2,16,36,86,674.40</t>
  </si>
  <si>
    <t>2,70,66,14,447.50</t>
  </si>
  <si>
    <t>2,86,68,76,315.30</t>
  </si>
  <si>
    <t>2,55,86,31,583.80</t>
  </si>
  <si>
    <t>1,77,46,25,900.80</t>
  </si>
  <si>
    <t>1,15,57,75,554.90</t>
  </si>
  <si>
    <t>10,89,71,89,760.20</t>
  </si>
  <si>
    <t>1,30,09,99,073.90</t>
  </si>
  <si>
    <t>1,20,81,20,827.50</t>
  </si>
  <si>
    <t>1,43,40,07,847.30</t>
  </si>
  <si>
    <t>1,46,67,57,575.60</t>
  </si>
  <si>
    <t>2,25,39,77,239.60</t>
  </si>
  <si>
    <t>13,36,63,91,317.30</t>
  </si>
  <si>
    <t>3,53,94,95,798.20</t>
  </si>
  <si>
    <t>90,72,49,993.00</t>
  </si>
  <si>
    <t>1,41,12,22,402.40</t>
  </si>
  <si>
    <t>2,43,75,81,546.80</t>
  </si>
  <si>
    <t>2,48,54,22,634.00</t>
  </si>
  <si>
    <t>1,79,72,99,418.10</t>
  </si>
  <si>
    <t>1,72,52,99,138.80</t>
  </si>
  <si>
    <t>4,68,92,69,490.40</t>
  </si>
  <si>
    <t>4,99,41,12,167.40</t>
  </si>
  <si>
    <t>3,03,63,95,120.30</t>
  </si>
  <si>
    <t>2,71,24,07,016.00</t>
  </si>
  <si>
    <t>3,19,22,96,186.70</t>
  </si>
  <si>
    <t>3,71,63,19,610.10</t>
  </si>
  <si>
    <t>2,46,57,82,705.80</t>
  </si>
  <si>
    <t>2,43,73,93,473.60</t>
  </si>
  <si>
    <t>3,48,86,31,249.90</t>
  </si>
  <si>
    <t>4,90,11,41,899.60</t>
  </si>
  <si>
    <t>10,03,43,19,841.10</t>
  </si>
  <si>
    <t>8,55,30,02,482.20</t>
  </si>
  <si>
    <t>8,48,27,51,480.70</t>
  </si>
  <si>
    <t>4,97,25,94,558.10</t>
  </si>
  <si>
    <t>1,91,21,87,547.50</t>
  </si>
  <si>
    <t>2,84,42,34,574.90</t>
  </si>
  <si>
    <t>5,42,34,77,544.60</t>
  </si>
  <si>
    <t>2,37,74,82,103.60</t>
  </si>
  <si>
    <t>2,54,17,86,603.30</t>
  </si>
  <si>
    <t>2,50,63,43,304.30</t>
  </si>
  <si>
    <t>1,61,58,29,263.60</t>
  </si>
  <si>
    <t>3,62,49,48,960.30</t>
  </si>
  <si>
    <t>7,58,15,24,292.70</t>
  </si>
  <si>
    <t>1,45,91,85,362.70</t>
  </si>
  <si>
    <t>1,60,83,52,322.40</t>
  </si>
  <si>
    <t>1,63,11,30,020.30</t>
  </si>
  <si>
    <t>2,44,64,21,005.60</t>
  </si>
  <si>
    <t>1,34,11,58,339.30</t>
  </si>
  <si>
    <t>2,33,62,85,646.70</t>
  </si>
  <si>
    <t>1,91,35,05,617.80</t>
  </si>
  <si>
    <t>1,54,24,08,150.10</t>
  </si>
  <si>
    <t>1,20,71,76,476.70</t>
  </si>
  <si>
    <t>1,27,18,77,118.00</t>
  </si>
  <si>
    <t>1,40,98,27,729.70</t>
  </si>
  <si>
    <t>6,01,61,02,713.00</t>
  </si>
  <si>
    <t>5,83,52,98,841.60</t>
  </si>
  <si>
    <t>3,64,58,17,586.40</t>
  </si>
  <si>
    <t>2,10,23,55,049.50</t>
  </si>
  <si>
    <t>2,24,05,50,607.80</t>
  </si>
  <si>
    <t>4,81,57,98,500.20</t>
  </si>
  <si>
    <t>2,70,63,06,584.20</t>
  </si>
  <si>
    <t>1,55,48,74,263.90</t>
  </si>
  <si>
    <t>3,07,99,04,845.50</t>
  </si>
  <si>
    <t>2,09,01,14,573.30</t>
  </si>
  <si>
    <t>2,45,27,02,443.00</t>
  </si>
  <si>
    <t>1,95,79,41,898.00</t>
  </si>
  <si>
    <t>1,90,12,98,329.50</t>
  </si>
  <si>
    <t>1,95,34,34,541.30</t>
  </si>
  <si>
    <t>1,92,86,64,416.50</t>
  </si>
  <si>
    <t>2,09,21,08,841.10</t>
  </si>
  <si>
    <t>3,42,94,55,492.80</t>
  </si>
  <si>
    <t>2,87,75,54,227.60</t>
  </si>
  <si>
    <t>2,42,36,08,122.60</t>
  </si>
  <si>
    <t>3,28,57,90,677.20</t>
  </si>
  <si>
    <t>2,69,04,36,890.40</t>
  </si>
  <si>
    <t>Tatasteel</t>
  </si>
  <si>
    <t>31,03,01,50,334.05</t>
  </si>
  <si>
    <t>26,26,49,95,006.70</t>
  </si>
  <si>
    <t>18,05,82,23,023.75</t>
  </si>
  <si>
    <t>14,98,94,72,735.25</t>
  </si>
  <si>
    <t>48,81,12,43,412.30</t>
  </si>
  <si>
    <t>29,05,16,31,627.75</t>
  </si>
  <si>
    <t>19,22,12,65,866.40</t>
  </si>
  <si>
    <t>17,73,32,71,789.35</t>
  </si>
  <si>
    <t>19,56,60,18,525.20</t>
  </si>
  <si>
    <t>15,67,88,26,911.20</t>
  </si>
  <si>
    <t>16,95,98,13,271.25</t>
  </si>
  <si>
    <t>15,13,32,70,032.95</t>
  </si>
  <si>
    <t>29,54,67,98,526.25</t>
  </si>
  <si>
    <t>23,03,78,63,140.35</t>
  </si>
  <si>
    <t>20,02,40,66,611.35</t>
  </si>
  <si>
    <t>24,04,34,62,401.50</t>
  </si>
  <si>
    <t>19,87,70,03,898.35</t>
  </si>
  <si>
    <t>45,42,35,91,343.45</t>
  </si>
  <si>
    <t>29,02,85,37,385.50</t>
  </si>
  <si>
    <t>27,74,84,24,330.00</t>
  </si>
  <si>
    <t>26,77,58,68,250.65</t>
  </si>
  <si>
    <t>20,54,43,63,912.95</t>
  </si>
  <si>
    <t>51,23,91,88,167.35</t>
  </si>
  <si>
    <t>62,91,77,75,342.00</t>
  </si>
  <si>
    <t>34,09,94,93,809.45</t>
  </si>
  <si>
    <t>50,05,80,54,090.20</t>
  </si>
  <si>
    <t>37,45,49,43,942.30</t>
  </si>
  <si>
    <t>43,04,10,05,388.50</t>
  </si>
  <si>
    <t>32,46,09,24,909.10</t>
  </si>
  <si>
    <t>29,00,36,46,810.20</t>
  </si>
  <si>
    <t>20,43,08,22,775.25</t>
  </si>
  <si>
    <t>31,66,98,51,246.20</t>
  </si>
  <si>
    <t>15,72,79,54,213.70</t>
  </si>
  <si>
    <t>20,68,72,05,791.85</t>
  </si>
  <si>
    <t>20,13,79,71,434.75</t>
  </si>
  <si>
    <t>16,70,93,52,126.00</t>
  </si>
  <si>
    <t>24,91,92,51,285.25</t>
  </si>
  <si>
    <t>21,58,12,20,030.25</t>
  </si>
  <si>
    <t>17,21,93,10,719.90</t>
  </si>
  <si>
    <t>19,45,43,41,857.60</t>
  </si>
  <si>
    <t>14,35,55,87,812.05</t>
  </si>
  <si>
    <t>13,62,71,06,848.35</t>
  </si>
  <si>
    <t>10,84,20,04,340.30</t>
  </si>
  <si>
    <t>13,88,43,74,724.30</t>
  </si>
  <si>
    <t>12,02,61,37,998.05</t>
  </si>
  <si>
    <t>12,33,47,16,005.65</t>
  </si>
  <si>
    <t>8,67,75,78,776.60</t>
  </si>
  <si>
    <t>19,87,04,03,850.40</t>
  </si>
  <si>
    <t>18,69,31,78,119.75</t>
  </si>
  <si>
    <t>11,48,99,17,319.05</t>
  </si>
  <si>
    <t>20,16,44,13,988.70</t>
  </si>
  <si>
    <t>18,02,45,97,695.60</t>
  </si>
  <si>
    <t>43,63,70,94,872.50</t>
  </si>
  <si>
    <t>14,21,43,10,071.05</t>
  </si>
  <si>
    <t>10,09,46,35,818.35</t>
  </si>
  <si>
    <t>8,69,28,92,936.40</t>
  </si>
  <si>
    <t>8,04,78,56,838.60</t>
  </si>
  <si>
    <t>20,86,06,37,702.50</t>
  </si>
  <si>
    <t>13,74,33,23,937.65</t>
  </si>
  <si>
    <t>9,18,30,11,302.90</t>
  </si>
  <si>
    <t>9,48,88,62,908.35</t>
  </si>
  <si>
    <t>6,54,96,50,935.90</t>
  </si>
  <si>
    <t>8,67,09,00,665.50</t>
  </si>
  <si>
    <t>8,81,78,45,701.80</t>
  </si>
  <si>
    <t>10,65,75,28,428.15</t>
  </si>
  <si>
    <t>20,02,55,14,634.10</t>
  </si>
  <si>
    <t>14,95,59,01,482.35</t>
  </si>
  <si>
    <t>21,79,55,26,924.75</t>
  </si>
  <si>
    <t>20,66,32,48,657.40</t>
  </si>
  <si>
    <t>9,76,07,95,661.35</t>
  </si>
  <si>
    <t>10,30,44,19,016.60</t>
  </si>
  <si>
    <t>12,10,44,91,972.80</t>
  </si>
  <si>
    <t>10,79,94,41,556.65</t>
  </si>
  <si>
    <t>11,34,69,74,829.05</t>
  </si>
  <si>
    <t>10,65,42,93,471.65</t>
  </si>
  <si>
    <t>9,99,31,64,000.85</t>
  </si>
  <si>
    <t>11,10,18,67,403.05</t>
  </si>
  <si>
    <t>11,23,75,53,130.25</t>
  </si>
  <si>
    <t>13,67,55,47,882.25</t>
  </si>
  <si>
    <t>17,17,08,84,417.60</t>
  </si>
  <si>
    <t>43,13,25,88,858.65</t>
  </si>
  <si>
    <t>20,39,43,26,177.20</t>
  </si>
  <si>
    <t>13,85,82,39,053.10</t>
  </si>
  <si>
    <t>12,14,27,58,072.35</t>
  </si>
  <si>
    <t>16,09,21,99,774.60</t>
  </si>
  <si>
    <t>23,00,42,57,192.75</t>
  </si>
  <si>
    <t>13,92,80,12,701.80</t>
  </si>
  <si>
    <t>11,18,34,84,133.25</t>
  </si>
  <si>
    <t>11,78,69,65,575.25</t>
  </si>
  <si>
    <t>20,46,80,76,905.85</t>
  </si>
  <si>
    <t>15,66,29,16,646.65</t>
  </si>
  <si>
    <t>41,57,72,65,262.50</t>
  </si>
  <si>
    <t>40,76,01,62,318.70</t>
  </si>
  <si>
    <t>28,72,80,12,846.30</t>
  </si>
  <si>
    <t>18,52,39,55,013.75</t>
  </si>
  <si>
    <t>38,61,83,63,329.50</t>
  </si>
  <si>
    <t>31,32,13,97,175.00</t>
  </si>
  <si>
    <t>24,64,68,45,916.00</t>
  </si>
  <si>
    <t>17,65,94,52,557.20</t>
  </si>
  <si>
    <t>12,61,37,55,303.65</t>
  </si>
  <si>
    <t>10,24,61,83,944.60</t>
  </si>
  <si>
    <t>19,23,16,96,469.15</t>
  </si>
  <si>
    <t>35,87,19,18,020.50</t>
  </si>
  <si>
    <t>12,53,23,64,367.30</t>
  </si>
  <si>
    <t>8,73,86,34,439.10</t>
  </si>
  <si>
    <t>12,14,24,93,020.30</t>
  </si>
  <si>
    <t>9,99,38,57,812.30</t>
  </si>
  <si>
    <t>9,14,41,23,989.00</t>
  </si>
  <si>
    <t>6,68,91,52,680.65</t>
  </si>
  <si>
    <t>7,65,64,86,787.90</t>
  </si>
  <si>
    <t>8,23,09,85,329.30</t>
  </si>
  <si>
    <t>8,04,32,10,155.50</t>
  </si>
  <si>
    <t>6,42,47,49,303.25</t>
  </si>
  <si>
    <t>8,10,61,01,676.10</t>
  </si>
  <si>
    <t>27,14,99,60,524.40</t>
  </si>
  <si>
    <t>36,51,23,76,240.20</t>
  </si>
  <si>
    <t>32,33,56,88,765.00</t>
  </si>
  <si>
    <t>14,48,28,42,665.95</t>
  </si>
  <si>
    <t>13,13,23,42,309.45</t>
  </si>
  <si>
    <t>17,07,25,12,017.75</t>
  </si>
  <si>
    <t>11,04,43,79,079.25</t>
  </si>
  <si>
    <t>10,37,84,37,351.35</t>
  </si>
  <si>
    <t>12,25,44,27,544.50</t>
  </si>
  <si>
    <t>9,74,61,66,693.75</t>
  </si>
  <si>
    <t>11,69,62,19,086.00</t>
  </si>
  <si>
    <t>12,66,64,04,492.70</t>
  </si>
  <si>
    <t>7,65,20,41,813.90</t>
  </si>
  <si>
    <t>11,20,83,69,774.40</t>
  </si>
  <si>
    <t>5,95,98,81,711.45</t>
  </si>
  <si>
    <t>14,13,18,42,227.65</t>
  </si>
  <si>
    <t>8,34,00,10,808.85</t>
  </si>
  <si>
    <t>8,06,05,57,067.10</t>
  </si>
  <si>
    <t>18,03,27,05,350.55</t>
  </si>
  <si>
    <t>11,31,54,79,685.40</t>
  </si>
  <si>
    <t>15,42,36,38,710.65</t>
  </si>
  <si>
    <t>12,21,84,21,090.85</t>
  </si>
  <si>
    <t>9,43,81,43,064.85</t>
  </si>
  <si>
    <t>11,05,24,15,947.65</t>
  </si>
  <si>
    <t>10,45,58,63,988.15</t>
  </si>
  <si>
    <t>8,31,82,55,045.90</t>
  </si>
  <si>
    <t>10,25,28,44,348.05</t>
  </si>
  <si>
    <t>9,70,61,28,183.35</t>
  </si>
  <si>
    <t>12,10,86,36,657.30</t>
  </si>
  <si>
    <t>10,43,41,41,529.65</t>
  </si>
  <si>
    <t>13,15,55,51,551.55</t>
  </si>
  <si>
    <t>9,64,59,62,698.75</t>
  </si>
  <si>
    <t>7,57,82,72,364.25</t>
  </si>
  <si>
    <t>89,65,31,428.35</t>
  </si>
  <si>
    <t>7,31,35,06,276.30</t>
  </si>
  <si>
    <t>6,38,80,69,232.80</t>
  </si>
  <si>
    <t>15,45,00,91,711.30</t>
  </si>
  <si>
    <t>17,85,28,75,262.10</t>
  </si>
  <si>
    <t>30,13,34,36,224.85</t>
  </si>
  <si>
    <t>15,31,13,46,641.25</t>
  </si>
  <si>
    <t>15,28,57,26,669.75</t>
  </si>
  <si>
    <t>10,75,75,64,425.00</t>
  </si>
  <si>
    <t>12,11,00,42,265.25</t>
  </si>
  <si>
    <t>11,29,72,25,184.30</t>
  </si>
  <si>
    <t>11,21,00,58,495.30</t>
  </si>
  <si>
    <t>8,06,86,50,466.05</t>
  </si>
  <si>
    <t>5,58,34,38,162.65</t>
  </si>
  <si>
    <t>12,00,79,42,478.50</t>
  </si>
  <si>
    <t>10,47,38,59,931.15</t>
  </si>
  <si>
    <t>14,59,64,19,159.45</t>
  </si>
  <si>
    <t>10,12,99,80,506.10</t>
  </si>
  <si>
    <t>9,97,95,55,833.05</t>
  </si>
  <si>
    <t>11,27,98,94,784.45</t>
  </si>
  <si>
    <t>9,21,89,70,570.35</t>
  </si>
  <si>
    <t>9,70,25,09,838.55</t>
  </si>
  <si>
    <t>8,68,63,59,029.45</t>
  </si>
  <si>
    <t>6,10,25,60,472.70</t>
  </si>
  <si>
    <t>5,67,25,91,862.10</t>
  </si>
  <si>
    <t>6,31,94,23,485.45</t>
  </si>
  <si>
    <t>6,23,33,69,922.20</t>
  </si>
  <si>
    <t>5,15,44,44,408.55</t>
  </si>
  <si>
    <t>4,91,45,06,125.40</t>
  </si>
  <si>
    <t>5,39,32,72,365.20</t>
  </si>
  <si>
    <t>7,96,16,18,862.30</t>
  </si>
  <si>
    <t>7,79,39,06,415.10</t>
  </si>
  <si>
    <t>4,90,41,48,511.60</t>
  </si>
  <si>
    <t>5,24,48,27,387.00</t>
  </si>
  <si>
    <t>4,56,48,28,879.60</t>
  </si>
  <si>
    <t>3,07,47,21,063.10</t>
  </si>
  <si>
    <t>3,24,73,37,620.30</t>
  </si>
  <si>
    <t>4,67,72,59,768.65</t>
  </si>
  <si>
    <t>4,56,70,32,963.05</t>
  </si>
  <si>
    <t>4,11,28,28,901.10</t>
  </si>
  <si>
    <t>4,36,62,79,501.50</t>
  </si>
  <si>
    <t>6,85,90,26,649.55</t>
  </si>
  <si>
    <t>7,21,68,00,113.20</t>
  </si>
  <si>
    <t>6,22,54,89,082.45</t>
  </si>
  <si>
    <t>4,61,21,54,157.25</t>
  </si>
  <si>
    <t>4,45,68,32,468.05</t>
  </si>
  <si>
    <t>11,02,67,12,678.50</t>
  </si>
  <si>
    <t>5,75,15,72,117.00</t>
  </si>
  <si>
    <t>18,86,89,61,106.25</t>
  </si>
  <si>
    <t>6,40,27,40,872.75</t>
  </si>
  <si>
    <t>10,95,87,88,425.80</t>
  </si>
  <si>
    <t>7,06,63,37,357.80</t>
  </si>
  <si>
    <t>8,80,08,84,092.50</t>
  </si>
  <si>
    <t>7,17,59,12,863.90</t>
  </si>
  <si>
    <t>8,43,81,84,184.45</t>
  </si>
  <si>
    <t>9,40,76,99,634.20</t>
  </si>
  <si>
    <t>6,35,13,34,528.60</t>
  </si>
  <si>
    <t>9,79,95,78,271.55</t>
  </si>
  <si>
    <t>8,72,20,67,779.45</t>
  </si>
  <si>
    <t>6,10,68,08,797.40</t>
  </si>
  <si>
    <t>19,36,79,52,076.85</t>
  </si>
  <si>
    <t>8,77,84,50,173.45</t>
  </si>
  <si>
    <t>7,61,94,18,043.55</t>
  </si>
  <si>
    <t>11,03,20,97,305.30</t>
  </si>
  <si>
    <t>17,33,01,02,163.95</t>
  </si>
  <si>
    <t>16,93,66,57,066.70</t>
  </si>
  <si>
    <t>8,96,80,09,893.95</t>
  </si>
  <si>
    <t>11,68,48,09,977.10</t>
  </si>
  <si>
    <t>12,11,88,83,254.80</t>
  </si>
  <si>
    <t>9,64,88,20,655.15</t>
  </si>
  <si>
    <t>12,01,45,82,504.45</t>
  </si>
  <si>
    <t>7,92,51,41,990.10</t>
  </si>
  <si>
    <t>6,77,16,43,720.60</t>
  </si>
  <si>
    <t>5,65,47,46,883.90</t>
  </si>
  <si>
    <t>5,91,63,28,122.20</t>
  </si>
  <si>
    <t>10,70,95,65,886.60</t>
  </si>
  <si>
    <t>5,67,32,17,190.30</t>
  </si>
  <si>
    <t>13,28,80,73,810.50</t>
  </si>
  <si>
    <t>10,46,73,47,648.45</t>
  </si>
  <si>
    <t>21,07,07,73,518.25</t>
  </si>
  <si>
    <t>31,82,06,91,227.60</t>
  </si>
  <si>
    <t>22,85,94,07,692.45</t>
  </si>
  <si>
    <t>21,13,49,84,241.95</t>
  </si>
  <si>
    <t>14,12,95,80,242.05</t>
  </si>
  <si>
    <t>11,50,41,86,252.60</t>
  </si>
  <si>
    <t>8,73,99,70,128.45</t>
  </si>
  <si>
    <t>17,50,45,64,980.75</t>
  </si>
  <si>
    <t>15,63,95,24,482.95</t>
  </si>
  <si>
    <t>6,82,63,43,839.50</t>
  </si>
  <si>
    <t>12,03,68,20,173.55</t>
  </si>
  <si>
    <t>7,93,18,73,085.60</t>
  </si>
  <si>
    <t>13,78,75,47,257.25</t>
  </si>
  <si>
    <t>11,10,77,80,248.70</t>
  </si>
  <si>
    <t>10,69,90,83,341.20</t>
  </si>
  <si>
    <t>17,25,52,95,796.55</t>
  </si>
  <si>
    <t>12,75,82,22,562.20</t>
  </si>
  <si>
    <t>9,37,75,35,055.20</t>
  </si>
  <si>
    <t>6,24,63,55,569.25</t>
  </si>
  <si>
    <t>5,77,00,18,655.25</t>
  </si>
  <si>
    <t>7,65,19,63,500.35</t>
  </si>
  <si>
    <t>5,25,36,88,052.70</t>
  </si>
  <si>
    <t>7,30,90,88,664.30</t>
  </si>
  <si>
    <t>Average volume</t>
  </si>
  <si>
    <t>9,31,47,56,763.00</t>
  </si>
  <si>
    <t>8,50,15,75,038.95</t>
  </si>
  <si>
    <t>15,63,53,06,605.70</t>
  </si>
  <si>
    <t>7,56,98,59,990.10</t>
  </si>
  <si>
    <t>7,15,65,91,391.40</t>
  </si>
  <si>
    <t>6,12,62,68,528.40</t>
  </si>
  <si>
    <t>9,10,31,39,739.75</t>
  </si>
  <si>
    <t>5,96,92,26,933.65</t>
  </si>
  <si>
    <t>10,83,86,23,713.50</t>
  </si>
  <si>
    <t>8,74,99,30,979.45</t>
  </si>
  <si>
    <t>7,13,39,40,458.50</t>
  </si>
  <si>
    <t>8,67,74,27,230.85</t>
  </si>
  <si>
    <t>7,21,03,90,040.90</t>
  </si>
  <si>
    <t>8,91,68,44,390.40</t>
  </si>
  <si>
    <t>5,52,59,48,859.35</t>
  </si>
  <si>
    <t>8,77,13,71,654.40</t>
  </si>
  <si>
    <t>6,43,87,34,682.00</t>
  </si>
  <si>
    <t>7,31,58,37,150.15</t>
  </si>
  <si>
    <t>6,95,71,39,104.35</t>
  </si>
  <si>
    <t>17,84,47,27,443.05</t>
  </si>
  <si>
    <t>11,33,41,56,938.60</t>
  </si>
  <si>
    <t>8,74,86,19,578.85</t>
  </si>
  <si>
    <t>6,35,98,52,196.20</t>
  </si>
  <si>
    <t>17,41,86,66,398.75</t>
  </si>
  <si>
    <t>12,38,60,51,281.10</t>
  </si>
  <si>
    <t>10,58,66,09,044.20</t>
  </si>
  <si>
    <t>9,30,30,75,384.50</t>
  </si>
  <si>
    <t>6,97,77,32,748.35</t>
  </si>
  <si>
    <t>13,08,69,10,016.65</t>
  </si>
  <si>
    <t>9,69,25,12,041.05</t>
  </si>
  <si>
    <t>7,53,22,44,311.55</t>
  </si>
  <si>
    <t>7,60,64,42,066.55</t>
  </si>
  <si>
    <t>28,17,69,58,026.25</t>
  </si>
  <si>
    <t>12,55,28,45,856.45</t>
  </si>
  <si>
    <t>9,97,32,06,376.85</t>
  </si>
  <si>
    <t>15,55,25,52,283.05</t>
  </si>
  <si>
    <t>7,82,53,23,762.20</t>
  </si>
  <si>
    <t>7,64,88,67,514.95</t>
  </si>
  <si>
    <t>12,84,53,90,666.15</t>
  </si>
  <si>
    <t>10,02,24,43,775.45</t>
  </si>
  <si>
    <t>8,48,35,66,200.80</t>
  </si>
  <si>
    <t>5,80,40,71,537.40</t>
  </si>
  <si>
    <t>6,13,16,23,842.30</t>
  </si>
  <si>
    <t>4,63,46,74,457.15</t>
  </si>
  <si>
    <t>7,01,51,73,441.45</t>
  </si>
  <si>
    <t>10,40,05,42,210.20</t>
  </si>
  <si>
    <t>9,72,00,36,515.10</t>
  </si>
  <si>
    <t>8,21,49,19,302.20</t>
  </si>
  <si>
    <t>7,72,93,30,686.70</t>
  </si>
  <si>
    <t>8,89,02,89,549.60</t>
  </si>
  <si>
    <t>11,42,77,23,603.30</t>
  </si>
  <si>
    <t>11,06,57,31,966.85</t>
  </si>
  <si>
    <t>12,04,91,09,008.45</t>
  </si>
  <si>
    <t>10,91,60,19,464.45</t>
  </si>
  <si>
    <t>9,33,37,87,063.80</t>
  </si>
  <si>
    <t>9,38,40,44,004.30</t>
  </si>
  <si>
    <t>7,28,95,00,677.75</t>
  </si>
  <si>
    <t>6,33,77,92,524.00</t>
  </si>
  <si>
    <t>7,39,69,32,361.30</t>
  </si>
  <si>
    <t>6,37,14,73,361.50</t>
  </si>
  <si>
    <t>7,42,96,07,359.10</t>
  </si>
  <si>
    <t>4,74,70,01,323.25</t>
  </si>
  <si>
    <t>6,60,12,28,052.00</t>
  </si>
  <si>
    <t>6,86,67,01,254.25</t>
  </si>
  <si>
    <t>6,90,33,95,020.70</t>
  </si>
  <si>
    <t>9,78,12,86,467.00</t>
  </si>
  <si>
    <t>9,96,65,19,524.50</t>
  </si>
  <si>
    <t>13,63,64,72,253.10</t>
  </si>
  <si>
    <t>9,03,77,68,425.80</t>
  </si>
  <si>
    <t>6,36,08,73,098.65</t>
  </si>
  <si>
    <t>6,72,91,54,713.35</t>
  </si>
  <si>
    <t>7,24,22,37,144.35</t>
  </si>
  <si>
    <t>6,58,10,15,540.80</t>
  </si>
  <si>
    <t>7,82,53,12,413.05</t>
  </si>
  <si>
    <t>7,18,14,25,855.20</t>
  </si>
  <si>
    <t>4,75,08,78,150.95</t>
  </si>
  <si>
    <t>4,55,99,41,726.45</t>
  </si>
  <si>
    <t>9,51,53,99,224.15</t>
  </si>
  <si>
    <t>12,11,95,95,065.95</t>
  </si>
  <si>
    <t>5,01,11,19,637.70</t>
  </si>
  <si>
    <t>13,64,43,36,927.10</t>
  </si>
  <si>
    <t>17,81,60,38,805.05</t>
  </si>
  <si>
    <t>13,59,21,94,355.85</t>
  </si>
  <si>
    <t>6,93,76,71,692.00</t>
  </si>
  <si>
    <t>6,56,83,25,454.70</t>
  </si>
  <si>
    <t>8,57,78,18,116.05</t>
  </si>
  <si>
    <t>5,88,50,13,963.00</t>
  </si>
  <si>
    <t>4,44,25,43,901.95</t>
  </si>
  <si>
    <t>7,99,64,57,230.30</t>
  </si>
  <si>
    <t>8,24,71,81,079.65</t>
  </si>
  <si>
    <t>10,73,36,10,778.10</t>
  </si>
  <si>
    <t>7,78,91,00,716.70</t>
  </si>
  <si>
    <t>6,09,49,99,817.65</t>
  </si>
  <si>
    <t>5,54,85,15,767.75</t>
  </si>
  <si>
    <t>6,34,67,85,640.60</t>
  </si>
  <si>
    <t>7,90,67,95,316.15</t>
  </si>
  <si>
    <t>7,52,38,72,406.95</t>
  </si>
  <si>
    <t>5,94,12,87,674.10</t>
  </si>
  <si>
    <t>4,51,30,82,704.70</t>
  </si>
  <si>
    <t>7,70,59,22,708.05</t>
  </si>
  <si>
    <t>6,27,27,82,501.15</t>
  </si>
  <si>
    <t>7,24,15,68,190.85</t>
  </si>
  <si>
    <t>5,59,37,27,756.85</t>
  </si>
  <si>
    <t>4,82,43,28,207.90</t>
  </si>
  <si>
    <t>4,30,95,47,186.70</t>
  </si>
  <si>
    <t>6,39,53,25,841.40</t>
  </si>
  <si>
    <t>4,73,36,00,727.60</t>
  </si>
  <si>
    <t>7,57,18,19,644.90</t>
  </si>
  <si>
    <t>6,76,61,44,287.45</t>
  </si>
  <si>
    <t>4,38,08,70,294.60</t>
  </si>
  <si>
    <t>4,77,01,25,367.90</t>
  </si>
  <si>
    <t>9,36,76,82,710.85</t>
  </si>
  <si>
    <t>6,76,29,26,980.00</t>
  </si>
  <si>
    <t>11,43,86,11,861.20</t>
  </si>
  <si>
    <t>5,32,90,92,149.05</t>
  </si>
  <si>
    <t>5,49,81,77,496.75</t>
  </si>
  <si>
    <t>4,87,43,75,519.40</t>
  </si>
  <si>
    <t>6,39,04,76,684.45</t>
  </si>
  <si>
    <t>11,54,28,51,207.85</t>
  </si>
  <si>
    <t>10,14,26,72,607.35</t>
  </si>
  <si>
    <t>10,28,14,58,412.55</t>
  </si>
  <si>
    <t>6,92,08,43,177.90</t>
  </si>
  <si>
    <t>5,91,85,16,554.85</t>
  </si>
  <si>
    <t>6,52,27,17,206.05</t>
  </si>
  <si>
    <t>3,67,33,72,459.55</t>
  </si>
  <si>
    <t>4,05,07,87,705.90</t>
  </si>
  <si>
    <t>4,96,83,84,709.85</t>
  </si>
  <si>
    <t>3,70,10,16,169.55</t>
  </si>
  <si>
    <t>3,75,34,18,355.60</t>
  </si>
  <si>
    <t>4,17,19,55,283.90</t>
  </si>
  <si>
    <t>4,14,50,79,977.55</t>
  </si>
  <si>
    <t>3,46,77,84,413.05</t>
  </si>
  <si>
    <t>3,28,59,19,912.45</t>
  </si>
  <si>
    <t>3,73,66,49,675.55</t>
  </si>
  <si>
    <t>3,08,83,65,889.65</t>
  </si>
  <si>
    <t>3,89,57,23,116.05</t>
  </si>
  <si>
    <t>3,81,04,89,028.10</t>
  </si>
  <si>
    <t>3,10,55,17,885.00</t>
  </si>
  <si>
    <t>75,78,57,437.65</t>
  </si>
  <si>
    <t>3,77,15,78,858.15</t>
  </si>
  <si>
    <t>7,72,23,38,849.35</t>
  </si>
  <si>
    <t>5,19,83,45,634.55</t>
  </si>
  <si>
    <t>3,91,94,94,016.60</t>
  </si>
  <si>
    <t>6,92,09,26,318.50</t>
  </si>
  <si>
    <t>4,31,08,79,559.90</t>
  </si>
  <si>
    <t>3,97,51,05,986.05</t>
  </si>
  <si>
    <t>7,28,97,21,600.05</t>
  </si>
  <si>
    <t>7,92,52,31,204.70</t>
  </si>
  <si>
    <t>4,07,17,57,227.05</t>
  </si>
  <si>
    <t>2,93,08,87,692.25</t>
  </si>
  <si>
    <t>8,37,41,74,601.75</t>
  </si>
  <si>
    <t>6,05,27,18,955.60</t>
  </si>
  <si>
    <t>3,78,23,60,832.20</t>
  </si>
  <si>
    <t>4,32,15,18,992.70</t>
  </si>
  <si>
    <t>3,46,83,87,429.40</t>
  </si>
  <si>
    <t>3,05,70,45,391.40</t>
  </si>
  <si>
    <t>6,15,52,32,063.40</t>
  </si>
  <si>
    <t>2,90,92,18,047.90</t>
  </si>
  <si>
    <t>2,40,55,44,449.55</t>
  </si>
  <si>
    <t>2,50,00,41,736.80</t>
  </si>
  <si>
    <t>2,89,92,78,217.30</t>
  </si>
  <si>
    <t>3,51,95,07,321.20</t>
  </si>
  <si>
    <t>4,33,21,03,822.55</t>
  </si>
  <si>
    <t>6,56,37,96,708.15</t>
  </si>
  <si>
    <t>10,06,47,03,817.75</t>
  </si>
  <si>
    <t>7,86,85,61,475.35</t>
  </si>
  <si>
    <t>11,07,05,87,626.60</t>
  </si>
  <si>
    <t>5,73,12,46,025.85</t>
  </si>
  <si>
    <t>4,42,05,97,087.65</t>
  </si>
  <si>
    <t>3,62,19,76,760.80</t>
  </si>
  <si>
    <t>3,97,95,39,564.25</t>
  </si>
  <si>
    <t>4,11,08,51,619.65</t>
  </si>
  <si>
    <t>3,59,65,15,740.25</t>
  </si>
  <si>
    <t>4,34,07,15,290.60</t>
  </si>
  <si>
    <t>3,83,89,03,320.85</t>
  </si>
  <si>
    <t>3,84,81,27,933.45</t>
  </si>
  <si>
    <t>1,92,83,31,474.40</t>
  </si>
  <si>
    <t>3,84,16,78,276.75</t>
  </si>
  <si>
    <t>3,56,40,29,185.20</t>
  </si>
  <si>
    <t>4,27,22,89,160.15</t>
  </si>
  <si>
    <t>4,86,11,79,723.65</t>
  </si>
  <si>
    <t>3,54,88,56,093.40</t>
  </si>
  <si>
    <t>8,31,64,97,757.00</t>
  </si>
  <si>
    <t>5,62,09,84,092.10</t>
  </si>
  <si>
    <t>5,73,56,42,386.10</t>
  </si>
  <si>
    <t>6,36,01,99,033.40</t>
  </si>
  <si>
    <t>16,89,99,38,209.60</t>
  </si>
  <si>
    <t>8,85,90,42,586.45</t>
  </si>
  <si>
    <t>6,48,48,36,352.55</t>
  </si>
  <si>
    <t>6,80,60,57,647.80</t>
  </si>
  <si>
    <t>6,82,53,54,273.05</t>
  </si>
  <si>
    <t>4,43,86,28,753.10</t>
  </si>
  <si>
    <t>6,73,23,75,346.95</t>
  </si>
  <si>
    <t>5,87,12,10,496.25</t>
  </si>
  <si>
    <t>3,98,67,28,182.75</t>
  </si>
  <si>
    <t>8,28,73,20,121.45</t>
  </si>
  <si>
    <t>5,31,44,17,958.05</t>
  </si>
  <si>
    <t>3,31,77,31,473.65</t>
  </si>
  <si>
    <t>7,90,44,67,813.20</t>
  </si>
  <si>
    <t>6,60,93,06,267.85</t>
  </si>
  <si>
    <t>4,65,76,78,101.50</t>
  </si>
  <si>
    <t>3,50,64,07,861.10</t>
  </si>
  <si>
    <t>3,35,30,43,685.55</t>
  </si>
  <si>
    <t>5,62,48,60,373.10</t>
  </si>
  <si>
    <t>7,11,37,14,095.55</t>
  </si>
  <si>
    <t>5,51,53,00,590.95</t>
  </si>
  <si>
    <t>5,25,55,11,455.05</t>
  </si>
  <si>
    <t>8,90,82,55,658.10</t>
  </si>
  <si>
    <t>4,64,06,08,722.05</t>
  </si>
  <si>
    <t>5,59,87,05,778.30</t>
  </si>
  <si>
    <t>5,83,86,95,548.50</t>
  </si>
  <si>
    <t>12,48,55,38,285.30</t>
  </si>
  <si>
    <t>7,41,56,60,810.80</t>
  </si>
  <si>
    <t>7,19,01,26,333.05</t>
  </si>
  <si>
    <t>6,63,33,01,056.70</t>
  </si>
  <si>
    <t>6,13,69,99,513.30</t>
  </si>
  <si>
    <t>3,39,91,53,115.15</t>
  </si>
  <si>
    <t>3,90,33,13,900.75</t>
  </si>
  <si>
    <t>3,44,79,51,206.65</t>
  </si>
  <si>
    <t>3,83,92,75,198.65</t>
  </si>
  <si>
    <t>2,23,16,99,003.55</t>
  </si>
  <si>
    <t>3,38,74,74,094.25</t>
  </si>
  <si>
    <t>2,72,81,86,737.25</t>
  </si>
  <si>
    <t>3,46,44,72,213.65</t>
  </si>
  <si>
    <t>3,79,20,36,662.95</t>
  </si>
  <si>
    <t>5,99,65,71,618.55</t>
  </si>
  <si>
    <t>8,01,22,43,048.10</t>
  </si>
  <si>
    <t>8,04,18,59,455.85</t>
  </si>
  <si>
    <t>5,81,18,26,485.25</t>
  </si>
  <si>
    <t>12,41,09,56,853.75</t>
  </si>
  <si>
    <t>11,33,19,46,650.00</t>
  </si>
  <si>
    <t>4,66,18,90,631.85</t>
  </si>
  <si>
    <t>5,63,39,85,537.85</t>
  </si>
  <si>
    <t>5,13,89,44,228.45</t>
  </si>
  <si>
    <t>3,72,00,63,116.85</t>
  </si>
  <si>
    <t>5,21,71,99,866.90</t>
  </si>
  <si>
    <t>4,22,53,15,557.85</t>
  </si>
  <si>
    <t>8,50,01,65,789.10</t>
  </si>
  <si>
    <t>5,20,24,72,538.40</t>
  </si>
  <si>
    <t>4,35,26,03,949.85</t>
  </si>
  <si>
    <t>2,76,80,91,153.40</t>
  </si>
  <si>
    <t>2,72,40,80,059.55</t>
  </si>
  <si>
    <t>2,19,71,43,347.90</t>
  </si>
  <si>
    <t>4,02,23,77,160.10</t>
  </si>
  <si>
    <t>2,54,05,28,569.55</t>
  </si>
  <si>
    <t>1,92,02,12,067.45</t>
  </si>
  <si>
    <t>3,81,70,72,842.05</t>
  </si>
  <si>
    <t>3,62,73,14,028.05</t>
  </si>
  <si>
    <t xml:space="preserve">average return </t>
  </si>
  <si>
    <t>2,27,80,58,629.40</t>
  </si>
  <si>
    <t>2,62,70,43,258.30</t>
  </si>
  <si>
    <t>2,20,18,00,059.70</t>
  </si>
  <si>
    <t>2,10,06,42,987.95</t>
  </si>
  <si>
    <t>5,23,61,10,495.10</t>
  </si>
  <si>
    <t>2,94,85,17,983.10</t>
  </si>
  <si>
    <t>3,72,88,37,192.45</t>
  </si>
  <si>
    <t>2,64,28,35,449.50</t>
  </si>
  <si>
    <t>2,73,44,57,761.10</t>
  </si>
  <si>
    <t>6,77,17,63,621.70</t>
  </si>
  <si>
    <t>1,98,08,44,661.65</t>
  </si>
  <si>
    <t>3,99,18,43,098.75</t>
  </si>
  <si>
    <t>2,49,33,11,630.90</t>
  </si>
  <si>
    <t>2,50,05,46,363.50</t>
  </si>
  <si>
    <t>2,51,48,95,123.15</t>
  </si>
  <si>
    <t>2,39,93,60,923.30</t>
  </si>
  <si>
    <t>3,24,18,48,071.05</t>
  </si>
  <si>
    <t>5,80,39,26,375.60</t>
  </si>
  <si>
    <t>5,62,50,37,044.30</t>
  </si>
  <si>
    <t>4,29,23,97,887.10</t>
  </si>
  <si>
    <t>3,60,06,77,932.40</t>
  </si>
  <si>
    <t>2,52,94,84,680.95</t>
  </si>
  <si>
    <t>3,08,59,64,389.15</t>
  </si>
  <si>
    <t>2,09,49,12,629.60</t>
  </si>
  <si>
    <t>2,15,61,37,340.30</t>
  </si>
  <si>
    <t>3,93,91,90,769.55</t>
  </si>
  <si>
    <t>2,37,35,07,495.90</t>
  </si>
  <si>
    <t>2,00,03,32,266.55</t>
  </si>
  <si>
    <t>3,07,04,86,552.55</t>
  </si>
  <si>
    <t>2,56,42,75,088.30</t>
  </si>
  <si>
    <t>3,12,09,08,345.85</t>
  </si>
  <si>
    <t>2,26,43,31,112.70</t>
  </si>
  <si>
    <t>2,24,93,49,513.10</t>
  </si>
  <si>
    <t>2,99,63,44,304.75</t>
  </si>
  <si>
    <t>2,70,90,50,705.20</t>
  </si>
  <si>
    <t>3,00,22,17,896.90</t>
  </si>
  <si>
    <t>4,43,15,34,295.90</t>
  </si>
  <si>
    <t>3,60,09,17,274.85</t>
  </si>
  <si>
    <t>4,37,82,51,037.75</t>
  </si>
  <si>
    <t>2,25,15,51,758.05</t>
  </si>
  <si>
    <t>5,01,77,25,667.70</t>
  </si>
  <si>
    <t>4,31,43,34,583.10</t>
  </si>
  <si>
    <t>2,91,44,20,221.25</t>
  </si>
  <si>
    <t>4,98,78,84,439.90</t>
  </si>
  <si>
    <t>5,18,57,82,963.20</t>
  </si>
  <si>
    <t>3,98,21,74,835.80</t>
  </si>
  <si>
    <t>2,57,70,57,322.15</t>
  </si>
  <si>
    <t>3,32,76,32,939.35</t>
  </si>
  <si>
    <t>7,55,10,41,425.20</t>
  </si>
  <si>
    <t>4,48,52,56,302.80</t>
  </si>
  <si>
    <t>3,62,31,57,859.10</t>
  </si>
  <si>
    <t>3,82,20,38,084.40</t>
  </si>
  <si>
    <t>3,47,84,40,270.40</t>
  </si>
  <si>
    <t>4,05,01,86,870.45</t>
  </si>
  <si>
    <t>3,87,26,88,551.20</t>
  </si>
  <si>
    <t>2,44,02,21,682.95</t>
  </si>
  <si>
    <t>2,76,37,34,572.75</t>
  </si>
  <si>
    <t>2,67,50,86,307.85</t>
  </si>
  <si>
    <t>2,66,53,15,375.20</t>
  </si>
  <si>
    <t>2,98,53,82,486.20</t>
  </si>
  <si>
    <t>3,51,23,45,035.75</t>
  </si>
  <si>
    <t>2,82,54,46,861.10</t>
  </si>
  <si>
    <t>3,14,93,05,413.45</t>
  </si>
  <si>
    <t>3,84,90,61,350.15</t>
  </si>
  <si>
    <t>3,36,71,02,319.95</t>
  </si>
  <si>
    <t>6,94,38,15,581.60</t>
  </si>
  <si>
    <t>4,38,61,30,159.45</t>
  </si>
  <si>
    <t>3,76,10,70,520.60</t>
  </si>
  <si>
    <t>5,19,00,13,535.60</t>
  </si>
  <si>
    <t>4,01,35,34,242.35</t>
  </si>
  <si>
    <t>5,81,23,13,828.95</t>
  </si>
  <si>
    <t>2,74,38,57,232.85</t>
  </si>
  <si>
    <t>2,00,96,94,774.10</t>
  </si>
  <si>
    <t>2,60,67,03,327.15</t>
  </si>
  <si>
    <t>3,67,98,25,459.10</t>
  </si>
  <si>
    <t>4,39,72,47,627.25</t>
  </si>
  <si>
    <t>10,41,21,64,866.45</t>
  </si>
  <si>
    <t>3,56,03,54,181.25</t>
  </si>
  <si>
    <t>4,77,04,85,839.25</t>
  </si>
  <si>
    <t>4,07,73,60,851.60</t>
  </si>
  <si>
    <t>6,42,90,27,091.55</t>
  </si>
  <si>
    <t>3,43,73,63,292.15</t>
  </si>
  <si>
    <t>6,58,78,87,454.35</t>
  </si>
  <si>
    <t>4,09,38,84,505.55</t>
  </si>
  <si>
    <t>2,65,25,51,989.70</t>
  </si>
  <si>
    <t>2,45,90,82,671.95</t>
  </si>
  <si>
    <t>2,52,13,77,215.10</t>
  </si>
  <si>
    <t>4,04,84,50,641.55</t>
  </si>
  <si>
    <t>2,93,06,27,924.30</t>
  </si>
  <si>
    <t>3,17,17,61,199.15</t>
  </si>
  <si>
    <t>3,91,28,29,472.45</t>
  </si>
  <si>
    <t>3,63,20,61,298.05</t>
  </si>
  <si>
    <t>3,29,54,20,065.10</t>
  </si>
  <si>
    <t>3,51,05,16,688.50</t>
  </si>
  <si>
    <t>2,63,96,28,824.70</t>
  </si>
  <si>
    <t>2,03,27,61,447.10</t>
  </si>
  <si>
    <t>5,20,08,86,017.65</t>
  </si>
  <si>
    <t>3,22,00,87,938.55</t>
  </si>
  <si>
    <t>2,78,11,76,955.20</t>
  </si>
  <si>
    <t>2,26,16,79,617.10</t>
  </si>
  <si>
    <t>4,29,23,28,896.10</t>
  </si>
  <si>
    <t>6,27,99,89,423.50</t>
  </si>
  <si>
    <t>7,44,34,73,788.50</t>
  </si>
  <si>
    <t>9,71,40,89,379.55</t>
  </si>
  <si>
    <t>9,02,42,25,220.75</t>
  </si>
  <si>
    <t>4,76,78,57,575.05</t>
  </si>
  <si>
    <t>4,67,14,65,545.35</t>
  </si>
  <si>
    <t>3,93,47,81,899.05</t>
  </si>
  <si>
    <t>4,46,90,52,986.90</t>
  </si>
  <si>
    <t>4,36,28,62,449.95</t>
  </si>
  <si>
    <t>4,95,03,14,633.25</t>
  </si>
  <si>
    <t>3,02,24,84,084.00</t>
  </si>
  <si>
    <t>7,78,03,13,510.10</t>
  </si>
  <si>
    <t>11,18,37,54,761.50</t>
  </si>
  <si>
    <t>8,22,79,68,331.45</t>
  </si>
  <si>
    <t>5,65,19,83,902.35</t>
  </si>
  <si>
    <t>3,82,32,96,128.15</t>
  </si>
  <si>
    <t>4,32,85,63,173.75</t>
  </si>
  <si>
    <t>2,98,70,46,458.00</t>
  </si>
  <si>
    <t>6,33,72,43,511.85</t>
  </si>
  <si>
    <t>4,25,24,37,333.00</t>
  </si>
  <si>
    <t>3,82,82,88,872.45</t>
  </si>
  <si>
    <t>3,65,67,17,531.85</t>
  </si>
  <si>
    <t>2,37,91,07,875.80</t>
  </si>
  <si>
    <t>4,17,52,49,159.90</t>
  </si>
  <si>
    <t>3,39,13,65,474.55</t>
  </si>
  <si>
    <t>2,75,97,25,379.50</t>
  </si>
  <si>
    <t>2,65,82,19,956.95</t>
  </si>
  <si>
    <t>3,58,68,19,958.85</t>
  </si>
  <si>
    <t>3,06,86,16,682.35</t>
  </si>
  <si>
    <t>2,44,13,91,694.90</t>
  </si>
  <si>
    <t>3,36,20,90,989.25</t>
  </si>
  <si>
    <t>3,01,95,47,026.80</t>
  </si>
  <si>
    <t>3,10,05,88,399.80</t>
  </si>
  <si>
    <t>2,66,65,01,947.15</t>
  </si>
  <si>
    <t>3,88,19,44,628.55</t>
  </si>
  <si>
    <t>3,81,27,44,831.35</t>
  </si>
  <si>
    <t>3,71,37,36,345.95</t>
  </si>
  <si>
    <t>3,33,05,69,435.45</t>
  </si>
  <si>
    <t>4,34,89,29,304.25</t>
  </si>
  <si>
    <t>3,42,05,65,260.80</t>
  </si>
  <si>
    <t>2,23,85,32,926.65</t>
  </si>
  <si>
    <t>2,65,64,47,467.15</t>
  </si>
  <si>
    <t>2,91,12,36,884.90</t>
  </si>
  <si>
    <t>8,46,54,95,277.35</t>
  </si>
  <si>
    <t>3,73,75,15,379.95</t>
  </si>
  <si>
    <t>3,30,74,44,876.55</t>
  </si>
  <si>
    <t>3,08,84,35,269.90</t>
  </si>
  <si>
    <t>2,68,61,43,473.10</t>
  </si>
  <si>
    <t>2,75,05,17,129.70</t>
  </si>
  <si>
    <t>2,82,56,63,511.45</t>
  </si>
  <si>
    <t>48,17,33,972.85</t>
  </si>
  <si>
    <t>2,16,74,12,969.40</t>
  </si>
  <si>
    <t>4,73,09,75,784.75</t>
  </si>
  <si>
    <t>3,83,85,18,574.75</t>
  </si>
  <si>
    <t>2,91,85,81,820.75</t>
  </si>
  <si>
    <t>2,34,54,28,249.95</t>
  </si>
  <si>
    <t>3,73,35,34,250.25</t>
  </si>
  <si>
    <t>2,47,03,14,487.15</t>
  </si>
  <si>
    <t>3,89,67,87,469.35</t>
  </si>
  <si>
    <t>1,85,67,93,943.75</t>
  </si>
  <si>
    <t>2,32,45,66,454.85</t>
  </si>
  <si>
    <t>2,94,64,45,299.55</t>
  </si>
  <si>
    <t>5,13,99,85,066.50</t>
  </si>
  <si>
    <t>4,03,64,76,816.00</t>
  </si>
  <si>
    <t>5,40,40,51,813.10</t>
  </si>
  <si>
    <t>4,62,33,85,317.75</t>
  </si>
  <si>
    <t>5,37,95,58,472.95</t>
  </si>
  <si>
    <t>4,52,70,01,638.35</t>
  </si>
  <si>
    <t>4,45,93,53,470.85</t>
  </si>
  <si>
    <t>3,12,05,31,964.30</t>
  </si>
  <si>
    <t>4,01,71,98,896.85</t>
  </si>
  <si>
    <t>2,97,31,83,996.20</t>
  </si>
  <si>
    <t>5,73,93,57,415.20</t>
  </si>
  <si>
    <t>10,46,44,13,045.45</t>
  </si>
  <si>
    <t>5,25,88,16,795.55</t>
  </si>
  <si>
    <t>3,76,54,16,442.20</t>
  </si>
  <si>
    <t>5,24,77,06,866.60</t>
  </si>
  <si>
    <t>4,53,92,19,050.25</t>
  </si>
  <si>
    <t>4,98,48,74,945.75</t>
  </si>
  <si>
    <t>3,51,24,75,189.45</t>
  </si>
  <si>
    <t>6,60,92,21,199.10</t>
  </si>
  <si>
    <t>4,77,91,01,020.60</t>
  </si>
  <si>
    <t>6,86,49,63,120.60</t>
  </si>
  <si>
    <t>2,96,94,70,656.95</t>
  </si>
  <si>
    <t>3,86,37,03,836.75</t>
  </si>
  <si>
    <t>6,16,40,41,917.50</t>
  </si>
  <si>
    <t>5,90,26,44,745.45</t>
  </si>
  <si>
    <t>9,58,21,67,218.80</t>
  </si>
  <si>
    <t>5,28,64,69,683.20</t>
  </si>
  <si>
    <t>4,11,30,02,298.90</t>
  </si>
  <si>
    <t>3,63,90,89,609.30</t>
  </si>
  <si>
    <t>3,12,15,21,575.35</t>
  </si>
  <si>
    <t>4,45,85,50,005.35</t>
  </si>
  <si>
    <t>4,60,43,27,884.95</t>
  </si>
  <si>
    <t>7,69,81,43,042.30</t>
  </si>
  <si>
    <t>7,86,10,46,380.15</t>
  </si>
  <si>
    <t>5,90,66,40,975.60</t>
  </si>
  <si>
    <t>4,36,35,34,601.95</t>
  </si>
  <si>
    <t>2,22,57,19,129.05</t>
  </si>
  <si>
    <t>4,68,04,31,862.50</t>
  </si>
  <si>
    <t>5,24,58,53,350.90</t>
  </si>
  <si>
    <t>8,23,37,55,323.50</t>
  </si>
  <si>
    <t>4,00,56,83,022.65</t>
  </si>
  <si>
    <t>4,86,19,61,220.20</t>
  </si>
  <si>
    <t>4,90,09,53,896.15</t>
  </si>
  <si>
    <t>4,30,15,05,287.60</t>
  </si>
  <si>
    <t>9,53,80,94,505.80</t>
  </si>
  <si>
    <t>11,42,42,81,407.05</t>
  </si>
  <si>
    <t>7,60,80,22,638.70</t>
  </si>
  <si>
    <t>8,95,74,48,815.35</t>
  </si>
  <si>
    <t>5,62,49,77,247.20</t>
  </si>
  <si>
    <t>5,07,80,64,740.80</t>
  </si>
  <si>
    <t>5,07,62,68,769.20</t>
  </si>
  <si>
    <t>5,36,23,27,557.60</t>
  </si>
  <si>
    <t>4,04,58,31,003.05</t>
  </si>
  <si>
    <t>4,48,70,16,479.10</t>
  </si>
  <si>
    <t>3,18,41,04,399.85</t>
  </si>
  <si>
    <t>2,41,49,47,922.85</t>
  </si>
  <si>
    <t>3,42,15,58,010.60</t>
  </si>
  <si>
    <t>12,72,80,88,397.95</t>
  </si>
  <si>
    <t>6,77,81,28,561.45</t>
  </si>
  <si>
    <t>4,15,47,98,679.20</t>
  </si>
  <si>
    <t>3,24,28,62,425.45</t>
  </si>
  <si>
    <t>3,45,98,28,038.65</t>
  </si>
  <si>
    <t>2,94,66,18,968.40</t>
  </si>
  <si>
    <t>4,54,00,48,126.75</t>
  </si>
  <si>
    <t>18,28,82,83,973.95</t>
  </si>
  <si>
    <t>3,33,34,79,361.50</t>
  </si>
  <si>
    <t>10,34,07,52,738.50</t>
  </si>
  <si>
    <t>5,66,41,92,406.90</t>
  </si>
  <si>
    <t>7,76,11,23,617.70</t>
  </si>
  <si>
    <t>19,53,90,09,874.65</t>
  </si>
  <si>
    <t>8,35,45,83,831.05</t>
  </si>
  <si>
    <t>5,32,81,22,657.40</t>
  </si>
  <si>
    <t>10,37,94,00,488.50</t>
  </si>
  <si>
    <t>13,00,14,14,682.75</t>
  </si>
  <si>
    <t>9,70,77,07,220.45</t>
  </si>
  <si>
    <t>24,61,39,25,688.70</t>
  </si>
  <si>
    <t>15,71,61,92,714.60</t>
  </si>
  <si>
    <t>11,34,12,30,039.55</t>
  </si>
  <si>
    <t>12,64,14,13,031.40</t>
  </si>
  <si>
    <t>10,32,53,86,812.25</t>
  </si>
  <si>
    <t>8,05,29,25,286.50</t>
  </si>
  <si>
    <t>5,40,67,35,730.80</t>
  </si>
  <si>
    <t>9,71,01,20,664.75</t>
  </si>
  <si>
    <t>13,65,25,41,333.45</t>
  </si>
  <si>
    <t>11,39,43,81,243.00</t>
  </si>
  <si>
    <t>8,39,19,59,653.70</t>
  </si>
  <si>
    <t>9,97,60,16,855.60</t>
  </si>
  <si>
    <t>7,25,60,80,475.65</t>
  </si>
  <si>
    <t>7,97,94,91,102.00</t>
  </si>
  <si>
    <t>10,70,42,98,236.30</t>
  </si>
  <si>
    <t>10,69,03,58,754.00</t>
  </si>
  <si>
    <t>9,09,04,22,774.55</t>
  </si>
  <si>
    <t>10,73,14,69,727.25</t>
  </si>
  <si>
    <t>6,65,57,79,993.65</t>
  </si>
  <si>
    <t>11,02,83,07,685.70</t>
  </si>
  <si>
    <t>9,64,07,77,692.75</t>
  </si>
  <si>
    <t>6,39,42,60,034.35</t>
  </si>
  <si>
    <t>4,90,72,04,050.10</t>
  </si>
  <si>
    <t>9,87,58,69,663.50</t>
  </si>
  <si>
    <t>8,32,87,69,807.60</t>
  </si>
  <si>
    <t>10,95,95,87,744.55</t>
  </si>
  <si>
    <t>7,54,29,47,752.55</t>
  </si>
  <si>
    <t>9,13,38,38,759.10</t>
  </si>
  <si>
    <t>11,61,34,35,326.65</t>
  </si>
  <si>
    <t>10,52,04,00,677.30</t>
  </si>
  <si>
    <t>6,28,92,01,845.55</t>
  </si>
  <si>
    <t>7,18,56,54,180.00</t>
  </si>
  <si>
    <t>4,99,78,67,651.85</t>
  </si>
  <si>
    <t>4,95,81,23,948.30</t>
  </si>
  <si>
    <t>5,12,93,34,327.70</t>
  </si>
  <si>
    <t>5,91,16,80,494.35</t>
  </si>
  <si>
    <t>7,64,07,42,993.35</t>
  </si>
  <si>
    <t>4,91,77,56,615.05</t>
  </si>
  <si>
    <t>6,78,99,14,756.65</t>
  </si>
  <si>
    <t>6,55,16,40,449.55</t>
  </si>
  <si>
    <t>60,49,92,471.00</t>
  </si>
  <si>
    <t>14,65,84,80,689.45</t>
  </si>
  <si>
    <t>7,42,95,55,143.25</t>
  </si>
  <si>
    <t>8,56,04,07,772.75</t>
  </si>
  <si>
    <t>6,81,23,56,745.80</t>
  </si>
  <si>
    <t>5,35,89,26,345.45</t>
  </si>
  <si>
    <t>6,88,55,22,861.00</t>
  </si>
  <si>
    <t>6,38,32,86,199.70</t>
  </si>
  <si>
    <t>18,15,84,03,070.95</t>
  </si>
  <si>
    <t>13,91,93,26,623.35</t>
  </si>
  <si>
    <t>14,89,83,11,518.85</t>
  </si>
  <si>
    <t>20,09,89,94,147.15</t>
  </si>
  <si>
    <t>9,87,80,09,016.65</t>
  </si>
  <si>
    <t>9,98,18,49,630.15</t>
  </si>
  <si>
    <t>14,93,61,04,189.40</t>
  </si>
  <si>
    <t>13,40,10,77,404.61</t>
  </si>
  <si>
    <t>10,11,46,35,970.89</t>
  </si>
  <si>
    <t>6,09,30,95,872.19</t>
  </si>
  <si>
    <t>6,68,21,15,954.32</t>
  </si>
  <si>
    <t>5,20,59,31,798.41</t>
  </si>
  <si>
    <t>6,37,98,81,671.57</t>
  </si>
  <si>
    <t>4,96,31,57,445.21</t>
  </si>
  <si>
    <t>7,06,48,44,872.79</t>
  </si>
  <si>
    <t>11,77,36,31,523.51</t>
  </si>
  <si>
    <t>8,43,70,45,247.90</t>
  </si>
  <si>
    <t>5,40,41,51,626.85</t>
  </si>
  <si>
    <t>7,60,71,81,995.48</t>
  </si>
  <si>
    <t>8,63,02,91,052.14</t>
  </si>
  <si>
    <t>6,57,72,42,858.11</t>
  </si>
  <si>
    <t>4,85,58,62,130.02</t>
  </si>
  <si>
    <t>5,82,25,81,444.09</t>
  </si>
  <si>
    <t>5,10,70,40,274.06</t>
  </si>
  <si>
    <t>5,21,78,39,029.17</t>
  </si>
  <si>
    <t>6,65,83,21,110.79</t>
  </si>
  <si>
    <t>5,45,70,79,671.28</t>
  </si>
  <si>
    <t>4,32,99,05,477.88</t>
  </si>
  <si>
    <t>7,00,78,41,961.34</t>
  </si>
  <si>
    <t>5,76,17,12,816.45</t>
  </si>
  <si>
    <t>5,62,87,97,434.72</t>
  </si>
  <si>
    <t>5,45,05,97,682.05</t>
  </si>
  <si>
    <t>4,45,71,05,771.25</t>
  </si>
  <si>
    <t>6,05,58,94,401.51</t>
  </si>
  <si>
    <t>12,46,73,82,132.43</t>
  </si>
  <si>
    <t>6,43,97,80,658.54</t>
  </si>
  <si>
    <t>5,90,06,78,615.09</t>
  </si>
  <si>
    <t>4,51,72,54,761.79</t>
  </si>
  <si>
    <t>7,11,21,29,022.84</t>
  </si>
  <si>
    <t>7,38,86,88,304.32</t>
  </si>
  <si>
    <t>5,18,63,46,203.02</t>
  </si>
  <si>
    <t>6,99,89,37,220.51</t>
  </si>
  <si>
    <t>8,69,54,59,962.33</t>
  </si>
  <si>
    <t>19,41,26,42,515.80</t>
  </si>
  <si>
    <t>11,46,46,27,804.85</t>
  </si>
  <si>
    <t>15,55,49,00,022.60</t>
  </si>
  <si>
    <t>8,10,71,88,228.99</t>
  </si>
  <si>
    <t>4,90,21,70,111.94</t>
  </si>
  <si>
    <t>7,84,73,12,494.99</t>
  </si>
  <si>
    <t>3,54,14,92,860.00</t>
  </si>
  <si>
    <t>4,64,73,83,059.79</t>
  </si>
  <si>
    <t>4,42,18,44,562.26</t>
  </si>
  <si>
    <t>14,24,38,51,337.90</t>
  </si>
  <si>
    <t>8,00,02,49,513.64</t>
  </si>
  <si>
    <t>9,57,53,47,355.95</t>
  </si>
  <si>
    <t>5,76,40,44,551.48</t>
  </si>
  <si>
    <t>7,58,33,11,060.60</t>
  </si>
  <si>
    <t>5,64,27,70,858.27</t>
  </si>
  <si>
    <t>4,84,11,54,185.73</t>
  </si>
  <si>
    <t>5,03,81,36,287.29</t>
  </si>
  <si>
    <t>3,80,78,46,590.08</t>
  </si>
  <si>
    <t>3,87,69,60,988.41</t>
  </si>
  <si>
    <t>6,78,54,77,200.23</t>
  </si>
  <si>
    <t>8,46,52,02,363.90</t>
  </si>
  <si>
    <t>2,93,62,09,047.13</t>
  </si>
  <si>
    <t>3,01,48,27,041.84</t>
  </si>
  <si>
    <t>5,97,67,22,246.84</t>
  </si>
  <si>
    <t>4,30,60,27,852.48</t>
  </si>
  <si>
    <t>4,64,07,28,389.77</t>
  </si>
  <si>
    <t>4,87,36,87,014.29</t>
  </si>
  <si>
    <t>6,23,81,34,738.95</t>
  </si>
  <si>
    <t>3,66,78,99,119.21</t>
  </si>
  <si>
    <t>11,02,95,00,349.23</t>
  </si>
  <si>
    <t>8,45,29,36,106.91</t>
  </si>
  <si>
    <t>5,03,05,30,504.26</t>
  </si>
  <si>
    <t>2,79,72,51,834.59</t>
  </si>
  <si>
    <t>3,75,48,98,081.08</t>
  </si>
  <si>
    <t>5,52,18,18,580.40</t>
  </si>
  <si>
    <t>8,19,61,75,102.12</t>
  </si>
  <si>
    <t>5,11,11,94,267.46</t>
  </si>
  <si>
    <t>21,86,40,32,282.12</t>
  </si>
  <si>
    <t>9,35,62,42,523.27</t>
  </si>
  <si>
    <t>14,54,21,31,498.26</t>
  </si>
  <si>
    <t>12,16,87,93,625.37</t>
  </si>
  <si>
    <t>15,61,46,00,724.62</t>
  </si>
  <si>
    <t>8,48,38,29,166.82</t>
  </si>
  <si>
    <t>12,75,49,92,195.57</t>
  </si>
  <si>
    <t>8,99,64,65,098.83</t>
  </si>
  <si>
    <t>8,04,43,65,273.28</t>
  </si>
  <si>
    <t>11,92,30,16,296.84</t>
  </si>
  <si>
    <t>6,85,69,06,324.55</t>
  </si>
  <si>
    <t>7,43,30,63,758.17</t>
  </si>
  <si>
    <t>8,60,41,75,534.70</t>
  </si>
  <si>
    <t>5,67,98,04,268.10</t>
  </si>
  <si>
    <t>6,08,38,46,366.99</t>
  </si>
  <si>
    <t>4,43,03,22,683.94</t>
  </si>
  <si>
    <t>4,36,37,40,733.71</t>
  </si>
  <si>
    <t>5,36,22,10,491.59</t>
  </si>
  <si>
    <t>4,01,00,16,405.81</t>
  </si>
  <si>
    <t>5,93,54,26,865.61</t>
  </si>
  <si>
    <t>6,30,95,47,439.99</t>
  </si>
  <si>
    <t>3,29,34,53,859.18</t>
  </si>
  <si>
    <t>5,79,62,63,940.69</t>
  </si>
  <si>
    <t>4,20,44,85,399.50</t>
  </si>
  <si>
    <t>4,78,20,62,026.21</t>
  </si>
  <si>
    <t>3,19,69,26,857.03</t>
  </si>
  <si>
    <t>3,92,76,61,607.97</t>
  </si>
  <si>
    <t>76,52,48,053.69</t>
  </si>
  <si>
    <t>3,75,54,35,352.87</t>
  </si>
  <si>
    <t>6,44,51,42,415.20</t>
  </si>
  <si>
    <t>7,42,39,63,642.10</t>
  </si>
  <si>
    <t>13,54,54,12,839.66</t>
  </si>
  <si>
    <t>9,24,74,04,903.34</t>
  </si>
  <si>
    <t>6,91,45,06,463.50</t>
  </si>
  <si>
    <t>4,19,97,99,655.07</t>
  </si>
  <si>
    <t>8,06,67,78,657.17</t>
  </si>
  <si>
    <t>5,04,29,69,174.22</t>
  </si>
  <si>
    <t>5,66,52,74,322.36</t>
  </si>
  <si>
    <t>5,29,87,00,773.90</t>
  </si>
  <si>
    <t>8,16,28,40,711.77</t>
  </si>
  <si>
    <t>6,18,80,14,583.09</t>
  </si>
  <si>
    <t>7,77,88,49,397.59</t>
  </si>
  <si>
    <t>3,70,96,54,966.85</t>
  </si>
  <si>
    <t>3,58,34,50,837.82</t>
  </si>
  <si>
    <t>4,46,05,28,750.48</t>
  </si>
  <si>
    <t>4,29,70,99,540.79</t>
  </si>
  <si>
    <t>3,46,36,51,919.14</t>
  </si>
  <si>
    <t>5,21,80,28,534.67</t>
  </si>
  <si>
    <t>5,60,44,63,660.25</t>
  </si>
  <si>
    <t>5,32,11,83,497.69</t>
  </si>
  <si>
    <t>4,51,55,76,192.18</t>
  </si>
  <si>
    <t>5,80,90,31,759.51</t>
  </si>
  <si>
    <t>5,47,54,08,272.35</t>
  </si>
  <si>
    <t>3,10,03,14,497.16</t>
  </si>
  <si>
    <t>3,87,00,04,937.04</t>
  </si>
  <si>
    <t>5,85,37,97,485.13</t>
  </si>
  <si>
    <t>3,35,06,62,277.23</t>
  </si>
  <si>
    <t>3,98,24,33,031.75</t>
  </si>
  <si>
    <t>2,87,13,62,747.44</t>
  </si>
  <si>
    <t>3,85,84,97,950.48</t>
  </si>
  <si>
    <t>6,61,42,64,006.51</t>
  </si>
  <si>
    <t>3,91,70,66,565.54</t>
  </si>
  <si>
    <t>3,63,11,84,790.95</t>
  </si>
  <si>
    <t>3,35,72,75,738.90</t>
  </si>
  <si>
    <t>2,73,77,25,744.49</t>
  </si>
  <si>
    <t>4,48,49,71,555.03</t>
  </si>
  <si>
    <t>2,76,36,36,940.24</t>
  </si>
  <si>
    <t>2,49,02,38,878.67</t>
  </si>
  <si>
    <t>3,21,44,29,963.27</t>
  </si>
  <si>
    <t>3,23,86,24,775.28</t>
  </si>
  <si>
    <t>5,95,40,73,554.56</t>
  </si>
  <si>
    <t>3,22,49,73,077.16</t>
  </si>
  <si>
    <t>4,18,76,51,105.64</t>
  </si>
  <si>
    <t>4,16,42,81,728.67</t>
  </si>
  <si>
    <t>4,46,23,16,144.21</t>
  </si>
  <si>
    <t>4,84,87,85,035.50</t>
  </si>
  <si>
    <t>4,65,14,65,899.79</t>
  </si>
  <si>
    <t>2,38,41,73,457.53</t>
  </si>
  <si>
    <t>2,82,68,49,469.18</t>
  </si>
  <si>
    <t>3,55,37,81,052.65</t>
  </si>
  <si>
    <t>2,68,64,64,953.32</t>
  </si>
  <si>
    <t>4,21,33,67,366.39</t>
  </si>
  <si>
    <t>3,53,30,07,239.30</t>
  </si>
  <si>
    <t>2,69,40,72,514.27</t>
  </si>
  <si>
    <t>4,85,96,03,275.51</t>
  </si>
  <si>
    <t>3,15,36,38,220.92</t>
  </si>
  <si>
    <t>5,18,48,26,348.23</t>
  </si>
  <si>
    <t>2,17,58,73,479.85</t>
  </si>
  <si>
    <t>3,31,60,53,251.18</t>
  </si>
  <si>
    <t>3,56,63,38,275.87</t>
  </si>
  <si>
    <t>2,82,17,02,724.62</t>
  </si>
  <si>
    <t>3,61,01,21,727.84</t>
  </si>
  <si>
    <t>3,33,13,80,045.26</t>
  </si>
  <si>
    <t>2,28,28,13,794.56</t>
  </si>
  <si>
    <t>2,97,39,56,819.77</t>
  </si>
  <si>
    <t>7,24,16,65,875.06</t>
  </si>
  <si>
    <t>3,50,33,87,611.66</t>
  </si>
  <si>
    <t>3,11,30,46,800.70</t>
  </si>
  <si>
    <t>4,96,51,12,642.36</t>
  </si>
  <si>
    <t>7,08,07,56,827.59</t>
  </si>
  <si>
    <t>5,61,95,70,218.29</t>
  </si>
  <si>
    <t>2,82,41,89,592.79</t>
  </si>
  <si>
    <t>3,19,37,39,383.77</t>
  </si>
  <si>
    <t>2,50,63,99,510.52</t>
  </si>
  <si>
    <t>3,31,25,52,015.27</t>
  </si>
  <si>
    <t>5,88,62,50,057.98</t>
  </si>
  <si>
    <t>3,49,82,35,797.80</t>
  </si>
  <si>
    <t>3,24,30,71,564.86</t>
  </si>
  <si>
    <t>4,21,96,34,170.42</t>
  </si>
  <si>
    <t>6,20,39,16,419.27</t>
  </si>
  <si>
    <t>4,26,88,41,100.55</t>
  </si>
  <si>
    <t>3,98,38,76,585.13</t>
  </si>
  <si>
    <t>8,94,68,72,004.34</t>
  </si>
  <si>
    <t>11,84,98,00,824.69</t>
  </si>
  <si>
    <t>12,40,15,72,015.30</t>
  </si>
  <si>
    <t>8,29,02,75,937.58</t>
  </si>
  <si>
    <t>5,40,77,20,556.67</t>
  </si>
  <si>
    <t>3,95,00,05,335.92</t>
  </si>
  <si>
    <t>7,31,40,85,180.50</t>
  </si>
  <si>
    <t>5,44,44,35,545.07</t>
  </si>
  <si>
    <t>5,85,91,64,416.95</t>
  </si>
  <si>
    <t>10,46,08,45,185.47</t>
  </si>
  <si>
    <t>6,32,80,46,698.67</t>
  </si>
  <si>
    <t>7,76,92,39,117.59</t>
  </si>
  <si>
    <t>4,89,59,84,860.52</t>
  </si>
  <si>
    <t>4,47,57,45,077.22</t>
  </si>
  <si>
    <t>3,62,67,32,598.78</t>
  </si>
  <si>
    <t>4,02,80,14,189.92</t>
  </si>
  <si>
    <t>3,79,89,35,508.26</t>
  </si>
  <si>
    <t>4,47,07,69,084.97</t>
  </si>
  <si>
    <t>3,85,52,06,531.03</t>
  </si>
  <si>
    <t>2,33,47,71,453.89</t>
  </si>
  <si>
    <t>11,58,95,98,417.40</t>
  </si>
  <si>
    <t>15,54,44,31,644.89</t>
  </si>
  <si>
    <t>9,04,32,62,229.44</t>
  </si>
  <si>
    <t>9,32,62,18,503.85</t>
  </si>
  <si>
    <t>9,80,30,73,537.58</t>
  </si>
  <si>
    <t>5,29,84,86,163.86</t>
  </si>
  <si>
    <t>5,79,91,67,230.47</t>
  </si>
  <si>
    <t>8,47,01,43,514.15</t>
  </si>
  <si>
    <t>3,68,62,12,972.38</t>
  </si>
  <si>
    <t>8,16,51,64,937.32</t>
  </si>
  <si>
    <t>5,28,34,98,279.14</t>
  </si>
  <si>
    <t>3,26,00,00,657.11</t>
  </si>
  <si>
    <t>5,28,56,18,336.86</t>
  </si>
  <si>
    <t>3,80,96,14,109.69</t>
  </si>
  <si>
    <t>3,65,59,94,014.18</t>
  </si>
  <si>
    <t>4,10,72,41,617.98</t>
  </si>
  <si>
    <t>4,93,23,73,274.49</t>
  </si>
  <si>
    <t>2,44,56,79,467.61</t>
  </si>
  <si>
    <t>6,14,23,62,668.10</t>
  </si>
  <si>
    <t>5,03,17,39,767.38</t>
  </si>
  <si>
    <t>4,28,22,62,715.18</t>
  </si>
  <si>
    <t>3,11,10,85,069.45</t>
  </si>
  <si>
    <t>7,05,33,42,672.26</t>
  </si>
  <si>
    <t>8,17,64,31,830.42</t>
  </si>
  <si>
    <t>9,33,00,07,517.78</t>
  </si>
  <si>
    <t>8,94,72,11,738.95</t>
  </si>
  <si>
    <t>3,60,49,83,002.25</t>
  </si>
  <si>
    <t>3,43,21,07,324.54</t>
  </si>
  <si>
    <t>9,28,25,78,000.22</t>
  </si>
  <si>
    <t>5,79,36,34,967.30</t>
  </si>
  <si>
    <t>9,83,76,42,663.43</t>
  </si>
  <si>
    <t>4,79,46,11,681.16</t>
  </si>
  <si>
    <t>4,17,85,34,087.15</t>
  </si>
  <si>
    <t>3,77,55,35,758.64</t>
  </si>
  <si>
    <t>2,10,40,98,511.17</t>
  </si>
  <si>
    <t>4,30,87,11,010.73</t>
  </si>
  <si>
    <t>5,28,07,69,846.88</t>
  </si>
  <si>
    <t>4,98,30,82,554.34</t>
  </si>
  <si>
    <t>4,49,71,79,711.39</t>
  </si>
  <si>
    <t>2,63,25,49,264.24</t>
  </si>
  <si>
    <t>3,74,43,25,538.10</t>
  </si>
  <si>
    <t>4,03,52,14,926.14</t>
  </si>
  <si>
    <t>2,41,24,61,355.70</t>
  </si>
  <si>
    <t>3,57,09,61,629.98</t>
  </si>
  <si>
    <t>2,75,59,81,215.78</t>
  </si>
  <si>
    <t>4,27,33,15,865.00</t>
  </si>
  <si>
    <t>3,68,32,71,732.64</t>
  </si>
  <si>
    <t>2,48,03,18,213.73</t>
  </si>
  <si>
    <t>2,56,82,77,833.38</t>
  </si>
  <si>
    <t>2,25,87,49,524.45</t>
  </si>
  <si>
    <t>3,04,53,43,206.89</t>
  </si>
  <si>
    <t>4,55,19,25,313.29</t>
  </si>
  <si>
    <t>2,59,61,69,014.17</t>
  </si>
  <si>
    <t>3,94,49,49,688.49</t>
  </si>
  <si>
    <t>2,84,99,80,442.59</t>
  </si>
  <si>
    <t>6,45,91,90,605.70</t>
  </si>
  <si>
    <t>5,18,80,45,925.09</t>
  </si>
  <si>
    <t>2,54,45,27,360.88</t>
  </si>
  <si>
    <t>2,83,91,98,867.00</t>
  </si>
  <si>
    <t>10,39,45,30,770.33</t>
  </si>
  <si>
    <t>10,11,36,75,423.24</t>
  </si>
  <si>
    <t>3,74,75,36,836.05</t>
  </si>
  <si>
    <t>2,83,82,87,843.46</t>
  </si>
  <si>
    <t>1,84,68,07,797.96</t>
  </si>
  <si>
    <t>4,74,90,12,087.28</t>
  </si>
  <si>
    <t>2,81,84,00,050.43</t>
  </si>
  <si>
    <t>3,31,27,58,884.80</t>
  </si>
  <si>
    <t>2,42,79,12,916.42</t>
  </si>
  <si>
    <t>2,86,29,95,009.50</t>
  </si>
  <si>
    <t>2,29,79,16,076.70</t>
  </si>
  <si>
    <t>3,45,68,71,121.62</t>
  </si>
  <si>
    <t>4,97,08,71,355.15</t>
  </si>
  <si>
    <t>4,87,91,17,483.09</t>
  </si>
  <si>
    <t>2,22,72,99,724.19</t>
  </si>
  <si>
    <t>2,32,90,66,721.33</t>
  </si>
  <si>
    <t>2,35,34,90,655.47</t>
  </si>
  <si>
    <t>2,01,31,77,001.53</t>
  </si>
  <si>
    <t>3,09,72,28,521.77</t>
  </si>
  <si>
    <t>2,45,39,35,250.07</t>
  </si>
  <si>
    <t>2,60,12,44,577.73</t>
  </si>
  <si>
    <t>4,19,81,75,446.12</t>
  </si>
  <si>
    <t>3,69,05,81,798.45</t>
  </si>
  <si>
    <t>4,75,19,62,110.35</t>
  </si>
  <si>
    <t>2,30,17,32,501.24</t>
  </si>
  <si>
    <t>2,13,12,11,060.17</t>
  </si>
  <si>
    <t>3,65,74,21,986.21</t>
  </si>
  <si>
    <t>1,89,08,59,315.71</t>
  </si>
  <si>
    <t>2,26,57,29,580.40</t>
  </si>
  <si>
    <t>3,22,15,39,927.51</t>
  </si>
  <si>
    <t>2,91,19,76,062.73</t>
  </si>
  <si>
    <t>7,39,89,80,151.67</t>
  </si>
  <si>
    <t>9,60,71,64,180.05</t>
  </si>
  <si>
    <t>3,36,43,66,794.33</t>
  </si>
  <si>
    <t>4,59,54,21,094.45</t>
  </si>
  <si>
    <t>2,79,72,93,208.19</t>
  </si>
  <si>
    <t>2,56,64,38,480.54</t>
  </si>
  <si>
    <t>2,61,40,49,036.29</t>
  </si>
  <si>
    <t>3,06,15,87,758.38</t>
  </si>
  <si>
    <t>3,43,25,03,613.00</t>
  </si>
  <si>
    <t>2,62,03,18,128.23</t>
  </si>
  <si>
    <t>1,67,98,36,985.28</t>
  </si>
  <si>
    <t>3,34,82,55,578.36</t>
  </si>
  <si>
    <t>13,62,36,59,440.32</t>
  </si>
  <si>
    <t>4,40,12,13,165.94</t>
  </si>
  <si>
    <t>2,80,58,13,958.21</t>
  </si>
  <si>
    <t>6,22,10,67,174.56</t>
  </si>
  <si>
    <t>2,36,85,38,301.06</t>
  </si>
  <si>
    <t>2,22,72,31,877.32</t>
  </si>
  <si>
    <t>2,34,34,67,550.95</t>
  </si>
  <si>
    <t>2,05,62,18,064.83</t>
  </si>
  <si>
    <t>1,79,73,27,327.99</t>
  </si>
  <si>
    <t>4,56,16,76,072.33</t>
  </si>
  <si>
    <t>3,65,74,11,231.09</t>
  </si>
  <si>
    <t>2,81,31,85,969.57</t>
  </si>
  <si>
    <t>4,35,82,90,313.66</t>
  </si>
  <si>
    <t>3,59,42,80,078.95</t>
  </si>
  <si>
    <t>4,23,87,37,406.43</t>
  </si>
  <si>
    <t>3,49,78,09,846.07</t>
  </si>
  <si>
    <t>2,94,13,35,157.94</t>
  </si>
  <si>
    <t>3,40,68,73,943.17</t>
  </si>
  <si>
    <t>2,84,79,70,568.50</t>
  </si>
  <si>
    <t>4,15,02,83,055.30</t>
  </si>
  <si>
    <t>2,93,93,51,263.43</t>
  </si>
  <si>
    <t>9,55,88,14,164.10</t>
  </si>
  <si>
    <t>3,66,02,41,985.27</t>
  </si>
  <si>
    <t>3,28,83,88,049.36</t>
  </si>
  <si>
    <t>3,90,13,25,663.94</t>
  </si>
  <si>
    <t>12,07,32,53,375.17</t>
  </si>
  <si>
    <t>3,14,27,70,545.50</t>
  </si>
  <si>
    <t>3,34,15,08,151.04</t>
  </si>
  <si>
    <t>3,79,34,85,094.01</t>
  </si>
  <si>
    <t>2,59,93,42,035.68</t>
  </si>
  <si>
    <t>2,11,78,51,922.07</t>
  </si>
  <si>
    <t>3,73,40,59,297.06</t>
  </si>
  <si>
    <t>3,10,24,52,657.10</t>
  </si>
  <si>
    <t>42,70,27,255.19</t>
  </si>
  <si>
    <t>5,49,94,40,199.34</t>
  </si>
  <si>
    <t>4,41,82,05,824.99</t>
  </si>
  <si>
    <t>4,21,42,08,147.16</t>
  </si>
  <si>
    <t>10,75,32,71,781.54</t>
  </si>
  <si>
    <t>9,56,00,13,023.60</t>
  </si>
  <si>
    <t>4,45,28,35,993.47</t>
  </si>
  <si>
    <t>2,93,59,57,168.59</t>
  </si>
  <si>
    <t>3,04,53,92,729.64</t>
  </si>
  <si>
    <t>3,37,84,20,599.57</t>
  </si>
  <si>
    <t>4,20,84,79,735.84</t>
  </si>
  <si>
    <t>3,43,44,11,842.58</t>
  </si>
  <si>
    <t>3,33,49,29,236.83</t>
  </si>
  <si>
    <t>2,54,96,26,090.32</t>
  </si>
  <si>
    <t>3,41,85,08,992.03</t>
  </si>
  <si>
    <t>14,72,20,85,938.16</t>
  </si>
  <si>
    <t>6,66,99,35,058.64</t>
  </si>
  <si>
    <t>4,88,95,08,467.17</t>
  </si>
  <si>
    <t>5,88,97,58,002.57</t>
  </si>
  <si>
    <t>3,39,46,14,826.66</t>
  </si>
  <si>
    <t>2,76,15,58,163.58</t>
  </si>
  <si>
    <t>4,81,29,79,005.91</t>
  </si>
  <si>
    <t>5,18,08,90,017.52</t>
  </si>
  <si>
    <t>3,32,29,47,224.57</t>
  </si>
  <si>
    <t>2,54,64,29,211.91</t>
  </si>
  <si>
    <t>2,96,02,71,021.31</t>
  </si>
  <si>
    <t>2,01,26,26,665.65</t>
  </si>
  <si>
    <t>1,98,19,77,612.27</t>
  </si>
  <si>
    <t>2,57,65,40,329.95</t>
  </si>
  <si>
    <t>3,13,91,82,867.65</t>
  </si>
  <si>
    <t>1,90,63,90,648.70</t>
  </si>
  <si>
    <t>5,55,50,23,660.21</t>
  </si>
  <si>
    <t>2,59,83,40,828.31</t>
  </si>
  <si>
    <t>4,15,89,39,007.31</t>
  </si>
  <si>
    <t>3,65,72,31,933.78</t>
  </si>
  <si>
    <t>5,37,82,33,256.81</t>
  </si>
  <si>
    <t>7,02,09,42,884.67</t>
  </si>
  <si>
    <t>4,01,02,73,717.67</t>
  </si>
  <si>
    <t>3,91,18,60,834.36</t>
  </si>
  <si>
    <t>1,97,93,64,368.97</t>
  </si>
  <si>
    <t>2,22,33,52,193.86</t>
  </si>
  <si>
    <t>4,79,64,27,579.50</t>
  </si>
  <si>
    <t>4,03,40,06,284.29</t>
  </si>
  <si>
    <t>2,95,85,38,412.04</t>
  </si>
  <si>
    <t>2,97,48,33,228.87</t>
  </si>
  <si>
    <t>2,85,20,49,160.84</t>
  </si>
  <si>
    <t>8,29,16,44,748.20</t>
  </si>
  <si>
    <t>5,88,31,71,811.78</t>
  </si>
  <si>
    <t>9,16,63,55,732.62</t>
  </si>
  <si>
    <t>3,89,98,81,548.82</t>
  </si>
  <si>
    <t>4,20,85,96,517.14</t>
  </si>
  <si>
    <t>5,68,04,01,827.38</t>
  </si>
  <si>
    <t>5,31,74,56,496.59</t>
  </si>
  <si>
    <t>3,35,95,58,960.10</t>
  </si>
  <si>
    <t>6,97,62,61,295.31</t>
  </si>
  <si>
    <t>4,53,76,82,420.42</t>
  </si>
  <si>
    <t>4,66,66,32,319.28</t>
  </si>
  <si>
    <t>3,50,04,09,050.94</t>
  </si>
  <si>
    <t>10,51,79,26,531.12</t>
  </si>
  <si>
    <t>4,92,03,82,644.88</t>
  </si>
  <si>
    <t>3,70,97,67,886.51</t>
  </si>
  <si>
    <t>3,73,37,29,229.06</t>
  </si>
  <si>
    <t>6,42,71,32,712.03</t>
  </si>
  <si>
    <t>6,72,27,34,157.12</t>
  </si>
  <si>
    <t>5,40,83,30,190.68</t>
  </si>
  <si>
    <t>8,08,08,32,828.79</t>
  </si>
  <si>
    <t>6,45,53,67,645.07</t>
  </si>
  <si>
    <t>12,06,61,45,271.50</t>
  </si>
  <si>
    <t>10,10,57,46,545.19</t>
  </si>
  <si>
    <t>5,01,16,51,321.34</t>
  </si>
  <si>
    <t>4,74,80,95,257.57</t>
  </si>
  <si>
    <t>5,50,42,06,296.71</t>
  </si>
  <si>
    <t>2,70,69,25,099.50</t>
  </si>
  <si>
    <t>6,13,56,76,594.73</t>
  </si>
  <si>
    <t>3,61,81,59,250.36</t>
  </si>
  <si>
    <t>13,91,82,69,579.09</t>
  </si>
  <si>
    <t>17,12,31,86,655.79</t>
  </si>
  <si>
    <t>8,49,89,43,451.03</t>
  </si>
  <si>
    <t>5,03,16,15,137.14</t>
  </si>
  <si>
    <t>5,29,20,04,652.71</t>
  </si>
  <si>
    <t>3,66,21,25,249.19</t>
  </si>
  <si>
    <t>3,75,92,30,373.66</t>
  </si>
  <si>
    <t>10,07,14,42,353.13</t>
  </si>
  <si>
    <t>5,77,03,38,722.38</t>
  </si>
  <si>
    <t>5,52,96,92,606.63</t>
  </si>
  <si>
    <t>4,85,77,83,993.40</t>
  </si>
  <si>
    <t>4,88,36,16,282.46</t>
  </si>
  <si>
    <t>10,47,27,63,121.31</t>
  </si>
  <si>
    <t>5,47,41,44,029.75</t>
  </si>
  <si>
    <t>5,46,66,19,064.83</t>
  </si>
  <si>
    <t>6,43,09,86,089.24</t>
  </si>
  <si>
    <t>14,25,89,15,692.00</t>
  </si>
  <si>
    <t>8,21,59,52,931.23</t>
  </si>
  <si>
    <t>5,70,32,61,980.33</t>
  </si>
  <si>
    <t>8,16,42,70,198.25</t>
  </si>
  <si>
    <t>5,00,90,45,313.91</t>
  </si>
  <si>
    <t>6,71,07,15,267.17</t>
  </si>
  <si>
    <t>4,69,89,43,177.82</t>
  </si>
  <si>
    <t>7,92,18,46,030.46</t>
  </si>
  <si>
    <t>8,31,50,04,054.12</t>
  </si>
  <si>
    <t>8,81,23,72,587.90</t>
  </si>
  <si>
    <t>5,13,53,39,068.65</t>
  </si>
  <si>
    <t>4,63,93,61,111.66</t>
  </si>
  <si>
    <t>9,24,25,07,427.13</t>
  </si>
  <si>
    <t>8,35,09,75,100.96</t>
  </si>
  <si>
    <t>6,52,27,94,084.93</t>
  </si>
  <si>
    <t>6,79,86,26,728.64</t>
  </si>
  <si>
    <t>7,16,38,11,518.94</t>
  </si>
  <si>
    <t>8,80,33,57,572.67</t>
  </si>
  <si>
    <t>7,03,60,27,199.85</t>
  </si>
  <si>
    <t>ITC</t>
  </si>
  <si>
    <t>6,36,79,85,753.90</t>
  </si>
  <si>
    <t>6,69,83,98,266.15</t>
  </si>
  <si>
    <t>5,45,98,47,736.40</t>
  </si>
  <si>
    <t>3,25,41,47,655.05</t>
  </si>
  <si>
    <t>3,02,49,30,827.40</t>
  </si>
  <si>
    <t>3,50,10,32,037.70</t>
  </si>
  <si>
    <t>7,15,50,36,282.70</t>
  </si>
  <si>
    <t>4,20,64,22,738.90</t>
  </si>
  <si>
    <t>3,63,59,44,960.60</t>
  </si>
  <si>
    <t>2,77,22,64,539.05</t>
  </si>
  <si>
    <t>3,23,43,44,468.90</t>
  </si>
  <si>
    <t>4,37,24,13,102.00</t>
  </si>
  <si>
    <t>4,72,94,05,358.05</t>
  </si>
  <si>
    <t>4,04,39,14,265.55</t>
  </si>
  <si>
    <t>4,08,93,69,596.50</t>
  </si>
  <si>
    <t>2,35,58,86,687.85</t>
  </si>
  <si>
    <t>2,61,73,27,312.75</t>
  </si>
  <si>
    <t>2,68,96,41,761.80</t>
  </si>
  <si>
    <t>3,36,06,48,825.50</t>
  </si>
  <si>
    <t>4,14,03,50,380.40</t>
  </si>
  <si>
    <t>3,66,29,50,110.30</t>
  </si>
  <si>
    <t>2,77,95,28,419.00</t>
  </si>
  <si>
    <t>2,91,58,08,607.25</t>
  </si>
  <si>
    <t>3,99,83,67,083.70</t>
  </si>
  <si>
    <t>3,35,35,19,042.95</t>
  </si>
  <si>
    <t>2,81,45,26,951.50</t>
  </si>
  <si>
    <t>3,36,94,13,058.40</t>
  </si>
  <si>
    <t>12,97,39,64,366.10</t>
  </si>
  <si>
    <t>8,12,12,57,724.15</t>
  </si>
  <si>
    <t>6,44,19,52,057.40</t>
  </si>
  <si>
    <t>5,09,09,05,010.95</t>
  </si>
  <si>
    <t>4,33,53,23,162.85</t>
  </si>
  <si>
    <t>4,72,95,77,123.95</t>
  </si>
  <si>
    <t>6,06,16,62,881.35</t>
  </si>
  <si>
    <t>5,37,00,88,594.60</t>
  </si>
  <si>
    <t>3,71,43,58,783.55</t>
  </si>
  <si>
    <t>10,07,87,76,972.00</t>
  </si>
  <si>
    <t>5,44,51,91,301.75</t>
  </si>
  <si>
    <t>15,83,17,64,537.35</t>
  </si>
  <si>
    <t>8,39,22,15,134.65</t>
  </si>
  <si>
    <t>20,30,43,63,777.95</t>
  </si>
  <si>
    <t>9,76,89,26,892.05</t>
  </si>
  <si>
    <t>6,28,21,16,594.90</t>
  </si>
  <si>
    <t>6,64,86,39,468.30</t>
  </si>
  <si>
    <t>4,52,36,86,241.00</t>
  </si>
  <si>
    <t>5,30,94,99,584.10</t>
  </si>
  <si>
    <t>6,42,99,66,105.85</t>
  </si>
  <si>
    <t>4,46,91,57,049.50</t>
  </si>
  <si>
    <t>3,65,63,34,101.95</t>
  </si>
  <si>
    <t>3,08,28,23,858.50</t>
  </si>
  <si>
    <t>4,18,73,70,767.80</t>
  </si>
  <si>
    <t>4,42,95,04,434.50</t>
  </si>
  <si>
    <t>4,81,41,17,951.30</t>
  </si>
  <si>
    <t>3,90,15,61,738.75</t>
  </si>
  <si>
    <t>3,70,07,89,715.75</t>
  </si>
  <si>
    <t>2,57,12,43,719.90</t>
  </si>
  <si>
    <t>4,55,84,38,819.50</t>
  </si>
  <si>
    <t>2,84,19,01,319.70</t>
  </si>
  <si>
    <t>2,98,38,20,028.25</t>
  </si>
  <si>
    <t>2,71,63,46,028.85</t>
  </si>
  <si>
    <t>3,24,02,34,466.75</t>
  </si>
  <si>
    <t>2,06,91,62,649.25</t>
  </si>
  <si>
    <t>2,57,46,96,303.50</t>
  </si>
  <si>
    <t>2,08,42,90,714.45</t>
  </si>
  <si>
    <t>2,25,20,92,795.40</t>
  </si>
  <si>
    <t>3,64,51,63,284.00</t>
  </si>
  <si>
    <t>4,23,81,91,289.05</t>
  </si>
  <si>
    <t>2,38,60,51,742.95</t>
  </si>
  <si>
    <t>2,63,90,92,066.15</t>
  </si>
  <si>
    <t>2,18,50,64,113.00</t>
  </si>
  <si>
    <t>4,16,90,37,300.15</t>
  </si>
  <si>
    <t>5,94,24,50,169.65</t>
  </si>
  <si>
    <t>6,04,85,88,731.10</t>
  </si>
  <si>
    <t>3,42,64,72,698.50</t>
  </si>
  <si>
    <t>4,91,57,82,692.45</t>
  </si>
  <si>
    <t>3,79,10,27,378.90</t>
  </si>
  <si>
    <t>9,39,19,37,415.95</t>
  </si>
  <si>
    <t>10,07,97,67,847.15</t>
  </si>
  <si>
    <t>5,13,92,85,261.90</t>
  </si>
  <si>
    <t>3,07,82,75,398.35</t>
  </si>
  <si>
    <t>3,24,25,41,503.85</t>
  </si>
  <si>
    <t>3,07,21,73,034.00</t>
  </si>
  <si>
    <t>1,99,86,11,254.90</t>
  </si>
  <si>
    <t>3,86,67,16,365.05</t>
  </si>
  <si>
    <t>2,30,27,81,447.35</t>
  </si>
  <si>
    <t>10,06,70,20,966.35</t>
  </si>
  <si>
    <t>5,05,08,76,544.30</t>
  </si>
  <si>
    <t>4,37,47,45,716.60</t>
  </si>
  <si>
    <t>3,83,73,74,963.40</t>
  </si>
  <si>
    <t>3,21,65,47,214.80</t>
  </si>
  <si>
    <t>5,82,26,06,324.55</t>
  </si>
  <si>
    <t>3,98,20,58,396.00</t>
  </si>
  <si>
    <t>2,37,14,67,063.35</t>
  </si>
  <si>
    <t>1,64,73,76,657.75</t>
  </si>
  <si>
    <t>2,24,90,14,314.50</t>
  </si>
  <si>
    <t>4,04,84,16,637.70</t>
  </si>
  <si>
    <t>2,06,43,37,942.65</t>
  </si>
  <si>
    <t>2,56,93,34,398.85</t>
  </si>
  <si>
    <t>2,19,21,30,504.25</t>
  </si>
  <si>
    <t>3,04,80,68,496.70</t>
  </si>
  <si>
    <t>2,15,80,59,456.15</t>
  </si>
  <si>
    <t>2,50,15,60,151.60</t>
  </si>
  <si>
    <t>5,42,60,34,052.40</t>
  </si>
  <si>
    <t>3,41,23,34,505.65</t>
  </si>
  <si>
    <t>3,01,07,52,757.10</t>
  </si>
  <si>
    <t>2,15,42,76,776.00</t>
  </si>
  <si>
    <t>2,23,24,07,947.55</t>
  </si>
  <si>
    <t>7,96,46,70,668.25</t>
  </si>
  <si>
    <t>3,64,35,33,822.05</t>
  </si>
  <si>
    <t>4,04,96,64,069.15</t>
  </si>
  <si>
    <t>3,42,90,01,681.40</t>
  </si>
  <si>
    <t>4,23,89,75,823.25</t>
  </si>
  <si>
    <t>4,37,17,04,280.70</t>
  </si>
  <si>
    <t>34,21,50,26,418.75</t>
  </si>
  <si>
    <t>18,52,10,35,212.55</t>
  </si>
  <si>
    <t>16,60,05,26,835.40</t>
  </si>
  <si>
    <t>13,47,62,19,719.75</t>
  </si>
  <si>
    <t>12,80,20,48,327.10</t>
  </si>
  <si>
    <t>5,29,92,28,640.40</t>
  </si>
  <si>
    <t>5,96,42,51,168.40</t>
  </si>
  <si>
    <t>5,46,24,69,728.10</t>
  </si>
  <si>
    <t>3,75,28,73,734.75</t>
  </si>
  <si>
    <t>3,67,98,56,652.90</t>
  </si>
  <si>
    <t>3,88,78,86,982.70</t>
  </si>
  <si>
    <t>3,74,36,80,334.05</t>
  </si>
  <si>
    <t>2,53,19,30,783.50</t>
  </si>
  <si>
    <t>2,17,07,41,557.95</t>
  </si>
  <si>
    <t>4,07,67,18,725.15</t>
  </si>
  <si>
    <t>2,42,26,66,147.55</t>
  </si>
  <si>
    <t>2,26,56,38,076.15</t>
  </si>
  <si>
    <t>5,00,30,54,961.30</t>
  </si>
  <si>
    <t>7,03,61,05,158.75</t>
  </si>
  <si>
    <t>12,31,12,87,566.95</t>
  </si>
  <si>
    <t>21,87,12,43,335.10</t>
  </si>
  <si>
    <t>15,75,12,16,295.40</t>
  </si>
  <si>
    <t>14,84,71,06,587.20</t>
  </si>
  <si>
    <t>11,74,79,33,319.00</t>
  </si>
  <si>
    <t>5,51,19,75,287.30</t>
  </si>
  <si>
    <t>8,48,07,66,476.85</t>
  </si>
  <si>
    <t>5,22,20,67,171.60</t>
  </si>
  <si>
    <t>4,45,05,64,038.95</t>
  </si>
  <si>
    <t>6,19,64,66,843.50</t>
  </si>
  <si>
    <t>10,59,33,06,757.35</t>
  </si>
  <si>
    <t>5,99,67,99,627.85</t>
  </si>
  <si>
    <t>5,21,51,71,128.70</t>
  </si>
  <si>
    <t>3,24,23,59,657.15</t>
  </si>
  <si>
    <t>3,99,36,23,454.20</t>
  </si>
  <si>
    <t>1,58,67,68,036.20</t>
  </si>
  <si>
    <t>4,62,61,47,774.40</t>
  </si>
  <si>
    <t>2,63,95,33,492.85</t>
  </si>
  <si>
    <t>3,09,61,82,598.00</t>
  </si>
  <si>
    <t>1,86,81,79,857.30</t>
  </si>
  <si>
    <t>2,74,90,78,685.50</t>
  </si>
  <si>
    <t>9,17,61,54,208.00</t>
  </si>
  <si>
    <t>3,48,34,62,764.40</t>
  </si>
  <si>
    <t>11,25,29,00,644.60</t>
  </si>
  <si>
    <t>4,84,07,31,217.20</t>
  </si>
  <si>
    <t>5,29,71,54,356.35</t>
  </si>
  <si>
    <t>3,11,09,00,696.85</t>
  </si>
  <si>
    <t>3,25,47,08,104.85</t>
  </si>
  <si>
    <t>5,47,86,06,329.60</t>
  </si>
  <si>
    <t>6,10,55,88,978.90</t>
  </si>
  <si>
    <t>4,91,11,70,711.55</t>
  </si>
  <si>
    <t>5,22,64,06,262.10</t>
  </si>
  <si>
    <t>2,88,16,30,209.60</t>
  </si>
  <si>
    <t>3,55,95,87,477.90</t>
  </si>
  <si>
    <t>3,07,82,81,193.70</t>
  </si>
  <si>
    <t>2,88,18,02,652.10</t>
  </si>
  <si>
    <t>1,95,87,38,018.10</t>
  </si>
  <si>
    <t>2,20,37,30,739.10</t>
  </si>
  <si>
    <t>8,85,12,90,206.80</t>
  </si>
  <si>
    <t>8,30,51,15,864.90</t>
  </si>
  <si>
    <t>5,21,46,96,388.10</t>
  </si>
  <si>
    <t>8,69,12,62,679.75</t>
  </si>
  <si>
    <t>7,84,24,92,531.60</t>
  </si>
  <si>
    <t>5,38,53,47,742.40</t>
  </si>
  <si>
    <t>6,51,37,78,742.65</t>
  </si>
  <si>
    <t>7,92,25,23,254.75</t>
  </si>
  <si>
    <t>4,13,77,85,575.55</t>
  </si>
  <si>
    <t>3,65,80,45,491.20</t>
  </si>
  <si>
    <t>4,81,27,39,299.25</t>
  </si>
  <si>
    <t>3,62,07,77,495.85</t>
  </si>
  <si>
    <t>1,77,07,71,469.20</t>
  </si>
  <si>
    <t>2,54,08,15,063.70</t>
  </si>
  <si>
    <t>2,49,99,42,364.85</t>
  </si>
  <si>
    <t>2,10,88,32,633.30</t>
  </si>
  <si>
    <t>1,65,29,97,405.70</t>
  </si>
  <si>
    <t>1,69,81,39,584.70</t>
  </si>
  <si>
    <t>1,99,31,42,527.45</t>
  </si>
  <si>
    <t>2,47,37,72,707.75</t>
  </si>
  <si>
    <t>1,95,79,45,139.50</t>
  </si>
  <si>
    <t>1,93,83,71,109.05</t>
  </si>
  <si>
    <t>3,53,06,80,132.30</t>
  </si>
  <si>
    <t>1,78,40,53,806.30</t>
  </si>
  <si>
    <t>2,93,06,73,797.65</t>
  </si>
  <si>
    <t>2,57,53,30,046.95</t>
  </si>
  <si>
    <t>2,36,22,26,365.70</t>
  </si>
  <si>
    <t>2,75,87,23,099.90</t>
  </si>
  <si>
    <t>3,21,83,53,734.20</t>
  </si>
  <si>
    <t>2,52,73,97,220.15</t>
  </si>
  <si>
    <t>3,81,17,09,635.10</t>
  </si>
  <si>
    <t>3,62,25,21,932.00</t>
  </si>
  <si>
    <t>3,70,34,79,243.95</t>
  </si>
  <si>
    <t>3,89,04,40,496.35</t>
  </si>
  <si>
    <t>4,93,47,70,161.85</t>
  </si>
  <si>
    <t>3,33,22,79,922.90</t>
  </si>
  <si>
    <t>3,29,28,49,824.50</t>
  </si>
  <si>
    <t>9,70,89,29,182.05</t>
  </si>
  <si>
    <t>9,52,28,21,342.60</t>
  </si>
  <si>
    <t>6,50,59,14,462.25</t>
  </si>
  <si>
    <t>13,33,50,86,752.10</t>
  </si>
  <si>
    <t>5,57,78,57,176.45</t>
  </si>
  <si>
    <t>3,73,63,25,332.95</t>
  </si>
  <si>
    <t>2,74,18,56,641.60</t>
  </si>
  <si>
    <t>4,50,98,98,491.20</t>
  </si>
  <si>
    <t>4,19,21,37,196.40</t>
  </si>
  <si>
    <t>5,05,55,34,116.75</t>
  </si>
  <si>
    <t>2,84,52,01,681.60</t>
  </si>
  <si>
    <t>2,50,87,90,711.15</t>
  </si>
  <si>
    <t>3,11,89,65,024.75</t>
  </si>
  <si>
    <t>1,92,83,86,501.95</t>
  </si>
  <si>
    <t>3,54,35,47,701.95</t>
  </si>
  <si>
    <t>5,52,72,05,710.85</t>
  </si>
  <si>
    <t>2,38,49,73,404.80</t>
  </si>
  <si>
    <t>8,69,77,18,255.90</t>
  </si>
  <si>
    <t>5,06,44,43,403.50</t>
  </si>
  <si>
    <t>4,29,59,62,961.15</t>
  </si>
  <si>
    <t>4,14,71,96,308.90</t>
  </si>
  <si>
    <t>6,23,50,43,682.65</t>
  </si>
  <si>
    <t>14,88,15,64,312.10</t>
  </si>
  <si>
    <t>10,13,19,81,893.30</t>
  </si>
  <si>
    <t>8,15,40,08,012.30</t>
  </si>
  <si>
    <t>9,67,71,36,454.80</t>
  </si>
  <si>
    <t>8,31,53,64,499.35</t>
  </si>
  <si>
    <t>9,77,88,67,194.45</t>
  </si>
  <si>
    <t>8,35,28,03,841.25</t>
  </si>
  <si>
    <t>7,86,94,70,291.25</t>
  </si>
  <si>
    <t>5,20,51,02,085.50</t>
  </si>
  <si>
    <t>8,36,09,56,981.30</t>
  </si>
  <si>
    <t>6,86,16,01,746.00</t>
  </si>
  <si>
    <t>9,14,35,78,093.70</t>
  </si>
  <si>
    <t>10,19,92,01,336.50</t>
  </si>
  <si>
    <t>9,72,38,76,526.05</t>
  </si>
  <si>
    <t>7,39,37,03,767.10</t>
  </si>
  <si>
    <t>6,37,18,90,062.65</t>
  </si>
  <si>
    <t>4,62,24,54,136.40</t>
  </si>
  <si>
    <t>4,42,87,50,077.05</t>
  </si>
  <si>
    <t>6,44,46,78,254.65</t>
  </si>
  <si>
    <t>3,59,52,79,350.80</t>
  </si>
  <si>
    <t xml:space="preserve">Average volume </t>
  </si>
  <si>
    <t>directional indicator</t>
  </si>
  <si>
    <t>4,04,42,45,819.55</t>
  </si>
  <si>
    <t>7,03,77,29,121.80</t>
  </si>
  <si>
    <t>5,09,93,20,485.40</t>
  </si>
  <si>
    <t>4,15,36,41,422.65</t>
  </si>
  <si>
    <t>9,96,78,02,073.85</t>
  </si>
  <si>
    <t>12,42,73,33,078.40</t>
  </si>
  <si>
    <t>6,25,86,03,719.05</t>
  </si>
  <si>
    <t>5,71,91,83,511.30</t>
  </si>
  <si>
    <t>6,57,98,99,979.95</t>
  </si>
  <si>
    <t>6,25,98,09,070.00</t>
  </si>
  <si>
    <t>6,39,11,61,210.15</t>
  </si>
  <si>
    <t>6,12,49,98,845.10</t>
  </si>
  <si>
    <t>4,08,48,52,407.35</t>
  </si>
  <si>
    <t>6,18,03,01,910.15</t>
  </si>
  <si>
    <t>5,31,08,90,958.05</t>
  </si>
  <si>
    <t>4,26,50,39,505.35</t>
  </si>
  <si>
    <t>7,28,24,57,331.65</t>
  </si>
  <si>
    <t>5,32,39,40,771.65</t>
  </si>
  <si>
    <t>4,96,00,80,326.25</t>
  </si>
  <si>
    <t>6,82,64,83,599.30</t>
  </si>
  <si>
    <t>4,71,69,86,717.45</t>
  </si>
  <si>
    <t>9,13,83,51,915.10</t>
  </si>
  <si>
    <t>5,63,63,80,537.55</t>
  </si>
  <si>
    <t>4,75,38,54,527.80</t>
  </si>
  <si>
    <t>4,43,83,87,755.55</t>
  </si>
  <si>
    <t>5,04,96,29,669.45</t>
  </si>
  <si>
    <t>3,08,43,76,919.65</t>
  </si>
  <si>
    <t>2,09,48,40,150.95</t>
  </si>
  <si>
    <t>4,66,42,31,329.70</t>
  </si>
  <si>
    <t>5,36,35,14,789.10</t>
  </si>
  <si>
    <t>21,48,50,09,548.70</t>
  </si>
  <si>
    <t>9,07,10,60,236.55</t>
  </si>
  <si>
    <t>5,96,86,39,519.00</t>
  </si>
  <si>
    <t>4,23,26,97,120.15</t>
  </si>
  <si>
    <t>4,15,97,26,894.10</t>
  </si>
  <si>
    <t>4,89,89,82,829.20</t>
  </si>
  <si>
    <t>3,61,08,74,147.45</t>
  </si>
  <si>
    <t>3,17,78,96,815.45</t>
  </si>
  <si>
    <t>6,28,35,89,853.80</t>
  </si>
  <si>
    <t>4,00,13,49,285.45</t>
  </si>
  <si>
    <t>3,87,31,76,816.40</t>
  </si>
  <si>
    <t>3,41,59,37,894.30</t>
  </si>
  <si>
    <t>2,98,84,01,867.65</t>
  </si>
  <si>
    <t>2,96,13,68,319.00</t>
  </si>
  <si>
    <t>3,88,47,59,582.50</t>
  </si>
  <si>
    <t>2,66,01,89,374.10</t>
  </si>
  <si>
    <t>2,25,95,89,047.30</t>
  </si>
  <si>
    <t>2,94,79,45,155.70</t>
  </si>
  <si>
    <t>1,97,17,19,471.55</t>
  </si>
  <si>
    <t>1,34,12,82,973.80</t>
  </si>
  <si>
    <t>3,75,11,83,386.45</t>
  </si>
  <si>
    <t>4,37,38,61,998.50</t>
  </si>
  <si>
    <t>4,50,65,43,174.05</t>
  </si>
  <si>
    <t>3,72,24,09,701.95</t>
  </si>
  <si>
    <t>3,02,67,24,468.80</t>
  </si>
  <si>
    <t>2,40,35,53,323.10</t>
  </si>
  <si>
    <t>1,86,80,87,815.25</t>
  </si>
  <si>
    <t>2,19,96,00,655.65</t>
  </si>
  <si>
    <t>3,04,71,99,164.45</t>
  </si>
  <si>
    <t>4,36,40,24,741.55</t>
  </si>
  <si>
    <t>5,26,80,93,766.95</t>
  </si>
  <si>
    <t>9,84,28,43,332.25</t>
  </si>
  <si>
    <t>11,57,19,94,521.70</t>
  </si>
  <si>
    <t>5,35,67,66,750.75</t>
  </si>
  <si>
    <t>5,26,47,61,919.15</t>
  </si>
  <si>
    <t>4,01,76,54,188.90</t>
  </si>
  <si>
    <t>3,25,21,13,136.20</t>
  </si>
  <si>
    <t>3,64,51,14,496.55</t>
  </si>
  <si>
    <t>4,12,21,88,825.70</t>
  </si>
  <si>
    <t>2,72,60,07,442.40</t>
  </si>
  <si>
    <t>3,92,98,81,063.25</t>
  </si>
  <si>
    <t>3,21,76,89,790.70</t>
  </si>
  <si>
    <t>3,34,18,88,353.25</t>
  </si>
  <si>
    <t>2,70,09,51,098.85</t>
  </si>
  <si>
    <t>4,69,67,31,729.90</t>
  </si>
  <si>
    <t>4,80,94,15,085.55</t>
  </si>
  <si>
    <t>2,99,23,17,208.70</t>
  </si>
  <si>
    <t>3,20,57,80,240.75</t>
  </si>
  <si>
    <t>2,94,39,21,157.90</t>
  </si>
  <si>
    <t>2,83,41,22,482.65</t>
  </si>
  <si>
    <t>3,29,21,79,152.25</t>
  </si>
  <si>
    <t>5,12,65,90,092.00</t>
  </si>
  <si>
    <t>4,87,23,30,248.20</t>
  </si>
  <si>
    <t>12,14,29,57,304.50</t>
  </si>
  <si>
    <t>5,42,81,22,427.15</t>
  </si>
  <si>
    <t>4,91,82,40,461.65</t>
  </si>
  <si>
    <t>3,13,56,41,713.90</t>
  </si>
  <si>
    <t>2,59,72,44,021.15</t>
  </si>
  <si>
    <t>2,78,63,57,032.75</t>
  </si>
  <si>
    <t>3,35,41,40,392.35</t>
  </si>
  <si>
    <t>1,97,68,29,183.30</t>
  </si>
  <si>
    <t>2,67,36,56,850.85</t>
  </si>
  <si>
    <t>2,49,14,24,845.85</t>
  </si>
  <si>
    <t>3,11,31,56,971.35</t>
  </si>
  <si>
    <t>3,26,69,95,923.90</t>
  </si>
  <si>
    <t>3,57,79,76,869.25</t>
  </si>
  <si>
    <t>2,94,14,82,817.65</t>
  </si>
  <si>
    <t>3,58,70,93,978.20</t>
  </si>
  <si>
    <t>2,43,93,53,578.30</t>
  </si>
  <si>
    <t>2,18,10,18,083.40</t>
  </si>
  <si>
    <t>3,54,51,19,890.10</t>
  </si>
  <si>
    <t>5,68,43,75,336.40</t>
  </si>
  <si>
    <t>4,21,60,26,193.70</t>
  </si>
  <si>
    <t>8,27,16,60,686.10</t>
  </si>
  <si>
    <t>5,71,38,29,812.80</t>
  </si>
  <si>
    <t>3,92,70,00,892.00</t>
  </si>
  <si>
    <t>2,64,19,83,438.90</t>
  </si>
  <si>
    <t>3,59,57,54,293.40</t>
  </si>
  <si>
    <t>3,11,93,12,581.70</t>
  </si>
  <si>
    <t>2,88,25,71,011.05</t>
  </si>
  <si>
    <t>3,50,76,14,417.55</t>
  </si>
  <si>
    <t>4,12,74,05,942.30</t>
  </si>
  <si>
    <t>2,81,80,17,592.05</t>
  </si>
  <si>
    <t>4,14,17,76,658.55</t>
  </si>
  <si>
    <t>4,80,22,97,577.20</t>
  </si>
  <si>
    <t>3,21,51,33,989.75</t>
  </si>
  <si>
    <t>7,14,95,65,838.70</t>
  </si>
  <si>
    <t>8,36,22,63,404.90</t>
  </si>
  <si>
    <t>7,91,66,09,370.80</t>
  </si>
  <si>
    <t>5,47,07,94,971.10</t>
  </si>
  <si>
    <t>3,36,07,44,442.30</t>
  </si>
  <si>
    <t>5,10,24,09,611.45</t>
  </si>
  <si>
    <t>6,08,24,48,649.00</t>
  </si>
  <si>
    <t>4,13,77,66,672.75</t>
  </si>
  <si>
    <t>2,98,21,19,369.90</t>
  </si>
  <si>
    <t>2,91,78,27,879.40</t>
  </si>
  <si>
    <t>7,47,05,86,426.75</t>
  </si>
  <si>
    <t>3,50,68,19,673.70</t>
  </si>
  <si>
    <t>3,08,12,54,840.50</t>
  </si>
  <si>
    <t>3,48,01,58,340.95</t>
  </si>
  <si>
    <t>3,39,49,61,390.95</t>
  </si>
  <si>
    <t>2,39,31,48,173.00</t>
  </si>
  <si>
    <t>2,13,55,42,923.60</t>
  </si>
  <si>
    <t>2,30,67,65,038.55</t>
  </si>
  <si>
    <t>7,07,94,64,204.30</t>
  </si>
  <si>
    <t>5,62,02,13,086.55</t>
  </si>
  <si>
    <t>6,43,02,66,358.55</t>
  </si>
  <si>
    <t>9,54,87,93,891.00</t>
  </si>
  <si>
    <t>1,10,47,07,572.35</t>
  </si>
  <si>
    <t>5,96,46,13,498.25</t>
  </si>
  <si>
    <t>6,40,70,02,652.70</t>
  </si>
  <si>
    <t>4,53,15,58,049.50</t>
  </si>
  <si>
    <t>4,80,74,06,386.20</t>
  </si>
  <si>
    <t>6,86,82,53,070.10</t>
  </si>
  <si>
    <t>5,93,69,66,418.05</t>
  </si>
  <si>
    <t>3,81,87,15,208.15</t>
  </si>
  <si>
    <t>2,97,10,89,240.85</t>
  </si>
  <si>
    <t>3,54,49,47,876.45</t>
  </si>
  <si>
    <t>7,38,91,91,472.10</t>
  </si>
  <si>
    <t>6,88,33,10,233.00</t>
  </si>
  <si>
    <t>3,90,30,29,914.90</t>
  </si>
  <si>
    <t>6,17,86,77,577.15</t>
  </si>
  <si>
    <t>5,29,03,86,411.80</t>
  </si>
  <si>
    <t>2,61,54,47,741.25</t>
  </si>
  <si>
    <t>3,44,63,80,758.15</t>
  </si>
  <si>
    <t>2,67,57,58,287.50</t>
  </si>
  <si>
    <t>3,09,66,00,795.05</t>
  </si>
  <si>
    <t>2,20,43,37,080.70</t>
  </si>
  <si>
    <t>2,63,84,75,966.95</t>
  </si>
  <si>
    <t>2,76,95,97,449.75</t>
  </si>
  <si>
    <t>2,35,42,53,778.15</t>
  </si>
  <si>
    <t>3,37,12,23,380.25</t>
  </si>
  <si>
    <t>3,49,44,96,987.45</t>
  </si>
  <si>
    <t>7,68,14,80,498.60</t>
  </si>
  <si>
    <t>5,63,35,56,147.25</t>
  </si>
  <si>
    <t>2,83,41,82,901.60</t>
  </si>
  <si>
    <t>3,26,35,64,731.45</t>
  </si>
  <si>
    <t>2,13,26,40,560.40</t>
  </si>
  <si>
    <t>3,33,53,93,155.50</t>
  </si>
  <si>
    <t>2,10,38,41,069.30</t>
  </si>
  <si>
    <t>2,76,97,25,917.65</t>
  </si>
  <si>
    <t>3,84,24,54,919.60</t>
  </si>
  <si>
    <t>3,68,32,97,885.50</t>
  </si>
  <si>
    <t>2,54,95,57,384.50</t>
  </si>
  <si>
    <t>2,78,26,65,991.55</t>
  </si>
  <si>
    <t>4,15,74,23,586.75</t>
  </si>
  <si>
    <t>2,65,49,27,435.70</t>
  </si>
  <si>
    <t>1,85,63,20,822.20</t>
  </si>
  <si>
    <t>2,37,26,58,454.35</t>
  </si>
  <si>
    <t>2,19,10,82,235.30</t>
  </si>
  <si>
    <t>3,30,32,19,426.20</t>
  </si>
  <si>
    <t>3,18,39,41,256.40</t>
  </si>
  <si>
    <t>2,24,26,27,265.30</t>
  </si>
  <si>
    <t>2,57,47,44,214.30</t>
  </si>
  <si>
    <t>2,70,39,80,878.25</t>
  </si>
  <si>
    <t>2,32,41,23,983.35</t>
  </si>
  <si>
    <t>1,97,75,34,074.25</t>
  </si>
  <si>
    <t>1,98,71,85,279.40</t>
  </si>
  <si>
    <t>2,19,07,48,946.45</t>
  </si>
  <si>
    <t>2,71,45,47,327.40</t>
  </si>
  <si>
    <t>2,77,91,24,776.80</t>
  </si>
  <si>
    <t>3,59,78,12,675.95</t>
  </si>
  <si>
    <t>2,31,99,78,392.15</t>
  </si>
  <si>
    <t>1,52,57,45,889.65</t>
  </si>
  <si>
    <t>2,19,03,37,446.10</t>
  </si>
  <si>
    <t>4,75,01,57,893.90</t>
  </si>
  <si>
    <t>2,71,64,69,420.90</t>
  </si>
  <si>
    <t>4,54,76,71,024.50</t>
  </si>
  <si>
    <t>4,19,81,30,682.45</t>
  </si>
  <si>
    <t>2,78,10,00,519.70</t>
  </si>
  <si>
    <t>4,35,92,76,710.60</t>
  </si>
  <si>
    <t>2,39,88,12,192.75</t>
  </si>
  <si>
    <t>4,17,08,78,392.80</t>
  </si>
  <si>
    <t>4,22,58,48,770.85</t>
  </si>
  <si>
    <t>7,26,92,87,174.45</t>
  </si>
  <si>
    <t>4,89,02,59,651.00</t>
  </si>
  <si>
    <t>5,97,52,79,655.05</t>
  </si>
  <si>
    <t>22,82,38,21,017.55</t>
  </si>
  <si>
    <t>21,00,85,22,194.10</t>
  </si>
  <si>
    <t>8,43,94,63,829.40</t>
  </si>
  <si>
    <t>9,91,86,27,583.65</t>
  </si>
  <si>
    <t>7,71,37,64,922.45</t>
  </si>
  <si>
    <t>3,90,89,64,512.10</t>
  </si>
  <si>
    <t>4,45,38,08,751.90</t>
  </si>
  <si>
    <t>3,82,63,70,636.70</t>
  </si>
  <si>
    <t>3,69,05,48,355.70</t>
  </si>
  <si>
    <t>11,17,28,25,493.75</t>
  </si>
  <si>
    <t>4,64,66,31,940.25</t>
  </si>
  <si>
    <t>3,75,04,25,749.60</t>
  </si>
  <si>
    <t>2,93,77,49,082.60</t>
  </si>
  <si>
    <t>2,99,80,18,760.35</t>
  </si>
  <si>
    <t>3,17,23,25,586.55</t>
  </si>
  <si>
    <t>3,43,46,25,178.35</t>
  </si>
  <si>
    <t>7,33,91,08,176.85</t>
  </si>
  <si>
    <t>4,96,47,54,019.45</t>
  </si>
  <si>
    <t>3,10,77,56,123.45</t>
  </si>
  <si>
    <t>6,17,95,66,021.75</t>
  </si>
  <si>
    <t>2,94,03,11,888.95</t>
  </si>
  <si>
    <t>1,88,84,98,850.45</t>
  </si>
  <si>
    <t>3,12,75,54,879.70</t>
  </si>
  <si>
    <t>4,16,53,30,469.40</t>
  </si>
  <si>
    <t>3,47,81,15,878.25</t>
  </si>
  <si>
    <t>3,73,75,36,340.00</t>
  </si>
  <si>
    <t>3,24,44,41,247.70</t>
  </si>
  <si>
    <t>3,38,57,66,737.20</t>
  </si>
  <si>
    <t>3,90,38,72,457.50</t>
  </si>
  <si>
    <t>3,20,71,42,014.80</t>
  </si>
  <si>
    <t>5,96,80,94,056.95</t>
  </si>
  <si>
    <t>18,28,19,54,282.65</t>
  </si>
  <si>
    <t>3,80,11,55,257.85</t>
  </si>
  <si>
    <t>4,36,79,65,152.40</t>
  </si>
  <si>
    <t>1,79,85,64,206.45</t>
  </si>
  <si>
    <t>3,70,81,99,289.55</t>
  </si>
  <si>
    <t>3,78,62,19,400.85</t>
  </si>
  <si>
    <t>4,12,17,29,105.80</t>
  </si>
  <si>
    <t>3,48,27,49,738.70</t>
  </si>
  <si>
    <t>3,87,23,00,673.45</t>
  </si>
  <si>
    <t>3,64,09,46,510.30</t>
  </si>
  <si>
    <t>2,68,45,75,844.10</t>
  </si>
  <si>
    <t>4,46,75,59,164.15</t>
  </si>
  <si>
    <t>4,98,93,35,495.80</t>
  </si>
  <si>
    <t>2,63,27,13,042.55</t>
  </si>
  <si>
    <t>7,20,00,71,922.80</t>
  </si>
  <si>
    <t>3,83,99,76,788.65</t>
  </si>
  <si>
    <t>2,39,54,87,558.30</t>
  </si>
  <si>
    <t>4,41,26,51,379.85</t>
  </si>
  <si>
    <t>3,79,28,11,716.30</t>
  </si>
  <si>
    <t>3,89,00,59,257.20</t>
  </si>
  <si>
    <t>2,66,75,94,588.70</t>
  </si>
  <si>
    <t>5,78,20,74,755.15</t>
  </si>
  <si>
    <t>2,43,31,34,566.40</t>
  </si>
  <si>
    <t>3,63,74,39,819.45</t>
  </si>
  <si>
    <t>3,13,49,04,442.90</t>
  </si>
  <si>
    <t>5,24,24,41,962.80</t>
  </si>
  <si>
    <t>5,35,86,87,978.10</t>
  </si>
  <si>
    <t>4,35,04,56,302.45</t>
  </si>
  <si>
    <t>3,12,54,37,667.60</t>
  </si>
  <si>
    <t>3,39,30,21,577.85</t>
  </si>
  <si>
    <t>5,30,95,05,691.45</t>
  </si>
  <si>
    <t>3,12,39,94,202.10</t>
  </si>
  <si>
    <t>4,25,78,75,074.60</t>
  </si>
  <si>
    <t>4,14,02,36,476.55</t>
  </si>
  <si>
    <t>6,75,26,91,707.75</t>
  </si>
  <si>
    <t>4,67,25,69,928.70</t>
  </si>
  <si>
    <t>3,89,22,10,377.75</t>
  </si>
  <si>
    <t>3,40,28,44,838.50</t>
  </si>
  <si>
    <t>4,03,42,11,521.55</t>
  </si>
  <si>
    <t>10,16,32,97,449.60</t>
  </si>
  <si>
    <t>10,76,35,94,935.00</t>
  </si>
  <si>
    <t>6,53,01,06,829.00</t>
  </si>
  <si>
    <t>3,74,58,34,140.90</t>
  </si>
  <si>
    <t>4,95,89,94,968.35</t>
  </si>
  <si>
    <t>8,00,91,08,087.90</t>
  </si>
  <si>
    <t>5,75,75,73,299.45</t>
  </si>
  <si>
    <t>8,90,34,60,482.55</t>
  </si>
  <si>
    <t>8,46,41,37,340.70</t>
  </si>
  <si>
    <t>6,36,71,19,611.25</t>
  </si>
  <si>
    <t>3,88,83,10,387.15</t>
  </si>
  <si>
    <t>4,07,38,82,251.10</t>
  </si>
  <si>
    <t>3,16,55,34,777.75</t>
  </si>
  <si>
    <t>2,85,23,56,704.20</t>
  </si>
  <si>
    <t>3,34,94,31,451.45</t>
  </si>
  <si>
    <t>3,11,57,23,109.80</t>
  </si>
  <si>
    <t>3,10,82,36,555.30</t>
  </si>
  <si>
    <t>3,80,57,01,631.45</t>
  </si>
  <si>
    <t>7,15,96,22,903.40</t>
  </si>
  <si>
    <t>3,88,28,46,562.00</t>
  </si>
  <si>
    <t>3,35,56,07,683.80</t>
  </si>
  <si>
    <t>5,31,01,77,400.75</t>
  </si>
  <si>
    <t>1,90,31,87,370.95</t>
  </si>
  <si>
    <t>2,02,09,75,859.75</t>
  </si>
  <si>
    <t>2,72,15,84,526.60</t>
  </si>
  <si>
    <t>2,97,30,41,763.65</t>
  </si>
  <si>
    <t>2,70,88,09,798.45</t>
  </si>
  <si>
    <t>2,44,79,61,222.15</t>
  </si>
  <si>
    <t>2,16,35,49,325.65</t>
  </si>
  <si>
    <t>5,42,21,69,509.15</t>
  </si>
  <si>
    <t>4,10,06,91,375.60</t>
  </si>
  <si>
    <t>4,90,02,00,625.20</t>
  </si>
  <si>
    <t>3,58,16,20,230.10</t>
  </si>
  <si>
    <t>7,70,86,68,274.75</t>
  </si>
  <si>
    <t>4,48,27,01,746.30</t>
  </si>
  <si>
    <t>3,44,78,94,801.85</t>
  </si>
  <si>
    <t>3,04,43,48,299.90</t>
  </si>
  <si>
    <t>3,99,11,28,321.35</t>
  </si>
  <si>
    <t>5,84,26,14,387.90</t>
  </si>
  <si>
    <t>3,75,06,47,067.45</t>
  </si>
  <si>
    <t>2,40,44,96,856.15</t>
  </si>
  <si>
    <t>2,88,09,82,660.55</t>
  </si>
  <si>
    <t>2,52,90,90,691.15</t>
  </si>
  <si>
    <t>6,58,30,23,567.35</t>
  </si>
  <si>
    <t>9,87,18,47,183.05</t>
  </si>
  <si>
    <t>6,87,98,44,644.80</t>
  </si>
  <si>
    <t>18,68,40,64,255.75</t>
  </si>
  <si>
    <t>20,02,16,34,759.95</t>
  </si>
  <si>
    <t>8,52,31,40,129.85</t>
  </si>
  <si>
    <t>6,55,44,59,376.05</t>
  </si>
  <si>
    <t>4,65,58,87,886.55</t>
  </si>
  <si>
    <t>3,82,13,00,383.90</t>
  </si>
  <si>
    <t>3,00,11,50,880.55</t>
  </si>
  <si>
    <t>4,74,62,32,499.30</t>
  </si>
  <si>
    <t>4,87,00,69,798.20</t>
  </si>
  <si>
    <t>3,11,73,33,363.90</t>
  </si>
  <si>
    <t>4,16,26,65,798.75</t>
  </si>
  <si>
    <t>2,89,71,08,679.70</t>
  </si>
  <si>
    <t>4,41,37,84,771.45</t>
  </si>
  <si>
    <t>5,96,99,91,295.95</t>
  </si>
  <si>
    <t>5,18,51,44,631.50</t>
  </si>
  <si>
    <t>3,38,51,19,308.20</t>
  </si>
  <si>
    <t>6,74,26,05,845.90</t>
  </si>
  <si>
    <t>7,19,02,76,040.40</t>
  </si>
  <si>
    <t>8,51,89,48,569.50</t>
  </si>
  <si>
    <t>4,26,54,03,760.50</t>
  </si>
  <si>
    <t>4,45,99,47,311.75</t>
  </si>
  <si>
    <t>3,80,65,00,841.00</t>
  </si>
  <si>
    <t>2,74,56,42,789.20</t>
  </si>
  <si>
    <t>4,13,45,66,040.80</t>
  </si>
  <si>
    <t>3,06,39,99,468.20</t>
  </si>
  <si>
    <t>4,17,83,42,360.05</t>
  </si>
  <si>
    <t>3,25,91,76,403.10</t>
  </si>
  <si>
    <t>8,75,01,76,727.45</t>
  </si>
  <si>
    <t>5,05,63,07,086.15</t>
  </si>
  <si>
    <t>5,96,50,23,205.70</t>
  </si>
  <si>
    <t>3,69,76,63,243.35</t>
  </si>
  <si>
    <t>5,73,32,84,923.40</t>
  </si>
  <si>
    <t>3,60,83,94,716.25</t>
  </si>
  <si>
    <t>4,40,77,78,233.95</t>
  </si>
  <si>
    <t>4,14,84,10,205.85</t>
  </si>
  <si>
    <t>6,49,10,27,758.45</t>
  </si>
  <si>
    <t>5,36,21,35,445.70</t>
  </si>
  <si>
    <t>6,49,63,13,051.65</t>
  </si>
  <si>
    <t>6,77,11,63,336.05</t>
  </si>
  <si>
    <t>3,70,42,74,692.05</t>
  </si>
  <si>
    <t>4,51,24,76,237.45</t>
  </si>
  <si>
    <t>4,79,59,86,148.20</t>
  </si>
  <si>
    <t>3,33,52,88,560.30</t>
  </si>
  <si>
    <t>2,55,46,32,224.30</t>
  </si>
  <si>
    <t>2,35,49,54,516.75</t>
  </si>
  <si>
    <t>4,67,65,96,819.75</t>
  </si>
  <si>
    <t>4,52,08,50,400.35</t>
  </si>
  <si>
    <t>3,61,75,50,656.80</t>
  </si>
  <si>
    <t>3,29,66,73,214.60</t>
  </si>
  <si>
    <t>5,86,21,43,527.85</t>
  </si>
  <si>
    <t>4,38,63,55,806.90</t>
  </si>
  <si>
    <t>3,71,89,97,999.10</t>
  </si>
  <si>
    <t>2,47,23,16,260.35</t>
  </si>
  <si>
    <t>2,22,38,94,873.10</t>
  </si>
  <si>
    <t>3,42,36,93,653.20</t>
  </si>
  <si>
    <t>5,30,40,11,557.70</t>
  </si>
  <si>
    <t>3,43,25,58,181.35</t>
  </si>
  <si>
    <t>1,89,43,05,840.25</t>
  </si>
  <si>
    <t>3,14,18,20,069.90</t>
  </si>
  <si>
    <t>3,13,36,63,541.95</t>
  </si>
  <si>
    <t>4,26,51,43,431.25</t>
  </si>
  <si>
    <t>5,73,86,37,212.35</t>
  </si>
  <si>
    <t>3,17,68,39,602.20</t>
  </si>
  <si>
    <t>4,70,72,51,503.70</t>
  </si>
  <si>
    <t>8,15,10,61,459.60</t>
  </si>
  <si>
    <t>5,69,94,53,016.85</t>
  </si>
  <si>
    <t>3,28,27,78,364.60</t>
  </si>
  <si>
    <t>3,70,65,53,452.70</t>
  </si>
  <si>
    <t>3,42,22,42,128.95</t>
  </si>
  <si>
    <t>3,50,68,07,055.75</t>
  </si>
  <si>
    <t>5,97,20,97,160.75</t>
  </si>
  <si>
    <t>3,17,33,28,173.20</t>
  </si>
  <si>
    <t>2,21,88,95,493.75</t>
  </si>
  <si>
    <t>3,03,34,92,148.85</t>
  </si>
  <si>
    <t>3,39,05,81,111.50</t>
  </si>
  <si>
    <t>1,77,52,12,626.75</t>
  </si>
  <si>
    <t>51,81,93,286.15</t>
  </si>
  <si>
    <t>1,63,36,35,527.55</t>
  </si>
  <si>
    <t>3,27,32,39,271.95</t>
  </si>
  <si>
    <t>4,78,85,16,957.70</t>
  </si>
  <si>
    <t>2,92,48,21,117.80</t>
  </si>
  <si>
    <t>1,89,64,28,774.50</t>
  </si>
  <si>
    <t>2,62,11,13,885.40</t>
  </si>
  <si>
    <t>2,13,94,03,597.80</t>
  </si>
  <si>
    <t>2,80,32,91,959.25</t>
  </si>
  <si>
    <t>2,99,47,84,740.40</t>
  </si>
  <si>
    <t>3,81,35,52,286.95</t>
  </si>
  <si>
    <t>6,01,24,81,178.15</t>
  </si>
  <si>
    <t>6,59,55,68,134.95</t>
  </si>
  <si>
    <t>8,63,60,46,292.35</t>
  </si>
  <si>
    <t>5,80,78,60,907.55</t>
  </si>
  <si>
    <t>5,50,40,17,393.25</t>
  </si>
  <si>
    <t>9,41,59,18,516.30</t>
  </si>
  <si>
    <t>5,19,62,08,022.50</t>
  </si>
  <si>
    <t>8,45,07,69,799.45</t>
  </si>
  <si>
    <t>2,98,26,67,106.30</t>
  </si>
  <si>
    <t>4,63,38,52,599.45</t>
  </si>
  <si>
    <t>5,14,22,61,661.75</t>
  </si>
  <si>
    <t>6,58,79,26,047.65</t>
  </si>
  <si>
    <t>7,22,72,99,043.70</t>
  </si>
  <si>
    <t>5,43,51,27,623.50</t>
  </si>
  <si>
    <t>4,68,02,12,654.95</t>
  </si>
  <si>
    <t>4,71,69,34,041.15</t>
  </si>
  <si>
    <t>5,02,16,73,354.15</t>
  </si>
  <si>
    <t>5,00,86,64,858.20</t>
  </si>
  <si>
    <t>2,68,26,01,608.85</t>
  </si>
  <si>
    <t>3,43,95,50,563.55</t>
  </si>
  <si>
    <t>9,55,32,90,485.30</t>
  </si>
  <si>
    <t>5,98,78,92,520.95</t>
  </si>
  <si>
    <t>4,36,61,27,498.30</t>
  </si>
  <si>
    <t>4,92,60,02,186.85</t>
  </si>
  <si>
    <t>11,47,47,09,723.90</t>
  </si>
  <si>
    <t>5,64,14,69,823.90</t>
  </si>
  <si>
    <t>4,37,42,80,743.70</t>
  </si>
  <si>
    <t>3,74,35,77,082.00</t>
  </si>
  <si>
    <t>2,65,50,47,091.60</t>
  </si>
  <si>
    <t>2,72,44,12,894.15</t>
  </si>
  <si>
    <t>3,02,78,85,522.20</t>
  </si>
  <si>
    <t>4,34,54,96,069.90</t>
  </si>
  <si>
    <t>3,22,84,25,376.55</t>
  </si>
  <si>
    <t>5,66,24,77,326.35</t>
  </si>
  <si>
    <t>5,22,13,22,440.85</t>
  </si>
  <si>
    <t>4,24,10,36,943.75</t>
  </si>
  <si>
    <t>5,74,35,98,363.60</t>
  </si>
  <si>
    <t>1,55,38,45,356.45</t>
  </si>
  <si>
    <t>3,91,08,81,933.90</t>
  </si>
  <si>
    <t>9,98,84,04,501.00</t>
  </si>
  <si>
    <t>8,97,51,18,150.05</t>
  </si>
  <si>
    <t>8,08,80,99,555.10</t>
  </si>
  <si>
    <t>19,25,51,17,086.65</t>
  </si>
  <si>
    <t>8,76,22,79,321.85</t>
  </si>
  <si>
    <t>8,50,00,57,382.95</t>
  </si>
  <si>
    <t>7,59,78,14,278.40</t>
  </si>
  <si>
    <t>5,30,38,74,698.30</t>
  </si>
  <si>
    <t>8,12,91,48,176.75</t>
  </si>
  <si>
    <t>5,56,90,65,160.55</t>
  </si>
  <si>
    <t>20,10,87,62,451.80</t>
  </si>
  <si>
    <t>13,46,97,07,741.50</t>
  </si>
  <si>
    <t>4,47,22,71,553.10</t>
  </si>
  <si>
    <t>6,35,44,78,400.20</t>
  </si>
  <si>
    <t>4,96,89,46,837.35</t>
  </si>
  <si>
    <t>8,27,75,77,375.40</t>
  </si>
  <si>
    <t>15,14,84,23,499.50</t>
  </si>
  <si>
    <t>6,95,13,57,970.10</t>
  </si>
  <si>
    <t>5,72,69,13,345.05</t>
  </si>
  <si>
    <t>7,88,74,11,451.60</t>
  </si>
  <si>
    <t>7,61,00,34,475.70</t>
  </si>
  <si>
    <t>4,60,00,35,861.05</t>
  </si>
  <si>
    <t>3,26,85,55,512.10</t>
  </si>
  <si>
    <t>3,19,76,56,361.80</t>
  </si>
  <si>
    <t>3,52,55,49,262.00</t>
  </si>
  <si>
    <t>6,07,14,93,472.75</t>
  </si>
  <si>
    <t>5,09,04,35,126.70</t>
  </si>
  <si>
    <t>40,25,43,968.55</t>
  </si>
  <si>
    <t>2,80,45,87,543.55</t>
  </si>
  <si>
    <t>3,96,24,60,772.30</t>
  </si>
  <si>
    <t>4,49,84,98,834.65</t>
  </si>
  <si>
    <t>9,41,69,41,135.65</t>
  </si>
  <si>
    <t>7,28,86,43,584.00</t>
  </si>
  <si>
    <t>14,02,71,70,213.10</t>
  </si>
  <si>
    <t>43,47,51,81,936.05</t>
  </si>
  <si>
    <t>12,97,26,46,952.80</t>
  </si>
  <si>
    <t>30,98,12,69,366.20</t>
  </si>
  <si>
    <t>6,66,67,33,164.20</t>
  </si>
  <si>
    <t>8,64,01,07,667.75</t>
  </si>
  <si>
    <t>8,09,60,10,062.95</t>
  </si>
  <si>
    <t>8,07,49,86,841.45</t>
  </si>
  <si>
    <t>16,60,46,49,595.70</t>
  </si>
  <si>
    <t>4,39,29,64,487.05</t>
  </si>
  <si>
    <t>5,23,27,02,625.55</t>
  </si>
  <si>
    <t>12,00,18,38,115.50</t>
  </si>
  <si>
    <t>4,01,37,82,933.55</t>
  </si>
  <si>
    <t>3,77,05,20,504.55</t>
  </si>
  <si>
    <t>5,37,74,67,608.15</t>
  </si>
  <si>
    <t>7,77,04,65,539.95</t>
  </si>
  <si>
    <t>6,90,59,82,420.40</t>
  </si>
  <si>
    <t>3,65,80,10,051.95</t>
  </si>
  <si>
    <t>2,87,42,87,671.10</t>
  </si>
  <si>
    <t>6,06,54,76,490.20</t>
  </si>
  <si>
    <t>7,79,90,28,304.50</t>
  </si>
  <si>
    <t>3,72,59,90,666.80</t>
  </si>
  <si>
    <t>4,24,11,46,046.55</t>
  </si>
  <si>
    <t>8,98,48,44,459.55</t>
  </si>
  <si>
    <t>7,02,50,82,961.80</t>
  </si>
  <si>
    <t>3,02,08,60,842.30</t>
  </si>
  <si>
    <t>5,15,52,32,246.00</t>
  </si>
  <si>
    <t>2,51,18,18,372.50</t>
  </si>
  <si>
    <t>12,69,32,03,504.00</t>
  </si>
  <si>
    <t>6,49,55,67,398.20</t>
  </si>
  <si>
    <t>5,08,99,15,581.05</t>
  </si>
  <si>
    <t>5,29,09,43,493.35</t>
  </si>
  <si>
    <t>10,19,79,60,968.55</t>
  </si>
  <si>
    <t>9,98,04,73,814.90</t>
  </si>
  <si>
    <t>4,51,19,99,548.95</t>
  </si>
  <si>
    <t>11,48,24,44,468.75</t>
  </si>
  <si>
    <t>4,63,91,19,798.50</t>
  </si>
  <si>
    <t>10,05,09,40,808.25</t>
  </si>
  <si>
    <t>6,05,87,06,127.20</t>
  </si>
  <si>
    <t>3,15,36,50,963.45</t>
  </si>
  <si>
    <t>4,73,36,93,443.00</t>
  </si>
  <si>
    <t>3,24,84,56,112.70</t>
  </si>
  <si>
    <t>9,85,22,75,161.55</t>
  </si>
  <si>
    <t>4,97,22,08,347.45</t>
  </si>
  <si>
    <t>31,17,00,280.95</t>
  </si>
  <si>
    <t>4,67,79,83,191.90</t>
  </si>
  <si>
    <t>4,67,21,23,744.90</t>
  </si>
  <si>
    <t>11,56,17,61,258.55</t>
  </si>
  <si>
    <t>5,58,29,17,652.90</t>
  </si>
  <si>
    <t>5,14,93,44,563.20</t>
  </si>
  <si>
    <t>4,00,17,09,938.25</t>
  </si>
  <si>
    <t>4,48,43,93,165.00</t>
  </si>
  <si>
    <t>8,71,72,37,385.80</t>
  </si>
  <si>
    <t>12,04,38,35,725.35</t>
  </si>
  <si>
    <t>6,68,33,96,998.40</t>
  </si>
  <si>
    <t>19,10,74,85,527.25</t>
  </si>
  <si>
    <t>11,65,16,63,641.95</t>
  </si>
  <si>
    <t>13,51,64,00,453.80</t>
  </si>
  <si>
    <t>12,44,70,97,826.40</t>
  </si>
  <si>
    <t>5,00,41,99,602.85</t>
  </si>
  <si>
    <t>5,50,90,08,149.30</t>
  </si>
  <si>
    <t>4,47,58,96,381.25</t>
  </si>
  <si>
    <t>4,00,86,27,163.35</t>
  </si>
  <si>
    <t>3,96,81,32,276.85</t>
  </si>
  <si>
    <t>6,07,17,15,080.55</t>
  </si>
  <si>
    <t>4,64,38,29,424.60</t>
  </si>
  <si>
    <t>6,18,06,05,569.50</t>
  </si>
  <si>
    <t>10,60,28,24,293.85</t>
  </si>
  <si>
    <t>3,95,68,53,315.35</t>
  </si>
  <si>
    <t>4,33,18,94,414.05</t>
  </si>
  <si>
    <t>4,70,30,58,612.05</t>
  </si>
  <si>
    <t>15,71,40,38,249.45</t>
  </si>
  <si>
    <t>7,60,63,38,079.45</t>
  </si>
  <si>
    <t>5,51,39,76,701.35</t>
  </si>
  <si>
    <t>4,59,44,02,665.60</t>
  </si>
  <si>
    <t>3,06,35,03,681.75</t>
  </si>
  <si>
    <t>3,91,91,90,556.65</t>
  </si>
  <si>
    <t>5,58,53,59,681.40</t>
  </si>
  <si>
    <t>9,02,44,61,950.65</t>
  </si>
  <si>
    <t>11,92,59,76,364.80</t>
  </si>
  <si>
    <t>5,23,92,57,713.55</t>
  </si>
  <si>
    <t>8,58,74,37,642.70</t>
  </si>
  <si>
    <t>8,70,30,17,234.70</t>
  </si>
  <si>
    <t>7,52,23,28,040.60</t>
  </si>
  <si>
    <t>6,03,73,70,502.75</t>
  </si>
  <si>
    <t>9,87,03,74,413.50</t>
  </si>
  <si>
    <t>11,85,53,89,560.85</t>
  </si>
  <si>
    <t>8,49,30,64,235.35</t>
  </si>
  <si>
    <t>26,11,89,22,052.35</t>
  </si>
  <si>
    <t>21,05,06,81,452.40</t>
  </si>
  <si>
    <t>8,76,63,83,593.60</t>
  </si>
  <si>
    <t>10,33,10,62,809.70</t>
  </si>
  <si>
    <t>6,22,84,64,277.80</t>
  </si>
  <si>
    <t>6,57,84,25,923.00</t>
  </si>
  <si>
    <t>5,70,02,70,817.40</t>
  </si>
  <si>
    <t>5,75,95,53,105.75</t>
  </si>
  <si>
    <t>10,46,99,40,924.65</t>
  </si>
  <si>
    <t>11,70,52,82,411.05</t>
  </si>
  <si>
    <t>6,69,01,15,892.10</t>
  </si>
  <si>
    <t>5,36,26,50,358.25</t>
  </si>
  <si>
    <t>10,17,59,99,936.05</t>
  </si>
  <si>
    <t>4,55,83,87,017.25</t>
  </si>
  <si>
    <t>4,51,11,89,537.95</t>
  </si>
  <si>
    <t>3,82,67,62,550.05</t>
  </si>
  <si>
    <t>4,57,16,25,348.00</t>
  </si>
  <si>
    <t>6,54,94,43,406.85</t>
  </si>
  <si>
    <t>5,14,41,20,039.10</t>
  </si>
  <si>
    <t>3,31,62,78,832.00</t>
  </si>
  <si>
    <t>4,28,00,48,280.45</t>
  </si>
  <si>
    <t>4,22,12,24,253.25</t>
  </si>
  <si>
    <t>3,97,88,80,053.35</t>
  </si>
  <si>
    <t>3,95,89,00,282.55</t>
  </si>
  <si>
    <t>3,99,43,35,939.60</t>
  </si>
  <si>
    <t>3,88,17,94,042.20</t>
  </si>
  <si>
    <t>9,40,48,44,586.20</t>
  </si>
  <si>
    <t>7,51,22,53,452.80</t>
  </si>
  <si>
    <t>8,10,12,52,606.15</t>
  </si>
  <si>
    <t>6,16,03,57,721.90</t>
  </si>
  <si>
    <t>4,25,91,22,977.75</t>
  </si>
  <si>
    <t>5,56,19,02,271.30</t>
  </si>
  <si>
    <t>6,88,85,30,757.30</t>
  </si>
  <si>
    <t>6,99,80,44,346.50</t>
  </si>
  <si>
    <t>5,59,63,26,541.20</t>
  </si>
  <si>
    <t>7,70,72,78,241.50</t>
  </si>
  <si>
    <t>9,47,54,61,095.90</t>
  </si>
  <si>
    <t>4,53,44,84,027.05</t>
  </si>
  <si>
    <t>3,86,48,31,357.30</t>
  </si>
  <si>
    <t>5,33,26,81,431.45</t>
  </si>
  <si>
    <t>2,76,45,06,352.10</t>
  </si>
  <si>
    <t>7,11,00,66,899.10</t>
  </si>
  <si>
    <t>12,23,67,58,568.15</t>
  </si>
  <si>
    <t>4,03,42,41,784.00</t>
  </si>
  <si>
    <t>3,48,21,95,547.40</t>
  </si>
  <si>
    <t>4,37,09,74,903.20</t>
  </si>
  <si>
    <t>8,07,31,86,016.75</t>
  </si>
  <si>
    <t>9,04,23,61,720.15</t>
  </si>
  <si>
    <t>5,46,11,48,445.10</t>
  </si>
  <si>
    <t>2,62,55,80,578.35</t>
  </si>
  <si>
    <t>8,13,29,38,477.90</t>
  </si>
  <si>
    <t>9,29,54,09,035.50</t>
  </si>
  <si>
    <t>8,42,16,88,874.45</t>
  </si>
  <si>
    <t>4,83,52,22,369.05</t>
  </si>
  <si>
    <t>11,95,51,85,952.75</t>
  </si>
  <si>
    <t>6,30,64,80,747.25</t>
  </si>
  <si>
    <t>7,03,99,78,268.90</t>
  </si>
  <si>
    <t>3,32,35,90,493.55</t>
  </si>
  <si>
    <t>3,99,73,96,320.95</t>
  </si>
  <si>
    <t>3,30,96,53,123.20</t>
  </si>
  <si>
    <t>3,62,40,29,088.45</t>
  </si>
  <si>
    <t>10,51,08,19,521.05</t>
  </si>
  <si>
    <t>3,57,48,75,531.85</t>
  </si>
  <si>
    <t>5,95,04,54,269.80</t>
  </si>
  <si>
    <t>4,88,70,14,877.45</t>
  </si>
  <si>
    <t>6,20,99,65,225.20</t>
  </si>
  <si>
    <t>15,05,62,61,874.00</t>
  </si>
  <si>
    <t>4,15,89,85,648.85</t>
  </si>
  <si>
    <t>3,33,80,33,179.65</t>
  </si>
  <si>
    <t>3,13,83,98,995.85</t>
  </si>
  <si>
    <t>3,81,01,27,063.40</t>
  </si>
  <si>
    <t>71,74,91,831.90</t>
  </si>
  <si>
    <t>4,07,61,59,422.90</t>
  </si>
  <si>
    <t>3,51,72,42,119.05</t>
  </si>
  <si>
    <t>5,44,01,09,205.55</t>
  </si>
  <si>
    <t>4,26,41,65,090.20</t>
  </si>
  <si>
    <t>2,90,99,20,473.35</t>
  </si>
  <si>
    <t>2,62,58,14,462.70</t>
  </si>
  <si>
    <t>2,39,44,32,824.50</t>
  </si>
  <si>
    <t>5,24,84,10,369.00</t>
  </si>
  <si>
    <t>5,42,29,31,558.70</t>
  </si>
  <si>
    <t>3,78,11,91,097.20</t>
  </si>
  <si>
    <t>3,23,00,38,399.65</t>
  </si>
  <si>
    <t>8,96,87,97,499.25</t>
  </si>
  <si>
    <t>9,06,02,24,659.45</t>
  </si>
  <si>
    <t>6,62,60,51,098.65</t>
  </si>
  <si>
    <t>3,11,79,27,466.80</t>
  </si>
  <si>
    <t>3,36,15,55,101.90</t>
  </si>
  <si>
    <t>6,86,05,90,338.25</t>
  </si>
  <si>
    <t>3,97,63,06,074.10</t>
  </si>
  <si>
    <t>2,61,23,98,108.20</t>
  </si>
  <si>
    <t>10,42,16,81,081.05</t>
  </si>
  <si>
    <t>6,32,83,46,244.15</t>
  </si>
  <si>
    <t>12,36,22,22,644.55</t>
  </si>
  <si>
    <t>3,56,71,34,560.35</t>
  </si>
  <si>
    <t>5,46,56,95,132.70</t>
  </si>
  <si>
    <t>4,09,99,16,466.30</t>
  </si>
  <si>
    <t>3,14,44,31,682.05</t>
  </si>
  <si>
    <t>5,95,67,25,495.60</t>
  </si>
  <si>
    <t>14,74,84,33,018.55</t>
  </si>
  <si>
    <t>4,23,44,93,701.85</t>
  </si>
  <si>
    <t>9,33,30,64,294.30</t>
  </si>
  <si>
    <t>5,81,74,85,040.30</t>
  </si>
  <si>
    <t>6,84,16,13,826.05</t>
  </si>
  <si>
    <t>9,03,81,76,739.25</t>
  </si>
  <si>
    <t>8,91,16,59,177.30</t>
  </si>
  <si>
    <t>5,52,88,95,414.85</t>
  </si>
  <si>
    <t>4,23,31,60,326.90</t>
  </si>
  <si>
    <t>7,80,06,52,449.55</t>
  </si>
  <si>
    <t>6,25,56,56,373.25</t>
  </si>
  <si>
    <t>6,37,02,64,307.20</t>
  </si>
  <si>
    <t>8,83,99,30,024.40</t>
  </si>
  <si>
    <t>12,70,24,91,020.45</t>
  </si>
  <si>
    <t>17,89,39,61,935.85</t>
  </si>
  <si>
    <t>9,90,77,71,203.05</t>
  </si>
  <si>
    <t>6,33,20,98,307.30</t>
  </si>
  <si>
    <t>5,99,76,60,207.25</t>
  </si>
  <si>
    <t>8,93,18,46,709.45</t>
  </si>
  <si>
    <t>4,07,52,02,264.90</t>
  </si>
  <si>
    <t>7,83,66,65,097.95</t>
  </si>
  <si>
    <t>7,90,59,15,833.35</t>
  </si>
  <si>
    <t>4,28,65,12,512.75</t>
  </si>
  <si>
    <t>6,82,41,78,083.40</t>
  </si>
  <si>
    <t>4,94,51,04,351.05</t>
  </si>
  <si>
    <t>3,82,59,27,431.85</t>
  </si>
  <si>
    <t>6,90,54,71,880.05</t>
  </si>
  <si>
    <t>4,22,09,97,156.10</t>
  </si>
  <si>
    <t>3,90,71,65,756.85</t>
  </si>
  <si>
    <t>4,27,72,28,029.70</t>
  </si>
  <si>
    <t>4,61,56,46,516.45</t>
  </si>
  <si>
    <t>9,09,82,82,699.20</t>
  </si>
  <si>
    <t>6,56,64,56,115.00</t>
  </si>
  <si>
    <t>9,78,54,77,722.40</t>
  </si>
  <si>
    <t>6,01,10,29,618.05</t>
  </si>
  <si>
    <t>13,95,70,38,228.10</t>
  </si>
  <si>
    <t>7,77,82,30,238.50</t>
  </si>
  <si>
    <t>8,59,86,91,176.90</t>
  </si>
  <si>
    <t>5,77,65,23,794.20</t>
  </si>
  <si>
    <t>7,71,52,80,524.95</t>
  </si>
  <si>
    <t>8,15,88,60,785.30</t>
  </si>
  <si>
    <t>5,24,24,93,795.80</t>
  </si>
  <si>
    <t>6,02,37,50,310.80</t>
  </si>
  <si>
    <t>5,69,76,74,234.65</t>
  </si>
  <si>
    <t>5,34,03,10,573.90</t>
  </si>
  <si>
    <t>5,81,08,70,731.00</t>
  </si>
  <si>
    <t>4,89,74,17,889.10</t>
  </si>
  <si>
    <t>5,28,42,37,636.80</t>
  </si>
  <si>
    <t>2,88,04,11,815.90</t>
  </si>
  <si>
    <t>6,16,23,79,397.35</t>
  </si>
  <si>
    <t>3,30,25,44,309.75</t>
  </si>
  <si>
    <t>2,82,88,32,996.75</t>
  </si>
  <si>
    <t>6,36,90,71,142.95</t>
  </si>
  <si>
    <t>7,65,36,97,871.25</t>
  </si>
  <si>
    <t>12,61,54,32,840.90</t>
  </si>
  <si>
    <t>4,24,87,73,535.65</t>
  </si>
  <si>
    <t>5,28,65,94,132.80</t>
  </si>
  <si>
    <t>6,26,31,65,318.05</t>
  </si>
  <si>
    <t>7,21,34,83,492.20</t>
  </si>
  <si>
    <t>4,51,31,90,673.15</t>
  </si>
  <si>
    <t>3,96,00,32,837.25</t>
  </si>
  <si>
    <t>4,51,27,93,431.70</t>
  </si>
  <si>
    <t>5,67,27,66,834.60</t>
  </si>
  <si>
    <t>3,38,02,86,305.70</t>
  </si>
  <si>
    <t>2,15,47,06,809.40</t>
  </si>
  <si>
    <t>5,67,65,00,784.85</t>
  </si>
  <si>
    <t>5,18,99,84,214.60</t>
  </si>
  <si>
    <t>6,85,71,53,651.65</t>
  </si>
  <si>
    <t>10,22,46,18,507.85</t>
  </si>
  <si>
    <t>5,88,35,05,695.50</t>
  </si>
  <si>
    <t>8,36,24,11,027.50</t>
  </si>
  <si>
    <t>5,68,19,50,426.05</t>
  </si>
  <si>
    <t>7,63,12,35,472.20</t>
  </si>
  <si>
    <t>5,33,44,43,057.90</t>
  </si>
  <si>
    <t>6,22,36,51,577.60</t>
  </si>
  <si>
    <t>3,26,97,11,918.80</t>
  </si>
  <si>
    <t>2,88,68,81,314.85</t>
  </si>
  <si>
    <t>7,62,67,98,175.75</t>
  </si>
  <si>
    <t>10,78,58,70,136.45</t>
  </si>
  <si>
    <t>7,65,54,92,505.50</t>
  </si>
  <si>
    <t>9,07,16,50,104.35</t>
  </si>
  <si>
    <t>3,75,80,63,114.55</t>
  </si>
  <si>
    <t>4,92,38,48,655.80</t>
  </si>
  <si>
    <t>5,51,74,51,893.15</t>
  </si>
  <si>
    <t>9,53,26,79,412.90</t>
  </si>
  <si>
    <t>11,57,18,85,187.30</t>
  </si>
  <si>
    <t>13,70,84,85,407.15</t>
  </si>
  <si>
    <t>8,43,59,17,733.65</t>
  </si>
  <si>
    <t>11,25,41,47,788.10</t>
  </si>
  <si>
    <t>9,77,40,87,061.50</t>
  </si>
  <si>
    <t>2,69,44,27,013.85</t>
  </si>
  <si>
    <t>4,77,03,31,679.80</t>
  </si>
  <si>
    <t>4,27,85,52,724.80</t>
  </si>
  <si>
    <t>5,47,58,58,517.65</t>
  </si>
  <si>
    <t>5,02,63,39,793.80</t>
  </si>
  <si>
    <t>6,55,51,76,631.90</t>
  </si>
  <si>
    <t>4,19,26,56,819.60</t>
  </si>
  <si>
    <t>8,55,31,17,657.75</t>
  </si>
  <si>
    <t>3,50,10,26,096.65</t>
  </si>
  <si>
    <t>3,48,28,63,921.65</t>
  </si>
  <si>
    <t>6,43,19,40,112.45</t>
  </si>
  <si>
    <t>4,09,67,82,375.45</t>
  </si>
  <si>
    <t>10,46,09,38,250.10</t>
  </si>
  <si>
    <t>7,13,06,84,218.55</t>
  </si>
  <si>
    <t>3,28,15,49,026.60</t>
  </si>
  <si>
    <t>4,30,83,92,163.40</t>
  </si>
  <si>
    <t>2,51,31,03,067.75</t>
  </si>
  <si>
    <t>8,27,73,12,766.40</t>
  </si>
  <si>
    <t>8,06,94,22,032.25</t>
  </si>
  <si>
    <t>5,76,98,28,393.55</t>
  </si>
  <si>
    <t>11,77,63,31,084.90</t>
  </si>
  <si>
    <t>1,79,25,50,83,660.80</t>
  </si>
  <si>
    <t>8,98,74,65,219.90</t>
  </si>
  <si>
    <t>12,81,01,87,425.40</t>
  </si>
  <si>
    <t>6,26,12,14,003.60</t>
  </si>
  <si>
    <t>5,52,49,19,470.20</t>
  </si>
  <si>
    <t>5,25,55,34,433.40</t>
  </si>
  <si>
    <t>5,53,02,48,629.80</t>
  </si>
  <si>
    <t>3,68,86,50,527.20</t>
  </si>
  <si>
    <t>4,42,60,07,949.65</t>
  </si>
  <si>
    <t>5,56,30,34,401.50</t>
  </si>
  <si>
    <t>8,86,60,64,896.50</t>
  </si>
  <si>
    <t>7,80,66,98,998.50</t>
  </si>
  <si>
    <t>7,44,07,50,348.70</t>
  </si>
  <si>
    <t>2,92,40,40,280.95</t>
  </si>
  <si>
    <t>3,76,77,81,671.25</t>
  </si>
  <si>
    <t>3,34,39,60,493.95</t>
  </si>
  <si>
    <t>5,25,11,07,254.85</t>
  </si>
  <si>
    <t>5,52,49,85,516.30</t>
  </si>
  <si>
    <t>6,15,85,08,971.45</t>
  </si>
  <si>
    <t>6,94,95,18,762.75</t>
  </si>
  <si>
    <t>4,14,67,14,301.45</t>
  </si>
  <si>
    <t>5,73,45,31,592.15</t>
  </si>
  <si>
    <t>8,97,88,30,736.00</t>
  </si>
  <si>
    <t>5,14,07,85,633.05</t>
  </si>
  <si>
    <t>5,69,19,10,423.45</t>
  </si>
  <si>
    <t>6,61,34,37,048.00</t>
  </si>
  <si>
    <t>5,86,66,30,211.25</t>
  </si>
  <si>
    <t>3,40,83,42,585.95</t>
  </si>
  <si>
    <t>2,84,68,07,822.50</t>
  </si>
  <si>
    <t>2,83,49,24,838.55</t>
  </si>
  <si>
    <t>4,16,16,51,352.25</t>
  </si>
  <si>
    <t>2,59,76,61,683.25</t>
  </si>
  <si>
    <t>3,57,67,13,516.45</t>
  </si>
  <si>
    <t>2,88,91,23,352.95</t>
  </si>
  <si>
    <t>3,59,54,25,226.20</t>
  </si>
  <si>
    <t>4,14,23,30,034.65</t>
  </si>
  <si>
    <t>3,07,46,22,256.70</t>
  </si>
  <si>
    <t>2,84,16,42,514.05</t>
  </si>
  <si>
    <t>2,02,80,12,485.95</t>
  </si>
  <si>
    <t>4,11,38,26,380.95</t>
  </si>
  <si>
    <t>5,06,18,66,238.40</t>
  </si>
  <si>
    <t>3,70,48,82,523.95</t>
  </si>
  <si>
    <t>2,38,30,43,433.05</t>
  </si>
  <si>
    <t>3,32,95,57,179.75</t>
  </si>
  <si>
    <t>2,78,80,74,823.55</t>
  </si>
  <si>
    <t>4,44,68,03,251.75</t>
  </si>
  <si>
    <t>7,94,81,30,344.70</t>
  </si>
  <si>
    <t>5,96,65,72,601.75</t>
  </si>
  <si>
    <t>7,67,05,04,419.40</t>
  </si>
  <si>
    <t>3,51,97,98,904.05</t>
  </si>
  <si>
    <t>3,73,88,41,645.30</t>
  </si>
  <si>
    <t>4,75,95,38,600.10</t>
  </si>
  <si>
    <t>4,06,62,50,194.90</t>
  </si>
  <si>
    <t>3,54,23,55,434.80</t>
  </si>
  <si>
    <t>5,69,20,02,511.40</t>
  </si>
  <si>
    <t>4,51,10,79,760.80</t>
  </si>
  <si>
    <t>3,95,16,69,337.50</t>
  </si>
  <si>
    <t>12,64,96,59,054.30</t>
  </si>
  <si>
    <t>6,78,69,12,397.30</t>
  </si>
  <si>
    <t>7,41,84,16,584.55</t>
  </si>
  <si>
    <t>6,09,71,00,177.45</t>
  </si>
  <si>
    <t>5,23,38,81,432.80</t>
  </si>
  <si>
    <t>4,16,74,97,911.50</t>
  </si>
  <si>
    <t>5,51,78,42,190.00</t>
  </si>
  <si>
    <t>5,00,61,14,050.00</t>
  </si>
  <si>
    <t>10,29,25,36,558.90</t>
  </si>
  <si>
    <t>4,98,47,83,795.80</t>
  </si>
  <si>
    <t>8,04,95,46,791.50</t>
  </si>
  <si>
    <t>5,31,11,34,586.60</t>
  </si>
  <si>
    <t>11,41,58,87,821.05</t>
  </si>
  <si>
    <t>6,50,94,28,201.45</t>
  </si>
  <si>
    <t>3,02,85,06,105.15</t>
  </si>
  <si>
    <t>3,61,66,92,854.60</t>
  </si>
  <si>
    <t>3,80,50,55,609.05</t>
  </si>
  <si>
    <t>3,43,80,66,391.55</t>
  </si>
  <si>
    <t>3,23,75,50,924.50</t>
  </si>
  <si>
    <t>2,35,74,18,512.55</t>
  </si>
  <si>
    <t>3,40,37,29,371.05</t>
  </si>
  <si>
    <t>5,78,91,28,854.55</t>
  </si>
  <si>
    <t>6,43,92,99,773.30</t>
  </si>
  <si>
    <t>8,00,63,79,578.25</t>
  </si>
  <si>
    <t>3,64,39,75,296.25</t>
  </si>
  <si>
    <t>6,02,94,14,917.85</t>
  </si>
  <si>
    <t>4,97,28,36,129.35</t>
  </si>
  <si>
    <t>8,80,36,08,106.55</t>
  </si>
  <si>
    <t>5,81,77,82,528.90</t>
  </si>
  <si>
    <t>8,01,61,25,728.80</t>
  </si>
  <si>
    <t>3,80,71,99,569.50</t>
  </si>
  <si>
    <t>7,12,28,31,971.25</t>
  </si>
  <si>
    <t>6,86,82,13,808.30</t>
  </si>
  <si>
    <t>5,60,55,84,637.30</t>
  </si>
  <si>
    <t>4,92,53,18,576.70</t>
  </si>
  <si>
    <t>3,35,67,45,732.55</t>
  </si>
  <si>
    <t>6,26,20,21,427.10</t>
  </si>
  <si>
    <t>6,06,87,94,009.10</t>
  </si>
  <si>
    <t>3,80,02,78,856.70</t>
  </si>
  <si>
    <t>4,09,35,09,264.00</t>
  </si>
  <si>
    <t>6,41,38,86,116.50</t>
  </si>
  <si>
    <t>9,25,37,41,617.70</t>
  </si>
  <si>
    <t>8,66,91,97,740.65</t>
  </si>
  <si>
    <t>5,40,30,72,501.60</t>
  </si>
  <si>
    <t>47,16,23,300.60</t>
  </si>
  <si>
    <t>10,14,35,43,220.15</t>
  </si>
  <si>
    <t>6,20,59,57,776.10</t>
  </si>
  <si>
    <t>4,88,02,29,507.85</t>
  </si>
  <si>
    <t>7,17,34,91,707.05</t>
  </si>
  <si>
    <t>4,81,15,76,571.15</t>
  </si>
  <si>
    <t>5,42,50,28,130.20</t>
  </si>
  <si>
    <t>7,85,74,95,955.95</t>
  </si>
  <si>
    <t>3,17,40,92,208.20</t>
  </si>
  <si>
    <t>4,13,66,35,461.40</t>
  </si>
  <si>
    <t>4,12,15,88,309.65</t>
  </si>
  <si>
    <t>3,40,78,15,043.20</t>
  </si>
  <si>
    <t>2,69,82,66,556.55</t>
  </si>
  <si>
    <t>4,87,76,32,724.55</t>
  </si>
  <si>
    <t>3,24,93,80,333.55</t>
  </si>
  <si>
    <t>2,68,86,12,018.50</t>
  </si>
  <si>
    <t>25,69,71,82,566.80</t>
  </si>
  <si>
    <t>3,20,01,40,693.40</t>
  </si>
  <si>
    <t>3,10,78,54,790.65</t>
  </si>
  <si>
    <t>3,18,19,92,048.10</t>
  </si>
  <si>
    <t>2,71,45,19,990.35</t>
  </si>
  <si>
    <t>2,36,55,41,111.25</t>
  </si>
  <si>
    <t>4,46,34,45,092.75</t>
  </si>
  <si>
    <t>3,29,87,22,901.65</t>
  </si>
  <si>
    <t>4,60,72,86,432.40</t>
  </si>
  <si>
    <t>3,49,97,92,465.40</t>
  </si>
  <si>
    <t>2,77,86,54,678.40</t>
  </si>
  <si>
    <t>5,41,04,24,427.90</t>
  </si>
  <si>
    <t>3,25,11,35,210.45</t>
  </si>
  <si>
    <t>4,31,23,88,380.25</t>
  </si>
  <si>
    <t>3,24,00,08,562.15</t>
  </si>
  <si>
    <t>1,78,60,97,800.35</t>
  </si>
  <si>
    <t>2,44,02,76,710.15</t>
  </si>
  <si>
    <t>3,79,21,90,139.05</t>
  </si>
  <si>
    <t>2,81,07,30,997.45</t>
  </si>
  <si>
    <t>2,80,88,21,372.05</t>
  </si>
  <si>
    <t>4,96,97,85,471.85</t>
  </si>
  <si>
    <t>3,11,65,64,595.55</t>
  </si>
  <si>
    <t>4,97,73,88,189.80</t>
  </si>
  <si>
    <t>3,23,93,01,844.80</t>
  </si>
  <si>
    <t>2,89,63,90,248.80</t>
  </si>
  <si>
    <t>4,27,67,83,887.20</t>
  </si>
  <si>
    <t>2,75,82,63,703.80</t>
  </si>
  <si>
    <t>4,08,98,15,715.85</t>
  </si>
  <si>
    <t>2,35,24,33,725.00</t>
  </si>
  <si>
    <t>1,27,55,62,322.60</t>
  </si>
  <si>
    <t>2,67,60,07,103.70</t>
  </si>
  <si>
    <t>4,95,12,65,566.85</t>
  </si>
  <si>
    <t>4,00,59,57,774.45</t>
  </si>
  <si>
    <t>1,05,90,29,87,176.30</t>
  </si>
  <si>
    <t>41,53,01,03,424.05</t>
  </si>
  <si>
    <t>16,95,47,86,530.50</t>
  </si>
  <si>
    <t>24,86,24,18,456.65</t>
  </si>
  <si>
    <t>10,06,11,69,190.15</t>
  </si>
  <si>
    <t>12,52,17,21,172.05</t>
  </si>
  <si>
    <t>11,89,84,98,989.60</t>
  </si>
  <si>
    <t>5,45,72,35,038.85</t>
  </si>
  <si>
    <t>8,35,75,06,586.55</t>
  </si>
  <si>
    <t>4,99,45,08,399.30</t>
  </si>
  <si>
    <t>10,10,61,42,548.80</t>
  </si>
  <si>
    <t>5,14,68,96,960.75</t>
  </si>
  <si>
    <t>6,18,66,67,084.45</t>
  </si>
  <si>
    <t>4,62,23,34,427.75</t>
  </si>
  <si>
    <t>6,05,46,14,413.45</t>
  </si>
  <si>
    <t>3,87,76,10,831.50</t>
  </si>
  <si>
    <t>15,31,38,89,340.85</t>
  </si>
  <si>
    <t>9,11,92,02,270.50</t>
  </si>
  <si>
    <t>5,65,20,76,130.50</t>
  </si>
  <si>
    <t>13,50,87,58,883.65</t>
  </si>
  <si>
    <t>10,47,01,59,897.55</t>
  </si>
  <si>
    <t>10,87,03,08,122.70</t>
  </si>
  <si>
    <t>10,47,70,03,433.80</t>
  </si>
  <si>
    <t>3,51,20,93,652.60</t>
  </si>
  <si>
    <t>4,91,83,77,985.90</t>
  </si>
  <si>
    <t>21,95,98,53,321.30</t>
  </si>
  <si>
    <t>6,49,23,54,416.30</t>
  </si>
  <si>
    <t>3,69,67,75,555.25</t>
  </si>
  <si>
    <t>7,88,65,24,787.95</t>
  </si>
  <si>
    <t>4,23,14,13,265.15</t>
  </si>
  <si>
    <t>2,75,33,41,305.65</t>
  </si>
  <si>
    <t>3,70,23,90,906.10</t>
  </si>
  <si>
    <t>12,78,97,37,872.30</t>
  </si>
  <si>
    <t>11,71,90,43,134.90</t>
  </si>
  <si>
    <t>6,55,10,69,293.75</t>
  </si>
  <si>
    <t>3,68,68,34,270.95</t>
  </si>
  <si>
    <t>4,39,07,80,982.05</t>
  </si>
  <si>
    <t>4,24,90,87,939.95</t>
  </si>
  <si>
    <t>4,33,16,78,210.95</t>
  </si>
  <si>
    <t>3,59,49,34,700.80</t>
  </si>
  <si>
    <t>4,37,24,95,896.70</t>
  </si>
  <si>
    <t>6,94,83,00,891.05</t>
  </si>
  <si>
    <t>7,55,00,27,631.80</t>
  </si>
  <si>
    <t>6,19,48,01,511.75</t>
  </si>
  <si>
    <t>6,60,78,51,781.95</t>
  </si>
  <si>
    <t>4,29,82,50,338.75</t>
  </si>
  <si>
    <t>5,62,91,05,639.75</t>
  </si>
  <si>
    <t>4,58,65,23,806.05</t>
  </si>
  <si>
    <t>7,13,33,63,402.95</t>
  </si>
  <si>
    <t>7,76,97,61,466.10</t>
  </si>
  <si>
    <t>11,44,70,19,039.80</t>
  </si>
  <si>
    <t>7,85,03,94,221.15</t>
  </si>
  <si>
    <t>5,09,42,80,816.95</t>
  </si>
  <si>
    <t>5,35,12,44,310.05</t>
  </si>
  <si>
    <t>17,79,74,84,427.15</t>
  </si>
  <si>
    <t>9,28,18,62,168.35</t>
  </si>
  <si>
    <t>9,69,28,40,542.60</t>
  </si>
  <si>
    <t>7,76,17,78,320.60</t>
  </si>
  <si>
    <t>6,52,71,61,794.45</t>
  </si>
  <si>
    <t>7,13,34,59,794.75</t>
  </si>
  <si>
    <t>5,44,11,67,899.30</t>
  </si>
  <si>
    <t>sentiment analysis</t>
  </si>
  <si>
    <t xml:space="preserve">RELIANCE </t>
  </si>
  <si>
    <t>Year</t>
  </si>
  <si>
    <t>Company</t>
  </si>
  <si>
    <t>Headline</t>
  </si>
  <si>
    <t>Sentiment</t>
  </si>
  <si>
    <t>Score</t>
  </si>
  <si>
    <t>Reliance</t>
  </si>
  <si>
    <t>Reliance Industries profit more than doubles in March quarter</t>
  </si>
  <si>
    <t>Very Positive</t>
  </si>
  <si>
    <t>Reliance unveils $10 billion plan for solar and energy storage</t>
  </si>
  <si>
    <t>Reliance Industries Q1 results: Profit after tax jumps 67% YoY</t>
  </si>
  <si>
    <t>Reliance Jio Q1 results: Net profit rises 39% YoY</t>
  </si>
  <si>
    <t>Reliance Industries Q1 FY22: Digital and renewable businesses may drive re-rating</t>
  </si>
  <si>
    <t>Reliance buys REC Solar for $771 million in green energy push</t>
  </si>
  <si>
    <t>RIL goes big on execution to make the most of solar value chain</t>
  </si>
  <si>
    <t>Reliance green energy business may contribute 10% of EBITDA in 5 years</t>
  </si>
  <si>
    <t>Positive</t>
  </si>
  <si>
    <t>Reliance New Energy Solar acquires 100% stake in Faradion Limited</t>
  </si>
  <si>
    <t>Reliance Industries maintains growth momentum across retail and telecom businesses</t>
  </si>
  <si>
    <t>Average</t>
  </si>
  <si>
    <t>No.</t>
  </si>
  <si>
    <t>Source</t>
  </si>
  <si>
    <t>Reliance Industries Q4 results expected to remain strong on telecom and retail growth</t>
  </si>
  <si>
    <t>Moneycontrol</t>
  </si>
  <si>
    <t>Reliance Industries posts robust quarterly earnings led by retail and Jio</t>
  </si>
  <si>
    <t>Reliance accelerates green energy investments with solar manufacturing plans</t>
  </si>
  <si>
    <t>Economic Times</t>
  </si>
  <si>
    <t>Reliance Industries AGM highlights expansion roadmap across digital and energy businesses</t>
  </si>
  <si>
    <t>Reliance Retail continues aggressive store expansion across India</t>
  </si>
  <si>
    <t>Business Standard</t>
  </si>
  <si>
    <t>Reliance Industries Q2: Consumption-oriented telecom and retail segments drive growth</t>
  </si>
  <si>
    <t>Reliance Jio adds subscribers as telecom business strengthens</t>
  </si>
  <si>
    <t>Reuters</t>
  </si>
  <si>
    <t>Reliance Retail takeover of Metro India operations to boost new commerce business</t>
  </si>
  <si>
    <t>Reliance Industries Q3 results reflect broad-based business resilience</t>
  </si>
  <si>
    <t>Reliance shares supported by steady growth in retail and telecom segments</t>
  </si>
  <si>
    <t>Mint</t>
  </si>
  <si>
    <t>average</t>
  </si>
  <si>
    <t>Reliance Q4 results expected to be supported by telecom and retail growth</t>
  </si>
  <si>
    <t>Reliance Q1 results: New businesses cover weakness of legacy business</t>
  </si>
  <si>
    <t>What can RIL shareholders expect from Jio Financial Services listing?</t>
  </si>
  <si>
    <t>Jio Financial Services listing unlocks value for Reliance investors</t>
  </si>
  <si>
    <t>RIL strong earnings growth led by consumer-facing businesses</t>
  </si>
  <si>
    <t>Reliance Retail festive demand boosts growth momentum</t>
  </si>
  <si>
    <t>RIL Q3 results reflect broad-based business strength</t>
  </si>
  <si>
    <t>Reliance Jio continues subscriber gains amid stable pricing</t>
  </si>
  <si>
    <t>Reliance renewable energy strategy gathers execution pace</t>
  </si>
  <si>
    <t>Reliance shares supported by diversified earnings streams</t>
  </si>
  <si>
    <t>RIL Q4: Superb execution, upbeat outlook</t>
  </si>
  <si>
    <t>Reliance retail growth and telecom strength support earnings momentum</t>
  </si>
  <si>
    <t>Reliance expands renewable energy projects with execution focus</t>
  </si>
  <si>
    <t>Reliance Industries Q1: Positive results, favourable outlook</t>
  </si>
  <si>
    <t>RIL bonus issue adds draw for shareholders in strong growth business</t>
  </si>
  <si>
    <t>Bigger bonus for RIL shareholders lies in medium-term growth blueprint</t>
  </si>
  <si>
    <t>Reliance festive season retail demand boosts consumer business outlook</t>
  </si>
  <si>
    <t>Reliance Jio sustains subscriber additions and tariff optimism</t>
  </si>
  <si>
    <t>Reliance diversified businesses help maintain earnings resilience</t>
  </si>
  <si>
    <t>Reliance shares supported by steady growth in retail telecom and energy</t>
  </si>
  <si>
    <t xml:space="preserve">average </t>
  </si>
  <si>
    <t>Reliance begins FY26 with steady momentum across retail and telecom businesses</t>
  </si>
  <si>
    <t>Reliance Jio subscriber growth and tariff gains support earnings outlook</t>
  </si>
  <si>
    <t>Reliance accelerates solar and green hydrogen investments</t>
  </si>
  <si>
    <t>Reliance Q1 results expected to reflect diversified earnings strength</t>
  </si>
  <si>
    <t>Reliance Industries AGM: Meta AI JV and Jio IPO create compelling investment case</t>
  </si>
  <si>
    <t>Reliance Retail festive demand outlook remains upbeat</t>
  </si>
  <si>
    <t>Reliance strong quarterly growth led by consumer-facing businesses</t>
  </si>
  <si>
    <t>Reliance renewable projects execution gathers pace ahead of FY26 goals</t>
  </si>
  <si>
    <t>Reliance shares supported by resilient telecom and retail cash flows</t>
  </si>
  <si>
    <t>Reliance narrative evolves with subtle valuation shifts</t>
  </si>
  <si>
    <t>Simply Wall St</t>
  </si>
  <si>
    <t>Neutral</t>
  </si>
  <si>
    <t>HDFC Bank</t>
  </si>
  <si>
    <t>HDFC Bank posts steady Q4 earnings despite pandemic pressure</t>
  </si>
  <si>
    <t>HDFC Bank credit card spends rebound strongly</t>
  </si>
  <si>
    <t>HDFC Bank loan growth improves as economy reopens</t>
  </si>
  <si>
    <t>HDFC Bank Q1 profit rises on lower provisions</t>
  </si>
  <si>
    <t>HDFC Bank digital banking users rise sharply</t>
  </si>
  <si>
    <t>HDFC Bank expands rural branch footprint</t>
  </si>
  <si>
    <t>HDFC Bank festive demand lifts retail loans</t>
  </si>
  <si>
    <t>HDFC Bank asset quality remains stable</t>
  </si>
  <si>
    <t>HDFC Bank Q3 earnings beat estimates</t>
  </si>
  <si>
    <t>HDFC Bank maintains strong deposit franchise</t>
  </si>
  <si>
    <t>AVERAGE</t>
  </si>
  <si>
    <t>HDFC Ltd and HDFC Bank announce historic merger</t>
  </si>
  <si>
    <t>HDFC Bank merger seen creating financial giant</t>
  </si>
  <si>
    <t>HDFC Bank loan growth remains robust</t>
  </si>
  <si>
    <t>HDFC Bank Q1 profit jumps on strong demand</t>
  </si>
  <si>
    <t>HDFC Bank digital services continue expansion</t>
  </si>
  <si>
    <t>HDFC Bank adds branches in growth markets</t>
  </si>
  <si>
    <t>HDFC Bank reports healthy deposit growth</t>
  </si>
  <si>
    <t>HDFC Bank merger integration plans progress</t>
  </si>
  <si>
    <t>HDFC Bank Q3 earnings strong as margins improve</t>
  </si>
  <si>
    <t>HDFC Bank remains top private lender by market value</t>
  </si>
  <si>
    <t>HDFC Bank prepares for merger completion</t>
  </si>
  <si>
    <t>HDFC Bank completes merger with HDFC Ltd</t>
  </si>
  <si>
    <t>HDFC Bank becomes among world's largest banks by market cap</t>
  </si>
  <si>
    <t>HDFC Bank integration expected to unlock synergies</t>
  </si>
  <si>
    <t>HDFC Bank Q2 profit rises on retail loan momentum</t>
  </si>
  <si>
    <t>HDFC Bank deposit mobilisation remains strong</t>
  </si>
  <si>
    <t>HDFC Bank reports strong Q3 earnings despite costs</t>
  </si>
  <si>
    <t>HDFC Bank branch network expansion continues</t>
  </si>
  <si>
    <t>HDFC Bank valuation comfort attracts investors</t>
  </si>
  <si>
    <t>HDFC Bank asset quality stays healthy</t>
  </si>
  <si>
    <t>HDFC Bank focuses on post-merger synergy gains</t>
  </si>
  <si>
    <t>HDFC Bank loan pipeline remains healthy</t>
  </si>
  <si>
    <t>HDFC Bank Q1 earnings supported by loan growth</t>
  </si>
  <si>
    <t>HDFC Bank CASA ratio stabilises</t>
  </si>
  <si>
    <t>HDFC Bank margins stable as deposit costs ease</t>
  </si>
  <si>
    <t>HDFC Bank digital lending gains traction</t>
  </si>
  <si>
    <t>HDFC Bank branch additions strengthen reach</t>
  </si>
  <si>
    <t>HDFC Bank Q3 profit beats expectations</t>
  </si>
  <si>
    <t>HDFC Bank asset quality improves further</t>
  </si>
  <si>
    <t>HDFC Bank shares rebound on earnings optimism</t>
  </si>
  <si>
    <t>HDFC Bank begins FY26 with steady loan momentum</t>
  </si>
  <si>
    <t>HDFC Bank deposit growth remains solid</t>
  </si>
  <si>
    <t>HDFC Bank Q1 earnings reflect resilient growth</t>
  </si>
  <si>
    <t>HDFC Bank digital ecosystem expands further</t>
  </si>
  <si>
    <t>HDFC Bank deposit franchise remains industry leader</t>
  </si>
  <si>
    <t>HDFC Bank retail lending stays strong</t>
  </si>
  <si>
    <t>HDFC Bank reports strong Q3 profit growth</t>
  </si>
  <si>
    <t>HDFC Bank valuation seen attractive after correction</t>
  </si>
  <si>
    <t>HDFC Bank asset quality remains healthy</t>
  </si>
  <si>
    <t>HDFC Bank investors upbeat on steady returns</t>
  </si>
  <si>
    <t>Asian Paints</t>
  </si>
  <si>
    <t>Asian Paints posts resilient Q4 earnings despite lockdown disruptions</t>
  </si>
  <si>
    <t>Asian Paints demand remains healthy in home improvement segment</t>
  </si>
  <si>
    <t>Asian Paints expands manufacturing capacity to meet rising demand</t>
  </si>
  <si>
    <t>Asian Paints Q1 profit jumps on strong decorative paints sales</t>
  </si>
  <si>
    <t>Asian Paints launches premium product range for urban markets</t>
  </si>
  <si>
    <t>Asian Paints distribution network strengthens across tier-2 cities</t>
  </si>
  <si>
    <t>Festive season demand boosts Asian Paints sales outlook</t>
  </si>
  <si>
    <t>Asian Paints maintains market leadership amid rising competition</t>
  </si>
  <si>
    <t>Asian Paints Q3 earnings beat estimates despite raw material inflation</t>
  </si>
  <si>
    <t>Asian Paints enters FY23 with strong dealer momentum</t>
  </si>
  <si>
    <t>Asian Paints expects demand recovery with easing inflation concerns</t>
  </si>
  <si>
    <t>Asian Paints Q4 profit rises on volume growth</t>
  </si>
  <si>
    <t>Asian Paints expands waterproofing and home décor portfolio</t>
  </si>
  <si>
    <t>Asian Paints sees strong urban demand in decorative segment</t>
  </si>
  <si>
    <t>Asian Paints launches new digital customer experience platform</t>
  </si>
  <si>
    <t>Asian Paints distribution reach widens in southern markets</t>
  </si>
  <si>
    <t>Festive demand lifts Asian Paints quarterly outlook</t>
  </si>
  <si>
    <t>Asian Paints input cost pressure eases gradually</t>
  </si>
  <si>
    <t>Asian Paints Q3 earnings supported by margin recovery</t>
  </si>
  <si>
    <t>Asian Paints shares gain on improving profitability outlook</t>
  </si>
  <si>
    <t>Asian Paints begins FY24 with healthy decorative demand</t>
  </si>
  <si>
    <t>Asian Paints Q4 results show steady volume growth</t>
  </si>
  <si>
    <t>Asian Paints premium segment drives higher realizations</t>
  </si>
  <si>
    <t>Asian Paints expands home décor strategy across metros</t>
  </si>
  <si>
    <t>Asian Paints strengthens waterproofing business with new launches</t>
  </si>
  <si>
    <t>Asian Paints Q2 earnings rise on easing raw material costs</t>
  </si>
  <si>
    <t>Festive demand supports Asian Paints sales momentum</t>
  </si>
  <si>
    <t>Asian Paints Q3 margins improve sharply</t>
  </si>
  <si>
    <t>Asian Paints valuation remains premium amid leadership position</t>
  </si>
  <si>
    <t>Asian Paints enters FY25 with strong distribution reach</t>
  </si>
  <si>
    <t>Asian Paints sees steady summer season demand</t>
  </si>
  <si>
    <t>Asian Paints Q4 profit supported by lower input costs</t>
  </si>
  <si>
    <t>Asian Paints expands smart home décor offerings</t>
  </si>
  <si>
    <t>Asian Paints urban demand remains resilient</t>
  </si>
  <si>
    <t>Asian Paints dealer network expansion continues</t>
  </si>
  <si>
    <t>Asian Paints Q2 earnings beat street estimates</t>
  </si>
  <si>
    <t>Festive repainting demand boosts sales outlook</t>
  </si>
  <si>
    <t>Asian Paints Q3 margins remain healthy</t>
  </si>
  <si>
    <t>Asian Paints premium products gain traction</t>
  </si>
  <si>
    <t>Asian Paints shares supported by stable growth outlook</t>
  </si>
  <si>
    <t>Asian Paints begins FY26 with steady decorative demand</t>
  </si>
  <si>
    <t>Asian Paints Q4 earnings reflect resilient margins</t>
  </si>
  <si>
    <t>Asian Paints expands waterproofing and adhesives business</t>
  </si>
  <si>
    <t>Asian Paints premium portfolio drives growth</t>
  </si>
  <si>
    <t>Asian Paints dealer additions strengthen market reach</t>
  </si>
  <si>
    <t>Asian Paints Q2 profit rises on cost efficiency</t>
  </si>
  <si>
    <t>Festive demand supports strong quarter for Asian Paints</t>
  </si>
  <si>
    <t>Asian Paints Q3 earnings remain robust</t>
  </si>
  <si>
    <t>Asian Paints valuation remains attractive after correction</t>
  </si>
  <si>
    <t>Asian Paints investors optimistic on stable growth path</t>
  </si>
  <si>
    <t>TATASTEEL</t>
  </si>
  <si>
    <t>Tata Steel</t>
  </si>
  <si>
    <t>Tata Steel posts strong quarterly earnings on higher steel prices</t>
  </si>
  <si>
    <t>Tata Steel deleveraging plan gains pace after robust cash flows</t>
  </si>
  <si>
    <t>Tata Steel India operations deliver record margins</t>
  </si>
  <si>
    <t>Tata Steel expands capacity to meet infrastructure demand</t>
  </si>
  <si>
    <t>Tata Steel Europe turnaround gathers momentum</t>
  </si>
  <si>
    <t>Tata Steel announces dividend after strong performance</t>
  </si>
  <si>
    <t>Tata Steel Q2 earnings beat estimates significantly</t>
  </si>
  <si>
    <t>Tata Steel debt falls sharply on strong profitability</t>
  </si>
  <si>
    <t>Tata Steel Q3 results supported by healthy realizations</t>
  </si>
  <si>
    <t>Tata Steel enters FY23 with solid demand outlook</t>
  </si>
  <si>
    <t xml:space="preserve">AVERAGE </t>
  </si>
  <si>
    <t>Tata Steel acquires Neelachal Ispat in strategic expansion move</t>
  </si>
  <si>
    <t>Tata Steel posts strong annual profit despite cost pressures</t>
  </si>
  <si>
    <t>Tata Steel begins integration of acquired assets</t>
  </si>
  <si>
    <t>Tata Steel domestic volumes remain resilient</t>
  </si>
  <si>
    <t>Tata Steel focuses on high-value product mix improvement</t>
  </si>
  <si>
    <t>Tata Steel Q2 earnings impacted by Europe slowdown</t>
  </si>
  <si>
    <t>Tata Steel cost control measures support margins</t>
  </si>
  <si>
    <t>Tata Steel India remains strong growth driver</t>
  </si>
  <si>
    <t>Tata Steel Q3 results reflect mixed global environment</t>
  </si>
  <si>
    <t>Tata Steel shares supported by long-term capex story</t>
  </si>
  <si>
    <t>Tata Steel begins FY24 with stable domestic demand</t>
  </si>
  <si>
    <t>Tata Steel annual earnings pressured by lower steel prices</t>
  </si>
  <si>
    <t>Tata Steel advances green steel roadmap</t>
  </si>
  <si>
    <t>Tata Steel India margins improve sequentially</t>
  </si>
  <si>
    <t>Tata Steel Europe restructuring gains traction</t>
  </si>
  <si>
    <t>Tata Steel Q2 results beat subdued expectations</t>
  </si>
  <si>
    <t>Tata Steel demand outlook supported by infrastructure push</t>
  </si>
  <si>
    <t>Tata Steel Q3 earnings steady amid pricing pressure</t>
  </si>
  <si>
    <t>Tata Steel debt reduction continues gradually</t>
  </si>
  <si>
    <t>Tata Steel valuation improves with cyclical recovery hopes</t>
  </si>
  <si>
    <t>Tata Steel starts FY25 with steady domestic volumes</t>
  </si>
  <si>
    <t>Tata Steel Q4 earnings supported by India business</t>
  </si>
  <si>
    <t>Tata Steel Europe transition plan progresses</t>
  </si>
  <si>
    <t>Tata Steel capex pipeline remains on track</t>
  </si>
  <si>
    <t>Tata Steel focus on value-added products boosts mix</t>
  </si>
  <si>
    <t>Tata Steel Q2 profit rises on lower coking coal costs</t>
  </si>
  <si>
    <t>Tata Steel demand outlook brightens on construction activity</t>
  </si>
  <si>
    <t>Tata Steel Q3 margins improve sequentially</t>
  </si>
  <si>
    <t>Tata Steel balance sheet remains comfortable</t>
  </si>
  <si>
    <t>Tata Steel shares gain on cyclical recovery optimism</t>
  </si>
  <si>
    <t>Tata Steel begins FY26 with stable steel demand outlook</t>
  </si>
  <si>
    <t>Tata Steel Q4 earnings reflect disciplined cost control</t>
  </si>
  <si>
    <t>Tata Steel green steel investments gather pace</t>
  </si>
  <si>
    <t>Tata Steel India profitability remains resilient</t>
  </si>
  <si>
    <t>Tata Steel Europe restructuring enters next phase</t>
  </si>
  <si>
    <t>Tata Steel Q2 profit rises on stronger realizations</t>
  </si>
  <si>
    <t>Tata Steel infrastructure demand supports volumes</t>
  </si>
  <si>
    <t>Tata Steel Q3 earnings steady despite volatility</t>
  </si>
  <si>
    <t>Tata Steel debt profile remains healthy</t>
  </si>
  <si>
    <t>Tata Steel investors optimistic on recovery cycle</t>
  </si>
  <si>
    <t>ITC cigarette volumes recover sharply after reopening</t>
  </si>
  <si>
    <t>ITC Q4 earnings rise on FMCG and hotels momentum</t>
  </si>
  <si>
    <t>ITC hotels business turns profitable again</t>
  </si>
  <si>
    <t>ITC FMCG portfolio expands with premium launches</t>
  </si>
  <si>
    <t>ITC shares hit multi-year high on earnings optimism</t>
  </si>
  <si>
    <t>ITC agri exports remain growth driver</t>
  </si>
  <si>
    <t>ITC Q2 earnings beat street estimates</t>
  </si>
  <si>
    <t>ITC demerger speculation lifts investor interest</t>
  </si>
  <si>
    <t>ITC Q3 margins improve despite inflation pressures</t>
  </si>
  <si>
    <t>ITC remains top defensive pick among FMCG stocks</t>
  </si>
  <si>
    <t>ITC begins FY24 with strong cigarette pricing power</t>
  </si>
  <si>
    <t>ITC Q4 earnings rise on FMCG and hotels growth</t>
  </si>
  <si>
    <t>ITC hotels demerger plan unlocks shareholder value</t>
  </si>
  <si>
    <t>ITC FMCG business narrows losses further</t>
  </si>
  <si>
    <t>ITC shares gain on hotels listing optimism</t>
  </si>
  <si>
    <t>ITC Q2 results reflect broad-based growth momentum</t>
  </si>
  <si>
    <t>ITC agri business remains resilient</t>
  </si>
  <si>
    <t>ITC Q3 profit rises despite commodity pressures</t>
  </si>
  <si>
    <t>ITC valuation remains attractive versus peers</t>
  </si>
  <si>
    <t>ITC investors upbeat on stable dividends</t>
  </si>
  <si>
    <t>ITC starts FY25 with resilient FMCG demand</t>
  </si>
  <si>
    <t>ITC Q4 earnings supported by cigarettes and hotels</t>
  </si>
  <si>
    <t>ITC FMCG profitability improves gradually</t>
  </si>
  <si>
    <t>ITC agri exports continue steady growth</t>
  </si>
  <si>
    <t>ITC premium personal care portfolio expands</t>
  </si>
  <si>
    <t>ITC Q2 earnings beat estimates on margin gains</t>
  </si>
  <si>
    <t>ITC hotel business benefits from travel demand</t>
  </si>
  <si>
    <t>ITC Q3 profit rises on diversified growth</t>
  </si>
  <si>
    <t>ITC shares supported by dividend appeal</t>
  </si>
  <si>
    <t>ITC remains stable defensive stock in volatile market</t>
  </si>
  <si>
    <t>ITC begins FY26 with steady cigarettes volume growth</t>
  </si>
  <si>
    <t>ITC Q4 earnings reflect resilient cash generation</t>
  </si>
  <si>
    <t>ITC FMCG portfolio continues premiumisation push</t>
  </si>
  <si>
    <t>ITC hotel business sustains occupancy gains</t>
  </si>
  <si>
    <t>ITC agri segment supports diversified earnings</t>
  </si>
  <si>
    <t>ITC Q2 profit rises on margin discipline</t>
  </si>
  <si>
    <t>ITC dividend yield remains attractive to investors</t>
  </si>
  <si>
    <t>ITC Q3 results steady despite input volatility</t>
  </si>
  <si>
    <t>ITC valuation seen reasonable after correction</t>
  </si>
  <si>
    <t>ITC investors optimistic on stable long-term returns</t>
  </si>
  <si>
    <t>summary</t>
  </si>
  <si>
    <t xml:space="preserve">Year </t>
  </si>
  <si>
    <t xml:space="preserve">Ticker </t>
  </si>
  <si>
    <t xml:space="preserve">Average Volume </t>
  </si>
  <si>
    <t>Sentiment score</t>
  </si>
  <si>
    <t>Directional indicator</t>
  </si>
  <si>
    <t>2021–2022</t>
  </si>
  <si>
    <t>2022–2023</t>
  </si>
  <si>
    <t xml:space="preserve">Reliance </t>
  </si>
  <si>
    <t>AsianPaint</t>
  </si>
  <si>
    <t>CORRELATION ANALYSIS</t>
  </si>
  <si>
    <t>Variables</t>
  </si>
  <si>
    <t>Volatility</t>
  </si>
  <si>
    <t>Average Volume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</si>
  <si>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</si>
  <si>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</si>
  <si>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</si>
  <si>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</si>
  <si>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</si>
  <si>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</si>
  <si>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</si>
  <si>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</si>
  <si>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</si>
  <si>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</si>
  <si>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</si>
  <si>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</si>
  <si>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</si>
  <si>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</si>
  <si>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</si>
  <si>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</si>
  <si>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</si>
  <si>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</si>
  <si>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</si>
  <si>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</si>
  <si>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</si>
  <si>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</si>
  <si>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</si>
  <si>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</si>
  <si>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</si>
  <si>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X Variable 2</t>
  </si>
  <si>
    <t>X Variable 3</t>
  </si>
  <si>
    <t>X Variable 4</t>
  </si>
  <si>
    <t>RESIDUAL OUTPUT</t>
  </si>
  <si>
    <t>Observation</t>
  </si>
  <si>
    <t>Predicted Y</t>
  </si>
  <si>
    <t>Residuals</t>
  </si>
  <si>
    <t>Sheet19</t>
  </si>
  <si>
    <t>RELIANCE</t>
  </si>
  <si>
    <t>Actual Return</t>
  </si>
  <si>
    <t xml:space="preserve">Price only </t>
  </si>
  <si>
    <t>ARIMA Forecast</t>
  </si>
  <si>
    <t>Random Forest Forecast</t>
  </si>
  <si>
    <t xml:space="preserve">                                -</t>
  </si>
  <si>
    <t>Model</t>
  </si>
  <si>
    <t>MAE</t>
  </si>
  <si>
    <t>RMSE</t>
  </si>
  <si>
    <t>R²</t>
  </si>
  <si>
    <t>Price only benchmark</t>
  </si>
  <si>
    <t>ARIMA</t>
  </si>
  <si>
    <t>Random Forest</t>
  </si>
  <si>
    <t>Sheet21</t>
  </si>
</sst>
</file>

<file path=xl/styles.xml><?xml version="1.0" encoding="utf-8"?>
<styleSheet xmlns="http://schemas.openxmlformats.org/spreadsheetml/2006/main">
  <numFmts count="8">
    <numFmt numFmtId="0" formatCode="General"/>
    <numFmt numFmtId="59" formatCode="dd-mmm-yyyy"/>
    <numFmt numFmtId="60" formatCode="d-mmm-yyyy"/>
    <numFmt numFmtId="61" formatCode="dd-mmmm-yyyy"/>
    <numFmt numFmtId="62" formatCode="d-mmmm-yyyy"/>
    <numFmt numFmtId="63" formatCode="mmm-yyyy"/>
    <numFmt numFmtId="64" formatCode="mmmm-yyyy"/>
    <numFmt numFmtId="65" formatCode="0.000"/>
  </numFmts>
  <fonts count="11">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8"/>
      <color indexed="8"/>
      <name val="&quot;Helvetica Neue&quot;"/>
    </font>
    <font>
      <sz val="8"/>
      <color indexed="8"/>
      <name val="&quot;Helvetica Neue&quot;"/>
    </font>
    <font>
      <b val="1"/>
      <sz val="10"/>
      <color indexed="8"/>
      <name val="Arial"/>
    </font>
    <font>
      <sz val="8"/>
      <color indexed="8"/>
      <name val="Helvetica"/>
    </font>
    <font>
      <b val="1"/>
      <sz val="8"/>
      <color indexed="8"/>
      <name val="Helvetica"/>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54">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12"/>
      </left>
      <right/>
      <top style="thin">
        <color indexed="8"/>
      </top>
      <bottom/>
      <diagonal/>
    </border>
    <border>
      <left/>
      <right style="thin">
        <color indexed="12"/>
      </right>
      <top style="thin">
        <color indexed="8"/>
      </top>
      <bottom style="thin">
        <color indexed="12"/>
      </bottom>
      <diagonal/>
    </border>
    <border>
      <left style="thin">
        <color indexed="12"/>
      </left>
      <right/>
      <top/>
      <bottom/>
      <diagonal/>
    </border>
    <border>
      <left/>
      <right style="thin">
        <color indexed="12"/>
      </right>
      <top style="thin">
        <color indexed="12"/>
      </top>
      <bottom style="thin">
        <color indexed="12"/>
      </bottom>
      <diagonal/>
    </border>
    <border>
      <left style="thin">
        <color indexed="12"/>
      </left>
      <right/>
      <top/>
      <bottom style="thin">
        <color indexed="12"/>
      </bottom>
      <diagonal/>
    </border>
    <border>
      <left style="thin">
        <color indexed="16"/>
      </left>
      <right/>
      <top style="thin">
        <color indexed="16"/>
      </top>
      <bottom/>
      <diagonal/>
    </border>
    <border>
      <left/>
      <right/>
      <top style="thin">
        <color indexed="16"/>
      </top>
      <bottom/>
      <diagonal/>
    </border>
    <border>
      <left/>
      <right style="thin">
        <color indexed="16"/>
      </right>
      <top style="thin">
        <color indexed="16"/>
      </top>
      <bottom/>
      <diagonal/>
    </border>
    <border>
      <left style="thin">
        <color indexed="16"/>
      </left>
      <right style="thin">
        <color indexed="12"/>
      </right>
      <top style="thin">
        <color indexed="12"/>
      </top>
      <bottom style="thin">
        <color indexed="12"/>
      </bottom>
      <diagonal/>
    </border>
    <border>
      <left style="thin">
        <color indexed="16"/>
      </left>
      <right/>
      <top/>
      <bottom/>
      <diagonal/>
    </border>
    <border>
      <left/>
      <right/>
      <top/>
      <bottom/>
      <diagonal/>
    </border>
    <border>
      <left/>
      <right style="thin">
        <color indexed="16"/>
      </right>
      <top/>
      <bottom/>
      <diagonal/>
    </border>
    <border>
      <left style="thin">
        <color indexed="16"/>
      </left>
      <right/>
      <top/>
      <bottom style="thin">
        <color indexed="16"/>
      </bottom>
      <diagonal/>
    </border>
    <border>
      <left/>
      <right/>
      <top/>
      <bottom style="thin">
        <color indexed="16"/>
      </bottom>
      <diagonal/>
    </border>
    <border>
      <left/>
      <right style="thin">
        <color indexed="16"/>
      </right>
      <top/>
      <bottom style="thin">
        <color indexed="16"/>
      </bottom>
      <diagonal/>
    </border>
    <border>
      <left style="thin">
        <color indexed="12"/>
      </left>
      <right style="thin">
        <color indexed="12"/>
      </right>
      <top style="thin">
        <color indexed="16"/>
      </top>
      <bottom style="thin">
        <color indexed="12"/>
      </bottom>
      <diagonal/>
    </border>
    <border>
      <left style="thin">
        <color indexed="12"/>
      </left>
      <right style="thin">
        <color indexed="12"/>
      </right>
      <top style="thin">
        <color indexed="12"/>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2"/>
      </right>
      <top style="thin">
        <color indexed="12"/>
      </top>
      <bottom style="thin">
        <color indexed="12"/>
      </bottom>
      <diagonal/>
    </border>
    <border>
      <left style="thin">
        <color indexed="18"/>
      </left>
      <right style="thin">
        <color indexed="12"/>
      </right>
      <top style="thin">
        <color indexed="18"/>
      </top>
      <bottom style="thin">
        <color indexed="12"/>
      </bottom>
      <diagonal/>
    </border>
    <border>
      <left style="thin">
        <color indexed="12"/>
      </left>
      <right style="thin">
        <color indexed="12"/>
      </right>
      <top style="thin">
        <color indexed="18"/>
      </top>
      <bottom style="thin">
        <color indexed="12"/>
      </bottom>
      <diagonal/>
    </border>
    <border>
      <left style="thin">
        <color indexed="12"/>
      </left>
      <right style="thin">
        <color indexed="12"/>
      </right>
      <top style="thin">
        <color indexed="12"/>
      </top>
      <bottom style="thin">
        <color indexed="20"/>
      </bottom>
      <diagonal/>
    </border>
    <border>
      <left style="thin">
        <color indexed="20"/>
      </left>
      <right style="thin">
        <color indexed="20"/>
      </right>
      <top style="thin">
        <color indexed="20"/>
      </top>
      <bottom style="thin">
        <color indexed="20"/>
      </bottom>
      <diagonal/>
    </border>
    <border>
      <left style="thin">
        <color indexed="20"/>
      </left>
      <right style="thin">
        <color indexed="20"/>
      </right>
      <top style="thin">
        <color indexed="20"/>
      </top>
      <bottom style="medium">
        <color indexed="8"/>
      </bottom>
      <diagonal/>
    </border>
    <border>
      <left style="thin">
        <color indexed="20"/>
      </left>
      <right style="thin">
        <color indexed="12"/>
      </right>
      <top style="medium">
        <color indexed="8"/>
      </top>
      <bottom style="thin">
        <color indexed="8"/>
      </bottom>
      <diagonal/>
    </border>
    <border>
      <left style="thin">
        <color indexed="12"/>
      </left>
      <right style="thin">
        <color indexed="20"/>
      </right>
      <top style="medium">
        <color indexed="8"/>
      </top>
      <bottom style="thin">
        <color indexed="8"/>
      </bottom>
      <diagonal/>
    </border>
    <border>
      <left style="thin">
        <color indexed="20"/>
      </left>
      <right style="thin">
        <color indexed="20"/>
      </right>
      <top style="thin">
        <color indexed="8"/>
      </top>
      <bottom style="thin">
        <color indexed="20"/>
      </bottom>
      <diagonal/>
    </border>
    <border>
      <left style="thin">
        <color indexed="20"/>
      </left>
      <right style="thin">
        <color indexed="20"/>
      </right>
      <top style="medium">
        <color indexed="8"/>
      </top>
      <bottom style="thin">
        <color indexed="20"/>
      </bottom>
      <diagonal/>
    </border>
    <border>
      <left style="thin">
        <color indexed="20"/>
      </left>
      <right style="thin">
        <color indexed="20"/>
      </right>
      <top style="medium">
        <color indexed="8"/>
      </top>
      <bottom style="thin">
        <color indexed="8"/>
      </bottom>
      <diagonal/>
    </border>
    <border>
      <left style="thin">
        <color indexed="20"/>
      </left>
      <right style="thin">
        <color indexed="20"/>
      </right>
      <top style="medium">
        <color indexed="8"/>
      </top>
      <bottom style="medium">
        <color indexed="8"/>
      </bottom>
      <diagonal/>
    </border>
    <border>
      <left style="thin">
        <color indexed="12"/>
      </left>
      <right/>
      <top style="thin">
        <color indexed="12"/>
      </top>
      <bottom style="thin">
        <color indexed="18"/>
      </bottom>
      <diagonal/>
    </border>
    <border>
      <left/>
      <right/>
      <top style="thin">
        <color indexed="12"/>
      </top>
      <bottom style="thin">
        <color indexed="18"/>
      </bottom>
      <diagonal/>
    </border>
    <border>
      <left style="thin">
        <color indexed="18"/>
      </left>
      <right style="thin">
        <color indexed="12"/>
      </right>
      <top style="thin">
        <color indexed="12"/>
      </top>
      <bottom style="thin">
        <color indexed="18"/>
      </bottom>
      <diagonal/>
    </border>
    <border>
      <left style="thin">
        <color indexed="18"/>
      </left>
      <right style="thin">
        <color indexed="18"/>
      </right>
      <top style="thin">
        <color indexed="18"/>
      </top>
      <bottom style="thin">
        <color indexed="12"/>
      </bottom>
      <diagonal/>
    </border>
    <border>
      <left style="thin">
        <color indexed="18"/>
      </left>
      <right style="thin">
        <color indexed="18"/>
      </right>
      <top style="thin">
        <color indexed="18"/>
      </top>
      <bottom style="thin">
        <color indexed="21"/>
      </bottom>
      <diagonal/>
    </border>
    <border>
      <left style="thin">
        <color indexed="12"/>
      </left>
      <right style="thin">
        <color indexed="21"/>
      </right>
      <top style="thin">
        <color indexed="12"/>
      </top>
      <bottom style="thin">
        <color indexed="12"/>
      </bottom>
      <diagonal/>
    </border>
    <border>
      <left style="thin">
        <color indexed="21"/>
      </left>
      <right style="thin">
        <color indexed="21"/>
      </right>
      <top style="thin">
        <color indexed="21"/>
      </top>
      <bottom style="thin">
        <color indexed="21"/>
      </bottom>
      <diagonal/>
    </border>
    <border>
      <left style="thin">
        <color indexed="21"/>
      </left>
      <right style="thin">
        <color indexed="20"/>
      </right>
      <top style="thin">
        <color indexed="21"/>
      </top>
      <bottom style="thin">
        <color indexed="21"/>
      </bottom>
      <diagonal/>
    </border>
    <border>
      <left style="thin">
        <color indexed="12"/>
      </left>
      <right style="thin">
        <color indexed="12"/>
      </right>
      <top style="thin">
        <color indexed="21"/>
      </top>
      <bottom style="thin">
        <color indexed="21"/>
      </bottom>
      <diagonal/>
    </border>
    <border>
      <left style="thin">
        <color indexed="21"/>
      </left>
      <right style="thin">
        <color indexed="21"/>
      </right>
      <top style="thin">
        <color indexed="21"/>
      </top>
      <bottom style="thin">
        <color indexed="22"/>
      </bottom>
      <diagonal/>
    </border>
    <border>
      <left style="thin">
        <color indexed="21"/>
      </left>
      <right style="thin">
        <color indexed="20"/>
      </right>
      <top style="thin">
        <color indexed="21"/>
      </top>
      <bottom style="thin">
        <color indexed="22"/>
      </bottom>
      <diagonal/>
    </border>
    <border>
      <left style="thin">
        <color indexed="12"/>
      </left>
      <right style="thin">
        <color indexed="12"/>
      </right>
      <top style="thin">
        <color indexed="2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13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6" fillId="4" borderId="3" applyNumberFormat="1" applyFont="1" applyFill="1" applyBorder="1" applyAlignment="1" applyProtection="0">
      <alignment vertical="top"/>
    </xf>
    <xf numFmtId="49" fontId="0" borderId="4" applyNumberFormat="1" applyFont="1" applyFill="0" applyBorder="1" applyAlignment="1" applyProtection="0">
      <alignment vertical="bottom"/>
    </xf>
    <xf numFmtId="59" fontId="6" fillId="5" borderId="3" applyNumberFormat="1" applyFont="1" applyFill="1" applyBorder="1" applyAlignment="1" applyProtection="0">
      <alignment vertical="top"/>
    </xf>
    <xf numFmtId="49" fontId="7" fillId="6" borderId="3" applyNumberFormat="1" applyFont="1" applyFill="1" applyBorder="1" applyAlignment="1" applyProtection="0">
      <alignment vertical="top"/>
    </xf>
    <xf numFmtId="4" fontId="7" fillId="6" borderId="3" applyNumberFormat="1" applyFont="1" applyFill="1" applyBorder="1" applyAlignment="1" applyProtection="0">
      <alignment vertical="top"/>
    </xf>
    <xf numFmtId="0" fontId="7" fillId="6" borderId="3" applyNumberFormat="1" applyFont="1" applyFill="1" applyBorder="1" applyAlignment="1" applyProtection="0">
      <alignment vertical="top"/>
    </xf>
    <xf numFmtId="0" fontId="0" borderId="4" applyNumberFormat="0" applyFont="1" applyFill="0" applyBorder="1" applyAlignment="1" applyProtection="0">
      <alignment vertical="bottom"/>
    </xf>
    <xf numFmtId="10" fontId="0" borderId="4" applyNumberFormat="1" applyFont="1" applyFill="0" applyBorder="1" applyAlignment="1" applyProtection="0">
      <alignment vertical="bottom"/>
    </xf>
    <xf numFmtId="60" fontId="6" fillId="5" borderId="3" applyNumberFormat="1" applyFont="1" applyFill="1" applyBorder="1" applyAlignment="1" applyProtection="0">
      <alignment vertical="top"/>
    </xf>
    <xf numFmtId="61" fontId="6" fillId="5" borderId="3" applyNumberFormat="1" applyFont="1" applyFill="1" applyBorder="1" applyAlignment="1" applyProtection="0">
      <alignment vertical="top"/>
    </xf>
    <xf numFmtId="62" fontId="6" fillId="5" borderId="3" applyNumberFormat="1" applyFont="1" applyFill="1" applyBorder="1" applyAlignment="1" applyProtection="0">
      <alignment vertical="top"/>
    </xf>
    <xf numFmtId="0" fontId="0" borderId="5" applyNumberFormat="0" applyFont="1" applyFill="0" applyBorder="1" applyAlignment="1" applyProtection="0">
      <alignment vertical="bottom"/>
    </xf>
    <xf numFmtId="10"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applyNumberFormat="1" applyFont="1" applyFill="0" applyBorder="0" applyAlignment="1" applyProtection="0">
      <alignment vertical="bottom"/>
    </xf>
    <xf numFmtId="49" fontId="0" borderId="6" applyNumberFormat="1" applyFont="1" applyFill="0" applyBorder="1" applyAlignment="1" applyProtection="0">
      <alignment vertical="bottom"/>
    </xf>
    <xf numFmtId="49" fontId="6" fillId="5" borderId="3" applyNumberFormat="1" applyFont="1" applyFill="1" applyBorder="1" applyAlignment="1" applyProtection="0">
      <alignment vertical="top"/>
    </xf>
    <xf numFmtId="59" fontId="7" fillId="6" borderId="3" applyNumberFormat="1" applyFont="1" applyFill="1" applyBorder="1" applyAlignment="1" applyProtection="0">
      <alignment vertical="top"/>
    </xf>
    <xf numFmtId="0" fontId="0" borderId="6" applyNumberFormat="0" applyFont="1" applyFill="0" applyBorder="1" applyAlignment="1" applyProtection="0">
      <alignment vertical="bottom"/>
    </xf>
    <xf numFmtId="10" fontId="0" borderId="6" applyNumberFormat="1" applyFont="1" applyFill="0" applyBorder="1" applyAlignment="1" applyProtection="0">
      <alignment vertical="bottom"/>
    </xf>
    <xf numFmtId="60" fontId="7" fillId="6" borderId="3" applyNumberFormat="1" applyFont="1" applyFill="1" applyBorder="1" applyAlignment="1" applyProtection="0">
      <alignment vertical="top"/>
    </xf>
    <xf numFmtId="61" fontId="7" fillId="6" borderId="3" applyNumberFormat="1" applyFont="1" applyFill="1" applyBorder="1" applyAlignment="1" applyProtection="0">
      <alignment vertical="top"/>
    </xf>
    <xf numFmtId="62" fontId="7" fillId="6" borderId="3" applyNumberFormat="1" applyFont="1" applyFill="1" applyBorder="1" applyAlignment="1" applyProtection="0">
      <alignment vertical="top"/>
    </xf>
    <xf numFmtId="3" fontId="7" fillId="6" borderId="3" applyNumberFormat="1" applyFont="1" applyFill="1" applyBorder="1" applyAlignment="1" applyProtection="0">
      <alignment vertical="top"/>
    </xf>
    <xf numFmtId="0" fontId="0" fillId="6" borderId="3" applyNumberFormat="0" applyFont="1" applyFill="1" applyBorder="1" applyAlignment="1" applyProtection="0">
      <alignment vertical="top"/>
    </xf>
    <xf numFmtId="0" fontId="0" applyNumberFormat="1" applyFont="1" applyFill="0" applyBorder="0" applyAlignment="1" applyProtection="0">
      <alignment vertical="bottom"/>
    </xf>
    <xf numFmtId="59" fontId="6" fillId="5" borderId="7" applyNumberFormat="1" applyFont="1" applyFill="1" applyBorder="1" applyAlignment="1" applyProtection="0">
      <alignment vertical="top"/>
    </xf>
    <xf numFmtId="0" fontId="7" fillId="6" borderId="8" applyNumberFormat="0" applyFont="1" applyFill="1" applyBorder="1" applyAlignment="1" applyProtection="0">
      <alignment vertical="top"/>
    </xf>
    <xf numFmtId="4" fontId="7" fillId="6" borderId="5" applyNumberFormat="1" applyFont="1" applyFill="1" applyBorder="1" applyAlignment="1" applyProtection="0">
      <alignment vertical="top"/>
    </xf>
    <xf numFmtId="0" fontId="7" fillId="6" borderId="5" applyNumberFormat="0" applyFont="1" applyFill="1" applyBorder="1" applyAlignment="1" applyProtection="0">
      <alignment vertical="top"/>
    </xf>
    <xf numFmtId="59" fontId="6" fillId="5" borderId="9" applyNumberFormat="1" applyFont="1" applyFill="1" applyBorder="1" applyAlignment="1" applyProtection="0">
      <alignment vertical="top"/>
    </xf>
    <xf numFmtId="0" fontId="7" fillId="6" borderId="10" applyNumberFormat="0" applyFont="1" applyFill="1" applyBorder="1" applyAlignment="1" applyProtection="0">
      <alignment vertical="top"/>
    </xf>
    <xf numFmtId="4" fontId="7" fillId="6" borderId="1" applyNumberFormat="1" applyFont="1" applyFill="1" applyBorder="1" applyAlignment="1" applyProtection="0">
      <alignment vertical="top"/>
    </xf>
    <xf numFmtId="0" fontId="7" fillId="6" borderId="1" applyNumberFormat="0" applyFont="1" applyFill="1" applyBorder="1" applyAlignment="1" applyProtection="0">
      <alignment vertical="top"/>
    </xf>
    <xf numFmtId="0" fontId="7" fillId="6" borderId="1" applyNumberFormat="1" applyFont="1" applyFill="1" applyBorder="1" applyAlignment="1" applyProtection="0">
      <alignment vertical="top"/>
    </xf>
    <xf numFmtId="49" fontId="7" fillId="6" borderId="1" applyNumberFormat="1" applyFont="1" applyFill="1" applyBorder="1" applyAlignment="1" applyProtection="0">
      <alignment vertical="top"/>
    </xf>
    <xf numFmtId="59" fontId="6" fillId="5" borderId="11" applyNumberFormat="1" applyFont="1" applyFill="1" applyBorder="1" applyAlignment="1" applyProtection="0">
      <alignment vertical="top"/>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8" borderId="1" applyNumberFormat="1" applyFont="1" applyFill="0" applyBorder="1" applyAlignment="1" applyProtection="0">
      <alignment horizontal="center" vertical="bottom"/>
    </xf>
    <xf numFmtId="63" fontId="0" borderId="1" applyNumberFormat="1" applyFont="1" applyFill="0" applyBorder="1" applyAlignment="1" applyProtection="0">
      <alignment horizontal="right" vertical="bottom"/>
    </xf>
    <xf numFmtId="0" fontId="0" borderId="1" applyNumberFormat="1" applyFont="1" applyFill="0" applyBorder="1" applyAlignment="1" applyProtection="0">
      <alignment horizontal="right" vertical="bottom"/>
    </xf>
    <xf numFmtId="64" fontId="0" borderId="1" applyNumberFormat="1" applyFont="1" applyFill="0" applyBorder="1" applyAlignment="1" applyProtection="0">
      <alignment horizontal="right" vertical="bottom"/>
    </xf>
    <xf numFmtId="49" fontId="8"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7" borderId="12" applyNumberFormat="1" applyFont="1" applyFill="1" applyBorder="1" applyAlignment="1" applyProtection="0">
      <alignment horizontal="left" vertical="center"/>
    </xf>
    <xf numFmtId="49" fontId="0" fillId="7" borderId="13" applyNumberFormat="1" applyFont="1" applyFill="1" applyBorder="1" applyAlignment="1" applyProtection="0">
      <alignment horizontal="left" vertical="center"/>
    </xf>
    <xf numFmtId="49" fontId="0" fillId="7" borderId="14" applyNumberFormat="1" applyFont="1" applyFill="1" applyBorder="1" applyAlignment="1" applyProtection="0">
      <alignment horizontal="left" vertical="center"/>
    </xf>
    <xf numFmtId="0" fontId="0" borderId="15" applyNumberFormat="0" applyFont="1" applyFill="0" applyBorder="1" applyAlignment="1" applyProtection="0">
      <alignment vertical="bottom"/>
    </xf>
    <xf numFmtId="49" fontId="0" fillId="6" borderId="16" applyNumberFormat="1" applyFont="1" applyFill="1" applyBorder="1" applyAlignment="1" applyProtection="0">
      <alignment vertical="center"/>
    </xf>
    <xf numFmtId="0" fontId="0" borderId="17" applyNumberFormat="0" applyFont="1" applyFill="0" applyBorder="1" applyAlignment="1" applyProtection="0">
      <alignment vertical="bottom"/>
    </xf>
    <xf numFmtId="0" fontId="0" fillId="6" borderId="17" applyNumberFormat="1" applyFont="1" applyFill="1" applyBorder="1" applyAlignment="1" applyProtection="0">
      <alignment vertical="center"/>
    </xf>
    <xf numFmtId="0" fontId="0" fillId="6" borderId="18" applyNumberFormat="1" applyFont="1" applyFill="1" applyBorder="1" applyAlignment="1" applyProtection="0">
      <alignment vertical="center"/>
    </xf>
    <xf numFmtId="49" fontId="0" fillId="8" borderId="16" applyNumberFormat="1" applyFont="1" applyFill="1" applyBorder="1" applyAlignment="1" applyProtection="0">
      <alignment vertical="center"/>
    </xf>
    <xf numFmtId="0" fontId="0" fillId="8" borderId="17" applyNumberFormat="0" applyFont="1" applyFill="1" applyBorder="1" applyAlignment="1" applyProtection="0">
      <alignment vertical="bottom"/>
    </xf>
    <xf numFmtId="0" fontId="0" fillId="8" borderId="17" applyNumberFormat="1" applyFont="1" applyFill="1" applyBorder="1" applyAlignment="1" applyProtection="0">
      <alignment vertical="center"/>
    </xf>
    <xf numFmtId="0" fontId="0" fillId="8" borderId="18" applyNumberFormat="1" applyFont="1" applyFill="1" applyBorder="1" applyAlignment="1" applyProtection="0">
      <alignment vertical="center"/>
    </xf>
    <xf numFmtId="49" fontId="0" fillId="6" borderId="17" applyNumberFormat="1" applyFont="1" applyFill="1" applyBorder="1" applyAlignment="1" applyProtection="0">
      <alignment vertical="center"/>
    </xf>
    <xf numFmtId="0" fontId="0" fillId="8" borderId="16" applyNumberFormat="0" applyFont="1" applyFill="1" applyBorder="1" applyAlignment="1" applyProtection="0">
      <alignment vertical="center"/>
    </xf>
    <xf numFmtId="0" fontId="0" fillId="8" borderId="17" applyNumberFormat="0" applyFont="1" applyFill="1" applyBorder="1" applyAlignment="1" applyProtection="0">
      <alignment vertical="center"/>
    </xf>
    <xf numFmtId="0" fontId="0" fillId="8" borderId="18" applyNumberFormat="0" applyFont="1" applyFill="1" applyBorder="1" applyAlignment="1" applyProtection="0">
      <alignment vertical="bottom"/>
    </xf>
    <xf numFmtId="49" fontId="0" fillId="6" borderId="19" applyNumberFormat="1" applyFont="1" applyFill="1" applyBorder="1" applyAlignment="1" applyProtection="0">
      <alignment vertical="center"/>
    </xf>
    <xf numFmtId="0" fontId="0" borderId="20" applyNumberFormat="0" applyFont="1" applyFill="0" applyBorder="1" applyAlignment="1" applyProtection="0">
      <alignment vertical="bottom"/>
    </xf>
    <xf numFmtId="0" fontId="0" fillId="6" borderId="20" applyNumberFormat="1" applyFont="1" applyFill="1" applyBorder="1" applyAlignment="1" applyProtection="0">
      <alignment vertical="center"/>
    </xf>
    <xf numFmtId="0" fontId="0" fillId="6" borderId="21" applyNumberFormat="1" applyFont="1" applyFill="1" applyBorder="1" applyAlignment="1" applyProtection="0">
      <alignment vertical="center"/>
    </xf>
    <xf numFmtId="0" fontId="0" borderId="22" applyNumberFormat="0" applyFont="1" applyFill="0" applyBorder="1" applyAlignment="1" applyProtection="0">
      <alignment vertical="bottom"/>
    </xf>
    <xf numFmtId="0" fontId="8" borderId="23" applyNumberFormat="0" applyFont="1" applyFill="0" applyBorder="1" applyAlignment="1" applyProtection="0">
      <alignment vertical="bottom"/>
    </xf>
    <xf numFmtId="0" fontId="0" borderId="23" applyNumberFormat="0" applyFont="1" applyFill="0" applyBorder="1" applyAlignment="1" applyProtection="0">
      <alignment vertical="bottom"/>
    </xf>
    <xf numFmtId="49" fontId="8" fillId="9" borderId="24" applyNumberFormat="1" applyFont="1" applyFill="1" applyBorder="1" applyAlignment="1" applyProtection="0">
      <alignment horizontal="left" vertical="bottom"/>
    </xf>
    <xf numFmtId="0" fontId="0" borderId="25" applyNumberFormat="0" applyFont="1" applyFill="0" applyBorder="1" applyAlignment="1" applyProtection="0">
      <alignment vertical="bottom"/>
    </xf>
    <xf numFmtId="49" fontId="0" borderId="24" applyNumberFormat="1" applyFont="1" applyFill="0" applyBorder="1" applyAlignment="1" applyProtection="0">
      <alignment horizontal="left" vertical="bottom"/>
    </xf>
    <xf numFmtId="0" fontId="0" borderId="26" applyNumberFormat="1" applyFont="1" applyFill="0" applyBorder="1" applyAlignment="1" applyProtection="0">
      <alignment vertical="bottom"/>
    </xf>
    <xf numFmtId="65" fontId="0" borderId="27" applyNumberFormat="1" applyFont="1" applyFill="0" applyBorder="1" applyAlignment="1" applyProtection="0">
      <alignment vertical="bottom"/>
    </xf>
    <xf numFmtId="65" fontId="0" borderId="25" applyNumberFormat="1" applyFont="1" applyFill="0" applyBorder="1" applyAlignment="1" applyProtection="0">
      <alignment vertical="bottom"/>
    </xf>
    <xf numFmtId="65" fontId="0" borderId="1" applyNumberFormat="1" applyFont="1" applyFill="0" applyBorder="1" applyAlignment="1" applyProtection="0">
      <alignment vertical="bottom"/>
    </xf>
    <xf numFmtId="0" fontId="0" borderId="27" applyNumberFormat="0" applyFont="1" applyFill="0" applyBorder="1" applyAlignment="1" applyProtection="0">
      <alignment vertical="bottom"/>
    </xf>
    <xf numFmtId="0" fontId="0" borderId="28" applyNumberFormat="0" applyFont="1" applyFill="0" applyBorder="1" applyAlignment="1" applyProtection="0">
      <alignment vertical="bottom"/>
    </xf>
    <xf numFmtId="49" fontId="9" borderId="29" applyNumberFormat="1" applyFont="1" applyFill="0" applyBorder="1" applyAlignment="1" applyProtection="0">
      <alignment vertical="bottom"/>
    </xf>
    <xf numFmtId="0" fontId="0" borderId="29" applyNumberFormat="0" applyFont="1" applyFill="0" applyBorder="1" applyAlignment="1" applyProtection="0">
      <alignment vertical="bottom"/>
    </xf>
    <xf numFmtId="0" fontId="0" borderId="30" applyNumberFormat="0" applyFont="1" applyFill="0" applyBorder="1" applyAlignment="1" applyProtection="0">
      <alignment vertical="bottom"/>
    </xf>
    <xf numFmtId="49" fontId="10" borderId="31" applyNumberFormat="1" applyFont="1" applyFill="0" applyBorder="1" applyAlignment="1" applyProtection="0">
      <alignment horizontal="center" vertical="bottom"/>
    </xf>
    <xf numFmtId="0" fontId="0" borderId="32" applyNumberFormat="0" applyFont="1" applyFill="0" applyBorder="1" applyAlignment="1" applyProtection="0">
      <alignment vertical="bottom"/>
    </xf>
    <xf numFmtId="49" fontId="9" borderId="33" applyNumberFormat="1" applyFont="1" applyFill="0" applyBorder="1" applyAlignment="1" applyProtection="0">
      <alignment vertical="bottom"/>
    </xf>
    <xf numFmtId="0" fontId="9" borderId="33" applyNumberFormat="1" applyFont="1" applyFill="0" applyBorder="1" applyAlignment="1" applyProtection="0">
      <alignment vertical="bottom"/>
    </xf>
    <xf numFmtId="0" fontId="9" borderId="29" applyNumberFormat="1" applyFont="1" applyFill="0" applyBorder="1" applyAlignment="1" applyProtection="0">
      <alignment vertical="bottom"/>
    </xf>
    <xf numFmtId="49" fontId="9" borderId="30" applyNumberFormat="1" applyFont="1" applyFill="0" applyBorder="1" applyAlignment="1" applyProtection="0">
      <alignment vertical="bottom"/>
    </xf>
    <xf numFmtId="0" fontId="9" borderId="30" applyNumberFormat="1" applyFont="1" applyFill="0" applyBorder="1" applyAlignment="1" applyProtection="0">
      <alignment vertical="bottom"/>
    </xf>
    <xf numFmtId="0" fontId="0" borderId="34" applyNumberFormat="0" applyFont="1" applyFill="0" applyBorder="1" applyAlignment="1" applyProtection="0">
      <alignment vertical="bottom"/>
    </xf>
    <xf numFmtId="0" fontId="0" borderId="35" applyNumberFormat="0" applyFont="1" applyFill="0" applyBorder="1" applyAlignment="1" applyProtection="0">
      <alignment vertical="bottom"/>
    </xf>
    <xf numFmtId="49" fontId="9" borderId="35" applyNumberFormat="1" applyFont="1" applyFill="0" applyBorder="1" applyAlignment="1" applyProtection="0">
      <alignment horizontal="center" vertical="bottom"/>
    </xf>
    <xf numFmtId="0" fontId="0" borderId="36" applyNumberFormat="0" applyFont="1" applyFill="0" applyBorder="1" applyAlignment="1" applyProtection="0">
      <alignment vertical="bottom"/>
    </xf>
    <xf numFmtId="0" fontId="0" applyNumberFormat="1" applyFont="1" applyFill="0" applyBorder="0" applyAlignment="1" applyProtection="0">
      <alignment vertical="bottom"/>
    </xf>
    <xf numFmtId="0" fontId="8" fillId="9" borderId="37" applyNumberFormat="0" applyFont="1" applyFill="1" applyBorder="1" applyAlignment="1" applyProtection="0">
      <alignment horizontal="left" vertical="bottom"/>
    </xf>
    <xf numFmtId="0" fontId="8" fillId="9" borderId="38" applyNumberFormat="0" applyFont="1" applyFill="1" applyBorder="1" applyAlignment="1" applyProtection="0">
      <alignment horizontal="left" vertical="bottom"/>
    </xf>
    <xf numFmtId="0" fontId="0" borderId="10" applyNumberFormat="0" applyFont="1" applyFill="0" applyBorder="1" applyAlignment="1" applyProtection="0">
      <alignment vertical="bottom"/>
    </xf>
    <xf numFmtId="0" fontId="8" fillId="9" borderId="24" applyNumberFormat="0" applyFont="1" applyFill="1" applyBorder="1" applyAlignment="1" applyProtection="0">
      <alignment horizontal="left" vertical="bottom"/>
    </xf>
    <xf numFmtId="0" fontId="0" borderId="39" applyNumberFormat="0" applyFont="1" applyFill="0" applyBorder="1" applyAlignment="1" applyProtection="0">
      <alignment vertical="bottom"/>
    </xf>
    <xf numFmtId="49" fontId="0" borderId="40" applyNumberFormat="1" applyFont="1" applyFill="0" applyBorder="1" applyAlignment="1" applyProtection="0">
      <alignment vertical="bottom"/>
    </xf>
    <xf numFmtId="49" fontId="0" borderId="41" applyNumberFormat="1" applyFont="1" applyFill="0" applyBorder="1" applyAlignment="1" applyProtection="0">
      <alignment horizontal="left" vertical="bottom"/>
    </xf>
    <xf numFmtId="49" fontId="0" borderId="27" applyNumberFormat="1" applyFont="1" applyFill="0" applyBorder="1" applyAlignment="1" applyProtection="0">
      <alignment vertical="bottom"/>
    </xf>
    <xf numFmtId="10" fontId="0" borderId="27" applyNumberFormat="1" applyFont="1" applyFill="0" applyBorder="1" applyAlignment="1" applyProtection="0">
      <alignment vertical="bottom"/>
    </xf>
    <xf numFmtId="49" fontId="0" borderId="42" applyNumberFormat="1" applyFont="1" applyFill="0" applyBorder="1" applyAlignment="1" applyProtection="0">
      <alignment vertical="bottom"/>
    </xf>
    <xf numFmtId="10" fontId="0" borderId="43" applyNumberFormat="1" applyFont="1" applyFill="0" applyBorder="1" applyAlignment="1" applyProtection="0">
      <alignment vertical="bottom"/>
    </xf>
    <xf numFmtId="10" fontId="0" borderId="44" applyNumberFormat="1" applyFont="1" applyFill="0" applyBorder="1" applyAlignment="1" applyProtection="0">
      <alignment vertical="bottom"/>
    </xf>
    <xf numFmtId="10" fontId="0" borderId="42" applyNumberFormat="1" applyFont="1" applyFill="0" applyBorder="1" applyAlignment="1" applyProtection="0">
      <alignment vertical="bottom"/>
    </xf>
    <xf numFmtId="0" fontId="0" borderId="45" applyNumberFormat="0" applyFont="1" applyFill="0" applyBorder="1" applyAlignment="1" applyProtection="0">
      <alignment vertical="bottom"/>
    </xf>
    <xf numFmtId="10" fontId="0" borderId="46" applyNumberFormat="1" applyFont="1" applyFill="0" applyBorder="1" applyAlignment="1" applyProtection="0">
      <alignment vertical="bottom"/>
    </xf>
    <xf numFmtId="10" fontId="0" borderId="47" applyNumberFormat="1" applyFont="1" applyFill="0" applyBorder="1" applyAlignment="1" applyProtection="0">
      <alignment vertical="bottom"/>
    </xf>
    <xf numFmtId="0" fontId="0" borderId="48" applyNumberFormat="0" applyFont="1" applyFill="0" applyBorder="1" applyAlignment="1" applyProtection="0">
      <alignment vertical="bottom"/>
    </xf>
    <xf numFmtId="0" fontId="0" borderId="24" applyNumberFormat="0" applyFont="1" applyFill="0" applyBorder="1" applyAlignment="1" applyProtection="0">
      <alignment horizontal="left" vertical="bottom"/>
    </xf>
    <xf numFmtId="0" fontId="0" borderId="26"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49" applyNumberFormat="0" applyFont="1" applyFill="0" applyBorder="1" applyAlignment="1" applyProtection="0">
      <alignment vertical="bottom"/>
    </xf>
    <xf numFmtId="0" fontId="8" borderId="50" applyNumberFormat="0" applyFont="1" applyFill="0" applyBorder="1" applyAlignment="1" applyProtection="0">
      <alignment horizontal="center" vertical="bottom"/>
    </xf>
    <xf numFmtId="0" fontId="8" borderId="5" applyNumberFormat="0" applyFont="1" applyFill="0" applyBorder="1" applyAlignment="1" applyProtection="0">
      <alignment horizontal="center" vertical="bottom"/>
    </xf>
    <xf numFmtId="0" fontId="8" borderId="5" applyNumberFormat="0" applyFont="1" applyFill="0" applyBorder="1" applyAlignment="1" applyProtection="0">
      <alignment horizontal="right" vertical="bottom"/>
    </xf>
    <xf numFmtId="0" fontId="8" borderId="51" applyNumberFormat="0" applyFont="1" applyFill="0" applyBorder="1" applyAlignment="1" applyProtection="0">
      <alignment horizontal="right" vertical="bottom"/>
    </xf>
    <xf numFmtId="10" fontId="0" borderId="1" applyNumberFormat="1" applyFont="1" applyFill="0" applyBorder="1" applyAlignment="1" applyProtection="0">
      <alignment horizontal="right" vertical="bottom"/>
    </xf>
    <xf numFmtId="0" fontId="0" borderId="1" applyNumberFormat="0" applyFont="1" applyFill="0" applyBorder="1" applyAlignment="1" applyProtection="0">
      <alignment horizontal="right" vertical="bottom"/>
    </xf>
    <xf numFmtId="0" fontId="0" borderId="49" applyNumberFormat="0" applyFont="1" applyFill="0" applyBorder="1" applyAlignment="1" applyProtection="0">
      <alignment horizontal="right" vertical="bottom"/>
    </xf>
    <xf numFmtId="10" fontId="0" borderId="49" applyNumberFormat="1" applyFont="1" applyFill="0" applyBorder="1" applyAlignment="1" applyProtection="0">
      <alignment horizontal="right" vertical="bottom"/>
    </xf>
    <xf numFmtId="0" fontId="0" borderId="52" applyNumberFormat="0" applyFont="1" applyFill="0" applyBorder="1" applyAlignment="1" applyProtection="0">
      <alignment vertical="bottom"/>
    </xf>
    <xf numFmtId="10" fontId="0" borderId="2" applyNumberFormat="1" applyFont="1" applyFill="0" applyBorder="1" applyAlignment="1" applyProtection="0">
      <alignment horizontal="right" vertical="bottom"/>
    </xf>
    <xf numFmtId="10" fontId="0" borderId="53" applyNumberFormat="1" applyFont="1" applyFill="0" applyBorder="1" applyAlignment="1" applyProtection="0">
      <alignment horizontal="righ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b0b3b2"/>
      <rgbColor rgb="ffd4d4d4"/>
      <rgbColor rgb="ffffffff"/>
      <rgbColor rgb="ff356854"/>
      <rgbColor rgb="fff6f8f9"/>
      <rgbColor rgb="ffdddddd"/>
      <rgbColor rgb="fff2f2f2"/>
      <rgbColor rgb="ff9a9a9a"/>
      <rgbColor rgb="ffdfe1e6"/>
      <rgbColor rgb="ffc7cbd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1278</v>
      </c>
      <c r="C11" s="3"/>
      <c r="D11" s="3"/>
    </row>
    <row r="12">
      <c r="B12" s="4"/>
      <c r="C12" t="s" s="4">
        <v>5</v>
      </c>
      <c r="D12" t="s" s="5">
        <v>1278</v>
      </c>
    </row>
    <row r="13">
      <c r="B13" t="s" s="3">
        <v>6324</v>
      </c>
      <c r="C13" s="3"/>
      <c r="D13" s="3"/>
    </row>
    <row r="14">
      <c r="B14" s="4"/>
      <c r="C14" t="s" s="4">
        <v>5</v>
      </c>
      <c r="D14" t="s" s="5">
        <v>6324</v>
      </c>
    </row>
    <row r="15">
      <c r="B15" t="s" s="3">
        <v>7567</v>
      </c>
      <c r="C15" s="3"/>
      <c r="D15" s="3"/>
    </row>
    <row r="16">
      <c r="B16" s="4"/>
      <c r="C16" t="s" s="4">
        <v>5</v>
      </c>
      <c r="D16" t="s" s="5">
        <v>7567</v>
      </c>
    </row>
    <row r="17">
      <c r="B17" t="s" s="3">
        <v>8810</v>
      </c>
      <c r="C17" s="3"/>
      <c r="D17" s="3"/>
    </row>
    <row r="18">
      <c r="B18" s="4"/>
      <c r="C18" t="s" s="4">
        <v>5</v>
      </c>
      <c r="D18" t="s" s="5">
        <v>8810</v>
      </c>
    </row>
    <row r="19">
      <c r="B19" t="s" s="3">
        <v>10053</v>
      </c>
      <c r="C19" s="3"/>
      <c r="D19" s="3"/>
    </row>
    <row r="20">
      <c r="B20" s="4"/>
      <c r="C20" t="s" s="4">
        <v>5</v>
      </c>
      <c r="D20" t="s" s="5">
        <v>10053</v>
      </c>
    </row>
    <row r="21">
      <c r="B21" t="s" s="3">
        <v>10321</v>
      </c>
      <c r="C21" s="3"/>
      <c r="D21" s="3"/>
    </row>
    <row r="22">
      <c r="B22" s="4"/>
      <c r="C22" t="s" s="4">
        <v>5</v>
      </c>
      <c r="D22" t="s" s="5">
        <v>10321</v>
      </c>
    </row>
    <row r="23">
      <c r="B23" t="s" s="3">
        <v>10367</v>
      </c>
      <c r="C23" s="3"/>
      <c r="D23" s="3"/>
    </row>
    <row r="24">
      <c r="B24" s="4"/>
      <c r="C24" t="s" s="4">
        <v>5</v>
      </c>
      <c r="D24" t="s" s="5">
        <v>10367</v>
      </c>
    </row>
    <row r="25">
      <c r="B25" t="s" s="3">
        <v>10381</v>
      </c>
      <c r="C25" s="3"/>
      <c r="D25" s="3"/>
    </row>
    <row r="26">
      <c r="B26" s="4"/>
      <c r="C26" t="s" s="4">
        <v>5</v>
      </c>
      <c r="D26" t="s" s="5">
        <v>10381</v>
      </c>
    </row>
  </sheetData>
  <mergeCells count="1">
    <mergeCell ref="B3:D3"/>
  </mergeCells>
  <hyperlinks>
    <hyperlink ref="D10" location="'reliance'!R1C1" tooltip="" display="reliance"/>
    <hyperlink ref="D12" location="'HDFC'!R1C1" tooltip="" display="HDFC"/>
    <hyperlink ref="D14" location="'ASIANPAINT'!R1C1" tooltip="" display="ASIANPAINT"/>
    <hyperlink ref="D16" location="'Tatasteel'!R1C1" tooltip="" display="Tatasteel"/>
    <hyperlink ref="D18" location="'ITC'!R1C1" tooltip="" display="ITC"/>
    <hyperlink ref="D20" location="'sentiment analysis'!R1C1" tooltip="" display="sentiment analysis"/>
    <hyperlink ref="D22" location="'summary'!R1C1" tooltip="" display="summary"/>
    <hyperlink ref="D24" location="'Sheet19'!R1C1" tooltip="" display="Sheet19"/>
    <hyperlink ref="D26" location="'Sheet21'!R1C1" tooltip="" display="Sheet21"/>
  </hyperlinks>
</worksheet>
</file>

<file path=xl/worksheets/sheet2.xml><?xml version="1.0" encoding="utf-8"?>
<worksheet xmlns:r="http://schemas.openxmlformats.org/officeDocument/2006/relationships" xmlns="http://schemas.openxmlformats.org/spreadsheetml/2006/main">
  <sheetPr>
    <pageSetUpPr fitToPage="1"/>
  </sheetPr>
  <dimension ref="A1:O1772"/>
  <sheetViews>
    <sheetView workbookViewId="0" showGridLines="0" defaultGridColor="1"/>
  </sheetViews>
  <sheetFormatPr defaultColWidth="12.6667" defaultRowHeight="15.75" customHeight="1" outlineLevelRow="0" outlineLevelCol="0"/>
  <cols>
    <col min="1" max="15" width="12.6719" style="6" customWidth="1"/>
    <col min="16" max="16384" width="12.6719" style="6" customWidth="1"/>
  </cols>
  <sheetData>
    <row r="1" ht="13.65" customHeight="1">
      <c r="A1" t="s" s="7">
        <v>6</v>
      </c>
      <c r="B1" s="8"/>
      <c r="C1" s="8"/>
      <c r="D1" s="8"/>
      <c r="E1" s="8"/>
      <c r="F1" s="8"/>
      <c r="G1" s="8"/>
      <c r="H1" s="8"/>
      <c r="I1" s="8"/>
      <c r="J1" s="8"/>
      <c r="K1" s="8"/>
      <c r="L1" s="8"/>
      <c r="M1" s="8"/>
      <c r="N1" s="8"/>
      <c r="O1" s="8"/>
    </row>
    <row r="2" ht="13.65" customHeight="1">
      <c r="A2" s="9"/>
      <c r="B2" s="9"/>
      <c r="C2" s="9"/>
      <c r="D2" s="9"/>
      <c r="E2" s="9"/>
      <c r="F2" s="9"/>
      <c r="G2" s="9"/>
      <c r="H2" s="9"/>
      <c r="I2" s="9"/>
      <c r="J2" s="9"/>
      <c r="K2" s="9"/>
      <c r="L2" s="9"/>
      <c r="M2" s="9"/>
      <c r="N2" s="9"/>
      <c r="O2" s="8"/>
    </row>
    <row r="3" ht="13.65" customHeight="1">
      <c r="A3" t="s" s="10">
        <v>7</v>
      </c>
      <c r="B3" t="s" s="10">
        <v>8</v>
      </c>
      <c r="C3" t="s" s="10">
        <v>9</v>
      </c>
      <c r="D3" t="s" s="10">
        <v>10</v>
      </c>
      <c r="E3" t="s" s="10">
        <v>11</v>
      </c>
      <c r="F3" t="s" s="10">
        <v>12</v>
      </c>
      <c r="G3" t="s" s="10">
        <v>13</v>
      </c>
      <c r="H3" t="s" s="10">
        <v>14</v>
      </c>
      <c r="I3" t="s" s="10">
        <v>15</v>
      </c>
      <c r="J3" t="s" s="10">
        <v>16</v>
      </c>
      <c r="K3" t="s" s="10">
        <v>17</v>
      </c>
      <c r="L3" t="s" s="10">
        <v>18</v>
      </c>
      <c r="M3" t="s" s="10">
        <v>19</v>
      </c>
      <c r="N3" t="s" s="10">
        <v>20</v>
      </c>
      <c r="O3" t="s" s="11">
        <v>21</v>
      </c>
    </row>
    <row r="4" ht="13.65" customHeight="1">
      <c r="A4" s="12">
        <v>44287</v>
      </c>
      <c r="B4" t="s" s="13">
        <v>22</v>
      </c>
      <c r="C4" s="14">
        <v>2018</v>
      </c>
      <c r="D4" s="14">
        <v>2030</v>
      </c>
      <c r="E4" s="14">
        <v>2003.15</v>
      </c>
      <c r="F4" s="14">
        <v>2003.1</v>
      </c>
      <c r="G4" s="14">
        <v>2020</v>
      </c>
      <c r="H4" s="14">
        <v>2021.85</v>
      </c>
      <c r="I4" s="14">
        <v>2017.89</v>
      </c>
      <c r="J4" s="14">
        <v>2369.35</v>
      </c>
      <c r="K4" s="14">
        <v>1020</v>
      </c>
      <c r="L4" s="15">
        <v>5410307</v>
      </c>
      <c r="M4" t="s" s="13">
        <v>23</v>
      </c>
      <c r="N4" s="15">
        <v>140946</v>
      </c>
      <c r="O4" s="16"/>
    </row>
    <row r="5" ht="13.65" customHeight="1">
      <c r="A5" s="12">
        <v>44291</v>
      </c>
      <c r="B5" t="s" s="13">
        <v>22</v>
      </c>
      <c r="C5" s="14">
        <v>2024.95</v>
      </c>
      <c r="D5" s="14">
        <v>2025</v>
      </c>
      <c r="E5" s="14">
        <v>1962.1</v>
      </c>
      <c r="F5" s="14">
        <v>2021.85</v>
      </c>
      <c r="G5" s="14">
        <v>1992</v>
      </c>
      <c r="H5" s="14">
        <v>1992.6</v>
      </c>
      <c r="I5" s="14">
        <v>1986.24</v>
      </c>
      <c r="J5" s="14">
        <v>2369.35</v>
      </c>
      <c r="K5" s="14">
        <v>1100</v>
      </c>
      <c r="L5" s="15">
        <v>6864856</v>
      </c>
      <c r="M5" t="s" s="13">
        <v>24</v>
      </c>
      <c r="N5" s="15">
        <v>246459</v>
      </c>
      <c r="O5" s="17" cm="1">
        <f t="array" ref="O5">(H5-H4)/H4</f>
        <v>-0.0144669485866904</v>
      </c>
    </row>
    <row r="6" ht="13.65" customHeight="1">
      <c r="A6" s="12">
        <v>44292</v>
      </c>
      <c r="B6" t="s" s="13">
        <v>22</v>
      </c>
      <c r="C6" s="14">
        <v>2004</v>
      </c>
      <c r="D6" s="14">
        <v>2004.95</v>
      </c>
      <c r="E6" s="14">
        <v>1969</v>
      </c>
      <c r="F6" s="14">
        <v>1992.6</v>
      </c>
      <c r="G6" s="14">
        <v>1986.2</v>
      </c>
      <c r="H6" s="14">
        <v>1984.3</v>
      </c>
      <c r="I6" s="14">
        <v>1984.99</v>
      </c>
      <c r="J6" s="14">
        <v>2369.35</v>
      </c>
      <c r="K6" s="14">
        <v>1100</v>
      </c>
      <c r="L6" s="15">
        <v>6465241</v>
      </c>
      <c r="M6" t="s" s="13">
        <v>25</v>
      </c>
      <c r="N6" s="15">
        <v>209903</v>
      </c>
      <c r="O6" s="17" cm="1">
        <f t="array" ref="O6">(H6-H5)/H5</f>
        <v>-0.00416541202449062</v>
      </c>
    </row>
    <row r="7" ht="13.65" customHeight="1">
      <c r="A7" s="12">
        <v>44293</v>
      </c>
      <c r="B7" t="s" s="13">
        <v>22</v>
      </c>
      <c r="C7" s="14">
        <v>2000</v>
      </c>
      <c r="D7" s="14">
        <v>2046.9</v>
      </c>
      <c r="E7" s="14">
        <v>1993.3</v>
      </c>
      <c r="F7" s="14">
        <v>1984.3</v>
      </c>
      <c r="G7" s="14">
        <v>2001.55</v>
      </c>
      <c r="H7" s="14">
        <v>2002.85</v>
      </c>
      <c r="I7" s="14">
        <v>2019.21</v>
      </c>
      <c r="J7" s="14">
        <v>2369.35</v>
      </c>
      <c r="K7" s="14">
        <v>1100</v>
      </c>
      <c r="L7" s="15">
        <v>11198918</v>
      </c>
      <c r="M7" t="s" s="13">
        <v>26</v>
      </c>
      <c r="N7" s="15">
        <v>286779</v>
      </c>
      <c r="O7" s="17" cm="1">
        <f t="array" ref="O7">(H7-H6)/H6</f>
        <v>0.00934838482084362</v>
      </c>
    </row>
    <row r="8" ht="13.65" customHeight="1">
      <c r="A8" s="12">
        <v>44294</v>
      </c>
      <c r="B8" t="s" s="13">
        <v>22</v>
      </c>
      <c r="C8" s="14">
        <v>2011</v>
      </c>
      <c r="D8" s="14">
        <v>2022</v>
      </c>
      <c r="E8" s="14">
        <v>1993</v>
      </c>
      <c r="F8" s="14">
        <v>2002.85</v>
      </c>
      <c r="G8" s="14">
        <v>2006.4</v>
      </c>
      <c r="H8" s="14">
        <v>2005.35</v>
      </c>
      <c r="I8" s="14">
        <v>2006.16</v>
      </c>
      <c r="J8" s="14">
        <v>2369.35</v>
      </c>
      <c r="K8" s="14">
        <v>1100</v>
      </c>
      <c r="L8" s="15">
        <v>7092878</v>
      </c>
      <c r="M8" t="s" s="13">
        <v>27</v>
      </c>
      <c r="N8" s="15">
        <v>191800</v>
      </c>
      <c r="O8" s="17" cm="1">
        <f t="array" ref="O8">(H8-H7)/H7</f>
        <v>0.00124822128466935</v>
      </c>
    </row>
    <row r="9" ht="13.65" customHeight="1">
      <c r="A9" s="12">
        <v>44295</v>
      </c>
      <c r="B9" t="s" s="13">
        <v>22</v>
      </c>
      <c r="C9" s="14">
        <v>1998.45</v>
      </c>
      <c r="D9" s="14">
        <v>2006.35</v>
      </c>
      <c r="E9" s="14">
        <v>1980</v>
      </c>
      <c r="F9" s="14">
        <v>2005.35</v>
      </c>
      <c r="G9" s="14">
        <v>1983.45</v>
      </c>
      <c r="H9" s="14">
        <v>1982.05</v>
      </c>
      <c r="I9" s="14">
        <v>1989.08</v>
      </c>
      <c r="J9" s="14">
        <v>2369.35</v>
      </c>
      <c r="K9" s="14">
        <v>1100</v>
      </c>
      <c r="L9" s="15">
        <v>6478482</v>
      </c>
      <c r="M9" t="s" s="13">
        <v>28</v>
      </c>
      <c r="N9" s="15">
        <v>234390</v>
      </c>
      <c r="O9" s="17" cm="1">
        <f t="array" ref="O9">(H9-H8)/H8</f>
        <v>-0.0116189193906301</v>
      </c>
    </row>
    <row r="10" ht="13.65" customHeight="1">
      <c r="A10" s="18">
        <v>44298</v>
      </c>
      <c r="B10" t="s" s="13">
        <v>22</v>
      </c>
      <c r="C10" s="14">
        <v>1959</v>
      </c>
      <c r="D10" s="14">
        <v>1961.4</v>
      </c>
      <c r="E10" s="14">
        <v>1900.25</v>
      </c>
      <c r="F10" s="14">
        <v>1982.05</v>
      </c>
      <c r="G10" s="14">
        <v>1915.65</v>
      </c>
      <c r="H10" s="14">
        <v>1911.15</v>
      </c>
      <c r="I10" s="14">
        <v>1922.99</v>
      </c>
      <c r="J10" s="14">
        <v>2369.35</v>
      </c>
      <c r="K10" s="14">
        <v>1143</v>
      </c>
      <c r="L10" s="15">
        <v>9646031</v>
      </c>
      <c r="M10" t="s" s="13">
        <v>29</v>
      </c>
      <c r="N10" s="15">
        <v>330605</v>
      </c>
      <c r="O10" s="17" cm="1">
        <f t="array" ref="O10">(H10-H9)/H9</f>
        <v>-0.0357710451300421</v>
      </c>
    </row>
    <row r="11" ht="13.65" customHeight="1">
      <c r="A11" s="18">
        <v>44299</v>
      </c>
      <c r="B11" t="s" s="13">
        <v>22</v>
      </c>
      <c r="C11" s="14">
        <v>1924</v>
      </c>
      <c r="D11" s="14">
        <v>1940.6</v>
      </c>
      <c r="E11" s="14">
        <v>1917.85</v>
      </c>
      <c r="F11" s="14">
        <v>1911.15</v>
      </c>
      <c r="G11" s="14">
        <v>1932.3</v>
      </c>
      <c r="H11" s="14">
        <v>1931.8</v>
      </c>
      <c r="I11" s="14">
        <v>1931.39</v>
      </c>
      <c r="J11" s="14">
        <v>2369.35</v>
      </c>
      <c r="K11" s="14">
        <v>1143</v>
      </c>
      <c r="L11" s="15">
        <v>8958261</v>
      </c>
      <c r="M11" t="s" s="13">
        <v>30</v>
      </c>
      <c r="N11" s="15">
        <v>206237</v>
      </c>
      <c r="O11" s="17" cm="1">
        <f t="array" ref="O11">(H11-H10)/H10</f>
        <v>0.0108050126886953</v>
      </c>
    </row>
    <row r="12" ht="13.65" customHeight="1">
      <c r="A12" s="18">
        <v>44301</v>
      </c>
      <c r="B12" t="s" s="13">
        <v>22</v>
      </c>
      <c r="C12" s="14">
        <v>1926.3</v>
      </c>
      <c r="D12" s="14">
        <v>1961</v>
      </c>
      <c r="E12" s="14">
        <v>1913</v>
      </c>
      <c r="F12" s="14">
        <v>1931.8</v>
      </c>
      <c r="G12" s="14">
        <v>1943</v>
      </c>
      <c r="H12" s="14">
        <v>1944.3</v>
      </c>
      <c r="I12" s="14">
        <v>1933.33</v>
      </c>
      <c r="J12" s="14">
        <v>2369.35</v>
      </c>
      <c r="K12" s="14">
        <v>1143</v>
      </c>
      <c r="L12" s="15">
        <v>9102492</v>
      </c>
      <c r="M12" t="s" s="13">
        <v>31</v>
      </c>
      <c r="N12" s="15">
        <v>189159</v>
      </c>
      <c r="O12" s="17" cm="1">
        <f t="array" ref="O12">(H12-H11)/H11</f>
        <v>0.00647064913552128</v>
      </c>
    </row>
    <row r="13" ht="13.65" customHeight="1">
      <c r="A13" s="18">
        <v>44302</v>
      </c>
      <c r="B13" t="s" s="13">
        <v>22</v>
      </c>
      <c r="C13" s="14">
        <v>1936.6</v>
      </c>
      <c r="D13" s="14">
        <v>1949.9</v>
      </c>
      <c r="E13" s="14">
        <v>1926.45</v>
      </c>
      <c r="F13" s="14">
        <v>1944.3</v>
      </c>
      <c r="G13" s="14">
        <v>1929</v>
      </c>
      <c r="H13" s="14">
        <v>1932.1</v>
      </c>
      <c r="I13" s="14">
        <v>1935.23</v>
      </c>
      <c r="J13" s="14">
        <v>2369.35</v>
      </c>
      <c r="K13" s="14">
        <v>1143</v>
      </c>
      <c r="L13" s="15">
        <v>7225679</v>
      </c>
      <c r="M13" t="s" s="13">
        <v>32</v>
      </c>
      <c r="N13" s="15">
        <v>206958</v>
      </c>
      <c r="O13" s="17" cm="1">
        <f t="array" ref="O13">(H13-H12)/H12</f>
        <v>-0.00627475183870802</v>
      </c>
    </row>
    <row r="14" ht="13.65" customHeight="1">
      <c r="A14" s="18">
        <v>44305</v>
      </c>
      <c r="B14" t="s" s="13">
        <v>22</v>
      </c>
      <c r="C14" s="14">
        <v>1904</v>
      </c>
      <c r="D14" s="14">
        <v>1916.4</v>
      </c>
      <c r="E14" s="14">
        <v>1890</v>
      </c>
      <c r="F14" s="14">
        <v>1932.1</v>
      </c>
      <c r="G14" s="14">
        <v>1903.05</v>
      </c>
      <c r="H14" s="14">
        <v>1901.7</v>
      </c>
      <c r="I14" s="14">
        <v>1902.57</v>
      </c>
      <c r="J14" s="14">
        <v>2369.35</v>
      </c>
      <c r="K14" s="14">
        <v>1164</v>
      </c>
      <c r="L14" s="15">
        <v>8527967</v>
      </c>
      <c r="M14" t="s" s="13">
        <v>33</v>
      </c>
      <c r="N14" s="15">
        <v>271570</v>
      </c>
      <c r="O14" s="17" cm="1">
        <f t="array" ref="O14">(H14-H13)/H13</f>
        <v>-0.0157341752497283</v>
      </c>
    </row>
    <row r="15" ht="13.65" customHeight="1">
      <c r="A15" s="18">
        <v>44306</v>
      </c>
      <c r="B15" t="s" s="13">
        <v>22</v>
      </c>
      <c r="C15" s="14">
        <v>1910.5</v>
      </c>
      <c r="D15" s="14">
        <v>1919</v>
      </c>
      <c r="E15" s="14">
        <v>1890.45</v>
      </c>
      <c r="F15" s="14">
        <v>1901.7</v>
      </c>
      <c r="G15" s="14">
        <v>1905</v>
      </c>
      <c r="H15" s="14">
        <v>1901.15</v>
      </c>
      <c r="I15" s="14">
        <v>1906.74</v>
      </c>
      <c r="J15" s="14">
        <v>2369.35</v>
      </c>
      <c r="K15" s="14">
        <v>1164</v>
      </c>
      <c r="L15" s="15">
        <v>7939490</v>
      </c>
      <c r="M15" t="s" s="13">
        <v>34</v>
      </c>
      <c r="N15" s="15">
        <v>202431</v>
      </c>
      <c r="O15" s="17" cm="1">
        <f t="array" ref="O15">(H15-H14)/H14</f>
        <v>-0.000289214912972603</v>
      </c>
    </row>
    <row r="16" ht="13.65" customHeight="1">
      <c r="A16" s="18">
        <v>44308</v>
      </c>
      <c r="B16" t="s" s="13">
        <v>22</v>
      </c>
      <c r="C16" s="14">
        <v>1892.25</v>
      </c>
      <c r="D16" s="14">
        <v>1914.45</v>
      </c>
      <c r="E16" s="14">
        <v>1876.7</v>
      </c>
      <c r="F16" s="14">
        <v>1901.15</v>
      </c>
      <c r="G16" s="14">
        <v>1905.1</v>
      </c>
      <c r="H16" s="14">
        <v>1906.4</v>
      </c>
      <c r="I16" s="14">
        <v>1898.59</v>
      </c>
      <c r="J16" s="14">
        <v>2369.35</v>
      </c>
      <c r="K16" s="14">
        <v>1164</v>
      </c>
      <c r="L16" s="15">
        <v>6687573</v>
      </c>
      <c r="M16" t="s" s="13">
        <v>35</v>
      </c>
      <c r="N16" s="15">
        <v>209895</v>
      </c>
      <c r="O16" s="17" cm="1">
        <f t="array" ref="O16">(H16-H15)/H15</f>
        <v>0.0027614864687163</v>
      </c>
    </row>
    <row r="17" ht="13.65" customHeight="1">
      <c r="A17" s="18">
        <v>44309</v>
      </c>
      <c r="B17" t="s" s="13">
        <v>22</v>
      </c>
      <c r="C17" s="14">
        <v>1906</v>
      </c>
      <c r="D17" s="14">
        <v>1918.9</v>
      </c>
      <c r="E17" s="14">
        <v>1895.35</v>
      </c>
      <c r="F17" s="14">
        <v>1906.4</v>
      </c>
      <c r="G17" s="14">
        <v>1903.35</v>
      </c>
      <c r="H17" s="14">
        <v>1904.35</v>
      </c>
      <c r="I17" s="14">
        <v>1907.47</v>
      </c>
      <c r="J17" s="14">
        <v>2369.35</v>
      </c>
      <c r="K17" s="14">
        <v>1164</v>
      </c>
      <c r="L17" s="15">
        <v>5459016</v>
      </c>
      <c r="M17" t="s" s="13">
        <v>36</v>
      </c>
      <c r="N17" s="15">
        <v>171621</v>
      </c>
      <c r="O17" s="17" cm="1">
        <f t="array" ref="O17">(H17-H16)/H16</f>
        <v>-0.00107532522031053</v>
      </c>
    </row>
    <row r="18" ht="13.65" customHeight="1">
      <c r="A18" s="18">
        <v>44312</v>
      </c>
      <c r="B18" t="s" s="13">
        <v>22</v>
      </c>
      <c r="C18" s="14">
        <v>1920</v>
      </c>
      <c r="D18" s="14">
        <v>1962</v>
      </c>
      <c r="E18" s="14">
        <v>1911.5</v>
      </c>
      <c r="F18" s="14">
        <v>1904.35</v>
      </c>
      <c r="G18" s="14">
        <v>1938</v>
      </c>
      <c r="H18" s="14">
        <v>1937.85</v>
      </c>
      <c r="I18" s="14">
        <v>1941.32</v>
      </c>
      <c r="J18" s="14">
        <v>2369.35</v>
      </c>
      <c r="K18" s="14">
        <v>1392.15</v>
      </c>
      <c r="L18" s="15">
        <v>9620785</v>
      </c>
      <c r="M18" t="s" s="13">
        <v>37</v>
      </c>
      <c r="N18" s="15">
        <v>259137</v>
      </c>
      <c r="O18" s="17" cm="1">
        <f t="array" ref="O18">(H18-H17)/H17</f>
        <v>0.0175913041195158</v>
      </c>
    </row>
    <row r="19" ht="13.65" customHeight="1">
      <c r="A19" s="18">
        <v>44313</v>
      </c>
      <c r="B19" t="s" s="13">
        <v>22</v>
      </c>
      <c r="C19" s="14">
        <v>1940</v>
      </c>
      <c r="D19" s="14">
        <v>1997.2</v>
      </c>
      <c r="E19" s="14">
        <v>1938.25</v>
      </c>
      <c r="F19" s="14">
        <v>1937.85</v>
      </c>
      <c r="G19" s="14">
        <v>1990</v>
      </c>
      <c r="H19" s="14">
        <v>1988.65</v>
      </c>
      <c r="I19" s="14">
        <v>1978.64</v>
      </c>
      <c r="J19" s="14">
        <v>2369.35</v>
      </c>
      <c r="K19" s="14">
        <v>1392.15</v>
      </c>
      <c r="L19" s="15">
        <v>9226547</v>
      </c>
      <c r="M19" t="s" s="13">
        <v>38</v>
      </c>
      <c r="N19" s="15">
        <v>291197</v>
      </c>
      <c r="O19" s="17" cm="1">
        <f t="array" ref="O19">(H19-H18)/H18</f>
        <v>0.026214619294579</v>
      </c>
    </row>
    <row r="20" ht="13.65" customHeight="1">
      <c r="A20" s="18">
        <v>44314</v>
      </c>
      <c r="B20" t="s" s="13">
        <v>22</v>
      </c>
      <c r="C20" s="14">
        <v>1997.85</v>
      </c>
      <c r="D20" s="14">
        <v>2008</v>
      </c>
      <c r="E20" s="14">
        <v>1980.15</v>
      </c>
      <c r="F20" s="14">
        <v>1988.65</v>
      </c>
      <c r="G20" s="14">
        <v>1993.15</v>
      </c>
      <c r="H20" s="14">
        <v>1997.3</v>
      </c>
      <c r="I20" s="14">
        <v>1997.6</v>
      </c>
      <c r="J20" s="14">
        <v>2369.35</v>
      </c>
      <c r="K20" s="14">
        <v>1392.15</v>
      </c>
      <c r="L20" s="15">
        <v>7902002</v>
      </c>
      <c r="M20" t="s" s="13">
        <v>39</v>
      </c>
      <c r="N20" s="15">
        <v>247331</v>
      </c>
      <c r="O20" s="17" cm="1">
        <f t="array" ref="O20">(H20-H19)/H19</f>
        <v>0.00434968445930656</v>
      </c>
    </row>
    <row r="21" ht="13.65" customHeight="1">
      <c r="A21" s="18">
        <v>44315</v>
      </c>
      <c r="B21" t="s" s="13">
        <v>22</v>
      </c>
      <c r="C21" s="14">
        <v>2022.9</v>
      </c>
      <c r="D21" s="14">
        <v>2044.5</v>
      </c>
      <c r="E21" s="14">
        <v>2007.3</v>
      </c>
      <c r="F21" s="14">
        <v>1997.3</v>
      </c>
      <c r="G21" s="14">
        <v>2020</v>
      </c>
      <c r="H21" s="14">
        <v>2024.05</v>
      </c>
      <c r="I21" s="14">
        <v>2024.21</v>
      </c>
      <c r="J21" s="14">
        <v>2369.35</v>
      </c>
      <c r="K21" s="14">
        <v>1392.15</v>
      </c>
      <c r="L21" s="15">
        <v>8035915</v>
      </c>
      <c r="M21" t="s" s="13">
        <v>40</v>
      </c>
      <c r="N21" s="15">
        <v>213153</v>
      </c>
      <c r="O21" s="17" cm="1">
        <f t="array" ref="O21">(H21-H20)/H20</f>
        <v>0.0133930806588895</v>
      </c>
    </row>
    <row r="22" ht="13.65" customHeight="1">
      <c r="A22" s="18">
        <v>44316</v>
      </c>
      <c r="B22" t="s" s="13">
        <v>22</v>
      </c>
      <c r="C22" s="14">
        <v>2008.5</v>
      </c>
      <c r="D22" s="14">
        <v>2036</v>
      </c>
      <c r="E22" s="14">
        <v>1987.55</v>
      </c>
      <c r="F22" s="14">
        <v>2024.05</v>
      </c>
      <c r="G22" s="14">
        <v>1995.9</v>
      </c>
      <c r="H22" s="14">
        <v>1994.5</v>
      </c>
      <c r="I22" s="14">
        <v>2010.2</v>
      </c>
      <c r="J22" s="14">
        <v>2369.35</v>
      </c>
      <c r="K22" s="14">
        <v>1392.15</v>
      </c>
      <c r="L22" s="15">
        <v>9150974</v>
      </c>
      <c r="M22" t="s" s="13">
        <v>41</v>
      </c>
      <c r="N22" s="15">
        <v>288687</v>
      </c>
      <c r="O22" s="17" cm="1">
        <f t="array" ref="O22">(H22-H21)/H21</f>
        <v>-0.0145994417133964</v>
      </c>
    </row>
    <row r="23" ht="13.65" customHeight="1">
      <c r="A23" s="19">
        <v>44319</v>
      </c>
      <c r="B23" t="s" s="13">
        <v>22</v>
      </c>
      <c r="C23" s="14">
        <v>1966</v>
      </c>
      <c r="D23" s="14">
        <v>1979</v>
      </c>
      <c r="E23" s="14">
        <v>1943.1</v>
      </c>
      <c r="F23" s="14">
        <v>1994.5</v>
      </c>
      <c r="G23" s="14">
        <v>1956</v>
      </c>
      <c r="H23" s="14">
        <v>1959.05</v>
      </c>
      <c r="I23" s="14">
        <v>1958.46</v>
      </c>
      <c r="J23" s="14">
        <v>2369.35</v>
      </c>
      <c r="K23" s="14">
        <v>1393</v>
      </c>
      <c r="L23" s="15">
        <v>10909942</v>
      </c>
      <c r="M23" t="s" s="13">
        <v>42</v>
      </c>
      <c r="N23" s="15">
        <v>343806</v>
      </c>
      <c r="O23" s="17" cm="1">
        <f t="array" ref="O23">(H23-H22)/H22</f>
        <v>-0.0177738781649536</v>
      </c>
    </row>
    <row r="24" ht="13.65" customHeight="1">
      <c r="A24" s="19">
        <v>44320</v>
      </c>
      <c r="B24" t="s" s="13">
        <v>22</v>
      </c>
      <c r="C24" s="14">
        <v>1950</v>
      </c>
      <c r="D24" s="14">
        <v>1967.8</v>
      </c>
      <c r="E24" s="14">
        <v>1911</v>
      </c>
      <c r="F24" s="14">
        <v>1959.05</v>
      </c>
      <c r="G24" s="14">
        <v>1918</v>
      </c>
      <c r="H24" s="14">
        <v>1916.6</v>
      </c>
      <c r="I24" s="14">
        <v>1935.83</v>
      </c>
      <c r="J24" s="14">
        <v>2369.35</v>
      </c>
      <c r="K24" s="14">
        <v>1393</v>
      </c>
      <c r="L24" s="15">
        <v>10083693</v>
      </c>
      <c r="M24" t="s" s="13">
        <v>43</v>
      </c>
      <c r="N24" s="15">
        <v>325798</v>
      </c>
      <c r="O24" s="17" cm="1">
        <f t="array" ref="O24">(H24-H23)/H23</f>
        <v>-0.0216686659350195</v>
      </c>
    </row>
    <row r="25" ht="13.65" customHeight="1">
      <c r="A25" s="19">
        <v>44321</v>
      </c>
      <c r="B25" t="s" s="13">
        <v>22</v>
      </c>
      <c r="C25" s="14">
        <v>1923.35</v>
      </c>
      <c r="D25" s="14">
        <v>1938.5</v>
      </c>
      <c r="E25" s="14">
        <v>1908.05</v>
      </c>
      <c r="F25" s="14">
        <v>1916.6</v>
      </c>
      <c r="G25" s="14">
        <v>1921.5</v>
      </c>
      <c r="H25" s="14">
        <v>1920.1</v>
      </c>
      <c r="I25" s="14">
        <v>1923.26</v>
      </c>
      <c r="J25" s="14">
        <v>2369.35</v>
      </c>
      <c r="K25" s="14">
        <v>1393</v>
      </c>
      <c r="L25" s="15">
        <v>5719649</v>
      </c>
      <c r="M25" t="s" s="13">
        <v>44</v>
      </c>
      <c r="N25" s="15">
        <v>190990</v>
      </c>
      <c r="O25" s="17" cm="1">
        <f t="array" ref="O25">(H25-H24)/H24</f>
        <v>0.00182615047479912</v>
      </c>
    </row>
    <row r="26" ht="13.65" customHeight="1">
      <c r="A26" s="19">
        <v>44322</v>
      </c>
      <c r="B26" t="s" s="13">
        <v>22</v>
      </c>
      <c r="C26" s="14">
        <v>1921.85</v>
      </c>
      <c r="D26" s="14">
        <v>1935</v>
      </c>
      <c r="E26" s="14">
        <v>1906.6</v>
      </c>
      <c r="F26" s="14">
        <v>1920.1</v>
      </c>
      <c r="G26" s="14">
        <v>1932</v>
      </c>
      <c r="H26" s="14">
        <v>1931</v>
      </c>
      <c r="I26" s="14">
        <v>1920.95</v>
      </c>
      <c r="J26" s="14">
        <v>2369.35</v>
      </c>
      <c r="K26" s="14">
        <v>1393</v>
      </c>
      <c r="L26" s="15">
        <v>6749281</v>
      </c>
      <c r="M26" t="s" s="13">
        <v>45</v>
      </c>
      <c r="N26" s="15">
        <v>221666</v>
      </c>
      <c r="O26" s="17" cm="1">
        <f t="array" ref="O26">(H26-H25)/H25</f>
        <v>0.00567678766730899</v>
      </c>
    </row>
    <row r="27" ht="13.65" customHeight="1">
      <c r="A27" s="19">
        <v>44323</v>
      </c>
      <c r="B27" t="s" s="13">
        <v>22</v>
      </c>
      <c r="C27" s="14">
        <v>1937.75</v>
      </c>
      <c r="D27" s="14">
        <v>1955.65</v>
      </c>
      <c r="E27" s="14">
        <v>1926</v>
      </c>
      <c r="F27" s="14">
        <v>1931</v>
      </c>
      <c r="G27" s="14">
        <v>1926.8</v>
      </c>
      <c r="H27" s="14">
        <v>1931.75</v>
      </c>
      <c r="I27" s="14">
        <v>1940.01</v>
      </c>
      <c r="J27" s="14">
        <v>2369.35</v>
      </c>
      <c r="K27" s="14">
        <v>1393</v>
      </c>
      <c r="L27" s="15">
        <v>5671163</v>
      </c>
      <c r="M27" t="s" s="13">
        <v>46</v>
      </c>
      <c r="N27" s="15">
        <v>188670</v>
      </c>
      <c r="O27" s="17" cm="1">
        <f t="array" ref="O27">(H27-H26)/H26</f>
        <v>0.000388399792853444</v>
      </c>
    </row>
    <row r="28" ht="13.65" customHeight="1">
      <c r="A28" s="20">
        <v>44326</v>
      </c>
      <c r="B28" t="s" s="13">
        <v>22</v>
      </c>
      <c r="C28" s="14">
        <v>1939</v>
      </c>
      <c r="D28" s="14">
        <v>1946.8</v>
      </c>
      <c r="E28" s="14">
        <v>1920.95</v>
      </c>
      <c r="F28" s="14">
        <v>1931.75</v>
      </c>
      <c r="G28" s="14">
        <v>1927.1</v>
      </c>
      <c r="H28" s="14">
        <v>1926.2</v>
      </c>
      <c r="I28" s="14">
        <v>1932.02</v>
      </c>
      <c r="J28" s="14">
        <v>2369.35</v>
      </c>
      <c r="K28" s="14">
        <v>1393</v>
      </c>
      <c r="L28" s="15">
        <v>6433879</v>
      </c>
      <c r="M28" t="s" s="13">
        <v>47</v>
      </c>
      <c r="N28" s="15">
        <v>197986</v>
      </c>
      <c r="O28" s="17" cm="1">
        <f t="array" ref="O28">(H28-H27)/H27</f>
        <v>-0.00287304257797334</v>
      </c>
    </row>
    <row r="29" ht="13.65" customHeight="1">
      <c r="A29" s="20">
        <v>44327</v>
      </c>
      <c r="B29" t="s" s="13">
        <v>22</v>
      </c>
      <c r="C29" s="14">
        <v>1915</v>
      </c>
      <c r="D29" s="14">
        <v>1938.55</v>
      </c>
      <c r="E29" s="14">
        <v>1910</v>
      </c>
      <c r="F29" s="14">
        <v>1926.2</v>
      </c>
      <c r="G29" s="14">
        <v>1933.9</v>
      </c>
      <c r="H29" s="14">
        <v>1933.15</v>
      </c>
      <c r="I29" s="14">
        <v>1929.4</v>
      </c>
      <c r="J29" s="14">
        <v>2369.35</v>
      </c>
      <c r="K29" s="14">
        <v>1393</v>
      </c>
      <c r="L29" s="15">
        <v>6220217</v>
      </c>
      <c r="M29" t="s" s="13">
        <v>48</v>
      </c>
      <c r="N29" s="15">
        <v>175976</v>
      </c>
      <c r="O29" s="17" cm="1">
        <f t="array" ref="O29">(H29-H28)/H28</f>
        <v>0.00360814038002284</v>
      </c>
    </row>
    <row r="30" ht="13.65" customHeight="1">
      <c r="A30" s="20">
        <v>44328</v>
      </c>
      <c r="B30" t="s" s="13">
        <v>22</v>
      </c>
      <c r="C30" s="14">
        <v>1930.1</v>
      </c>
      <c r="D30" s="14">
        <v>1932.9</v>
      </c>
      <c r="E30" s="14">
        <v>1907</v>
      </c>
      <c r="F30" s="14">
        <v>1933.15</v>
      </c>
      <c r="G30" s="14">
        <v>1913.05</v>
      </c>
      <c r="H30" s="14">
        <v>1913.15</v>
      </c>
      <c r="I30" s="14">
        <v>1915.34</v>
      </c>
      <c r="J30" s="14">
        <v>2369.35</v>
      </c>
      <c r="K30" s="14">
        <v>1393</v>
      </c>
      <c r="L30" s="15">
        <v>6081627</v>
      </c>
      <c r="M30" t="s" s="13">
        <v>49</v>
      </c>
      <c r="N30" s="15">
        <v>212378</v>
      </c>
      <c r="O30" s="17" cm="1">
        <f t="array" ref="O30">(H30-H29)/H29</f>
        <v>-0.0103458086542689</v>
      </c>
    </row>
    <row r="31" ht="13.65" customHeight="1">
      <c r="A31" s="20">
        <v>44330</v>
      </c>
      <c r="B31" t="s" s="13">
        <v>22</v>
      </c>
      <c r="C31" s="14">
        <v>1928.05</v>
      </c>
      <c r="D31" s="14">
        <v>1942</v>
      </c>
      <c r="E31" s="14">
        <v>1906</v>
      </c>
      <c r="F31" s="14">
        <v>1913.15</v>
      </c>
      <c r="G31" s="14">
        <v>1937</v>
      </c>
      <c r="H31" s="14">
        <v>1937.3</v>
      </c>
      <c r="I31" s="14">
        <v>1925.2</v>
      </c>
      <c r="J31" s="14">
        <v>2369.35</v>
      </c>
      <c r="K31" s="14">
        <v>1393</v>
      </c>
      <c r="L31" s="15">
        <v>6134079</v>
      </c>
      <c r="M31" t="s" s="13">
        <v>50</v>
      </c>
      <c r="N31" s="15">
        <v>227142</v>
      </c>
      <c r="O31" s="17" cm="1">
        <f t="array" ref="O31">(H31-H30)/H30</f>
        <v>0.0126231607558216</v>
      </c>
    </row>
    <row r="32" ht="13.65" customHeight="1">
      <c r="A32" s="20">
        <v>44333</v>
      </c>
      <c r="B32" t="s" s="13">
        <v>22</v>
      </c>
      <c r="C32" s="14">
        <v>1937.3</v>
      </c>
      <c r="D32" s="14">
        <v>1963.45</v>
      </c>
      <c r="E32" s="14">
        <v>1930.4</v>
      </c>
      <c r="F32" s="14">
        <v>1937.3</v>
      </c>
      <c r="G32" s="14">
        <v>1958.85</v>
      </c>
      <c r="H32" s="14">
        <v>1960.35</v>
      </c>
      <c r="I32" s="14">
        <v>1950.25</v>
      </c>
      <c r="J32" s="14">
        <v>2369.35</v>
      </c>
      <c r="K32" s="14">
        <v>1393</v>
      </c>
      <c r="L32" s="15">
        <v>5479424</v>
      </c>
      <c r="M32" t="s" s="13">
        <v>51</v>
      </c>
      <c r="N32" s="15">
        <v>164252</v>
      </c>
      <c r="O32" s="17" cm="1">
        <f t="array" ref="O32">(H32-H31)/H31</f>
        <v>0.0118980023744387</v>
      </c>
    </row>
    <row r="33" ht="13.65" customHeight="1">
      <c r="A33" s="20">
        <v>44334</v>
      </c>
      <c r="B33" t="s" s="13">
        <v>22</v>
      </c>
      <c r="C33" s="14">
        <v>1981</v>
      </c>
      <c r="D33" s="14">
        <v>2002.6</v>
      </c>
      <c r="E33" s="14">
        <v>1972.5</v>
      </c>
      <c r="F33" s="14">
        <v>1960.35</v>
      </c>
      <c r="G33" s="14">
        <v>1986</v>
      </c>
      <c r="H33" s="14">
        <v>1987.95</v>
      </c>
      <c r="I33" s="14">
        <v>1987.92</v>
      </c>
      <c r="J33" s="14">
        <v>2369.35</v>
      </c>
      <c r="K33" s="14">
        <v>1393</v>
      </c>
      <c r="L33" s="15">
        <v>5567958</v>
      </c>
      <c r="M33" t="s" s="13">
        <v>52</v>
      </c>
      <c r="N33" s="15">
        <v>184906</v>
      </c>
      <c r="O33" s="17" cm="1">
        <f t="array" ref="O33">(H33-H32)/H32</f>
        <v>0.0140791185247532</v>
      </c>
    </row>
    <row r="34" ht="13.65" customHeight="1">
      <c r="A34" s="20">
        <v>44335</v>
      </c>
      <c r="B34" t="s" s="13">
        <v>22</v>
      </c>
      <c r="C34" s="14">
        <v>1980</v>
      </c>
      <c r="D34" s="14">
        <v>2016.45</v>
      </c>
      <c r="E34" s="14">
        <v>1972</v>
      </c>
      <c r="F34" s="14">
        <v>1987.95</v>
      </c>
      <c r="G34" s="14">
        <v>1993</v>
      </c>
      <c r="H34" s="14">
        <v>1997.05</v>
      </c>
      <c r="I34" s="14">
        <v>1998.55</v>
      </c>
      <c r="J34" s="14">
        <v>2369.35</v>
      </c>
      <c r="K34" s="14">
        <v>1393</v>
      </c>
      <c r="L34" s="15">
        <v>7530294</v>
      </c>
      <c r="M34" t="s" s="13">
        <v>53</v>
      </c>
      <c r="N34" s="15">
        <v>198257</v>
      </c>
      <c r="O34" s="17" cm="1">
        <f t="array" ref="O34">(H34-H33)/H33</f>
        <v>0.00457757991901205</v>
      </c>
    </row>
    <row r="35" ht="13.65" customHeight="1">
      <c r="A35" s="20">
        <v>44336</v>
      </c>
      <c r="B35" t="s" s="13">
        <v>22</v>
      </c>
      <c r="C35" s="14">
        <v>1997.9</v>
      </c>
      <c r="D35" s="14">
        <v>2010.9</v>
      </c>
      <c r="E35" s="14">
        <v>1981</v>
      </c>
      <c r="F35" s="14">
        <v>1997.05</v>
      </c>
      <c r="G35" s="14">
        <v>1982</v>
      </c>
      <c r="H35" s="14">
        <v>1985.4</v>
      </c>
      <c r="I35" s="14">
        <v>1991.75</v>
      </c>
      <c r="J35" s="14">
        <v>2369.35</v>
      </c>
      <c r="K35" s="14">
        <v>1393</v>
      </c>
      <c r="L35" s="15">
        <v>5271497</v>
      </c>
      <c r="M35" t="s" s="13">
        <v>54</v>
      </c>
      <c r="N35" s="15">
        <v>158144</v>
      </c>
      <c r="O35" s="17" cm="1">
        <f t="array" ref="O35">(H35-H34)/H34</f>
        <v>-0.00583360456673594</v>
      </c>
    </row>
    <row r="36" ht="13.65" customHeight="1">
      <c r="A36" s="20">
        <v>44337</v>
      </c>
      <c r="B36" t="s" s="13">
        <v>22</v>
      </c>
      <c r="C36" s="14">
        <v>1992</v>
      </c>
      <c r="D36" s="14">
        <v>2009.6</v>
      </c>
      <c r="E36" s="14">
        <v>1986</v>
      </c>
      <c r="F36" s="14">
        <v>1985.4</v>
      </c>
      <c r="G36" s="14">
        <v>1999.6</v>
      </c>
      <c r="H36" s="14">
        <v>2002.55</v>
      </c>
      <c r="I36" s="14">
        <v>1999.87</v>
      </c>
      <c r="J36" s="14">
        <v>2369.35</v>
      </c>
      <c r="K36" s="14">
        <v>1393</v>
      </c>
      <c r="L36" s="15">
        <v>4977555</v>
      </c>
      <c r="M36" t="s" s="13">
        <v>55</v>
      </c>
      <c r="N36" s="15">
        <v>182141</v>
      </c>
      <c r="O36" s="17" cm="1">
        <f t="array" ref="O36">(H36-H35)/H35</f>
        <v>0.008638057822101339</v>
      </c>
    </row>
    <row r="37" ht="13.65" customHeight="1">
      <c r="A37" s="20">
        <v>44340</v>
      </c>
      <c r="B37" t="s" s="13">
        <v>22</v>
      </c>
      <c r="C37" s="14">
        <v>2008</v>
      </c>
      <c r="D37" s="14">
        <v>2009.8</v>
      </c>
      <c r="E37" s="14">
        <v>1982</v>
      </c>
      <c r="F37" s="14">
        <v>2002.55</v>
      </c>
      <c r="G37" s="14">
        <v>1985.05</v>
      </c>
      <c r="H37" s="14">
        <v>1985.65</v>
      </c>
      <c r="I37" s="14">
        <v>1994.09</v>
      </c>
      <c r="J37" s="14">
        <v>2369.35</v>
      </c>
      <c r="K37" s="14">
        <v>1412</v>
      </c>
      <c r="L37" s="15">
        <v>3946636</v>
      </c>
      <c r="M37" t="s" s="13">
        <v>56</v>
      </c>
      <c r="N37" s="15">
        <v>130059</v>
      </c>
      <c r="O37" s="17" cm="1">
        <f t="array" ref="O37">(H37-H36)/H36</f>
        <v>-0.00843923996903947</v>
      </c>
    </row>
    <row r="38" ht="13.65" customHeight="1">
      <c r="A38" s="20">
        <v>44341</v>
      </c>
      <c r="B38" t="s" s="13">
        <v>22</v>
      </c>
      <c r="C38" s="14">
        <v>1996.4</v>
      </c>
      <c r="D38" s="14">
        <v>1997</v>
      </c>
      <c r="E38" s="14">
        <v>1960</v>
      </c>
      <c r="F38" s="14">
        <v>1985.65</v>
      </c>
      <c r="G38" s="14">
        <v>1964</v>
      </c>
      <c r="H38" s="14">
        <v>1963.15</v>
      </c>
      <c r="I38" s="14">
        <v>1974.34</v>
      </c>
      <c r="J38" s="14">
        <v>2369.35</v>
      </c>
      <c r="K38" s="14">
        <v>1412</v>
      </c>
      <c r="L38" s="15">
        <v>6821015</v>
      </c>
      <c r="M38" t="s" s="13">
        <v>57</v>
      </c>
      <c r="N38" s="15">
        <v>208558</v>
      </c>
      <c r="O38" s="17" cm="1">
        <f t="array" ref="O38">(H38-H37)/H37</f>
        <v>-0.0113313020925138</v>
      </c>
    </row>
    <row r="39" ht="13.65" customHeight="1">
      <c r="A39" s="20">
        <v>44342</v>
      </c>
      <c r="B39" t="s" s="13">
        <v>22</v>
      </c>
      <c r="C39" s="14">
        <v>1975</v>
      </c>
      <c r="D39" s="14">
        <v>1979.5</v>
      </c>
      <c r="E39" s="14">
        <v>1965.3</v>
      </c>
      <c r="F39" s="14">
        <v>1963.15</v>
      </c>
      <c r="G39" s="14">
        <v>1967</v>
      </c>
      <c r="H39" s="14">
        <v>1970.05</v>
      </c>
      <c r="I39" s="14">
        <v>1972.33</v>
      </c>
      <c r="J39" s="14">
        <v>2369.35</v>
      </c>
      <c r="K39" s="14">
        <v>1412</v>
      </c>
      <c r="L39" s="15">
        <v>3452113</v>
      </c>
      <c r="M39" t="s" s="13">
        <v>58</v>
      </c>
      <c r="N39" s="15">
        <v>118469</v>
      </c>
      <c r="O39" s="17" cm="1">
        <f t="array" ref="O39">(H39-H38)/H38</f>
        <v>0.00351475944273234</v>
      </c>
    </row>
    <row r="40" ht="13.65" customHeight="1">
      <c r="A40" s="20">
        <v>44343</v>
      </c>
      <c r="B40" t="s" s="13">
        <v>22</v>
      </c>
      <c r="C40" s="14">
        <v>1970.3</v>
      </c>
      <c r="D40" s="14">
        <v>1993</v>
      </c>
      <c r="E40" s="14">
        <v>1962.25</v>
      </c>
      <c r="F40" s="14">
        <v>1970.05</v>
      </c>
      <c r="G40" s="14">
        <v>1990</v>
      </c>
      <c r="H40" s="14">
        <v>1976.1</v>
      </c>
      <c r="I40" s="14">
        <v>1977.57</v>
      </c>
      <c r="J40" s="14">
        <v>2369.35</v>
      </c>
      <c r="K40" s="14">
        <v>1412</v>
      </c>
      <c r="L40" s="15">
        <v>12377100</v>
      </c>
      <c r="M40" t="s" s="13">
        <v>59</v>
      </c>
      <c r="N40" s="15">
        <v>219255</v>
      </c>
      <c r="O40" s="17" cm="1">
        <f t="array" ref="O40">(H40-H39)/H39</f>
        <v>0.00307098804598868</v>
      </c>
    </row>
    <row r="41" ht="13.65" customHeight="1">
      <c r="A41" s="20">
        <v>44344</v>
      </c>
      <c r="B41" t="s" s="13">
        <v>22</v>
      </c>
      <c r="C41" s="14">
        <v>1990</v>
      </c>
      <c r="D41" s="14">
        <v>2105</v>
      </c>
      <c r="E41" s="14">
        <v>1990</v>
      </c>
      <c r="F41" s="14">
        <v>1976.1</v>
      </c>
      <c r="G41" s="14">
        <v>2094.45</v>
      </c>
      <c r="H41" s="14">
        <v>2094.8</v>
      </c>
      <c r="I41" s="14">
        <v>2067.42</v>
      </c>
      <c r="J41" s="14">
        <v>2369.35</v>
      </c>
      <c r="K41" s="14">
        <v>1412</v>
      </c>
      <c r="L41" s="15">
        <v>26060864</v>
      </c>
      <c r="M41" t="s" s="13">
        <v>60</v>
      </c>
      <c r="N41" s="15">
        <v>642384</v>
      </c>
      <c r="O41" s="17" cm="1">
        <f t="array" ref="O41">(H41-H40)/H40</f>
        <v>0.0600678103334851</v>
      </c>
    </row>
    <row r="42" ht="13.65" customHeight="1">
      <c r="A42" s="20">
        <v>44347</v>
      </c>
      <c r="B42" t="s" s="13">
        <v>22</v>
      </c>
      <c r="C42" s="14">
        <v>2102</v>
      </c>
      <c r="D42" s="14">
        <v>2191.7</v>
      </c>
      <c r="E42" s="14">
        <v>2085.05</v>
      </c>
      <c r="F42" s="14">
        <v>2094.8</v>
      </c>
      <c r="G42" s="14">
        <v>2153.5</v>
      </c>
      <c r="H42" s="14">
        <v>2160.3</v>
      </c>
      <c r="I42" s="14">
        <v>2154.29</v>
      </c>
      <c r="J42" s="14">
        <v>2369.35</v>
      </c>
      <c r="K42" s="14">
        <v>1475.95</v>
      </c>
      <c r="L42" s="15">
        <v>27285782</v>
      </c>
      <c r="M42" t="s" s="13">
        <v>61</v>
      </c>
      <c r="N42" s="15">
        <v>624166</v>
      </c>
      <c r="O42" s="17" cm="1">
        <f t="array" ref="O42">(H42-H41)/H41</f>
        <v>0.0312679014703074</v>
      </c>
    </row>
    <row r="43" ht="13.65" customHeight="1">
      <c r="A43" s="12">
        <v>44348</v>
      </c>
      <c r="B43" t="s" s="13">
        <v>22</v>
      </c>
      <c r="C43" s="14">
        <v>2166</v>
      </c>
      <c r="D43" s="14">
        <v>2202</v>
      </c>
      <c r="E43" s="14">
        <v>2146.5</v>
      </c>
      <c r="F43" s="14">
        <v>2160.3</v>
      </c>
      <c r="G43" s="14">
        <v>2164.3</v>
      </c>
      <c r="H43" s="14">
        <v>2168.9</v>
      </c>
      <c r="I43" s="14">
        <v>2176.52</v>
      </c>
      <c r="J43" s="14">
        <v>2369.35</v>
      </c>
      <c r="K43" s="14">
        <v>1475.95</v>
      </c>
      <c r="L43" s="15">
        <v>12928379</v>
      </c>
      <c r="M43" t="s" s="13">
        <v>62</v>
      </c>
      <c r="N43" s="15">
        <v>390299</v>
      </c>
      <c r="O43" s="17" cm="1">
        <f t="array" ref="O43">(H43-H42)/H42</f>
        <v>0.00398092857473499</v>
      </c>
    </row>
    <row r="44" ht="13.65" customHeight="1">
      <c r="A44" s="12">
        <v>44349</v>
      </c>
      <c r="B44" t="s" s="13">
        <v>22</v>
      </c>
      <c r="C44" s="14">
        <v>2157</v>
      </c>
      <c r="D44" s="14">
        <v>2209.5</v>
      </c>
      <c r="E44" s="14">
        <v>2157</v>
      </c>
      <c r="F44" s="14">
        <v>2168.9</v>
      </c>
      <c r="G44" s="14">
        <v>2207</v>
      </c>
      <c r="H44" s="14">
        <v>2201.25</v>
      </c>
      <c r="I44" s="14">
        <v>2178.64</v>
      </c>
      <c r="J44" s="14">
        <v>2369.35</v>
      </c>
      <c r="K44" s="14">
        <v>1475.95</v>
      </c>
      <c r="L44" s="15">
        <v>11366816</v>
      </c>
      <c r="M44" t="s" s="13">
        <v>63</v>
      </c>
      <c r="N44" s="15">
        <v>258490</v>
      </c>
      <c r="O44" s="17" cm="1">
        <f t="array" ref="O44">(H44-H43)/H43</f>
        <v>0.0149153949006409</v>
      </c>
    </row>
    <row r="45" ht="13.65" customHeight="1">
      <c r="A45" s="12">
        <v>44350</v>
      </c>
      <c r="B45" t="s" s="13">
        <v>22</v>
      </c>
      <c r="C45" s="14">
        <v>2221</v>
      </c>
      <c r="D45" s="14">
        <v>2250</v>
      </c>
      <c r="E45" s="14">
        <v>2196.1</v>
      </c>
      <c r="F45" s="14">
        <v>2201.25</v>
      </c>
      <c r="G45" s="14">
        <v>2208</v>
      </c>
      <c r="H45" s="14">
        <v>2209.65</v>
      </c>
      <c r="I45" s="14">
        <v>2221.49</v>
      </c>
      <c r="J45" s="14">
        <v>2369.35</v>
      </c>
      <c r="K45" s="14">
        <v>1475.95</v>
      </c>
      <c r="L45" s="15">
        <v>11064116</v>
      </c>
      <c r="M45" t="s" s="13">
        <v>64</v>
      </c>
      <c r="N45" s="15">
        <v>341728</v>
      </c>
      <c r="O45" s="17" cm="1">
        <f t="array" ref="O45">(H45-H44)/H44</f>
        <v>0.0038160136286201</v>
      </c>
    </row>
    <row r="46" ht="13.65" customHeight="1">
      <c r="A46" s="12">
        <v>44351</v>
      </c>
      <c r="B46" t="s" s="13">
        <v>22</v>
      </c>
      <c r="C46" s="14">
        <v>2214.8</v>
      </c>
      <c r="D46" s="14">
        <v>2216.45</v>
      </c>
      <c r="E46" s="14">
        <v>2184.25</v>
      </c>
      <c r="F46" s="14">
        <v>2209.65</v>
      </c>
      <c r="G46" s="14">
        <v>2186.9</v>
      </c>
      <c r="H46" s="14">
        <v>2190.5</v>
      </c>
      <c r="I46" s="14">
        <v>2197.67</v>
      </c>
      <c r="J46" s="14">
        <v>2369.35</v>
      </c>
      <c r="K46" s="14">
        <v>1475.95</v>
      </c>
      <c r="L46" s="15">
        <v>6677278</v>
      </c>
      <c r="M46" t="s" s="13">
        <v>65</v>
      </c>
      <c r="N46" s="15">
        <v>219435</v>
      </c>
      <c r="O46" s="17" cm="1">
        <f t="array" ref="O46">(H46-H45)/H45</f>
        <v>-0.008666530898558599</v>
      </c>
    </row>
    <row r="47" ht="13.65" customHeight="1">
      <c r="A47" s="12">
        <v>44354</v>
      </c>
      <c r="B47" t="s" s="13">
        <v>22</v>
      </c>
      <c r="C47" s="14">
        <v>2202</v>
      </c>
      <c r="D47" s="14">
        <v>2242</v>
      </c>
      <c r="E47" s="14">
        <v>2185</v>
      </c>
      <c r="F47" s="14">
        <v>2190.5</v>
      </c>
      <c r="G47" s="14">
        <v>2225.05</v>
      </c>
      <c r="H47" s="14">
        <v>2227.4</v>
      </c>
      <c r="I47" s="14">
        <v>2214.78</v>
      </c>
      <c r="J47" s="14">
        <v>2369.35</v>
      </c>
      <c r="K47" s="14">
        <v>1497</v>
      </c>
      <c r="L47" s="15">
        <v>7539326</v>
      </c>
      <c r="M47" t="s" s="13">
        <v>66</v>
      </c>
      <c r="N47" s="15">
        <v>227808</v>
      </c>
      <c r="O47" s="17" cm="1">
        <f t="array" ref="O47">(H47-H46)/H46</f>
        <v>0.0168454690709884</v>
      </c>
    </row>
    <row r="48" ht="13.65" customHeight="1">
      <c r="A48" s="12">
        <v>44355</v>
      </c>
      <c r="B48" t="s" s="13">
        <v>22</v>
      </c>
      <c r="C48" s="14">
        <v>2226.6</v>
      </c>
      <c r="D48" s="14">
        <v>2227.15</v>
      </c>
      <c r="E48" s="14">
        <v>2198.15</v>
      </c>
      <c r="F48" s="14">
        <v>2227.4</v>
      </c>
      <c r="G48" s="14">
        <v>2211.5</v>
      </c>
      <c r="H48" s="14">
        <v>2214.6</v>
      </c>
      <c r="I48" s="14">
        <v>2213.34</v>
      </c>
      <c r="J48" s="14">
        <v>2369.35</v>
      </c>
      <c r="K48" s="14">
        <v>1497</v>
      </c>
      <c r="L48" s="15">
        <v>4464889</v>
      </c>
      <c r="M48" t="s" s="13">
        <v>67</v>
      </c>
      <c r="N48" s="15">
        <v>147771</v>
      </c>
      <c r="O48" s="17" cm="1">
        <f t="array" ref="O48">(H48-H47)/H47</f>
        <v>-0.00574661039777319</v>
      </c>
    </row>
    <row r="49" ht="13.65" customHeight="1">
      <c r="A49" s="12">
        <v>44356</v>
      </c>
      <c r="B49" t="s" s="13">
        <v>22</v>
      </c>
      <c r="C49" s="14">
        <v>2219</v>
      </c>
      <c r="D49" s="14">
        <v>2221</v>
      </c>
      <c r="E49" s="14">
        <v>2157.95</v>
      </c>
      <c r="F49" s="14">
        <v>2214.6</v>
      </c>
      <c r="G49" s="14">
        <v>2178</v>
      </c>
      <c r="H49" s="14">
        <v>2175</v>
      </c>
      <c r="I49" s="14">
        <v>2189.57</v>
      </c>
      <c r="J49" s="14">
        <v>2369.35</v>
      </c>
      <c r="K49" s="14">
        <v>1497</v>
      </c>
      <c r="L49" s="15">
        <v>5265326</v>
      </c>
      <c r="M49" t="s" s="13">
        <v>68</v>
      </c>
      <c r="N49" s="15">
        <v>167739</v>
      </c>
      <c r="O49" s="17" cm="1">
        <f t="array" ref="O49">(H49-H48)/H48</f>
        <v>-0.0178813329720943</v>
      </c>
    </row>
    <row r="50" ht="13.65" customHeight="1">
      <c r="A50" s="18">
        <v>44357</v>
      </c>
      <c r="B50" t="s" s="13">
        <v>22</v>
      </c>
      <c r="C50" s="14">
        <v>2193.4</v>
      </c>
      <c r="D50" s="14">
        <v>2230</v>
      </c>
      <c r="E50" s="14">
        <v>2177.55</v>
      </c>
      <c r="F50" s="14">
        <v>2175</v>
      </c>
      <c r="G50" s="14">
        <v>2184.8</v>
      </c>
      <c r="H50" s="14">
        <v>2183</v>
      </c>
      <c r="I50" s="14">
        <v>2199.39</v>
      </c>
      <c r="J50" s="14">
        <v>2369.35</v>
      </c>
      <c r="K50" s="14">
        <v>1497</v>
      </c>
      <c r="L50" s="15">
        <v>6532832</v>
      </c>
      <c r="M50" t="s" s="13">
        <v>69</v>
      </c>
      <c r="N50" s="15">
        <v>215752</v>
      </c>
      <c r="O50" s="17" cm="1">
        <f t="array" ref="O50">(H50-H49)/H49</f>
        <v>0.00367816091954023</v>
      </c>
    </row>
    <row r="51" ht="13.65" customHeight="1">
      <c r="A51" s="18">
        <v>44358</v>
      </c>
      <c r="B51" t="s" s="13">
        <v>22</v>
      </c>
      <c r="C51" s="14">
        <v>2182.9</v>
      </c>
      <c r="D51" s="14">
        <v>2228</v>
      </c>
      <c r="E51" s="14">
        <v>2180.1</v>
      </c>
      <c r="F51" s="14">
        <v>2183</v>
      </c>
      <c r="G51" s="14">
        <v>2215.8</v>
      </c>
      <c r="H51" s="14">
        <v>2213.15</v>
      </c>
      <c r="I51" s="14">
        <v>2214.24</v>
      </c>
      <c r="J51" s="14">
        <v>2369.35</v>
      </c>
      <c r="K51" s="14">
        <v>1497</v>
      </c>
      <c r="L51" s="15">
        <v>6351520</v>
      </c>
      <c r="M51" t="s" s="13">
        <v>70</v>
      </c>
      <c r="N51" s="15">
        <v>226319</v>
      </c>
      <c r="O51" s="17" cm="1">
        <f t="array" ref="O51">(H51-H50)/H50</f>
        <v>0.0138112688960147</v>
      </c>
    </row>
    <row r="52" ht="13.65" customHeight="1">
      <c r="A52" s="18">
        <v>44361</v>
      </c>
      <c r="B52" t="s" s="13">
        <v>22</v>
      </c>
      <c r="C52" s="14">
        <v>2215</v>
      </c>
      <c r="D52" s="14">
        <v>2258.25</v>
      </c>
      <c r="E52" s="14">
        <v>2195.05</v>
      </c>
      <c r="F52" s="14">
        <v>2213.15</v>
      </c>
      <c r="G52" s="14">
        <v>2245</v>
      </c>
      <c r="H52" s="14">
        <v>2244.9</v>
      </c>
      <c r="I52" s="14">
        <v>2232.14</v>
      </c>
      <c r="J52" s="14">
        <v>2369.35</v>
      </c>
      <c r="K52" s="14">
        <v>1561.1</v>
      </c>
      <c r="L52" s="15">
        <v>9383416</v>
      </c>
      <c r="M52" t="s" s="13">
        <v>71</v>
      </c>
      <c r="N52" s="15">
        <v>284426</v>
      </c>
      <c r="O52" s="17" cm="1">
        <f t="array" ref="O52">(H52-H51)/H51</f>
        <v>0.0143460678218828</v>
      </c>
    </row>
    <row r="53" ht="13.65" customHeight="1">
      <c r="A53" s="18">
        <v>44362</v>
      </c>
      <c r="B53" t="s" s="13">
        <v>22</v>
      </c>
      <c r="C53" s="14">
        <v>2261</v>
      </c>
      <c r="D53" s="14">
        <v>2274.9</v>
      </c>
      <c r="E53" s="14">
        <v>2240.3</v>
      </c>
      <c r="F53" s="14">
        <v>2244.9</v>
      </c>
      <c r="G53" s="14">
        <v>2244</v>
      </c>
      <c r="H53" s="14">
        <v>2250</v>
      </c>
      <c r="I53" s="14">
        <v>2257.44</v>
      </c>
      <c r="J53" s="14">
        <v>2369.35</v>
      </c>
      <c r="K53" s="14">
        <v>1561.1</v>
      </c>
      <c r="L53" s="15">
        <v>7002898</v>
      </c>
      <c r="M53" t="s" s="13">
        <v>72</v>
      </c>
      <c r="N53" s="15">
        <v>215805</v>
      </c>
      <c r="O53" s="17" cm="1">
        <f t="array" ref="O53">(H53-H52)/H52</f>
        <v>0.0022718161165308</v>
      </c>
    </row>
    <row r="54" ht="13.65" customHeight="1">
      <c r="A54" s="18">
        <v>44363</v>
      </c>
      <c r="B54" t="s" s="13">
        <v>22</v>
      </c>
      <c r="C54" s="14">
        <v>2244.9</v>
      </c>
      <c r="D54" s="14">
        <v>2247.05</v>
      </c>
      <c r="E54" s="14">
        <v>2205.85</v>
      </c>
      <c r="F54" s="14">
        <v>2250</v>
      </c>
      <c r="G54" s="14">
        <v>2209.55</v>
      </c>
      <c r="H54" s="14">
        <v>2211.6</v>
      </c>
      <c r="I54" s="14">
        <v>2223.78</v>
      </c>
      <c r="J54" s="14">
        <v>2369.35</v>
      </c>
      <c r="K54" s="14">
        <v>1561.1</v>
      </c>
      <c r="L54" s="15">
        <v>4982975</v>
      </c>
      <c r="M54" t="s" s="13">
        <v>73</v>
      </c>
      <c r="N54" s="15">
        <v>163887</v>
      </c>
      <c r="O54" s="17" cm="1">
        <f t="array" ref="O54">(H54-H53)/H53</f>
        <v>-0.0170666666666667</v>
      </c>
    </row>
    <row r="55" ht="13.65" customHeight="1">
      <c r="A55" s="18">
        <v>44364</v>
      </c>
      <c r="B55" t="s" s="13">
        <v>22</v>
      </c>
      <c r="C55" s="14">
        <v>2200</v>
      </c>
      <c r="D55" s="14">
        <v>2235</v>
      </c>
      <c r="E55" s="14">
        <v>2179.9</v>
      </c>
      <c r="F55" s="14">
        <v>2211.6</v>
      </c>
      <c r="G55" s="14">
        <v>2214.15</v>
      </c>
      <c r="H55" s="14">
        <v>2215.65</v>
      </c>
      <c r="I55" s="14">
        <v>2212.43</v>
      </c>
      <c r="J55" s="14">
        <v>2369.35</v>
      </c>
      <c r="K55" s="14">
        <v>1561.1</v>
      </c>
      <c r="L55" s="15">
        <v>7266765</v>
      </c>
      <c r="M55" t="s" s="13">
        <v>74</v>
      </c>
      <c r="N55" s="15">
        <v>225832</v>
      </c>
      <c r="O55" s="17" cm="1">
        <f t="array" ref="O55">(H55-H54)/H54</f>
        <v>0.00183125339120998</v>
      </c>
    </row>
    <row r="56" ht="13.65" customHeight="1">
      <c r="A56" s="18">
        <v>44365</v>
      </c>
      <c r="B56" t="s" s="13">
        <v>22</v>
      </c>
      <c r="C56" s="14">
        <v>2225.5</v>
      </c>
      <c r="D56" s="14">
        <v>2235</v>
      </c>
      <c r="E56" s="14">
        <v>2184.35</v>
      </c>
      <c r="F56" s="14">
        <v>2215.65</v>
      </c>
      <c r="G56" s="14">
        <v>2224.15</v>
      </c>
      <c r="H56" s="14">
        <v>2225.65</v>
      </c>
      <c r="I56" s="14">
        <v>2216.48</v>
      </c>
      <c r="J56" s="14">
        <v>2369.35</v>
      </c>
      <c r="K56" s="14">
        <v>1561.1</v>
      </c>
      <c r="L56" s="15">
        <v>13553801</v>
      </c>
      <c r="M56" t="s" s="13">
        <v>75</v>
      </c>
      <c r="N56" s="15">
        <v>221167</v>
      </c>
      <c r="O56" s="17" cm="1">
        <f t="array" ref="O56">(H56-H55)/H55</f>
        <v>0.00451334822738248</v>
      </c>
    </row>
    <row r="57" ht="13.65" customHeight="1">
      <c r="A57" s="18">
        <v>44368</v>
      </c>
      <c r="B57" t="s" s="13">
        <v>22</v>
      </c>
      <c r="C57" s="14">
        <v>2203.5</v>
      </c>
      <c r="D57" s="14">
        <v>2247.5</v>
      </c>
      <c r="E57" s="14">
        <v>2200.15</v>
      </c>
      <c r="F57" s="14">
        <v>2225.65</v>
      </c>
      <c r="G57" s="14">
        <v>2238.95</v>
      </c>
      <c r="H57" s="14">
        <v>2237.25</v>
      </c>
      <c r="I57" s="14">
        <v>2225.6</v>
      </c>
      <c r="J57" s="14">
        <v>2369.35</v>
      </c>
      <c r="K57" s="14">
        <v>1695.55</v>
      </c>
      <c r="L57" s="15">
        <v>5624044</v>
      </c>
      <c r="M57" t="s" s="13">
        <v>76</v>
      </c>
      <c r="N57" s="15">
        <v>180220</v>
      </c>
      <c r="O57" s="17" cm="1">
        <f t="array" ref="O57">(H57-H56)/H56</f>
        <v>0.00521196055085031</v>
      </c>
    </row>
    <row r="58" ht="13.65" customHeight="1">
      <c r="A58" s="18">
        <v>44369</v>
      </c>
      <c r="B58" t="s" s="13">
        <v>22</v>
      </c>
      <c r="C58" s="14">
        <v>2254</v>
      </c>
      <c r="D58" s="14">
        <v>2261</v>
      </c>
      <c r="E58" s="14">
        <v>2219.35</v>
      </c>
      <c r="F58" s="14">
        <v>2237.25</v>
      </c>
      <c r="G58" s="14">
        <v>2225</v>
      </c>
      <c r="H58" s="14">
        <v>2225.75</v>
      </c>
      <c r="I58" s="14">
        <v>2245.45</v>
      </c>
      <c r="J58" s="14">
        <v>2369.35</v>
      </c>
      <c r="K58" s="14">
        <v>1695.55</v>
      </c>
      <c r="L58" s="15">
        <v>5940386</v>
      </c>
      <c r="M58" t="s" s="13">
        <v>77</v>
      </c>
      <c r="N58" s="15">
        <v>180362</v>
      </c>
      <c r="O58" s="17" cm="1">
        <f t="array" ref="O58">(H58-H57)/H57</f>
        <v>-0.00514023913286401</v>
      </c>
    </row>
    <row r="59" ht="13.65" customHeight="1">
      <c r="A59" s="18">
        <v>44370</v>
      </c>
      <c r="B59" t="s" s="13">
        <v>22</v>
      </c>
      <c r="C59" s="14">
        <v>2250</v>
      </c>
      <c r="D59" s="14">
        <v>2250.6</v>
      </c>
      <c r="E59" s="14">
        <v>2201.7</v>
      </c>
      <c r="F59" s="14">
        <v>2225.75</v>
      </c>
      <c r="G59" s="14">
        <v>2208.15</v>
      </c>
      <c r="H59" s="14">
        <v>2205.35</v>
      </c>
      <c r="I59" s="14">
        <v>2217.44</v>
      </c>
      <c r="J59" s="14">
        <v>2369.35</v>
      </c>
      <c r="K59" s="14">
        <v>1695.55</v>
      </c>
      <c r="L59" s="15">
        <v>7685796</v>
      </c>
      <c r="M59" t="s" s="13">
        <v>78</v>
      </c>
      <c r="N59" s="15">
        <v>214835</v>
      </c>
      <c r="O59" s="17" cm="1">
        <f t="array" ref="O59">(H59-H58)/H58</f>
        <v>-0.009165449848365721</v>
      </c>
    </row>
    <row r="60" ht="13.65" customHeight="1">
      <c r="A60" s="18">
        <v>44371</v>
      </c>
      <c r="B60" t="s" s="13">
        <v>22</v>
      </c>
      <c r="C60" s="14">
        <v>2206.85</v>
      </c>
      <c r="D60" s="14">
        <v>2214.6</v>
      </c>
      <c r="E60" s="14">
        <v>2140</v>
      </c>
      <c r="F60" s="14">
        <v>2205.35</v>
      </c>
      <c r="G60" s="14">
        <v>2147.8</v>
      </c>
      <c r="H60" s="14">
        <v>2153.5</v>
      </c>
      <c r="I60" s="14">
        <v>2174.85</v>
      </c>
      <c r="J60" s="14">
        <v>2369.35</v>
      </c>
      <c r="K60" s="14">
        <v>1695.55</v>
      </c>
      <c r="L60" s="15">
        <v>42209687</v>
      </c>
      <c r="M60" t="s" s="13">
        <v>79</v>
      </c>
      <c r="N60" s="15">
        <v>755278</v>
      </c>
      <c r="O60" s="17" cm="1">
        <f t="array" ref="O60">(H60-H59)/H59</f>
        <v>-0.0235110073231006</v>
      </c>
    </row>
    <row r="61" ht="13.65" customHeight="1">
      <c r="A61" s="18">
        <v>44372</v>
      </c>
      <c r="B61" t="s" s="13">
        <v>22</v>
      </c>
      <c r="C61" s="14">
        <v>2153.5</v>
      </c>
      <c r="D61" s="14">
        <v>2153.5</v>
      </c>
      <c r="E61" s="14">
        <v>2081.1</v>
      </c>
      <c r="F61" s="14">
        <v>2153.5</v>
      </c>
      <c r="G61" s="14">
        <v>2104.5</v>
      </c>
      <c r="H61" s="14">
        <v>2104.45</v>
      </c>
      <c r="I61" s="14">
        <v>2106.02</v>
      </c>
      <c r="J61" s="14">
        <v>2369.35</v>
      </c>
      <c r="K61" s="14">
        <v>1695.55</v>
      </c>
      <c r="L61" s="15">
        <v>25546334</v>
      </c>
      <c r="M61" t="s" s="13">
        <v>80</v>
      </c>
      <c r="N61" s="15">
        <v>629847</v>
      </c>
      <c r="O61" s="17" cm="1">
        <f t="array" ref="O61">(H61-H60)/H60</f>
        <v>-0.0227768748548874</v>
      </c>
    </row>
    <row r="62" ht="13.65" customHeight="1">
      <c r="A62" s="18">
        <v>44375</v>
      </c>
      <c r="B62" t="s" s="13">
        <v>22</v>
      </c>
      <c r="C62" s="14">
        <v>2122</v>
      </c>
      <c r="D62" s="14">
        <v>2126.5</v>
      </c>
      <c r="E62" s="14">
        <v>2081</v>
      </c>
      <c r="F62" s="14">
        <v>2104.45</v>
      </c>
      <c r="G62" s="14">
        <v>2089</v>
      </c>
      <c r="H62" s="14">
        <v>2086</v>
      </c>
      <c r="I62" s="14">
        <v>2100.31</v>
      </c>
      <c r="J62" s="14">
        <v>2369.35</v>
      </c>
      <c r="K62" s="14">
        <v>1695.55</v>
      </c>
      <c r="L62" s="15">
        <v>9357852</v>
      </c>
      <c r="M62" t="s" s="13">
        <v>81</v>
      </c>
      <c r="N62" s="15">
        <v>286857</v>
      </c>
      <c r="O62" s="17" cm="1">
        <f t="array" ref="O62">(H62-H61)/H61</f>
        <v>-0.008767136306398349</v>
      </c>
    </row>
    <row r="63" ht="13.65" customHeight="1">
      <c r="A63" s="18">
        <v>44376</v>
      </c>
      <c r="B63" t="s" s="13">
        <v>22</v>
      </c>
      <c r="C63" s="14">
        <v>2089.5</v>
      </c>
      <c r="D63" s="14">
        <v>2109</v>
      </c>
      <c r="E63" s="14">
        <v>2084.1</v>
      </c>
      <c r="F63" s="14">
        <v>2086</v>
      </c>
      <c r="G63" s="14">
        <v>2090</v>
      </c>
      <c r="H63" s="14">
        <v>2087.8</v>
      </c>
      <c r="I63" s="14">
        <v>2091.92</v>
      </c>
      <c r="J63" s="14">
        <v>2369.35</v>
      </c>
      <c r="K63" s="14">
        <v>1695.55</v>
      </c>
      <c r="L63" s="15">
        <v>12526981</v>
      </c>
      <c r="M63" t="s" s="13">
        <v>82</v>
      </c>
      <c r="N63" s="15">
        <v>267376</v>
      </c>
      <c r="O63" s="17" cm="1">
        <f t="array" ref="O63">(H63-H62)/H62</f>
        <v>0.0008628954937679771</v>
      </c>
    </row>
    <row r="64" ht="13.65" customHeight="1">
      <c r="A64" s="18">
        <v>44377</v>
      </c>
      <c r="B64" t="s" s="13">
        <v>22</v>
      </c>
      <c r="C64" s="14">
        <v>2096.25</v>
      </c>
      <c r="D64" s="14">
        <v>2122.65</v>
      </c>
      <c r="E64" s="14">
        <v>2091.05</v>
      </c>
      <c r="F64" s="14">
        <v>2087.8</v>
      </c>
      <c r="G64" s="14">
        <v>2112</v>
      </c>
      <c r="H64" s="14">
        <v>2110.65</v>
      </c>
      <c r="I64" s="14">
        <v>2107.86</v>
      </c>
      <c r="J64" s="14">
        <v>2369.35</v>
      </c>
      <c r="K64" s="14">
        <v>1695.55</v>
      </c>
      <c r="L64" s="15">
        <v>9120556</v>
      </c>
      <c r="M64" t="s" s="13">
        <v>83</v>
      </c>
      <c r="N64" s="15">
        <v>251722</v>
      </c>
      <c r="O64" s="17" cm="1">
        <f t="array" ref="O64">(H64-H63)/H63</f>
        <v>0.0109445349171377</v>
      </c>
    </row>
    <row r="65" ht="13.65" customHeight="1">
      <c r="A65" s="12">
        <v>44378</v>
      </c>
      <c r="B65" t="s" s="13">
        <v>22</v>
      </c>
      <c r="C65" s="14">
        <v>2118</v>
      </c>
      <c r="D65" s="14">
        <v>2123.15</v>
      </c>
      <c r="E65" s="14">
        <v>2095</v>
      </c>
      <c r="F65" s="14">
        <v>2110.65</v>
      </c>
      <c r="G65" s="14">
        <v>2101.5</v>
      </c>
      <c r="H65" s="14">
        <v>2097.95</v>
      </c>
      <c r="I65" s="14">
        <v>2109.37</v>
      </c>
      <c r="J65" s="14">
        <v>2369.35</v>
      </c>
      <c r="K65" s="14">
        <v>1695.55</v>
      </c>
      <c r="L65" s="15">
        <v>5784627</v>
      </c>
      <c r="M65" t="s" s="13">
        <v>84</v>
      </c>
      <c r="N65" s="15">
        <v>196897</v>
      </c>
      <c r="O65" s="17" cm="1">
        <f t="array" ref="O65">(H65-H64)/H64</f>
        <v>-0.00601710373581598</v>
      </c>
    </row>
    <row r="66" ht="13.65" customHeight="1">
      <c r="A66" s="12">
        <v>44379</v>
      </c>
      <c r="B66" t="s" s="13">
        <v>22</v>
      </c>
      <c r="C66" s="14">
        <v>2097</v>
      </c>
      <c r="D66" s="14">
        <v>2132.9</v>
      </c>
      <c r="E66" s="14">
        <v>2092.95</v>
      </c>
      <c r="F66" s="14">
        <v>2097.95</v>
      </c>
      <c r="G66" s="14">
        <v>2131.55</v>
      </c>
      <c r="H66" s="14">
        <v>2129.05</v>
      </c>
      <c r="I66" s="14">
        <v>2120.31</v>
      </c>
      <c r="J66" s="14">
        <v>2369.35</v>
      </c>
      <c r="K66" s="14">
        <v>1695.55</v>
      </c>
      <c r="L66" s="15">
        <v>6500973</v>
      </c>
      <c r="M66" t="s" s="13">
        <v>85</v>
      </c>
      <c r="N66" s="15">
        <v>187794</v>
      </c>
      <c r="O66" s="17" cm="1">
        <f t="array" ref="O66">(H66-H65)/H65</f>
        <v>0.0148239948521175</v>
      </c>
    </row>
    <row r="67" ht="13.65" customHeight="1">
      <c r="A67" s="12">
        <v>44382</v>
      </c>
      <c r="B67" t="s" s="13">
        <v>22</v>
      </c>
      <c r="C67" s="14">
        <v>2136.45</v>
      </c>
      <c r="D67" s="14">
        <v>2153.55</v>
      </c>
      <c r="E67" s="14">
        <v>2131.5</v>
      </c>
      <c r="F67" s="14">
        <v>2129.05</v>
      </c>
      <c r="G67" s="14">
        <v>2150</v>
      </c>
      <c r="H67" s="14">
        <v>2150.2</v>
      </c>
      <c r="I67" s="14">
        <v>2145.57</v>
      </c>
      <c r="J67" s="14">
        <v>2369.35</v>
      </c>
      <c r="K67" s="14">
        <v>1786.25</v>
      </c>
      <c r="L67" s="15">
        <v>5400604</v>
      </c>
      <c r="M67" t="s" s="13">
        <v>86</v>
      </c>
      <c r="N67" s="15">
        <v>175055</v>
      </c>
      <c r="O67" s="17" cm="1">
        <f t="array" ref="O67">(H67-H66)/H66</f>
        <v>0.009934008125689861</v>
      </c>
    </row>
    <row r="68" ht="13.65" customHeight="1">
      <c r="A68" s="12">
        <v>44383</v>
      </c>
      <c r="B68" t="s" s="13">
        <v>22</v>
      </c>
      <c r="C68" s="14">
        <v>2144.95</v>
      </c>
      <c r="D68" s="14">
        <v>2148.9</v>
      </c>
      <c r="E68" s="14">
        <v>2120.2</v>
      </c>
      <c r="F68" s="14">
        <v>2150.2</v>
      </c>
      <c r="G68" s="14">
        <v>2127.85</v>
      </c>
      <c r="H68" s="14">
        <v>2124.8</v>
      </c>
      <c r="I68" s="14">
        <v>2136.74</v>
      </c>
      <c r="J68" s="14">
        <v>2369.35</v>
      </c>
      <c r="K68" s="14">
        <v>1786.25</v>
      </c>
      <c r="L68" s="15">
        <v>4647361</v>
      </c>
      <c r="M68" t="s" s="13">
        <v>87</v>
      </c>
      <c r="N68" s="15">
        <v>125408</v>
      </c>
      <c r="O68" s="17" cm="1">
        <f t="array" ref="O68">(H68-H67)/H67</f>
        <v>-0.0118128546181751</v>
      </c>
    </row>
    <row r="69" ht="13.65" customHeight="1">
      <c r="A69" s="12">
        <v>44384</v>
      </c>
      <c r="B69" t="s" s="13">
        <v>22</v>
      </c>
      <c r="C69" s="14">
        <v>2127.75</v>
      </c>
      <c r="D69" s="14">
        <v>2127.75</v>
      </c>
      <c r="E69" s="14">
        <v>2098</v>
      </c>
      <c r="F69" s="14">
        <v>2124.8</v>
      </c>
      <c r="G69" s="14">
        <v>2112</v>
      </c>
      <c r="H69" s="14">
        <v>2110.05</v>
      </c>
      <c r="I69" s="14">
        <v>2109.85</v>
      </c>
      <c r="J69" s="14">
        <v>2369.35</v>
      </c>
      <c r="K69" s="14">
        <v>1786.25</v>
      </c>
      <c r="L69" s="15">
        <v>4824931</v>
      </c>
      <c r="M69" t="s" s="13">
        <v>88</v>
      </c>
      <c r="N69" s="15">
        <v>227151</v>
      </c>
      <c r="O69" s="17" cm="1">
        <f t="array" ref="O69">(H69-H68)/H68</f>
        <v>-0.00694182981927711</v>
      </c>
    </row>
    <row r="70" ht="13.65" customHeight="1">
      <c r="A70" s="12">
        <v>44385</v>
      </c>
      <c r="B70" t="s" s="13">
        <v>22</v>
      </c>
      <c r="C70" s="14">
        <v>2116.95</v>
      </c>
      <c r="D70" s="14">
        <v>2116.95</v>
      </c>
      <c r="E70" s="14">
        <v>2081</v>
      </c>
      <c r="F70" s="14">
        <v>2110.05</v>
      </c>
      <c r="G70" s="14">
        <v>2091</v>
      </c>
      <c r="H70" s="14">
        <v>2092.6</v>
      </c>
      <c r="I70" s="14">
        <v>2097.58</v>
      </c>
      <c r="J70" s="14">
        <v>2369.35</v>
      </c>
      <c r="K70" s="14">
        <v>1786.25</v>
      </c>
      <c r="L70" s="15">
        <v>5162088</v>
      </c>
      <c r="M70" t="s" s="13">
        <v>89</v>
      </c>
      <c r="N70" s="15">
        <v>223120</v>
      </c>
      <c r="O70" s="17" cm="1">
        <f t="array" ref="O70">(H70-H69)/H69</f>
        <v>-0.008269946209805449</v>
      </c>
    </row>
    <row r="71" ht="13.65" customHeight="1">
      <c r="A71" s="12">
        <v>44386</v>
      </c>
      <c r="B71" t="s" s="13">
        <v>22</v>
      </c>
      <c r="C71" s="14">
        <v>2088</v>
      </c>
      <c r="D71" s="14">
        <v>2091.7</v>
      </c>
      <c r="E71" s="14">
        <v>2066.1</v>
      </c>
      <c r="F71" s="14">
        <v>2092.6</v>
      </c>
      <c r="G71" s="14">
        <v>2071.95</v>
      </c>
      <c r="H71" s="14">
        <v>2071.2</v>
      </c>
      <c r="I71" s="14">
        <v>2074.82</v>
      </c>
      <c r="J71" s="14">
        <v>2369.35</v>
      </c>
      <c r="K71" s="14">
        <v>1786.25</v>
      </c>
      <c r="L71" s="15">
        <v>4170886</v>
      </c>
      <c r="M71" t="s" s="13">
        <v>90</v>
      </c>
      <c r="N71" s="15">
        <v>169203</v>
      </c>
      <c r="O71" s="17" cm="1">
        <f t="array" ref="O71">(H71-H70)/H70</f>
        <v>-0.0102265124725222</v>
      </c>
    </row>
    <row r="72" ht="13.65" customHeight="1">
      <c r="A72" s="18">
        <v>44389</v>
      </c>
      <c r="B72" t="s" s="13">
        <v>22</v>
      </c>
      <c r="C72" s="14">
        <v>2079.75</v>
      </c>
      <c r="D72" s="14">
        <v>2101.5</v>
      </c>
      <c r="E72" s="14">
        <v>2074.5</v>
      </c>
      <c r="F72" s="14">
        <v>2071.2</v>
      </c>
      <c r="G72" s="14">
        <v>2081.95</v>
      </c>
      <c r="H72" s="14">
        <v>2084.1</v>
      </c>
      <c r="I72" s="14">
        <v>2088.16</v>
      </c>
      <c r="J72" s="14">
        <v>2369.35</v>
      </c>
      <c r="K72" s="14">
        <v>1798</v>
      </c>
      <c r="L72" s="15">
        <v>3962111</v>
      </c>
      <c r="M72" t="s" s="13">
        <v>91</v>
      </c>
      <c r="N72" s="15">
        <v>140597</v>
      </c>
      <c r="O72" s="17" cm="1">
        <f t="array" ref="O72">(H72-H71)/H71</f>
        <v>0.00622827346465817</v>
      </c>
    </row>
    <row r="73" ht="13.65" customHeight="1">
      <c r="A73" s="18">
        <v>44390</v>
      </c>
      <c r="B73" t="s" s="13">
        <v>22</v>
      </c>
      <c r="C73" s="14">
        <v>2100</v>
      </c>
      <c r="D73" s="14">
        <v>2103.05</v>
      </c>
      <c r="E73" s="14">
        <v>2088.05</v>
      </c>
      <c r="F73" s="14">
        <v>2084.1</v>
      </c>
      <c r="G73" s="14">
        <v>2099</v>
      </c>
      <c r="H73" s="14">
        <v>2099.7</v>
      </c>
      <c r="I73" s="14">
        <v>2097.12</v>
      </c>
      <c r="J73" s="14">
        <v>2369.35</v>
      </c>
      <c r="K73" s="14">
        <v>1798</v>
      </c>
      <c r="L73" s="15">
        <v>3099956</v>
      </c>
      <c r="M73" t="s" s="13">
        <v>92</v>
      </c>
      <c r="N73" s="15">
        <v>106030</v>
      </c>
      <c r="O73" s="17" cm="1">
        <f t="array" ref="O73">(H73-H72)/H72</f>
        <v>0.00748524542968188</v>
      </c>
    </row>
    <row r="74" ht="13.65" customHeight="1">
      <c r="A74" s="18">
        <v>44391</v>
      </c>
      <c r="B74" t="s" s="13">
        <v>22</v>
      </c>
      <c r="C74" s="14">
        <v>2100.35</v>
      </c>
      <c r="D74" s="14">
        <v>2106.85</v>
      </c>
      <c r="E74" s="14">
        <v>2081.25</v>
      </c>
      <c r="F74" s="14">
        <v>2099.7</v>
      </c>
      <c r="G74" s="14">
        <v>2083.55</v>
      </c>
      <c r="H74" s="14">
        <v>2086</v>
      </c>
      <c r="I74" s="14">
        <v>2090.03</v>
      </c>
      <c r="J74" s="14">
        <v>2369.35</v>
      </c>
      <c r="K74" s="14">
        <v>1798</v>
      </c>
      <c r="L74" s="15">
        <v>3937768</v>
      </c>
      <c r="M74" t="s" s="13">
        <v>93</v>
      </c>
      <c r="N74" s="15">
        <v>169306</v>
      </c>
      <c r="O74" s="17" cm="1">
        <f t="array" ref="O74">(H74-H73)/H73</f>
        <v>-0.00652474162975663</v>
      </c>
    </row>
    <row r="75" ht="13.65" customHeight="1">
      <c r="A75" s="18">
        <v>44392</v>
      </c>
      <c r="B75" t="s" s="13">
        <v>22</v>
      </c>
      <c r="C75" s="14">
        <v>2095</v>
      </c>
      <c r="D75" s="14">
        <v>2095</v>
      </c>
      <c r="E75" s="14">
        <v>2078.5</v>
      </c>
      <c r="F75" s="14">
        <v>2086</v>
      </c>
      <c r="G75" s="14">
        <v>2080.75</v>
      </c>
      <c r="H75" s="14">
        <v>2082.35</v>
      </c>
      <c r="I75" s="14">
        <v>2086.62</v>
      </c>
      <c r="J75" s="14">
        <v>2369.35</v>
      </c>
      <c r="K75" s="14">
        <v>1798</v>
      </c>
      <c r="L75" s="15">
        <v>4360415</v>
      </c>
      <c r="M75" t="s" s="13">
        <v>94</v>
      </c>
      <c r="N75" s="15">
        <v>148981</v>
      </c>
      <c r="O75" s="17" cm="1">
        <f t="array" ref="O75">(H75-H74)/H74</f>
        <v>-0.00174976030680729</v>
      </c>
    </row>
    <row r="76" ht="13.65" customHeight="1">
      <c r="A76" s="18">
        <v>44393</v>
      </c>
      <c r="B76" t="s" s="13">
        <v>22</v>
      </c>
      <c r="C76" s="14">
        <v>2087.75</v>
      </c>
      <c r="D76" s="14">
        <v>2114.75</v>
      </c>
      <c r="E76" s="14">
        <v>2087.6</v>
      </c>
      <c r="F76" s="14">
        <v>2082.35</v>
      </c>
      <c r="G76" s="14">
        <v>2110</v>
      </c>
      <c r="H76" s="14">
        <v>2112.4</v>
      </c>
      <c r="I76" s="14">
        <v>2104.6</v>
      </c>
      <c r="J76" s="14">
        <v>2369.35</v>
      </c>
      <c r="K76" s="14">
        <v>1798</v>
      </c>
      <c r="L76" s="15">
        <v>4074206</v>
      </c>
      <c r="M76" t="s" s="13">
        <v>95</v>
      </c>
      <c r="N76" s="15">
        <v>126660</v>
      </c>
      <c r="O76" s="17" cm="1">
        <f t="array" ref="O76">(H76-H75)/H75</f>
        <v>0.0144308113429539</v>
      </c>
    </row>
    <row r="77" ht="13.65" customHeight="1">
      <c r="A77" s="18">
        <v>44396</v>
      </c>
      <c r="B77" t="s" s="13">
        <v>22</v>
      </c>
      <c r="C77" s="14">
        <v>2100</v>
      </c>
      <c r="D77" s="14">
        <v>2124</v>
      </c>
      <c r="E77" s="14">
        <v>2092.25</v>
      </c>
      <c r="F77" s="14">
        <v>2112.4</v>
      </c>
      <c r="G77" s="14">
        <v>2097.95</v>
      </c>
      <c r="H77" s="14">
        <v>2098.95</v>
      </c>
      <c r="I77" s="14">
        <v>2108.57</v>
      </c>
      <c r="J77" s="14">
        <v>2369.35</v>
      </c>
      <c r="K77" s="14">
        <v>1830</v>
      </c>
      <c r="L77" s="15">
        <v>3855577</v>
      </c>
      <c r="M77" t="s" s="13">
        <v>96</v>
      </c>
      <c r="N77" s="15">
        <v>129037</v>
      </c>
      <c r="O77" s="17" cm="1">
        <f t="array" ref="O77">(H77-H76)/H76</f>
        <v>-0.00636716530960045</v>
      </c>
    </row>
    <row r="78" ht="13.65" customHeight="1">
      <c r="A78" s="18">
        <v>44397</v>
      </c>
      <c r="B78" t="s" s="13">
        <v>22</v>
      </c>
      <c r="C78" s="14">
        <v>2099.5</v>
      </c>
      <c r="D78" s="14">
        <v>2108</v>
      </c>
      <c r="E78" s="14">
        <v>2084</v>
      </c>
      <c r="F78" s="14">
        <v>2098.95</v>
      </c>
      <c r="G78" s="14">
        <v>2089.95</v>
      </c>
      <c r="H78" s="14">
        <v>2093.8</v>
      </c>
      <c r="I78" s="14">
        <v>2097.18</v>
      </c>
      <c r="J78" s="14">
        <v>2369.35</v>
      </c>
      <c r="K78" s="14">
        <v>1830</v>
      </c>
      <c r="L78" s="15">
        <v>3111185</v>
      </c>
      <c r="M78" t="s" s="13">
        <v>97</v>
      </c>
      <c r="N78" s="15">
        <v>105619</v>
      </c>
      <c r="O78" s="17" cm="1">
        <f t="array" ref="O78">(H78-H77)/H77</f>
        <v>-0.00245360775625908</v>
      </c>
    </row>
    <row r="79" ht="13.65" customHeight="1">
      <c r="A79" s="18">
        <v>44399</v>
      </c>
      <c r="B79" t="s" s="13">
        <v>22</v>
      </c>
      <c r="C79" s="14">
        <v>2119</v>
      </c>
      <c r="D79" s="14">
        <v>2123.9</v>
      </c>
      <c r="E79" s="14">
        <v>2098.15</v>
      </c>
      <c r="F79" s="14">
        <v>2093.8</v>
      </c>
      <c r="G79" s="14">
        <v>2121.5</v>
      </c>
      <c r="H79" s="14">
        <v>2120.7</v>
      </c>
      <c r="I79" s="14">
        <v>2111.6</v>
      </c>
      <c r="J79" s="14">
        <v>2369.35</v>
      </c>
      <c r="K79" s="14">
        <v>1830</v>
      </c>
      <c r="L79" s="15">
        <v>3679260</v>
      </c>
      <c r="M79" t="s" s="13">
        <v>98</v>
      </c>
      <c r="N79" s="15">
        <v>133510</v>
      </c>
      <c r="O79" s="17" cm="1">
        <f t="array" ref="O79">(H79-H78)/H78</f>
        <v>0.0128474543891489</v>
      </c>
    </row>
    <row r="80" ht="13.65" customHeight="1">
      <c r="A80" s="18">
        <v>44400</v>
      </c>
      <c r="B80" t="s" s="13">
        <v>22</v>
      </c>
      <c r="C80" s="14">
        <v>2134.45</v>
      </c>
      <c r="D80" s="14">
        <v>2134.45</v>
      </c>
      <c r="E80" s="14">
        <v>2102.05</v>
      </c>
      <c r="F80" s="14">
        <v>2120.7</v>
      </c>
      <c r="G80" s="14">
        <v>2104</v>
      </c>
      <c r="H80" s="14">
        <v>2105.7</v>
      </c>
      <c r="I80" s="14">
        <v>2119.06</v>
      </c>
      <c r="J80" s="14">
        <v>2369.35</v>
      </c>
      <c r="K80" s="14">
        <v>1830</v>
      </c>
      <c r="L80" s="15">
        <v>4585938</v>
      </c>
      <c r="M80" t="s" s="13">
        <v>99</v>
      </c>
      <c r="N80" s="15">
        <v>143981</v>
      </c>
      <c r="O80" s="17" cm="1">
        <f t="array" ref="O80">(H80-H79)/H79</f>
        <v>-0.00707313622860376</v>
      </c>
    </row>
    <row r="81" ht="13.65" customHeight="1">
      <c r="A81" s="18">
        <v>44403</v>
      </c>
      <c r="B81" t="s" s="13">
        <v>22</v>
      </c>
      <c r="C81" s="14">
        <v>2108</v>
      </c>
      <c r="D81" s="14">
        <v>2121</v>
      </c>
      <c r="E81" s="14">
        <v>2071.1</v>
      </c>
      <c r="F81" s="14">
        <v>2105.7</v>
      </c>
      <c r="G81" s="14">
        <v>2073.9</v>
      </c>
      <c r="H81" s="14">
        <v>2076.85</v>
      </c>
      <c r="I81" s="14">
        <v>2092.34</v>
      </c>
      <c r="J81" s="14">
        <v>2369.35</v>
      </c>
      <c r="K81" s="14">
        <v>1830</v>
      </c>
      <c r="L81" s="15">
        <v>5717830</v>
      </c>
      <c r="M81" t="s" s="13">
        <v>100</v>
      </c>
      <c r="N81" s="15">
        <v>193266</v>
      </c>
      <c r="O81" s="17" cm="1">
        <f t="array" ref="O81">(H81-H80)/H80</f>
        <v>-0.0137009070617847</v>
      </c>
    </row>
    <row r="82" ht="13.65" customHeight="1">
      <c r="A82" s="18">
        <v>44404</v>
      </c>
      <c r="B82" t="s" s="13">
        <v>22</v>
      </c>
      <c r="C82" s="14">
        <v>2076.8</v>
      </c>
      <c r="D82" s="14">
        <v>2083.7</v>
      </c>
      <c r="E82" s="14">
        <v>2042</v>
      </c>
      <c r="F82" s="14">
        <v>2076.85</v>
      </c>
      <c r="G82" s="14">
        <v>2054</v>
      </c>
      <c r="H82" s="14">
        <v>2055</v>
      </c>
      <c r="I82" s="14">
        <v>2062</v>
      </c>
      <c r="J82" s="14">
        <v>2369.35</v>
      </c>
      <c r="K82" s="14">
        <v>1830</v>
      </c>
      <c r="L82" s="15">
        <v>4995516</v>
      </c>
      <c r="M82" t="s" s="13">
        <v>101</v>
      </c>
      <c r="N82" s="15">
        <v>196342</v>
      </c>
      <c r="O82" s="17" cm="1">
        <f t="array" ref="O82">(H82-H81)/H81</f>
        <v>-0.0105207405445747</v>
      </c>
    </row>
    <row r="83" ht="13.65" customHeight="1">
      <c r="A83" s="18">
        <v>44405</v>
      </c>
      <c r="B83" t="s" s="13">
        <v>22</v>
      </c>
      <c r="C83" s="14">
        <v>2058</v>
      </c>
      <c r="D83" s="14">
        <v>2058</v>
      </c>
      <c r="E83" s="14">
        <v>2016.25</v>
      </c>
      <c r="F83" s="14">
        <v>2055</v>
      </c>
      <c r="G83" s="14">
        <v>2035</v>
      </c>
      <c r="H83" s="14">
        <v>2037.35</v>
      </c>
      <c r="I83" s="14">
        <v>2033.86</v>
      </c>
      <c r="J83" s="14">
        <v>2369.35</v>
      </c>
      <c r="K83" s="14">
        <v>1830</v>
      </c>
      <c r="L83" s="15">
        <v>5952355</v>
      </c>
      <c r="M83" t="s" s="13">
        <v>102</v>
      </c>
      <c r="N83" s="15">
        <v>222240</v>
      </c>
      <c r="O83" s="17" cm="1">
        <f t="array" ref="O83">(H83-H82)/H82</f>
        <v>-0.008588807785888081</v>
      </c>
    </row>
    <row r="84" ht="13.65" customHeight="1">
      <c r="A84" s="18">
        <v>44406</v>
      </c>
      <c r="B84" t="s" s="13">
        <v>22</v>
      </c>
      <c r="C84" s="14">
        <v>2054</v>
      </c>
      <c r="D84" s="14">
        <v>2074.4</v>
      </c>
      <c r="E84" s="14">
        <v>2043.4</v>
      </c>
      <c r="F84" s="14">
        <v>2037.35</v>
      </c>
      <c r="G84" s="14">
        <v>2054.3</v>
      </c>
      <c r="H84" s="14">
        <v>2053.25</v>
      </c>
      <c r="I84" s="14">
        <v>2057.2</v>
      </c>
      <c r="J84" s="14">
        <v>2369.35</v>
      </c>
      <c r="K84" s="14">
        <v>1830</v>
      </c>
      <c r="L84" s="15">
        <v>6352886</v>
      </c>
      <c r="M84" t="s" s="13">
        <v>103</v>
      </c>
      <c r="N84" s="15">
        <v>203791</v>
      </c>
      <c r="O84" s="17" cm="1">
        <f t="array" ref="O84">(H84-H83)/H83</f>
        <v>0.00780425552801433</v>
      </c>
    </row>
    <row r="85" ht="13.65" customHeight="1">
      <c r="A85" s="18">
        <v>44407</v>
      </c>
      <c r="B85" t="s" s="13">
        <v>22</v>
      </c>
      <c r="C85" s="14">
        <v>2058</v>
      </c>
      <c r="D85" s="14">
        <v>2067.95</v>
      </c>
      <c r="E85" s="14">
        <v>2031.1</v>
      </c>
      <c r="F85" s="14">
        <v>2053.25</v>
      </c>
      <c r="G85" s="14">
        <v>2037</v>
      </c>
      <c r="H85" s="14">
        <v>2035.3</v>
      </c>
      <c r="I85" s="14">
        <v>2049.03</v>
      </c>
      <c r="J85" s="14">
        <v>2369.35</v>
      </c>
      <c r="K85" s="14">
        <v>1830</v>
      </c>
      <c r="L85" s="15">
        <v>5238304</v>
      </c>
      <c r="M85" t="s" s="13">
        <v>104</v>
      </c>
      <c r="N85" s="15">
        <v>158088</v>
      </c>
      <c r="O85" s="17" cm="1">
        <f t="array" ref="O85">(H85-H84)/H84</f>
        <v>-0.00874223791549982</v>
      </c>
    </row>
    <row r="86" ht="13.65" customHeight="1">
      <c r="A86" s="12">
        <v>44410</v>
      </c>
      <c r="B86" t="s" s="13">
        <v>22</v>
      </c>
      <c r="C86" s="14">
        <v>2054.3</v>
      </c>
      <c r="D86" s="14">
        <v>2079.4</v>
      </c>
      <c r="E86" s="14">
        <v>2041.15</v>
      </c>
      <c r="F86" s="14">
        <v>2035.3</v>
      </c>
      <c r="G86" s="14">
        <v>2068.5</v>
      </c>
      <c r="H86" s="14">
        <v>2072.5</v>
      </c>
      <c r="I86" s="14">
        <v>2067.46</v>
      </c>
      <c r="J86" s="14">
        <v>2369.35</v>
      </c>
      <c r="K86" s="14">
        <v>1830</v>
      </c>
      <c r="L86" s="15">
        <v>5041934</v>
      </c>
      <c r="M86" t="s" s="13">
        <v>105</v>
      </c>
      <c r="N86" s="15">
        <v>164715</v>
      </c>
      <c r="O86" s="17" cm="1">
        <f t="array" ref="O86">(H86-H85)/H85</f>
        <v>0.0182774038225323</v>
      </c>
    </row>
    <row r="87" ht="13.65" customHeight="1">
      <c r="A87" s="12">
        <v>44411</v>
      </c>
      <c r="B87" t="s" s="13">
        <v>22</v>
      </c>
      <c r="C87" s="14">
        <v>2090</v>
      </c>
      <c r="D87" s="14">
        <v>2091</v>
      </c>
      <c r="E87" s="14">
        <v>2064.2</v>
      </c>
      <c r="F87" s="14">
        <v>2072.5</v>
      </c>
      <c r="G87" s="14">
        <v>2090</v>
      </c>
      <c r="H87" s="14">
        <v>2087.75</v>
      </c>
      <c r="I87" s="14">
        <v>2078.84</v>
      </c>
      <c r="J87" s="14">
        <v>2369.35</v>
      </c>
      <c r="K87" s="14">
        <v>1830</v>
      </c>
      <c r="L87" s="15">
        <v>5453682</v>
      </c>
      <c r="M87" t="s" s="13">
        <v>106</v>
      </c>
      <c r="N87" s="15">
        <v>137882</v>
      </c>
      <c r="O87" s="17" cm="1">
        <f t="array" ref="O87">(H87-H86)/H86</f>
        <v>0.00735826296743064</v>
      </c>
    </row>
    <row r="88" ht="13.65" customHeight="1">
      <c r="A88" s="12">
        <v>44412</v>
      </c>
      <c r="B88" t="s" s="13">
        <v>22</v>
      </c>
      <c r="C88" s="14">
        <v>2094.4</v>
      </c>
      <c r="D88" s="14">
        <v>2114</v>
      </c>
      <c r="E88" s="14">
        <v>2087</v>
      </c>
      <c r="F88" s="14">
        <v>2087.75</v>
      </c>
      <c r="G88" s="14">
        <v>2105</v>
      </c>
      <c r="H88" s="14">
        <v>2103.75</v>
      </c>
      <c r="I88" s="14">
        <v>2103.18</v>
      </c>
      <c r="J88" s="14">
        <v>2369.35</v>
      </c>
      <c r="K88" s="14">
        <v>1830</v>
      </c>
      <c r="L88" s="15">
        <v>6077861</v>
      </c>
      <c r="M88" t="s" s="13">
        <v>107</v>
      </c>
      <c r="N88" s="15">
        <v>188340</v>
      </c>
      <c r="O88" s="17" cm="1">
        <f t="array" ref="O88">(H88-H87)/H87</f>
        <v>0.00766375284397078</v>
      </c>
    </row>
    <row r="89" ht="13.65" customHeight="1">
      <c r="A89" s="12">
        <v>44413</v>
      </c>
      <c r="B89" t="s" s="13">
        <v>22</v>
      </c>
      <c r="C89" s="14">
        <v>2114.3</v>
      </c>
      <c r="D89" s="14">
        <v>2154.8</v>
      </c>
      <c r="E89" s="14">
        <v>2104.25</v>
      </c>
      <c r="F89" s="14">
        <v>2103.75</v>
      </c>
      <c r="G89" s="14">
        <v>2131</v>
      </c>
      <c r="H89" s="14">
        <v>2134.25</v>
      </c>
      <c r="I89" s="14">
        <v>2127.24</v>
      </c>
      <c r="J89" s="14">
        <v>2369.35</v>
      </c>
      <c r="K89" s="14">
        <v>1830</v>
      </c>
      <c r="L89" s="15">
        <v>9807831</v>
      </c>
      <c r="M89" t="s" s="13">
        <v>108</v>
      </c>
      <c r="N89" s="15">
        <v>249218</v>
      </c>
      <c r="O89" s="17" cm="1">
        <f t="array" ref="O89">(H89-H88)/H88</f>
        <v>0.0144979203802733</v>
      </c>
    </row>
    <row r="90" ht="13.65" customHeight="1">
      <c r="A90" s="12">
        <v>44414</v>
      </c>
      <c r="B90" t="s" s="13">
        <v>22</v>
      </c>
      <c r="C90" s="14">
        <v>2129.95</v>
      </c>
      <c r="D90" s="14">
        <v>2146.95</v>
      </c>
      <c r="E90" s="14">
        <v>2078.75</v>
      </c>
      <c r="F90" s="14">
        <v>2134.25</v>
      </c>
      <c r="G90" s="14">
        <v>2090</v>
      </c>
      <c r="H90" s="14">
        <v>2089.05</v>
      </c>
      <c r="I90" s="14">
        <v>2101.07</v>
      </c>
      <c r="J90" s="14">
        <v>2369.35</v>
      </c>
      <c r="K90" s="14">
        <v>1830</v>
      </c>
      <c r="L90" s="15">
        <v>7670583</v>
      </c>
      <c r="M90" t="s" s="13">
        <v>109</v>
      </c>
      <c r="N90" s="15">
        <v>225682</v>
      </c>
      <c r="O90" s="17" cm="1">
        <f t="array" ref="O90">(H90-H89)/H89</f>
        <v>-0.0211783999062903</v>
      </c>
    </row>
    <row r="91" ht="13.65" customHeight="1">
      <c r="A91" s="12">
        <v>44417</v>
      </c>
      <c r="B91" t="s" s="13">
        <v>22</v>
      </c>
      <c r="C91" s="14">
        <v>2081</v>
      </c>
      <c r="D91" s="14">
        <v>2089.8</v>
      </c>
      <c r="E91" s="14">
        <v>2066.5</v>
      </c>
      <c r="F91" s="14">
        <v>2089.05</v>
      </c>
      <c r="G91" s="14">
        <v>2078.5</v>
      </c>
      <c r="H91" s="14">
        <v>2077.15</v>
      </c>
      <c r="I91" s="14">
        <v>2075.98</v>
      </c>
      <c r="J91" s="14">
        <v>2369.35</v>
      </c>
      <c r="K91" s="14">
        <v>1830</v>
      </c>
      <c r="L91" s="15">
        <v>3458546</v>
      </c>
      <c r="M91" t="s" s="13">
        <v>110</v>
      </c>
      <c r="N91" s="15">
        <v>147892</v>
      </c>
      <c r="O91" s="17" cm="1">
        <f t="array" ref="O91">(H91-H90)/H90</f>
        <v>-0.00569636916301668</v>
      </c>
    </row>
    <row r="92" ht="13.65" customHeight="1">
      <c r="A92" s="18">
        <v>44418</v>
      </c>
      <c r="B92" t="s" s="13">
        <v>22</v>
      </c>
      <c r="C92" s="14">
        <v>2082</v>
      </c>
      <c r="D92" s="14">
        <v>2113</v>
      </c>
      <c r="E92" s="14">
        <v>2073.75</v>
      </c>
      <c r="F92" s="14">
        <v>2077.15</v>
      </c>
      <c r="G92" s="14">
        <v>2085</v>
      </c>
      <c r="H92" s="14">
        <v>2088.05</v>
      </c>
      <c r="I92" s="14">
        <v>2095.18</v>
      </c>
      <c r="J92" s="14">
        <v>2369.35</v>
      </c>
      <c r="K92" s="14">
        <v>1830</v>
      </c>
      <c r="L92" s="15">
        <v>5500708</v>
      </c>
      <c r="M92" t="s" s="13">
        <v>111</v>
      </c>
      <c r="N92" s="15">
        <v>171235</v>
      </c>
      <c r="O92" s="17" cm="1">
        <f t="array" ref="O92">(H92-H91)/H91</f>
        <v>0.00524757480201237</v>
      </c>
    </row>
    <row r="93" ht="13.65" customHeight="1">
      <c r="A93" s="18">
        <v>44419</v>
      </c>
      <c r="B93" t="s" s="13">
        <v>22</v>
      </c>
      <c r="C93" s="14">
        <v>2096.95</v>
      </c>
      <c r="D93" s="14">
        <v>2120</v>
      </c>
      <c r="E93" s="14">
        <v>2083.4</v>
      </c>
      <c r="F93" s="14">
        <v>2088.05</v>
      </c>
      <c r="G93" s="14">
        <v>2115</v>
      </c>
      <c r="H93" s="14">
        <v>2117.3</v>
      </c>
      <c r="I93" s="14">
        <v>2103.58</v>
      </c>
      <c r="J93" s="14">
        <v>2369.35</v>
      </c>
      <c r="K93" s="14">
        <v>1830</v>
      </c>
      <c r="L93" s="15">
        <v>4238859</v>
      </c>
      <c r="M93" t="s" s="13">
        <v>112</v>
      </c>
      <c r="N93" s="15">
        <v>138291</v>
      </c>
      <c r="O93" s="17" cm="1">
        <f t="array" ref="O93">(H93-H92)/H92</f>
        <v>0.0140082852422116</v>
      </c>
    </row>
    <row r="94" ht="13.65" customHeight="1">
      <c r="A94" s="18">
        <v>44420</v>
      </c>
      <c r="B94" t="s" s="13">
        <v>22</v>
      </c>
      <c r="C94" s="14">
        <v>2124.9</v>
      </c>
      <c r="D94" s="14">
        <v>2126.2</v>
      </c>
      <c r="E94" s="14">
        <v>2105</v>
      </c>
      <c r="F94" s="14">
        <v>2117.3</v>
      </c>
      <c r="G94" s="14">
        <v>2109.8</v>
      </c>
      <c r="H94" s="14">
        <v>2110.5</v>
      </c>
      <c r="I94" s="14">
        <v>2115.11</v>
      </c>
      <c r="J94" s="14">
        <v>2369.35</v>
      </c>
      <c r="K94" s="14">
        <v>1830</v>
      </c>
      <c r="L94" s="15">
        <v>3755507</v>
      </c>
      <c r="M94" t="s" s="13">
        <v>113</v>
      </c>
      <c r="N94" s="15">
        <v>114345</v>
      </c>
      <c r="O94" s="17" cm="1">
        <f t="array" ref="O94">(H94-H93)/H93</f>
        <v>-0.0032116374628064</v>
      </c>
    </row>
    <row r="95" ht="13.65" customHeight="1">
      <c r="A95" s="18">
        <v>44421</v>
      </c>
      <c r="B95" t="s" s="13">
        <v>22</v>
      </c>
      <c r="C95" s="14">
        <v>2117.3</v>
      </c>
      <c r="D95" s="14">
        <v>2149.9</v>
      </c>
      <c r="E95" s="14">
        <v>2108.95</v>
      </c>
      <c r="F95" s="14">
        <v>2110.5</v>
      </c>
      <c r="G95" s="14">
        <v>2143</v>
      </c>
      <c r="H95" s="14">
        <v>2145.65</v>
      </c>
      <c r="I95" s="14">
        <v>2132.45</v>
      </c>
      <c r="J95" s="14">
        <v>2369.35</v>
      </c>
      <c r="K95" s="14">
        <v>1830</v>
      </c>
      <c r="L95" s="15">
        <v>5898384</v>
      </c>
      <c r="M95" t="s" s="13">
        <v>114</v>
      </c>
      <c r="N95" s="15">
        <v>187810</v>
      </c>
      <c r="O95" s="17" cm="1">
        <f t="array" ref="O95">(H95-H94)/H94</f>
        <v>0.0166548211324331</v>
      </c>
    </row>
    <row r="96" ht="13.65" customHeight="1">
      <c r="A96" s="18">
        <v>44424</v>
      </c>
      <c r="B96" t="s" s="13">
        <v>22</v>
      </c>
      <c r="C96" s="14">
        <v>2149.35</v>
      </c>
      <c r="D96" s="14">
        <v>2203</v>
      </c>
      <c r="E96" s="14">
        <v>2128.15</v>
      </c>
      <c r="F96" s="14">
        <v>2145.65</v>
      </c>
      <c r="G96" s="14">
        <v>2169</v>
      </c>
      <c r="H96" s="14">
        <v>2173.5</v>
      </c>
      <c r="I96" s="14">
        <v>2177.41</v>
      </c>
      <c r="J96" s="14">
        <v>2369.35</v>
      </c>
      <c r="K96" s="14">
        <v>1830</v>
      </c>
      <c r="L96" s="15">
        <v>10123204</v>
      </c>
      <c r="M96" t="s" s="13">
        <v>115</v>
      </c>
      <c r="N96" s="15">
        <v>290119</v>
      </c>
      <c r="O96" s="17" cm="1">
        <f t="array" ref="O96">(H96-H95)/H95</f>
        <v>0.0129797497261902</v>
      </c>
    </row>
    <row r="97" ht="13.65" customHeight="1">
      <c r="A97" s="18">
        <v>44425</v>
      </c>
      <c r="B97" t="s" s="13">
        <v>22</v>
      </c>
      <c r="C97" s="14">
        <v>2168.85</v>
      </c>
      <c r="D97" s="14">
        <v>2185.2</v>
      </c>
      <c r="E97" s="14">
        <v>2147.85</v>
      </c>
      <c r="F97" s="14">
        <v>2173.5</v>
      </c>
      <c r="G97" s="14">
        <v>2163</v>
      </c>
      <c r="H97" s="14">
        <v>2164.25</v>
      </c>
      <c r="I97" s="14">
        <v>2167.16</v>
      </c>
      <c r="J97" s="14">
        <v>2369.35</v>
      </c>
      <c r="K97" s="14">
        <v>1830</v>
      </c>
      <c r="L97" s="15">
        <v>5841743</v>
      </c>
      <c r="M97" t="s" s="13">
        <v>116</v>
      </c>
      <c r="N97" s="15">
        <v>190350</v>
      </c>
      <c r="O97" s="17" cm="1">
        <f t="array" ref="O97">(H97-H96)/H96</f>
        <v>-0.00425580860363469</v>
      </c>
    </row>
    <row r="98" ht="13.65" customHeight="1">
      <c r="A98" s="18">
        <v>44426</v>
      </c>
      <c r="B98" t="s" s="13">
        <v>22</v>
      </c>
      <c r="C98" s="14">
        <v>2174</v>
      </c>
      <c r="D98" s="14">
        <v>2186.8</v>
      </c>
      <c r="E98" s="14">
        <v>2152.6</v>
      </c>
      <c r="F98" s="14">
        <v>2164.25</v>
      </c>
      <c r="G98" s="14">
        <v>2168</v>
      </c>
      <c r="H98" s="14">
        <v>2172.65</v>
      </c>
      <c r="I98" s="14">
        <v>2170.19</v>
      </c>
      <c r="J98" s="14">
        <v>2369.35</v>
      </c>
      <c r="K98" s="14">
        <v>1830</v>
      </c>
      <c r="L98" s="15">
        <v>4650008</v>
      </c>
      <c r="M98" t="s" s="13">
        <v>117</v>
      </c>
      <c r="N98" s="15">
        <v>146613</v>
      </c>
      <c r="O98" s="17" cm="1">
        <f t="array" ref="O98">(H98-H97)/H97</f>
        <v>0.00388125216587732</v>
      </c>
    </row>
    <row r="99" ht="13.65" customHeight="1">
      <c r="A99" s="18">
        <v>44428</v>
      </c>
      <c r="B99" t="s" s="13">
        <v>22</v>
      </c>
      <c r="C99" s="14">
        <v>2143</v>
      </c>
      <c r="D99" s="14">
        <v>2172</v>
      </c>
      <c r="E99" s="14">
        <v>2137</v>
      </c>
      <c r="F99" s="14">
        <v>2172.65</v>
      </c>
      <c r="G99" s="14">
        <v>2140.1</v>
      </c>
      <c r="H99" s="14">
        <v>2148.25</v>
      </c>
      <c r="I99" s="14">
        <v>2155.63</v>
      </c>
      <c r="J99" s="14">
        <v>2369.35</v>
      </c>
      <c r="K99" s="14">
        <v>1830</v>
      </c>
      <c r="L99" s="15">
        <v>4350228</v>
      </c>
      <c r="M99" t="s" s="13">
        <v>118</v>
      </c>
      <c r="N99" s="15">
        <v>147112</v>
      </c>
      <c r="O99" s="17" cm="1">
        <f t="array" ref="O99">(H99-H98)/H98</f>
        <v>-0.0112305249349872</v>
      </c>
    </row>
    <row r="100" ht="13.65" customHeight="1">
      <c r="A100" s="18">
        <v>44431</v>
      </c>
      <c r="B100" t="s" s="13">
        <v>22</v>
      </c>
      <c r="C100" s="14">
        <v>2174</v>
      </c>
      <c r="D100" s="14">
        <v>2174</v>
      </c>
      <c r="E100" s="14">
        <v>2132.3</v>
      </c>
      <c r="F100" s="14">
        <v>2148.25</v>
      </c>
      <c r="G100" s="14">
        <v>2161.15</v>
      </c>
      <c r="H100" s="14">
        <v>2162.35</v>
      </c>
      <c r="I100" s="14">
        <v>2156.97</v>
      </c>
      <c r="J100" s="14">
        <v>2369.35</v>
      </c>
      <c r="K100" s="14">
        <v>1830</v>
      </c>
      <c r="L100" s="15">
        <v>4547802</v>
      </c>
      <c r="M100" t="s" s="13">
        <v>119</v>
      </c>
      <c r="N100" s="15">
        <v>143268</v>
      </c>
      <c r="O100" s="17" cm="1">
        <f t="array" ref="O100">(H100-H99)/H99</f>
        <v>0.00656348190387525</v>
      </c>
    </row>
    <row r="101" ht="13.65" customHeight="1">
      <c r="A101" s="18">
        <v>44432</v>
      </c>
      <c r="B101" t="s" s="13">
        <v>22</v>
      </c>
      <c r="C101" s="14">
        <v>2165.05</v>
      </c>
      <c r="D101" s="14">
        <v>2192</v>
      </c>
      <c r="E101" s="14">
        <v>2155.6</v>
      </c>
      <c r="F101" s="14">
        <v>2162.35</v>
      </c>
      <c r="G101" s="14">
        <v>2178</v>
      </c>
      <c r="H101" s="14">
        <v>2183.7</v>
      </c>
      <c r="I101" s="14">
        <v>2174.28</v>
      </c>
      <c r="J101" s="14">
        <v>2369.35</v>
      </c>
      <c r="K101" s="14">
        <v>1830</v>
      </c>
      <c r="L101" s="15">
        <v>5475452</v>
      </c>
      <c r="M101" t="s" s="13">
        <v>120</v>
      </c>
      <c r="N101" s="15">
        <v>173479</v>
      </c>
      <c r="O101" s="17" cm="1">
        <f t="array" ref="O101">(H101-H100)/H100</f>
        <v>0.00987351723818993</v>
      </c>
    </row>
    <row r="102" ht="13.65" customHeight="1">
      <c r="A102" s="18">
        <v>44433</v>
      </c>
      <c r="B102" t="s" s="13">
        <v>22</v>
      </c>
      <c r="C102" s="14">
        <v>2185.4</v>
      </c>
      <c r="D102" s="14">
        <v>2220</v>
      </c>
      <c r="E102" s="14">
        <v>2180.1</v>
      </c>
      <c r="F102" s="14">
        <v>2183.7</v>
      </c>
      <c r="G102" s="14">
        <v>2201</v>
      </c>
      <c r="H102" s="14">
        <v>2202.6</v>
      </c>
      <c r="I102" s="14">
        <v>2204.22</v>
      </c>
      <c r="J102" s="14">
        <v>2369.35</v>
      </c>
      <c r="K102" s="14">
        <v>1830</v>
      </c>
      <c r="L102" s="15">
        <v>6175126</v>
      </c>
      <c r="M102" t="s" s="13">
        <v>121</v>
      </c>
      <c r="N102" s="15">
        <v>198304</v>
      </c>
      <c r="O102" s="17" cm="1">
        <f t="array" ref="O102">(H102-H101)/H101</f>
        <v>0.008655035032284651</v>
      </c>
    </row>
    <row r="103" ht="13.65" customHeight="1">
      <c r="A103" s="18">
        <v>44434</v>
      </c>
      <c r="B103" t="s" s="13">
        <v>22</v>
      </c>
      <c r="C103" s="14">
        <v>2208</v>
      </c>
      <c r="D103" s="14">
        <v>2244.9</v>
      </c>
      <c r="E103" s="14">
        <v>2205</v>
      </c>
      <c r="F103" s="14">
        <v>2202.6</v>
      </c>
      <c r="G103" s="14">
        <v>2232</v>
      </c>
      <c r="H103" s="14">
        <v>2230.45</v>
      </c>
      <c r="I103" s="14">
        <v>2230.28</v>
      </c>
      <c r="J103" s="14">
        <v>2369.35</v>
      </c>
      <c r="K103" s="14">
        <v>1830</v>
      </c>
      <c r="L103" s="15">
        <v>8579105</v>
      </c>
      <c r="M103" t="s" s="13">
        <v>122</v>
      </c>
      <c r="N103" s="15">
        <v>248660</v>
      </c>
      <c r="O103" s="17" cm="1">
        <f t="array" ref="O103">(H103-H102)/H102</f>
        <v>0.0126441478252974</v>
      </c>
    </row>
    <row r="104" ht="13.65" customHeight="1">
      <c r="A104" s="18">
        <v>44435</v>
      </c>
      <c r="B104" t="s" s="13">
        <v>22</v>
      </c>
      <c r="C104" s="14">
        <v>2237</v>
      </c>
      <c r="D104" s="14">
        <v>2242.75</v>
      </c>
      <c r="E104" s="14">
        <v>2216.05</v>
      </c>
      <c r="F104" s="14">
        <v>2230.45</v>
      </c>
      <c r="G104" s="14">
        <v>2225</v>
      </c>
      <c r="H104" s="14">
        <v>2227.4</v>
      </c>
      <c r="I104" s="14">
        <v>2228.28</v>
      </c>
      <c r="J104" s="14">
        <v>2369.35</v>
      </c>
      <c r="K104" s="14">
        <v>1830</v>
      </c>
      <c r="L104" s="15">
        <v>4836812</v>
      </c>
      <c r="M104" t="s" s="13">
        <v>123</v>
      </c>
      <c r="N104" s="15">
        <v>152317</v>
      </c>
      <c r="O104" s="17" cm="1">
        <f t="array" ref="O104">(H104-H103)/H103</f>
        <v>-0.00136743706426954</v>
      </c>
    </row>
    <row r="105" ht="13.65" customHeight="1">
      <c r="A105" s="18">
        <v>44438</v>
      </c>
      <c r="B105" t="s" s="13">
        <v>22</v>
      </c>
      <c r="C105" s="14">
        <v>2250</v>
      </c>
      <c r="D105" s="14">
        <v>2275.85</v>
      </c>
      <c r="E105" s="14">
        <v>2236.8</v>
      </c>
      <c r="F105" s="14">
        <v>2227.4</v>
      </c>
      <c r="G105" s="14">
        <v>2273.75</v>
      </c>
      <c r="H105" s="14">
        <v>2270.25</v>
      </c>
      <c r="I105" s="14">
        <v>2261.25</v>
      </c>
      <c r="J105" s="14">
        <v>2369.35</v>
      </c>
      <c r="K105" s="14">
        <v>1830</v>
      </c>
      <c r="L105" s="15">
        <v>6473487</v>
      </c>
      <c r="M105" t="s" s="13">
        <v>124</v>
      </c>
      <c r="N105" s="15">
        <v>206768</v>
      </c>
      <c r="O105" s="17" cm="1">
        <f t="array" ref="O105">(H105-H104)/H104</f>
        <v>0.0192376762144204</v>
      </c>
    </row>
    <row r="106" ht="13.65" customHeight="1">
      <c r="A106" s="18">
        <v>44439</v>
      </c>
      <c r="B106" t="s" s="13">
        <v>22</v>
      </c>
      <c r="C106" s="14">
        <v>2276.9</v>
      </c>
      <c r="D106" s="14">
        <v>2283.75</v>
      </c>
      <c r="E106" s="14">
        <v>2242.25</v>
      </c>
      <c r="F106" s="14">
        <v>2270.25</v>
      </c>
      <c r="G106" s="14">
        <v>2257</v>
      </c>
      <c r="H106" s="14">
        <v>2258.15</v>
      </c>
      <c r="I106" s="14">
        <v>2257.63</v>
      </c>
      <c r="J106" s="14">
        <v>2369.35</v>
      </c>
      <c r="K106" s="14">
        <v>1830</v>
      </c>
      <c r="L106" s="15">
        <v>12223037</v>
      </c>
      <c r="M106" t="s" s="13">
        <v>125</v>
      </c>
      <c r="N106" s="15">
        <v>206759</v>
      </c>
      <c r="O106" s="17" cm="1">
        <f t="array" ref="O106">(H106-H105)/H105</f>
        <v>-0.00532980949234666</v>
      </c>
    </row>
    <row r="107" ht="13.65" customHeight="1">
      <c r="A107" s="12">
        <v>44440</v>
      </c>
      <c r="B107" t="s" s="13">
        <v>22</v>
      </c>
      <c r="C107" s="14">
        <v>2273</v>
      </c>
      <c r="D107" s="14">
        <v>2292.9</v>
      </c>
      <c r="E107" s="14">
        <v>2263</v>
      </c>
      <c r="F107" s="14">
        <v>2258.15</v>
      </c>
      <c r="G107" s="14">
        <v>2266</v>
      </c>
      <c r="H107" s="14">
        <v>2267.1</v>
      </c>
      <c r="I107" s="14">
        <v>2274.28</v>
      </c>
      <c r="J107" s="14">
        <v>2369.35</v>
      </c>
      <c r="K107" s="14">
        <v>1830</v>
      </c>
      <c r="L107" s="15">
        <v>5143640</v>
      </c>
      <c r="M107" t="s" s="13">
        <v>126</v>
      </c>
      <c r="N107" s="15">
        <v>173178</v>
      </c>
      <c r="O107" s="17" cm="1">
        <f t="array" ref="O107">(H107-H106)/H106</f>
        <v>0.00396342138476186</v>
      </c>
    </row>
    <row r="108" ht="13.65" customHeight="1">
      <c r="A108" s="12">
        <v>44441</v>
      </c>
      <c r="B108" t="s" s="13">
        <v>22</v>
      </c>
      <c r="C108" s="14">
        <v>2255</v>
      </c>
      <c r="D108" s="14">
        <v>2307.8</v>
      </c>
      <c r="E108" s="14">
        <v>2255</v>
      </c>
      <c r="F108" s="14">
        <v>2267.1</v>
      </c>
      <c r="G108" s="14">
        <v>2293</v>
      </c>
      <c r="H108" s="14">
        <v>2294.4</v>
      </c>
      <c r="I108" s="14">
        <v>2288.72</v>
      </c>
      <c r="J108" s="14">
        <v>2369.35</v>
      </c>
      <c r="K108" s="14">
        <v>1830</v>
      </c>
      <c r="L108" s="15">
        <v>4595048</v>
      </c>
      <c r="M108" t="s" s="13">
        <v>127</v>
      </c>
      <c r="N108" s="15">
        <v>206002</v>
      </c>
      <c r="O108" s="17" cm="1">
        <f t="array" ref="O108">(H108-H107)/H107</f>
        <v>0.0120418155352653</v>
      </c>
    </row>
    <row r="109" ht="13.65" customHeight="1">
      <c r="A109" s="12">
        <v>44442</v>
      </c>
      <c r="B109" t="s" s="13">
        <v>22</v>
      </c>
      <c r="C109" s="14">
        <v>2310</v>
      </c>
      <c r="D109" s="14">
        <v>2395</v>
      </c>
      <c r="E109" s="14">
        <v>2302.5</v>
      </c>
      <c r="F109" s="14">
        <v>2294.4</v>
      </c>
      <c r="G109" s="14">
        <v>2389.65</v>
      </c>
      <c r="H109" s="14">
        <v>2388.5</v>
      </c>
      <c r="I109" s="14">
        <v>2356.29</v>
      </c>
      <c r="J109" s="14">
        <v>2395</v>
      </c>
      <c r="K109" s="14">
        <v>1830</v>
      </c>
      <c r="L109" s="15">
        <v>14151629</v>
      </c>
      <c r="M109" t="s" s="13">
        <v>128</v>
      </c>
      <c r="N109" s="15">
        <v>446968</v>
      </c>
      <c r="O109" s="17" cm="1">
        <f t="array" ref="O109">(H109-H108)/H108</f>
        <v>0.0410129009762901</v>
      </c>
    </row>
    <row r="110" ht="13.65" customHeight="1">
      <c r="A110" s="12">
        <v>44445</v>
      </c>
      <c r="B110" t="s" s="13">
        <v>22</v>
      </c>
      <c r="C110" s="14">
        <v>2413</v>
      </c>
      <c r="D110" s="14">
        <v>2480</v>
      </c>
      <c r="E110" s="14">
        <v>2412</v>
      </c>
      <c r="F110" s="14">
        <v>2388.5</v>
      </c>
      <c r="G110" s="14">
        <v>2429</v>
      </c>
      <c r="H110" s="14">
        <v>2425.6</v>
      </c>
      <c r="I110" s="14">
        <v>2445.46</v>
      </c>
      <c r="J110" s="14">
        <v>2480</v>
      </c>
      <c r="K110" s="14">
        <v>1830</v>
      </c>
      <c r="L110" s="15">
        <v>15525644</v>
      </c>
      <c r="M110" t="s" s="13">
        <v>129</v>
      </c>
      <c r="N110" s="15">
        <v>496545</v>
      </c>
      <c r="O110" s="17" cm="1">
        <f t="array" ref="O110">(H110-H109)/H109</f>
        <v>0.0155327611471635</v>
      </c>
    </row>
    <row r="111" ht="13.65" customHeight="1">
      <c r="A111" s="12">
        <v>44446</v>
      </c>
      <c r="B111" t="s" s="13">
        <v>22</v>
      </c>
      <c r="C111" s="14">
        <v>2430</v>
      </c>
      <c r="D111" s="14">
        <v>2458</v>
      </c>
      <c r="E111" s="14">
        <v>2412</v>
      </c>
      <c r="F111" s="14">
        <v>2425.6</v>
      </c>
      <c r="G111" s="14">
        <v>2439</v>
      </c>
      <c r="H111" s="14">
        <v>2440.9</v>
      </c>
      <c r="I111" s="14">
        <v>2437.65</v>
      </c>
      <c r="J111" s="14">
        <v>2480</v>
      </c>
      <c r="K111" s="14">
        <v>1830</v>
      </c>
      <c r="L111" s="15">
        <v>8006968</v>
      </c>
      <c r="M111" t="s" s="13">
        <v>130</v>
      </c>
      <c r="N111" s="15">
        <v>256461</v>
      </c>
      <c r="O111" s="17" cm="1">
        <f t="array" ref="O111">(H111-H110)/H110</f>
        <v>0.00630771767810026</v>
      </c>
    </row>
    <row r="112" ht="13.65" customHeight="1">
      <c r="A112" s="12">
        <v>44447</v>
      </c>
      <c r="B112" t="s" s="13">
        <v>22</v>
      </c>
      <c r="C112" s="14">
        <v>2452</v>
      </c>
      <c r="D112" s="14">
        <v>2454</v>
      </c>
      <c r="E112" s="14">
        <v>2406.65</v>
      </c>
      <c r="F112" s="14">
        <v>2440.9</v>
      </c>
      <c r="G112" s="14">
        <v>2430</v>
      </c>
      <c r="H112" s="14">
        <v>2431.35</v>
      </c>
      <c r="I112" s="14">
        <v>2429.2</v>
      </c>
      <c r="J112" s="14">
        <v>2480</v>
      </c>
      <c r="K112" s="14">
        <v>1830</v>
      </c>
      <c r="L112" s="15">
        <v>6600210</v>
      </c>
      <c r="M112" t="s" s="13">
        <v>131</v>
      </c>
      <c r="N112" s="15">
        <v>213942</v>
      </c>
      <c r="O112" s="17" cm="1">
        <f t="array" ref="O112">(H112-H111)/H111</f>
        <v>-0.00391249129419476</v>
      </c>
    </row>
    <row r="113" ht="13.65" customHeight="1">
      <c r="A113" s="12">
        <v>44448</v>
      </c>
      <c r="B113" t="s" s="13">
        <v>22</v>
      </c>
      <c r="C113" s="14">
        <v>2427.9</v>
      </c>
      <c r="D113" s="14">
        <v>2437.85</v>
      </c>
      <c r="E113" s="14">
        <v>2416.1</v>
      </c>
      <c r="F113" s="14">
        <v>2431.35</v>
      </c>
      <c r="G113" s="14">
        <v>2424.1</v>
      </c>
      <c r="H113" s="14">
        <v>2425.6</v>
      </c>
      <c r="I113" s="14">
        <v>2424.34</v>
      </c>
      <c r="J113" s="14">
        <v>2480</v>
      </c>
      <c r="K113" s="14">
        <v>1830</v>
      </c>
      <c r="L113" s="15">
        <v>4136538</v>
      </c>
      <c r="M113" t="s" s="13">
        <v>132</v>
      </c>
      <c r="N113" s="15">
        <v>194645</v>
      </c>
      <c r="O113" s="17" cm="1">
        <f t="array" ref="O113">(H113-H112)/H112</f>
        <v>-0.00236494128776194</v>
      </c>
    </row>
    <row r="114" ht="13.65" customHeight="1">
      <c r="A114" s="18">
        <v>44452</v>
      </c>
      <c r="B114" t="s" s="13">
        <v>22</v>
      </c>
      <c r="C114" s="14">
        <v>2433</v>
      </c>
      <c r="D114" s="14">
        <v>2433</v>
      </c>
      <c r="E114" s="14">
        <v>2368.05</v>
      </c>
      <c r="F114" s="14">
        <v>2425.6</v>
      </c>
      <c r="G114" s="14">
        <v>2369.8</v>
      </c>
      <c r="H114" s="14">
        <v>2371.55</v>
      </c>
      <c r="I114" s="14">
        <v>2381.94</v>
      </c>
      <c r="J114" s="14">
        <v>2480</v>
      </c>
      <c r="K114" s="14">
        <v>1830</v>
      </c>
      <c r="L114" s="15">
        <v>7527598</v>
      </c>
      <c r="M114" t="s" s="13">
        <v>133</v>
      </c>
      <c r="N114" s="15">
        <v>327407</v>
      </c>
      <c r="O114" s="17" cm="1">
        <f t="array" ref="O114">(H114-H113)/H113</f>
        <v>-0.0222831464379947</v>
      </c>
    </row>
    <row r="115" ht="13.65" customHeight="1">
      <c r="A115" s="18">
        <v>44453</v>
      </c>
      <c r="B115" t="s" s="13">
        <v>22</v>
      </c>
      <c r="C115" s="14">
        <v>2375</v>
      </c>
      <c r="D115" s="14">
        <v>2394</v>
      </c>
      <c r="E115" s="14">
        <v>2366</v>
      </c>
      <c r="F115" s="14">
        <v>2371.55</v>
      </c>
      <c r="G115" s="14">
        <v>2370.5</v>
      </c>
      <c r="H115" s="14">
        <v>2368.45</v>
      </c>
      <c r="I115" s="14">
        <v>2377.55</v>
      </c>
      <c r="J115" s="14">
        <v>2480</v>
      </c>
      <c r="K115" s="14">
        <v>1830</v>
      </c>
      <c r="L115" s="15">
        <v>4111205</v>
      </c>
      <c r="M115" t="s" s="13">
        <v>134</v>
      </c>
      <c r="N115" s="15">
        <v>153291</v>
      </c>
      <c r="O115" s="17" cm="1">
        <f t="array" ref="O115">(H115-H114)/H114</f>
        <v>-0.00130716198266956</v>
      </c>
    </row>
    <row r="116" ht="13.65" customHeight="1">
      <c r="A116" s="18">
        <v>44454</v>
      </c>
      <c r="B116" t="s" s="13">
        <v>22</v>
      </c>
      <c r="C116" s="14">
        <v>2368.5</v>
      </c>
      <c r="D116" s="14">
        <v>2395.75</v>
      </c>
      <c r="E116" s="14">
        <v>2368.5</v>
      </c>
      <c r="F116" s="14">
        <v>2368.45</v>
      </c>
      <c r="G116" s="14">
        <v>2379.4</v>
      </c>
      <c r="H116" s="14">
        <v>2378.3</v>
      </c>
      <c r="I116" s="14">
        <v>2380.39</v>
      </c>
      <c r="J116" s="14">
        <v>2480</v>
      </c>
      <c r="K116" s="14">
        <v>1830</v>
      </c>
      <c r="L116" s="15">
        <v>4186300</v>
      </c>
      <c r="M116" t="s" s="13">
        <v>135</v>
      </c>
      <c r="N116" s="15">
        <v>168130</v>
      </c>
      <c r="O116" s="17" cm="1">
        <f t="array" ref="O116">(H116-H115)/H115</f>
        <v>0.00415883805864595</v>
      </c>
    </row>
    <row r="117" ht="13.65" customHeight="1">
      <c r="A117" s="18">
        <v>44455</v>
      </c>
      <c r="B117" t="s" s="13">
        <v>22</v>
      </c>
      <c r="C117" s="14">
        <v>2381.55</v>
      </c>
      <c r="D117" s="14">
        <v>2436.75</v>
      </c>
      <c r="E117" s="14">
        <v>2367</v>
      </c>
      <c r="F117" s="14">
        <v>2378.3</v>
      </c>
      <c r="G117" s="14">
        <v>2424</v>
      </c>
      <c r="H117" s="14">
        <v>2428.2</v>
      </c>
      <c r="I117" s="14">
        <v>2408.55</v>
      </c>
      <c r="J117" s="14">
        <v>2480</v>
      </c>
      <c r="K117" s="14">
        <v>1830</v>
      </c>
      <c r="L117" s="15">
        <v>6206657</v>
      </c>
      <c r="M117" t="s" s="13">
        <v>136</v>
      </c>
      <c r="N117" s="15">
        <v>214010</v>
      </c>
      <c r="O117" s="17" cm="1">
        <f t="array" ref="O117">(H117-H116)/H116</f>
        <v>0.0209813732498003</v>
      </c>
    </row>
    <row r="118" ht="13.65" customHeight="1">
      <c r="A118" s="18">
        <v>44456</v>
      </c>
      <c r="B118" t="s" s="13">
        <v>22</v>
      </c>
      <c r="C118" s="14">
        <v>2446</v>
      </c>
      <c r="D118" s="14">
        <v>2455.85</v>
      </c>
      <c r="E118" s="14">
        <v>2375.6</v>
      </c>
      <c r="F118" s="14">
        <v>2428.2</v>
      </c>
      <c r="G118" s="14">
        <v>2387</v>
      </c>
      <c r="H118" s="14">
        <v>2390.55</v>
      </c>
      <c r="I118" s="14">
        <v>2410.13</v>
      </c>
      <c r="J118" s="14">
        <v>2480</v>
      </c>
      <c r="K118" s="14">
        <v>1830</v>
      </c>
      <c r="L118" s="15">
        <v>16098099</v>
      </c>
      <c r="M118" t="s" s="13">
        <v>137</v>
      </c>
      <c r="N118" s="15">
        <v>278098</v>
      </c>
      <c r="O118" s="17" cm="1">
        <f t="array" ref="O118">(H118-H117)/H117</f>
        <v>-0.0155053125772177</v>
      </c>
    </row>
    <row r="119" ht="13.65" customHeight="1">
      <c r="A119" s="18">
        <v>44459</v>
      </c>
      <c r="B119" t="s" s="13">
        <v>22</v>
      </c>
      <c r="C119" s="14">
        <v>2372.1</v>
      </c>
      <c r="D119" s="14">
        <v>2418.35</v>
      </c>
      <c r="E119" s="14">
        <v>2370</v>
      </c>
      <c r="F119" s="14">
        <v>2390.55</v>
      </c>
      <c r="G119" s="14">
        <v>2391.85</v>
      </c>
      <c r="H119" s="14">
        <v>2394.35</v>
      </c>
      <c r="I119" s="14">
        <v>2398.57</v>
      </c>
      <c r="J119" s="14">
        <v>2480</v>
      </c>
      <c r="K119" s="14">
        <v>1830</v>
      </c>
      <c r="L119" s="15">
        <v>5436385</v>
      </c>
      <c r="M119" t="s" s="13">
        <v>138</v>
      </c>
      <c r="N119" s="15">
        <v>171011</v>
      </c>
      <c r="O119" s="17" cm="1">
        <f t="array" ref="O119">(H119-H118)/H118</f>
        <v>0.00158959235322415</v>
      </c>
    </row>
    <row r="120" ht="13.65" customHeight="1">
      <c r="A120" s="18">
        <v>44460</v>
      </c>
      <c r="B120" t="s" s="13">
        <v>22</v>
      </c>
      <c r="C120" s="14">
        <v>2405</v>
      </c>
      <c r="D120" s="14">
        <v>2416.6</v>
      </c>
      <c r="E120" s="14">
        <v>2384</v>
      </c>
      <c r="F120" s="14">
        <v>2394.35</v>
      </c>
      <c r="G120" s="14">
        <v>2400</v>
      </c>
      <c r="H120" s="14">
        <v>2404.7</v>
      </c>
      <c r="I120" s="14">
        <v>2401.93</v>
      </c>
      <c r="J120" s="14">
        <v>2480</v>
      </c>
      <c r="K120" s="14">
        <v>1830</v>
      </c>
      <c r="L120" s="15">
        <v>4576111</v>
      </c>
      <c r="M120" t="s" s="13">
        <v>139</v>
      </c>
      <c r="N120" s="15">
        <v>149803</v>
      </c>
      <c r="O120" s="17" cm="1">
        <f t="array" ref="O120">(H120-H119)/H119</f>
        <v>0.00432267630045733</v>
      </c>
    </row>
    <row r="121" ht="13.65" customHeight="1">
      <c r="A121" s="18">
        <v>44461</v>
      </c>
      <c r="B121" t="s" s="13">
        <v>22</v>
      </c>
      <c r="C121" s="14">
        <v>2408</v>
      </c>
      <c r="D121" s="14">
        <v>2442</v>
      </c>
      <c r="E121" s="14">
        <v>2398.25</v>
      </c>
      <c r="F121" s="14">
        <v>2404.7</v>
      </c>
      <c r="G121" s="14">
        <v>2430.8</v>
      </c>
      <c r="H121" s="14">
        <v>2430.5</v>
      </c>
      <c r="I121" s="14">
        <v>2426.47</v>
      </c>
      <c r="J121" s="14">
        <v>2480</v>
      </c>
      <c r="K121" s="14">
        <v>1830</v>
      </c>
      <c r="L121" s="15">
        <v>5074612</v>
      </c>
      <c r="M121" t="s" s="13">
        <v>140</v>
      </c>
      <c r="N121" s="15">
        <v>179090</v>
      </c>
      <c r="O121" s="17" cm="1">
        <f t="array" ref="O121">(H121-H120)/H120</f>
        <v>0.0107289890630848</v>
      </c>
    </row>
    <row r="122" ht="13.65" customHeight="1">
      <c r="A122" s="18">
        <v>44462</v>
      </c>
      <c r="B122" t="s" s="13">
        <v>22</v>
      </c>
      <c r="C122" s="14">
        <v>2447.4</v>
      </c>
      <c r="D122" s="14">
        <v>2497</v>
      </c>
      <c r="E122" s="14">
        <v>2445.5</v>
      </c>
      <c r="F122" s="14">
        <v>2430.5</v>
      </c>
      <c r="G122" s="14">
        <v>2488.1</v>
      </c>
      <c r="H122" s="14">
        <v>2489.9</v>
      </c>
      <c r="I122" s="14">
        <v>2475.75</v>
      </c>
      <c r="J122" s="14">
        <v>2497</v>
      </c>
      <c r="K122" s="14">
        <v>1830</v>
      </c>
      <c r="L122" s="15">
        <v>7267883</v>
      </c>
      <c r="M122" t="s" s="13">
        <v>141</v>
      </c>
      <c r="N122" s="15">
        <v>255176</v>
      </c>
      <c r="O122" s="17" cm="1">
        <f t="array" ref="O122">(H122-H121)/H121</f>
        <v>0.0244394157580745</v>
      </c>
    </row>
    <row r="123" ht="13.65" customHeight="1">
      <c r="A123" s="18">
        <v>44463</v>
      </c>
      <c r="B123" t="s" s="13">
        <v>22</v>
      </c>
      <c r="C123" s="14">
        <v>2503.55</v>
      </c>
      <c r="D123" s="14">
        <v>2505.45</v>
      </c>
      <c r="E123" s="14">
        <v>2472</v>
      </c>
      <c r="F123" s="14">
        <v>2489.9</v>
      </c>
      <c r="G123" s="14">
        <v>2479</v>
      </c>
      <c r="H123" s="14">
        <v>2482.7</v>
      </c>
      <c r="I123" s="14">
        <v>2488.36</v>
      </c>
      <c r="J123" s="14">
        <v>2505.45</v>
      </c>
      <c r="K123" s="14">
        <v>1830</v>
      </c>
      <c r="L123" s="15">
        <v>7011181</v>
      </c>
      <c r="M123" t="s" s="13">
        <v>142</v>
      </c>
      <c r="N123" s="15">
        <v>234214</v>
      </c>
      <c r="O123" s="17" cm="1">
        <f t="array" ref="O123">(H123-H122)/H122</f>
        <v>-0.00289168239688341</v>
      </c>
    </row>
    <row r="124" ht="13.65" customHeight="1">
      <c r="A124" s="18">
        <v>44466</v>
      </c>
      <c r="B124" t="s" s="13">
        <v>22</v>
      </c>
      <c r="C124" s="14">
        <v>2487</v>
      </c>
      <c r="D124" s="14">
        <v>2529.9</v>
      </c>
      <c r="E124" s="14">
        <v>2475.3</v>
      </c>
      <c r="F124" s="14">
        <v>2482.7</v>
      </c>
      <c r="G124" s="14">
        <v>2527</v>
      </c>
      <c r="H124" s="14">
        <v>2524.45</v>
      </c>
      <c r="I124" s="14">
        <v>2510.93</v>
      </c>
      <c r="J124" s="14">
        <v>2529.9</v>
      </c>
      <c r="K124" s="14">
        <v>1830</v>
      </c>
      <c r="L124" s="15">
        <v>7095022</v>
      </c>
      <c r="M124" t="s" s="13">
        <v>143</v>
      </c>
      <c r="N124" s="15">
        <v>224209</v>
      </c>
      <c r="O124" s="17" cm="1">
        <f t="array" ref="O124">(H124-H123)/H123</f>
        <v>0.0168163692753857</v>
      </c>
    </row>
    <row r="125" ht="13.65" customHeight="1">
      <c r="A125" s="18">
        <v>44467</v>
      </c>
      <c r="B125" t="s" s="13">
        <v>22</v>
      </c>
      <c r="C125" s="14">
        <v>2534</v>
      </c>
      <c r="D125" s="14">
        <v>2564.9</v>
      </c>
      <c r="E125" s="14">
        <v>2512.8</v>
      </c>
      <c r="F125" s="14">
        <v>2524.45</v>
      </c>
      <c r="G125" s="14">
        <v>2545</v>
      </c>
      <c r="H125" s="14">
        <v>2548.05</v>
      </c>
      <c r="I125" s="14">
        <v>2539.99</v>
      </c>
      <c r="J125" s="14">
        <v>2564.9</v>
      </c>
      <c r="K125" s="14">
        <v>1830</v>
      </c>
      <c r="L125" s="15">
        <v>8323269</v>
      </c>
      <c r="M125" t="s" s="13">
        <v>144</v>
      </c>
      <c r="N125" s="15">
        <v>229286</v>
      </c>
      <c r="O125" s="17" cm="1">
        <f t="array" ref="O125">(H125-H124)/H124</f>
        <v>0.009348570975856131</v>
      </c>
    </row>
    <row r="126" ht="13.65" customHeight="1">
      <c r="A126" s="18">
        <v>44468</v>
      </c>
      <c r="B126" t="s" s="13">
        <v>22</v>
      </c>
      <c r="C126" s="14">
        <v>2570</v>
      </c>
      <c r="D126" s="14">
        <v>2570</v>
      </c>
      <c r="E126" s="14">
        <v>2520.05</v>
      </c>
      <c r="F126" s="14">
        <v>2548.05</v>
      </c>
      <c r="G126" s="14">
        <v>2530</v>
      </c>
      <c r="H126" s="14">
        <v>2527.85</v>
      </c>
      <c r="I126" s="14">
        <v>2536.91</v>
      </c>
      <c r="J126" s="14">
        <v>2570</v>
      </c>
      <c r="K126" s="14">
        <v>1830</v>
      </c>
      <c r="L126" s="15">
        <v>4485721</v>
      </c>
      <c r="M126" t="s" s="13">
        <v>145</v>
      </c>
      <c r="N126" s="15">
        <v>166259</v>
      </c>
      <c r="O126" s="17" cm="1">
        <f t="array" ref="O126">(H126-H125)/H125</f>
        <v>-0.007927630933458919</v>
      </c>
    </row>
    <row r="127" ht="13.65" customHeight="1">
      <c r="A127" s="18">
        <v>44469</v>
      </c>
      <c r="B127" t="s" s="13">
        <v>22</v>
      </c>
      <c r="C127" s="14">
        <v>2525</v>
      </c>
      <c r="D127" s="14">
        <v>2534.6</v>
      </c>
      <c r="E127" s="14">
        <v>2500.35</v>
      </c>
      <c r="F127" s="14">
        <v>2527.85</v>
      </c>
      <c r="G127" s="14">
        <v>2511</v>
      </c>
      <c r="H127" s="14">
        <v>2519.25</v>
      </c>
      <c r="I127" s="14">
        <v>2517.46</v>
      </c>
      <c r="J127" s="14">
        <v>2570</v>
      </c>
      <c r="K127" s="14">
        <v>1830</v>
      </c>
      <c r="L127" s="15">
        <v>6272085</v>
      </c>
      <c r="M127" t="s" s="13">
        <v>146</v>
      </c>
      <c r="N127" s="15">
        <v>173121</v>
      </c>
      <c r="O127" s="17" cm="1">
        <f t="array" ref="O127">(H127-H126)/H126</f>
        <v>-0.00340210059932354</v>
      </c>
    </row>
    <row r="128" ht="13.65" customHeight="1">
      <c r="A128" s="12">
        <v>44470</v>
      </c>
      <c r="B128" t="s" s="13">
        <v>22</v>
      </c>
      <c r="C128" s="14">
        <v>2501.95</v>
      </c>
      <c r="D128" s="14">
        <v>2539.8</v>
      </c>
      <c r="E128" s="14">
        <v>2495</v>
      </c>
      <c r="F128" s="14">
        <v>2519.25</v>
      </c>
      <c r="G128" s="14">
        <v>2525</v>
      </c>
      <c r="H128" s="14">
        <v>2523.7</v>
      </c>
      <c r="I128" s="14">
        <v>2521.05</v>
      </c>
      <c r="J128" s="14">
        <v>2570</v>
      </c>
      <c r="K128" s="14">
        <v>1830</v>
      </c>
      <c r="L128" s="15">
        <v>4134544</v>
      </c>
      <c r="M128" t="s" s="13">
        <v>147</v>
      </c>
      <c r="N128" s="15">
        <v>144149</v>
      </c>
      <c r="O128" s="17" cm="1">
        <f t="array" ref="O128">(H128-H127)/H127</f>
        <v>0.00176639872978069</v>
      </c>
    </row>
    <row r="129" ht="13.65" customHeight="1">
      <c r="A129" s="12">
        <v>44473</v>
      </c>
      <c r="B129" t="s" s="13">
        <v>22</v>
      </c>
      <c r="C129" s="14">
        <v>2553</v>
      </c>
      <c r="D129" s="14">
        <v>2574.85</v>
      </c>
      <c r="E129" s="14">
        <v>2537.05</v>
      </c>
      <c r="F129" s="14">
        <v>2523.7</v>
      </c>
      <c r="G129" s="14">
        <v>2558</v>
      </c>
      <c r="H129" s="14">
        <v>2556.15</v>
      </c>
      <c r="I129" s="14">
        <v>2556.97</v>
      </c>
      <c r="J129" s="14">
        <v>2574.85</v>
      </c>
      <c r="K129" s="14">
        <v>1830</v>
      </c>
      <c r="L129" s="15">
        <v>5038910</v>
      </c>
      <c r="M129" t="s" s="13">
        <v>148</v>
      </c>
      <c r="N129" s="15">
        <v>163519</v>
      </c>
      <c r="O129" s="17" cm="1">
        <f t="array" ref="O129">(H129-H128)/H128</f>
        <v>0.0128581051630542</v>
      </c>
    </row>
    <row r="130" ht="13.65" customHeight="1">
      <c r="A130" s="12">
        <v>44474</v>
      </c>
      <c r="B130" t="s" s="13">
        <v>22</v>
      </c>
      <c r="C130" s="14">
        <v>2555.1</v>
      </c>
      <c r="D130" s="14">
        <v>2612</v>
      </c>
      <c r="E130" s="14">
        <v>2547.35</v>
      </c>
      <c r="F130" s="14">
        <v>2556.15</v>
      </c>
      <c r="G130" s="14">
        <v>2610.25</v>
      </c>
      <c r="H130" s="14">
        <v>2609.2</v>
      </c>
      <c r="I130" s="14">
        <v>2582.03</v>
      </c>
      <c r="J130" s="14">
        <v>2612</v>
      </c>
      <c r="K130" s="14">
        <v>1830</v>
      </c>
      <c r="L130" s="15">
        <v>6245770</v>
      </c>
      <c r="M130" t="s" s="13">
        <v>149</v>
      </c>
      <c r="N130" s="15">
        <v>190163</v>
      </c>
      <c r="O130" s="17" cm="1">
        <f t="array" ref="O130">(H130-H129)/H129</f>
        <v>0.0207538681219803</v>
      </c>
    </row>
    <row r="131" ht="13.65" customHeight="1">
      <c r="A131" s="12">
        <v>44475</v>
      </c>
      <c r="B131" t="s" s="13">
        <v>22</v>
      </c>
      <c r="C131" s="14">
        <v>2619.95</v>
      </c>
      <c r="D131" s="14">
        <v>2619.95</v>
      </c>
      <c r="E131" s="14">
        <v>2551.1</v>
      </c>
      <c r="F131" s="14">
        <v>2609.2</v>
      </c>
      <c r="G131" s="14">
        <v>2554</v>
      </c>
      <c r="H131" s="14">
        <v>2559.85</v>
      </c>
      <c r="I131" s="14">
        <v>2585.47</v>
      </c>
      <c r="J131" s="14">
        <v>2619.95</v>
      </c>
      <c r="K131" s="14">
        <v>1830</v>
      </c>
      <c r="L131" s="15">
        <v>4734472</v>
      </c>
      <c r="M131" t="s" s="13">
        <v>150</v>
      </c>
      <c r="N131" s="15">
        <v>175209</v>
      </c>
      <c r="O131" s="17" cm="1">
        <f t="array" ref="O131">(H131-H130)/H130</f>
        <v>-0.0189138433236241</v>
      </c>
    </row>
    <row r="132" ht="13.65" customHeight="1">
      <c r="A132" s="12">
        <v>44476</v>
      </c>
      <c r="B132" t="s" s="13">
        <v>22</v>
      </c>
      <c r="C132" s="14">
        <v>2595</v>
      </c>
      <c r="D132" s="14">
        <v>2598.75</v>
      </c>
      <c r="E132" s="14">
        <v>2567.7</v>
      </c>
      <c r="F132" s="14">
        <v>2559.85</v>
      </c>
      <c r="G132" s="14">
        <v>2572</v>
      </c>
      <c r="H132" s="14">
        <v>2572.4</v>
      </c>
      <c r="I132" s="14">
        <v>2583.27</v>
      </c>
      <c r="J132" s="14">
        <v>2619.95</v>
      </c>
      <c r="K132" s="14">
        <v>1830</v>
      </c>
      <c r="L132" s="15">
        <v>2924370</v>
      </c>
      <c r="M132" t="s" s="13">
        <v>151</v>
      </c>
      <c r="N132" s="15">
        <v>122777</v>
      </c>
      <c r="O132" s="17" cm="1">
        <f t="array" ref="O132">(H132-H131)/H131</f>
        <v>0.00490263101353595</v>
      </c>
    </row>
    <row r="133" ht="13.65" customHeight="1">
      <c r="A133" s="12">
        <v>44477</v>
      </c>
      <c r="B133" t="s" s="13">
        <v>22</v>
      </c>
      <c r="C133" s="14">
        <v>2585.25</v>
      </c>
      <c r="D133" s="14">
        <v>2684.4</v>
      </c>
      <c r="E133" s="14">
        <v>2581.5</v>
      </c>
      <c r="F133" s="14">
        <v>2572.4</v>
      </c>
      <c r="G133" s="14">
        <v>2669.2</v>
      </c>
      <c r="H133" s="14">
        <v>2671.25</v>
      </c>
      <c r="I133" s="14">
        <v>2642.81</v>
      </c>
      <c r="J133" s="14">
        <v>2684.4</v>
      </c>
      <c r="K133" s="14">
        <v>1830</v>
      </c>
      <c r="L133" s="15">
        <v>7279003</v>
      </c>
      <c r="M133" t="s" s="13">
        <v>152</v>
      </c>
      <c r="N133" s="15">
        <v>253640</v>
      </c>
      <c r="O133" s="17" cm="1">
        <f t="array" ref="O133">(H133-H132)/H132</f>
        <v>0.0384271497434303</v>
      </c>
    </row>
    <row r="134" ht="13.65" customHeight="1">
      <c r="A134" s="18">
        <v>44480</v>
      </c>
      <c r="B134" t="s" s="13">
        <v>22</v>
      </c>
      <c r="C134" s="14">
        <v>2701.4</v>
      </c>
      <c r="D134" s="14">
        <v>2720</v>
      </c>
      <c r="E134" s="14">
        <v>2645.35</v>
      </c>
      <c r="F134" s="14">
        <v>2671.25</v>
      </c>
      <c r="G134" s="14">
        <v>2655</v>
      </c>
      <c r="H134" s="14">
        <v>2652.65</v>
      </c>
      <c r="I134" s="14">
        <v>2682.21</v>
      </c>
      <c r="J134" s="14">
        <v>2720</v>
      </c>
      <c r="K134" s="14">
        <v>1830</v>
      </c>
      <c r="L134" s="15">
        <v>6815737</v>
      </c>
      <c r="M134" t="s" s="13">
        <v>153</v>
      </c>
      <c r="N134" s="15">
        <v>247361</v>
      </c>
      <c r="O134" s="17" cm="1">
        <f t="array" ref="O134">(H134-H133)/H133</f>
        <v>-0.00696303228825456</v>
      </c>
    </row>
    <row r="135" ht="13.65" customHeight="1">
      <c r="A135" s="18">
        <v>44481</v>
      </c>
      <c r="B135" t="s" s="13">
        <v>22</v>
      </c>
      <c r="C135" s="14">
        <v>2645</v>
      </c>
      <c r="D135" s="14">
        <v>2683</v>
      </c>
      <c r="E135" s="14">
        <v>2641.25</v>
      </c>
      <c r="F135" s="14">
        <v>2652.65</v>
      </c>
      <c r="G135" s="14">
        <v>2668</v>
      </c>
      <c r="H135" s="14">
        <v>2667.8</v>
      </c>
      <c r="I135" s="14">
        <v>2661.5</v>
      </c>
      <c r="J135" s="14">
        <v>2720</v>
      </c>
      <c r="K135" s="14">
        <v>1830</v>
      </c>
      <c r="L135" s="15">
        <v>3083747</v>
      </c>
      <c r="M135" t="s" s="13">
        <v>154</v>
      </c>
      <c r="N135" s="15">
        <v>145888</v>
      </c>
      <c r="O135" s="17" cm="1">
        <f t="array" ref="O135">(H135-H134)/H134</f>
        <v>0.00571126986221326</v>
      </c>
    </row>
    <row r="136" ht="13.65" customHeight="1">
      <c r="A136" s="18">
        <v>44482</v>
      </c>
      <c r="B136" t="s" s="13">
        <v>22</v>
      </c>
      <c r="C136" s="14">
        <v>2679</v>
      </c>
      <c r="D136" s="14">
        <v>2719.5</v>
      </c>
      <c r="E136" s="14">
        <v>2669.3</v>
      </c>
      <c r="F136" s="14">
        <v>2667.8</v>
      </c>
      <c r="G136" s="14">
        <v>2698</v>
      </c>
      <c r="H136" s="14">
        <v>2694.95</v>
      </c>
      <c r="I136" s="14">
        <v>2691.35</v>
      </c>
      <c r="J136" s="14">
        <v>2720</v>
      </c>
      <c r="K136" s="14">
        <v>1830</v>
      </c>
      <c r="L136" s="15">
        <v>4596429</v>
      </c>
      <c r="M136" t="s" s="13">
        <v>155</v>
      </c>
      <c r="N136" s="15">
        <v>205663</v>
      </c>
      <c r="O136" s="17" cm="1">
        <f t="array" ref="O136">(H136-H135)/H135</f>
        <v>0.010176924806957</v>
      </c>
    </row>
    <row r="137" ht="13.65" customHeight="1">
      <c r="A137" s="18">
        <v>44483</v>
      </c>
      <c r="B137" t="s" s="13">
        <v>22</v>
      </c>
      <c r="C137" s="14">
        <v>2700.35</v>
      </c>
      <c r="D137" s="14">
        <v>2717.45</v>
      </c>
      <c r="E137" s="14">
        <v>2687.2</v>
      </c>
      <c r="F137" s="14">
        <v>2694.95</v>
      </c>
      <c r="G137" s="14">
        <v>2701</v>
      </c>
      <c r="H137" s="14">
        <v>2700.4</v>
      </c>
      <c r="I137" s="14">
        <v>2700.84</v>
      </c>
      <c r="J137" s="14">
        <v>2720</v>
      </c>
      <c r="K137" s="14">
        <v>1830</v>
      </c>
      <c r="L137" s="15">
        <v>3979730</v>
      </c>
      <c r="M137" t="s" s="13">
        <v>156</v>
      </c>
      <c r="N137" s="15">
        <v>144964</v>
      </c>
      <c r="O137" s="17" cm="1">
        <f t="array" ref="O137">(H137-H136)/H136</f>
        <v>0.0020223009703334</v>
      </c>
    </row>
    <row r="138" ht="13.65" customHeight="1">
      <c r="A138" s="18">
        <v>44487</v>
      </c>
      <c r="B138" t="s" s="13">
        <v>22</v>
      </c>
      <c r="C138" s="14">
        <v>2668.6</v>
      </c>
      <c r="D138" s="14">
        <v>2745</v>
      </c>
      <c r="E138" s="14">
        <v>2662.3</v>
      </c>
      <c r="F138" s="14">
        <v>2700.4</v>
      </c>
      <c r="G138" s="14">
        <v>2707.8</v>
      </c>
      <c r="H138" s="14">
        <v>2707.6</v>
      </c>
      <c r="I138" s="14">
        <v>2713.78</v>
      </c>
      <c r="J138" s="14">
        <v>2745</v>
      </c>
      <c r="K138" s="14">
        <v>1830</v>
      </c>
      <c r="L138" s="15">
        <v>6273850</v>
      </c>
      <c r="M138" t="s" s="13">
        <v>157</v>
      </c>
      <c r="N138" s="15">
        <v>274696</v>
      </c>
      <c r="O138" s="17" cm="1">
        <f t="array" ref="O138">(H138-H137)/H137</f>
        <v>0.00266627166345727</v>
      </c>
    </row>
    <row r="139" ht="13.65" customHeight="1">
      <c r="A139" s="18">
        <v>44488</v>
      </c>
      <c r="B139" t="s" s="13">
        <v>22</v>
      </c>
      <c r="C139" s="14">
        <v>2723.8</v>
      </c>
      <c r="D139" s="14">
        <v>2751.35</v>
      </c>
      <c r="E139" s="14">
        <v>2708</v>
      </c>
      <c r="F139" s="14">
        <v>2707.6</v>
      </c>
      <c r="G139" s="14">
        <v>2730.8</v>
      </c>
      <c r="H139" s="14">
        <v>2731.85</v>
      </c>
      <c r="I139" s="14">
        <v>2733.67</v>
      </c>
      <c r="J139" s="14">
        <v>2751.35</v>
      </c>
      <c r="K139" s="14">
        <v>1830</v>
      </c>
      <c r="L139" s="15">
        <v>4076617</v>
      </c>
      <c r="M139" t="s" s="13">
        <v>158</v>
      </c>
      <c r="N139" s="15">
        <v>203192</v>
      </c>
      <c r="O139" s="17" cm="1">
        <f t="array" ref="O139">(H139-H138)/H138</f>
        <v>0.008956271236519431</v>
      </c>
    </row>
    <row r="140" ht="13.65" customHeight="1">
      <c r="A140" s="18">
        <v>44489</v>
      </c>
      <c r="B140" t="s" s="13">
        <v>22</v>
      </c>
      <c r="C140" s="14">
        <v>2742.75</v>
      </c>
      <c r="D140" s="14">
        <v>2742.75</v>
      </c>
      <c r="E140" s="14">
        <v>2691.5</v>
      </c>
      <c r="F140" s="14">
        <v>2731.85</v>
      </c>
      <c r="G140" s="14">
        <v>2703.5</v>
      </c>
      <c r="H140" s="14">
        <v>2700.4</v>
      </c>
      <c r="I140" s="14">
        <v>2710.54</v>
      </c>
      <c r="J140" s="14">
        <v>2751.35</v>
      </c>
      <c r="K140" s="14">
        <v>1830</v>
      </c>
      <c r="L140" s="15">
        <v>5865926</v>
      </c>
      <c r="M140" t="s" s="13">
        <v>159</v>
      </c>
      <c r="N140" s="15">
        <v>186061</v>
      </c>
      <c r="O140" s="17" cm="1">
        <f t="array" ref="O140">(H140-H139)/H139</f>
        <v>-0.0115123451141168</v>
      </c>
    </row>
    <row r="141" ht="13.65" customHeight="1">
      <c r="A141" s="18">
        <v>44490</v>
      </c>
      <c r="B141" t="s" s="13">
        <v>22</v>
      </c>
      <c r="C141" s="14">
        <v>2727.4</v>
      </c>
      <c r="D141" s="14">
        <v>2728</v>
      </c>
      <c r="E141" s="14">
        <v>2603.2</v>
      </c>
      <c r="F141" s="14">
        <v>2700.4</v>
      </c>
      <c r="G141" s="14">
        <v>2635</v>
      </c>
      <c r="H141" s="14">
        <v>2622.5</v>
      </c>
      <c r="I141" s="14">
        <v>2642.91</v>
      </c>
      <c r="J141" s="14">
        <v>2751.35</v>
      </c>
      <c r="K141" s="14">
        <v>1830</v>
      </c>
      <c r="L141" s="15">
        <v>9613812</v>
      </c>
      <c r="M141" t="s" s="13">
        <v>160</v>
      </c>
      <c r="N141" s="15">
        <v>356400</v>
      </c>
      <c r="O141" s="17" cm="1">
        <f t="array" ref="O141">(H141-H140)/H140</f>
        <v>-0.0288475781365724</v>
      </c>
    </row>
    <row r="142" ht="13.65" customHeight="1">
      <c r="A142" s="18">
        <v>44491</v>
      </c>
      <c r="B142" t="s" s="13">
        <v>22</v>
      </c>
      <c r="C142" s="14">
        <v>2620</v>
      </c>
      <c r="D142" s="14">
        <v>2664.9</v>
      </c>
      <c r="E142" s="14">
        <v>2611.5</v>
      </c>
      <c r="F142" s="14">
        <v>2622.5</v>
      </c>
      <c r="G142" s="14">
        <v>2625.75</v>
      </c>
      <c r="H142" s="14">
        <v>2627.4</v>
      </c>
      <c r="I142" s="14">
        <v>2635.21</v>
      </c>
      <c r="J142" s="14">
        <v>2751.35</v>
      </c>
      <c r="K142" s="14">
        <v>1830</v>
      </c>
      <c r="L142" s="15">
        <v>5089178</v>
      </c>
      <c r="M142" t="s" s="13">
        <v>161</v>
      </c>
      <c r="N142" s="15">
        <v>209472</v>
      </c>
      <c r="O142" s="17" cm="1">
        <f t="array" ref="O142">(H142-H141)/H141</f>
        <v>0.00186844613918017</v>
      </c>
    </row>
    <row r="143" ht="13.65" customHeight="1">
      <c r="A143" s="18">
        <v>44494</v>
      </c>
      <c r="B143" t="s" s="13">
        <v>22</v>
      </c>
      <c r="C143" s="14">
        <v>2680</v>
      </c>
      <c r="D143" s="14">
        <v>2680</v>
      </c>
      <c r="E143" s="14">
        <v>2570</v>
      </c>
      <c r="F143" s="14">
        <v>2627.4</v>
      </c>
      <c r="G143" s="14">
        <v>2607</v>
      </c>
      <c r="H143" s="14">
        <v>2601.8</v>
      </c>
      <c r="I143" s="14">
        <v>2611.17</v>
      </c>
      <c r="J143" s="14">
        <v>2751.35</v>
      </c>
      <c r="K143" s="14">
        <v>1830</v>
      </c>
      <c r="L143" s="15">
        <v>7937067</v>
      </c>
      <c r="M143" t="s" s="13">
        <v>162</v>
      </c>
      <c r="N143" s="15">
        <v>317548</v>
      </c>
      <c r="O143" s="17" cm="1">
        <f t="array" ref="O143">(H143-H142)/H142</f>
        <v>-0.00974347263454366</v>
      </c>
    </row>
    <row r="144" ht="13.65" customHeight="1">
      <c r="A144" s="18">
        <v>44495</v>
      </c>
      <c r="B144" t="s" s="13">
        <v>22</v>
      </c>
      <c r="C144" s="14">
        <v>2617.1</v>
      </c>
      <c r="D144" s="14">
        <v>2668.9</v>
      </c>
      <c r="E144" s="14">
        <v>2603.15</v>
      </c>
      <c r="F144" s="14">
        <v>2601.8</v>
      </c>
      <c r="G144" s="14">
        <v>2666.3</v>
      </c>
      <c r="H144" s="14">
        <v>2661.05</v>
      </c>
      <c r="I144" s="14">
        <v>2635.7</v>
      </c>
      <c r="J144" s="14">
        <v>2751.35</v>
      </c>
      <c r="K144" s="14">
        <v>1830</v>
      </c>
      <c r="L144" s="15">
        <v>4499706</v>
      </c>
      <c r="M144" t="s" s="13">
        <v>163</v>
      </c>
      <c r="N144" s="15">
        <v>199021</v>
      </c>
      <c r="O144" s="17" cm="1">
        <f t="array" ref="O144">(H144-H143)/H143</f>
        <v>0.0227726958259666</v>
      </c>
    </row>
    <row r="145" ht="13.65" customHeight="1">
      <c r="A145" s="18">
        <v>44496</v>
      </c>
      <c r="B145" t="s" s="13">
        <v>22</v>
      </c>
      <c r="C145" s="14">
        <v>2652</v>
      </c>
      <c r="D145" s="14">
        <v>2676.8</v>
      </c>
      <c r="E145" s="14">
        <v>2619.95</v>
      </c>
      <c r="F145" s="14">
        <v>2661.05</v>
      </c>
      <c r="G145" s="14">
        <v>2622.3</v>
      </c>
      <c r="H145" s="14">
        <v>2627.4</v>
      </c>
      <c r="I145" s="14">
        <v>2652.28</v>
      </c>
      <c r="J145" s="14">
        <v>2751.35</v>
      </c>
      <c r="K145" s="14">
        <v>1830</v>
      </c>
      <c r="L145" s="15">
        <v>4567140</v>
      </c>
      <c r="M145" t="s" s="13">
        <v>164</v>
      </c>
      <c r="N145" s="15">
        <v>176020</v>
      </c>
      <c r="O145" s="17" cm="1">
        <f t="array" ref="O145">(H145-H144)/H144</f>
        <v>-0.0126453843407677</v>
      </c>
    </row>
    <row r="146" ht="13.65" customHeight="1">
      <c r="A146" s="18">
        <v>44497</v>
      </c>
      <c r="B146" t="s" s="13">
        <v>22</v>
      </c>
      <c r="C146" s="14">
        <v>2620</v>
      </c>
      <c r="D146" s="14">
        <v>2637.95</v>
      </c>
      <c r="E146" s="14">
        <v>2590.5</v>
      </c>
      <c r="F146" s="14">
        <v>2627.4</v>
      </c>
      <c r="G146" s="14">
        <v>2598</v>
      </c>
      <c r="H146" s="14">
        <v>2598.6</v>
      </c>
      <c r="I146" s="14">
        <v>2610.69</v>
      </c>
      <c r="J146" s="14">
        <v>2751.35</v>
      </c>
      <c r="K146" s="14">
        <v>1830</v>
      </c>
      <c r="L146" s="15">
        <v>4562471</v>
      </c>
      <c r="M146" t="s" s="13">
        <v>165</v>
      </c>
      <c r="N146" s="15">
        <v>170822</v>
      </c>
      <c r="O146" s="17" cm="1">
        <f t="array" ref="O146">(H146-H145)/H145</f>
        <v>-0.0109614067138616</v>
      </c>
    </row>
    <row r="147" ht="13.65" customHeight="1">
      <c r="A147" s="18">
        <v>44498</v>
      </c>
      <c r="B147" t="s" s="13">
        <v>22</v>
      </c>
      <c r="C147" s="14">
        <v>2596.15</v>
      </c>
      <c r="D147" s="14">
        <v>2596.15</v>
      </c>
      <c r="E147" s="14">
        <v>2501.7</v>
      </c>
      <c r="F147" s="14">
        <v>2598.6</v>
      </c>
      <c r="G147" s="14">
        <v>2540</v>
      </c>
      <c r="H147" s="14">
        <v>2536.25</v>
      </c>
      <c r="I147" s="14">
        <v>2548.04</v>
      </c>
      <c r="J147" s="14">
        <v>2751.35</v>
      </c>
      <c r="K147" s="14">
        <v>1830</v>
      </c>
      <c r="L147" s="15">
        <v>6568539</v>
      </c>
      <c r="M147" t="s" s="13">
        <v>166</v>
      </c>
      <c r="N147" s="15">
        <v>277855</v>
      </c>
      <c r="O147" s="17" cm="1">
        <f t="array" ref="O147">(H147-H146)/H146</f>
        <v>-0.0239936889094128</v>
      </c>
    </row>
    <row r="148" ht="13.65" customHeight="1">
      <c r="A148" s="12">
        <v>44501</v>
      </c>
      <c r="B148" t="s" s="13">
        <v>22</v>
      </c>
      <c r="C148" s="14">
        <v>2536.25</v>
      </c>
      <c r="D148" s="14">
        <v>2556</v>
      </c>
      <c r="E148" s="14">
        <v>2494.1</v>
      </c>
      <c r="F148" s="14">
        <v>2536.25</v>
      </c>
      <c r="G148" s="14">
        <v>2538.1</v>
      </c>
      <c r="H148" s="14">
        <v>2537.8</v>
      </c>
      <c r="I148" s="14">
        <v>2523.59</v>
      </c>
      <c r="J148" s="14">
        <v>2751.35</v>
      </c>
      <c r="K148" s="14">
        <v>1830</v>
      </c>
      <c r="L148" s="15">
        <v>7144532</v>
      </c>
      <c r="M148" t="s" s="13">
        <v>167</v>
      </c>
      <c r="N148" s="15">
        <v>273829</v>
      </c>
      <c r="O148" s="17" cm="1">
        <f t="array" ref="O148">(H148-H147)/H147</f>
        <v>0.000611138491867915</v>
      </c>
    </row>
    <row r="149" ht="13.65" customHeight="1">
      <c r="A149" s="12">
        <v>44502</v>
      </c>
      <c r="B149" t="s" s="13">
        <v>22</v>
      </c>
      <c r="C149" s="14">
        <v>2545</v>
      </c>
      <c r="D149" s="14">
        <v>2548</v>
      </c>
      <c r="E149" s="14">
        <v>2495.25</v>
      </c>
      <c r="F149" s="14">
        <v>2537.8</v>
      </c>
      <c r="G149" s="14">
        <v>2503.05</v>
      </c>
      <c r="H149" s="14">
        <v>2500.8</v>
      </c>
      <c r="I149" s="14">
        <v>2510.1</v>
      </c>
      <c r="J149" s="14">
        <v>2751.35</v>
      </c>
      <c r="K149" s="14">
        <v>1830</v>
      </c>
      <c r="L149" s="15">
        <v>4877652</v>
      </c>
      <c r="M149" t="s" s="13">
        <v>168</v>
      </c>
      <c r="N149" s="15">
        <v>225933</v>
      </c>
      <c r="O149" s="17" cm="1">
        <f t="array" ref="O149">(H149-H148)/H148</f>
        <v>-0.0145795570966979</v>
      </c>
    </row>
    <row r="150" ht="13.65" customHeight="1">
      <c r="A150" s="12">
        <v>44503</v>
      </c>
      <c r="B150" t="s" s="13">
        <v>22</v>
      </c>
      <c r="C150" s="14">
        <v>2506.05</v>
      </c>
      <c r="D150" s="14">
        <v>2520</v>
      </c>
      <c r="E150" s="14">
        <v>2461</v>
      </c>
      <c r="F150" s="14">
        <v>2500.8</v>
      </c>
      <c r="G150" s="14">
        <v>2483</v>
      </c>
      <c r="H150" s="14">
        <v>2483.6</v>
      </c>
      <c r="I150" s="14">
        <v>2487.7</v>
      </c>
      <c r="J150" s="14">
        <v>2751.35</v>
      </c>
      <c r="K150" s="14">
        <v>1830</v>
      </c>
      <c r="L150" s="15">
        <v>5533120</v>
      </c>
      <c r="M150" t="s" s="13">
        <v>169</v>
      </c>
      <c r="N150" s="15">
        <v>240878</v>
      </c>
      <c r="O150" s="17" cm="1">
        <f t="array" ref="O150">(H150-H149)/H149</f>
        <v>-0.00687779910428663</v>
      </c>
    </row>
    <row r="151" ht="13.65" customHeight="1">
      <c r="A151" s="12">
        <v>44504</v>
      </c>
      <c r="B151" t="s" s="13">
        <v>22</v>
      </c>
      <c r="C151" s="14">
        <v>2492.95</v>
      </c>
      <c r="D151" s="14">
        <v>2504.9</v>
      </c>
      <c r="E151" s="14">
        <v>2490</v>
      </c>
      <c r="F151" s="14">
        <v>2483.6</v>
      </c>
      <c r="G151" s="14">
        <v>2503</v>
      </c>
      <c r="H151" s="14">
        <v>2498.85</v>
      </c>
      <c r="I151" s="14">
        <v>2497.33</v>
      </c>
      <c r="J151" s="14">
        <v>2751.35</v>
      </c>
      <c r="K151" s="14">
        <v>1830</v>
      </c>
      <c r="L151" s="15">
        <v>787160</v>
      </c>
      <c r="M151" t="s" s="13">
        <v>170</v>
      </c>
      <c r="N151" s="15">
        <v>63285</v>
      </c>
      <c r="O151" s="17" cm="1">
        <f t="array" ref="O151">(H151-H150)/H150</f>
        <v>0.00614028023836367</v>
      </c>
    </row>
    <row r="152" ht="13.65" customHeight="1">
      <c r="A152" s="12">
        <v>44508</v>
      </c>
      <c r="B152" t="s" s="13">
        <v>22</v>
      </c>
      <c r="C152" s="14">
        <v>2519.4</v>
      </c>
      <c r="D152" s="14">
        <v>2520</v>
      </c>
      <c r="E152" s="14">
        <v>2456.4</v>
      </c>
      <c r="F152" s="14">
        <v>2498.85</v>
      </c>
      <c r="G152" s="14">
        <v>2502.9</v>
      </c>
      <c r="H152" s="14">
        <v>2501.95</v>
      </c>
      <c r="I152" s="14">
        <v>2483.27</v>
      </c>
      <c r="J152" s="14">
        <v>2751.35</v>
      </c>
      <c r="K152" s="14">
        <v>1830</v>
      </c>
      <c r="L152" s="15">
        <v>9385607</v>
      </c>
      <c r="M152" t="s" s="13">
        <v>171</v>
      </c>
      <c r="N152" s="15">
        <v>456493</v>
      </c>
      <c r="O152" s="17" cm="1">
        <f t="array" ref="O152">(H152-H151)/H151</f>
        <v>0.00124057066250475</v>
      </c>
    </row>
    <row r="153" ht="13.65" customHeight="1">
      <c r="A153" s="12">
        <v>44509</v>
      </c>
      <c r="B153" t="s" s="13">
        <v>22</v>
      </c>
      <c r="C153" s="14">
        <v>2505</v>
      </c>
      <c r="D153" s="14">
        <v>2528.9</v>
      </c>
      <c r="E153" s="14">
        <v>2487.05</v>
      </c>
      <c r="F153" s="14">
        <v>2501.95</v>
      </c>
      <c r="G153" s="14">
        <v>2528.6</v>
      </c>
      <c r="H153" s="14">
        <v>2521.7</v>
      </c>
      <c r="I153" s="14">
        <v>2508.11</v>
      </c>
      <c r="J153" s="14">
        <v>2751.35</v>
      </c>
      <c r="K153" s="14">
        <v>1830</v>
      </c>
      <c r="L153" s="15">
        <v>7237470</v>
      </c>
      <c r="M153" t="s" s="13">
        <v>172</v>
      </c>
      <c r="N153" s="15">
        <v>205289</v>
      </c>
      <c r="O153" s="17" cm="1">
        <f t="array" ref="O153">(H153-H152)/H152</f>
        <v>0.00789384280261396</v>
      </c>
    </row>
    <row r="154" ht="13.65" customHeight="1">
      <c r="A154" s="18">
        <v>44510</v>
      </c>
      <c r="B154" t="s" s="13">
        <v>22</v>
      </c>
      <c r="C154" s="14">
        <v>2516.7</v>
      </c>
      <c r="D154" s="14">
        <v>2558</v>
      </c>
      <c r="E154" s="14">
        <v>2503.65</v>
      </c>
      <c r="F154" s="14">
        <v>2521.7</v>
      </c>
      <c r="G154" s="14">
        <v>2546.45</v>
      </c>
      <c r="H154" s="14">
        <v>2549.9</v>
      </c>
      <c r="I154" s="14">
        <v>2538.63</v>
      </c>
      <c r="J154" s="14">
        <v>2751.35</v>
      </c>
      <c r="K154" s="14">
        <v>1830</v>
      </c>
      <c r="L154" s="15">
        <v>4731975</v>
      </c>
      <c r="M154" t="s" s="13">
        <v>173</v>
      </c>
      <c r="N154" s="15">
        <v>168600</v>
      </c>
      <c r="O154" s="17" cm="1">
        <f t="array" ref="O154">(H154-H153)/H153</f>
        <v>0.0111829321489471</v>
      </c>
    </row>
    <row r="155" ht="13.65" customHeight="1">
      <c r="A155" s="18">
        <v>44511</v>
      </c>
      <c r="B155" t="s" s="13">
        <v>22</v>
      </c>
      <c r="C155" s="14">
        <v>2540.05</v>
      </c>
      <c r="D155" s="14">
        <v>2570.5</v>
      </c>
      <c r="E155" s="14">
        <v>2535.55</v>
      </c>
      <c r="F155" s="14">
        <v>2549.9</v>
      </c>
      <c r="G155" s="14">
        <v>2556</v>
      </c>
      <c r="H155" s="14">
        <v>2554.55</v>
      </c>
      <c r="I155" s="14">
        <v>2551.89</v>
      </c>
      <c r="J155" s="14">
        <v>2751.35</v>
      </c>
      <c r="K155" s="14">
        <v>1830</v>
      </c>
      <c r="L155" s="15">
        <v>4948422</v>
      </c>
      <c r="M155" t="s" s="13">
        <v>174</v>
      </c>
      <c r="N155" s="15">
        <v>216865</v>
      </c>
      <c r="O155" s="17" cm="1">
        <f t="array" ref="O155">(H155-H154)/H154</f>
        <v>0.00182360092552649</v>
      </c>
    </row>
    <row r="156" ht="13.65" customHeight="1">
      <c r="A156" s="18">
        <v>44512</v>
      </c>
      <c r="B156" t="s" s="13">
        <v>22</v>
      </c>
      <c r="C156" s="14">
        <v>2562.9</v>
      </c>
      <c r="D156" s="14">
        <v>2598.75</v>
      </c>
      <c r="E156" s="14">
        <v>2557</v>
      </c>
      <c r="F156" s="14">
        <v>2554.55</v>
      </c>
      <c r="G156" s="14">
        <v>2588</v>
      </c>
      <c r="H156" s="14">
        <v>2593.1</v>
      </c>
      <c r="I156" s="14">
        <v>2582.61</v>
      </c>
      <c r="J156" s="14">
        <v>2751.35</v>
      </c>
      <c r="K156" s="14">
        <v>1830</v>
      </c>
      <c r="L156" s="15">
        <v>4020744</v>
      </c>
      <c r="M156" t="s" s="13">
        <v>175</v>
      </c>
      <c r="N156" s="15">
        <v>149602</v>
      </c>
      <c r="O156" s="17" cm="1">
        <f t="array" ref="O156">(H156-H155)/H155</f>
        <v>0.0150907204791451</v>
      </c>
    </row>
    <row r="157" ht="13.65" customHeight="1">
      <c r="A157" s="18">
        <v>44515</v>
      </c>
      <c r="B157" t="s" s="13">
        <v>22</v>
      </c>
      <c r="C157" s="14">
        <v>2600</v>
      </c>
      <c r="D157" s="14">
        <v>2602.2</v>
      </c>
      <c r="E157" s="14">
        <v>2570</v>
      </c>
      <c r="F157" s="14">
        <v>2593.1</v>
      </c>
      <c r="G157" s="14">
        <v>2574.5</v>
      </c>
      <c r="H157" s="14">
        <v>2577.8</v>
      </c>
      <c r="I157" s="14">
        <v>2581.57</v>
      </c>
      <c r="J157" s="14">
        <v>2751.35</v>
      </c>
      <c r="K157" s="14">
        <v>1830</v>
      </c>
      <c r="L157" s="15">
        <v>2216708</v>
      </c>
      <c r="M157" t="s" s="13">
        <v>176</v>
      </c>
      <c r="N157" s="15">
        <v>107475</v>
      </c>
      <c r="O157" s="17" cm="1">
        <f t="array" ref="O157">(H157-H156)/H156</f>
        <v>-0.00590027380355559</v>
      </c>
    </row>
    <row r="158" ht="13.65" customHeight="1">
      <c r="A158" s="18">
        <v>44516</v>
      </c>
      <c r="B158" t="s" s="13">
        <v>22</v>
      </c>
      <c r="C158" s="14">
        <v>2572.05</v>
      </c>
      <c r="D158" s="14">
        <v>2575</v>
      </c>
      <c r="E158" s="14">
        <v>2495</v>
      </c>
      <c r="F158" s="14">
        <v>2577.8</v>
      </c>
      <c r="G158" s="14">
        <v>2497.25</v>
      </c>
      <c r="H158" s="14">
        <v>2517.9</v>
      </c>
      <c r="I158" s="14">
        <v>2536.01</v>
      </c>
      <c r="J158" s="14">
        <v>2751.35</v>
      </c>
      <c r="K158" s="14">
        <v>1830</v>
      </c>
      <c r="L158" s="15">
        <v>5232292</v>
      </c>
      <c r="M158" t="s" s="13">
        <v>177</v>
      </c>
      <c r="N158" s="15">
        <v>209557</v>
      </c>
      <c r="O158" s="17" cm="1">
        <f t="array" ref="O158">(H158-H157)/H157</f>
        <v>-0.0232368686476841</v>
      </c>
    </row>
    <row r="159" ht="13.65" customHeight="1">
      <c r="A159" s="18">
        <v>44517</v>
      </c>
      <c r="B159" t="s" s="13">
        <v>22</v>
      </c>
      <c r="C159" s="14">
        <v>2498.95</v>
      </c>
      <c r="D159" s="14">
        <v>2498.95</v>
      </c>
      <c r="E159" s="14">
        <v>2461</v>
      </c>
      <c r="F159" s="14">
        <v>2517.9</v>
      </c>
      <c r="G159" s="14">
        <v>2462.8</v>
      </c>
      <c r="H159" s="14">
        <v>2464</v>
      </c>
      <c r="I159" s="14">
        <v>2479.92</v>
      </c>
      <c r="J159" s="14">
        <v>2751.35</v>
      </c>
      <c r="K159" s="14">
        <v>1830</v>
      </c>
      <c r="L159" s="15">
        <v>4708235</v>
      </c>
      <c r="M159" t="s" s="13">
        <v>178</v>
      </c>
      <c r="N159" s="15">
        <v>240722</v>
      </c>
      <c r="O159" s="17" cm="1">
        <f t="array" ref="O159">(H159-H158)/H158</f>
        <v>-0.0214067278287462</v>
      </c>
    </row>
    <row r="160" ht="13.65" customHeight="1">
      <c r="A160" s="18">
        <v>44518</v>
      </c>
      <c r="B160" t="s" s="13">
        <v>22</v>
      </c>
      <c r="C160" s="14">
        <v>2460</v>
      </c>
      <c r="D160" s="14">
        <v>2489</v>
      </c>
      <c r="E160" s="14">
        <v>2450.05</v>
      </c>
      <c r="F160" s="14">
        <v>2464</v>
      </c>
      <c r="G160" s="14">
        <v>2473</v>
      </c>
      <c r="H160" s="14">
        <v>2473.3</v>
      </c>
      <c r="I160" s="14">
        <v>2467.65</v>
      </c>
      <c r="J160" s="14">
        <v>2751.35</v>
      </c>
      <c r="K160" s="14">
        <v>1830</v>
      </c>
      <c r="L160" s="15">
        <v>3925345</v>
      </c>
      <c r="M160" t="s" s="13">
        <v>179</v>
      </c>
      <c r="N160" s="15">
        <v>218820</v>
      </c>
      <c r="O160" s="17" cm="1">
        <f t="array" ref="O160">(H160-H159)/H159</f>
        <v>0.00377435064935065</v>
      </c>
    </row>
    <row r="161" ht="13.65" customHeight="1">
      <c r="A161" s="18">
        <v>44522</v>
      </c>
      <c r="B161" t="s" s="13">
        <v>22</v>
      </c>
      <c r="C161" s="14">
        <v>2436.1</v>
      </c>
      <c r="D161" s="14">
        <v>2449</v>
      </c>
      <c r="E161" s="14">
        <v>2351</v>
      </c>
      <c r="F161" s="14">
        <v>2473.3</v>
      </c>
      <c r="G161" s="14">
        <v>2365.65</v>
      </c>
      <c r="H161" s="14">
        <v>2363.75</v>
      </c>
      <c r="I161" s="14">
        <v>2380.24</v>
      </c>
      <c r="J161" s="14">
        <v>2751.35</v>
      </c>
      <c r="K161" s="14">
        <v>1830</v>
      </c>
      <c r="L161" s="15">
        <v>11133364</v>
      </c>
      <c r="M161" t="s" s="13">
        <v>180</v>
      </c>
      <c r="N161" s="15">
        <v>469744</v>
      </c>
      <c r="O161" s="17" cm="1">
        <f t="array" ref="O161">(H161-H160)/H160</f>
        <v>-0.0442930497715603</v>
      </c>
    </row>
    <row r="162" ht="13.65" customHeight="1">
      <c r="A162" s="18">
        <v>44523</v>
      </c>
      <c r="B162" t="s" s="13">
        <v>22</v>
      </c>
      <c r="C162" s="14">
        <v>2333.05</v>
      </c>
      <c r="D162" s="14">
        <v>2401.25</v>
      </c>
      <c r="E162" s="14">
        <v>2309</v>
      </c>
      <c r="F162" s="14">
        <v>2363.75</v>
      </c>
      <c r="G162" s="14">
        <v>2389.95</v>
      </c>
      <c r="H162" s="14">
        <v>2385.85</v>
      </c>
      <c r="I162" s="14">
        <v>2362.47</v>
      </c>
      <c r="J162" s="14">
        <v>2751.35</v>
      </c>
      <c r="K162" s="14">
        <v>1830</v>
      </c>
      <c r="L162" s="15">
        <v>11688406</v>
      </c>
      <c r="M162" t="s" s="13">
        <v>181</v>
      </c>
      <c r="N162" s="15">
        <v>393864</v>
      </c>
      <c r="O162" s="17" cm="1">
        <f t="array" ref="O162">(H162-H161)/H161</f>
        <v>0.00934955050237969</v>
      </c>
    </row>
    <row r="163" ht="13.65" customHeight="1">
      <c r="A163" s="18">
        <v>44524</v>
      </c>
      <c r="B163" t="s" s="13">
        <v>22</v>
      </c>
      <c r="C163" s="14">
        <v>2380</v>
      </c>
      <c r="D163" s="14">
        <v>2409.9</v>
      </c>
      <c r="E163" s="14">
        <v>2343.55</v>
      </c>
      <c r="F163" s="14">
        <v>2385.85</v>
      </c>
      <c r="G163" s="14">
        <v>2343.55</v>
      </c>
      <c r="H163" s="14">
        <v>2351.4</v>
      </c>
      <c r="I163" s="14">
        <v>2376.12</v>
      </c>
      <c r="J163" s="14">
        <v>2751.35</v>
      </c>
      <c r="K163" s="14">
        <v>1830</v>
      </c>
      <c r="L163" s="15">
        <v>7762564</v>
      </c>
      <c r="M163" t="s" s="13">
        <v>182</v>
      </c>
      <c r="N163" s="15">
        <v>291051</v>
      </c>
      <c r="O163" s="17" cm="1">
        <f t="array" ref="O163">(H163-H162)/H162</f>
        <v>-0.0144392983632668</v>
      </c>
    </row>
    <row r="164" ht="13.65" customHeight="1">
      <c r="A164" s="18">
        <v>44525</v>
      </c>
      <c r="B164" t="s" s="13">
        <v>22</v>
      </c>
      <c r="C164" s="14">
        <v>2373</v>
      </c>
      <c r="D164" s="14">
        <v>2502</v>
      </c>
      <c r="E164" s="14">
        <v>2357.15</v>
      </c>
      <c r="F164" s="14">
        <v>2351.4</v>
      </c>
      <c r="G164" s="14">
        <v>2501</v>
      </c>
      <c r="H164" s="14">
        <v>2492.95</v>
      </c>
      <c r="I164" s="14">
        <v>2452.67</v>
      </c>
      <c r="J164" s="14">
        <v>2751.35</v>
      </c>
      <c r="K164" s="14">
        <v>1830</v>
      </c>
      <c r="L164" s="15">
        <v>19568487</v>
      </c>
      <c r="M164" t="s" s="13">
        <v>183</v>
      </c>
      <c r="N164" s="15">
        <v>497536</v>
      </c>
      <c r="O164" s="17" cm="1">
        <f t="array" ref="O164">(H164-H163)/H163</f>
        <v>0.0601981798077741</v>
      </c>
    </row>
    <row r="165" ht="13.65" customHeight="1">
      <c r="A165" s="18">
        <v>44526</v>
      </c>
      <c r="B165" t="s" s="13">
        <v>22</v>
      </c>
      <c r="C165" s="14">
        <v>2467.8</v>
      </c>
      <c r="D165" s="14">
        <v>2477.6</v>
      </c>
      <c r="E165" s="14">
        <v>2401.5</v>
      </c>
      <c r="F165" s="14">
        <v>2492.95</v>
      </c>
      <c r="G165" s="14">
        <v>2405.1</v>
      </c>
      <c r="H165" s="14">
        <v>2412.6</v>
      </c>
      <c r="I165" s="14">
        <v>2433.36</v>
      </c>
      <c r="J165" s="14">
        <v>2751.35</v>
      </c>
      <c r="K165" s="14">
        <v>1830</v>
      </c>
      <c r="L165" s="15">
        <v>7274686</v>
      </c>
      <c r="M165" t="s" s="13">
        <v>184</v>
      </c>
      <c r="N165" s="15">
        <v>306992</v>
      </c>
      <c r="O165" s="17" cm="1">
        <f t="array" ref="O165">(H165-H164)/H164</f>
        <v>-0.0322308911129385</v>
      </c>
    </row>
    <row r="166" ht="13.65" customHeight="1">
      <c r="A166" s="18">
        <v>44529</v>
      </c>
      <c r="B166" t="s" s="13">
        <v>22</v>
      </c>
      <c r="C166" s="14">
        <v>2439.1</v>
      </c>
      <c r="D166" s="14">
        <v>2500</v>
      </c>
      <c r="E166" s="14">
        <v>2399.1</v>
      </c>
      <c r="F166" s="14">
        <v>2412.6</v>
      </c>
      <c r="G166" s="14">
        <v>2437.7</v>
      </c>
      <c r="H166" s="14">
        <v>2441.5</v>
      </c>
      <c r="I166" s="14">
        <v>2464.2</v>
      </c>
      <c r="J166" s="14">
        <v>2751.35</v>
      </c>
      <c r="K166" s="14">
        <v>1830</v>
      </c>
      <c r="L166" s="15">
        <v>11226147</v>
      </c>
      <c r="M166" t="s" s="13">
        <v>185</v>
      </c>
      <c r="N166" s="15">
        <v>375905</v>
      </c>
      <c r="O166" s="17" cm="1">
        <f t="array" ref="O166">(H166-H165)/H165</f>
        <v>0.0119787780817375</v>
      </c>
    </row>
    <row r="167" ht="13.65" customHeight="1">
      <c r="A167" s="18">
        <v>44530</v>
      </c>
      <c r="B167" t="s" s="13">
        <v>22</v>
      </c>
      <c r="C167" s="14">
        <v>2468</v>
      </c>
      <c r="D167" s="14">
        <v>2475.9</v>
      </c>
      <c r="E167" s="14">
        <v>2388.85</v>
      </c>
      <c r="F167" s="14">
        <v>2441.5</v>
      </c>
      <c r="G167" s="14">
        <v>2401.2</v>
      </c>
      <c r="H167" s="14">
        <v>2405.4</v>
      </c>
      <c r="I167" s="14">
        <v>2424.91</v>
      </c>
      <c r="J167" s="14">
        <v>2751.35</v>
      </c>
      <c r="K167" s="14">
        <v>1830</v>
      </c>
      <c r="L167" s="15">
        <v>14847511</v>
      </c>
      <c r="M167" t="s" s="13">
        <v>186</v>
      </c>
      <c r="N167" s="15">
        <v>381257</v>
      </c>
      <c r="O167" s="17" cm="1">
        <f t="array" ref="O167">(H167-H166)/H166</f>
        <v>-0.0147859922178988</v>
      </c>
    </row>
    <row r="168" ht="13.65" customHeight="1">
      <c r="A168" s="12">
        <v>44531</v>
      </c>
      <c r="B168" t="s" s="13">
        <v>22</v>
      </c>
      <c r="C168" s="14">
        <v>2433</v>
      </c>
      <c r="D168" s="14">
        <v>2474</v>
      </c>
      <c r="E168" s="14">
        <v>2425.1</v>
      </c>
      <c r="F168" s="14">
        <v>2405.4</v>
      </c>
      <c r="G168" s="14">
        <v>2467.75</v>
      </c>
      <c r="H168" s="14">
        <v>2467</v>
      </c>
      <c r="I168" s="14">
        <v>2449.6</v>
      </c>
      <c r="J168" s="14">
        <v>2751.35</v>
      </c>
      <c r="K168" s="14">
        <v>1830</v>
      </c>
      <c r="L168" s="15">
        <v>4663276</v>
      </c>
      <c r="M168" t="s" s="13">
        <v>187</v>
      </c>
      <c r="N168" s="15">
        <v>202787</v>
      </c>
      <c r="O168" s="17" cm="1">
        <f t="array" ref="O168">(H168-H167)/H167</f>
        <v>0.0256090463124636</v>
      </c>
    </row>
    <row r="169" ht="13.65" customHeight="1">
      <c r="A169" s="12">
        <v>44532</v>
      </c>
      <c r="B169" t="s" s="13">
        <v>22</v>
      </c>
      <c r="C169" s="14">
        <v>2469.7</v>
      </c>
      <c r="D169" s="14">
        <v>2496.2</v>
      </c>
      <c r="E169" s="14">
        <v>2461.6</v>
      </c>
      <c r="F169" s="14">
        <v>2467</v>
      </c>
      <c r="G169" s="14">
        <v>2481.95</v>
      </c>
      <c r="H169" s="14">
        <v>2482.85</v>
      </c>
      <c r="I169" s="14">
        <v>2482.51</v>
      </c>
      <c r="J169" s="14">
        <v>2751.35</v>
      </c>
      <c r="K169" s="14">
        <v>1830</v>
      </c>
      <c r="L169" s="15">
        <v>5870468</v>
      </c>
      <c r="M169" t="s" s="13">
        <v>188</v>
      </c>
      <c r="N169" s="15">
        <v>248052</v>
      </c>
      <c r="O169" s="17" cm="1">
        <f t="array" ref="O169">(H169-H168)/H168</f>
        <v>0.00642480745845156</v>
      </c>
    </row>
    <row r="170" ht="13.65" customHeight="1">
      <c r="A170" s="12">
        <v>44533</v>
      </c>
      <c r="B170" t="s" s="13">
        <v>22</v>
      </c>
      <c r="C170" s="14">
        <v>2498.4</v>
      </c>
      <c r="D170" s="14">
        <v>2498.5</v>
      </c>
      <c r="E170" s="14">
        <v>2400</v>
      </c>
      <c r="F170" s="14">
        <v>2482.85</v>
      </c>
      <c r="G170" s="14">
        <v>2413.15</v>
      </c>
      <c r="H170" s="14">
        <v>2408.25</v>
      </c>
      <c r="I170" s="14">
        <v>2436.1</v>
      </c>
      <c r="J170" s="14">
        <v>2751.35</v>
      </c>
      <c r="K170" s="14">
        <v>1830</v>
      </c>
      <c r="L170" s="15">
        <v>8871172</v>
      </c>
      <c r="M170" t="s" s="13">
        <v>189</v>
      </c>
      <c r="N170" s="15">
        <v>283259</v>
      </c>
      <c r="O170" s="17" cm="1">
        <f t="array" ref="O170">(H170-H169)/H169</f>
        <v>-0.0300461163582174</v>
      </c>
    </row>
    <row r="171" ht="13.65" customHeight="1">
      <c r="A171" s="12">
        <v>44536</v>
      </c>
      <c r="B171" t="s" s="13">
        <v>22</v>
      </c>
      <c r="C171" s="14">
        <v>2416</v>
      </c>
      <c r="D171" s="14">
        <v>2425</v>
      </c>
      <c r="E171" s="14">
        <v>2357.15</v>
      </c>
      <c r="F171" s="14">
        <v>2408.25</v>
      </c>
      <c r="G171" s="14">
        <v>2365.95</v>
      </c>
      <c r="H171" s="14">
        <v>2362.6</v>
      </c>
      <c r="I171" s="14">
        <v>2388.06</v>
      </c>
      <c r="J171" s="14">
        <v>2751.35</v>
      </c>
      <c r="K171" s="14">
        <v>1830</v>
      </c>
      <c r="L171" s="15">
        <v>4768334</v>
      </c>
      <c r="M171" t="s" s="13">
        <v>190</v>
      </c>
      <c r="N171" s="15">
        <v>210176</v>
      </c>
      <c r="O171" s="17" cm="1">
        <f t="array" ref="O171">(H171-H170)/H170</f>
        <v>-0.0189556732066854</v>
      </c>
    </row>
    <row r="172" ht="13.65" customHeight="1">
      <c r="A172" s="12">
        <v>44537</v>
      </c>
      <c r="B172" t="s" s="13">
        <v>22</v>
      </c>
      <c r="C172" s="14">
        <v>2376.15</v>
      </c>
      <c r="D172" s="14">
        <v>2404</v>
      </c>
      <c r="E172" s="14">
        <v>2360</v>
      </c>
      <c r="F172" s="14">
        <v>2362.6</v>
      </c>
      <c r="G172" s="14">
        <v>2382</v>
      </c>
      <c r="H172" s="14">
        <v>2381.85</v>
      </c>
      <c r="I172" s="14">
        <v>2387.87</v>
      </c>
      <c r="J172" s="14">
        <v>2751.35</v>
      </c>
      <c r="K172" s="14">
        <v>1830</v>
      </c>
      <c r="L172" s="15">
        <v>5185007</v>
      </c>
      <c r="M172" t="s" s="13">
        <v>191</v>
      </c>
      <c r="N172" s="15">
        <v>233720</v>
      </c>
      <c r="O172" s="17" cm="1">
        <f t="array" ref="O172">(H172-H171)/H171</f>
        <v>0.008147803267586559</v>
      </c>
    </row>
    <row r="173" ht="13.65" customHeight="1">
      <c r="A173" s="12">
        <v>44538</v>
      </c>
      <c r="B173" t="s" s="13">
        <v>22</v>
      </c>
      <c r="C173" s="14">
        <v>2424.1</v>
      </c>
      <c r="D173" s="14">
        <v>2431.8</v>
      </c>
      <c r="E173" s="14">
        <v>2406.3</v>
      </c>
      <c r="F173" s="14">
        <v>2381.85</v>
      </c>
      <c r="G173" s="14">
        <v>2420.95</v>
      </c>
      <c r="H173" s="14">
        <v>2418.1</v>
      </c>
      <c r="I173" s="14">
        <v>2418.81</v>
      </c>
      <c r="J173" s="14">
        <v>2751.35</v>
      </c>
      <c r="K173" s="14">
        <v>1830</v>
      </c>
      <c r="L173" s="15">
        <v>4035437</v>
      </c>
      <c r="M173" t="s" s="13">
        <v>192</v>
      </c>
      <c r="N173" s="15">
        <v>175071</v>
      </c>
      <c r="O173" s="17" cm="1">
        <f t="array" ref="O173">(H173-H172)/H172</f>
        <v>0.0152192623380985</v>
      </c>
    </row>
    <row r="174" ht="13.65" customHeight="1">
      <c r="A174" s="12">
        <v>44539</v>
      </c>
      <c r="B174" t="s" s="13">
        <v>22</v>
      </c>
      <c r="C174" s="14">
        <v>2435</v>
      </c>
      <c r="D174" s="14">
        <v>2474.9</v>
      </c>
      <c r="E174" s="14">
        <v>2425</v>
      </c>
      <c r="F174" s="14">
        <v>2418.1</v>
      </c>
      <c r="G174" s="14">
        <v>2453</v>
      </c>
      <c r="H174" s="14">
        <v>2456.45</v>
      </c>
      <c r="I174" s="14">
        <v>2453.15</v>
      </c>
      <c r="J174" s="14">
        <v>2751.35</v>
      </c>
      <c r="K174" s="14">
        <v>1830</v>
      </c>
      <c r="L174" s="15">
        <v>6098050</v>
      </c>
      <c r="M174" t="s" s="13">
        <v>193</v>
      </c>
      <c r="N174" s="15">
        <v>248350</v>
      </c>
      <c r="O174" s="17" cm="1">
        <f t="array" ref="O174">(H174-H173)/H173</f>
        <v>0.0158595591580166</v>
      </c>
    </row>
    <row r="175" ht="13.65" customHeight="1">
      <c r="A175" s="18">
        <v>44540</v>
      </c>
      <c r="B175" t="s" s="13">
        <v>22</v>
      </c>
      <c r="C175" s="14">
        <v>2440.25</v>
      </c>
      <c r="D175" s="14">
        <v>2466</v>
      </c>
      <c r="E175" s="14">
        <v>2430.35</v>
      </c>
      <c r="F175" s="14">
        <v>2456.45</v>
      </c>
      <c r="G175" s="14">
        <v>2457.25</v>
      </c>
      <c r="H175" s="14">
        <v>2458.95</v>
      </c>
      <c r="I175" s="14">
        <v>2443.62</v>
      </c>
      <c r="J175" s="14">
        <v>2751.35</v>
      </c>
      <c r="K175" s="14">
        <v>1830</v>
      </c>
      <c r="L175" s="15">
        <v>3860176</v>
      </c>
      <c r="M175" t="s" s="13">
        <v>194</v>
      </c>
      <c r="N175" s="15">
        <v>177038</v>
      </c>
      <c r="O175" s="17" cm="1">
        <f t="array" ref="O175">(H175-H174)/H174</f>
        <v>0.00101772883632885</v>
      </c>
    </row>
    <row r="176" ht="13.65" customHeight="1">
      <c r="A176" s="18">
        <v>44543</v>
      </c>
      <c r="B176" t="s" s="13">
        <v>22</v>
      </c>
      <c r="C176" s="14">
        <v>2473.5</v>
      </c>
      <c r="D176" s="14">
        <v>2474.1</v>
      </c>
      <c r="E176" s="14">
        <v>2404</v>
      </c>
      <c r="F176" s="14">
        <v>2458.95</v>
      </c>
      <c r="G176" s="14">
        <v>2411.45</v>
      </c>
      <c r="H176" s="14">
        <v>2409.65</v>
      </c>
      <c r="I176" s="14">
        <v>2425.3</v>
      </c>
      <c r="J176" s="14">
        <v>2751.35</v>
      </c>
      <c r="K176" s="14">
        <v>1830</v>
      </c>
      <c r="L176" s="15">
        <v>5954148</v>
      </c>
      <c r="M176" t="s" s="13">
        <v>195</v>
      </c>
      <c r="N176" s="15">
        <v>240510</v>
      </c>
      <c r="O176" s="17" cm="1">
        <f t="array" ref="O176">(H176-H175)/H175</f>
        <v>-0.0200492079952825</v>
      </c>
    </row>
    <row r="177" ht="13.65" customHeight="1">
      <c r="A177" s="18">
        <v>44544</v>
      </c>
      <c r="B177" t="s" s="13">
        <v>22</v>
      </c>
      <c r="C177" s="14">
        <v>2380</v>
      </c>
      <c r="D177" s="14">
        <v>2406</v>
      </c>
      <c r="E177" s="14">
        <v>2373.4</v>
      </c>
      <c r="F177" s="14">
        <v>2409.65</v>
      </c>
      <c r="G177" s="14">
        <v>2382.5</v>
      </c>
      <c r="H177" s="14">
        <v>2380.15</v>
      </c>
      <c r="I177" s="14">
        <v>2386.78</v>
      </c>
      <c r="J177" s="14">
        <v>2751.35</v>
      </c>
      <c r="K177" s="14">
        <v>1830</v>
      </c>
      <c r="L177" s="15">
        <v>5995586</v>
      </c>
      <c r="M177" t="s" s="13">
        <v>196</v>
      </c>
      <c r="N177" s="15">
        <v>248926</v>
      </c>
      <c r="O177" s="17" cm="1">
        <f t="array" ref="O177">(H177-H176)/H176</f>
        <v>-0.0122424418484012</v>
      </c>
    </row>
    <row r="178" ht="13.65" customHeight="1">
      <c r="A178" s="18">
        <v>44545</v>
      </c>
      <c r="B178" t="s" s="13">
        <v>22</v>
      </c>
      <c r="C178" s="14">
        <v>2384</v>
      </c>
      <c r="D178" s="14">
        <v>2405</v>
      </c>
      <c r="E178" s="14">
        <v>2361.1</v>
      </c>
      <c r="F178" s="14">
        <v>2380.15</v>
      </c>
      <c r="G178" s="14">
        <v>2369.9</v>
      </c>
      <c r="H178" s="14">
        <v>2373.2</v>
      </c>
      <c r="I178" s="14">
        <v>2379.84</v>
      </c>
      <c r="J178" s="14">
        <v>2751.35</v>
      </c>
      <c r="K178" s="14">
        <v>1830</v>
      </c>
      <c r="L178" s="15">
        <v>4322855</v>
      </c>
      <c r="M178" t="s" s="13">
        <v>197</v>
      </c>
      <c r="N178" s="15">
        <v>199178</v>
      </c>
      <c r="O178" s="17" cm="1">
        <f t="array" ref="O178">(H178-H177)/H177</f>
        <v>-0.00291998403461967</v>
      </c>
    </row>
    <row r="179" ht="13.65" customHeight="1">
      <c r="A179" s="18">
        <v>44546</v>
      </c>
      <c r="B179" t="s" s="13">
        <v>22</v>
      </c>
      <c r="C179" s="14">
        <v>2405.7</v>
      </c>
      <c r="D179" s="14">
        <v>2415.5</v>
      </c>
      <c r="E179" s="14">
        <v>2368.65</v>
      </c>
      <c r="F179" s="14">
        <v>2373.2</v>
      </c>
      <c r="G179" s="14">
        <v>2413.95</v>
      </c>
      <c r="H179" s="14">
        <v>2403.9</v>
      </c>
      <c r="I179" s="14">
        <v>2392.29</v>
      </c>
      <c r="J179" s="14">
        <v>2751.35</v>
      </c>
      <c r="K179" s="14">
        <v>1830</v>
      </c>
      <c r="L179" s="15">
        <v>4504829</v>
      </c>
      <c r="M179" t="s" s="13">
        <v>198</v>
      </c>
      <c r="N179" s="15">
        <v>187830</v>
      </c>
      <c r="O179" s="17" cm="1">
        <f t="array" ref="O179">(H179-H178)/H178</f>
        <v>0.012936120006742</v>
      </c>
    </row>
    <row r="180" ht="13.65" customHeight="1">
      <c r="A180" s="18">
        <v>44547</v>
      </c>
      <c r="B180" t="s" s="13">
        <v>22</v>
      </c>
      <c r="C180" s="14">
        <v>2398.05</v>
      </c>
      <c r="D180" s="14">
        <v>2408</v>
      </c>
      <c r="E180" s="14">
        <v>2320</v>
      </c>
      <c r="F180" s="14">
        <v>2403.9</v>
      </c>
      <c r="G180" s="14">
        <v>2343.4</v>
      </c>
      <c r="H180" s="14">
        <v>2340.45</v>
      </c>
      <c r="I180" s="14">
        <v>2346.72</v>
      </c>
      <c r="J180" s="14">
        <v>2751.35</v>
      </c>
      <c r="K180" s="14">
        <v>1830</v>
      </c>
      <c r="L180" s="15">
        <v>9714489</v>
      </c>
      <c r="M180" t="s" s="13">
        <v>199</v>
      </c>
      <c r="N180" s="15">
        <v>301459</v>
      </c>
      <c r="O180" s="17" cm="1">
        <f t="array" ref="O180">(H180-H179)/H179</f>
        <v>-0.0263946087607638</v>
      </c>
    </row>
    <row r="181" ht="13.65" customHeight="1">
      <c r="A181" s="18">
        <v>44550</v>
      </c>
      <c r="B181" t="s" s="13">
        <v>22</v>
      </c>
      <c r="C181" s="14">
        <v>2317.85</v>
      </c>
      <c r="D181" s="14">
        <v>2317.85</v>
      </c>
      <c r="E181" s="14">
        <v>2247.1</v>
      </c>
      <c r="F181" s="14">
        <v>2340.45</v>
      </c>
      <c r="G181" s="14">
        <v>2276.8</v>
      </c>
      <c r="H181" s="14">
        <v>2277.35</v>
      </c>
      <c r="I181" s="14">
        <v>2277.67</v>
      </c>
      <c r="J181" s="14">
        <v>2751.35</v>
      </c>
      <c r="K181" s="14">
        <v>1830</v>
      </c>
      <c r="L181" s="15">
        <v>6611376</v>
      </c>
      <c r="M181" t="s" s="13">
        <v>200</v>
      </c>
      <c r="N181" s="15">
        <v>331211</v>
      </c>
      <c r="O181" s="17" cm="1">
        <f t="array" ref="O181">(H181-H180)/H180</f>
        <v>-0.0269606272298062</v>
      </c>
    </row>
    <row r="182" ht="13.65" customHeight="1">
      <c r="A182" s="18">
        <v>44551</v>
      </c>
      <c r="B182" t="s" s="13">
        <v>22</v>
      </c>
      <c r="C182" s="14">
        <v>2311.35</v>
      </c>
      <c r="D182" s="14">
        <v>2346</v>
      </c>
      <c r="E182" s="14">
        <v>2292.2</v>
      </c>
      <c r="F182" s="14">
        <v>2277.35</v>
      </c>
      <c r="G182" s="14">
        <v>2313</v>
      </c>
      <c r="H182" s="14">
        <v>2311.25</v>
      </c>
      <c r="I182" s="14">
        <v>2317.69</v>
      </c>
      <c r="J182" s="14">
        <v>2751.35</v>
      </c>
      <c r="K182" s="14">
        <v>1830</v>
      </c>
      <c r="L182" s="15">
        <v>5924071</v>
      </c>
      <c r="M182" t="s" s="13">
        <v>201</v>
      </c>
      <c r="N182" s="15">
        <v>241858</v>
      </c>
      <c r="O182" s="17" cm="1">
        <f t="array" ref="O182">(H182-H181)/H181</f>
        <v>0.0148857224405559</v>
      </c>
    </row>
    <row r="183" ht="13.65" customHeight="1">
      <c r="A183" s="18">
        <v>44552</v>
      </c>
      <c r="B183" t="s" s="13">
        <v>22</v>
      </c>
      <c r="C183" s="14">
        <v>2324.9</v>
      </c>
      <c r="D183" s="14">
        <v>2371.9</v>
      </c>
      <c r="E183" s="14">
        <v>2322</v>
      </c>
      <c r="F183" s="14">
        <v>2311.25</v>
      </c>
      <c r="G183" s="14">
        <v>2365</v>
      </c>
      <c r="H183" s="14">
        <v>2366.1</v>
      </c>
      <c r="I183" s="14">
        <v>2346.81</v>
      </c>
      <c r="J183" s="14">
        <v>2751.35</v>
      </c>
      <c r="K183" s="14">
        <v>1830</v>
      </c>
      <c r="L183" s="15">
        <v>8149415</v>
      </c>
      <c r="M183" t="s" s="13">
        <v>202</v>
      </c>
      <c r="N183" s="15">
        <v>222615</v>
      </c>
      <c r="O183" s="17" cm="1">
        <f t="array" ref="O183">(H183-H182)/H182</f>
        <v>0.0237317468902109</v>
      </c>
    </row>
    <row r="184" ht="13.65" customHeight="1">
      <c r="A184" s="18">
        <v>44553</v>
      </c>
      <c r="B184" t="s" s="13">
        <v>22</v>
      </c>
      <c r="C184" s="14">
        <v>2374</v>
      </c>
      <c r="D184" s="14">
        <v>2380</v>
      </c>
      <c r="E184" s="14">
        <v>2358.05</v>
      </c>
      <c r="F184" s="14">
        <v>2366.1</v>
      </c>
      <c r="G184" s="14">
        <v>2365</v>
      </c>
      <c r="H184" s="14">
        <v>2365.25</v>
      </c>
      <c r="I184" s="14">
        <v>2367.28</v>
      </c>
      <c r="J184" s="14">
        <v>2751.35</v>
      </c>
      <c r="K184" s="14">
        <v>1830</v>
      </c>
      <c r="L184" s="15">
        <v>4186912</v>
      </c>
      <c r="M184" t="s" s="13">
        <v>203</v>
      </c>
      <c r="N184" s="15">
        <v>173393</v>
      </c>
      <c r="O184" s="17" cm="1">
        <f t="array" ref="O184">(H184-H183)/H183</f>
        <v>-0.000359240945015004</v>
      </c>
    </row>
    <row r="185" ht="13.65" customHeight="1">
      <c r="A185" s="18">
        <v>44554</v>
      </c>
      <c r="B185" t="s" s="13">
        <v>22</v>
      </c>
      <c r="C185" s="14">
        <v>2370</v>
      </c>
      <c r="D185" s="14">
        <v>2392</v>
      </c>
      <c r="E185" s="14">
        <v>2337.55</v>
      </c>
      <c r="F185" s="14">
        <v>2365.25</v>
      </c>
      <c r="G185" s="14">
        <v>2367.15</v>
      </c>
      <c r="H185" s="14">
        <v>2372.8</v>
      </c>
      <c r="I185" s="14">
        <v>2360.96</v>
      </c>
      <c r="J185" s="14">
        <v>2751.35</v>
      </c>
      <c r="K185" s="14">
        <v>1830</v>
      </c>
      <c r="L185" s="15">
        <v>3639616</v>
      </c>
      <c r="M185" t="s" s="13">
        <v>204</v>
      </c>
      <c r="N185" s="15">
        <v>159321</v>
      </c>
      <c r="O185" s="17" cm="1">
        <f t="array" ref="O185">(H185-H184)/H184</f>
        <v>0.00319205158017123</v>
      </c>
    </row>
    <row r="186" ht="13.65" customHeight="1">
      <c r="A186" s="18">
        <v>44557</v>
      </c>
      <c r="B186" t="s" s="13">
        <v>22</v>
      </c>
      <c r="C186" s="14">
        <v>2361.55</v>
      </c>
      <c r="D186" s="14">
        <v>2378</v>
      </c>
      <c r="E186" s="14">
        <v>2348.1</v>
      </c>
      <c r="F186" s="14">
        <v>2372.8</v>
      </c>
      <c r="G186" s="14">
        <v>2371</v>
      </c>
      <c r="H186" s="14">
        <v>2370.25</v>
      </c>
      <c r="I186" s="14">
        <v>2366.87</v>
      </c>
      <c r="J186" s="14">
        <v>2751.35</v>
      </c>
      <c r="K186" s="14">
        <v>1830</v>
      </c>
      <c r="L186" s="15">
        <v>1853948</v>
      </c>
      <c r="M186" t="s" s="13">
        <v>205</v>
      </c>
      <c r="N186" s="15">
        <v>89509</v>
      </c>
      <c r="O186" s="17" cm="1">
        <f t="array" ref="O186">(H186-H185)/H185</f>
        <v>-0.00107467970330411</v>
      </c>
    </row>
    <row r="187" ht="13.65" customHeight="1">
      <c r="A187" s="18">
        <v>44558</v>
      </c>
      <c r="B187" t="s" s="13">
        <v>22</v>
      </c>
      <c r="C187" s="14">
        <v>2375.6</v>
      </c>
      <c r="D187" s="14">
        <v>2404.85</v>
      </c>
      <c r="E187" s="14">
        <v>2373.05</v>
      </c>
      <c r="F187" s="14">
        <v>2370.25</v>
      </c>
      <c r="G187" s="14">
        <v>2404</v>
      </c>
      <c r="H187" s="14">
        <v>2398.4</v>
      </c>
      <c r="I187" s="14">
        <v>2389.02</v>
      </c>
      <c r="J187" s="14">
        <v>2751.35</v>
      </c>
      <c r="K187" s="14">
        <v>1830</v>
      </c>
      <c r="L187" s="15">
        <v>2941883</v>
      </c>
      <c r="M187" t="s" s="13">
        <v>206</v>
      </c>
      <c r="N187" s="15">
        <v>121810</v>
      </c>
      <c r="O187" s="17" cm="1">
        <f t="array" ref="O187">(H187-H186)/H186</f>
        <v>0.0118763843476427</v>
      </c>
    </row>
    <row r="188" ht="13.65" customHeight="1">
      <c r="A188" s="18">
        <v>44559</v>
      </c>
      <c r="B188" t="s" s="13">
        <v>22</v>
      </c>
      <c r="C188" s="14">
        <v>2391</v>
      </c>
      <c r="D188" s="14">
        <v>2419</v>
      </c>
      <c r="E188" s="14">
        <v>2382.1</v>
      </c>
      <c r="F188" s="14">
        <v>2398.4</v>
      </c>
      <c r="G188" s="14">
        <v>2398</v>
      </c>
      <c r="H188" s="14">
        <v>2402.5</v>
      </c>
      <c r="I188" s="14">
        <v>2400.08</v>
      </c>
      <c r="J188" s="14">
        <v>2751.35</v>
      </c>
      <c r="K188" s="14">
        <v>1830</v>
      </c>
      <c r="L188" s="15">
        <v>7118779</v>
      </c>
      <c r="M188" t="s" s="13">
        <v>207</v>
      </c>
      <c r="N188" s="15">
        <v>169024</v>
      </c>
      <c r="O188" s="17" cm="1">
        <f t="array" ref="O188">(H188-H187)/H187</f>
        <v>0.00170947298198799</v>
      </c>
    </row>
    <row r="189" ht="13.65" customHeight="1">
      <c r="A189" s="18">
        <v>44560</v>
      </c>
      <c r="B189" t="s" s="13">
        <v>22</v>
      </c>
      <c r="C189" s="14">
        <v>2400</v>
      </c>
      <c r="D189" s="14">
        <v>2404.95</v>
      </c>
      <c r="E189" s="14">
        <v>2345.6</v>
      </c>
      <c r="F189" s="14">
        <v>2402.5</v>
      </c>
      <c r="G189" s="14">
        <v>2364</v>
      </c>
      <c r="H189" s="14">
        <v>2359.1</v>
      </c>
      <c r="I189" s="14">
        <v>2366.88</v>
      </c>
      <c r="J189" s="14">
        <v>2751.35</v>
      </c>
      <c r="K189" s="14">
        <v>1830</v>
      </c>
      <c r="L189" s="15">
        <v>13537254</v>
      </c>
      <c r="M189" t="s" s="13">
        <v>208</v>
      </c>
      <c r="N189" s="15">
        <v>226181</v>
      </c>
      <c r="O189" s="17" cm="1">
        <f t="array" ref="O189">(H189-H188)/H188</f>
        <v>-0.0180645161290323</v>
      </c>
    </row>
    <row r="190" ht="13.65" customHeight="1">
      <c r="A190" s="18">
        <v>44561</v>
      </c>
      <c r="B190" t="s" s="13">
        <v>22</v>
      </c>
      <c r="C190" s="14">
        <v>2373</v>
      </c>
      <c r="D190" s="14">
        <v>2383.9</v>
      </c>
      <c r="E190" s="14">
        <v>2360</v>
      </c>
      <c r="F190" s="14">
        <v>2359.1</v>
      </c>
      <c r="G190" s="14">
        <v>2368.5</v>
      </c>
      <c r="H190" s="14">
        <v>2368.15</v>
      </c>
      <c r="I190" s="14">
        <v>2370.53</v>
      </c>
      <c r="J190" s="14">
        <v>2751.35</v>
      </c>
      <c r="K190" s="14">
        <v>1830</v>
      </c>
      <c r="L190" s="15">
        <v>4373768</v>
      </c>
      <c r="M190" t="s" s="13">
        <v>209</v>
      </c>
      <c r="N190" s="15">
        <v>138728</v>
      </c>
      <c r="O190" s="17" cm="1">
        <f t="array" ref="O190">(H190-H189)/H189</f>
        <v>0.0038362087236658</v>
      </c>
    </row>
    <row r="191" ht="13.65" customHeight="1">
      <c r="A191" s="12">
        <v>44564</v>
      </c>
      <c r="B191" t="s" s="13">
        <v>22</v>
      </c>
      <c r="C191" s="14">
        <v>2365</v>
      </c>
      <c r="D191" s="14">
        <v>2407.95</v>
      </c>
      <c r="E191" s="14">
        <v>2363.55</v>
      </c>
      <c r="F191" s="14">
        <v>2368.15</v>
      </c>
      <c r="G191" s="14">
        <v>2407.95</v>
      </c>
      <c r="H191" s="14">
        <v>2403.85</v>
      </c>
      <c r="I191" s="14">
        <v>2392.64</v>
      </c>
      <c r="J191" s="14">
        <v>2751.35</v>
      </c>
      <c r="K191" s="14">
        <v>1830</v>
      </c>
      <c r="L191" s="15">
        <v>2502073</v>
      </c>
      <c r="M191" t="s" s="13">
        <v>210</v>
      </c>
      <c r="N191" s="15">
        <v>105190</v>
      </c>
      <c r="O191" s="17" cm="1">
        <f t="array" ref="O191">(H191-H190)/H190</f>
        <v>0.0150750585900386</v>
      </c>
    </row>
    <row r="192" ht="13.65" customHeight="1">
      <c r="A192" s="12">
        <v>44565</v>
      </c>
      <c r="B192" t="s" s="13">
        <v>22</v>
      </c>
      <c r="C192" s="14">
        <v>2415.9</v>
      </c>
      <c r="D192" s="14">
        <v>2461</v>
      </c>
      <c r="E192" s="14">
        <v>2404</v>
      </c>
      <c r="F192" s="14">
        <v>2403.85</v>
      </c>
      <c r="G192" s="14">
        <v>2460</v>
      </c>
      <c r="H192" s="14">
        <v>2458.1</v>
      </c>
      <c r="I192" s="14">
        <v>2437.26</v>
      </c>
      <c r="J192" s="14">
        <v>2751.35</v>
      </c>
      <c r="K192" s="14">
        <v>1830</v>
      </c>
      <c r="L192" s="15">
        <v>5006225</v>
      </c>
      <c r="M192" t="s" s="13">
        <v>211</v>
      </c>
      <c r="N192" s="15">
        <v>208647</v>
      </c>
      <c r="O192" s="17" cm="1">
        <f t="array" ref="O192">(H192-H191)/H191</f>
        <v>0.0225679638912578</v>
      </c>
    </row>
    <row r="193" ht="13.65" customHeight="1">
      <c r="A193" s="12">
        <v>44566</v>
      </c>
      <c r="B193" t="s" s="13">
        <v>22</v>
      </c>
      <c r="C193" s="14">
        <v>2462</v>
      </c>
      <c r="D193" s="14">
        <v>2477</v>
      </c>
      <c r="E193" s="14">
        <v>2432.95</v>
      </c>
      <c r="F193" s="14">
        <v>2458.1</v>
      </c>
      <c r="G193" s="14">
        <v>2461.85</v>
      </c>
      <c r="H193" s="14">
        <v>2469.6</v>
      </c>
      <c r="I193" s="14">
        <v>2455.69</v>
      </c>
      <c r="J193" s="14">
        <v>2751.35</v>
      </c>
      <c r="K193" s="14">
        <v>1830</v>
      </c>
      <c r="L193" s="15">
        <v>5373618</v>
      </c>
      <c r="M193" t="s" s="13">
        <v>212</v>
      </c>
      <c r="N193" s="15">
        <v>210976</v>
      </c>
      <c r="O193" s="17" cm="1">
        <f t="array" ref="O193">(H193-H192)/H192</f>
        <v>0.00467841015418413</v>
      </c>
    </row>
    <row r="194" ht="13.65" customHeight="1">
      <c r="A194" s="12">
        <v>44567</v>
      </c>
      <c r="B194" t="s" s="13">
        <v>22</v>
      </c>
      <c r="C194" s="14">
        <v>2451.2</v>
      </c>
      <c r="D194" s="14">
        <v>2454</v>
      </c>
      <c r="E194" s="14">
        <v>2409</v>
      </c>
      <c r="F194" s="14">
        <v>2469.6</v>
      </c>
      <c r="G194" s="14">
        <v>2419.15</v>
      </c>
      <c r="H194" s="14">
        <v>2416.5</v>
      </c>
      <c r="I194" s="14">
        <v>2423.21</v>
      </c>
      <c r="J194" s="14">
        <v>2751.35</v>
      </c>
      <c r="K194" s="14">
        <v>1830</v>
      </c>
      <c r="L194" s="15">
        <v>6667483</v>
      </c>
      <c r="M194" t="s" s="13">
        <v>213</v>
      </c>
      <c r="N194" s="15">
        <v>227953</v>
      </c>
      <c r="O194" s="17" cm="1">
        <f t="array" ref="O194">(H194-H193)/H193</f>
        <v>-0.0215014577259475</v>
      </c>
    </row>
    <row r="195" ht="13.65" customHeight="1">
      <c r="A195" s="12">
        <v>44568</v>
      </c>
      <c r="B195" t="s" s="13">
        <v>22</v>
      </c>
      <c r="C195" s="14">
        <v>2430.95</v>
      </c>
      <c r="D195" s="14">
        <v>2458.05</v>
      </c>
      <c r="E195" s="14">
        <v>2411.55</v>
      </c>
      <c r="F195" s="14">
        <v>2416.5</v>
      </c>
      <c r="G195" s="14">
        <v>2439.9</v>
      </c>
      <c r="H195" s="14">
        <v>2436</v>
      </c>
      <c r="I195" s="14">
        <v>2436.73</v>
      </c>
      <c r="J195" s="14">
        <v>2751.35</v>
      </c>
      <c r="K195" s="14">
        <v>1830</v>
      </c>
      <c r="L195" s="15">
        <v>6051239</v>
      </c>
      <c r="M195" t="s" s="13">
        <v>214</v>
      </c>
      <c r="N195" s="15">
        <v>191088</v>
      </c>
      <c r="O195" s="17" cm="1">
        <f t="array" ref="O195">(H195-H194)/H194</f>
        <v>0.00806952203600248</v>
      </c>
    </row>
    <row r="196" ht="13.65" customHeight="1">
      <c r="A196" s="18">
        <v>44571</v>
      </c>
      <c r="B196" t="s" s="13">
        <v>22</v>
      </c>
      <c r="C196" s="14">
        <v>2452</v>
      </c>
      <c r="D196" s="14">
        <v>2457</v>
      </c>
      <c r="E196" s="14">
        <v>2416.05</v>
      </c>
      <c r="F196" s="14">
        <v>2436</v>
      </c>
      <c r="G196" s="14">
        <v>2440.2</v>
      </c>
      <c r="H196" s="14">
        <v>2438</v>
      </c>
      <c r="I196" s="14">
        <v>2432.54</v>
      </c>
      <c r="J196" s="14">
        <v>2751.35</v>
      </c>
      <c r="K196" s="14">
        <v>1830</v>
      </c>
      <c r="L196" s="15">
        <v>4267365</v>
      </c>
      <c r="M196" t="s" s="13">
        <v>215</v>
      </c>
      <c r="N196" s="15">
        <v>214098</v>
      </c>
      <c r="O196" s="17" cm="1">
        <f t="array" ref="O196">(H196-H195)/H195</f>
        <v>0.000821018062397373</v>
      </c>
    </row>
    <row r="197" ht="13.65" customHeight="1">
      <c r="A197" s="18">
        <v>44572</v>
      </c>
      <c r="B197" t="s" s="13">
        <v>22</v>
      </c>
      <c r="C197" s="14">
        <v>2436</v>
      </c>
      <c r="D197" s="14">
        <v>2474.95</v>
      </c>
      <c r="E197" s="14">
        <v>2435</v>
      </c>
      <c r="F197" s="14">
        <v>2438</v>
      </c>
      <c r="G197" s="14">
        <v>2455.8</v>
      </c>
      <c r="H197" s="14">
        <v>2455.55</v>
      </c>
      <c r="I197" s="14">
        <v>2459.51</v>
      </c>
      <c r="J197" s="14">
        <v>2751.35</v>
      </c>
      <c r="K197" s="14">
        <v>1830</v>
      </c>
      <c r="L197" s="15">
        <v>7478681</v>
      </c>
      <c r="M197" t="s" s="13">
        <v>216</v>
      </c>
      <c r="N197" s="15">
        <v>209712</v>
      </c>
      <c r="O197" s="17" cm="1">
        <f t="array" ref="O197">(H197-H196)/H196</f>
        <v>0.00719852337981952</v>
      </c>
    </row>
    <row r="198" ht="13.65" customHeight="1">
      <c r="A198" s="18">
        <v>44573</v>
      </c>
      <c r="B198" t="s" s="13">
        <v>22</v>
      </c>
      <c r="C198" s="14">
        <v>2471.3</v>
      </c>
      <c r="D198" s="14">
        <v>2524.95</v>
      </c>
      <c r="E198" s="14">
        <v>2465</v>
      </c>
      <c r="F198" s="14">
        <v>2455.55</v>
      </c>
      <c r="G198" s="14">
        <v>2518</v>
      </c>
      <c r="H198" s="14">
        <v>2521.1</v>
      </c>
      <c r="I198" s="14">
        <v>2505.89</v>
      </c>
      <c r="J198" s="14">
        <v>2751.35</v>
      </c>
      <c r="K198" s="14">
        <v>1830</v>
      </c>
      <c r="L198" s="15">
        <v>6830402</v>
      </c>
      <c r="M198" t="s" s="13">
        <v>217</v>
      </c>
      <c r="N198" s="15">
        <v>267056</v>
      </c>
      <c r="O198" s="17" cm="1">
        <f t="array" ref="O198">(H198-H197)/H197</f>
        <v>0.0266946305308383</v>
      </c>
    </row>
    <row r="199" ht="13.65" customHeight="1">
      <c r="A199" s="18">
        <v>44574</v>
      </c>
      <c r="B199" t="s" s="13">
        <v>22</v>
      </c>
      <c r="C199" s="14">
        <v>2521.25</v>
      </c>
      <c r="D199" s="14">
        <v>2541</v>
      </c>
      <c r="E199" s="14">
        <v>2508.4</v>
      </c>
      <c r="F199" s="14">
        <v>2521.1</v>
      </c>
      <c r="G199" s="14">
        <v>2536.25</v>
      </c>
      <c r="H199" s="14">
        <v>2535.3</v>
      </c>
      <c r="I199" s="14">
        <v>2525.55</v>
      </c>
      <c r="J199" s="14">
        <v>2751.35</v>
      </c>
      <c r="K199" s="14">
        <v>1830</v>
      </c>
      <c r="L199" s="15">
        <v>5471871</v>
      </c>
      <c r="M199" t="s" s="13">
        <v>218</v>
      </c>
      <c r="N199" s="15">
        <v>186278</v>
      </c>
      <c r="O199" s="17" cm="1">
        <f t="array" ref="O199">(H199-H198)/H198</f>
        <v>0.00563246202054659</v>
      </c>
    </row>
    <row r="200" ht="13.65" customHeight="1">
      <c r="A200" s="18">
        <v>44575</v>
      </c>
      <c r="B200" t="s" s="13">
        <v>22</v>
      </c>
      <c r="C200" s="14">
        <v>2535</v>
      </c>
      <c r="D200" s="14">
        <v>2567.3</v>
      </c>
      <c r="E200" s="14">
        <v>2525.85</v>
      </c>
      <c r="F200" s="14">
        <v>2535.3</v>
      </c>
      <c r="G200" s="14">
        <v>2537</v>
      </c>
      <c r="H200" s="14">
        <v>2539</v>
      </c>
      <c r="I200" s="14">
        <v>2545.66</v>
      </c>
      <c r="J200" s="14">
        <v>2751.35</v>
      </c>
      <c r="K200" s="14">
        <v>1830</v>
      </c>
      <c r="L200" s="15">
        <v>9197773</v>
      </c>
      <c r="M200" t="s" s="13">
        <v>219</v>
      </c>
      <c r="N200" s="15">
        <v>195865</v>
      </c>
      <c r="O200" s="17" cm="1">
        <f t="array" ref="O200">(H200-H199)/H199</f>
        <v>0.00145939336567665</v>
      </c>
    </row>
    <row r="201" ht="13.65" customHeight="1">
      <c r="A201" s="18">
        <v>44578</v>
      </c>
      <c r="B201" t="s" s="13">
        <v>22</v>
      </c>
      <c r="C201" s="14">
        <v>2538</v>
      </c>
      <c r="D201" s="14">
        <v>2565</v>
      </c>
      <c r="E201" s="14">
        <v>2537</v>
      </c>
      <c r="F201" s="14">
        <v>2539</v>
      </c>
      <c r="G201" s="14">
        <v>2553</v>
      </c>
      <c r="H201" s="14">
        <v>2552.25</v>
      </c>
      <c r="I201" s="14">
        <v>2555.1</v>
      </c>
      <c r="J201" s="14">
        <v>2751.35</v>
      </c>
      <c r="K201" s="14">
        <v>1830</v>
      </c>
      <c r="L201" s="15">
        <v>3708822</v>
      </c>
      <c r="M201" t="s" s="13">
        <v>220</v>
      </c>
      <c r="N201" s="15">
        <v>160043</v>
      </c>
      <c r="O201" s="17" cm="1">
        <f t="array" ref="O201">(H201-H200)/H200</f>
        <v>0.00521858999606144</v>
      </c>
    </row>
    <row r="202" ht="13.65" customHeight="1">
      <c r="A202" s="18">
        <v>44579</v>
      </c>
      <c r="B202" t="s" s="13">
        <v>22</v>
      </c>
      <c r="C202" s="14">
        <v>2554.75</v>
      </c>
      <c r="D202" s="14">
        <v>2562.35</v>
      </c>
      <c r="E202" s="14">
        <v>2515.75</v>
      </c>
      <c r="F202" s="14">
        <v>2552.25</v>
      </c>
      <c r="G202" s="14">
        <v>2523</v>
      </c>
      <c r="H202" s="14">
        <v>2521.8</v>
      </c>
      <c r="I202" s="14">
        <v>2540.02</v>
      </c>
      <c r="J202" s="14">
        <v>2751.35</v>
      </c>
      <c r="K202" s="14">
        <v>1830</v>
      </c>
      <c r="L202" s="15">
        <v>2868235</v>
      </c>
      <c r="M202" t="s" s="13">
        <v>221</v>
      </c>
      <c r="N202" s="15">
        <v>158330</v>
      </c>
      <c r="O202" s="17" cm="1">
        <f t="array" ref="O202">(H202-H201)/H201</f>
        <v>-0.0119306494269762</v>
      </c>
    </row>
    <row r="203" ht="13.65" customHeight="1">
      <c r="A203" s="18">
        <v>44580</v>
      </c>
      <c r="B203" t="s" s="13">
        <v>22</v>
      </c>
      <c r="C203" s="14">
        <v>2530</v>
      </c>
      <c r="D203" s="14">
        <v>2542</v>
      </c>
      <c r="E203" s="14">
        <v>2509</v>
      </c>
      <c r="F203" s="14">
        <v>2521.8</v>
      </c>
      <c r="G203" s="14">
        <v>2521.4</v>
      </c>
      <c r="H203" s="14">
        <v>2521.6</v>
      </c>
      <c r="I203" s="14">
        <v>2522.72</v>
      </c>
      <c r="J203" s="14">
        <v>2751.35</v>
      </c>
      <c r="K203" s="14">
        <v>1830</v>
      </c>
      <c r="L203" s="15">
        <v>4502155</v>
      </c>
      <c r="M203" t="s" s="13">
        <v>222</v>
      </c>
      <c r="N203" s="15">
        <v>153189</v>
      </c>
      <c r="O203" s="17" cm="1">
        <f t="array" ref="O203">(H203-H202)/H202</f>
        <v>-7.93084304861607e-05</v>
      </c>
    </row>
    <row r="204" ht="13.65" customHeight="1">
      <c r="A204" s="18">
        <v>44581</v>
      </c>
      <c r="B204" t="s" s="13">
        <v>22</v>
      </c>
      <c r="C204" s="14">
        <v>2500.05</v>
      </c>
      <c r="D204" s="14">
        <v>2509.95</v>
      </c>
      <c r="E204" s="14">
        <v>2455</v>
      </c>
      <c r="F204" s="14">
        <v>2521.6</v>
      </c>
      <c r="G204" s="14">
        <v>2482.1</v>
      </c>
      <c r="H204" s="14">
        <v>2477.45</v>
      </c>
      <c r="I204" s="14">
        <v>2480.98</v>
      </c>
      <c r="J204" s="14">
        <v>2751.35</v>
      </c>
      <c r="K204" s="14">
        <v>1830</v>
      </c>
      <c r="L204" s="15">
        <v>7612203</v>
      </c>
      <c r="M204" t="s" s="13">
        <v>223</v>
      </c>
      <c r="N204" s="15">
        <v>251195</v>
      </c>
      <c r="O204" s="17" cm="1">
        <f t="array" ref="O204">(H204-H203)/H203</f>
        <v>-0.0175087246192893</v>
      </c>
    </row>
    <row r="205" ht="13.65" customHeight="1">
      <c r="A205" s="18">
        <v>44582</v>
      </c>
      <c r="B205" t="s" s="13">
        <v>22</v>
      </c>
      <c r="C205" s="14">
        <v>2452</v>
      </c>
      <c r="D205" s="14">
        <v>2502.25</v>
      </c>
      <c r="E205" s="14">
        <v>2452</v>
      </c>
      <c r="F205" s="14">
        <v>2477.45</v>
      </c>
      <c r="G205" s="14">
        <v>2476.05</v>
      </c>
      <c r="H205" s="14">
        <v>2477.85</v>
      </c>
      <c r="I205" s="14">
        <v>2475.83</v>
      </c>
      <c r="J205" s="14">
        <v>2751.35</v>
      </c>
      <c r="K205" s="14">
        <v>1830</v>
      </c>
      <c r="L205" s="15">
        <v>6155759</v>
      </c>
      <c r="M205" t="s" s="13">
        <v>224</v>
      </c>
      <c r="N205" s="15">
        <v>236838</v>
      </c>
      <c r="O205" s="17" cm="1">
        <f t="array" ref="O205">(H205-H204)/H204</f>
        <v>0.000161456336152092</v>
      </c>
    </row>
    <row r="206" ht="13.65" customHeight="1">
      <c r="A206" s="18">
        <v>44585</v>
      </c>
      <c r="B206" t="s" s="13">
        <v>22</v>
      </c>
      <c r="C206" s="14">
        <v>2475</v>
      </c>
      <c r="D206" s="14">
        <v>2504.75</v>
      </c>
      <c r="E206" s="14">
        <v>2355.1</v>
      </c>
      <c r="F206" s="14">
        <v>2477.85</v>
      </c>
      <c r="G206" s="14">
        <v>2379.9</v>
      </c>
      <c r="H206" s="14">
        <v>2377.9</v>
      </c>
      <c r="I206" s="14">
        <v>2418.6</v>
      </c>
      <c r="J206" s="14">
        <v>2751.35</v>
      </c>
      <c r="K206" s="14">
        <v>1830</v>
      </c>
      <c r="L206" s="15">
        <v>10092511</v>
      </c>
      <c r="M206" t="s" s="13">
        <v>225</v>
      </c>
      <c r="N206" s="15">
        <v>399996</v>
      </c>
      <c r="O206" s="17" cm="1">
        <f t="array" ref="O206">(H206-H205)/H205</f>
        <v>-0.0403373892689227</v>
      </c>
    </row>
    <row r="207" ht="13.65" customHeight="1">
      <c r="A207" s="18">
        <v>44586</v>
      </c>
      <c r="B207" t="s" s="13">
        <v>22</v>
      </c>
      <c r="C207" s="14">
        <v>2349.55</v>
      </c>
      <c r="D207" s="14">
        <v>2388.65</v>
      </c>
      <c r="E207" s="14">
        <v>2305</v>
      </c>
      <c r="F207" s="14">
        <v>2377.9</v>
      </c>
      <c r="G207" s="14">
        <v>2368.1</v>
      </c>
      <c r="H207" s="14">
        <v>2373.25</v>
      </c>
      <c r="I207" s="14">
        <v>2343.88</v>
      </c>
      <c r="J207" s="14">
        <v>2751.35</v>
      </c>
      <c r="K207" s="14">
        <v>1830</v>
      </c>
      <c r="L207" s="15">
        <v>11311456</v>
      </c>
      <c r="M207" t="s" s="13">
        <v>226</v>
      </c>
      <c r="N207" s="15">
        <v>482175</v>
      </c>
      <c r="O207" s="17" cm="1">
        <f t="array" ref="O207">(H207-H206)/H206</f>
        <v>-0.00195550695992262</v>
      </c>
    </row>
    <row r="208" ht="13.65" customHeight="1">
      <c r="A208" s="18">
        <v>44588</v>
      </c>
      <c r="B208" t="s" s="13">
        <v>22</v>
      </c>
      <c r="C208" s="14">
        <v>2336</v>
      </c>
      <c r="D208" s="14">
        <v>2356.1</v>
      </c>
      <c r="E208" s="14">
        <v>2311.05</v>
      </c>
      <c r="F208" s="14">
        <v>2373.25</v>
      </c>
      <c r="G208" s="14">
        <v>2347</v>
      </c>
      <c r="H208" s="14">
        <v>2338.1</v>
      </c>
      <c r="I208" s="14">
        <v>2333.67</v>
      </c>
      <c r="J208" s="14">
        <v>2751.35</v>
      </c>
      <c r="K208" s="14">
        <v>1830</v>
      </c>
      <c r="L208" s="15">
        <v>9239426</v>
      </c>
      <c r="M208" t="s" s="13">
        <v>227</v>
      </c>
      <c r="N208" s="15">
        <v>315266</v>
      </c>
      <c r="O208" s="17" cm="1">
        <f t="array" ref="O208">(H208-H207)/H207</f>
        <v>-0.0148109133045402</v>
      </c>
    </row>
    <row r="209" ht="13.65" customHeight="1">
      <c r="A209" s="18">
        <v>44589</v>
      </c>
      <c r="B209" t="s" s="13">
        <v>22</v>
      </c>
      <c r="C209" s="14">
        <v>2365</v>
      </c>
      <c r="D209" s="14">
        <v>2375.9</v>
      </c>
      <c r="E209" s="14">
        <v>2328.4</v>
      </c>
      <c r="F209" s="14">
        <v>2338.1</v>
      </c>
      <c r="G209" s="14">
        <v>2336</v>
      </c>
      <c r="H209" s="14">
        <v>2335.85</v>
      </c>
      <c r="I209" s="14">
        <v>2347.94</v>
      </c>
      <c r="J209" s="14">
        <v>2751.35</v>
      </c>
      <c r="K209" s="14">
        <v>1830</v>
      </c>
      <c r="L209" s="15">
        <v>6769154</v>
      </c>
      <c r="M209" t="s" s="13">
        <v>228</v>
      </c>
      <c r="N209" s="15">
        <v>255535</v>
      </c>
      <c r="O209" s="17" cm="1">
        <f t="array" ref="O209">(H209-H208)/H208</f>
        <v>-0.0009623198323425</v>
      </c>
    </row>
    <row r="210" ht="13.65" customHeight="1">
      <c r="A210" s="18">
        <v>44592</v>
      </c>
      <c r="B210" t="s" s="13">
        <v>22</v>
      </c>
      <c r="C210" s="14">
        <v>2360.2</v>
      </c>
      <c r="D210" s="14">
        <v>2406.4</v>
      </c>
      <c r="E210" s="14">
        <v>2356.2</v>
      </c>
      <c r="F210" s="14">
        <v>2335.85</v>
      </c>
      <c r="G210" s="14">
        <v>2384.05</v>
      </c>
      <c r="H210" s="14">
        <v>2386.6</v>
      </c>
      <c r="I210" s="14">
        <v>2388.27</v>
      </c>
      <c r="J210" s="14">
        <v>2751.35</v>
      </c>
      <c r="K210" s="14">
        <v>1848</v>
      </c>
      <c r="L210" s="15">
        <v>5604308</v>
      </c>
      <c r="M210" t="s" s="13">
        <v>229</v>
      </c>
      <c r="N210" s="15">
        <v>268776</v>
      </c>
      <c r="O210" s="17" cm="1">
        <f t="array" ref="O210">(H210-H209)/H209</f>
        <v>0.0217265663462979</v>
      </c>
    </row>
    <row r="211" ht="13.65" customHeight="1">
      <c r="A211" s="12">
        <v>44593</v>
      </c>
      <c r="B211" t="s" s="13">
        <v>22</v>
      </c>
      <c r="C211" s="14">
        <v>2408</v>
      </c>
      <c r="D211" s="14">
        <v>2420.6</v>
      </c>
      <c r="E211" s="14">
        <v>2347.1</v>
      </c>
      <c r="F211" s="14">
        <v>2386.6</v>
      </c>
      <c r="G211" s="14">
        <v>2382.8</v>
      </c>
      <c r="H211" s="14">
        <v>2378.7</v>
      </c>
      <c r="I211" s="14">
        <v>2394.79</v>
      </c>
      <c r="J211" s="14">
        <v>2751.35</v>
      </c>
      <c r="K211" s="14">
        <v>1848</v>
      </c>
      <c r="L211" s="15">
        <v>6092033</v>
      </c>
      <c r="M211" t="s" s="13">
        <v>230</v>
      </c>
      <c r="N211" s="15">
        <v>227599</v>
      </c>
      <c r="O211" s="17" cm="1">
        <f t="array" ref="O211">(H211-H210)/H210</f>
        <v>-0.00331014832816559</v>
      </c>
    </row>
    <row r="212" ht="13.65" customHeight="1">
      <c r="A212" s="12">
        <v>44594</v>
      </c>
      <c r="B212" t="s" s="13">
        <v>22</v>
      </c>
      <c r="C212" s="14">
        <v>2407</v>
      </c>
      <c r="D212" s="14">
        <v>2407</v>
      </c>
      <c r="E212" s="14">
        <v>2375.1</v>
      </c>
      <c r="F212" s="14">
        <v>2378.7</v>
      </c>
      <c r="G212" s="14">
        <v>2385</v>
      </c>
      <c r="H212" s="14">
        <v>2383.55</v>
      </c>
      <c r="I212" s="14">
        <v>2384.84</v>
      </c>
      <c r="J212" s="14">
        <v>2751.35</v>
      </c>
      <c r="K212" s="14">
        <v>1848</v>
      </c>
      <c r="L212" s="15">
        <v>4623163</v>
      </c>
      <c r="M212" t="s" s="13">
        <v>231</v>
      </c>
      <c r="N212" s="15">
        <v>153391</v>
      </c>
      <c r="O212" s="17" cm="1">
        <f t="array" ref="O212">(H212-H211)/H211</f>
        <v>0.00203892882667003</v>
      </c>
    </row>
    <row r="213" ht="13.65" customHeight="1">
      <c r="A213" s="12">
        <v>44595</v>
      </c>
      <c r="B213" t="s" s="13">
        <v>22</v>
      </c>
      <c r="C213" s="14">
        <v>2392</v>
      </c>
      <c r="D213" s="14">
        <v>2401.45</v>
      </c>
      <c r="E213" s="14">
        <v>2347.2</v>
      </c>
      <c r="F213" s="14">
        <v>2383.55</v>
      </c>
      <c r="G213" s="14">
        <v>2348.45</v>
      </c>
      <c r="H213" s="14">
        <v>2352.75</v>
      </c>
      <c r="I213" s="14">
        <v>2367.01</v>
      </c>
      <c r="J213" s="14">
        <v>2751.35</v>
      </c>
      <c r="K213" s="14">
        <v>1848</v>
      </c>
      <c r="L213" s="15">
        <v>4417864</v>
      </c>
      <c r="M213" t="s" s="13">
        <v>232</v>
      </c>
      <c r="N213" s="15">
        <v>236441</v>
      </c>
      <c r="O213" s="17" cm="1">
        <f t="array" ref="O213">(H213-H212)/H212</f>
        <v>-0.0129219022046947</v>
      </c>
    </row>
    <row r="214" ht="13.65" customHeight="1">
      <c r="A214" s="12">
        <v>44596</v>
      </c>
      <c r="B214" t="s" s="13">
        <v>22</v>
      </c>
      <c r="C214" s="14">
        <v>2341</v>
      </c>
      <c r="D214" s="14">
        <v>2348.45</v>
      </c>
      <c r="E214" s="14">
        <v>2321.1</v>
      </c>
      <c r="F214" s="14">
        <v>2352.75</v>
      </c>
      <c r="G214" s="14">
        <v>2330.5</v>
      </c>
      <c r="H214" s="14">
        <v>2331.3</v>
      </c>
      <c r="I214" s="14">
        <v>2334.17</v>
      </c>
      <c r="J214" s="14">
        <v>2751.35</v>
      </c>
      <c r="K214" s="14">
        <v>1848</v>
      </c>
      <c r="L214" s="15">
        <v>5104761</v>
      </c>
      <c r="M214" t="s" s="13">
        <v>233</v>
      </c>
      <c r="N214" s="15">
        <v>230586</v>
      </c>
      <c r="O214" s="17" cm="1">
        <f t="array" ref="O214">(H214-H213)/H213</f>
        <v>-0.009116990755498881</v>
      </c>
    </row>
    <row r="215" ht="13.65" customHeight="1">
      <c r="A215" s="12">
        <v>44599</v>
      </c>
      <c r="B215" t="s" s="13">
        <v>22</v>
      </c>
      <c r="C215" s="14">
        <v>2342</v>
      </c>
      <c r="D215" s="14">
        <v>2356.8</v>
      </c>
      <c r="E215" s="14">
        <v>2305</v>
      </c>
      <c r="F215" s="14">
        <v>2331.3</v>
      </c>
      <c r="G215" s="14">
        <v>2319.4</v>
      </c>
      <c r="H215" s="14">
        <v>2317.1</v>
      </c>
      <c r="I215" s="14">
        <v>2330.89</v>
      </c>
      <c r="J215" s="14">
        <v>2751.35</v>
      </c>
      <c r="K215" s="14">
        <v>1876.7</v>
      </c>
      <c r="L215" s="15">
        <v>4944725</v>
      </c>
      <c r="M215" t="s" s="13">
        <v>234</v>
      </c>
      <c r="N215" s="15">
        <v>243702</v>
      </c>
      <c r="O215" s="17" cm="1">
        <f t="array" ref="O215">(H215-H214)/H214</f>
        <v>-0.00609102217646807</v>
      </c>
    </row>
    <row r="216" ht="13.65" customHeight="1">
      <c r="A216" s="12">
        <v>44600</v>
      </c>
      <c r="B216" t="s" s="13">
        <v>22</v>
      </c>
      <c r="C216" s="14">
        <v>2330.65</v>
      </c>
      <c r="D216" s="14">
        <v>2360</v>
      </c>
      <c r="E216" s="14">
        <v>2310</v>
      </c>
      <c r="F216" s="14">
        <v>2317.1</v>
      </c>
      <c r="G216" s="14">
        <v>2357.5</v>
      </c>
      <c r="H216" s="14">
        <v>2356.05</v>
      </c>
      <c r="I216" s="14">
        <v>2338.32</v>
      </c>
      <c r="J216" s="14">
        <v>2751.35</v>
      </c>
      <c r="K216" s="14">
        <v>1876.7</v>
      </c>
      <c r="L216" s="15">
        <v>5566080</v>
      </c>
      <c r="M216" t="s" s="13">
        <v>235</v>
      </c>
      <c r="N216" s="15">
        <v>186348</v>
      </c>
      <c r="O216" s="17" cm="1">
        <f t="array" ref="O216">(H216-H215)/H215</f>
        <v>0.0168098053601485</v>
      </c>
    </row>
    <row r="217" ht="13.65" customHeight="1">
      <c r="A217" s="12">
        <v>44601</v>
      </c>
      <c r="B217" t="s" s="13">
        <v>22</v>
      </c>
      <c r="C217" s="14">
        <v>2371.15</v>
      </c>
      <c r="D217" s="14">
        <v>2387.2</v>
      </c>
      <c r="E217" s="14">
        <v>2358</v>
      </c>
      <c r="F217" s="14">
        <v>2356.05</v>
      </c>
      <c r="G217" s="14">
        <v>2384</v>
      </c>
      <c r="H217" s="14">
        <v>2383.5</v>
      </c>
      <c r="I217" s="14">
        <v>2373.06</v>
      </c>
      <c r="J217" s="14">
        <v>2751.35</v>
      </c>
      <c r="K217" s="14">
        <v>1876.7</v>
      </c>
      <c r="L217" s="15">
        <v>5300891</v>
      </c>
      <c r="M217" t="s" s="13">
        <v>236</v>
      </c>
      <c r="N217" s="15">
        <v>180905</v>
      </c>
      <c r="O217" s="17" cm="1">
        <f t="array" ref="O217">(H217-H216)/H216</f>
        <v>0.0116508563061056</v>
      </c>
    </row>
    <row r="218" ht="13.65" customHeight="1">
      <c r="A218" s="18">
        <v>44602</v>
      </c>
      <c r="B218" t="s" s="13">
        <v>22</v>
      </c>
      <c r="C218" s="14">
        <v>2395.7</v>
      </c>
      <c r="D218" s="14">
        <v>2395.7</v>
      </c>
      <c r="E218" s="14">
        <v>2365.1</v>
      </c>
      <c r="F218" s="14">
        <v>2383.5</v>
      </c>
      <c r="G218" s="14">
        <v>2376.95</v>
      </c>
      <c r="H218" s="14">
        <v>2381.05</v>
      </c>
      <c r="I218" s="14">
        <v>2381.99</v>
      </c>
      <c r="J218" s="14">
        <v>2751.35</v>
      </c>
      <c r="K218" s="14">
        <v>1876.7</v>
      </c>
      <c r="L218" s="15">
        <v>5752361</v>
      </c>
      <c r="M218" t="s" s="13">
        <v>237</v>
      </c>
      <c r="N218" s="15">
        <v>210155</v>
      </c>
      <c r="O218" s="17" cm="1">
        <f t="array" ref="O218">(H218-H217)/H217</f>
        <v>-0.00102790014684288</v>
      </c>
    </row>
    <row r="219" ht="13.65" customHeight="1">
      <c r="A219" s="18">
        <v>44603</v>
      </c>
      <c r="B219" t="s" s="13">
        <v>22</v>
      </c>
      <c r="C219" s="14">
        <v>2373.25</v>
      </c>
      <c r="D219" s="14">
        <v>2384.5</v>
      </c>
      <c r="E219" s="14">
        <v>2344.1</v>
      </c>
      <c r="F219" s="14">
        <v>2381.05</v>
      </c>
      <c r="G219" s="14">
        <v>2372.55</v>
      </c>
      <c r="H219" s="14">
        <v>2376.4</v>
      </c>
      <c r="I219" s="14">
        <v>2367.97</v>
      </c>
      <c r="J219" s="14">
        <v>2751.35</v>
      </c>
      <c r="K219" s="14">
        <v>1876.7</v>
      </c>
      <c r="L219" s="15">
        <v>7357863</v>
      </c>
      <c r="M219" t="s" s="13">
        <v>238</v>
      </c>
      <c r="N219" s="15">
        <v>283837</v>
      </c>
      <c r="O219" s="17" cm="1">
        <f t="array" ref="O219">(H219-H218)/H218</f>
        <v>-0.00195291993028286</v>
      </c>
    </row>
    <row r="220" ht="13.65" customHeight="1">
      <c r="A220" s="18">
        <v>44606</v>
      </c>
      <c r="B220" t="s" s="13">
        <v>22</v>
      </c>
      <c r="C220" s="14">
        <v>2340.25</v>
      </c>
      <c r="D220" s="14">
        <v>2354.95</v>
      </c>
      <c r="E220" s="14">
        <v>2313</v>
      </c>
      <c r="F220" s="14">
        <v>2376.4</v>
      </c>
      <c r="G220" s="14">
        <v>2332</v>
      </c>
      <c r="H220" s="14">
        <v>2338.55</v>
      </c>
      <c r="I220" s="14">
        <v>2338.11</v>
      </c>
      <c r="J220" s="14">
        <v>2751.35</v>
      </c>
      <c r="K220" s="14">
        <v>1876.7</v>
      </c>
      <c r="L220" s="15">
        <v>4947109</v>
      </c>
      <c r="M220" t="s" s="13">
        <v>239</v>
      </c>
      <c r="N220" s="15">
        <v>219862</v>
      </c>
      <c r="O220" s="17" cm="1">
        <f t="array" ref="O220">(H220-H219)/H219</f>
        <v>-0.0159274532906918</v>
      </c>
    </row>
    <row r="221" ht="13.65" customHeight="1">
      <c r="A221" s="18">
        <v>44607</v>
      </c>
      <c r="B221" t="s" s="13">
        <v>22</v>
      </c>
      <c r="C221" s="14">
        <v>2351.2</v>
      </c>
      <c r="D221" s="14">
        <v>2423.9</v>
      </c>
      <c r="E221" s="14">
        <v>2335.7</v>
      </c>
      <c r="F221" s="14">
        <v>2338.55</v>
      </c>
      <c r="G221" s="14">
        <v>2415.1</v>
      </c>
      <c r="H221" s="14">
        <v>2417.95</v>
      </c>
      <c r="I221" s="14">
        <v>2381.19</v>
      </c>
      <c r="J221" s="14">
        <v>2751.35</v>
      </c>
      <c r="K221" s="14">
        <v>1876.7</v>
      </c>
      <c r="L221" s="15">
        <v>5174646</v>
      </c>
      <c r="M221" t="s" s="13">
        <v>240</v>
      </c>
      <c r="N221" s="15">
        <v>261746</v>
      </c>
      <c r="O221" s="17" cm="1">
        <f t="array" ref="O221">(H221-H220)/H220</f>
        <v>0.0339526629749204</v>
      </c>
    </row>
    <row r="222" ht="13.65" customHeight="1">
      <c r="A222" s="18">
        <v>44608</v>
      </c>
      <c r="B222" t="s" s="13">
        <v>22</v>
      </c>
      <c r="C222" s="14">
        <v>2430</v>
      </c>
      <c r="D222" s="14">
        <v>2433</v>
      </c>
      <c r="E222" s="14">
        <v>2395.95</v>
      </c>
      <c r="F222" s="14">
        <v>2417.95</v>
      </c>
      <c r="G222" s="14">
        <v>2407.65</v>
      </c>
      <c r="H222" s="14">
        <v>2412.95</v>
      </c>
      <c r="I222" s="14">
        <v>2417.77</v>
      </c>
      <c r="J222" s="14">
        <v>2751.35</v>
      </c>
      <c r="K222" s="14">
        <v>1876.7</v>
      </c>
      <c r="L222" s="15">
        <v>4796294</v>
      </c>
      <c r="M222" t="s" s="13">
        <v>241</v>
      </c>
      <c r="N222" s="15">
        <v>190438</v>
      </c>
      <c r="O222" s="17" cm="1">
        <f t="array" ref="O222">(H222-H221)/H221</f>
        <v>-0.00206786740834178</v>
      </c>
    </row>
    <row r="223" ht="13.65" customHeight="1">
      <c r="A223" s="18">
        <v>44609</v>
      </c>
      <c r="B223" t="s" s="13">
        <v>22</v>
      </c>
      <c r="C223" s="14">
        <v>2420.1</v>
      </c>
      <c r="D223" s="14">
        <v>2454.9</v>
      </c>
      <c r="E223" s="14">
        <v>2410</v>
      </c>
      <c r="F223" s="14">
        <v>2412.95</v>
      </c>
      <c r="G223" s="14">
        <v>2441</v>
      </c>
      <c r="H223" s="14">
        <v>2443.5</v>
      </c>
      <c r="I223" s="14">
        <v>2439.61</v>
      </c>
      <c r="J223" s="14">
        <v>2751.35</v>
      </c>
      <c r="K223" s="14">
        <v>1876.7</v>
      </c>
      <c r="L223" s="15">
        <v>5931774</v>
      </c>
      <c r="M223" t="s" s="13">
        <v>242</v>
      </c>
      <c r="N223" s="15">
        <v>211881</v>
      </c>
      <c r="O223" s="17" cm="1">
        <f t="array" ref="O223">(H223-H222)/H222</f>
        <v>0.0126608508257527</v>
      </c>
    </row>
    <row r="224" ht="13.65" customHeight="1">
      <c r="A224" s="18">
        <v>44610</v>
      </c>
      <c r="B224" t="s" s="13">
        <v>22</v>
      </c>
      <c r="C224" s="14">
        <v>2444.4</v>
      </c>
      <c r="D224" s="14">
        <v>2456.4</v>
      </c>
      <c r="E224" s="14">
        <v>2420.15</v>
      </c>
      <c r="F224" s="14">
        <v>2443.5</v>
      </c>
      <c r="G224" s="14">
        <v>2427.3</v>
      </c>
      <c r="H224" s="14">
        <v>2424.4</v>
      </c>
      <c r="I224" s="14">
        <v>2440.25</v>
      </c>
      <c r="J224" s="14">
        <v>2751.35</v>
      </c>
      <c r="K224" s="14">
        <v>1876.7</v>
      </c>
      <c r="L224" s="15">
        <v>3126873</v>
      </c>
      <c r="M224" t="s" s="13">
        <v>243</v>
      </c>
      <c r="N224" s="15">
        <v>158691</v>
      </c>
      <c r="O224" s="17" cm="1">
        <f t="array" ref="O224">(H224-H223)/H223</f>
        <v>-0.00781665643544097</v>
      </c>
    </row>
    <row r="225" ht="13.65" customHeight="1">
      <c r="A225" s="18">
        <v>44613</v>
      </c>
      <c r="B225" t="s" s="13">
        <v>22</v>
      </c>
      <c r="C225" s="14">
        <v>2412</v>
      </c>
      <c r="D225" s="14">
        <v>2437.5</v>
      </c>
      <c r="E225" s="14">
        <v>2384.6</v>
      </c>
      <c r="F225" s="14">
        <v>2424.4</v>
      </c>
      <c r="G225" s="14">
        <v>2399.6</v>
      </c>
      <c r="H225" s="14">
        <v>2399.9</v>
      </c>
      <c r="I225" s="14">
        <v>2409.12</v>
      </c>
      <c r="J225" s="14">
        <v>2751.35</v>
      </c>
      <c r="K225" s="14">
        <v>1876.7</v>
      </c>
      <c r="L225" s="15">
        <v>5125968</v>
      </c>
      <c r="M225" t="s" s="13">
        <v>244</v>
      </c>
      <c r="N225" s="15">
        <v>226214</v>
      </c>
      <c r="O225" s="17" cm="1">
        <f t="array" ref="O225">(H225-H224)/H224</f>
        <v>-0.0101055931364461</v>
      </c>
    </row>
    <row r="226" ht="13.65" customHeight="1">
      <c r="A226" s="18">
        <v>44614</v>
      </c>
      <c r="B226" t="s" s="13">
        <v>22</v>
      </c>
      <c r="C226" s="14">
        <v>2352.9</v>
      </c>
      <c r="D226" s="14">
        <v>2395.9</v>
      </c>
      <c r="E226" s="14">
        <v>2347.15</v>
      </c>
      <c r="F226" s="14">
        <v>2399.9</v>
      </c>
      <c r="G226" s="14">
        <v>2389.75</v>
      </c>
      <c r="H226" s="14">
        <v>2389</v>
      </c>
      <c r="I226" s="14">
        <v>2372.16</v>
      </c>
      <c r="J226" s="14">
        <v>2751.35</v>
      </c>
      <c r="K226" s="14">
        <v>1876.7</v>
      </c>
      <c r="L226" s="15">
        <v>6227901</v>
      </c>
      <c r="M226" t="s" s="13">
        <v>245</v>
      </c>
      <c r="N226" s="15">
        <v>197401</v>
      </c>
      <c r="O226" s="17" cm="1">
        <f t="array" ref="O226">(H226-H225)/H225</f>
        <v>-0.00454185591066294</v>
      </c>
    </row>
    <row r="227" ht="13.65" customHeight="1">
      <c r="A227" s="18">
        <v>44615</v>
      </c>
      <c r="B227" t="s" s="13">
        <v>22</v>
      </c>
      <c r="C227" s="14">
        <v>2401.1</v>
      </c>
      <c r="D227" s="14">
        <v>2406.55</v>
      </c>
      <c r="E227" s="14">
        <v>2368</v>
      </c>
      <c r="F227" s="14">
        <v>2389</v>
      </c>
      <c r="G227" s="14">
        <v>2371.25</v>
      </c>
      <c r="H227" s="14">
        <v>2374.05</v>
      </c>
      <c r="I227" s="14">
        <v>2391.23</v>
      </c>
      <c r="J227" s="14">
        <v>2751.35</v>
      </c>
      <c r="K227" s="14">
        <v>1876.7</v>
      </c>
      <c r="L227" s="15">
        <v>3373615</v>
      </c>
      <c r="M227" t="s" s="13">
        <v>246</v>
      </c>
      <c r="N227" s="15">
        <v>195350</v>
      </c>
      <c r="O227" s="17" cm="1">
        <f t="array" ref="O227">(H227-H226)/H226</f>
        <v>-0.00625784847216409</v>
      </c>
    </row>
    <row r="228" ht="13.65" customHeight="1">
      <c r="A228" s="18">
        <v>44616</v>
      </c>
      <c r="B228" t="s" s="13">
        <v>22</v>
      </c>
      <c r="C228" s="14">
        <v>2305</v>
      </c>
      <c r="D228" s="14">
        <v>2339.9</v>
      </c>
      <c r="E228" s="14">
        <v>2243.4</v>
      </c>
      <c r="F228" s="14">
        <v>2374.05</v>
      </c>
      <c r="G228" s="14">
        <v>2250</v>
      </c>
      <c r="H228" s="14">
        <v>2255.75</v>
      </c>
      <c r="I228" s="14">
        <v>2291.15</v>
      </c>
      <c r="J228" s="14">
        <v>2751.35</v>
      </c>
      <c r="K228" s="14">
        <v>1876.7</v>
      </c>
      <c r="L228" s="15">
        <v>11466725</v>
      </c>
      <c r="M228" t="s" s="13">
        <v>247</v>
      </c>
      <c r="N228" s="15">
        <v>493459</v>
      </c>
      <c r="O228" s="17" cm="1">
        <f t="array" ref="O228">(H228-H227)/H227</f>
        <v>-0.0498304584991891</v>
      </c>
    </row>
    <row r="229" ht="13.65" customHeight="1">
      <c r="A229" s="18">
        <v>44617</v>
      </c>
      <c r="B229" t="s" s="13">
        <v>22</v>
      </c>
      <c r="C229" s="14">
        <v>2280.1</v>
      </c>
      <c r="D229" s="14">
        <v>2307.95</v>
      </c>
      <c r="E229" s="14">
        <v>2276.25</v>
      </c>
      <c r="F229" s="14">
        <v>2255.75</v>
      </c>
      <c r="G229" s="14">
        <v>2283</v>
      </c>
      <c r="H229" s="14">
        <v>2283.95</v>
      </c>
      <c r="I229" s="14">
        <v>2290.84</v>
      </c>
      <c r="J229" s="14">
        <v>2751.35</v>
      </c>
      <c r="K229" s="14">
        <v>1876.7</v>
      </c>
      <c r="L229" s="15">
        <v>6724094</v>
      </c>
      <c r="M229" t="s" s="13">
        <v>248</v>
      </c>
      <c r="N229" s="15">
        <v>281047</v>
      </c>
      <c r="O229" s="17" cm="1">
        <f t="array" ref="O229">(H229-H228)/H228</f>
        <v>0.0125013853485537</v>
      </c>
    </row>
    <row r="230" ht="13.65" customHeight="1">
      <c r="A230" s="18">
        <v>44620</v>
      </c>
      <c r="B230" t="s" s="13">
        <v>22</v>
      </c>
      <c r="C230" s="14">
        <v>2243</v>
      </c>
      <c r="D230" s="14">
        <v>2367.35</v>
      </c>
      <c r="E230" s="14">
        <v>2243</v>
      </c>
      <c r="F230" s="14">
        <v>2283.95</v>
      </c>
      <c r="G230" s="14">
        <v>2355</v>
      </c>
      <c r="H230" s="14">
        <v>2359.55</v>
      </c>
      <c r="I230" s="14">
        <v>2328.64</v>
      </c>
      <c r="J230" s="14">
        <v>2751.35</v>
      </c>
      <c r="K230" s="14">
        <v>1876.7</v>
      </c>
      <c r="L230" s="15">
        <v>9828768</v>
      </c>
      <c r="M230" t="s" s="13">
        <v>249</v>
      </c>
      <c r="N230" s="15">
        <v>240020</v>
      </c>
      <c r="O230" s="17" cm="1">
        <f t="array" ref="O230">(H230-H229)/H229</f>
        <v>0.033100549486635</v>
      </c>
    </row>
    <row r="231" ht="13.65" customHeight="1">
      <c r="A231" s="12">
        <v>44622</v>
      </c>
      <c r="B231" t="s" s="13">
        <v>22</v>
      </c>
      <c r="C231" s="14">
        <v>2334.45</v>
      </c>
      <c r="D231" s="14">
        <v>2401</v>
      </c>
      <c r="E231" s="14">
        <v>2329.2</v>
      </c>
      <c r="F231" s="14">
        <v>2359.55</v>
      </c>
      <c r="G231" s="14">
        <v>2399.25</v>
      </c>
      <c r="H231" s="14">
        <v>2398.55</v>
      </c>
      <c r="I231" s="14">
        <v>2376.69</v>
      </c>
      <c r="J231" s="14">
        <v>2751.35</v>
      </c>
      <c r="K231" s="14">
        <v>1876.7</v>
      </c>
      <c r="L231" s="15">
        <v>9909226</v>
      </c>
      <c r="M231" t="s" s="13">
        <v>250</v>
      </c>
      <c r="N231" s="15">
        <v>309328</v>
      </c>
      <c r="O231" s="17" cm="1">
        <f t="array" ref="O231">(H231-H230)/H230</f>
        <v>0.0165285753639465</v>
      </c>
    </row>
    <row r="232" ht="13.65" customHeight="1">
      <c r="A232" s="12">
        <v>44623</v>
      </c>
      <c r="B232" t="s" s="13">
        <v>22</v>
      </c>
      <c r="C232" s="14">
        <v>2400</v>
      </c>
      <c r="D232" s="14">
        <v>2414.85</v>
      </c>
      <c r="E232" s="14">
        <v>2370.05</v>
      </c>
      <c r="F232" s="14">
        <v>2398.55</v>
      </c>
      <c r="G232" s="14">
        <v>2382</v>
      </c>
      <c r="H232" s="14">
        <v>2378.3</v>
      </c>
      <c r="I232" s="14">
        <v>2392.27</v>
      </c>
      <c r="J232" s="14">
        <v>2751.35</v>
      </c>
      <c r="K232" s="14">
        <v>1876.7</v>
      </c>
      <c r="L232" s="15">
        <v>4701183</v>
      </c>
      <c r="M232" t="s" s="13">
        <v>251</v>
      </c>
      <c r="N232" s="15">
        <v>230143</v>
      </c>
      <c r="O232" s="17" cm="1">
        <f t="array" ref="O232">(H232-H231)/H231</f>
        <v>-0.00844260073794584</v>
      </c>
    </row>
    <row r="233" ht="13.65" customHeight="1">
      <c r="A233" s="12">
        <v>44624</v>
      </c>
      <c r="B233" t="s" s="13">
        <v>22</v>
      </c>
      <c r="C233" s="14">
        <v>2353</v>
      </c>
      <c r="D233" s="14">
        <v>2364.3</v>
      </c>
      <c r="E233" s="14">
        <v>2320.35</v>
      </c>
      <c r="F233" s="14">
        <v>2378.3</v>
      </c>
      <c r="G233" s="14">
        <v>2327.95</v>
      </c>
      <c r="H233" s="14">
        <v>2325.55</v>
      </c>
      <c r="I233" s="14">
        <v>2338.2</v>
      </c>
      <c r="J233" s="14">
        <v>2751.35</v>
      </c>
      <c r="K233" s="14">
        <v>1876.7</v>
      </c>
      <c r="L233" s="15">
        <v>4986814</v>
      </c>
      <c r="M233" t="s" s="13">
        <v>252</v>
      </c>
      <c r="N233" s="15">
        <v>219860</v>
      </c>
      <c r="O233" s="17" cm="1">
        <f t="array" ref="O233">(H233-H232)/H232</f>
        <v>-0.0221797081949292</v>
      </c>
    </row>
    <row r="234" ht="13.65" customHeight="1">
      <c r="A234" s="12">
        <v>44627</v>
      </c>
      <c r="B234" t="s" s="13">
        <v>22</v>
      </c>
      <c r="C234" s="14">
        <v>2278.7</v>
      </c>
      <c r="D234" s="14">
        <v>2312.1</v>
      </c>
      <c r="E234" s="14">
        <v>2222</v>
      </c>
      <c r="F234" s="14">
        <v>2325.55</v>
      </c>
      <c r="G234" s="14">
        <v>2240.05</v>
      </c>
      <c r="H234" s="14">
        <v>2239.55</v>
      </c>
      <c r="I234" s="14">
        <v>2256.84</v>
      </c>
      <c r="J234" s="14">
        <v>2751.35</v>
      </c>
      <c r="K234" s="14">
        <v>1876.7</v>
      </c>
      <c r="L234" s="15">
        <v>8299295</v>
      </c>
      <c r="M234" t="s" s="13">
        <v>253</v>
      </c>
      <c r="N234" s="15">
        <v>372828</v>
      </c>
      <c r="O234" s="17" cm="1">
        <f t="array" ref="O234">(H234-H233)/H233</f>
        <v>-0.0369804992367397</v>
      </c>
    </row>
    <row r="235" ht="13.65" customHeight="1">
      <c r="A235" s="12">
        <v>44628</v>
      </c>
      <c r="B235" t="s" s="13">
        <v>22</v>
      </c>
      <c r="C235" s="14">
        <v>2211.5</v>
      </c>
      <c r="D235" s="14">
        <v>2246</v>
      </c>
      <c r="E235" s="14">
        <v>2180</v>
      </c>
      <c r="F235" s="14">
        <v>2239.55</v>
      </c>
      <c r="G235" s="14">
        <v>2235.05</v>
      </c>
      <c r="H235" s="14">
        <v>2235.5</v>
      </c>
      <c r="I235" s="14">
        <v>2220.15</v>
      </c>
      <c r="J235" s="14">
        <v>2751.35</v>
      </c>
      <c r="K235" s="14">
        <v>1876.7</v>
      </c>
      <c r="L235" s="15">
        <v>9825043</v>
      </c>
      <c r="M235" t="s" s="13">
        <v>254</v>
      </c>
      <c r="N235" s="15">
        <v>428117</v>
      </c>
      <c r="O235" s="17" cm="1">
        <f t="array" ref="O235">(H235-H234)/H234</f>
        <v>-0.00180839900872943</v>
      </c>
    </row>
    <row r="236" ht="13.65" customHeight="1">
      <c r="A236" s="12">
        <v>44629</v>
      </c>
      <c r="B236" t="s" s="13">
        <v>22</v>
      </c>
      <c r="C236" s="14">
        <v>2236</v>
      </c>
      <c r="D236" s="14">
        <v>2367</v>
      </c>
      <c r="E236" s="14">
        <v>2234.15</v>
      </c>
      <c r="F236" s="14">
        <v>2235.5</v>
      </c>
      <c r="G236" s="14">
        <v>2358.3</v>
      </c>
      <c r="H236" s="14">
        <v>2354.1</v>
      </c>
      <c r="I236" s="14">
        <v>2316.35</v>
      </c>
      <c r="J236" s="14">
        <v>2751.35</v>
      </c>
      <c r="K236" s="14">
        <v>1876.7</v>
      </c>
      <c r="L236" s="15">
        <v>9421163</v>
      </c>
      <c r="M236" t="s" s="13">
        <v>255</v>
      </c>
      <c r="N236" s="15">
        <v>325395</v>
      </c>
      <c r="O236" s="17" cm="1">
        <f t="array" ref="O236">(H236-H235)/H235</f>
        <v>0.0530530082755536</v>
      </c>
    </row>
    <row r="237" ht="13.65" customHeight="1">
      <c r="A237" s="18">
        <v>44630</v>
      </c>
      <c r="B237" t="s" s="13">
        <v>22</v>
      </c>
      <c r="C237" s="14">
        <v>2400</v>
      </c>
      <c r="D237" s="14">
        <v>2405</v>
      </c>
      <c r="E237" s="14">
        <v>2360</v>
      </c>
      <c r="F237" s="14">
        <v>2354.1</v>
      </c>
      <c r="G237" s="14">
        <v>2387</v>
      </c>
      <c r="H237" s="14">
        <v>2392.25</v>
      </c>
      <c r="I237" s="14">
        <v>2386.79</v>
      </c>
      <c r="J237" s="14">
        <v>2751.35</v>
      </c>
      <c r="K237" s="14">
        <v>1876.7</v>
      </c>
      <c r="L237" s="15">
        <v>8297995</v>
      </c>
      <c r="M237" t="s" s="13">
        <v>256</v>
      </c>
      <c r="N237" s="15">
        <v>278083</v>
      </c>
      <c r="O237" s="17" cm="1">
        <f t="array" ref="O237">(H237-H236)/H236</f>
        <v>0.0162057686589355</v>
      </c>
    </row>
    <row r="238" ht="13.65" customHeight="1">
      <c r="A238" s="18">
        <v>44631</v>
      </c>
      <c r="B238" t="s" s="13">
        <v>22</v>
      </c>
      <c r="C238" s="14">
        <v>2376.05</v>
      </c>
      <c r="D238" s="14">
        <v>2411</v>
      </c>
      <c r="E238" s="14">
        <v>2376.05</v>
      </c>
      <c r="F238" s="14">
        <v>2392.25</v>
      </c>
      <c r="G238" s="14">
        <v>2393.15</v>
      </c>
      <c r="H238" s="14">
        <v>2399.15</v>
      </c>
      <c r="I238" s="14">
        <v>2396.11</v>
      </c>
      <c r="J238" s="14">
        <v>2751.35</v>
      </c>
      <c r="K238" s="14">
        <v>1876.7</v>
      </c>
      <c r="L238" s="15">
        <v>5656799</v>
      </c>
      <c r="M238" t="s" s="13">
        <v>257</v>
      </c>
      <c r="N238" s="15">
        <v>199494</v>
      </c>
      <c r="O238" s="17" cm="1">
        <f t="array" ref="O238">(H238-H237)/H237</f>
        <v>0.00288431393040025</v>
      </c>
    </row>
    <row r="239" ht="13.65" customHeight="1">
      <c r="A239" s="18">
        <v>44634</v>
      </c>
      <c r="B239" t="s" s="13">
        <v>22</v>
      </c>
      <c r="C239" s="14">
        <v>2386.9</v>
      </c>
      <c r="D239" s="14">
        <v>2424.4</v>
      </c>
      <c r="E239" s="14">
        <v>2374</v>
      </c>
      <c r="F239" s="14">
        <v>2399.15</v>
      </c>
      <c r="G239" s="14">
        <v>2422.2</v>
      </c>
      <c r="H239" s="14">
        <v>2418.85</v>
      </c>
      <c r="I239" s="14">
        <v>2401.52</v>
      </c>
      <c r="J239" s="14">
        <v>2751.35</v>
      </c>
      <c r="K239" s="14">
        <v>1876.7</v>
      </c>
      <c r="L239" s="15">
        <v>3849222</v>
      </c>
      <c r="M239" t="s" s="13">
        <v>258</v>
      </c>
      <c r="N239" s="15">
        <v>160500</v>
      </c>
      <c r="O239" s="17" cm="1">
        <f t="array" ref="O239">(H239-H238)/H238</f>
        <v>0.008211241481357981</v>
      </c>
    </row>
    <row r="240" ht="13.65" customHeight="1">
      <c r="A240" s="18">
        <v>44635</v>
      </c>
      <c r="B240" t="s" s="13">
        <v>22</v>
      </c>
      <c r="C240" s="14">
        <v>2427.95</v>
      </c>
      <c r="D240" s="14">
        <v>2427.95</v>
      </c>
      <c r="E240" s="14">
        <v>2340.85</v>
      </c>
      <c r="F240" s="14">
        <v>2418.85</v>
      </c>
      <c r="G240" s="14">
        <v>2362</v>
      </c>
      <c r="H240" s="14">
        <v>2363.45</v>
      </c>
      <c r="I240" s="14">
        <v>2386.09</v>
      </c>
      <c r="J240" s="14">
        <v>2751.35</v>
      </c>
      <c r="K240" s="14">
        <v>1876.7</v>
      </c>
      <c r="L240" s="15">
        <v>7349740</v>
      </c>
      <c r="M240" t="s" s="13">
        <v>259</v>
      </c>
      <c r="N240" s="15">
        <v>257511</v>
      </c>
      <c r="O240" s="17" cm="1">
        <f t="array" ref="O240">(H240-H239)/H239</f>
        <v>-0.0229034458523679</v>
      </c>
    </row>
    <row r="241" ht="13.65" customHeight="1">
      <c r="A241" s="18">
        <v>44636</v>
      </c>
      <c r="B241" t="s" s="13">
        <v>22</v>
      </c>
      <c r="C241" s="14">
        <v>2382</v>
      </c>
      <c r="D241" s="14">
        <v>2407.9</v>
      </c>
      <c r="E241" s="14">
        <v>2377.1</v>
      </c>
      <c r="F241" s="14">
        <v>2363.45</v>
      </c>
      <c r="G241" s="14">
        <v>2401.5</v>
      </c>
      <c r="H241" s="14">
        <v>2403.35</v>
      </c>
      <c r="I241" s="14">
        <v>2396.17</v>
      </c>
      <c r="J241" s="14">
        <v>2751.35</v>
      </c>
      <c r="K241" s="14">
        <v>1876.7</v>
      </c>
      <c r="L241" s="15">
        <v>5145644</v>
      </c>
      <c r="M241" t="s" s="13">
        <v>260</v>
      </c>
      <c r="N241" s="15">
        <v>185464</v>
      </c>
      <c r="O241" s="17" cm="1">
        <f t="array" ref="O241">(H241-H240)/H240</f>
        <v>0.0168821003194483</v>
      </c>
    </row>
    <row r="242" ht="13.65" customHeight="1">
      <c r="A242" s="18">
        <v>44637</v>
      </c>
      <c r="B242" t="s" s="13">
        <v>22</v>
      </c>
      <c r="C242" s="14">
        <v>2432.75</v>
      </c>
      <c r="D242" s="14">
        <v>2497.4</v>
      </c>
      <c r="E242" s="14">
        <v>2415.1</v>
      </c>
      <c r="F242" s="14">
        <v>2403.35</v>
      </c>
      <c r="G242" s="14">
        <v>2487.5</v>
      </c>
      <c r="H242" s="14">
        <v>2481.7</v>
      </c>
      <c r="I242" s="14">
        <v>2456.66</v>
      </c>
      <c r="J242" s="14">
        <v>2751.35</v>
      </c>
      <c r="K242" s="14">
        <v>1876.7</v>
      </c>
      <c r="L242" s="15">
        <v>9886295</v>
      </c>
      <c r="M242" t="s" s="13">
        <v>261</v>
      </c>
      <c r="N242" s="15">
        <v>274442</v>
      </c>
      <c r="O242" s="17" cm="1">
        <f t="array" ref="O242">(H242-H241)/H241</f>
        <v>0.0326003287078453</v>
      </c>
    </row>
    <row r="243" ht="13.65" customHeight="1">
      <c r="A243" s="18">
        <v>44641</v>
      </c>
      <c r="B243" t="s" s="13">
        <v>22</v>
      </c>
      <c r="C243" s="14">
        <v>2444</v>
      </c>
      <c r="D243" s="14">
        <v>2484</v>
      </c>
      <c r="E243" s="14">
        <v>2439</v>
      </c>
      <c r="F243" s="14">
        <v>2481.7</v>
      </c>
      <c r="G243" s="14">
        <v>2463</v>
      </c>
      <c r="H243" s="14">
        <v>2467.4</v>
      </c>
      <c r="I243" s="14">
        <v>2465.17</v>
      </c>
      <c r="J243" s="14">
        <v>2751.35</v>
      </c>
      <c r="K243" s="14">
        <v>1876.7</v>
      </c>
      <c r="L243" s="15">
        <v>5537752</v>
      </c>
      <c r="M243" t="s" s="13">
        <v>262</v>
      </c>
      <c r="N243" s="15">
        <v>235063</v>
      </c>
      <c r="O243" s="17" cm="1">
        <f t="array" ref="O243">(H243-H242)/H242</f>
        <v>-0.00576217915138816</v>
      </c>
    </row>
    <row r="244" ht="13.65" customHeight="1">
      <c r="A244" s="18">
        <v>44642</v>
      </c>
      <c r="B244" t="s" s="13">
        <v>22</v>
      </c>
      <c r="C244" s="14">
        <v>2460.1</v>
      </c>
      <c r="D244" s="14">
        <v>2534.95</v>
      </c>
      <c r="E244" s="14">
        <v>2453.6</v>
      </c>
      <c r="F244" s="14">
        <v>2467.4</v>
      </c>
      <c r="G244" s="14">
        <v>2528</v>
      </c>
      <c r="H244" s="14">
        <v>2531.15</v>
      </c>
      <c r="I244" s="14">
        <v>2508.41</v>
      </c>
      <c r="J244" s="14">
        <v>2751.35</v>
      </c>
      <c r="K244" s="14">
        <v>1876.7</v>
      </c>
      <c r="L244" s="15">
        <v>10410082</v>
      </c>
      <c r="M244" t="s" s="13">
        <v>263</v>
      </c>
      <c r="N244" s="15">
        <v>314410</v>
      </c>
      <c r="O244" s="17" cm="1">
        <f t="array" ref="O244">(H244-H243)/H243</f>
        <v>0.0258369133500851</v>
      </c>
    </row>
    <row r="245" ht="13.65" customHeight="1">
      <c r="A245" s="18">
        <v>44643</v>
      </c>
      <c r="B245" t="s" s="13">
        <v>22</v>
      </c>
      <c r="C245" s="14">
        <v>2523</v>
      </c>
      <c r="D245" s="14">
        <v>2564.85</v>
      </c>
      <c r="E245" s="14">
        <v>2523</v>
      </c>
      <c r="F245" s="14">
        <v>2531.15</v>
      </c>
      <c r="G245" s="14">
        <v>2535</v>
      </c>
      <c r="H245" s="14">
        <v>2539.2</v>
      </c>
      <c r="I245" s="14">
        <v>2546.52</v>
      </c>
      <c r="J245" s="14">
        <v>2751.35</v>
      </c>
      <c r="K245" s="14">
        <v>1876.7</v>
      </c>
      <c r="L245" s="15">
        <v>7135797</v>
      </c>
      <c r="M245" t="s" s="13">
        <v>264</v>
      </c>
      <c r="N245" s="15">
        <v>235853</v>
      </c>
      <c r="O245" s="17" cm="1">
        <f t="array" ref="O245">(H245-H244)/H244</f>
        <v>0.00318037255792821</v>
      </c>
    </row>
    <row r="246" ht="13.65" customHeight="1">
      <c r="A246" s="18">
        <v>44644</v>
      </c>
      <c r="B246" t="s" s="13">
        <v>22</v>
      </c>
      <c r="C246" s="14">
        <v>2510</v>
      </c>
      <c r="D246" s="14">
        <v>2584.15</v>
      </c>
      <c r="E246" s="14">
        <v>2510</v>
      </c>
      <c r="F246" s="14">
        <v>2539.2</v>
      </c>
      <c r="G246" s="14">
        <v>2572</v>
      </c>
      <c r="H246" s="14">
        <v>2578.65</v>
      </c>
      <c r="I246" s="14">
        <v>2557.8</v>
      </c>
      <c r="J246" s="14">
        <v>2751.35</v>
      </c>
      <c r="K246" s="14">
        <v>1876.7</v>
      </c>
      <c r="L246" s="15">
        <v>6077153</v>
      </c>
      <c r="M246" t="s" s="13">
        <v>265</v>
      </c>
      <c r="N246" s="15">
        <v>221309</v>
      </c>
      <c r="O246" s="17" cm="1">
        <f t="array" ref="O246">(H246-H245)/H245</f>
        <v>0.0155363894139887</v>
      </c>
    </row>
    <row r="247" ht="13.65" customHeight="1">
      <c r="A247" s="18">
        <v>44645</v>
      </c>
      <c r="B247" t="s" s="13">
        <v>22</v>
      </c>
      <c r="C247" s="14">
        <v>2582.5</v>
      </c>
      <c r="D247" s="14">
        <v>2616</v>
      </c>
      <c r="E247" s="14">
        <v>2577</v>
      </c>
      <c r="F247" s="14">
        <v>2578.65</v>
      </c>
      <c r="G247" s="14">
        <v>2600.9</v>
      </c>
      <c r="H247" s="14">
        <v>2595.85</v>
      </c>
      <c r="I247" s="14">
        <v>2596.66</v>
      </c>
      <c r="J247" s="14">
        <v>2751.35</v>
      </c>
      <c r="K247" s="14">
        <v>1876.7</v>
      </c>
      <c r="L247" s="15">
        <v>6563676</v>
      </c>
      <c r="M247" t="s" s="13">
        <v>266</v>
      </c>
      <c r="N247" s="15">
        <v>276908</v>
      </c>
      <c r="O247" s="17" cm="1">
        <f t="array" ref="O247">(H247-H246)/H246</f>
        <v>0.00667015686502627</v>
      </c>
    </row>
    <row r="248" ht="13.65" customHeight="1">
      <c r="A248" s="18">
        <v>44648</v>
      </c>
      <c r="B248" t="s" s="13">
        <v>22</v>
      </c>
      <c r="C248" s="14">
        <v>2610</v>
      </c>
      <c r="D248" s="14">
        <v>2629.75</v>
      </c>
      <c r="E248" s="14">
        <v>2586.5</v>
      </c>
      <c r="F248" s="14">
        <v>2595.85</v>
      </c>
      <c r="G248" s="14">
        <v>2617</v>
      </c>
      <c r="H248" s="14">
        <v>2621.95</v>
      </c>
      <c r="I248" s="14">
        <v>2611.69</v>
      </c>
      <c r="J248" s="14">
        <v>2751.35</v>
      </c>
      <c r="K248" s="14">
        <v>1876.7</v>
      </c>
      <c r="L248" s="15">
        <v>4564891</v>
      </c>
      <c r="M248" t="s" s="13">
        <v>267</v>
      </c>
      <c r="N248" s="15">
        <v>183261</v>
      </c>
      <c r="O248" s="17" cm="1">
        <f t="array" ref="O248">(H248-H247)/H247</f>
        <v>0.0100545100834024</v>
      </c>
    </row>
    <row r="249" ht="13.65" customHeight="1">
      <c r="A249" s="18">
        <v>44649</v>
      </c>
      <c r="B249" t="s" s="13">
        <v>22</v>
      </c>
      <c r="C249" s="14">
        <v>2638</v>
      </c>
      <c r="D249" s="14">
        <v>2638</v>
      </c>
      <c r="E249" s="14">
        <v>2607.4</v>
      </c>
      <c r="F249" s="14">
        <v>2621.95</v>
      </c>
      <c r="G249" s="14">
        <v>2618</v>
      </c>
      <c r="H249" s="14">
        <v>2622.55</v>
      </c>
      <c r="I249" s="14">
        <v>2623</v>
      </c>
      <c r="J249" s="14">
        <v>2751.35</v>
      </c>
      <c r="K249" s="14">
        <v>1876.7</v>
      </c>
      <c r="L249" s="15">
        <v>4007695</v>
      </c>
      <c r="M249" t="s" s="13">
        <v>268</v>
      </c>
      <c r="N249" s="15">
        <v>203830</v>
      </c>
      <c r="O249" s="17" cm="1">
        <f t="array" ref="O249">(H249-H248)/H248</f>
        <v>0.000228837315738286</v>
      </c>
    </row>
    <row r="250" ht="13.65" customHeight="1">
      <c r="A250" s="18">
        <v>44650</v>
      </c>
      <c r="B250" t="s" s="13">
        <v>22</v>
      </c>
      <c r="C250" s="14">
        <v>2639.9</v>
      </c>
      <c r="D250" s="14">
        <v>2688</v>
      </c>
      <c r="E250" s="14">
        <v>2617.1</v>
      </c>
      <c r="F250" s="14">
        <v>2622.55</v>
      </c>
      <c r="G250" s="14">
        <v>2658.7</v>
      </c>
      <c r="H250" s="14">
        <v>2672.95</v>
      </c>
      <c r="I250" s="14">
        <v>2661.36</v>
      </c>
      <c r="J250" s="14">
        <v>2751.35</v>
      </c>
      <c r="K250" s="14">
        <v>1876.7</v>
      </c>
      <c r="L250" s="15">
        <v>7297028</v>
      </c>
      <c r="M250" t="s" s="13">
        <v>269</v>
      </c>
      <c r="N250" s="15">
        <v>219316</v>
      </c>
      <c r="O250" s="17" cm="1">
        <f t="array" ref="O250">(H250-H249)/H249</f>
        <v>0.0192179367409582</v>
      </c>
    </row>
    <row r="251" ht="13.65" customHeight="1">
      <c r="A251" s="18">
        <v>44651</v>
      </c>
      <c r="B251" t="s" s="13">
        <v>22</v>
      </c>
      <c r="C251" s="14">
        <v>2664.95</v>
      </c>
      <c r="D251" s="14">
        <v>2669.7</v>
      </c>
      <c r="E251" s="14">
        <v>2628.6</v>
      </c>
      <c r="F251" s="14">
        <v>2672.95</v>
      </c>
      <c r="G251" s="14">
        <v>2636</v>
      </c>
      <c r="H251" s="14">
        <v>2634.75</v>
      </c>
      <c r="I251" s="14">
        <v>2642</v>
      </c>
      <c r="J251" s="14">
        <v>2751.35</v>
      </c>
      <c r="K251" s="14">
        <v>1876.7</v>
      </c>
      <c r="L251" s="15">
        <v>6102744</v>
      </c>
      <c r="M251" t="s" s="13">
        <v>270</v>
      </c>
      <c r="N251" s="15">
        <v>249443</v>
      </c>
      <c r="O251" s="17" cm="1">
        <f t="array" ref="O251">(H251-H250)/H250</f>
        <v>-0.0142913260629641</v>
      </c>
    </row>
    <row r="252" ht="13.65" customHeight="1">
      <c r="A252" s="12">
        <v>44652</v>
      </c>
      <c r="B252" t="s" s="13">
        <v>22</v>
      </c>
      <c r="C252" s="14">
        <v>2636</v>
      </c>
      <c r="D252" s="14">
        <v>2665.15</v>
      </c>
      <c r="E252" s="14">
        <v>2622</v>
      </c>
      <c r="F252" s="14">
        <v>2634.75</v>
      </c>
      <c r="G252" s="14">
        <v>2661</v>
      </c>
      <c r="H252" s="14">
        <v>2655.85</v>
      </c>
      <c r="I252" s="14">
        <v>2641.48</v>
      </c>
      <c r="J252" s="14">
        <v>2751.35</v>
      </c>
      <c r="K252" s="14">
        <v>1876.7</v>
      </c>
      <c r="L252" s="15">
        <v>3656408</v>
      </c>
      <c r="M252" t="s" s="13">
        <v>271</v>
      </c>
      <c r="N252" s="15">
        <v>163060</v>
      </c>
      <c r="O252" s="17" cm="1">
        <f t="array" ref="O252">(H252-H251)/H251</f>
        <v>0.008008349938324321</v>
      </c>
    </row>
    <row r="253" ht="13.65" customHeight="1">
      <c r="A253" s="21"/>
      <c r="B253" s="21"/>
      <c r="C253" s="21"/>
      <c r="D253" s="21"/>
      <c r="E253" s="21"/>
      <c r="F253" s="21"/>
      <c r="G253" s="21"/>
      <c r="H253" s="21"/>
      <c r="I253" s="21"/>
      <c r="J253" s="21"/>
      <c r="K253" s="21"/>
      <c r="L253" s="21"/>
      <c r="M253" s="21"/>
      <c r="N253" s="21"/>
      <c r="O253" s="8"/>
    </row>
    <row r="254" ht="13.65" customHeight="1">
      <c r="A254" s="8"/>
      <c r="B254" s="8"/>
      <c r="C254" s="8"/>
      <c r="D254" s="8"/>
      <c r="E254" s="8"/>
      <c r="F254" s="8"/>
      <c r="G254" s="8"/>
      <c r="H254" s="8"/>
      <c r="I254" s="8"/>
      <c r="J254" s="8"/>
      <c r="K254" s="8"/>
      <c r="L254" s="8"/>
      <c r="M254" s="8"/>
      <c r="N254" t="s" s="7">
        <v>272</v>
      </c>
      <c r="O254" s="22" cm="1">
        <f t="array" ref="O254">AVERAGE(O4:O252)</f>
        <v>0.00122524849916077</v>
      </c>
    </row>
    <row r="255" ht="13.65" customHeight="1">
      <c r="A255" s="8"/>
      <c r="B255" s="8"/>
      <c r="C255" s="8"/>
      <c r="D255" s="8"/>
      <c r="E255" s="8"/>
      <c r="F255" s="8"/>
      <c r="G255" s="8"/>
      <c r="H255" s="8"/>
      <c r="I255" s="8"/>
      <c r="J255" s="8"/>
      <c r="K255" s="8"/>
      <c r="L255" s="8"/>
      <c r="M255" s="8"/>
      <c r="N255" t="s" s="7">
        <v>273</v>
      </c>
      <c r="O255" s="22">
        <v>0.0159</v>
      </c>
    </row>
    <row r="256" ht="13.65" customHeight="1">
      <c r="A256" s="8"/>
      <c r="B256" s="8"/>
      <c r="C256" s="8"/>
      <c r="D256" s="8"/>
      <c r="E256" s="8"/>
      <c r="F256" s="8"/>
      <c r="G256" s="8"/>
      <c r="H256" s="8"/>
      <c r="I256" s="8"/>
      <c r="J256" s="8"/>
      <c r="K256" s="8"/>
      <c r="L256" s="8"/>
      <c r="M256" s="8"/>
      <c r="N256" t="s" s="7">
        <v>274</v>
      </c>
      <c r="O256" s="23" cm="1">
        <f t="array" ref="O256">AVERAGE(L4:L252)</f>
        <v>6896304.58634538</v>
      </c>
    </row>
    <row r="257" ht="13.65" customHeight="1">
      <c r="A257" s="8"/>
      <c r="B257" s="8"/>
      <c r="C257" s="8"/>
      <c r="D257" s="8"/>
      <c r="E257" s="8"/>
      <c r="F257" s="8"/>
      <c r="G257" s="8"/>
      <c r="H257" s="8"/>
      <c r="I257" s="8"/>
      <c r="J257" s="8"/>
      <c r="K257" s="8"/>
      <c r="L257" s="8"/>
      <c r="M257" s="8"/>
      <c r="N257" t="s" s="7">
        <v>275</v>
      </c>
      <c r="O257" s="23" cm="1">
        <f t="array" ref="O257">IF(H252&gt;H4,1,IF(H252&lt;H4,-1,0))</f>
        <v>1</v>
      </c>
    </row>
    <row r="258" ht="13.65" customHeight="1">
      <c r="A258" s="8"/>
      <c r="B258" s="8"/>
      <c r="C258" s="8"/>
      <c r="D258" s="8"/>
      <c r="E258" s="8"/>
      <c r="F258" s="8"/>
      <c r="G258" s="8"/>
      <c r="H258" s="8"/>
      <c r="I258" s="8"/>
      <c r="J258" s="8"/>
      <c r="K258" s="8"/>
      <c r="L258" s="8"/>
      <c r="M258" s="8"/>
      <c r="N258" t="s" s="7">
        <v>276</v>
      </c>
      <c r="O258" s="22" cm="1">
        <f t="array" ref="O258">(H252-H4)/H4</f>
        <v>0.313574201844845</v>
      </c>
    </row>
    <row r="259" ht="13.65" customHeight="1">
      <c r="A259" t="s" s="7">
        <v>277</v>
      </c>
      <c r="B259" s="8"/>
      <c r="C259" s="8"/>
      <c r="D259" s="8"/>
      <c r="E259" s="8"/>
      <c r="F259" s="8"/>
      <c r="G259" s="8"/>
      <c r="H259" s="8"/>
      <c r="I259" s="8"/>
      <c r="J259" s="8"/>
      <c r="K259" s="8"/>
      <c r="L259" s="8"/>
      <c r="M259" s="8"/>
      <c r="N259" s="8"/>
      <c r="O259" s="8"/>
    </row>
    <row r="260" ht="13.65" customHeight="1">
      <c r="A260" s="9"/>
      <c r="B260" s="9"/>
      <c r="C260" s="9"/>
      <c r="D260" s="9"/>
      <c r="E260" s="9"/>
      <c r="F260" s="9"/>
      <c r="G260" s="9"/>
      <c r="H260" s="9"/>
      <c r="I260" s="9"/>
      <c r="J260" s="9"/>
      <c r="K260" s="9"/>
      <c r="L260" s="9"/>
      <c r="M260" s="9"/>
      <c r="N260" s="9"/>
      <c r="O260" s="8"/>
    </row>
    <row r="261" ht="13.65" customHeight="1">
      <c r="A261" t="s" s="10">
        <v>7</v>
      </c>
      <c r="B261" t="s" s="10">
        <v>8</v>
      </c>
      <c r="C261" t="s" s="10">
        <v>9</v>
      </c>
      <c r="D261" t="s" s="10">
        <v>10</v>
      </c>
      <c r="E261" t="s" s="10">
        <v>11</v>
      </c>
      <c r="F261" t="s" s="10">
        <v>12</v>
      </c>
      <c r="G261" t="s" s="10">
        <v>13</v>
      </c>
      <c r="H261" t="s" s="10">
        <v>14</v>
      </c>
      <c r="I261" t="s" s="10">
        <v>15</v>
      </c>
      <c r="J261" t="s" s="10">
        <v>16</v>
      </c>
      <c r="K261" t="s" s="10">
        <v>17</v>
      </c>
      <c r="L261" t="s" s="10">
        <v>18</v>
      </c>
      <c r="M261" t="s" s="10">
        <v>19</v>
      </c>
      <c r="N261" t="s" s="10">
        <v>20</v>
      </c>
      <c r="O261" t="s" s="11">
        <v>278</v>
      </c>
    </row>
    <row r="262" ht="13.65" customHeight="1">
      <c r="A262" s="12">
        <v>44652</v>
      </c>
      <c r="B262" t="s" s="13">
        <v>22</v>
      </c>
      <c r="C262" s="14">
        <v>2636</v>
      </c>
      <c r="D262" s="14">
        <v>2665.15</v>
      </c>
      <c r="E262" s="14">
        <v>2622</v>
      </c>
      <c r="F262" s="14">
        <v>2634.75</v>
      </c>
      <c r="G262" s="14">
        <v>2661</v>
      </c>
      <c r="H262" s="14">
        <v>2655.85</v>
      </c>
      <c r="I262" s="14">
        <v>2641.48</v>
      </c>
      <c r="J262" s="14">
        <v>2751.35</v>
      </c>
      <c r="K262" s="14">
        <v>1876.7</v>
      </c>
      <c r="L262" s="15">
        <v>3656408</v>
      </c>
      <c r="M262" t="s" s="13">
        <v>271</v>
      </c>
      <c r="N262" s="15">
        <v>163060</v>
      </c>
      <c r="O262" s="16"/>
    </row>
    <row r="263" ht="13.65" customHeight="1">
      <c r="A263" s="12">
        <v>44655</v>
      </c>
      <c r="B263" t="s" s="13">
        <v>22</v>
      </c>
      <c r="C263" s="14">
        <v>2655.45</v>
      </c>
      <c r="D263" s="14">
        <v>2675</v>
      </c>
      <c r="E263" s="14">
        <v>2641.65</v>
      </c>
      <c r="F263" s="14">
        <v>2655.85</v>
      </c>
      <c r="G263" s="14">
        <v>2660.65</v>
      </c>
      <c r="H263" s="14">
        <v>2663.7</v>
      </c>
      <c r="I263" s="14">
        <v>2658.17</v>
      </c>
      <c r="J263" s="14">
        <v>2751.35</v>
      </c>
      <c r="K263" s="14">
        <v>1876.7</v>
      </c>
      <c r="L263" s="15">
        <v>3659307</v>
      </c>
      <c r="M263" t="s" s="13">
        <v>279</v>
      </c>
      <c r="N263" s="15">
        <v>167593</v>
      </c>
      <c r="O263" s="17" cm="1">
        <f t="array" ref="O263">(H263-H262)/H262</f>
        <v>0.00295573921719977</v>
      </c>
    </row>
    <row r="264" ht="13.65" customHeight="1">
      <c r="A264" s="12">
        <v>44656</v>
      </c>
      <c r="B264" t="s" s="13">
        <v>22</v>
      </c>
      <c r="C264" s="14">
        <v>2651.1</v>
      </c>
      <c r="D264" s="14">
        <v>2669.9</v>
      </c>
      <c r="E264" s="14">
        <v>2620.7</v>
      </c>
      <c r="F264" s="14">
        <v>2663.7</v>
      </c>
      <c r="G264" s="14">
        <v>2626</v>
      </c>
      <c r="H264" s="14">
        <v>2626.05</v>
      </c>
      <c r="I264" s="14">
        <v>2636.9</v>
      </c>
      <c r="J264" s="14">
        <v>2751.35</v>
      </c>
      <c r="K264" s="14">
        <v>1876.7</v>
      </c>
      <c r="L264" s="15">
        <v>6068663</v>
      </c>
      <c r="M264" t="s" s="13">
        <v>280</v>
      </c>
      <c r="N264" s="15">
        <v>204933</v>
      </c>
      <c r="O264" s="17" cm="1">
        <f t="array" ref="O264">(H264-H263)/H263</f>
        <v>-0.0141344746029958</v>
      </c>
    </row>
    <row r="265" ht="13.65" customHeight="1">
      <c r="A265" s="12">
        <v>44657</v>
      </c>
      <c r="B265" t="s" s="13">
        <v>22</v>
      </c>
      <c r="C265" s="14">
        <v>2587.1</v>
      </c>
      <c r="D265" s="14">
        <v>2634.5</v>
      </c>
      <c r="E265" s="14">
        <v>2587.1</v>
      </c>
      <c r="F265" s="14">
        <v>2626.05</v>
      </c>
      <c r="G265" s="14">
        <v>2616</v>
      </c>
      <c r="H265" s="14">
        <v>2619.05</v>
      </c>
      <c r="I265" s="14">
        <v>2613.61</v>
      </c>
      <c r="J265" s="14">
        <v>2751.35</v>
      </c>
      <c r="K265" s="14">
        <v>1876.7</v>
      </c>
      <c r="L265" s="15">
        <v>5656703</v>
      </c>
      <c r="M265" t="s" s="13">
        <v>281</v>
      </c>
      <c r="N265" s="15">
        <v>163311</v>
      </c>
      <c r="O265" s="17" cm="1">
        <f t="array" ref="O265">(H265-H264)/H264</f>
        <v>-0.00266560042649607</v>
      </c>
    </row>
    <row r="266" ht="13.65" customHeight="1">
      <c r="A266" s="12">
        <v>44658</v>
      </c>
      <c r="B266" t="s" s="13">
        <v>22</v>
      </c>
      <c r="C266" s="14">
        <v>2595.1</v>
      </c>
      <c r="D266" s="14">
        <v>2606</v>
      </c>
      <c r="E266" s="14">
        <v>2567</v>
      </c>
      <c r="F266" s="14">
        <v>2619.05</v>
      </c>
      <c r="G266" s="14">
        <v>2572.2</v>
      </c>
      <c r="H266" s="14">
        <v>2572.85</v>
      </c>
      <c r="I266" s="14">
        <v>2583.1</v>
      </c>
      <c r="J266" s="14">
        <v>2751.35</v>
      </c>
      <c r="K266" s="14">
        <v>1876.7</v>
      </c>
      <c r="L266" s="15">
        <v>7151632</v>
      </c>
      <c r="M266" t="s" s="13">
        <v>282</v>
      </c>
      <c r="N266" s="15">
        <v>233582</v>
      </c>
      <c r="O266" s="17" cm="1">
        <f t="array" ref="O266">(H266-H265)/H265</f>
        <v>-0.0176399839636509</v>
      </c>
    </row>
    <row r="267" ht="13.65" customHeight="1">
      <c r="A267" s="12">
        <v>44659</v>
      </c>
      <c r="B267" t="s" s="13">
        <v>22</v>
      </c>
      <c r="C267" s="14">
        <v>2560</v>
      </c>
      <c r="D267" s="14">
        <v>2625</v>
      </c>
      <c r="E267" s="14">
        <v>2560</v>
      </c>
      <c r="F267" s="14">
        <v>2572.85</v>
      </c>
      <c r="G267" s="14">
        <v>2617.95</v>
      </c>
      <c r="H267" s="14">
        <v>2615.65</v>
      </c>
      <c r="I267" s="14">
        <v>2602.86</v>
      </c>
      <c r="J267" s="14">
        <v>2751.35</v>
      </c>
      <c r="K267" s="14">
        <v>1876.7</v>
      </c>
      <c r="L267" s="15">
        <v>6992874</v>
      </c>
      <c r="M267" t="s" s="13">
        <v>283</v>
      </c>
      <c r="N267" s="15">
        <v>213226</v>
      </c>
      <c r="O267" s="17" cm="1">
        <f t="array" ref="O267">(H267-H266)/H266</f>
        <v>0.0166352488485532</v>
      </c>
    </row>
    <row r="268" ht="13.65" customHeight="1">
      <c r="A268" s="18">
        <v>44662</v>
      </c>
      <c r="B268" t="s" s="13">
        <v>22</v>
      </c>
      <c r="C268" s="14">
        <v>2600</v>
      </c>
      <c r="D268" s="14">
        <v>2638.55</v>
      </c>
      <c r="E268" s="14">
        <v>2583</v>
      </c>
      <c r="F268" s="14">
        <v>2615.65</v>
      </c>
      <c r="G268" s="14">
        <v>2610.95</v>
      </c>
      <c r="H268" s="14">
        <v>2610.2</v>
      </c>
      <c r="I268" s="14">
        <v>2606.45</v>
      </c>
      <c r="J268" s="14">
        <v>2751.35</v>
      </c>
      <c r="K268" s="14">
        <v>1876.7</v>
      </c>
      <c r="L268" s="15">
        <v>4270816</v>
      </c>
      <c r="M268" t="s" s="13">
        <v>284</v>
      </c>
      <c r="N268" s="15">
        <v>195602</v>
      </c>
      <c r="O268" s="17" cm="1">
        <f t="array" ref="O268">(H268-H267)/H267</f>
        <v>-0.00208361210406591</v>
      </c>
    </row>
    <row r="269" ht="13.65" customHeight="1">
      <c r="A269" s="18">
        <v>44663</v>
      </c>
      <c r="B269" t="s" s="13">
        <v>22</v>
      </c>
      <c r="C269" s="14">
        <v>2587</v>
      </c>
      <c r="D269" s="14">
        <v>2602.6</v>
      </c>
      <c r="E269" s="14">
        <v>2555.4</v>
      </c>
      <c r="F269" s="14">
        <v>2610.2</v>
      </c>
      <c r="G269" s="14">
        <v>2560</v>
      </c>
      <c r="H269" s="14">
        <v>2561.05</v>
      </c>
      <c r="I269" s="14">
        <v>2571.18</v>
      </c>
      <c r="J269" s="14">
        <v>2751.35</v>
      </c>
      <c r="K269" s="14">
        <v>1876.7</v>
      </c>
      <c r="L269" s="15">
        <v>6099986</v>
      </c>
      <c r="M269" t="s" s="13">
        <v>285</v>
      </c>
      <c r="N269" s="15">
        <v>277354</v>
      </c>
      <c r="O269" s="17" cm="1">
        <f t="array" ref="O269">(H269-H268)/H268</f>
        <v>-0.0188299747145813</v>
      </c>
    </row>
    <row r="270" ht="13.65" customHeight="1">
      <c r="A270" s="18">
        <v>44664</v>
      </c>
      <c r="B270" t="s" s="13">
        <v>22</v>
      </c>
      <c r="C270" s="14">
        <v>2574.5</v>
      </c>
      <c r="D270" s="14">
        <v>2592.6</v>
      </c>
      <c r="E270" s="14">
        <v>2545.5</v>
      </c>
      <c r="F270" s="14">
        <v>2561.05</v>
      </c>
      <c r="G270" s="14">
        <v>2551.9</v>
      </c>
      <c r="H270" s="14">
        <v>2551.65</v>
      </c>
      <c r="I270" s="14">
        <v>2565.29</v>
      </c>
      <c r="J270" s="14">
        <v>2751.35</v>
      </c>
      <c r="K270" s="14">
        <v>1876.7</v>
      </c>
      <c r="L270" s="15">
        <v>4778478</v>
      </c>
      <c r="M270" t="s" s="13">
        <v>286</v>
      </c>
      <c r="N270" s="15">
        <v>192467</v>
      </c>
      <c r="O270" s="17" cm="1">
        <f t="array" ref="O270">(H270-H269)/H269</f>
        <v>-0.00367036957497901</v>
      </c>
    </row>
    <row r="271" ht="13.65" customHeight="1">
      <c r="A271" s="18">
        <v>44669</v>
      </c>
      <c r="B271" t="s" s="13">
        <v>22</v>
      </c>
      <c r="C271" s="14">
        <v>2533</v>
      </c>
      <c r="D271" s="14">
        <v>2559.8</v>
      </c>
      <c r="E271" s="14">
        <v>2521.8</v>
      </c>
      <c r="F271" s="14">
        <v>2551.65</v>
      </c>
      <c r="G271" s="14">
        <v>2540.2</v>
      </c>
      <c r="H271" s="14">
        <v>2543.85</v>
      </c>
      <c r="I271" s="14">
        <v>2538.38</v>
      </c>
      <c r="J271" s="14">
        <v>2751.35</v>
      </c>
      <c r="K271" s="14">
        <v>1876.7</v>
      </c>
      <c r="L271" s="15">
        <v>4603103</v>
      </c>
      <c r="M271" t="s" s="13">
        <v>287</v>
      </c>
      <c r="N271" s="15">
        <v>222881</v>
      </c>
      <c r="O271" s="17" cm="1">
        <f t="array" ref="O271">(H271-H270)/H270</f>
        <v>-0.0030568455705132</v>
      </c>
    </row>
    <row r="272" ht="13.65" customHeight="1">
      <c r="A272" s="18">
        <v>44670</v>
      </c>
      <c r="B272" t="s" s="13">
        <v>22</v>
      </c>
      <c r="C272" s="14">
        <v>2558</v>
      </c>
      <c r="D272" s="14">
        <v>2668</v>
      </c>
      <c r="E272" s="14">
        <v>2551.05</v>
      </c>
      <c r="F272" s="14">
        <v>2543.85</v>
      </c>
      <c r="G272" s="14">
        <v>2626</v>
      </c>
      <c r="H272" s="14">
        <v>2640.8</v>
      </c>
      <c r="I272" s="14">
        <v>2628.35</v>
      </c>
      <c r="J272" s="14">
        <v>2751.35</v>
      </c>
      <c r="K272" s="14">
        <v>1876.7</v>
      </c>
      <c r="L272" s="15">
        <v>12064446</v>
      </c>
      <c r="M272" t="s" s="13">
        <v>288</v>
      </c>
      <c r="N272" s="15">
        <v>459863</v>
      </c>
      <c r="O272" s="17" cm="1">
        <f t="array" ref="O272">(H272-H271)/H271</f>
        <v>0.0381115238712974</v>
      </c>
    </row>
    <row r="273" ht="13.65" customHeight="1">
      <c r="A273" s="18">
        <v>44671</v>
      </c>
      <c r="B273" t="s" s="13">
        <v>22</v>
      </c>
      <c r="C273" s="14">
        <v>2657.1</v>
      </c>
      <c r="D273" s="14">
        <v>2734</v>
      </c>
      <c r="E273" s="14">
        <v>2649.1</v>
      </c>
      <c r="F273" s="14">
        <v>2640.8</v>
      </c>
      <c r="G273" s="14">
        <v>2717.5</v>
      </c>
      <c r="H273" s="14">
        <v>2718.45</v>
      </c>
      <c r="I273" s="14">
        <v>2710.69</v>
      </c>
      <c r="J273" s="14">
        <v>2751.35</v>
      </c>
      <c r="K273" s="14">
        <v>1876.7</v>
      </c>
      <c r="L273" s="15">
        <v>11570835</v>
      </c>
      <c r="M273" t="s" s="13">
        <v>289</v>
      </c>
      <c r="N273" s="15">
        <v>461685</v>
      </c>
      <c r="O273" s="17" cm="1">
        <f t="array" ref="O273">(H273-H272)/H272</f>
        <v>0.0294039684943956</v>
      </c>
    </row>
    <row r="274" ht="13.65" customHeight="1">
      <c r="A274" s="18">
        <v>44672</v>
      </c>
      <c r="B274" t="s" s="13">
        <v>22</v>
      </c>
      <c r="C274" s="14">
        <v>2750.9</v>
      </c>
      <c r="D274" s="14">
        <v>2789</v>
      </c>
      <c r="E274" s="14">
        <v>2732</v>
      </c>
      <c r="F274" s="14">
        <v>2718.45</v>
      </c>
      <c r="G274" s="14">
        <v>2782</v>
      </c>
      <c r="H274" s="14">
        <v>2782.1</v>
      </c>
      <c r="I274" s="14">
        <v>2773.48</v>
      </c>
      <c r="J274" s="14">
        <v>2789</v>
      </c>
      <c r="K274" s="14">
        <v>1876.7</v>
      </c>
      <c r="L274" s="15">
        <v>10018531</v>
      </c>
      <c r="M274" t="s" s="13">
        <v>290</v>
      </c>
      <c r="N274" s="15">
        <v>352010</v>
      </c>
      <c r="O274" s="17" cm="1">
        <f t="array" ref="O274">(H274-H273)/H273</f>
        <v>0.0234140778752598</v>
      </c>
    </row>
    <row r="275" ht="13.65" customHeight="1">
      <c r="A275" s="18">
        <v>44673</v>
      </c>
      <c r="B275" t="s" s="13">
        <v>22</v>
      </c>
      <c r="C275" s="14">
        <v>2758.9</v>
      </c>
      <c r="D275" s="14">
        <v>2802</v>
      </c>
      <c r="E275" s="14">
        <v>2744.2</v>
      </c>
      <c r="F275" s="14">
        <v>2782.1</v>
      </c>
      <c r="G275" s="14">
        <v>2762</v>
      </c>
      <c r="H275" s="14">
        <v>2758.8</v>
      </c>
      <c r="I275" s="14">
        <v>2768.55</v>
      </c>
      <c r="J275" s="14">
        <v>2802</v>
      </c>
      <c r="K275" s="14">
        <v>1876.7</v>
      </c>
      <c r="L275" s="15">
        <v>6947490</v>
      </c>
      <c r="M275" t="s" s="13">
        <v>291</v>
      </c>
      <c r="N275" s="15">
        <v>221036</v>
      </c>
      <c r="O275" s="17" cm="1">
        <f t="array" ref="O275">(H275-H274)/H274</f>
        <v>-0.00837496854893785</v>
      </c>
    </row>
    <row r="276" ht="13.65" customHeight="1">
      <c r="A276" s="18">
        <v>44676</v>
      </c>
      <c r="B276" t="s" s="13">
        <v>22</v>
      </c>
      <c r="C276" s="14">
        <v>2742.4</v>
      </c>
      <c r="D276" s="14">
        <v>2758.4</v>
      </c>
      <c r="E276" s="14">
        <v>2663.65</v>
      </c>
      <c r="F276" s="14">
        <v>2758.8</v>
      </c>
      <c r="G276" s="14">
        <v>2696</v>
      </c>
      <c r="H276" s="14">
        <v>2695</v>
      </c>
      <c r="I276" s="14">
        <v>2711.2</v>
      </c>
      <c r="J276" s="14">
        <v>2802</v>
      </c>
      <c r="K276" s="14">
        <v>1906</v>
      </c>
      <c r="L276" s="15">
        <v>7874671</v>
      </c>
      <c r="M276" t="s" s="13">
        <v>292</v>
      </c>
      <c r="N276" s="15">
        <v>282246</v>
      </c>
      <c r="O276" s="17" cm="1">
        <f t="array" ref="O276">(H276-H275)/H275</f>
        <v>-0.0231259968102073</v>
      </c>
    </row>
    <row r="277" ht="13.65" customHeight="1">
      <c r="A277" s="18">
        <v>44677</v>
      </c>
      <c r="B277" t="s" s="13">
        <v>22</v>
      </c>
      <c r="C277" s="14">
        <v>2710</v>
      </c>
      <c r="D277" s="14">
        <v>2795</v>
      </c>
      <c r="E277" s="14">
        <v>2707.7</v>
      </c>
      <c r="F277" s="14">
        <v>2695</v>
      </c>
      <c r="G277" s="14">
        <v>2788.2</v>
      </c>
      <c r="H277" s="14">
        <v>2775.65</v>
      </c>
      <c r="I277" s="14">
        <v>2744.48</v>
      </c>
      <c r="J277" s="14">
        <v>2802</v>
      </c>
      <c r="K277" s="14">
        <v>1906</v>
      </c>
      <c r="L277" s="15">
        <v>5643066</v>
      </c>
      <c r="M277" t="s" s="13">
        <v>293</v>
      </c>
      <c r="N277" s="15">
        <v>215190</v>
      </c>
      <c r="O277" s="17" cm="1">
        <f t="array" ref="O277">(H277-H276)/H276</f>
        <v>0.0299257884972171</v>
      </c>
    </row>
    <row r="278" ht="13.65" customHeight="1">
      <c r="A278" s="18">
        <v>44678</v>
      </c>
      <c r="B278" t="s" s="13">
        <v>22</v>
      </c>
      <c r="C278" s="14">
        <v>2755.85</v>
      </c>
      <c r="D278" s="14">
        <v>2828</v>
      </c>
      <c r="E278" s="14">
        <v>2755.05</v>
      </c>
      <c r="F278" s="14">
        <v>2775.65</v>
      </c>
      <c r="G278" s="14">
        <v>2776</v>
      </c>
      <c r="H278" s="14">
        <v>2778.35</v>
      </c>
      <c r="I278" s="14">
        <v>2794.98</v>
      </c>
      <c r="J278" s="14">
        <v>2828</v>
      </c>
      <c r="K278" s="14">
        <v>1906</v>
      </c>
      <c r="L278" s="15">
        <v>8924920</v>
      </c>
      <c r="M278" t="s" s="13">
        <v>294</v>
      </c>
      <c r="N278" s="15">
        <v>380463</v>
      </c>
      <c r="O278" s="17" cm="1">
        <f t="array" ref="O278">(H278-H277)/H277</f>
        <v>0.000972745122764037</v>
      </c>
    </row>
    <row r="279" ht="13.65" customHeight="1">
      <c r="A279" s="18">
        <v>44679</v>
      </c>
      <c r="B279" t="s" s="13">
        <v>22</v>
      </c>
      <c r="C279" s="14">
        <v>2809.95</v>
      </c>
      <c r="D279" s="14">
        <v>2851</v>
      </c>
      <c r="E279" s="14">
        <v>2786.1</v>
      </c>
      <c r="F279" s="14">
        <v>2778.35</v>
      </c>
      <c r="G279" s="14">
        <v>2810</v>
      </c>
      <c r="H279" s="14">
        <v>2819.85</v>
      </c>
      <c r="I279" s="14">
        <v>2823.91</v>
      </c>
      <c r="J279" s="14">
        <v>2851</v>
      </c>
      <c r="K279" s="14">
        <v>1906</v>
      </c>
      <c r="L279" s="15">
        <v>11820892</v>
      </c>
      <c r="M279" t="s" s="13">
        <v>295</v>
      </c>
      <c r="N279" s="15">
        <v>361970</v>
      </c>
      <c r="O279" s="17" cm="1">
        <f t="array" ref="O279">(H279-H278)/H278</f>
        <v>0.0149369229938633</v>
      </c>
    </row>
    <row r="280" ht="13.65" customHeight="1">
      <c r="A280" s="18">
        <v>44680</v>
      </c>
      <c r="B280" t="s" s="13">
        <v>22</v>
      </c>
      <c r="C280" s="14">
        <v>2856.15</v>
      </c>
      <c r="D280" s="14">
        <v>2856.15</v>
      </c>
      <c r="E280" s="14">
        <v>2777.3</v>
      </c>
      <c r="F280" s="14">
        <v>2819.85</v>
      </c>
      <c r="G280" s="14">
        <v>2799.7</v>
      </c>
      <c r="H280" s="14">
        <v>2790.25</v>
      </c>
      <c r="I280" s="14">
        <v>2817.63</v>
      </c>
      <c r="J280" s="14">
        <v>2856.15</v>
      </c>
      <c r="K280" s="14">
        <v>1906</v>
      </c>
      <c r="L280" s="15">
        <v>8406156</v>
      </c>
      <c r="M280" t="s" s="13">
        <v>296</v>
      </c>
      <c r="N280" s="15">
        <v>231044</v>
      </c>
      <c r="O280" s="17" cm="1">
        <f t="array" ref="O280">(H280-H279)/H279</f>
        <v>-0.0104970122524248</v>
      </c>
    </row>
    <row r="281" ht="13.65" customHeight="1">
      <c r="A281" s="19">
        <v>44683</v>
      </c>
      <c r="B281" t="s" s="13">
        <v>22</v>
      </c>
      <c r="C281" s="14">
        <v>2762</v>
      </c>
      <c r="D281" s="14">
        <v>2805.5</v>
      </c>
      <c r="E281" s="14">
        <v>2758.05</v>
      </c>
      <c r="F281" s="14">
        <v>2790.25</v>
      </c>
      <c r="G281" s="14">
        <v>2780.9</v>
      </c>
      <c r="H281" s="14">
        <v>2780.45</v>
      </c>
      <c r="I281" s="14">
        <v>2783.29</v>
      </c>
      <c r="J281" s="14">
        <v>2856.15</v>
      </c>
      <c r="K281" s="14">
        <v>1906</v>
      </c>
      <c r="L281" s="15">
        <v>4369022</v>
      </c>
      <c r="M281" t="s" s="13">
        <v>297</v>
      </c>
      <c r="N281" s="15">
        <v>189251</v>
      </c>
      <c r="O281" s="17" cm="1">
        <f t="array" ref="O281">(H281-H280)/H280</f>
        <v>-0.00351223008690978</v>
      </c>
    </row>
    <row r="282" ht="13.65" customHeight="1">
      <c r="A282" s="19">
        <v>44685</v>
      </c>
      <c r="B282" t="s" s="13">
        <v>22</v>
      </c>
      <c r="C282" s="14">
        <v>2785</v>
      </c>
      <c r="D282" s="14">
        <v>2790</v>
      </c>
      <c r="E282" s="14">
        <v>2676.3</v>
      </c>
      <c r="F282" s="14">
        <v>2780.45</v>
      </c>
      <c r="G282" s="14">
        <v>2692</v>
      </c>
      <c r="H282" s="14">
        <v>2693.65</v>
      </c>
      <c r="I282" s="14">
        <v>2728.03</v>
      </c>
      <c r="J282" s="14">
        <v>2856.15</v>
      </c>
      <c r="K282" s="14">
        <v>1906</v>
      </c>
      <c r="L282" s="15">
        <v>8882792</v>
      </c>
      <c r="M282" t="s" s="13">
        <v>298</v>
      </c>
      <c r="N282" s="15">
        <v>277638</v>
      </c>
      <c r="O282" s="17" cm="1">
        <f t="array" ref="O282">(H282-H281)/H281</f>
        <v>-0.0312179683144815</v>
      </c>
    </row>
    <row r="283" ht="13.65" customHeight="1">
      <c r="A283" s="19">
        <v>44686</v>
      </c>
      <c r="B283" t="s" s="13">
        <v>22</v>
      </c>
      <c r="C283" s="14">
        <v>2723.5</v>
      </c>
      <c r="D283" s="14">
        <v>2730</v>
      </c>
      <c r="E283" s="14">
        <v>2632</v>
      </c>
      <c r="F283" s="14">
        <v>2693.65</v>
      </c>
      <c r="G283" s="14">
        <v>2643</v>
      </c>
      <c r="H283" s="14">
        <v>2640.9</v>
      </c>
      <c r="I283" s="14">
        <v>2677.81</v>
      </c>
      <c r="J283" s="14">
        <v>2856.15</v>
      </c>
      <c r="K283" s="14">
        <v>1906</v>
      </c>
      <c r="L283" s="15">
        <v>7942721</v>
      </c>
      <c r="M283" t="s" s="13">
        <v>299</v>
      </c>
      <c r="N283" s="15">
        <v>256514</v>
      </c>
      <c r="O283" s="17" cm="1">
        <f t="array" ref="O283">(H283-H282)/H282</f>
        <v>-0.0195830935719191</v>
      </c>
    </row>
    <row r="284" ht="13.65" customHeight="1">
      <c r="A284" s="19">
        <v>44687</v>
      </c>
      <c r="B284" t="s" s="13">
        <v>22</v>
      </c>
      <c r="C284" s="14">
        <v>2612.2</v>
      </c>
      <c r="D284" s="14">
        <v>2659</v>
      </c>
      <c r="E284" s="14">
        <v>2593.55</v>
      </c>
      <c r="F284" s="14">
        <v>2640.9</v>
      </c>
      <c r="G284" s="14">
        <v>2628</v>
      </c>
      <c r="H284" s="14">
        <v>2620.65</v>
      </c>
      <c r="I284" s="14">
        <v>2619.88</v>
      </c>
      <c r="J284" s="14">
        <v>2856.15</v>
      </c>
      <c r="K284" s="14">
        <v>1906</v>
      </c>
      <c r="L284" s="15">
        <v>9068448</v>
      </c>
      <c r="M284" t="s" s="13">
        <v>300</v>
      </c>
      <c r="N284" s="15">
        <v>291431</v>
      </c>
      <c r="O284" s="17" cm="1">
        <f t="array" ref="O284">(H284-H283)/H283</f>
        <v>-0.00766784050891741</v>
      </c>
    </row>
    <row r="285" ht="13.65" customHeight="1">
      <c r="A285" s="19">
        <v>44690</v>
      </c>
      <c r="B285" t="s" s="13">
        <v>22</v>
      </c>
      <c r="C285" s="14">
        <v>2574.95</v>
      </c>
      <c r="D285" s="14">
        <v>2597.1</v>
      </c>
      <c r="E285" s="14">
        <v>2507</v>
      </c>
      <c r="F285" s="14">
        <v>2620.65</v>
      </c>
      <c r="G285" s="14">
        <v>2508</v>
      </c>
      <c r="H285" s="14">
        <v>2518.3</v>
      </c>
      <c r="I285" s="14">
        <v>2540.75</v>
      </c>
      <c r="J285" s="14">
        <v>2856.15</v>
      </c>
      <c r="K285" s="14">
        <v>1906</v>
      </c>
      <c r="L285" s="15">
        <v>8345649</v>
      </c>
      <c r="M285" t="s" s="13">
        <v>301</v>
      </c>
      <c r="N285" s="15">
        <v>344258</v>
      </c>
      <c r="O285" s="17" cm="1">
        <f t="array" ref="O285">(H285-H284)/H284</f>
        <v>-0.039055196229943</v>
      </c>
    </row>
    <row r="286" ht="13.65" customHeight="1">
      <c r="A286" s="20">
        <v>44691</v>
      </c>
      <c r="B286" t="s" s="13">
        <v>22</v>
      </c>
      <c r="C286" s="14">
        <v>2495</v>
      </c>
      <c r="D286" s="14">
        <v>2526.6</v>
      </c>
      <c r="E286" s="14">
        <v>2458</v>
      </c>
      <c r="F286" s="14">
        <v>2518.3</v>
      </c>
      <c r="G286" s="14">
        <v>2461.7</v>
      </c>
      <c r="H286" s="14">
        <v>2474.65</v>
      </c>
      <c r="I286" s="14">
        <v>2495.14</v>
      </c>
      <c r="J286" s="14">
        <v>2856.15</v>
      </c>
      <c r="K286" s="14">
        <v>1906</v>
      </c>
      <c r="L286" s="15">
        <v>9004636</v>
      </c>
      <c r="M286" t="s" s="13">
        <v>302</v>
      </c>
      <c r="N286" s="15">
        <v>329083</v>
      </c>
      <c r="O286" s="17" cm="1">
        <f t="array" ref="O286">(H286-H285)/H285</f>
        <v>-0.0173331215502522</v>
      </c>
    </row>
    <row r="287" ht="13.65" customHeight="1">
      <c r="A287" s="20">
        <v>44692</v>
      </c>
      <c r="B287" t="s" s="13">
        <v>22</v>
      </c>
      <c r="C287" s="14">
        <v>2472.65</v>
      </c>
      <c r="D287" s="14">
        <v>2484.95</v>
      </c>
      <c r="E287" s="14">
        <v>2421.95</v>
      </c>
      <c r="F287" s="14">
        <v>2474.65</v>
      </c>
      <c r="G287" s="14">
        <v>2450.75</v>
      </c>
      <c r="H287" s="14">
        <v>2449.3</v>
      </c>
      <c r="I287" s="14">
        <v>2454.29</v>
      </c>
      <c r="J287" s="14">
        <v>2856.15</v>
      </c>
      <c r="K287" s="14">
        <v>1906</v>
      </c>
      <c r="L287" s="15">
        <v>7681157</v>
      </c>
      <c r="M287" t="s" s="13">
        <v>303</v>
      </c>
      <c r="N287" s="15">
        <v>325039</v>
      </c>
      <c r="O287" s="17" cm="1">
        <f t="array" ref="O287">(H287-H286)/H286</f>
        <v>-0.010243872870911</v>
      </c>
    </row>
    <row r="288" ht="13.65" customHeight="1">
      <c r="A288" s="20">
        <v>44693</v>
      </c>
      <c r="B288" t="s" s="13">
        <v>22</v>
      </c>
      <c r="C288" s="14">
        <v>2427.5</v>
      </c>
      <c r="D288" s="14">
        <v>2434.85</v>
      </c>
      <c r="E288" s="14">
        <v>2370</v>
      </c>
      <c r="F288" s="14">
        <v>2449.3</v>
      </c>
      <c r="G288" s="14">
        <v>2403.5</v>
      </c>
      <c r="H288" s="14">
        <v>2399.4</v>
      </c>
      <c r="I288" s="14">
        <v>2400.6</v>
      </c>
      <c r="J288" s="14">
        <v>2856.15</v>
      </c>
      <c r="K288" s="14">
        <v>1906</v>
      </c>
      <c r="L288" s="15">
        <v>9456280</v>
      </c>
      <c r="M288" t="s" s="13">
        <v>304</v>
      </c>
      <c r="N288" s="15">
        <v>359540</v>
      </c>
      <c r="O288" s="17" cm="1">
        <f t="array" ref="O288">(H288-H287)/H287</f>
        <v>-0.0203731678438738</v>
      </c>
    </row>
    <row r="289" ht="13.65" customHeight="1">
      <c r="A289" s="20">
        <v>44694</v>
      </c>
      <c r="B289" t="s" s="13">
        <v>22</v>
      </c>
      <c r="C289" s="14">
        <v>2426</v>
      </c>
      <c r="D289" s="14">
        <v>2478</v>
      </c>
      <c r="E289" s="14">
        <v>2415.35</v>
      </c>
      <c r="F289" s="14">
        <v>2399.4</v>
      </c>
      <c r="G289" s="14">
        <v>2431.45</v>
      </c>
      <c r="H289" s="14">
        <v>2426.6</v>
      </c>
      <c r="I289" s="14">
        <v>2451.67</v>
      </c>
      <c r="J289" s="14">
        <v>2856.15</v>
      </c>
      <c r="K289" s="14">
        <v>1906</v>
      </c>
      <c r="L289" s="15">
        <v>8910998</v>
      </c>
      <c r="M289" t="s" s="13">
        <v>305</v>
      </c>
      <c r="N289" s="15">
        <v>408746</v>
      </c>
      <c r="O289" s="17" cm="1">
        <f t="array" ref="O289">(H289-H288)/H288</f>
        <v>0.0113361673751771</v>
      </c>
    </row>
    <row r="290" ht="13.65" customHeight="1">
      <c r="A290" s="20">
        <v>44697</v>
      </c>
      <c r="B290" t="s" s="13">
        <v>22</v>
      </c>
      <c r="C290" s="14">
        <v>2434.45</v>
      </c>
      <c r="D290" s="14">
        <v>2481</v>
      </c>
      <c r="E290" s="14">
        <v>2416.65</v>
      </c>
      <c r="F290" s="14">
        <v>2426.6</v>
      </c>
      <c r="G290" s="14">
        <v>2428.05</v>
      </c>
      <c r="H290" s="14">
        <v>2427.2</v>
      </c>
      <c r="I290" s="14">
        <v>2444.28</v>
      </c>
      <c r="J290" s="14">
        <v>2856.15</v>
      </c>
      <c r="K290" s="14">
        <v>1930.4</v>
      </c>
      <c r="L290" s="15">
        <v>6201594</v>
      </c>
      <c r="M290" t="s" s="13">
        <v>306</v>
      </c>
      <c r="N290" s="15">
        <v>244925</v>
      </c>
      <c r="O290" s="17" cm="1">
        <f t="array" ref="O290">(H290-H289)/H289</f>
        <v>0.000247259540097255</v>
      </c>
    </row>
    <row r="291" ht="13.65" customHeight="1">
      <c r="A291" s="20">
        <v>44698</v>
      </c>
      <c r="B291" t="s" s="13">
        <v>22</v>
      </c>
      <c r="C291" s="14">
        <v>2435.1</v>
      </c>
      <c r="D291" s="14">
        <v>2539.9</v>
      </c>
      <c r="E291" s="14">
        <v>2432</v>
      </c>
      <c r="F291" s="14">
        <v>2427.2</v>
      </c>
      <c r="G291" s="14">
        <v>2533.5</v>
      </c>
      <c r="H291" s="14">
        <v>2529.15</v>
      </c>
      <c r="I291" s="14">
        <v>2501.03</v>
      </c>
      <c r="J291" s="14">
        <v>2856.15</v>
      </c>
      <c r="K291" s="14">
        <v>1930.4</v>
      </c>
      <c r="L291" s="15">
        <v>7638666</v>
      </c>
      <c r="M291" t="s" s="13">
        <v>307</v>
      </c>
      <c r="N291" s="15">
        <v>278980</v>
      </c>
      <c r="O291" s="17" cm="1">
        <f t="array" ref="O291">(H291-H290)/H290</f>
        <v>0.0420031311799604</v>
      </c>
    </row>
    <row r="292" ht="13.65" customHeight="1">
      <c r="A292" s="20">
        <v>44699</v>
      </c>
      <c r="B292" t="s" s="13">
        <v>22</v>
      </c>
      <c r="C292" s="14">
        <v>2539.65</v>
      </c>
      <c r="D292" s="14">
        <v>2570</v>
      </c>
      <c r="E292" s="14">
        <v>2508.25</v>
      </c>
      <c r="F292" s="14">
        <v>2529.15</v>
      </c>
      <c r="G292" s="14">
        <v>2542.25</v>
      </c>
      <c r="H292" s="14">
        <v>2538.35</v>
      </c>
      <c r="I292" s="14">
        <v>2535.87</v>
      </c>
      <c r="J292" s="14">
        <v>2856.15</v>
      </c>
      <c r="K292" s="14">
        <v>1930.4</v>
      </c>
      <c r="L292" s="15">
        <v>7973235</v>
      </c>
      <c r="M292" t="s" s="13">
        <v>308</v>
      </c>
      <c r="N292" s="15">
        <v>293806</v>
      </c>
      <c r="O292" s="17" cm="1">
        <f t="array" ref="O292">(H292-H291)/H291</f>
        <v>0.00363758575015321</v>
      </c>
    </row>
    <row r="293" ht="13.65" customHeight="1">
      <c r="A293" s="20">
        <v>44700</v>
      </c>
      <c r="B293" t="s" s="13">
        <v>22</v>
      </c>
      <c r="C293" s="14">
        <v>2484</v>
      </c>
      <c r="D293" s="14">
        <v>2512.5</v>
      </c>
      <c r="E293" s="14">
        <v>2466.05</v>
      </c>
      <c r="F293" s="14">
        <v>2538.35</v>
      </c>
      <c r="G293" s="14">
        <v>2477.9</v>
      </c>
      <c r="H293" s="14">
        <v>2479.85</v>
      </c>
      <c r="I293" s="14">
        <v>2494.14</v>
      </c>
      <c r="J293" s="14">
        <v>2856.15</v>
      </c>
      <c r="K293" s="14">
        <v>1930.4</v>
      </c>
      <c r="L293" s="15">
        <v>6783641</v>
      </c>
      <c r="M293" t="s" s="13">
        <v>309</v>
      </c>
      <c r="N293" s="15">
        <v>266213</v>
      </c>
      <c r="O293" s="17" cm="1">
        <f t="array" ref="O293">(H293-H292)/H292</f>
        <v>-0.0230464671932555</v>
      </c>
    </row>
    <row r="294" ht="13.65" customHeight="1">
      <c r="A294" s="20">
        <v>44701</v>
      </c>
      <c r="B294" t="s" s="13">
        <v>22</v>
      </c>
      <c r="C294" s="14">
        <v>2512.5</v>
      </c>
      <c r="D294" s="14">
        <v>2644.4</v>
      </c>
      <c r="E294" s="14">
        <v>2502</v>
      </c>
      <c r="F294" s="14">
        <v>2479.85</v>
      </c>
      <c r="G294" s="14">
        <v>2628.85</v>
      </c>
      <c r="H294" s="14">
        <v>2624.45</v>
      </c>
      <c r="I294" s="14">
        <v>2569.3</v>
      </c>
      <c r="J294" s="14">
        <v>2856.15</v>
      </c>
      <c r="K294" s="14">
        <v>1930.4</v>
      </c>
      <c r="L294" s="15">
        <v>10057508</v>
      </c>
      <c r="M294" t="s" s="13">
        <v>310</v>
      </c>
      <c r="N294" s="15">
        <v>366921</v>
      </c>
      <c r="O294" s="17" cm="1">
        <f t="array" ref="O294">(H294-H293)/H293</f>
        <v>0.0583099784261145</v>
      </c>
    </row>
    <row r="295" ht="13.65" customHeight="1">
      <c r="A295" s="20">
        <v>44704</v>
      </c>
      <c r="B295" t="s" s="13">
        <v>22</v>
      </c>
      <c r="C295" s="14">
        <v>2631.5</v>
      </c>
      <c r="D295" s="14">
        <v>2653.55</v>
      </c>
      <c r="E295" s="14">
        <v>2593</v>
      </c>
      <c r="F295" s="14">
        <v>2624.45</v>
      </c>
      <c r="G295" s="14">
        <v>2602.5</v>
      </c>
      <c r="H295" s="14">
        <v>2606.9</v>
      </c>
      <c r="I295" s="14">
        <v>2617.9</v>
      </c>
      <c r="J295" s="14">
        <v>2856.15</v>
      </c>
      <c r="K295" s="14">
        <v>1960</v>
      </c>
      <c r="L295" s="15">
        <v>7039144</v>
      </c>
      <c r="M295" t="s" s="13">
        <v>311</v>
      </c>
      <c r="N295" s="15">
        <v>256879</v>
      </c>
      <c r="O295" s="17" cm="1">
        <f t="array" ref="O295">(H295-H294)/H294</f>
        <v>-0.0066871153956067</v>
      </c>
    </row>
    <row r="296" ht="13.65" customHeight="1">
      <c r="A296" s="20">
        <v>44705</v>
      </c>
      <c r="B296" t="s" s="13">
        <v>22</v>
      </c>
      <c r="C296" s="14">
        <v>2607</v>
      </c>
      <c r="D296" s="14">
        <v>2638</v>
      </c>
      <c r="E296" s="14">
        <v>2597.7</v>
      </c>
      <c r="F296" s="14">
        <v>2606.9</v>
      </c>
      <c r="G296" s="14">
        <v>2615.05</v>
      </c>
      <c r="H296" s="14">
        <v>2615.85</v>
      </c>
      <c r="I296" s="14">
        <v>2619.42</v>
      </c>
      <c r="J296" s="14">
        <v>2856.15</v>
      </c>
      <c r="K296" s="14">
        <v>1960</v>
      </c>
      <c r="L296" s="15">
        <v>6243086</v>
      </c>
      <c r="M296" t="s" s="13">
        <v>312</v>
      </c>
      <c r="N296" s="15">
        <v>238049</v>
      </c>
      <c r="O296" s="17" cm="1">
        <f t="array" ref="O296">(H296-H295)/H295</f>
        <v>0.00343319651693582</v>
      </c>
    </row>
    <row r="297" ht="13.65" customHeight="1">
      <c r="A297" s="20">
        <v>44706</v>
      </c>
      <c r="B297" t="s" s="13">
        <v>22</v>
      </c>
      <c r="C297" s="14">
        <v>2635</v>
      </c>
      <c r="D297" s="14">
        <v>2656.7</v>
      </c>
      <c r="E297" s="14">
        <v>2601.5</v>
      </c>
      <c r="F297" s="14">
        <v>2615.85</v>
      </c>
      <c r="G297" s="14">
        <v>2613.4</v>
      </c>
      <c r="H297" s="14">
        <v>2612</v>
      </c>
      <c r="I297" s="14">
        <v>2625.82</v>
      </c>
      <c r="J297" s="14">
        <v>2856.15</v>
      </c>
      <c r="K297" s="14">
        <v>1960</v>
      </c>
      <c r="L297" s="15">
        <v>5867760</v>
      </c>
      <c r="M297" t="s" s="13">
        <v>313</v>
      </c>
      <c r="N297" s="15">
        <v>224077</v>
      </c>
      <c r="O297" s="17" cm="1">
        <f t="array" ref="O297">(H297-H296)/H296</f>
        <v>-0.00147179693025212</v>
      </c>
    </row>
    <row r="298" ht="13.65" customHeight="1">
      <c r="A298" s="20">
        <v>44707</v>
      </c>
      <c r="B298" t="s" s="13">
        <v>22</v>
      </c>
      <c r="C298" s="14">
        <v>2624.4</v>
      </c>
      <c r="D298" s="14">
        <v>2634.9</v>
      </c>
      <c r="E298" s="14">
        <v>2548</v>
      </c>
      <c r="F298" s="14">
        <v>2612</v>
      </c>
      <c r="G298" s="14">
        <v>2589</v>
      </c>
      <c r="H298" s="14">
        <v>2587.1</v>
      </c>
      <c r="I298" s="14">
        <v>2587.3</v>
      </c>
      <c r="J298" s="14">
        <v>2856.15</v>
      </c>
      <c r="K298" s="14">
        <v>1960</v>
      </c>
      <c r="L298" s="15">
        <v>8252551</v>
      </c>
      <c r="M298" t="s" s="13">
        <v>314</v>
      </c>
      <c r="N298" s="15">
        <v>295460</v>
      </c>
      <c r="O298" s="17" cm="1">
        <f t="array" ref="O298">(H298-H297)/H297</f>
        <v>-0.009532924961715161</v>
      </c>
    </row>
    <row r="299" ht="13.65" customHeight="1">
      <c r="A299" s="20">
        <v>44708</v>
      </c>
      <c r="B299" t="s" s="13">
        <v>22</v>
      </c>
      <c r="C299" s="14">
        <v>2593.05</v>
      </c>
      <c r="D299" s="14">
        <v>2605.15</v>
      </c>
      <c r="E299" s="14">
        <v>2540.1</v>
      </c>
      <c r="F299" s="14">
        <v>2587.1</v>
      </c>
      <c r="G299" s="14">
        <v>2575.3</v>
      </c>
      <c r="H299" s="14">
        <v>2575.1</v>
      </c>
      <c r="I299" s="14">
        <v>2574.11</v>
      </c>
      <c r="J299" s="14">
        <v>2856.15</v>
      </c>
      <c r="K299" s="14">
        <v>1960</v>
      </c>
      <c r="L299" s="15">
        <v>7624888</v>
      </c>
      <c r="M299" t="s" s="13">
        <v>315</v>
      </c>
      <c r="N299" s="15">
        <v>223459</v>
      </c>
      <c r="O299" s="17" cm="1">
        <f t="array" ref="O299">(H299-H298)/H298</f>
        <v>-0.00463839820648603</v>
      </c>
    </row>
    <row r="300" ht="13.65" customHeight="1">
      <c r="A300" s="20">
        <v>44711</v>
      </c>
      <c r="B300" t="s" s="13">
        <v>22</v>
      </c>
      <c r="C300" s="14">
        <v>2615</v>
      </c>
      <c r="D300" s="14">
        <v>2674</v>
      </c>
      <c r="E300" s="14">
        <v>2594.2</v>
      </c>
      <c r="F300" s="14">
        <v>2575.1</v>
      </c>
      <c r="G300" s="14">
        <v>2668</v>
      </c>
      <c r="H300" s="14">
        <v>2664.8</v>
      </c>
      <c r="I300" s="14">
        <v>2640.57</v>
      </c>
      <c r="J300" s="14">
        <v>2856.15</v>
      </c>
      <c r="K300" s="14">
        <v>2016.25</v>
      </c>
      <c r="L300" s="15">
        <v>6393341</v>
      </c>
      <c r="M300" t="s" s="13">
        <v>316</v>
      </c>
      <c r="N300" s="15">
        <v>176733</v>
      </c>
      <c r="O300" s="17" cm="1">
        <f t="array" ref="O300">(H300-H299)/H299</f>
        <v>0.0348335986951963</v>
      </c>
    </row>
    <row r="301" ht="13.65" customHeight="1">
      <c r="A301" s="20">
        <v>44712</v>
      </c>
      <c r="B301" t="s" s="13">
        <v>22</v>
      </c>
      <c r="C301" s="14">
        <v>2641.4</v>
      </c>
      <c r="D301" s="14">
        <v>2678.8</v>
      </c>
      <c r="E301" s="14">
        <v>2615.7</v>
      </c>
      <c r="F301" s="14">
        <v>2664.8</v>
      </c>
      <c r="G301" s="14">
        <v>2623.6</v>
      </c>
      <c r="H301" s="14">
        <v>2632.65</v>
      </c>
      <c r="I301" s="14">
        <v>2638.54</v>
      </c>
      <c r="J301" s="14">
        <v>2856.15</v>
      </c>
      <c r="K301" s="14">
        <v>2016.25</v>
      </c>
      <c r="L301" s="15">
        <v>32591420</v>
      </c>
      <c r="M301" t="s" s="13">
        <v>317</v>
      </c>
      <c r="N301" s="15">
        <v>309551</v>
      </c>
      <c r="O301" s="17" cm="1">
        <f t="array" ref="O301">(H301-H300)/H300</f>
        <v>-0.0120646952867007</v>
      </c>
    </row>
    <row r="302" ht="13.65" customHeight="1">
      <c r="A302" s="12">
        <v>44713</v>
      </c>
      <c r="B302" t="s" s="13">
        <v>22</v>
      </c>
      <c r="C302" s="14">
        <v>2634.3</v>
      </c>
      <c r="D302" s="14">
        <v>2655.2</v>
      </c>
      <c r="E302" s="14">
        <v>2616.2</v>
      </c>
      <c r="F302" s="14">
        <v>2632.65</v>
      </c>
      <c r="G302" s="14">
        <v>2635</v>
      </c>
      <c r="H302" s="14">
        <v>2633.5</v>
      </c>
      <c r="I302" s="14">
        <v>2638.15</v>
      </c>
      <c r="J302" s="14">
        <v>2856.15</v>
      </c>
      <c r="K302" s="14">
        <v>2016.25</v>
      </c>
      <c r="L302" s="15">
        <v>4512079</v>
      </c>
      <c r="M302" t="s" s="13">
        <v>318</v>
      </c>
      <c r="N302" s="15">
        <v>165071</v>
      </c>
      <c r="O302" s="17" cm="1">
        <f t="array" ref="O302">(H302-H301)/H301</f>
        <v>0.000322868592482859</v>
      </c>
    </row>
    <row r="303" ht="13.65" customHeight="1">
      <c r="A303" s="12">
        <v>44714</v>
      </c>
      <c r="B303" t="s" s="13">
        <v>22</v>
      </c>
      <c r="C303" s="14">
        <v>2634</v>
      </c>
      <c r="D303" s="14">
        <v>2732.45</v>
      </c>
      <c r="E303" s="14">
        <v>2634</v>
      </c>
      <c r="F303" s="14">
        <v>2633.5</v>
      </c>
      <c r="G303" s="14">
        <v>2728.3</v>
      </c>
      <c r="H303" s="14">
        <v>2724.3</v>
      </c>
      <c r="I303" s="14">
        <v>2701.3</v>
      </c>
      <c r="J303" s="14">
        <v>2856.15</v>
      </c>
      <c r="K303" s="14">
        <v>2016.25</v>
      </c>
      <c r="L303" s="15">
        <v>10211408</v>
      </c>
      <c r="M303" t="s" s="13">
        <v>319</v>
      </c>
      <c r="N303" s="15">
        <v>297958</v>
      </c>
      <c r="O303" s="17" cm="1">
        <f t="array" ref="O303">(H303-H302)/H302</f>
        <v>0.0344788304537687</v>
      </c>
    </row>
    <row r="304" ht="13.65" customHeight="1">
      <c r="A304" s="12">
        <v>44715</v>
      </c>
      <c r="B304" t="s" s="13">
        <v>22</v>
      </c>
      <c r="C304" s="14">
        <v>2744</v>
      </c>
      <c r="D304" s="14">
        <v>2817.35</v>
      </c>
      <c r="E304" s="14">
        <v>2742</v>
      </c>
      <c r="F304" s="14">
        <v>2724.3</v>
      </c>
      <c r="G304" s="14">
        <v>2778</v>
      </c>
      <c r="H304" s="14">
        <v>2779.5</v>
      </c>
      <c r="I304" s="14">
        <v>2793.34</v>
      </c>
      <c r="J304" s="14">
        <v>2856.15</v>
      </c>
      <c r="K304" s="14">
        <v>2016.25</v>
      </c>
      <c r="L304" s="15">
        <v>11048210</v>
      </c>
      <c r="M304" t="s" s="13">
        <v>320</v>
      </c>
      <c r="N304" s="15">
        <v>353834</v>
      </c>
      <c r="O304" s="17" cm="1">
        <f t="array" ref="O304">(H304-H303)/H303</f>
        <v>0.020262085673384</v>
      </c>
    </row>
    <row r="305" ht="13.65" customHeight="1">
      <c r="A305" s="12">
        <v>44718</v>
      </c>
      <c r="B305" t="s" s="13">
        <v>22</v>
      </c>
      <c r="C305" s="14">
        <v>2780</v>
      </c>
      <c r="D305" s="14">
        <v>2814</v>
      </c>
      <c r="E305" s="14">
        <v>2751.8</v>
      </c>
      <c r="F305" s="14">
        <v>2779.5</v>
      </c>
      <c r="G305" s="14">
        <v>2766.25</v>
      </c>
      <c r="H305" s="14">
        <v>2767.55</v>
      </c>
      <c r="I305" s="14">
        <v>2775.79</v>
      </c>
      <c r="J305" s="14">
        <v>2856.15</v>
      </c>
      <c r="K305" s="14">
        <v>2016.25</v>
      </c>
      <c r="L305" s="15">
        <v>5119488</v>
      </c>
      <c r="M305" t="s" s="13">
        <v>321</v>
      </c>
      <c r="N305" s="15">
        <v>217253</v>
      </c>
      <c r="O305" s="17" cm="1">
        <f t="array" ref="O305">(H305-H304)/H304</f>
        <v>-0.00429933441266415</v>
      </c>
    </row>
    <row r="306" ht="13.65" customHeight="1">
      <c r="A306" s="12">
        <v>44719</v>
      </c>
      <c r="B306" t="s" s="13">
        <v>22</v>
      </c>
      <c r="C306" s="14">
        <v>2769.9</v>
      </c>
      <c r="D306" s="14">
        <v>2791.1</v>
      </c>
      <c r="E306" s="14">
        <v>2752.05</v>
      </c>
      <c r="F306" s="14">
        <v>2767.55</v>
      </c>
      <c r="G306" s="14">
        <v>2767.05</v>
      </c>
      <c r="H306" s="14">
        <v>2772.75</v>
      </c>
      <c r="I306" s="14">
        <v>2773.03</v>
      </c>
      <c r="J306" s="14">
        <v>2856.15</v>
      </c>
      <c r="K306" s="14">
        <v>2016.25</v>
      </c>
      <c r="L306" s="15">
        <v>5703333</v>
      </c>
      <c r="M306" t="s" s="13">
        <v>322</v>
      </c>
      <c r="N306" s="15">
        <v>232290</v>
      </c>
      <c r="O306" s="17" cm="1">
        <f t="array" ref="O306">(H306-H305)/H305</f>
        <v>0.00187891817672671</v>
      </c>
    </row>
    <row r="307" ht="13.65" customHeight="1">
      <c r="A307" s="12">
        <v>44720</v>
      </c>
      <c r="B307" t="s" s="13">
        <v>22</v>
      </c>
      <c r="C307" s="14">
        <v>2772.75</v>
      </c>
      <c r="D307" s="14">
        <v>2781</v>
      </c>
      <c r="E307" s="14">
        <v>2716.3</v>
      </c>
      <c r="F307" s="14">
        <v>2772.75</v>
      </c>
      <c r="G307" s="14">
        <v>2722</v>
      </c>
      <c r="H307" s="14">
        <v>2724.05</v>
      </c>
      <c r="I307" s="14">
        <v>2741.07</v>
      </c>
      <c r="J307" s="14">
        <v>2856.15</v>
      </c>
      <c r="K307" s="14">
        <v>2016.25</v>
      </c>
      <c r="L307" s="15">
        <v>5759172</v>
      </c>
      <c r="M307" t="s" s="13">
        <v>323</v>
      </c>
      <c r="N307" s="15">
        <v>241691</v>
      </c>
      <c r="O307" s="17" cm="1">
        <f t="array" ref="O307">(H307-H306)/H306</f>
        <v>-0.0175637904607339</v>
      </c>
    </row>
    <row r="308" ht="13.65" customHeight="1">
      <c r="A308" s="12">
        <v>44721</v>
      </c>
      <c r="B308" t="s" s="13">
        <v>22</v>
      </c>
      <c r="C308" s="14">
        <v>2710</v>
      </c>
      <c r="D308" s="14">
        <v>2803</v>
      </c>
      <c r="E308" s="14">
        <v>2710</v>
      </c>
      <c r="F308" s="14">
        <v>2724.05</v>
      </c>
      <c r="G308" s="14">
        <v>2796.05</v>
      </c>
      <c r="H308" s="14">
        <v>2798.75</v>
      </c>
      <c r="I308" s="14">
        <v>2763.87</v>
      </c>
      <c r="J308" s="14">
        <v>2856.15</v>
      </c>
      <c r="K308" s="14">
        <v>2016.25</v>
      </c>
      <c r="L308" s="15">
        <v>7973935</v>
      </c>
      <c r="M308" t="s" s="13">
        <v>324</v>
      </c>
      <c r="N308" s="15">
        <v>281501</v>
      </c>
      <c r="O308" s="17" cm="1">
        <f t="array" ref="O308">(H308-H307)/H307</f>
        <v>0.0274224041408932</v>
      </c>
    </row>
    <row r="309" ht="13.65" customHeight="1">
      <c r="A309" s="18">
        <v>44722</v>
      </c>
      <c r="B309" t="s" s="13">
        <v>22</v>
      </c>
      <c r="C309" s="14">
        <v>2771.9</v>
      </c>
      <c r="D309" s="14">
        <v>2789.9</v>
      </c>
      <c r="E309" s="14">
        <v>2701.5</v>
      </c>
      <c r="F309" s="14">
        <v>2798.75</v>
      </c>
      <c r="G309" s="14">
        <v>2713.9</v>
      </c>
      <c r="H309" s="14">
        <v>2714.25</v>
      </c>
      <c r="I309" s="14">
        <v>2740.01</v>
      </c>
      <c r="J309" s="14">
        <v>2856.15</v>
      </c>
      <c r="K309" s="14">
        <v>2016.25</v>
      </c>
      <c r="L309" s="15">
        <v>8349943</v>
      </c>
      <c r="M309" t="s" s="13">
        <v>325</v>
      </c>
      <c r="N309" s="15">
        <v>278759</v>
      </c>
      <c r="O309" s="17" cm="1">
        <f t="array" ref="O309">(H309-H308)/H308</f>
        <v>-0.0301920500223314</v>
      </c>
    </row>
    <row r="310" ht="13.65" customHeight="1">
      <c r="A310" s="18">
        <v>44725</v>
      </c>
      <c r="B310" t="s" s="13">
        <v>22</v>
      </c>
      <c r="C310" s="14">
        <v>2650</v>
      </c>
      <c r="D310" s="14">
        <v>2672.8</v>
      </c>
      <c r="E310" s="14">
        <v>2616.3</v>
      </c>
      <c r="F310" s="14">
        <v>2714.25</v>
      </c>
      <c r="G310" s="14">
        <v>2668</v>
      </c>
      <c r="H310" s="14">
        <v>2662.9</v>
      </c>
      <c r="I310" s="14">
        <v>2646.3</v>
      </c>
      <c r="J310" s="14">
        <v>2856.15</v>
      </c>
      <c r="K310" s="14">
        <v>2016.25</v>
      </c>
      <c r="L310" s="15">
        <v>8131998</v>
      </c>
      <c r="M310" t="s" s="13">
        <v>326</v>
      </c>
      <c r="N310" s="15">
        <v>303540</v>
      </c>
      <c r="O310" s="17" cm="1">
        <f t="array" ref="O310">(H310-H309)/H309</f>
        <v>-0.0189186699824998</v>
      </c>
    </row>
    <row r="311" ht="13.65" customHeight="1">
      <c r="A311" s="18">
        <v>44726</v>
      </c>
      <c r="B311" t="s" s="13">
        <v>22</v>
      </c>
      <c r="C311" s="14">
        <v>2650.05</v>
      </c>
      <c r="D311" s="14">
        <v>2671.85</v>
      </c>
      <c r="E311" s="14">
        <v>2613.45</v>
      </c>
      <c r="F311" s="14">
        <v>2662.9</v>
      </c>
      <c r="G311" s="14">
        <v>2627.75</v>
      </c>
      <c r="H311" s="14">
        <v>2628.1</v>
      </c>
      <c r="I311" s="14">
        <v>2637.47</v>
      </c>
      <c r="J311" s="14">
        <v>2856.15</v>
      </c>
      <c r="K311" s="14">
        <v>2016.25</v>
      </c>
      <c r="L311" s="15">
        <v>6790653</v>
      </c>
      <c r="M311" t="s" s="13">
        <v>327</v>
      </c>
      <c r="N311" s="15">
        <v>237522</v>
      </c>
      <c r="O311" s="17" cm="1">
        <f t="array" ref="O311">(H311-H310)/H310</f>
        <v>-0.013068459198618</v>
      </c>
    </row>
    <row r="312" ht="13.65" customHeight="1">
      <c r="A312" s="18">
        <v>44727</v>
      </c>
      <c r="B312" t="s" s="13">
        <v>22</v>
      </c>
      <c r="C312" s="14">
        <v>2617.55</v>
      </c>
      <c r="D312" s="14">
        <v>2637.3</v>
      </c>
      <c r="E312" s="14">
        <v>2584.4</v>
      </c>
      <c r="F312" s="14">
        <v>2628.1</v>
      </c>
      <c r="G312" s="14">
        <v>2595.8</v>
      </c>
      <c r="H312" s="14">
        <v>2596.3</v>
      </c>
      <c r="I312" s="14">
        <v>2613.39</v>
      </c>
      <c r="J312" s="14">
        <v>2856.15</v>
      </c>
      <c r="K312" s="14">
        <v>2016.25</v>
      </c>
      <c r="L312" s="15">
        <v>5166738</v>
      </c>
      <c r="M312" t="s" s="13">
        <v>328</v>
      </c>
      <c r="N312" s="15">
        <v>214934</v>
      </c>
      <c r="O312" s="17" cm="1">
        <f t="array" ref="O312">(H312-H311)/H311</f>
        <v>-0.0120999961949698</v>
      </c>
    </row>
    <row r="313" ht="13.65" customHeight="1">
      <c r="A313" s="18">
        <v>44728</v>
      </c>
      <c r="B313" t="s" s="13">
        <v>22</v>
      </c>
      <c r="C313" s="14">
        <v>2623</v>
      </c>
      <c r="D313" s="14">
        <v>2659.05</v>
      </c>
      <c r="E313" s="14">
        <v>2554</v>
      </c>
      <c r="F313" s="14">
        <v>2596.3</v>
      </c>
      <c r="G313" s="14">
        <v>2555.1</v>
      </c>
      <c r="H313" s="14">
        <v>2560</v>
      </c>
      <c r="I313" s="14">
        <v>2603.56</v>
      </c>
      <c r="J313" s="14">
        <v>2856.15</v>
      </c>
      <c r="K313" s="14">
        <v>2016.25</v>
      </c>
      <c r="L313" s="15">
        <v>7896943</v>
      </c>
      <c r="M313" t="s" s="13">
        <v>329</v>
      </c>
      <c r="N313" s="15">
        <v>282387</v>
      </c>
      <c r="O313" s="17" cm="1">
        <f t="array" ref="O313">(H313-H312)/H312</f>
        <v>-0.0139814351192081</v>
      </c>
    </row>
    <row r="314" ht="13.65" customHeight="1">
      <c r="A314" s="18">
        <v>44729</v>
      </c>
      <c r="B314" t="s" s="13">
        <v>22</v>
      </c>
      <c r="C314" s="14">
        <v>2560</v>
      </c>
      <c r="D314" s="14">
        <v>2624.85</v>
      </c>
      <c r="E314" s="14">
        <v>2556.1</v>
      </c>
      <c r="F314" s="14">
        <v>2560</v>
      </c>
      <c r="G314" s="14">
        <v>2605.05</v>
      </c>
      <c r="H314" s="14">
        <v>2590</v>
      </c>
      <c r="I314" s="14">
        <v>2592.42</v>
      </c>
      <c r="J314" s="14">
        <v>2856.15</v>
      </c>
      <c r="K314" s="14">
        <v>2016.25</v>
      </c>
      <c r="L314" s="15">
        <v>11286988</v>
      </c>
      <c r="M314" t="s" s="13">
        <v>330</v>
      </c>
      <c r="N314" s="15">
        <v>287827</v>
      </c>
      <c r="O314" s="17" cm="1">
        <f t="array" ref="O314">(H314-H313)/H313</f>
        <v>0.01171875</v>
      </c>
    </row>
    <row r="315" ht="13.65" customHeight="1">
      <c r="A315" s="18">
        <v>44732</v>
      </c>
      <c r="B315" t="s" s="13">
        <v>22</v>
      </c>
      <c r="C315" s="14">
        <v>2605</v>
      </c>
      <c r="D315" s="14">
        <v>2617.1</v>
      </c>
      <c r="E315" s="14">
        <v>2521.1</v>
      </c>
      <c r="F315" s="14">
        <v>2590</v>
      </c>
      <c r="G315" s="14">
        <v>2542.9</v>
      </c>
      <c r="H315" s="14">
        <v>2543.05</v>
      </c>
      <c r="I315" s="14">
        <v>2552.96</v>
      </c>
      <c r="J315" s="14">
        <v>2856.15</v>
      </c>
      <c r="K315" s="14">
        <v>2016.25</v>
      </c>
      <c r="L315" s="15">
        <v>5568825</v>
      </c>
      <c r="M315" t="s" s="13">
        <v>331</v>
      </c>
      <c r="N315" s="15">
        <v>228914</v>
      </c>
      <c r="O315" s="17" cm="1">
        <f t="array" ref="O315">(H315-H314)/H314</f>
        <v>-0.0181274131274131</v>
      </c>
    </row>
    <row r="316" ht="13.65" customHeight="1">
      <c r="A316" s="18">
        <v>44733</v>
      </c>
      <c r="B316" t="s" s="13">
        <v>22</v>
      </c>
      <c r="C316" s="14">
        <v>2560</v>
      </c>
      <c r="D316" s="14">
        <v>2593.4</v>
      </c>
      <c r="E316" s="14">
        <v>2528.3</v>
      </c>
      <c r="F316" s="14">
        <v>2543.05</v>
      </c>
      <c r="G316" s="14">
        <v>2582</v>
      </c>
      <c r="H316" s="14">
        <v>2584.1</v>
      </c>
      <c r="I316" s="14">
        <v>2562.46</v>
      </c>
      <c r="J316" s="14">
        <v>2856.15</v>
      </c>
      <c r="K316" s="14">
        <v>2016.25</v>
      </c>
      <c r="L316" s="15">
        <v>5408801</v>
      </c>
      <c r="M316" t="s" s="13">
        <v>332</v>
      </c>
      <c r="N316" s="15">
        <v>219641</v>
      </c>
      <c r="O316" s="17" cm="1">
        <f t="array" ref="O316">(H316-H315)/H315</f>
        <v>0.0161420341715656</v>
      </c>
    </row>
    <row r="317" ht="13.65" customHeight="1">
      <c r="A317" s="18">
        <v>44734</v>
      </c>
      <c r="B317" t="s" s="13">
        <v>22</v>
      </c>
      <c r="C317" s="14">
        <v>2558.1</v>
      </c>
      <c r="D317" s="14">
        <v>2558.3</v>
      </c>
      <c r="E317" s="14">
        <v>2501</v>
      </c>
      <c r="F317" s="14">
        <v>2584.1</v>
      </c>
      <c r="G317" s="14">
        <v>2502</v>
      </c>
      <c r="H317" s="14">
        <v>2505.6</v>
      </c>
      <c r="I317" s="14">
        <v>2524.18</v>
      </c>
      <c r="J317" s="14">
        <v>2856.15</v>
      </c>
      <c r="K317" s="14">
        <v>2016.25</v>
      </c>
      <c r="L317" s="15">
        <v>4899839</v>
      </c>
      <c r="M317" t="s" s="13">
        <v>333</v>
      </c>
      <c r="N317" s="15">
        <v>229961</v>
      </c>
      <c r="O317" s="17" cm="1">
        <f t="array" ref="O317">(H317-H316)/H316</f>
        <v>-0.0303780813436013</v>
      </c>
    </row>
    <row r="318" ht="13.65" customHeight="1">
      <c r="A318" s="18">
        <v>44735</v>
      </c>
      <c r="B318" t="s" s="13">
        <v>22</v>
      </c>
      <c r="C318" s="14">
        <v>2515.05</v>
      </c>
      <c r="D318" s="14">
        <v>2525</v>
      </c>
      <c r="E318" s="14">
        <v>2445</v>
      </c>
      <c r="F318" s="14">
        <v>2505.6</v>
      </c>
      <c r="G318" s="14">
        <v>2469</v>
      </c>
      <c r="H318" s="14">
        <v>2464.95</v>
      </c>
      <c r="I318" s="14">
        <v>2485.55</v>
      </c>
      <c r="J318" s="14">
        <v>2856.15</v>
      </c>
      <c r="K318" s="14">
        <v>2016.25</v>
      </c>
      <c r="L318" s="15">
        <v>8974475</v>
      </c>
      <c r="M318" t="s" s="13">
        <v>334</v>
      </c>
      <c r="N318" s="15">
        <v>400081</v>
      </c>
      <c r="O318" s="17" cm="1">
        <f t="array" ref="O318">(H318-H317)/H317</f>
        <v>-0.0162236590038314</v>
      </c>
    </row>
    <row r="319" ht="13.65" customHeight="1">
      <c r="A319" s="18">
        <v>44736</v>
      </c>
      <c r="B319" t="s" s="13">
        <v>22</v>
      </c>
      <c r="C319" s="14">
        <v>2480</v>
      </c>
      <c r="D319" s="14">
        <v>2511</v>
      </c>
      <c r="E319" s="14">
        <v>2468</v>
      </c>
      <c r="F319" s="14">
        <v>2464.95</v>
      </c>
      <c r="G319" s="14">
        <v>2497.55</v>
      </c>
      <c r="H319" s="14">
        <v>2500.05</v>
      </c>
      <c r="I319" s="14">
        <v>2491.97</v>
      </c>
      <c r="J319" s="14">
        <v>2856.15</v>
      </c>
      <c r="K319" s="14">
        <v>2016.25</v>
      </c>
      <c r="L319" s="15">
        <v>6571866</v>
      </c>
      <c r="M319" t="s" s="13">
        <v>335</v>
      </c>
      <c r="N319" s="15">
        <v>258066</v>
      </c>
      <c r="O319" s="17" cm="1">
        <f t="array" ref="O319">(H319-H318)/H318</f>
        <v>0.014239639749285</v>
      </c>
    </row>
    <row r="320" ht="13.65" customHeight="1">
      <c r="A320" s="18">
        <v>44739</v>
      </c>
      <c r="B320" t="s" s="13">
        <v>22</v>
      </c>
      <c r="C320" s="14">
        <v>2544.95</v>
      </c>
      <c r="D320" s="14">
        <v>2544.95</v>
      </c>
      <c r="E320" s="14">
        <v>2481.55</v>
      </c>
      <c r="F320" s="14">
        <v>2500.05</v>
      </c>
      <c r="G320" s="14">
        <v>2495.6</v>
      </c>
      <c r="H320" s="14">
        <v>2492.65</v>
      </c>
      <c r="I320" s="14">
        <v>2511.81</v>
      </c>
      <c r="J320" s="14">
        <v>2856.15</v>
      </c>
      <c r="K320" s="14">
        <v>2016.25</v>
      </c>
      <c r="L320" s="15">
        <v>7141493</v>
      </c>
      <c r="M320" t="s" s="13">
        <v>336</v>
      </c>
      <c r="N320" s="15">
        <v>245447</v>
      </c>
      <c r="O320" s="17" cm="1">
        <f t="array" ref="O320">(H320-H319)/H319</f>
        <v>-0.00295994080118398</v>
      </c>
    </row>
    <row r="321" ht="13.65" customHeight="1">
      <c r="A321" s="18">
        <v>44740</v>
      </c>
      <c r="B321" t="s" s="13">
        <v>22</v>
      </c>
      <c r="C321" s="14">
        <v>2482.1</v>
      </c>
      <c r="D321" s="14">
        <v>2533.95</v>
      </c>
      <c r="E321" s="14">
        <v>2482.1</v>
      </c>
      <c r="F321" s="14">
        <v>2492.65</v>
      </c>
      <c r="G321" s="14">
        <v>2530</v>
      </c>
      <c r="H321" s="14">
        <v>2527.7</v>
      </c>
      <c r="I321" s="14">
        <v>2515.75</v>
      </c>
      <c r="J321" s="14">
        <v>2856.15</v>
      </c>
      <c r="K321" s="14">
        <v>2016.25</v>
      </c>
      <c r="L321" s="15">
        <v>6263867</v>
      </c>
      <c r="M321" t="s" s="13">
        <v>337</v>
      </c>
      <c r="N321" s="15">
        <v>279432</v>
      </c>
      <c r="O321" s="17" cm="1">
        <f t="array" ref="O321">(H321-H320)/H320</f>
        <v>0.0140613403406014</v>
      </c>
    </row>
    <row r="322" ht="13.65" customHeight="1">
      <c r="A322" s="18">
        <v>44741</v>
      </c>
      <c r="B322" t="s" s="13">
        <v>22</v>
      </c>
      <c r="C322" s="14">
        <v>2507.2</v>
      </c>
      <c r="D322" s="14">
        <v>2597</v>
      </c>
      <c r="E322" s="14">
        <v>2501</v>
      </c>
      <c r="F322" s="14">
        <v>2527.7</v>
      </c>
      <c r="G322" s="14">
        <v>2576</v>
      </c>
      <c r="H322" s="14">
        <v>2580.15</v>
      </c>
      <c r="I322" s="14">
        <v>2559.16</v>
      </c>
      <c r="J322" s="14">
        <v>2856.15</v>
      </c>
      <c r="K322" s="14">
        <v>2016.25</v>
      </c>
      <c r="L322" s="15">
        <v>8863172</v>
      </c>
      <c r="M322" t="s" s="13">
        <v>338</v>
      </c>
      <c r="N322" s="15">
        <v>383990</v>
      </c>
      <c r="O322" s="17" cm="1">
        <f t="array" ref="O322">(H322-H321)/H321</f>
        <v>0.0207500890137279</v>
      </c>
    </row>
    <row r="323" ht="13.65" customHeight="1">
      <c r="A323" s="18">
        <v>44742</v>
      </c>
      <c r="B323" t="s" s="13">
        <v>22</v>
      </c>
      <c r="C323" s="14">
        <v>2580</v>
      </c>
      <c r="D323" s="14">
        <v>2615.9</v>
      </c>
      <c r="E323" s="14">
        <v>2566</v>
      </c>
      <c r="F323" s="14">
        <v>2580.15</v>
      </c>
      <c r="G323" s="14">
        <v>2589</v>
      </c>
      <c r="H323" s="14">
        <v>2595.65</v>
      </c>
      <c r="I323" s="14">
        <v>2596.11</v>
      </c>
      <c r="J323" s="14">
        <v>2856.15</v>
      </c>
      <c r="K323" s="14">
        <v>2016.25</v>
      </c>
      <c r="L323" s="15">
        <v>10666627</v>
      </c>
      <c r="M323" t="s" s="13">
        <v>339</v>
      </c>
      <c r="N323" s="15">
        <v>321110</v>
      </c>
      <c r="O323" s="17" cm="1">
        <f t="array" ref="O323">(H323-H322)/H322</f>
        <v>0.00600740267038738</v>
      </c>
    </row>
    <row r="324" ht="13.65" customHeight="1">
      <c r="A324" s="12">
        <v>44743</v>
      </c>
      <c r="B324" t="s" s="13">
        <v>22</v>
      </c>
      <c r="C324" s="14">
        <v>2574.9</v>
      </c>
      <c r="D324" s="14">
        <v>2592</v>
      </c>
      <c r="E324" s="14">
        <v>2365</v>
      </c>
      <c r="F324" s="14">
        <v>2595.65</v>
      </c>
      <c r="G324" s="14">
        <v>2406</v>
      </c>
      <c r="H324" s="14">
        <v>2408.7</v>
      </c>
      <c r="I324" s="14">
        <v>2434.35</v>
      </c>
      <c r="J324" s="14">
        <v>2856.15</v>
      </c>
      <c r="K324" s="14">
        <v>2016.25</v>
      </c>
      <c r="L324" s="15">
        <v>37841671</v>
      </c>
      <c r="M324" t="s" s="13">
        <v>340</v>
      </c>
      <c r="N324" s="15">
        <v>1165095</v>
      </c>
      <c r="O324" s="17" cm="1">
        <f t="array" ref="O324">(H324-H323)/H323</f>
        <v>-0.07202434842910251</v>
      </c>
    </row>
    <row r="325" ht="13.65" customHeight="1">
      <c r="A325" s="12">
        <v>44746</v>
      </c>
      <c r="B325" t="s" s="13">
        <v>22</v>
      </c>
      <c r="C325" s="14">
        <v>2378.95</v>
      </c>
      <c r="D325" s="14">
        <v>2442</v>
      </c>
      <c r="E325" s="14">
        <v>2366.1</v>
      </c>
      <c r="F325" s="14">
        <v>2408.7</v>
      </c>
      <c r="G325" s="14">
        <v>2413</v>
      </c>
      <c r="H325" s="14">
        <v>2413.7</v>
      </c>
      <c r="I325" s="14">
        <v>2412.08</v>
      </c>
      <c r="J325" s="14">
        <v>2856.15</v>
      </c>
      <c r="K325" s="14">
        <v>2016.25</v>
      </c>
      <c r="L325" s="15">
        <v>19317335</v>
      </c>
      <c r="M325" t="s" s="13">
        <v>341</v>
      </c>
      <c r="N325" s="15">
        <v>525122</v>
      </c>
      <c r="O325" s="17" cm="1">
        <f t="array" ref="O325">(H325-H324)/H324</f>
        <v>0.00207580852742143</v>
      </c>
    </row>
    <row r="326" ht="13.65" customHeight="1">
      <c r="A326" s="12">
        <v>44747</v>
      </c>
      <c r="B326" t="s" s="13">
        <v>22</v>
      </c>
      <c r="C326" s="14">
        <v>2423</v>
      </c>
      <c r="D326" s="14">
        <v>2464.9</v>
      </c>
      <c r="E326" s="14">
        <v>2417.1</v>
      </c>
      <c r="F326" s="14">
        <v>2413.7</v>
      </c>
      <c r="G326" s="14">
        <v>2431.55</v>
      </c>
      <c r="H326" s="14">
        <v>2433.25</v>
      </c>
      <c r="I326" s="14">
        <v>2440.39</v>
      </c>
      <c r="J326" s="14">
        <v>2856.15</v>
      </c>
      <c r="K326" s="14">
        <v>2016.25</v>
      </c>
      <c r="L326" s="15">
        <v>8144239</v>
      </c>
      <c r="M326" t="s" s="13">
        <v>342</v>
      </c>
      <c r="N326" s="15">
        <v>351338</v>
      </c>
      <c r="O326" s="17" cm="1">
        <f t="array" ref="O326">(H326-H325)/H325</f>
        <v>0.00809959812735634</v>
      </c>
    </row>
    <row r="327" ht="13.65" customHeight="1">
      <c r="A327" s="12">
        <v>44748</v>
      </c>
      <c r="B327" t="s" s="13">
        <v>22</v>
      </c>
      <c r="C327" s="14">
        <v>2420.1</v>
      </c>
      <c r="D327" s="14">
        <v>2441.95</v>
      </c>
      <c r="E327" s="14">
        <v>2388</v>
      </c>
      <c r="F327" s="14">
        <v>2433.25</v>
      </c>
      <c r="G327" s="14">
        <v>2415</v>
      </c>
      <c r="H327" s="14">
        <v>2411.85</v>
      </c>
      <c r="I327" s="14">
        <v>2410.61</v>
      </c>
      <c r="J327" s="14">
        <v>2856.15</v>
      </c>
      <c r="K327" s="14">
        <v>2016.25</v>
      </c>
      <c r="L327" s="15">
        <v>11050026</v>
      </c>
      <c r="M327" t="s" s="13">
        <v>343</v>
      </c>
      <c r="N327" s="15">
        <v>392094</v>
      </c>
      <c r="O327" s="17" cm="1">
        <f t="array" ref="O327">(H327-H326)/H326</f>
        <v>-0.008794821740470559</v>
      </c>
    </row>
    <row r="328" ht="13.65" customHeight="1">
      <c r="A328" s="12">
        <v>44749</v>
      </c>
      <c r="B328" t="s" s="13">
        <v>22</v>
      </c>
      <c r="C328" s="14">
        <v>2425.9</v>
      </c>
      <c r="D328" s="14">
        <v>2433.25</v>
      </c>
      <c r="E328" s="14">
        <v>2375</v>
      </c>
      <c r="F328" s="14">
        <v>2411.85</v>
      </c>
      <c r="G328" s="14">
        <v>2391</v>
      </c>
      <c r="H328" s="14">
        <v>2388.1</v>
      </c>
      <c r="I328" s="14">
        <v>2392.12</v>
      </c>
      <c r="J328" s="14">
        <v>2856.15</v>
      </c>
      <c r="K328" s="14">
        <v>2016.25</v>
      </c>
      <c r="L328" s="15">
        <v>10753423</v>
      </c>
      <c r="M328" t="s" s="13">
        <v>344</v>
      </c>
      <c r="N328" s="15">
        <v>388023</v>
      </c>
      <c r="O328" s="17" cm="1">
        <f t="array" ref="O328">(H328-H327)/H327</f>
        <v>-0.009847212720525741</v>
      </c>
    </row>
    <row r="329" ht="13.65" customHeight="1">
      <c r="A329" s="12">
        <v>44750</v>
      </c>
      <c r="B329" t="s" s="13">
        <v>22</v>
      </c>
      <c r="C329" s="14">
        <v>2418</v>
      </c>
      <c r="D329" s="14">
        <v>2418</v>
      </c>
      <c r="E329" s="14">
        <v>2382.55</v>
      </c>
      <c r="F329" s="14">
        <v>2388.1</v>
      </c>
      <c r="G329" s="14">
        <v>2391</v>
      </c>
      <c r="H329" s="14">
        <v>2391.4</v>
      </c>
      <c r="I329" s="14">
        <v>2393.99</v>
      </c>
      <c r="J329" s="14">
        <v>2856.15</v>
      </c>
      <c r="K329" s="14">
        <v>2016.25</v>
      </c>
      <c r="L329" s="15">
        <v>8773162</v>
      </c>
      <c r="M329" t="s" s="13">
        <v>345</v>
      </c>
      <c r="N329" s="15">
        <v>310810</v>
      </c>
      <c r="O329" s="17" cm="1">
        <f t="array" ref="O329">(H329-H328)/H328</f>
        <v>0.00138185168125288</v>
      </c>
    </row>
    <row r="330" ht="13.65" customHeight="1">
      <c r="A330" s="18">
        <v>44753</v>
      </c>
      <c r="B330" t="s" s="13">
        <v>22</v>
      </c>
      <c r="C330" s="14">
        <v>2376.5</v>
      </c>
      <c r="D330" s="14">
        <v>2428.8</v>
      </c>
      <c r="E330" s="14">
        <v>2370</v>
      </c>
      <c r="F330" s="14">
        <v>2391.4</v>
      </c>
      <c r="G330" s="14">
        <v>2421.5</v>
      </c>
      <c r="H330" s="14">
        <v>2423.9</v>
      </c>
      <c r="I330" s="14">
        <v>2400.92</v>
      </c>
      <c r="J330" s="14">
        <v>2856.15</v>
      </c>
      <c r="K330" s="14">
        <v>2016.25</v>
      </c>
      <c r="L330" s="15">
        <v>6390604</v>
      </c>
      <c r="M330" t="s" s="13">
        <v>346</v>
      </c>
      <c r="N330" s="15">
        <v>224208</v>
      </c>
      <c r="O330" s="17" cm="1">
        <f t="array" ref="O330">(H330-H329)/H329</f>
        <v>0.01359036547629</v>
      </c>
    </row>
    <row r="331" ht="13.65" customHeight="1">
      <c r="A331" s="18">
        <v>44754</v>
      </c>
      <c r="B331" t="s" s="13">
        <v>22</v>
      </c>
      <c r="C331" s="14">
        <v>2404</v>
      </c>
      <c r="D331" s="14">
        <v>2439.7</v>
      </c>
      <c r="E331" s="14">
        <v>2404</v>
      </c>
      <c r="F331" s="14">
        <v>2423.9</v>
      </c>
      <c r="G331" s="14">
        <v>2418.8</v>
      </c>
      <c r="H331" s="14">
        <v>2420.45</v>
      </c>
      <c r="I331" s="14">
        <v>2424.68</v>
      </c>
      <c r="J331" s="14">
        <v>2856.15</v>
      </c>
      <c r="K331" s="14">
        <v>2016.25</v>
      </c>
      <c r="L331" s="15">
        <v>4974502</v>
      </c>
      <c r="M331" t="s" s="13">
        <v>347</v>
      </c>
      <c r="N331" s="15">
        <v>203393</v>
      </c>
      <c r="O331" s="17" cm="1">
        <f t="array" ref="O331">(H331-H330)/H330</f>
        <v>-0.00142332604480383</v>
      </c>
    </row>
    <row r="332" ht="13.65" customHeight="1">
      <c r="A332" s="18">
        <v>44755</v>
      </c>
      <c r="B332" t="s" s="13">
        <v>22</v>
      </c>
      <c r="C332" s="14">
        <v>2427.3</v>
      </c>
      <c r="D332" s="14">
        <v>2434</v>
      </c>
      <c r="E332" s="14">
        <v>2373</v>
      </c>
      <c r="F332" s="14">
        <v>2420.45</v>
      </c>
      <c r="G332" s="14">
        <v>2379</v>
      </c>
      <c r="H332" s="14">
        <v>2377.55</v>
      </c>
      <c r="I332" s="14">
        <v>2398.49</v>
      </c>
      <c r="J332" s="14">
        <v>2856.15</v>
      </c>
      <c r="K332" s="14">
        <v>2016.25</v>
      </c>
      <c r="L332" s="15">
        <v>6564435</v>
      </c>
      <c r="M332" t="s" s="13">
        <v>348</v>
      </c>
      <c r="N332" s="15">
        <v>263635</v>
      </c>
      <c r="O332" s="17" cm="1">
        <f t="array" ref="O332">(H332-H331)/H331</f>
        <v>-0.0177239769464356</v>
      </c>
    </row>
    <row r="333" ht="13.65" customHeight="1">
      <c r="A333" s="18">
        <v>44756</v>
      </c>
      <c r="B333" t="s" s="13">
        <v>22</v>
      </c>
      <c r="C333" s="14">
        <v>2388</v>
      </c>
      <c r="D333" s="14">
        <v>2433.95</v>
      </c>
      <c r="E333" s="14">
        <v>2376.95</v>
      </c>
      <c r="F333" s="14">
        <v>2377.55</v>
      </c>
      <c r="G333" s="14">
        <v>2399</v>
      </c>
      <c r="H333" s="14">
        <v>2397.15</v>
      </c>
      <c r="I333" s="14">
        <v>2398.08</v>
      </c>
      <c r="J333" s="14">
        <v>2856.15</v>
      </c>
      <c r="K333" s="14">
        <v>2016.25</v>
      </c>
      <c r="L333" s="15">
        <v>7831798</v>
      </c>
      <c r="M333" t="s" s="13">
        <v>349</v>
      </c>
      <c r="N333" s="15">
        <v>257217</v>
      </c>
      <c r="O333" s="17" cm="1">
        <f t="array" ref="O333">(H333-H332)/H332</f>
        <v>0.008243780362137489</v>
      </c>
    </row>
    <row r="334" ht="13.65" customHeight="1">
      <c r="A334" s="18">
        <v>44757</v>
      </c>
      <c r="B334" t="s" s="13">
        <v>22</v>
      </c>
      <c r="C334" s="14">
        <v>2415</v>
      </c>
      <c r="D334" s="14">
        <v>2415</v>
      </c>
      <c r="E334" s="14">
        <v>2383.1</v>
      </c>
      <c r="F334" s="14">
        <v>2397.15</v>
      </c>
      <c r="G334" s="14">
        <v>2401.15</v>
      </c>
      <c r="H334" s="14">
        <v>2401.8</v>
      </c>
      <c r="I334" s="14">
        <v>2397.18</v>
      </c>
      <c r="J334" s="14">
        <v>2856.15</v>
      </c>
      <c r="K334" s="14">
        <v>2016.25</v>
      </c>
      <c r="L334" s="15">
        <v>4431880</v>
      </c>
      <c r="M334" t="s" s="13">
        <v>350</v>
      </c>
      <c r="N334" s="15">
        <v>137878</v>
      </c>
      <c r="O334" s="17" cm="1">
        <f t="array" ref="O334">(H334-H333)/H333</f>
        <v>0.00193980351667605</v>
      </c>
    </row>
    <row r="335" ht="13.65" customHeight="1">
      <c r="A335" s="18">
        <v>44760</v>
      </c>
      <c r="B335" t="s" s="13">
        <v>22</v>
      </c>
      <c r="C335" s="14">
        <v>2421</v>
      </c>
      <c r="D335" s="14">
        <v>2425</v>
      </c>
      <c r="E335" s="14">
        <v>2392.3</v>
      </c>
      <c r="F335" s="14">
        <v>2401.8</v>
      </c>
      <c r="G335" s="14">
        <v>2423</v>
      </c>
      <c r="H335" s="14">
        <v>2422.25</v>
      </c>
      <c r="I335" s="14">
        <v>2408.23</v>
      </c>
      <c r="J335" s="14">
        <v>2856.15</v>
      </c>
      <c r="K335" s="14">
        <v>2016.25</v>
      </c>
      <c r="L335" s="15">
        <v>6996757</v>
      </c>
      <c r="M335" t="s" s="13">
        <v>351</v>
      </c>
      <c r="N335" s="15">
        <v>212210</v>
      </c>
      <c r="O335" s="17" cm="1">
        <f t="array" ref="O335">(H335-H334)/H334</f>
        <v>0.00851444749771005</v>
      </c>
    </row>
    <row r="336" ht="13.65" customHeight="1">
      <c r="A336" s="18">
        <v>44761</v>
      </c>
      <c r="B336" t="s" s="13">
        <v>22</v>
      </c>
      <c r="C336" s="14">
        <v>2400.3</v>
      </c>
      <c r="D336" s="14">
        <v>2447</v>
      </c>
      <c r="E336" s="14">
        <v>2400.3</v>
      </c>
      <c r="F336" s="14">
        <v>2422.25</v>
      </c>
      <c r="G336" s="14">
        <v>2433</v>
      </c>
      <c r="H336" s="14">
        <v>2437.1</v>
      </c>
      <c r="I336" s="14">
        <v>2429.46</v>
      </c>
      <c r="J336" s="14">
        <v>2856.15</v>
      </c>
      <c r="K336" s="14">
        <v>2016.25</v>
      </c>
      <c r="L336" s="15">
        <v>7587006</v>
      </c>
      <c r="M336" t="s" s="13">
        <v>352</v>
      </c>
      <c r="N336" s="15">
        <v>213280</v>
      </c>
      <c r="O336" s="17" cm="1">
        <f t="array" ref="O336">(H336-H335)/H335</f>
        <v>0.00613066363917845</v>
      </c>
    </row>
    <row r="337" ht="13.65" customHeight="1">
      <c r="A337" s="18">
        <v>44762</v>
      </c>
      <c r="B337" t="s" s="13">
        <v>22</v>
      </c>
      <c r="C337" s="14">
        <v>2540</v>
      </c>
      <c r="D337" s="14">
        <v>2542.5</v>
      </c>
      <c r="E337" s="14">
        <v>2486.25</v>
      </c>
      <c r="F337" s="14">
        <v>2437.1</v>
      </c>
      <c r="G337" s="14">
        <v>2499</v>
      </c>
      <c r="H337" s="14">
        <v>2503</v>
      </c>
      <c r="I337" s="14">
        <v>2506.66</v>
      </c>
      <c r="J337" s="14">
        <v>2856.15</v>
      </c>
      <c r="K337" s="14">
        <v>2016.25</v>
      </c>
      <c r="L337" s="15">
        <v>11041036</v>
      </c>
      <c r="M337" t="s" s="13">
        <v>353</v>
      </c>
      <c r="N337" s="15">
        <v>325796</v>
      </c>
      <c r="O337" s="17" cm="1">
        <f t="array" ref="O337">(H337-H336)/H336</f>
        <v>0.0270403348241763</v>
      </c>
    </row>
    <row r="338" ht="13.65" customHeight="1">
      <c r="A338" s="18">
        <v>44763</v>
      </c>
      <c r="B338" t="s" s="13">
        <v>22</v>
      </c>
      <c r="C338" s="14">
        <v>2494</v>
      </c>
      <c r="D338" s="14">
        <v>2500</v>
      </c>
      <c r="E338" s="14">
        <v>2467.3</v>
      </c>
      <c r="F338" s="14">
        <v>2503</v>
      </c>
      <c r="G338" s="14">
        <v>2486</v>
      </c>
      <c r="H338" s="14">
        <v>2486.3</v>
      </c>
      <c r="I338" s="14">
        <v>2482.92</v>
      </c>
      <c r="J338" s="14">
        <v>2856.15</v>
      </c>
      <c r="K338" s="14">
        <v>2016.25</v>
      </c>
      <c r="L338" s="15">
        <v>7625468</v>
      </c>
      <c r="M338" t="s" s="13">
        <v>354</v>
      </c>
      <c r="N338" s="15">
        <v>197537</v>
      </c>
      <c r="O338" s="17" cm="1">
        <f t="array" ref="O338">(H338-H337)/H337</f>
        <v>-0.0066719936076708</v>
      </c>
    </row>
    <row r="339" ht="13.65" customHeight="1">
      <c r="A339" s="18">
        <v>44764</v>
      </c>
      <c r="B339" t="s" s="13">
        <v>22</v>
      </c>
      <c r="C339" s="14">
        <v>2500</v>
      </c>
      <c r="D339" s="14">
        <v>2516.3</v>
      </c>
      <c r="E339" s="14">
        <v>2495</v>
      </c>
      <c r="F339" s="14">
        <v>2486.3</v>
      </c>
      <c r="G339" s="14">
        <v>2502.95</v>
      </c>
      <c r="H339" s="14">
        <v>2503.1</v>
      </c>
      <c r="I339" s="14">
        <v>2504.62</v>
      </c>
      <c r="J339" s="14">
        <v>2856.15</v>
      </c>
      <c r="K339" s="14">
        <v>2016.25</v>
      </c>
      <c r="L339" s="15">
        <v>5062651</v>
      </c>
      <c r="M339" t="s" s="13">
        <v>355</v>
      </c>
      <c r="N339" s="15">
        <v>172852</v>
      </c>
      <c r="O339" s="17" cm="1">
        <f t="array" ref="O339">(H339-H338)/H338</f>
        <v>0.00675702851626915</v>
      </c>
    </row>
    <row r="340" ht="13.65" customHeight="1">
      <c r="A340" s="18">
        <v>44767</v>
      </c>
      <c r="B340" t="s" s="13">
        <v>22</v>
      </c>
      <c r="C340" s="14">
        <v>2467.45</v>
      </c>
      <c r="D340" s="14">
        <v>2467.45</v>
      </c>
      <c r="E340" s="14">
        <v>2403</v>
      </c>
      <c r="F340" s="14">
        <v>2503.1</v>
      </c>
      <c r="G340" s="14">
        <v>2417.4</v>
      </c>
      <c r="H340" s="14">
        <v>2420.4</v>
      </c>
      <c r="I340" s="14">
        <v>2422.67</v>
      </c>
      <c r="J340" s="14">
        <v>2856.15</v>
      </c>
      <c r="K340" s="14">
        <v>2016.25</v>
      </c>
      <c r="L340" s="15">
        <v>10665470</v>
      </c>
      <c r="M340" t="s" s="13">
        <v>356</v>
      </c>
      <c r="N340" s="15">
        <v>450900</v>
      </c>
      <c r="O340" s="17" cm="1">
        <f t="array" ref="O340">(H340-H339)/H339</f>
        <v>-0.033039031600815</v>
      </c>
    </row>
    <row r="341" ht="13.65" customHeight="1">
      <c r="A341" s="18">
        <v>44768</v>
      </c>
      <c r="B341" t="s" s="13">
        <v>22</v>
      </c>
      <c r="C341" s="14">
        <v>2421.1</v>
      </c>
      <c r="D341" s="14">
        <v>2443.9</v>
      </c>
      <c r="E341" s="14">
        <v>2411.35</v>
      </c>
      <c r="F341" s="14">
        <v>2420.4</v>
      </c>
      <c r="G341" s="14">
        <v>2419.4</v>
      </c>
      <c r="H341" s="14">
        <v>2421.5</v>
      </c>
      <c r="I341" s="14">
        <v>2430.94</v>
      </c>
      <c r="J341" s="14">
        <v>2856.15</v>
      </c>
      <c r="K341" s="14">
        <v>2016.25</v>
      </c>
      <c r="L341" s="15">
        <v>5216466</v>
      </c>
      <c r="M341" t="s" s="13">
        <v>357</v>
      </c>
      <c r="N341" s="15">
        <v>188181</v>
      </c>
      <c r="O341" s="17" cm="1">
        <f t="array" ref="O341">(H341-H340)/H340</f>
        <v>0.000454470335481739</v>
      </c>
    </row>
    <row r="342" ht="13.65" customHeight="1">
      <c r="A342" s="18">
        <v>44769</v>
      </c>
      <c r="B342" t="s" s="13">
        <v>22</v>
      </c>
      <c r="C342" s="14">
        <v>2419.95</v>
      </c>
      <c r="D342" s="14">
        <v>2427</v>
      </c>
      <c r="E342" s="14">
        <v>2402</v>
      </c>
      <c r="F342" s="14">
        <v>2421.5</v>
      </c>
      <c r="G342" s="14">
        <v>2422</v>
      </c>
      <c r="H342" s="14">
        <v>2419.2</v>
      </c>
      <c r="I342" s="14">
        <v>2416.05</v>
      </c>
      <c r="J342" s="14">
        <v>2856.15</v>
      </c>
      <c r="K342" s="14">
        <v>2016.25</v>
      </c>
      <c r="L342" s="15">
        <v>3994321</v>
      </c>
      <c r="M342" t="s" s="13">
        <v>358</v>
      </c>
      <c r="N342" s="15">
        <v>165700</v>
      </c>
      <c r="O342" s="17" cm="1">
        <f t="array" ref="O342">(H342-H341)/H341</f>
        <v>-0.000949824488953128</v>
      </c>
    </row>
    <row r="343" ht="13.65" customHeight="1">
      <c r="A343" s="18">
        <v>44770</v>
      </c>
      <c r="B343" t="s" s="13">
        <v>22</v>
      </c>
      <c r="C343" s="14">
        <v>2436</v>
      </c>
      <c r="D343" s="14">
        <v>2467.95</v>
      </c>
      <c r="E343" s="14">
        <v>2421</v>
      </c>
      <c r="F343" s="14">
        <v>2419.2</v>
      </c>
      <c r="G343" s="14">
        <v>2453.6</v>
      </c>
      <c r="H343" s="14">
        <v>2457.1</v>
      </c>
      <c r="I343" s="14">
        <v>2446.73</v>
      </c>
      <c r="J343" s="14">
        <v>2856.15</v>
      </c>
      <c r="K343" s="14">
        <v>2016.25</v>
      </c>
      <c r="L343" s="15">
        <v>5766936</v>
      </c>
      <c r="M343" t="s" s="13">
        <v>359</v>
      </c>
      <c r="N343" s="15">
        <v>207490</v>
      </c>
      <c r="O343" s="17" cm="1">
        <f t="array" ref="O343">(H343-H342)/H342</f>
        <v>0.015666335978836</v>
      </c>
    </row>
    <row r="344" ht="13.65" customHeight="1">
      <c r="A344" s="18">
        <v>44771</v>
      </c>
      <c r="B344" t="s" s="13">
        <v>22</v>
      </c>
      <c r="C344" s="14">
        <v>2474.7</v>
      </c>
      <c r="D344" s="14">
        <v>2517.1</v>
      </c>
      <c r="E344" s="14">
        <v>2464</v>
      </c>
      <c r="F344" s="14">
        <v>2457.1</v>
      </c>
      <c r="G344" s="14">
        <v>2507.2</v>
      </c>
      <c r="H344" s="14">
        <v>2509.45</v>
      </c>
      <c r="I344" s="14">
        <v>2494.3</v>
      </c>
      <c r="J344" s="14">
        <v>2856.15</v>
      </c>
      <c r="K344" s="14">
        <v>2016.25</v>
      </c>
      <c r="L344" s="15">
        <v>6982808</v>
      </c>
      <c r="M344" t="s" s="13">
        <v>360</v>
      </c>
      <c r="N344" s="15">
        <v>270354</v>
      </c>
      <c r="O344" s="17" cm="1">
        <f t="array" ref="O344">(H344-H343)/H343</f>
        <v>0.0213056041675145</v>
      </c>
    </row>
    <row r="345" ht="13.65" customHeight="1">
      <c r="A345" s="12">
        <v>44774</v>
      </c>
      <c r="B345" t="s" s="13">
        <v>22</v>
      </c>
      <c r="C345" s="14">
        <v>2519.15</v>
      </c>
      <c r="D345" s="14">
        <v>2587.75</v>
      </c>
      <c r="E345" s="14">
        <v>2507.6</v>
      </c>
      <c r="F345" s="14">
        <v>2509.45</v>
      </c>
      <c r="G345" s="14">
        <v>2569</v>
      </c>
      <c r="H345" s="14">
        <v>2574.85</v>
      </c>
      <c r="I345" s="14">
        <v>2560.47</v>
      </c>
      <c r="J345" s="14">
        <v>2856.15</v>
      </c>
      <c r="K345" s="14">
        <v>2041.15</v>
      </c>
      <c r="L345" s="15">
        <v>7245568</v>
      </c>
      <c r="M345" t="s" s="13">
        <v>361</v>
      </c>
      <c r="N345" s="15">
        <v>262991</v>
      </c>
      <c r="O345" s="17" cm="1">
        <f t="array" ref="O345">(H345-H344)/H344</f>
        <v>0.0260614875769591</v>
      </c>
    </row>
    <row r="346" ht="13.65" customHeight="1">
      <c r="A346" s="12">
        <v>44775</v>
      </c>
      <c r="B346" t="s" s="13">
        <v>22</v>
      </c>
      <c r="C346" s="14">
        <v>2572.5</v>
      </c>
      <c r="D346" s="14">
        <v>2607.8</v>
      </c>
      <c r="E346" s="14">
        <v>2561.55</v>
      </c>
      <c r="F346" s="14">
        <v>2574.85</v>
      </c>
      <c r="G346" s="14">
        <v>2575.5</v>
      </c>
      <c r="H346" s="14">
        <v>2584.65</v>
      </c>
      <c r="I346" s="14">
        <v>2583.64</v>
      </c>
      <c r="J346" s="14">
        <v>2856.15</v>
      </c>
      <c r="K346" s="14">
        <v>2041.15</v>
      </c>
      <c r="L346" s="15">
        <v>6423115</v>
      </c>
      <c r="M346" t="s" s="13">
        <v>362</v>
      </c>
      <c r="N346" s="15">
        <v>230608</v>
      </c>
      <c r="O346" s="17" cm="1">
        <f t="array" ref="O346">(H346-H345)/H345</f>
        <v>0.00380604695419151</v>
      </c>
    </row>
    <row r="347" ht="13.65" customHeight="1">
      <c r="A347" s="12">
        <v>44776</v>
      </c>
      <c r="B347" t="s" s="13">
        <v>22</v>
      </c>
      <c r="C347" s="14">
        <v>2600</v>
      </c>
      <c r="D347" s="14">
        <v>2610</v>
      </c>
      <c r="E347" s="14">
        <v>2567.45</v>
      </c>
      <c r="F347" s="14">
        <v>2584.65</v>
      </c>
      <c r="G347" s="14">
        <v>2606.2</v>
      </c>
      <c r="H347" s="14">
        <v>2606.35</v>
      </c>
      <c r="I347" s="14">
        <v>2591.04</v>
      </c>
      <c r="J347" s="14">
        <v>2856.15</v>
      </c>
      <c r="K347" s="14">
        <v>2041.15</v>
      </c>
      <c r="L347" s="15">
        <v>6576824</v>
      </c>
      <c r="M347" t="s" s="13">
        <v>363</v>
      </c>
      <c r="N347" s="15">
        <v>250247</v>
      </c>
      <c r="O347" s="17" cm="1">
        <f t="array" ref="O347">(H347-H346)/H346</f>
        <v>0.008395720890642829</v>
      </c>
    </row>
    <row r="348" ht="13.65" customHeight="1">
      <c r="A348" s="12">
        <v>44777</v>
      </c>
      <c r="B348" t="s" s="13">
        <v>22</v>
      </c>
      <c r="C348" s="14">
        <v>2610</v>
      </c>
      <c r="D348" s="14">
        <v>2617.75</v>
      </c>
      <c r="E348" s="14">
        <v>2535</v>
      </c>
      <c r="F348" s="14">
        <v>2606.35</v>
      </c>
      <c r="G348" s="14">
        <v>2570</v>
      </c>
      <c r="H348" s="14">
        <v>2571.9</v>
      </c>
      <c r="I348" s="14">
        <v>2569.27</v>
      </c>
      <c r="J348" s="14">
        <v>2856.15</v>
      </c>
      <c r="K348" s="14">
        <v>2041.15</v>
      </c>
      <c r="L348" s="15">
        <v>6676577</v>
      </c>
      <c r="M348" t="s" s="13">
        <v>364</v>
      </c>
      <c r="N348" s="15">
        <v>309213</v>
      </c>
      <c r="O348" s="17" cm="1">
        <f t="array" ref="O348">(H348-H347)/H347</f>
        <v>-0.0132177182650066</v>
      </c>
    </row>
    <row r="349" ht="13.65" customHeight="1">
      <c r="A349" s="12">
        <v>44778</v>
      </c>
      <c r="B349" t="s" s="13">
        <v>22</v>
      </c>
      <c r="C349" s="14">
        <v>2576</v>
      </c>
      <c r="D349" s="14">
        <v>2578.8</v>
      </c>
      <c r="E349" s="14">
        <v>2526.95</v>
      </c>
      <c r="F349" s="14">
        <v>2571.9</v>
      </c>
      <c r="G349" s="14">
        <v>2532.9</v>
      </c>
      <c r="H349" s="14">
        <v>2534</v>
      </c>
      <c r="I349" s="14">
        <v>2543.41</v>
      </c>
      <c r="J349" s="14">
        <v>2856.15</v>
      </c>
      <c r="K349" s="14">
        <v>2041.15</v>
      </c>
      <c r="L349" s="15">
        <v>6434433</v>
      </c>
      <c r="M349" t="s" s="13">
        <v>365</v>
      </c>
      <c r="N349" s="15">
        <v>249464</v>
      </c>
      <c r="O349" s="17" cm="1">
        <f t="array" ref="O349">(H349-H348)/H348</f>
        <v>-0.0147361872545589</v>
      </c>
    </row>
    <row r="350" ht="13.65" customHeight="1">
      <c r="A350" s="12">
        <v>44781</v>
      </c>
      <c r="B350" t="s" s="13">
        <v>22</v>
      </c>
      <c r="C350" s="14">
        <v>2531</v>
      </c>
      <c r="D350" s="14">
        <v>2583.55</v>
      </c>
      <c r="E350" s="14">
        <v>2531</v>
      </c>
      <c r="F350" s="14">
        <v>2534</v>
      </c>
      <c r="G350" s="14">
        <v>2568</v>
      </c>
      <c r="H350" s="14">
        <v>2567.15</v>
      </c>
      <c r="I350" s="14">
        <v>2567.43</v>
      </c>
      <c r="J350" s="14">
        <v>2856.15</v>
      </c>
      <c r="K350" s="14">
        <v>2066.5</v>
      </c>
      <c r="L350" s="15">
        <v>4691228</v>
      </c>
      <c r="M350" t="s" s="13">
        <v>366</v>
      </c>
      <c r="N350" s="15">
        <v>172002</v>
      </c>
      <c r="O350" s="17" cm="1">
        <f t="array" ref="O350">(H350-H349)/H349</f>
        <v>0.0130820836621942</v>
      </c>
    </row>
    <row r="351" ht="13.65" customHeight="1">
      <c r="A351" s="18">
        <v>44783</v>
      </c>
      <c r="B351" t="s" s="13">
        <v>22</v>
      </c>
      <c r="C351" s="14">
        <v>2576.9</v>
      </c>
      <c r="D351" s="14">
        <v>2589.9</v>
      </c>
      <c r="E351" s="14">
        <v>2557.05</v>
      </c>
      <c r="F351" s="14">
        <v>2567.15</v>
      </c>
      <c r="G351" s="14">
        <v>2578.95</v>
      </c>
      <c r="H351" s="14">
        <v>2582.5</v>
      </c>
      <c r="I351" s="14">
        <v>2574.23</v>
      </c>
      <c r="J351" s="14">
        <v>2856.15</v>
      </c>
      <c r="K351" s="14">
        <v>2066.5</v>
      </c>
      <c r="L351" s="15">
        <v>4949442</v>
      </c>
      <c r="M351" t="s" s="13">
        <v>367</v>
      </c>
      <c r="N351" s="15">
        <v>183157</v>
      </c>
      <c r="O351" s="17" cm="1">
        <f t="array" ref="O351">(H351-H350)/H350</f>
        <v>0.00597939349083614</v>
      </c>
    </row>
    <row r="352" ht="13.65" customHeight="1">
      <c r="A352" s="18">
        <v>44784</v>
      </c>
      <c r="B352" t="s" s="13">
        <v>22</v>
      </c>
      <c r="C352" s="14">
        <v>2603.1</v>
      </c>
      <c r="D352" s="14">
        <v>2609.9</v>
      </c>
      <c r="E352" s="14">
        <v>2580.2</v>
      </c>
      <c r="F352" s="14">
        <v>2582.5</v>
      </c>
      <c r="G352" s="14">
        <v>2586.7</v>
      </c>
      <c r="H352" s="14">
        <v>2591.1</v>
      </c>
      <c r="I352" s="14">
        <v>2593.04</v>
      </c>
      <c r="J352" s="14">
        <v>2856.15</v>
      </c>
      <c r="K352" s="14">
        <v>2066.5</v>
      </c>
      <c r="L352" s="15">
        <v>3783480</v>
      </c>
      <c r="M352" t="s" s="13">
        <v>368</v>
      </c>
      <c r="N352" s="15">
        <v>171131</v>
      </c>
      <c r="O352" s="17" cm="1">
        <f t="array" ref="O352">(H352-H351)/H351</f>
        <v>0.00333010648596321</v>
      </c>
    </row>
    <row r="353" ht="13.65" customHeight="1">
      <c r="A353" s="18">
        <v>44785</v>
      </c>
      <c r="B353" t="s" s="13">
        <v>22</v>
      </c>
      <c r="C353" s="14">
        <v>2590.3</v>
      </c>
      <c r="D353" s="14">
        <v>2641.35</v>
      </c>
      <c r="E353" s="14">
        <v>2582.2</v>
      </c>
      <c r="F353" s="14">
        <v>2591.1</v>
      </c>
      <c r="G353" s="14">
        <v>2632</v>
      </c>
      <c r="H353" s="14">
        <v>2633</v>
      </c>
      <c r="I353" s="14">
        <v>2626.23</v>
      </c>
      <c r="J353" s="14">
        <v>2856.15</v>
      </c>
      <c r="K353" s="14">
        <v>2066.5</v>
      </c>
      <c r="L353" s="15">
        <v>5838244</v>
      </c>
      <c r="M353" t="s" s="13">
        <v>369</v>
      </c>
      <c r="N353" s="15">
        <v>256139</v>
      </c>
      <c r="O353" s="17" cm="1">
        <f t="array" ref="O353">(H353-H352)/H352</f>
        <v>0.0161707382964764</v>
      </c>
    </row>
    <row r="354" ht="13.65" customHeight="1">
      <c r="A354" s="18">
        <v>44789</v>
      </c>
      <c r="B354" t="s" s="13">
        <v>22</v>
      </c>
      <c r="C354" s="14">
        <v>2646.2</v>
      </c>
      <c r="D354" s="14">
        <v>2657.3</v>
      </c>
      <c r="E354" s="14">
        <v>2627.3</v>
      </c>
      <c r="F354" s="14">
        <v>2633</v>
      </c>
      <c r="G354" s="14">
        <v>2656</v>
      </c>
      <c r="H354" s="14">
        <v>2651.3</v>
      </c>
      <c r="I354" s="14">
        <v>2643.49</v>
      </c>
      <c r="J354" s="14">
        <v>2856.15</v>
      </c>
      <c r="K354" s="14">
        <v>2128.15</v>
      </c>
      <c r="L354" s="15">
        <v>3049304</v>
      </c>
      <c r="M354" t="s" s="13">
        <v>370</v>
      </c>
      <c r="N354" s="15">
        <v>140058</v>
      </c>
      <c r="O354" s="17" cm="1">
        <f t="array" ref="O354">(H354-H353)/H353</f>
        <v>0.00695024686669199</v>
      </c>
    </row>
    <row r="355" ht="13.65" customHeight="1">
      <c r="A355" s="18">
        <v>44790</v>
      </c>
      <c r="B355" t="s" s="13">
        <v>22</v>
      </c>
      <c r="C355" s="14">
        <v>2665</v>
      </c>
      <c r="D355" s="14">
        <v>2676.9</v>
      </c>
      <c r="E355" s="14">
        <v>2655.55</v>
      </c>
      <c r="F355" s="14">
        <v>2651.3</v>
      </c>
      <c r="G355" s="14">
        <v>2661.7</v>
      </c>
      <c r="H355" s="14">
        <v>2665.15</v>
      </c>
      <c r="I355" s="14">
        <v>2666.17</v>
      </c>
      <c r="J355" s="14">
        <v>2856.15</v>
      </c>
      <c r="K355" s="14">
        <v>2128.15</v>
      </c>
      <c r="L355" s="15">
        <v>3044037</v>
      </c>
      <c r="M355" t="s" s="13">
        <v>371</v>
      </c>
      <c r="N355" s="15">
        <v>121433</v>
      </c>
      <c r="O355" s="17" cm="1">
        <f t="array" ref="O355">(H355-H354)/H354</f>
        <v>0.00522385244974164</v>
      </c>
    </row>
    <row r="356" ht="13.65" customHeight="1">
      <c r="A356" s="18">
        <v>44791</v>
      </c>
      <c r="B356" t="s" s="13">
        <v>22</v>
      </c>
      <c r="C356" s="14">
        <v>2660</v>
      </c>
      <c r="D356" s="14">
        <v>2669</v>
      </c>
      <c r="E356" s="14">
        <v>2640.2</v>
      </c>
      <c r="F356" s="14">
        <v>2665.15</v>
      </c>
      <c r="G356" s="14">
        <v>2662</v>
      </c>
      <c r="H356" s="14">
        <v>2661.3</v>
      </c>
      <c r="I356" s="14">
        <v>2654.44</v>
      </c>
      <c r="J356" s="14">
        <v>2856.15</v>
      </c>
      <c r="K356" s="14">
        <v>2128.15</v>
      </c>
      <c r="L356" s="15">
        <v>3419730</v>
      </c>
      <c r="M356" t="s" s="13">
        <v>372</v>
      </c>
      <c r="N356" s="15">
        <v>131393</v>
      </c>
      <c r="O356" s="17" cm="1">
        <f t="array" ref="O356">(H356-H355)/H355</f>
        <v>-0.00144457160009756</v>
      </c>
    </row>
    <row r="357" ht="13.65" customHeight="1">
      <c r="A357" s="18">
        <v>44792</v>
      </c>
      <c r="B357" t="s" s="13">
        <v>22</v>
      </c>
      <c r="C357" s="14">
        <v>2650</v>
      </c>
      <c r="D357" s="14">
        <v>2661.7</v>
      </c>
      <c r="E357" s="14">
        <v>2604.95</v>
      </c>
      <c r="F357" s="14">
        <v>2661.3</v>
      </c>
      <c r="G357" s="14">
        <v>2609.8</v>
      </c>
      <c r="H357" s="14">
        <v>2613.85</v>
      </c>
      <c r="I357" s="14">
        <v>2631.57</v>
      </c>
      <c r="J357" s="14">
        <v>2856.15</v>
      </c>
      <c r="K357" s="14">
        <v>2128.15</v>
      </c>
      <c r="L357" s="15">
        <v>4366123</v>
      </c>
      <c r="M357" t="s" s="13">
        <v>373</v>
      </c>
      <c r="N357" s="15">
        <v>159356</v>
      </c>
      <c r="O357" s="17" cm="1">
        <f t="array" ref="O357">(H357-H356)/H356</f>
        <v>-0.017829632134671</v>
      </c>
    </row>
    <row r="358" ht="13.65" customHeight="1">
      <c r="A358" s="18">
        <v>44795</v>
      </c>
      <c r="B358" t="s" s="13">
        <v>22</v>
      </c>
      <c r="C358" s="14">
        <v>2617</v>
      </c>
      <c r="D358" s="14">
        <v>2631.3</v>
      </c>
      <c r="E358" s="14">
        <v>2586</v>
      </c>
      <c r="F358" s="14">
        <v>2613.85</v>
      </c>
      <c r="G358" s="14">
        <v>2602.5</v>
      </c>
      <c r="H358" s="14">
        <v>2606.6</v>
      </c>
      <c r="I358" s="14">
        <v>2606.47</v>
      </c>
      <c r="J358" s="14">
        <v>2856.15</v>
      </c>
      <c r="K358" s="14">
        <v>2132.3</v>
      </c>
      <c r="L358" s="15">
        <v>4371179</v>
      </c>
      <c r="M358" t="s" s="13">
        <v>374</v>
      </c>
      <c r="N358" s="15">
        <v>193858</v>
      </c>
      <c r="O358" s="17" cm="1">
        <f t="array" ref="O358">(H358-H357)/H357</f>
        <v>-0.00277368632476998</v>
      </c>
    </row>
    <row r="359" ht="13.65" customHeight="1">
      <c r="A359" s="18">
        <v>44796</v>
      </c>
      <c r="B359" t="s" s="13">
        <v>22</v>
      </c>
      <c r="C359" s="14">
        <v>2594</v>
      </c>
      <c r="D359" s="14">
        <v>2653.2</v>
      </c>
      <c r="E359" s="14">
        <v>2591.35</v>
      </c>
      <c r="F359" s="14">
        <v>2606.6</v>
      </c>
      <c r="G359" s="14">
        <v>2649</v>
      </c>
      <c r="H359" s="14">
        <v>2646.8</v>
      </c>
      <c r="I359" s="14">
        <v>2630.64</v>
      </c>
      <c r="J359" s="14">
        <v>2856.15</v>
      </c>
      <c r="K359" s="14">
        <v>2132.3</v>
      </c>
      <c r="L359" s="15">
        <v>4466619</v>
      </c>
      <c r="M359" t="s" s="13">
        <v>375</v>
      </c>
      <c r="N359" s="15">
        <v>173321</v>
      </c>
      <c r="O359" s="17" cm="1">
        <f t="array" ref="O359">(H359-H358)/H358</f>
        <v>0.0154223893194199</v>
      </c>
    </row>
    <row r="360" ht="13.65" customHeight="1">
      <c r="A360" s="18">
        <v>44797</v>
      </c>
      <c r="B360" t="s" s="13">
        <v>22</v>
      </c>
      <c r="C360" s="14">
        <v>2640.1</v>
      </c>
      <c r="D360" s="14">
        <v>2670</v>
      </c>
      <c r="E360" s="14">
        <v>2635.35</v>
      </c>
      <c r="F360" s="14">
        <v>2646.8</v>
      </c>
      <c r="G360" s="14">
        <v>2645</v>
      </c>
      <c r="H360" s="14">
        <v>2639.75</v>
      </c>
      <c r="I360" s="14">
        <v>2648.95</v>
      </c>
      <c r="J360" s="14">
        <v>2856.15</v>
      </c>
      <c r="K360" s="14">
        <v>2132.3</v>
      </c>
      <c r="L360" s="15">
        <v>4785579</v>
      </c>
      <c r="M360" t="s" s="13">
        <v>376</v>
      </c>
      <c r="N360" s="15">
        <v>168584</v>
      </c>
      <c r="O360" s="17" cm="1">
        <f t="array" ref="O360">(H360-H359)/H359</f>
        <v>-0.00266359377361342</v>
      </c>
    </row>
    <row r="361" ht="13.65" customHeight="1">
      <c r="A361" s="18">
        <v>44798</v>
      </c>
      <c r="B361" t="s" s="13">
        <v>22</v>
      </c>
      <c r="C361" s="14">
        <v>2648.95</v>
      </c>
      <c r="D361" s="14">
        <v>2662.9</v>
      </c>
      <c r="E361" s="14">
        <v>2622.6</v>
      </c>
      <c r="F361" s="14">
        <v>2639.75</v>
      </c>
      <c r="G361" s="14">
        <v>2628</v>
      </c>
      <c r="H361" s="14">
        <v>2632.05</v>
      </c>
      <c r="I361" s="14">
        <v>2648.65</v>
      </c>
      <c r="J361" s="14">
        <v>2856.15</v>
      </c>
      <c r="K361" s="14">
        <v>2132.3</v>
      </c>
      <c r="L361" s="15">
        <v>3632902</v>
      </c>
      <c r="M361" t="s" s="13">
        <v>377</v>
      </c>
      <c r="N361" s="15">
        <v>133033</v>
      </c>
      <c r="O361" s="17" cm="1">
        <f t="array" ref="O361">(H361-H360)/H360</f>
        <v>-0.00291694289231935</v>
      </c>
    </row>
    <row r="362" ht="13.65" customHeight="1">
      <c r="A362" s="18">
        <v>44799</v>
      </c>
      <c r="B362" t="s" s="13">
        <v>22</v>
      </c>
      <c r="C362" s="14">
        <v>2633</v>
      </c>
      <c r="D362" s="14">
        <v>2650</v>
      </c>
      <c r="E362" s="14">
        <v>2607</v>
      </c>
      <c r="F362" s="14">
        <v>2632.05</v>
      </c>
      <c r="G362" s="14">
        <v>2623</v>
      </c>
      <c r="H362" s="14">
        <v>2618</v>
      </c>
      <c r="I362" s="14">
        <v>2622.3</v>
      </c>
      <c r="J362" s="14">
        <v>2856.15</v>
      </c>
      <c r="K362" s="14">
        <v>2132.3</v>
      </c>
      <c r="L362" s="15">
        <v>4957449</v>
      </c>
      <c r="M362" t="s" s="13">
        <v>378</v>
      </c>
      <c r="N362" s="15">
        <v>191312</v>
      </c>
      <c r="O362" s="17" cm="1">
        <f t="array" ref="O362">(H362-H361)/H361</f>
        <v>-0.00533804449003628</v>
      </c>
    </row>
    <row r="363" ht="13.65" customHeight="1">
      <c r="A363" s="18">
        <v>44802</v>
      </c>
      <c r="B363" t="s" s="13">
        <v>22</v>
      </c>
      <c r="C363" s="14">
        <v>2585</v>
      </c>
      <c r="D363" s="14">
        <v>2655</v>
      </c>
      <c r="E363" s="14">
        <v>2578.05</v>
      </c>
      <c r="F363" s="14">
        <v>2618</v>
      </c>
      <c r="G363" s="14">
        <v>2600</v>
      </c>
      <c r="H363" s="14">
        <v>2597.65</v>
      </c>
      <c r="I363" s="14">
        <v>2614.34</v>
      </c>
      <c r="J363" s="14">
        <v>2856.15</v>
      </c>
      <c r="K363" s="14">
        <v>2180</v>
      </c>
      <c r="L363" s="15">
        <v>9155684</v>
      </c>
      <c r="M363" t="s" s="13">
        <v>379</v>
      </c>
      <c r="N363" s="15">
        <v>326003</v>
      </c>
      <c r="O363" s="17" cm="1">
        <f t="array" ref="O363">(H363-H362)/H362</f>
        <v>-0.00777310924369748</v>
      </c>
    </row>
    <row r="364" ht="13.65" customHeight="1">
      <c r="A364" s="18">
        <v>44803</v>
      </c>
      <c r="B364" t="s" s="13">
        <v>22</v>
      </c>
      <c r="C364" s="14">
        <v>2614</v>
      </c>
      <c r="D364" s="14">
        <v>2645.25</v>
      </c>
      <c r="E364" s="14">
        <v>2576.6</v>
      </c>
      <c r="F364" s="14">
        <v>2597.65</v>
      </c>
      <c r="G364" s="14">
        <v>2642</v>
      </c>
      <c r="H364" s="14">
        <v>2637.95</v>
      </c>
      <c r="I364" s="14">
        <v>2614.74</v>
      </c>
      <c r="J364" s="14">
        <v>2856.15</v>
      </c>
      <c r="K364" s="14">
        <v>2180</v>
      </c>
      <c r="L364" s="15">
        <v>10678670</v>
      </c>
      <c r="M364" t="s" s="13">
        <v>380</v>
      </c>
      <c r="N364" s="15">
        <v>285656</v>
      </c>
      <c r="O364" s="17" cm="1">
        <f t="array" ref="O364">(H364-H363)/H363</f>
        <v>0.0155140222893769</v>
      </c>
    </row>
    <row r="365" ht="13.65" customHeight="1">
      <c r="A365" s="12">
        <v>44805</v>
      </c>
      <c r="B365" t="s" s="13">
        <v>22</v>
      </c>
      <c r="C365" s="14">
        <v>2582.65</v>
      </c>
      <c r="D365" s="14">
        <v>2604.95</v>
      </c>
      <c r="E365" s="14">
        <v>2550.7</v>
      </c>
      <c r="F365" s="14">
        <v>2637.95</v>
      </c>
      <c r="G365" s="14">
        <v>2564</v>
      </c>
      <c r="H365" s="14">
        <v>2560.4</v>
      </c>
      <c r="I365" s="14">
        <v>2580.13</v>
      </c>
      <c r="J365" s="14">
        <v>2856.15</v>
      </c>
      <c r="K365" s="14">
        <v>2180</v>
      </c>
      <c r="L365" s="15">
        <v>9188434</v>
      </c>
      <c r="M365" t="s" s="13">
        <v>381</v>
      </c>
      <c r="N365" s="15">
        <v>346414</v>
      </c>
      <c r="O365" s="17" cm="1">
        <f t="array" ref="O365">(H365-H364)/H364</f>
        <v>-0.029397827858754</v>
      </c>
    </row>
    <row r="366" ht="13.65" customHeight="1">
      <c r="A366" s="12">
        <v>44806</v>
      </c>
      <c r="B366" t="s" s="13">
        <v>22</v>
      </c>
      <c r="C366" s="14">
        <v>2560.4</v>
      </c>
      <c r="D366" s="14">
        <v>2575.35</v>
      </c>
      <c r="E366" s="14">
        <v>2525.7</v>
      </c>
      <c r="F366" s="14">
        <v>2560.4</v>
      </c>
      <c r="G366" s="14">
        <v>2527.95</v>
      </c>
      <c r="H366" s="14">
        <v>2530.5</v>
      </c>
      <c r="I366" s="14">
        <v>2546.24</v>
      </c>
      <c r="J366" s="14">
        <v>2856.15</v>
      </c>
      <c r="K366" s="14">
        <v>2180</v>
      </c>
      <c r="L366" s="15">
        <v>5999196</v>
      </c>
      <c r="M366" t="s" s="13">
        <v>382</v>
      </c>
      <c r="N366" s="15">
        <v>266158</v>
      </c>
      <c r="O366" s="17" cm="1">
        <f t="array" ref="O366">(H366-H365)/H365</f>
        <v>-0.0116778628339322</v>
      </c>
    </row>
    <row r="367" ht="13.65" customHeight="1">
      <c r="A367" s="12">
        <v>44809</v>
      </c>
      <c r="B367" t="s" s="13">
        <v>22</v>
      </c>
      <c r="C367" s="14">
        <v>2531</v>
      </c>
      <c r="D367" s="14">
        <v>2581.5</v>
      </c>
      <c r="E367" s="14">
        <v>2531</v>
      </c>
      <c r="F367" s="14">
        <v>2530.5</v>
      </c>
      <c r="G367" s="14">
        <v>2567.15</v>
      </c>
      <c r="H367" s="14">
        <v>2569.8</v>
      </c>
      <c r="I367" s="14">
        <v>2563.92</v>
      </c>
      <c r="J367" s="14">
        <v>2856.15</v>
      </c>
      <c r="K367" s="14">
        <v>2180</v>
      </c>
      <c r="L367" s="15">
        <v>5227785</v>
      </c>
      <c r="M367" t="s" s="13">
        <v>383</v>
      </c>
      <c r="N367" s="15">
        <v>189614</v>
      </c>
      <c r="O367" s="17" cm="1">
        <f t="array" ref="O367">(H367-H366)/H366</f>
        <v>0.0155305275637226</v>
      </c>
    </row>
    <row r="368" ht="13.65" customHeight="1">
      <c r="A368" s="12">
        <v>44810</v>
      </c>
      <c r="B368" t="s" s="13">
        <v>22</v>
      </c>
      <c r="C368" s="14">
        <v>2573</v>
      </c>
      <c r="D368" s="14">
        <v>2606</v>
      </c>
      <c r="E368" s="14">
        <v>2572</v>
      </c>
      <c r="F368" s="14">
        <v>2569.8</v>
      </c>
      <c r="G368" s="14">
        <v>2594</v>
      </c>
      <c r="H368" s="14">
        <v>2596.85</v>
      </c>
      <c r="I368" s="14">
        <v>2592.68</v>
      </c>
      <c r="J368" s="14">
        <v>2856.15</v>
      </c>
      <c r="K368" s="14">
        <v>2180</v>
      </c>
      <c r="L368" s="15">
        <v>5030172</v>
      </c>
      <c r="M368" t="s" s="13">
        <v>384</v>
      </c>
      <c r="N368" s="15">
        <v>174426</v>
      </c>
      <c r="O368" s="17" cm="1">
        <f t="array" ref="O368">(H368-H367)/H367</f>
        <v>0.0105261109813993</v>
      </c>
    </row>
    <row r="369" ht="13.65" customHeight="1">
      <c r="A369" s="12">
        <v>44811</v>
      </c>
      <c r="B369" t="s" s="13">
        <v>22</v>
      </c>
      <c r="C369" s="14">
        <v>2575</v>
      </c>
      <c r="D369" s="14">
        <v>2594.9</v>
      </c>
      <c r="E369" s="14">
        <v>2570</v>
      </c>
      <c r="F369" s="14">
        <v>2596.85</v>
      </c>
      <c r="G369" s="14">
        <v>2580.5</v>
      </c>
      <c r="H369" s="14">
        <v>2581.75</v>
      </c>
      <c r="I369" s="14">
        <v>2580.95</v>
      </c>
      <c r="J369" s="14">
        <v>2856.15</v>
      </c>
      <c r="K369" s="14">
        <v>2180</v>
      </c>
      <c r="L369" s="15">
        <v>3455942</v>
      </c>
      <c r="M369" t="s" s="13">
        <v>385</v>
      </c>
      <c r="N369" s="15">
        <v>117855</v>
      </c>
      <c r="O369" s="17" cm="1">
        <f t="array" ref="O369">(H369-H368)/H368</f>
        <v>-0.0058147370853149</v>
      </c>
    </row>
    <row r="370" ht="13.65" customHeight="1">
      <c r="A370" s="12">
        <v>44812</v>
      </c>
      <c r="B370" t="s" s="13">
        <v>22</v>
      </c>
      <c r="C370" s="14">
        <v>2588.25</v>
      </c>
      <c r="D370" s="14">
        <v>2598</v>
      </c>
      <c r="E370" s="14">
        <v>2571</v>
      </c>
      <c r="F370" s="14">
        <v>2581.75</v>
      </c>
      <c r="G370" s="14">
        <v>2583.05</v>
      </c>
      <c r="H370" s="14">
        <v>2585.4</v>
      </c>
      <c r="I370" s="14">
        <v>2583.54</v>
      </c>
      <c r="J370" s="14">
        <v>2856.15</v>
      </c>
      <c r="K370" s="14">
        <v>2180</v>
      </c>
      <c r="L370" s="15">
        <v>3256840</v>
      </c>
      <c r="M370" t="s" s="13">
        <v>386</v>
      </c>
      <c r="N370" s="15">
        <v>116529</v>
      </c>
      <c r="O370" s="17" cm="1">
        <f t="array" ref="O370">(H370-H369)/H369</f>
        <v>0.00141376972983441</v>
      </c>
    </row>
    <row r="371" ht="13.65" customHeight="1">
      <c r="A371" s="12">
        <v>44813</v>
      </c>
      <c r="B371" t="s" s="13">
        <v>22</v>
      </c>
      <c r="C371" s="14">
        <v>2610</v>
      </c>
      <c r="D371" s="14">
        <v>2610</v>
      </c>
      <c r="E371" s="14">
        <v>2564</v>
      </c>
      <c r="F371" s="14">
        <v>2585.4</v>
      </c>
      <c r="G371" s="14">
        <v>2568.9</v>
      </c>
      <c r="H371" s="14">
        <v>2569.3</v>
      </c>
      <c r="I371" s="14">
        <v>2577.69</v>
      </c>
      <c r="J371" s="14">
        <v>2856.15</v>
      </c>
      <c r="K371" s="14">
        <v>2180</v>
      </c>
      <c r="L371" s="15">
        <v>3837302</v>
      </c>
      <c r="M371" t="s" s="13">
        <v>387</v>
      </c>
      <c r="N371" s="15">
        <v>185947</v>
      </c>
      <c r="O371" s="17" cm="1">
        <f t="array" ref="O371">(H371-H370)/H370</f>
        <v>-0.00622727624352131</v>
      </c>
    </row>
    <row r="372" ht="13.65" customHeight="1">
      <c r="A372" s="18">
        <v>44816</v>
      </c>
      <c r="B372" t="s" s="13">
        <v>22</v>
      </c>
      <c r="C372" s="14">
        <v>2570.55</v>
      </c>
      <c r="D372" s="14">
        <v>2612</v>
      </c>
      <c r="E372" s="14">
        <v>2570.55</v>
      </c>
      <c r="F372" s="14">
        <v>2569.3</v>
      </c>
      <c r="G372" s="14">
        <v>2597.6</v>
      </c>
      <c r="H372" s="14">
        <v>2598.05</v>
      </c>
      <c r="I372" s="14">
        <v>2596.44</v>
      </c>
      <c r="J372" s="14">
        <v>2856.15</v>
      </c>
      <c r="K372" s="14">
        <v>2180</v>
      </c>
      <c r="L372" s="15">
        <v>3431445</v>
      </c>
      <c r="M372" t="s" s="13">
        <v>388</v>
      </c>
      <c r="N372" s="15">
        <v>123802</v>
      </c>
      <c r="O372" s="17" cm="1">
        <f t="array" ref="O372">(H372-H371)/H371</f>
        <v>0.0111898182384307</v>
      </c>
    </row>
    <row r="373" ht="13.65" customHeight="1">
      <c r="A373" s="18">
        <v>44817</v>
      </c>
      <c r="B373" t="s" s="13">
        <v>22</v>
      </c>
      <c r="C373" s="14">
        <v>2618</v>
      </c>
      <c r="D373" s="14">
        <v>2629.7</v>
      </c>
      <c r="E373" s="14">
        <v>2601</v>
      </c>
      <c r="F373" s="14">
        <v>2598.05</v>
      </c>
      <c r="G373" s="14">
        <v>2619</v>
      </c>
      <c r="H373" s="14">
        <v>2619.75</v>
      </c>
      <c r="I373" s="14">
        <v>2617.12</v>
      </c>
      <c r="J373" s="14">
        <v>2856.15</v>
      </c>
      <c r="K373" s="14">
        <v>2180</v>
      </c>
      <c r="L373" s="15">
        <v>4102114</v>
      </c>
      <c r="M373" t="s" s="13">
        <v>389</v>
      </c>
      <c r="N373" s="15">
        <v>155135</v>
      </c>
      <c r="O373" s="17" cm="1">
        <f t="array" ref="O373">(H373-H372)/H372</f>
        <v>0.008352418159773681</v>
      </c>
    </row>
    <row r="374" ht="13.65" customHeight="1">
      <c r="A374" s="18">
        <v>44818</v>
      </c>
      <c r="B374" t="s" s="13">
        <v>22</v>
      </c>
      <c r="C374" s="14">
        <v>2575</v>
      </c>
      <c r="D374" s="14">
        <v>2610</v>
      </c>
      <c r="E374" s="14">
        <v>2572.75</v>
      </c>
      <c r="F374" s="14">
        <v>2619.75</v>
      </c>
      <c r="G374" s="14">
        <v>2589.15</v>
      </c>
      <c r="H374" s="14">
        <v>2588.35</v>
      </c>
      <c r="I374" s="14">
        <v>2595.02</v>
      </c>
      <c r="J374" s="14">
        <v>2856.15</v>
      </c>
      <c r="K374" s="14">
        <v>2180</v>
      </c>
      <c r="L374" s="15">
        <v>4004997</v>
      </c>
      <c r="M374" t="s" s="13">
        <v>390</v>
      </c>
      <c r="N374" s="15">
        <v>156954</v>
      </c>
      <c r="O374" s="17" cm="1">
        <f t="array" ref="O374">(H374-H373)/H373</f>
        <v>-0.0119858765149346</v>
      </c>
    </row>
    <row r="375" ht="13.65" customHeight="1">
      <c r="A375" s="18">
        <v>44819</v>
      </c>
      <c r="B375" t="s" s="13">
        <v>22</v>
      </c>
      <c r="C375" s="14">
        <v>2583</v>
      </c>
      <c r="D375" s="14">
        <v>2603.55</v>
      </c>
      <c r="E375" s="14">
        <v>2556.75</v>
      </c>
      <c r="F375" s="14">
        <v>2588.35</v>
      </c>
      <c r="G375" s="14">
        <v>2563</v>
      </c>
      <c r="H375" s="14">
        <v>2562.7</v>
      </c>
      <c r="I375" s="14">
        <v>2573.85</v>
      </c>
      <c r="J375" s="14">
        <v>2856.15</v>
      </c>
      <c r="K375" s="14">
        <v>2180</v>
      </c>
      <c r="L375" s="15">
        <v>4783723</v>
      </c>
      <c r="M375" t="s" s="13">
        <v>391</v>
      </c>
      <c r="N375" s="15">
        <v>181399</v>
      </c>
      <c r="O375" s="17" cm="1">
        <f t="array" ref="O375">(H375-H374)/H374</f>
        <v>-0.00990978808893697</v>
      </c>
    </row>
    <row r="376" ht="13.65" customHeight="1">
      <c r="A376" s="18">
        <v>44820</v>
      </c>
      <c r="B376" t="s" s="13">
        <v>22</v>
      </c>
      <c r="C376" s="14">
        <v>2543.75</v>
      </c>
      <c r="D376" s="14">
        <v>2553</v>
      </c>
      <c r="E376" s="14">
        <v>2491</v>
      </c>
      <c r="F376" s="14">
        <v>2562.7</v>
      </c>
      <c r="G376" s="14">
        <v>2498</v>
      </c>
      <c r="H376" s="14">
        <v>2499.2</v>
      </c>
      <c r="I376" s="14">
        <v>2509.51</v>
      </c>
      <c r="J376" s="14">
        <v>2856.15</v>
      </c>
      <c r="K376" s="14">
        <v>2180</v>
      </c>
      <c r="L376" s="15">
        <v>9330469</v>
      </c>
      <c r="M376" t="s" s="13">
        <v>392</v>
      </c>
      <c r="N376" s="15">
        <v>311718</v>
      </c>
      <c r="O376" s="17" cm="1">
        <f t="array" ref="O376">(H376-H375)/H375</f>
        <v>-0.0247785538689663</v>
      </c>
    </row>
    <row r="377" ht="13.65" customHeight="1">
      <c r="A377" s="18">
        <v>44823</v>
      </c>
      <c r="B377" t="s" s="13">
        <v>22</v>
      </c>
      <c r="C377" s="14">
        <v>2499.2</v>
      </c>
      <c r="D377" s="14">
        <v>2522.7</v>
      </c>
      <c r="E377" s="14">
        <v>2481.35</v>
      </c>
      <c r="F377" s="14">
        <v>2499.2</v>
      </c>
      <c r="G377" s="14">
        <v>2502.4</v>
      </c>
      <c r="H377" s="14">
        <v>2502.45</v>
      </c>
      <c r="I377" s="14">
        <v>2506.17</v>
      </c>
      <c r="J377" s="14">
        <v>2856.15</v>
      </c>
      <c r="K377" s="14">
        <v>2180</v>
      </c>
      <c r="L377" s="15">
        <v>3498286</v>
      </c>
      <c r="M377" t="s" s="13">
        <v>393</v>
      </c>
      <c r="N377" s="15">
        <v>137901</v>
      </c>
      <c r="O377" s="17" cm="1">
        <f t="array" ref="O377">(H377-H376)/H376</f>
        <v>0.00130041613316261</v>
      </c>
    </row>
    <row r="378" ht="13.65" customHeight="1">
      <c r="A378" s="18">
        <v>44824</v>
      </c>
      <c r="B378" t="s" s="13">
        <v>22</v>
      </c>
      <c r="C378" s="14">
        <v>2522.45</v>
      </c>
      <c r="D378" s="14">
        <v>2537.7</v>
      </c>
      <c r="E378" s="14">
        <v>2494.7</v>
      </c>
      <c r="F378" s="14">
        <v>2502.45</v>
      </c>
      <c r="G378" s="14">
        <v>2497.85</v>
      </c>
      <c r="H378" s="14">
        <v>2502.85</v>
      </c>
      <c r="I378" s="14">
        <v>2518.24</v>
      </c>
      <c r="J378" s="14">
        <v>2856.15</v>
      </c>
      <c r="K378" s="14">
        <v>2180</v>
      </c>
      <c r="L378" s="15">
        <v>3881882</v>
      </c>
      <c r="M378" t="s" s="13">
        <v>394</v>
      </c>
      <c r="N378" s="15">
        <v>178557</v>
      </c>
      <c r="O378" s="17" cm="1">
        <f t="array" ref="O378">(H378-H377)/H377</f>
        <v>0.000159843353513557</v>
      </c>
    </row>
    <row r="379" ht="13.65" customHeight="1">
      <c r="A379" s="18">
        <v>44825</v>
      </c>
      <c r="B379" t="s" s="13">
        <v>22</v>
      </c>
      <c r="C379" s="14">
        <v>2496.75</v>
      </c>
      <c r="D379" s="14">
        <v>2533</v>
      </c>
      <c r="E379" s="14">
        <v>2495</v>
      </c>
      <c r="F379" s="14">
        <v>2502.85</v>
      </c>
      <c r="G379" s="14">
        <v>2507.7</v>
      </c>
      <c r="H379" s="14">
        <v>2509.75</v>
      </c>
      <c r="I379" s="14">
        <v>2515.3</v>
      </c>
      <c r="J379" s="14">
        <v>2856.15</v>
      </c>
      <c r="K379" s="14">
        <v>2180</v>
      </c>
      <c r="L379" s="15">
        <v>4249172</v>
      </c>
      <c r="M379" t="s" s="13">
        <v>395</v>
      </c>
      <c r="N379" s="15">
        <v>146056</v>
      </c>
      <c r="O379" s="17" cm="1">
        <f t="array" ref="O379">(H379-H378)/H378</f>
        <v>0.00275685718281159</v>
      </c>
    </row>
    <row r="380" ht="13.65" customHeight="1">
      <c r="A380" s="18">
        <v>44826</v>
      </c>
      <c r="B380" t="s" s="13">
        <v>22</v>
      </c>
      <c r="C380" s="14">
        <v>2486</v>
      </c>
      <c r="D380" s="14">
        <v>2503</v>
      </c>
      <c r="E380" s="14">
        <v>2472.1</v>
      </c>
      <c r="F380" s="14">
        <v>2509.75</v>
      </c>
      <c r="G380" s="14">
        <v>2487.95</v>
      </c>
      <c r="H380" s="14">
        <v>2486.1</v>
      </c>
      <c r="I380" s="14">
        <v>2488.77</v>
      </c>
      <c r="J380" s="14">
        <v>2856.15</v>
      </c>
      <c r="K380" s="14">
        <v>2180</v>
      </c>
      <c r="L380" s="15">
        <v>4757219</v>
      </c>
      <c r="M380" t="s" s="13">
        <v>396</v>
      </c>
      <c r="N380" s="15">
        <v>207678</v>
      </c>
      <c r="O380" s="17" cm="1">
        <f t="array" ref="O380">(H380-H379)/H379</f>
        <v>-0.009423249327622269</v>
      </c>
    </row>
    <row r="381" ht="13.65" customHeight="1">
      <c r="A381" s="18">
        <v>44827</v>
      </c>
      <c r="B381" t="s" s="13">
        <v>22</v>
      </c>
      <c r="C381" s="14">
        <v>2485</v>
      </c>
      <c r="D381" s="14">
        <v>2495.95</v>
      </c>
      <c r="E381" s="14">
        <v>2436.1</v>
      </c>
      <c r="F381" s="14">
        <v>2486.1</v>
      </c>
      <c r="G381" s="14">
        <v>2438.8</v>
      </c>
      <c r="H381" s="14">
        <v>2439.5</v>
      </c>
      <c r="I381" s="14">
        <v>2455.68</v>
      </c>
      <c r="J381" s="14">
        <v>2856.15</v>
      </c>
      <c r="K381" s="14">
        <v>2180</v>
      </c>
      <c r="L381" s="15">
        <v>4397194</v>
      </c>
      <c r="M381" t="s" s="13">
        <v>397</v>
      </c>
      <c r="N381" s="15">
        <v>246646</v>
      </c>
      <c r="O381" s="17" cm="1">
        <f t="array" ref="O381">(H381-H380)/H380</f>
        <v>-0.018744217851253</v>
      </c>
    </row>
    <row r="382" ht="13.65" customHeight="1">
      <c r="A382" s="18">
        <v>44830</v>
      </c>
      <c r="B382" t="s" s="13">
        <v>22</v>
      </c>
      <c r="C382" s="14">
        <v>2394.05</v>
      </c>
      <c r="D382" s="14">
        <v>2417.8</v>
      </c>
      <c r="E382" s="14">
        <v>2375.15</v>
      </c>
      <c r="F382" s="14">
        <v>2439.5</v>
      </c>
      <c r="G382" s="14">
        <v>2378.15</v>
      </c>
      <c r="H382" s="14">
        <v>2377.35</v>
      </c>
      <c r="I382" s="14">
        <v>2392.03</v>
      </c>
      <c r="J382" s="14">
        <v>2856.15</v>
      </c>
      <c r="K382" s="14">
        <v>2180</v>
      </c>
      <c r="L382" s="15">
        <v>5759298</v>
      </c>
      <c r="M382" t="s" s="13">
        <v>398</v>
      </c>
      <c r="N382" s="15">
        <v>334638</v>
      </c>
      <c r="O382" s="17" cm="1">
        <f t="array" ref="O382">(H382-H381)/H381</f>
        <v>-0.0254765320762451</v>
      </c>
    </row>
    <row r="383" ht="13.65" customHeight="1">
      <c r="A383" s="18">
        <v>44831</v>
      </c>
      <c r="B383" t="s" s="13">
        <v>22</v>
      </c>
      <c r="C383" s="14">
        <v>2394</v>
      </c>
      <c r="D383" s="14">
        <v>2426</v>
      </c>
      <c r="E383" s="14">
        <v>2360.1</v>
      </c>
      <c r="F383" s="14">
        <v>2377.35</v>
      </c>
      <c r="G383" s="14">
        <v>2394</v>
      </c>
      <c r="H383" s="14">
        <v>2396.25</v>
      </c>
      <c r="I383" s="14">
        <v>2390.7</v>
      </c>
      <c r="J383" s="14">
        <v>2856.15</v>
      </c>
      <c r="K383" s="14">
        <v>2180</v>
      </c>
      <c r="L383" s="15">
        <v>7455448</v>
      </c>
      <c r="M383" t="s" s="13">
        <v>399</v>
      </c>
      <c r="N383" s="15">
        <v>295538</v>
      </c>
      <c r="O383" s="17" cm="1">
        <f t="array" ref="O383">(H383-H382)/H382</f>
        <v>0.007950028392958551</v>
      </c>
    </row>
    <row r="384" ht="13.65" customHeight="1">
      <c r="A384" s="18">
        <v>44832</v>
      </c>
      <c r="B384" t="s" s="13">
        <v>22</v>
      </c>
      <c r="C384" s="14">
        <v>2360.35</v>
      </c>
      <c r="D384" s="14">
        <v>2378</v>
      </c>
      <c r="E384" s="14">
        <v>2327.1</v>
      </c>
      <c r="F384" s="14">
        <v>2396.25</v>
      </c>
      <c r="G384" s="14">
        <v>2330.5</v>
      </c>
      <c r="H384" s="14">
        <v>2332.45</v>
      </c>
      <c r="I384" s="14">
        <v>2353.58</v>
      </c>
      <c r="J384" s="14">
        <v>2856.15</v>
      </c>
      <c r="K384" s="14">
        <v>2180</v>
      </c>
      <c r="L384" s="15">
        <v>7844140</v>
      </c>
      <c r="M384" t="s" s="13">
        <v>400</v>
      </c>
      <c r="N384" s="15">
        <v>387724</v>
      </c>
      <c r="O384" s="17" cm="1">
        <f t="array" ref="O384">(H384-H383)/H383</f>
        <v>-0.0266249347939489</v>
      </c>
    </row>
    <row r="385" ht="13.65" customHeight="1">
      <c r="A385" s="18">
        <v>44833</v>
      </c>
      <c r="B385" t="s" s="13">
        <v>22</v>
      </c>
      <c r="C385" s="14">
        <v>2360</v>
      </c>
      <c r="D385" s="14">
        <v>2367.5</v>
      </c>
      <c r="E385" s="14">
        <v>2313</v>
      </c>
      <c r="F385" s="14">
        <v>2332.45</v>
      </c>
      <c r="G385" s="14">
        <v>2328</v>
      </c>
      <c r="H385" s="14">
        <v>2325.3</v>
      </c>
      <c r="I385" s="14">
        <v>2334.53</v>
      </c>
      <c r="J385" s="14">
        <v>2856.15</v>
      </c>
      <c r="K385" s="14">
        <v>2180</v>
      </c>
      <c r="L385" s="15">
        <v>6771046</v>
      </c>
      <c r="M385" t="s" s="13">
        <v>401</v>
      </c>
      <c r="N385" s="15">
        <v>288225</v>
      </c>
      <c r="O385" s="17" cm="1">
        <f t="array" ref="O385">(H385-H384)/H384</f>
        <v>-0.00306544620463461</v>
      </c>
    </row>
    <row r="386" ht="13.65" customHeight="1">
      <c r="A386" s="18">
        <v>44834</v>
      </c>
      <c r="B386" t="s" s="13">
        <v>22</v>
      </c>
      <c r="C386" s="14">
        <v>2311</v>
      </c>
      <c r="D386" s="14">
        <v>2402</v>
      </c>
      <c r="E386" s="14">
        <v>2311</v>
      </c>
      <c r="F386" s="14">
        <v>2325.3</v>
      </c>
      <c r="G386" s="14">
        <v>2376.15</v>
      </c>
      <c r="H386" s="14">
        <v>2377.75</v>
      </c>
      <c r="I386" s="14">
        <v>2371.6</v>
      </c>
      <c r="J386" s="14">
        <v>2856.15</v>
      </c>
      <c r="K386" s="14">
        <v>2180</v>
      </c>
      <c r="L386" s="15">
        <v>8589908</v>
      </c>
      <c r="M386" t="s" s="13">
        <v>402</v>
      </c>
      <c r="N386" s="15">
        <v>264760</v>
      </c>
      <c r="O386" s="17" cm="1">
        <f t="array" ref="O386">(H386-H385)/H385</f>
        <v>0.0225562293037458</v>
      </c>
    </row>
    <row r="387" ht="13.65" customHeight="1">
      <c r="A387" s="12">
        <v>44837</v>
      </c>
      <c r="B387" t="s" s="13">
        <v>22</v>
      </c>
      <c r="C387" s="14">
        <v>2391.5</v>
      </c>
      <c r="D387" s="14">
        <v>2416.95</v>
      </c>
      <c r="E387" s="14">
        <v>2363</v>
      </c>
      <c r="F387" s="14">
        <v>2377.75</v>
      </c>
      <c r="G387" s="14">
        <v>2367.05</v>
      </c>
      <c r="H387" s="14">
        <v>2369.5</v>
      </c>
      <c r="I387" s="14">
        <v>2382.06</v>
      </c>
      <c r="J387" s="14">
        <v>2856.15</v>
      </c>
      <c r="K387" s="14">
        <v>2180</v>
      </c>
      <c r="L387" s="15">
        <v>5470030</v>
      </c>
      <c r="M387" t="s" s="13">
        <v>403</v>
      </c>
      <c r="N387" s="15">
        <v>230794</v>
      </c>
      <c r="O387" s="17" cm="1">
        <f t="array" ref="O387">(H387-H386)/H386</f>
        <v>-0.00346966670171381</v>
      </c>
    </row>
    <row r="388" ht="13.65" customHeight="1">
      <c r="A388" s="12">
        <v>44838</v>
      </c>
      <c r="B388" t="s" s="13">
        <v>22</v>
      </c>
      <c r="C388" s="14">
        <v>2397.8</v>
      </c>
      <c r="D388" s="14">
        <v>2418</v>
      </c>
      <c r="E388" s="14">
        <v>2390.15</v>
      </c>
      <c r="F388" s="14">
        <v>2369.5</v>
      </c>
      <c r="G388" s="14">
        <v>2412.9</v>
      </c>
      <c r="H388" s="14">
        <v>2413.2</v>
      </c>
      <c r="I388" s="14">
        <v>2406.73</v>
      </c>
      <c r="J388" s="14">
        <v>2856.15</v>
      </c>
      <c r="K388" s="14">
        <v>2180</v>
      </c>
      <c r="L388" s="15">
        <v>4129893</v>
      </c>
      <c r="M388" t="s" s="13">
        <v>404</v>
      </c>
      <c r="N388" s="15">
        <v>152496</v>
      </c>
      <c r="O388" s="17" cm="1">
        <f t="array" ref="O388">(H388-H387)/H387</f>
        <v>0.0184427094323697</v>
      </c>
    </row>
    <row r="389" ht="13.65" customHeight="1">
      <c r="A389" s="12">
        <v>44840</v>
      </c>
      <c r="B389" t="s" s="13">
        <v>22</v>
      </c>
      <c r="C389" s="14">
        <v>2429</v>
      </c>
      <c r="D389" s="14">
        <v>2450</v>
      </c>
      <c r="E389" s="14">
        <v>2418.15</v>
      </c>
      <c r="F389" s="14">
        <v>2413.2</v>
      </c>
      <c r="G389" s="14">
        <v>2422.5</v>
      </c>
      <c r="H389" s="14">
        <v>2422.1</v>
      </c>
      <c r="I389" s="14">
        <v>2433.7</v>
      </c>
      <c r="J389" s="14">
        <v>2856.15</v>
      </c>
      <c r="K389" s="14">
        <v>2180</v>
      </c>
      <c r="L389" s="15">
        <v>6162021</v>
      </c>
      <c r="M389" t="s" s="13">
        <v>405</v>
      </c>
      <c r="N389" s="15">
        <v>212103</v>
      </c>
      <c r="O389" s="17" cm="1">
        <f t="array" ref="O389">(H389-H388)/H388</f>
        <v>0.00368804906348417</v>
      </c>
    </row>
    <row r="390" ht="13.65" customHeight="1">
      <c r="A390" s="12">
        <v>44841</v>
      </c>
      <c r="B390" t="s" s="13">
        <v>22</v>
      </c>
      <c r="C390" s="14">
        <v>2414.65</v>
      </c>
      <c r="D390" s="14">
        <v>2443.9</v>
      </c>
      <c r="E390" s="14">
        <v>2414.65</v>
      </c>
      <c r="F390" s="14">
        <v>2422.1</v>
      </c>
      <c r="G390" s="14">
        <v>2431.95</v>
      </c>
      <c r="H390" s="14">
        <v>2432.35</v>
      </c>
      <c r="I390" s="14">
        <v>2431.89</v>
      </c>
      <c r="J390" s="14">
        <v>2856.15</v>
      </c>
      <c r="K390" s="14">
        <v>2180</v>
      </c>
      <c r="L390" s="15">
        <v>3560167</v>
      </c>
      <c r="M390" t="s" s="13">
        <v>406</v>
      </c>
      <c r="N390" s="15">
        <v>119485</v>
      </c>
      <c r="O390" s="17" cm="1">
        <f t="array" ref="O390">(H390-H389)/H389</f>
        <v>0.00423186491061476</v>
      </c>
    </row>
    <row r="391" ht="13.65" customHeight="1">
      <c r="A391" s="18">
        <v>44844</v>
      </c>
      <c r="B391" t="s" s="13">
        <v>22</v>
      </c>
      <c r="C391" s="14">
        <v>2405</v>
      </c>
      <c r="D391" s="14">
        <v>2417.6</v>
      </c>
      <c r="E391" s="14">
        <v>2388</v>
      </c>
      <c r="F391" s="14">
        <v>2432.35</v>
      </c>
      <c r="G391" s="14">
        <v>2407</v>
      </c>
      <c r="H391" s="14">
        <v>2405.8</v>
      </c>
      <c r="I391" s="14">
        <v>2403.2</v>
      </c>
      <c r="J391" s="14">
        <v>2856.15</v>
      </c>
      <c r="K391" s="14">
        <v>2180</v>
      </c>
      <c r="L391" s="15">
        <v>2921076</v>
      </c>
      <c r="M391" t="s" s="13">
        <v>407</v>
      </c>
      <c r="N391" s="15">
        <v>136725</v>
      </c>
      <c r="O391" s="17" cm="1">
        <f t="array" ref="O391">(H391-H390)/H390</f>
        <v>-0.0109153699097581</v>
      </c>
    </row>
    <row r="392" ht="13.65" customHeight="1">
      <c r="A392" s="18">
        <v>44845</v>
      </c>
      <c r="B392" t="s" s="13">
        <v>22</v>
      </c>
      <c r="C392" s="14">
        <v>2414</v>
      </c>
      <c r="D392" s="14">
        <v>2414</v>
      </c>
      <c r="E392" s="14">
        <v>2351.1</v>
      </c>
      <c r="F392" s="14">
        <v>2405.8</v>
      </c>
      <c r="G392" s="14">
        <v>2353.55</v>
      </c>
      <c r="H392" s="14">
        <v>2357.9</v>
      </c>
      <c r="I392" s="14">
        <v>2377.84</v>
      </c>
      <c r="J392" s="14">
        <v>2856.15</v>
      </c>
      <c r="K392" s="14">
        <v>2180</v>
      </c>
      <c r="L392" s="15">
        <v>4252803</v>
      </c>
      <c r="M392" t="s" s="13">
        <v>408</v>
      </c>
      <c r="N392" s="15">
        <v>197213</v>
      </c>
      <c r="O392" s="17" cm="1">
        <f t="array" ref="O392">(H392-H391)/H391</f>
        <v>-0.0199102169756422</v>
      </c>
    </row>
    <row r="393" ht="13.65" customHeight="1">
      <c r="A393" s="18">
        <v>44846</v>
      </c>
      <c r="B393" t="s" s="13">
        <v>22</v>
      </c>
      <c r="C393" s="14">
        <v>2352</v>
      </c>
      <c r="D393" s="14">
        <v>2381.7</v>
      </c>
      <c r="E393" s="14">
        <v>2343.1</v>
      </c>
      <c r="F393" s="14">
        <v>2357.9</v>
      </c>
      <c r="G393" s="14">
        <v>2377</v>
      </c>
      <c r="H393" s="14">
        <v>2375.25</v>
      </c>
      <c r="I393" s="14">
        <v>2368.06</v>
      </c>
      <c r="J393" s="14">
        <v>2856.15</v>
      </c>
      <c r="K393" s="14">
        <v>2180</v>
      </c>
      <c r="L393" s="15">
        <v>3422992</v>
      </c>
      <c r="M393" t="s" s="13">
        <v>409</v>
      </c>
      <c r="N393" s="15">
        <v>158484</v>
      </c>
      <c r="O393" s="17" cm="1">
        <f t="array" ref="O393">(H393-H392)/H392</f>
        <v>0.00735824250392298</v>
      </c>
    </row>
    <row r="394" ht="13.65" customHeight="1">
      <c r="A394" s="18">
        <v>44847</v>
      </c>
      <c r="B394" t="s" s="13">
        <v>22</v>
      </c>
      <c r="C394" s="14">
        <v>2371.4</v>
      </c>
      <c r="D394" s="14">
        <v>2394</v>
      </c>
      <c r="E394" s="14">
        <v>2360.1</v>
      </c>
      <c r="F394" s="14">
        <v>2375.25</v>
      </c>
      <c r="G394" s="14">
        <v>2381</v>
      </c>
      <c r="H394" s="14">
        <v>2382.8</v>
      </c>
      <c r="I394" s="14">
        <v>2379.51</v>
      </c>
      <c r="J394" s="14">
        <v>2856.15</v>
      </c>
      <c r="K394" s="14">
        <v>2180</v>
      </c>
      <c r="L394" s="15">
        <v>3382098</v>
      </c>
      <c r="M394" t="s" s="13">
        <v>410</v>
      </c>
      <c r="N394" s="15">
        <v>163282</v>
      </c>
      <c r="O394" s="17" cm="1">
        <f t="array" ref="O394">(H394-H393)/H393</f>
        <v>0.00317861277760236</v>
      </c>
    </row>
    <row r="395" ht="13.65" customHeight="1">
      <c r="A395" s="18">
        <v>44848</v>
      </c>
      <c r="B395" t="s" s="13">
        <v>22</v>
      </c>
      <c r="C395" s="14">
        <v>2415</v>
      </c>
      <c r="D395" s="14">
        <v>2416.35</v>
      </c>
      <c r="E395" s="14">
        <v>2369.1</v>
      </c>
      <c r="F395" s="14">
        <v>2382.8</v>
      </c>
      <c r="G395" s="14">
        <v>2371.75</v>
      </c>
      <c r="H395" s="14">
        <v>2370.7</v>
      </c>
      <c r="I395" s="14">
        <v>2392.6</v>
      </c>
      <c r="J395" s="14">
        <v>2856.15</v>
      </c>
      <c r="K395" s="14">
        <v>2180</v>
      </c>
      <c r="L395" s="15">
        <v>4202459</v>
      </c>
      <c r="M395" t="s" s="13">
        <v>411</v>
      </c>
      <c r="N395" s="15">
        <v>178804</v>
      </c>
      <c r="O395" s="17" cm="1">
        <f t="array" ref="O395">(H395-H394)/H394</f>
        <v>-0.00507805942588551</v>
      </c>
    </row>
    <row r="396" ht="13.65" customHeight="1">
      <c r="A396" s="18">
        <v>44851</v>
      </c>
      <c r="B396" t="s" s="13">
        <v>22</v>
      </c>
      <c r="C396" s="14">
        <v>2355</v>
      </c>
      <c r="D396" s="14">
        <v>2414</v>
      </c>
      <c r="E396" s="14">
        <v>2343.6</v>
      </c>
      <c r="F396" s="14">
        <v>2370.7</v>
      </c>
      <c r="G396" s="14">
        <v>2406.6</v>
      </c>
      <c r="H396" s="14">
        <v>2408.75</v>
      </c>
      <c r="I396" s="14">
        <v>2376.1</v>
      </c>
      <c r="J396" s="14">
        <v>2856.15</v>
      </c>
      <c r="K396" s="14">
        <v>2180</v>
      </c>
      <c r="L396" s="15">
        <v>7720595</v>
      </c>
      <c r="M396" t="s" s="13">
        <v>412</v>
      </c>
      <c r="N396" s="15">
        <v>185379</v>
      </c>
      <c r="O396" s="17" cm="1">
        <f t="array" ref="O396">(H396-H395)/H395</f>
        <v>0.0160501117813304</v>
      </c>
    </row>
    <row r="397" ht="13.65" customHeight="1">
      <c r="A397" s="18">
        <v>44852</v>
      </c>
      <c r="B397" t="s" s="13">
        <v>22</v>
      </c>
      <c r="C397" s="14">
        <v>2422</v>
      </c>
      <c r="D397" s="14">
        <v>2463</v>
      </c>
      <c r="E397" s="14">
        <v>2420.15</v>
      </c>
      <c r="F397" s="14">
        <v>2408.75</v>
      </c>
      <c r="G397" s="14">
        <v>2453.35</v>
      </c>
      <c r="H397" s="14">
        <v>2451.25</v>
      </c>
      <c r="I397" s="14">
        <v>2450.34</v>
      </c>
      <c r="J397" s="14">
        <v>2856.15</v>
      </c>
      <c r="K397" s="14">
        <v>2180</v>
      </c>
      <c r="L397" s="15">
        <v>5729899</v>
      </c>
      <c r="M397" t="s" s="13">
        <v>413</v>
      </c>
      <c r="N397" s="15">
        <v>193197</v>
      </c>
      <c r="O397" s="17" cm="1">
        <f t="array" ref="O397">(H397-H396)/H396</f>
        <v>0.0176440062272963</v>
      </c>
    </row>
    <row r="398" ht="13.65" customHeight="1">
      <c r="A398" s="18">
        <v>44853</v>
      </c>
      <c r="B398" t="s" s="13">
        <v>22</v>
      </c>
      <c r="C398" s="14">
        <v>2454.5</v>
      </c>
      <c r="D398" s="14">
        <v>2527.85</v>
      </c>
      <c r="E398" s="14">
        <v>2441.7</v>
      </c>
      <c r="F398" s="14">
        <v>2451.25</v>
      </c>
      <c r="G398" s="14">
        <v>2496</v>
      </c>
      <c r="H398" s="14">
        <v>2493.9</v>
      </c>
      <c r="I398" s="14">
        <v>2499.51</v>
      </c>
      <c r="J398" s="14">
        <v>2856.15</v>
      </c>
      <c r="K398" s="14">
        <v>2180</v>
      </c>
      <c r="L398" s="15">
        <v>8882553</v>
      </c>
      <c r="M398" t="s" s="13">
        <v>414</v>
      </c>
      <c r="N398" s="15">
        <v>260623</v>
      </c>
      <c r="O398" s="17" cm="1">
        <f t="array" ref="O398">(H398-H397)/H397</f>
        <v>0.0173992860785314</v>
      </c>
    </row>
    <row r="399" ht="13.65" customHeight="1">
      <c r="A399" s="18">
        <v>44854</v>
      </c>
      <c r="B399" t="s" s="13">
        <v>22</v>
      </c>
      <c r="C399" s="14">
        <v>2485</v>
      </c>
      <c r="D399" s="14">
        <v>2519</v>
      </c>
      <c r="E399" s="14">
        <v>2485</v>
      </c>
      <c r="F399" s="14">
        <v>2493.9</v>
      </c>
      <c r="G399" s="14">
        <v>2496.05</v>
      </c>
      <c r="H399" s="14">
        <v>2500.6</v>
      </c>
      <c r="I399" s="14">
        <v>2502.71</v>
      </c>
      <c r="J399" s="14">
        <v>2856.15</v>
      </c>
      <c r="K399" s="14">
        <v>2180</v>
      </c>
      <c r="L399" s="15">
        <v>4022919</v>
      </c>
      <c r="M399" t="s" s="13">
        <v>415</v>
      </c>
      <c r="N399" s="15">
        <v>152697</v>
      </c>
      <c r="O399" s="17" cm="1">
        <f t="array" ref="O399">(H399-H398)/H398</f>
        <v>0.00268655519467501</v>
      </c>
    </row>
    <row r="400" ht="13.65" customHeight="1">
      <c r="A400" s="18">
        <v>44855</v>
      </c>
      <c r="B400" t="s" s="13">
        <v>22</v>
      </c>
      <c r="C400" s="14">
        <v>2507.7</v>
      </c>
      <c r="D400" s="14">
        <v>2516.8</v>
      </c>
      <c r="E400" s="14">
        <v>2467</v>
      </c>
      <c r="F400" s="14">
        <v>2500.6</v>
      </c>
      <c r="G400" s="14">
        <v>2470</v>
      </c>
      <c r="H400" s="14">
        <v>2471.6</v>
      </c>
      <c r="I400" s="14">
        <v>2491.53</v>
      </c>
      <c r="J400" s="14">
        <v>2856.15</v>
      </c>
      <c r="K400" s="14">
        <v>2180</v>
      </c>
      <c r="L400" s="15">
        <v>3804352</v>
      </c>
      <c r="M400" t="s" s="13">
        <v>416</v>
      </c>
      <c r="N400" s="15">
        <v>164406</v>
      </c>
      <c r="O400" s="17" cm="1">
        <f t="array" ref="O400">(H400-H399)/H399</f>
        <v>-0.0115972166679997</v>
      </c>
    </row>
    <row r="401" ht="13.65" customHeight="1">
      <c r="A401" s="18">
        <v>44858</v>
      </c>
      <c r="B401" t="s" s="13">
        <v>22</v>
      </c>
      <c r="C401" s="14">
        <v>2460</v>
      </c>
      <c r="D401" s="14">
        <v>2502.5</v>
      </c>
      <c r="E401" s="14">
        <v>2455.3</v>
      </c>
      <c r="F401" s="14">
        <v>2471.6</v>
      </c>
      <c r="G401" s="14">
        <v>2480.8</v>
      </c>
      <c r="H401" s="14">
        <v>2479.85</v>
      </c>
      <c r="I401" s="14">
        <v>2481.8</v>
      </c>
      <c r="J401" s="14">
        <v>2856.15</v>
      </c>
      <c r="K401" s="14">
        <v>2180</v>
      </c>
      <c r="L401" s="15">
        <v>1555270</v>
      </c>
      <c r="M401" t="s" s="13">
        <v>417</v>
      </c>
      <c r="N401" s="15">
        <v>68811</v>
      </c>
      <c r="O401" s="17" cm="1">
        <f t="array" ref="O401">(H401-H400)/H400</f>
        <v>0.00333791875708043</v>
      </c>
    </row>
    <row r="402" ht="13.65" customHeight="1">
      <c r="A402" s="18">
        <v>44859</v>
      </c>
      <c r="B402" t="s" s="13">
        <v>22</v>
      </c>
      <c r="C402" s="14">
        <v>2499</v>
      </c>
      <c r="D402" s="14">
        <v>2499</v>
      </c>
      <c r="E402" s="14">
        <v>2438</v>
      </c>
      <c r="F402" s="14">
        <v>2479.85</v>
      </c>
      <c r="G402" s="14">
        <v>2441.8</v>
      </c>
      <c r="H402" s="14">
        <v>2441.55</v>
      </c>
      <c r="I402" s="14">
        <v>2465.38</v>
      </c>
      <c r="J402" s="14">
        <v>2856.15</v>
      </c>
      <c r="K402" s="14">
        <v>2180</v>
      </c>
      <c r="L402" s="15">
        <v>5645639</v>
      </c>
      <c r="M402" t="s" s="13">
        <v>418</v>
      </c>
      <c r="N402" s="15">
        <v>199350</v>
      </c>
      <c r="O402" s="17" cm="1">
        <f t="array" ref="O402">(H402-H401)/H401</f>
        <v>-0.0154444825291852</v>
      </c>
    </row>
    <row r="403" ht="13.65" customHeight="1">
      <c r="A403" s="18">
        <v>44861</v>
      </c>
      <c r="B403" t="s" s="13">
        <v>22</v>
      </c>
      <c r="C403" s="14">
        <v>2458</v>
      </c>
      <c r="D403" s="14">
        <v>2468.45</v>
      </c>
      <c r="E403" s="14">
        <v>2432.8</v>
      </c>
      <c r="F403" s="14">
        <v>2441.55</v>
      </c>
      <c r="G403" s="14">
        <v>2459.2</v>
      </c>
      <c r="H403" s="14">
        <v>2451.15</v>
      </c>
      <c r="I403" s="14">
        <v>2448.82</v>
      </c>
      <c r="J403" s="14">
        <v>2856.15</v>
      </c>
      <c r="K403" s="14">
        <v>2180</v>
      </c>
      <c r="L403" s="15">
        <v>5774775</v>
      </c>
      <c r="M403" t="s" s="13">
        <v>419</v>
      </c>
      <c r="N403" s="15">
        <v>197403</v>
      </c>
      <c r="O403" s="17" cm="1">
        <f t="array" ref="O403">(H403-H402)/H402</f>
        <v>0.00393192848805062</v>
      </c>
    </row>
    <row r="404" ht="13.65" customHeight="1">
      <c r="A404" s="18">
        <v>44862</v>
      </c>
      <c r="B404" t="s" s="13">
        <v>22</v>
      </c>
      <c r="C404" s="14">
        <v>2465</v>
      </c>
      <c r="D404" s="14">
        <v>2535</v>
      </c>
      <c r="E404" s="14">
        <v>2459.45</v>
      </c>
      <c r="F404" s="14">
        <v>2451.15</v>
      </c>
      <c r="G404" s="14">
        <v>2527</v>
      </c>
      <c r="H404" s="14">
        <v>2526.15</v>
      </c>
      <c r="I404" s="14">
        <v>2508.14</v>
      </c>
      <c r="J404" s="14">
        <v>2856.15</v>
      </c>
      <c r="K404" s="14">
        <v>2180</v>
      </c>
      <c r="L404" s="15">
        <v>8126824</v>
      </c>
      <c r="M404" t="s" s="13">
        <v>420</v>
      </c>
      <c r="N404" s="15">
        <v>313227</v>
      </c>
      <c r="O404" s="17" cm="1">
        <f t="array" ref="O404">(H404-H403)/H403</f>
        <v>0.0305978826265222</v>
      </c>
    </row>
    <row r="405" ht="13.65" customHeight="1">
      <c r="A405" s="18">
        <v>44865</v>
      </c>
      <c r="B405" t="s" s="13">
        <v>22</v>
      </c>
      <c r="C405" s="14">
        <v>2541</v>
      </c>
      <c r="D405" s="14">
        <v>2560.95</v>
      </c>
      <c r="E405" s="14">
        <v>2532.2</v>
      </c>
      <c r="F405" s="14">
        <v>2526.15</v>
      </c>
      <c r="G405" s="14">
        <v>2545.8</v>
      </c>
      <c r="H405" s="14">
        <v>2549.6</v>
      </c>
      <c r="I405" s="14">
        <v>2548.29</v>
      </c>
      <c r="J405" s="14">
        <v>2856.15</v>
      </c>
      <c r="K405" s="14">
        <v>2180</v>
      </c>
      <c r="L405" s="15">
        <v>5731802</v>
      </c>
      <c r="M405" t="s" s="13">
        <v>421</v>
      </c>
      <c r="N405" s="15">
        <v>207585</v>
      </c>
      <c r="O405" s="17" cm="1">
        <f t="array" ref="O405">(H405-H404)/H404</f>
        <v>0.00928290085703541</v>
      </c>
    </row>
    <row r="406" ht="13.65" customHeight="1">
      <c r="A406" s="12">
        <v>44866</v>
      </c>
      <c r="B406" t="s" s="13">
        <v>22</v>
      </c>
      <c r="C406" s="14">
        <v>2600</v>
      </c>
      <c r="D406" s="14">
        <v>2600</v>
      </c>
      <c r="E406" s="14">
        <v>2508</v>
      </c>
      <c r="F406" s="14">
        <v>2549.6</v>
      </c>
      <c r="G406" s="14">
        <v>2531.7</v>
      </c>
      <c r="H406" s="14">
        <v>2529.85</v>
      </c>
      <c r="I406" s="14">
        <v>2543.76</v>
      </c>
      <c r="J406" s="14">
        <v>2856.15</v>
      </c>
      <c r="K406" s="14">
        <v>2180</v>
      </c>
      <c r="L406" s="15">
        <v>6443999</v>
      </c>
      <c r="M406" t="s" s="13">
        <v>422</v>
      </c>
      <c r="N406" s="15">
        <v>243797</v>
      </c>
      <c r="O406" s="17" cm="1">
        <f t="array" ref="O406">(H406-H405)/H405</f>
        <v>-0.00774631314716034</v>
      </c>
    </row>
    <row r="407" ht="13.65" customHeight="1">
      <c r="A407" s="12">
        <v>44867</v>
      </c>
      <c r="B407" t="s" s="13">
        <v>22</v>
      </c>
      <c r="C407" s="14">
        <v>2532.3</v>
      </c>
      <c r="D407" s="14">
        <v>2550.2</v>
      </c>
      <c r="E407" s="14">
        <v>2515</v>
      </c>
      <c r="F407" s="14">
        <v>2529.85</v>
      </c>
      <c r="G407" s="14">
        <v>2542.55</v>
      </c>
      <c r="H407" s="14">
        <v>2545.65</v>
      </c>
      <c r="I407" s="14">
        <v>2535.59</v>
      </c>
      <c r="J407" s="14">
        <v>2856.15</v>
      </c>
      <c r="K407" s="14">
        <v>2180</v>
      </c>
      <c r="L407" s="15">
        <v>4145144</v>
      </c>
      <c r="M407" t="s" s="13">
        <v>423</v>
      </c>
      <c r="N407" s="15">
        <v>202520</v>
      </c>
      <c r="O407" s="17" cm="1">
        <f t="array" ref="O407">(H407-H406)/H406</f>
        <v>0.00624542957092318</v>
      </c>
    </row>
    <row r="408" ht="13.65" customHeight="1">
      <c r="A408" s="12">
        <v>44868</v>
      </c>
      <c r="B408" t="s" s="13">
        <v>22</v>
      </c>
      <c r="C408" s="14">
        <v>2529.85</v>
      </c>
      <c r="D408" s="14">
        <v>2559.55</v>
      </c>
      <c r="E408" s="14">
        <v>2525.05</v>
      </c>
      <c r="F408" s="14">
        <v>2545.65</v>
      </c>
      <c r="G408" s="14">
        <v>2552</v>
      </c>
      <c r="H408" s="14">
        <v>2555.15</v>
      </c>
      <c r="I408" s="14">
        <v>2546.83</v>
      </c>
      <c r="J408" s="14">
        <v>2856.15</v>
      </c>
      <c r="K408" s="14">
        <v>2180</v>
      </c>
      <c r="L408" s="15">
        <v>3089026</v>
      </c>
      <c r="M408" t="s" s="13">
        <v>424</v>
      </c>
      <c r="N408" s="15">
        <v>122250</v>
      </c>
      <c r="O408" s="17" cm="1">
        <f t="array" ref="O408">(H408-H407)/H407</f>
        <v>0.00373185630389095</v>
      </c>
    </row>
    <row r="409" ht="13.65" customHeight="1">
      <c r="A409" s="12">
        <v>44869</v>
      </c>
      <c r="B409" t="s" s="13">
        <v>22</v>
      </c>
      <c r="C409" s="14">
        <v>2553.9</v>
      </c>
      <c r="D409" s="14">
        <v>2600</v>
      </c>
      <c r="E409" s="14">
        <v>2551.1</v>
      </c>
      <c r="F409" s="14">
        <v>2555.15</v>
      </c>
      <c r="G409" s="14">
        <v>2594.2</v>
      </c>
      <c r="H409" s="14">
        <v>2592.75</v>
      </c>
      <c r="I409" s="14">
        <v>2582.57</v>
      </c>
      <c r="J409" s="14">
        <v>2856.15</v>
      </c>
      <c r="K409" s="14">
        <v>2180</v>
      </c>
      <c r="L409" s="15">
        <v>5803737</v>
      </c>
      <c r="M409" t="s" s="13">
        <v>425</v>
      </c>
      <c r="N409" s="15">
        <v>172676</v>
      </c>
      <c r="O409" s="17" cm="1">
        <f t="array" ref="O409">(H409-H408)/H408</f>
        <v>0.0147153787448878</v>
      </c>
    </row>
    <row r="410" ht="13.65" customHeight="1">
      <c r="A410" s="12">
        <v>44872</v>
      </c>
      <c r="B410" t="s" s="13">
        <v>22</v>
      </c>
      <c r="C410" s="14">
        <v>2591</v>
      </c>
      <c r="D410" s="14">
        <v>2610.3</v>
      </c>
      <c r="E410" s="14">
        <v>2574</v>
      </c>
      <c r="F410" s="14">
        <v>2592.75</v>
      </c>
      <c r="G410" s="14">
        <v>2604</v>
      </c>
      <c r="H410" s="14">
        <v>2606.6</v>
      </c>
      <c r="I410" s="14">
        <v>2595.94</v>
      </c>
      <c r="J410" s="14">
        <v>2856.15</v>
      </c>
      <c r="K410" s="14">
        <v>2180</v>
      </c>
      <c r="L410" s="15">
        <v>5440967</v>
      </c>
      <c r="M410" t="s" s="13">
        <v>426</v>
      </c>
      <c r="N410" s="15">
        <v>195001</v>
      </c>
      <c r="O410" s="17" cm="1">
        <f t="array" ref="O410">(H410-H409)/H409</f>
        <v>0.00534181853244624</v>
      </c>
    </row>
    <row r="411" ht="13.65" customHeight="1">
      <c r="A411" s="12">
        <v>44874</v>
      </c>
      <c r="B411" t="s" s="13">
        <v>22</v>
      </c>
      <c r="C411" s="14">
        <v>2610.3</v>
      </c>
      <c r="D411" s="14">
        <v>2621.95</v>
      </c>
      <c r="E411" s="14">
        <v>2590.05</v>
      </c>
      <c r="F411" s="14">
        <v>2606.6</v>
      </c>
      <c r="G411" s="14">
        <v>2593.7</v>
      </c>
      <c r="H411" s="14">
        <v>2604</v>
      </c>
      <c r="I411" s="14">
        <v>2610.46</v>
      </c>
      <c r="J411" s="14">
        <v>2856.15</v>
      </c>
      <c r="K411" s="14">
        <v>2180</v>
      </c>
      <c r="L411" s="15">
        <v>5193814</v>
      </c>
      <c r="M411" t="s" s="13">
        <v>427</v>
      </c>
      <c r="N411" s="15">
        <v>166982</v>
      </c>
      <c r="O411" s="17" cm="1">
        <f t="array" ref="O411">(H411-H410)/H410</f>
        <v>-0.0009974679659326331</v>
      </c>
    </row>
    <row r="412" ht="13.65" customHeight="1">
      <c r="A412" s="18">
        <v>44875</v>
      </c>
      <c r="B412" t="s" s="13">
        <v>22</v>
      </c>
      <c r="C412" s="14">
        <v>2590</v>
      </c>
      <c r="D412" s="14">
        <v>2596.55</v>
      </c>
      <c r="E412" s="14">
        <v>2563</v>
      </c>
      <c r="F412" s="14">
        <v>2604</v>
      </c>
      <c r="G412" s="14">
        <v>2572.35</v>
      </c>
      <c r="H412" s="14">
        <v>2572.5</v>
      </c>
      <c r="I412" s="14">
        <v>2575.91</v>
      </c>
      <c r="J412" s="14">
        <v>2856.15</v>
      </c>
      <c r="K412" s="14">
        <v>2180</v>
      </c>
      <c r="L412" s="15">
        <v>2753420</v>
      </c>
      <c r="M412" t="s" s="13">
        <v>428</v>
      </c>
      <c r="N412" s="15">
        <v>133955</v>
      </c>
      <c r="O412" s="17" cm="1">
        <f t="array" ref="O412">(H412-H411)/H411</f>
        <v>-0.0120967741935484</v>
      </c>
    </row>
    <row r="413" ht="13.65" customHeight="1">
      <c r="A413" s="18">
        <v>44876</v>
      </c>
      <c r="B413" t="s" s="13">
        <v>22</v>
      </c>
      <c r="C413" s="14">
        <v>2600</v>
      </c>
      <c r="D413" s="14">
        <v>2636</v>
      </c>
      <c r="E413" s="14">
        <v>2588</v>
      </c>
      <c r="F413" s="14">
        <v>2572.5</v>
      </c>
      <c r="G413" s="14">
        <v>2630</v>
      </c>
      <c r="H413" s="14">
        <v>2631.8</v>
      </c>
      <c r="I413" s="14">
        <v>2614.6</v>
      </c>
      <c r="J413" s="14">
        <v>2856.15</v>
      </c>
      <c r="K413" s="14">
        <v>2180</v>
      </c>
      <c r="L413" s="15">
        <v>5681124</v>
      </c>
      <c r="M413" t="s" s="13">
        <v>429</v>
      </c>
      <c r="N413" s="15">
        <v>216539</v>
      </c>
      <c r="O413" s="17" cm="1">
        <f t="array" ref="O413">(H413-H412)/H412</f>
        <v>0.0230515063168124</v>
      </c>
    </row>
    <row r="414" ht="13.65" customHeight="1">
      <c r="A414" s="18">
        <v>44879</v>
      </c>
      <c r="B414" t="s" s="13">
        <v>22</v>
      </c>
      <c r="C414" s="14">
        <v>2630.75</v>
      </c>
      <c r="D414" s="14">
        <v>2642</v>
      </c>
      <c r="E414" s="14">
        <v>2605.15</v>
      </c>
      <c r="F414" s="14">
        <v>2631.8</v>
      </c>
      <c r="G414" s="14">
        <v>2614.65</v>
      </c>
      <c r="H414" s="14">
        <v>2619.05</v>
      </c>
      <c r="I414" s="14">
        <v>2624.26</v>
      </c>
      <c r="J414" s="14">
        <v>2856.15</v>
      </c>
      <c r="K414" s="14">
        <v>2180</v>
      </c>
      <c r="L414" s="15">
        <v>4173395</v>
      </c>
      <c r="M414" t="s" s="13">
        <v>430</v>
      </c>
      <c r="N414" s="15">
        <v>185791</v>
      </c>
      <c r="O414" s="17" cm="1">
        <f t="array" ref="O414">(H414-H413)/H413</f>
        <v>-0.00484459305418345</v>
      </c>
    </row>
    <row r="415" ht="13.65" customHeight="1">
      <c r="A415" s="18">
        <v>44880</v>
      </c>
      <c r="B415" t="s" s="13">
        <v>22</v>
      </c>
      <c r="C415" s="14">
        <v>2622.3</v>
      </c>
      <c r="D415" s="14">
        <v>2626.4</v>
      </c>
      <c r="E415" s="14">
        <v>2590</v>
      </c>
      <c r="F415" s="14">
        <v>2619.05</v>
      </c>
      <c r="G415" s="14">
        <v>2607.2</v>
      </c>
      <c r="H415" s="14">
        <v>2607.3</v>
      </c>
      <c r="I415" s="14">
        <v>2603.39</v>
      </c>
      <c r="J415" s="14">
        <v>2856.15</v>
      </c>
      <c r="K415" s="14">
        <v>2180</v>
      </c>
      <c r="L415" s="15">
        <v>3270388</v>
      </c>
      <c r="M415" t="s" s="13">
        <v>431</v>
      </c>
      <c r="N415" s="15">
        <v>157977</v>
      </c>
      <c r="O415" s="17" cm="1">
        <f t="array" ref="O415">(H415-H414)/H414</f>
        <v>-0.00448635955785495</v>
      </c>
    </row>
    <row r="416" ht="13.65" customHeight="1">
      <c r="A416" s="18">
        <v>44881</v>
      </c>
      <c r="B416" t="s" s="13">
        <v>22</v>
      </c>
      <c r="C416" s="14">
        <v>2610</v>
      </c>
      <c r="D416" s="14">
        <v>2615.95</v>
      </c>
      <c r="E416" s="14">
        <v>2581.35</v>
      </c>
      <c r="F416" s="14">
        <v>2607.3</v>
      </c>
      <c r="G416" s="14">
        <v>2592.95</v>
      </c>
      <c r="H416" s="14">
        <v>2592.35</v>
      </c>
      <c r="I416" s="14">
        <v>2601.87</v>
      </c>
      <c r="J416" s="14">
        <v>2856.15</v>
      </c>
      <c r="K416" s="14">
        <v>2180</v>
      </c>
      <c r="L416" s="15">
        <v>4484007</v>
      </c>
      <c r="M416" t="s" s="13">
        <v>432</v>
      </c>
      <c r="N416" s="15">
        <v>145159</v>
      </c>
      <c r="O416" s="17" cm="1">
        <f t="array" ref="O416">(H416-H415)/H415</f>
        <v>-0.00573390097035247</v>
      </c>
    </row>
    <row r="417" ht="13.65" customHeight="1">
      <c r="A417" s="18">
        <v>44882</v>
      </c>
      <c r="B417" t="s" s="13">
        <v>22</v>
      </c>
      <c r="C417" s="14">
        <v>2584.95</v>
      </c>
      <c r="D417" s="14">
        <v>2613</v>
      </c>
      <c r="E417" s="14">
        <v>2580</v>
      </c>
      <c r="F417" s="14">
        <v>2592.35</v>
      </c>
      <c r="G417" s="14">
        <v>2598.95</v>
      </c>
      <c r="H417" s="14">
        <v>2599.05</v>
      </c>
      <c r="I417" s="14">
        <v>2599.58</v>
      </c>
      <c r="J417" s="14">
        <v>2856.15</v>
      </c>
      <c r="K417" s="14">
        <v>2180</v>
      </c>
      <c r="L417" s="15">
        <v>3074259</v>
      </c>
      <c r="M417" t="s" s="13">
        <v>433</v>
      </c>
      <c r="N417" s="15">
        <v>115328</v>
      </c>
      <c r="O417" s="17" cm="1">
        <f t="array" ref="O417">(H417-H416)/H416</f>
        <v>0.00258452755222096</v>
      </c>
    </row>
    <row r="418" ht="13.65" customHeight="1">
      <c r="A418" s="18">
        <v>44883</v>
      </c>
      <c r="B418" t="s" s="13">
        <v>22</v>
      </c>
      <c r="C418" s="14">
        <v>2606.75</v>
      </c>
      <c r="D418" s="14">
        <v>2609</v>
      </c>
      <c r="E418" s="14">
        <v>2571.1</v>
      </c>
      <c r="F418" s="14">
        <v>2599.05</v>
      </c>
      <c r="G418" s="14">
        <v>2597.05</v>
      </c>
      <c r="H418" s="14">
        <v>2597.65</v>
      </c>
      <c r="I418" s="14">
        <v>2589.31</v>
      </c>
      <c r="J418" s="14">
        <v>2856.15</v>
      </c>
      <c r="K418" s="14">
        <v>2180</v>
      </c>
      <c r="L418" s="15">
        <v>2447425</v>
      </c>
      <c r="M418" t="s" s="13">
        <v>434</v>
      </c>
      <c r="N418" s="15">
        <v>104090</v>
      </c>
      <c r="O418" s="17" cm="1">
        <f t="array" ref="O418">(H418-H417)/H417</f>
        <v>-0.000538658355937746</v>
      </c>
    </row>
    <row r="419" ht="13.65" customHeight="1">
      <c r="A419" s="18">
        <v>44886</v>
      </c>
      <c r="B419" t="s" s="13">
        <v>22</v>
      </c>
      <c r="C419" s="14">
        <v>2588</v>
      </c>
      <c r="D419" s="14">
        <v>2588</v>
      </c>
      <c r="E419" s="14">
        <v>2543.1</v>
      </c>
      <c r="F419" s="14">
        <v>2597.65</v>
      </c>
      <c r="G419" s="14">
        <v>2548</v>
      </c>
      <c r="H419" s="14">
        <v>2550.9</v>
      </c>
      <c r="I419" s="14">
        <v>2556.28</v>
      </c>
      <c r="J419" s="14">
        <v>2856.15</v>
      </c>
      <c r="K419" s="14">
        <v>2180</v>
      </c>
      <c r="L419" s="15">
        <v>2949108</v>
      </c>
      <c r="M419" t="s" s="13">
        <v>435</v>
      </c>
      <c r="N419" s="15">
        <v>131742</v>
      </c>
      <c r="O419" s="17" cm="1">
        <f t="array" ref="O419">(H419-H418)/H418</f>
        <v>-0.0179970357823417</v>
      </c>
    </row>
    <row r="420" ht="13.65" customHeight="1">
      <c r="A420" s="18">
        <v>44887</v>
      </c>
      <c r="B420" t="s" s="13">
        <v>22</v>
      </c>
      <c r="C420" s="14">
        <v>2545</v>
      </c>
      <c r="D420" s="14">
        <v>2568.5</v>
      </c>
      <c r="E420" s="14">
        <v>2536.5</v>
      </c>
      <c r="F420" s="14">
        <v>2550.9</v>
      </c>
      <c r="G420" s="14">
        <v>2564.9</v>
      </c>
      <c r="H420" s="14">
        <v>2565.05</v>
      </c>
      <c r="I420" s="14">
        <v>2556.94</v>
      </c>
      <c r="J420" s="14">
        <v>2856.15</v>
      </c>
      <c r="K420" s="14">
        <v>2180</v>
      </c>
      <c r="L420" s="15">
        <v>3051201</v>
      </c>
      <c r="M420" t="s" s="13">
        <v>436</v>
      </c>
      <c r="N420" s="15">
        <v>138342</v>
      </c>
      <c r="O420" s="17" cm="1">
        <f t="array" ref="O420">(H420-H419)/H419</f>
        <v>0.00554706182131797</v>
      </c>
    </row>
    <row r="421" ht="13.65" customHeight="1">
      <c r="A421" s="18">
        <v>44888</v>
      </c>
      <c r="B421" t="s" s="13">
        <v>22</v>
      </c>
      <c r="C421" s="14">
        <v>2575</v>
      </c>
      <c r="D421" s="14">
        <v>2577.9</v>
      </c>
      <c r="E421" s="14">
        <v>2552.25</v>
      </c>
      <c r="F421" s="14">
        <v>2565.05</v>
      </c>
      <c r="G421" s="14">
        <v>2557.5</v>
      </c>
      <c r="H421" s="14">
        <v>2557.05</v>
      </c>
      <c r="I421" s="14">
        <v>2561.22</v>
      </c>
      <c r="J421" s="14">
        <v>2856.15</v>
      </c>
      <c r="K421" s="14">
        <v>2180</v>
      </c>
      <c r="L421" s="15">
        <v>2959787</v>
      </c>
      <c r="M421" t="s" s="13">
        <v>437</v>
      </c>
      <c r="N421" s="15">
        <v>121346</v>
      </c>
      <c r="O421" s="17" cm="1">
        <f t="array" ref="O421">(H421-H420)/H420</f>
        <v>-0.00311884758581704</v>
      </c>
    </row>
    <row r="422" ht="13.65" customHeight="1">
      <c r="A422" s="18">
        <v>44889</v>
      </c>
      <c r="B422" t="s" s="13">
        <v>22</v>
      </c>
      <c r="C422" s="14">
        <v>2566</v>
      </c>
      <c r="D422" s="14">
        <v>2594</v>
      </c>
      <c r="E422" s="14">
        <v>2548.2</v>
      </c>
      <c r="F422" s="14">
        <v>2557.05</v>
      </c>
      <c r="G422" s="14">
        <v>2588</v>
      </c>
      <c r="H422" s="14">
        <v>2579.1</v>
      </c>
      <c r="I422" s="14">
        <v>2564.1</v>
      </c>
      <c r="J422" s="14">
        <v>2856.15</v>
      </c>
      <c r="K422" s="14">
        <v>2180</v>
      </c>
      <c r="L422" s="15">
        <v>4333225</v>
      </c>
      <c r="M422" t="s" s="13">
        <v>438</v>
      </c>
      <c r="N422" s="15">
        <v>154377</v>
      </c>
      <c r="O422" s="17" cm="1">
        <f t="array" ref="O422">(H422-H421)/H421</f>
        <v>0.008623218161553351</v>
      </c>
    </row>
    <row r="423" ht="13.65" customHeight="1">
      <c r="A423" s="18">
        <v>44890</v>
      </c>
      <c r="B423" t="s" s="13">
        <v>22</v>
      </c>
      <c r="C423" s="14">
        <v>2589</v>
      </c>
      <c r="D423" s="14">
        <v>2624.9</v>
      </c>
      <c r="E423" s="14">
        <v>2582.1</v>
      </c>
      <c r="F423" s="14">
        <v>2579.1</v>
      </c>
      <c r="G423" s="14">
        <v>2612.75</v>
      </c>
      <c r="H423" s="14">
        <v>2617.6</v>
      </c>
      <c r="I423" s="14">
        <v>2605.35</v>
      </c>
      <c r="J423" s="14">
        <v>2856.15</v>
      </c>
      <c r="K423" s="14">
        <v>2180</v>
      </c>
      <c r="L423" s="15">
        <v>3391988</v>
      </c>
      <c r="M423" t="s" s="13">
        <v>439</v>
      </c>
      <c r="N423" s="15">
        <v>128621</v>
      </c>
      <c r="O423" s="17" cm="1">
        <f t="array" ref="O423">(H423-H422)/H422</f>
        <v>0.014927687953162</v>
      </c>
    </row>
    <row r="424" ht="13.65" customHeight="1">
      <c r="A424" s="18">
        <v>44893</v>
      </c>
      <c r="B424" t="s" s="13">
        <v>22</v>
      </c>
      <c r="C424" s="14">
        <v>2608.9</v>
      </c>
      <c r="D424" s="14">
        <v>2721.05</v>
      </c>
      <c r="E424" s="14">
        <v>2502</v>
      </c>
      <c r="F424" s="14">
        <v>2617.6</v>
      </c>
      <c r="G424" s="14">
        <v>2706</v>
      </c>
      <c r="H424" s="14">
        <v>2707.55</v>
      </c>
      <c r="I424" s="14">
        <v>2686.06</v>
      </c>
      <c r="J424" s="14">
        <v>2856.15</v>
      </c>
      <c r="K424" s="14">
        <v>2180</v>
      </c>
      <c r="L424" s="15">
        <v>14549929</v>
      </c>
      <c r="M424" t="s" s="13">
        <v>440</v>
      </c>
      <c r="N424" s="15">
        <v>322273</v>
      </c>
      <c r="O424" s="17" cm="1">
        <f t="array" ref="O424">(H424-H423)/H423</f>
        <v>0.0343635391198044</v>
      </c>
    </row>
    <row r="425" ht="13.65" customHeight="1">
      <c r="A425" s="18">
        <v>44894</v>
      </c>
      <c r="B425" t="s" s="13">
        <v>22</v>
      </c>
      <c r="C425" s="14">
        <v>2703.95</v>
      </c>
      <c r="D425" s="14">
        <v>2731.65</v>
      </c>
      <c r="E425" s="14">
        <v>2694</v>
      </c>
      <c r="F425" s="14">
        <v>2707.55</v>
      </c>
      <c r="G425" s="14">
        <v>2708.35</v>
      </c>
      <c r="H425" s="14">
        <v>2712.2</v>
      </c>
      <c r="I425" s="14">
        <v>2713.16</v>
      </c>
      <c r="J425" s="14">
        <v>2856.15</v>
      </c>
      <c r="K425" s="14">
        <v>2180</v>
      </c>
      <c r="L425" s="15">
        <v>5103687</v>
      </c>
      <c r="M425" t="s" s="13">
        <v>441</v>
      </c>
      <c r="N425" s="15">
        <v>217704</v>
      </c>
      <c r="O425" s="17" cm="1">
        <f t="array" ref="O425">(H425-H424)/H424</f>
        <v>0.00171741980757511</v>
      </c>
    </row>
    <row r="426" ht="13.65" customHeight="1">
      <c r="A426" s="18">
        <v>44895</v>
      </c>
      <c r="B426" t="s" s="13">
        <v>22</v>
      </c>
      <c r="C426" s="14">
        <v>2712.5</v>
      </c>
      <c r="D426" s="14">
        <v>2745.45</v>
      </c>
      <c r="E426" s="14">
        <v>2698.2</v>
      </c>
      <c r="F426" s="14">
        <v>2712.2</v>
      </c>
      <c r="G426" s="14">
        <v>2733.05</v>
      </c>
      <c r="H426" s="14">
        <v>2731.35</v>
      </c>
      <c r="I426" s="14">
        <v>2727.09</v>
      </c>
      <c r="J426" s="14">
        <v>2856.15</v>
      </c>
      <c r="K426" s="14">
        <v>2180</v>
      </c>
      <c r="L426" s="15">
        <v>12075137</v>
      </c>
      <c r="M426" t="s" s="13">
        <v>442</v>
      </c>
      <c r="N426" s="15">
        <v>276976</v>
      </c>
      <c r="O426" s="17" cm="1">
        <f t="array" ref="O426">(H426-H425)/H425</f>
        <v>0.00706068873976845</v>
      </c>
    </row>
    <row r="427" ht="13.65" customHeight="1">
      <c r="A427" s="12">
        <v>44896</v>
      </c>
      <c r="B427" t="s" s="13">
        <v>22</v>
      </c>
      <c r="C427" s="14">
        <v>2741.8</v>
      </c>
      <c r="D427" s="14">
        <v>2755</v>
      </c>
      <c r="E427" s="14">
        <v>2716</v>
      </c>
      <c r="F427" s="14">
        <v>2731.35</v>
      </c>
      <c r="G427" s="14">
        <v>2725.25</v>
      </c>
      <c r="H427" s="14">
        <v>2723.3</v>
      </c>
      <c r="I427" s="14">
        <v>2738.93</v>
      </c>
      <c r="J427" s="14">
        <v>2856.15</v>
      </c>
      <c r="K427" s="14">
        <v>2180</v>
      </c>
      <c r="L427" s="15">
        <v>4377696</v>
      </c>
      <c r="M427" t="s" s="13">
        <v>443</v>
      </c>
      <c r="N427" s="15">
        <v>177158</v>
      </c>
      <c r="O427" s="17" cm="1">
        <f t="array" ref="O427">(H427-H426)/H426</f>
        <v>-0.00294726051220093</v>
      </c>
    </row>
    <row r="428" ht="13.65" customHeight="1">
      <c r="A428" s="12">
        <v>44897</v>
      </c>
      <c r="B428" t="s" s="13">
        <v>22</v>
      </c>
      <c r="C428" s="14">
        <v>2730</v>
      </c>
      <c r="D428" s="14">
        <v>2748</v>
      </c>
      <c r="E428" s="14">
        <v>2700.6</v>
      </c>
      <c r="F428" s="14">
        <v>2723.3</v>
      </c>
      <c r="G428" s="14">
        <v>2727</v>
      </c>
      <c r="H428" s="14">
        <v>2722.15</v>
      </c>
      <c r="I428" s="14">
        <v>2725.02</v>
      </c>
      <c r="J428" s="14">
        <v>2856.15</v>
      </c>
      <c r="K428" s="14">
        <v>2180</v>
      </c>
      <c r="L428" s="15">
        <v>5348595</v>
      </c>
      <c r="M428" t="s" s="13">
        <v>444</v>
      </c>
      <c r="N428" s="15">
        <v>204222</v>
      </c>
      <c r="O428" s="17" cm="1">
        <f t="array" ref="O428">(H428-H427)/H427</f>
        <v>-0.000422281790474792</v>
      </c>
    </row>
    <row r="429" ht="13.65" customHeight="1">
      <c r="A429" s="12">
        <v>44900</v>
      </c>
      <c r="B429" t="s" s="13">
        <v>22</v>
      </c>
      <c r="C429" s="14">
        <v>2712</v>
      </c>
      <c r="D429" s="14">
        <v>2716.75</v>
      </c>
      <c r="E429" s="14">
        <v>2678</v>
      </c>
      <c r="F429" s="14">
        <v>2722.15</v>
      </c>
      <c r="G429" s="14">
        <v>2682</v>
      </c>
      <c r="H429" s="14">
        <v>2682.45</v>
      </c>
      <c r="I429" s="14">
        <v>2694.53</v>
      </c>
      <c r="J429" s="14">
        <v>2856.15</v>
      </c>
      <c r="K429" s="14">
        <v>2180</v>
      </c>
      <c r="L429" s="15">
        <v>6843367</v>
      </c>
      <c r="M429" t="s" s="13">
        <v>445</v>
      </c>
      <c r="N429" s="15">
        <v>227194</v>
      </c>
      <c r="O429" s="17" cm="1">
        <f t="array" ref="O429">(H429-H428)/H428</f>
        <v>-0.014584060393439</v>
      </c>
    </row>
    <row r="430" ht="13.65" customHeight="1">
      <c r="A430" s="12">
        <v>44901</v>
      </c>
      <c r="B430" t="s" s="13">
        <v>22</v>
      </c>
      <c r="C430" s="14">
        <v>2665.1</v>
      </c>
      <c r="D430" s="14">
        <v>2697</v>
      </c>
      <c r="E430" s="14">
        <v>2661</v>
      </c>
      <c r="F430" s="14">
        <v>2682.45</v>
      </c>
      <c r="G430" s="14">
        <v>2689.45</v>
      </c>
      <c r="H430" s="14">
        <v>2690.2</v>
      </c>
      <c r="I430" s="14">
        <v>2685.66</v>
      </c>
      <c r="J430" s="14">
        <v>2856.15</v>
      </c>
      <c r="K430" s="14">
        <v>2180</v>
      </c>
      <c r="L430" s="15">
        <v>3966243</v>
      </c>
      <c r="M430" t="s" s="13">
        <v>446</v>
      </c>
      <c r="N430" s="15">
        <v>156158</v>
      </c>
      <c r="O430" s="17" cm="1">
        <f t="array" ref="O430">(H430-H429)/H429</f>
        <v>0.0028891498443587</v>
      </c>
    </row>
    <row r="431" ht="13.65" customHeight="1">
      <c r="A431" s="12">
        <v>44902</v>
      </c>
      <c r="B431" t="s" s="13">
        <v>22</v>
      </c>
      <c r="C431" s="14">
        <v>2685</v>
      </c>
      <c r="D431" s="14">
        <v>2695</v>
      </c>
      <c r="E431" s="14">
        <v>2642.15</v>
      </c>
      <c r="F431" s="14">
        <v>2690.2</v>
      </c>
      <c r="G431" s="14">
        <v>2647</v>
      </c>
      <c r="H431" s="14">
        <v>2650.5</v>
      </c>
      <c r="I431" s="14">
        <v>2665.31</v>
      </c>
      <c r="J431" s="14">
        <v>2856.15</v>
      </c>
      <c r="K431" s="14">
        <v>2180</v>
      </c>
      <c r="L431" s="15">
        <v>3905263</v>
      </c>
      <c r="M431" t="s" s="13">
        <v>447</v>
      </c>
      <c r="N431" s="15">
        <v>158784</v>
      </c>
      <c r="O431" s="17" cm="1">
        <f t="array" ref="O431">(H431-H430)/H430</f>
        <v>-0.0147572671176864</v>
      </c>
    </row>
    <row r="432" ht="13.65" customHeight="1">
      <c r="A432" s="12">
        <v>44903</v>
      </c>
      <c r="B432" t="s" s="13">
        <v>22</v>
      </c>
      <c r="C432" s="14">
        <v>2660</v>
      </c>
      <c r="D432" s="14">
        <v>2665</v>
      </c>
      <c r="E432" s="14">
        <v>2640.1</v>
      </c>
      <c r="F432" s="14">
        <v>2650.5</v>
      </c>
      <c r="G432" s="14">
        <v>2649</v>
      </c>
      <c r="H432" s="14">
        <v>2649.25</v>
      </c>
      <c r="I432" s="14">
        <v>2651.78</v>
      </c>
      <c r="J432" s="14">
        <v>2856.15</v>
      </c>
      <c r="K432" s="14">
        <v>2180</v>
      </c>
      <c r="L432" s="15">
        <v>3579858</v>
      </c>
      <c r="M432" t="s" s="13">
        <v>448</v>
      </c>
      <c r="N432" s="15">
        <v>144130</v>
      </c>
      <c r="O432" s="17" cm="1">
        <f t="array" ref="O432">(H432-H431)/H431</f>
        <v>-0.000471609130352764</v>
      </c>
    </row>
    <row r="433" ht="13.65" customHeight="1">
      <c r="A433" s="12">
        <v>44904</v>
      </c>
      <c r="B433" t="s" s="13">
        <v>22</v>
      </c>
      <c r="C433" s="14">
        <v>2646</v>
      </c>
      <c r="D433" s="14">
        <v>2660</v>
      </c>
      <c r="E433" s="14">
        <v>2601.85</v>
      </c>
      <c r="F433" s="14">
        <v>2649.25</v>
      </c>
      <c r="G433" s="14">
        <v>2609.5</v>
      </c>
      <c r="H433" s="14">
        <v>2609.1</v>
      </c>
      <c r="I433" s="14">
        <v>2627.54</v>
      </c>
      <c r="J433" s="14">
        <v>2856.15</v>
      </c>
      <c r="K433" s="14">
        <v>2180</v>
      </c>
      <c r="L433" s="15">
        <v>5840633</v>
      </c>
      <c r="M433" t="s" s="13">
        <v>449</v>
      </c>
      <c r="N433" s="15">
        <v>172574</v>
      </c>
      <c r="O433" s="17" cm="1">
        <f t="array" ref="O433">(H433-H432)/H432</f>
        <v>-0.0151552326130037</v>
      </c>
    </row>
    <row r="434" ht="13.65" customHeight="1">
      <c r="A434" s="18">
        <v>44907</v>
      </c>
      <c r="B434" t="s" s="13">
        <v>22</v>
      </c>
      <c r="C434" s="14">
        <v>2585.5</v>
      </c>
      <c r="D434" s="14">
        <v>2623</v>
      </c>
      <c r="E434" s="14">
        <v>2585</v>
      </c>
      <c r="F434" s="14">
        <v>2609.1</v>
      </c>
      <c r="G434" s="14">
        <v>2617</v>
      </c>
      <c r="H434" s="14">
        <v>2613.1</v>
      </c>
      <c r="I434" s="14">
        <v>2607.23</v>
      </c>
      <c r="J434" s="14">
        <v>2856.15</v>
      </c>
      <c r="K434" s="14">
        <v>2180</v>
      </c>
      <c r="L434" s="15">
        <v>4374946</v>
      </c>
      <c r="M434" t="s" s="13">
        <v>450</v>
      </c>
      <c r="N434" s="15">
        <v>151760</v>
      </c>
      <c r="O434" s="17" cm="1">
        <f t="array" ref="O434">(H434-H433)/H433</f>
        <v>0.00153309570349929</v>
      </c>
    </row>
    <row r="435" ht="13.65" customHeight="1">
      <c r="A435" s="18">
        <v>44908</v>
      </c>
      <c r="B435" t="s" s="13">
        <v>22</v>
      </c>
      <c r="C435" s="14">
        <v>2613.1</v>
      </c>
      <c r="D435" s="14">
        <v>2633</v>
      </c>
      <c r="E435" s="14">
        <v>2606.7</v>
      </c>
      <c r="F435" s="14">
        <v>2613.1</v>
      </c>
      <c r="G435" s="14">
        <v>2622</v>
      </c>
      <c r="H435" s="14">
        <v>2625</v>
      </c>
      <c r="I435" s="14">
        <v>2622.04</v>
      </c>
      <c r="J435" s="14">
        <v>2856.15</v>
      </c>
      <c r="K435" s="14">
        <v>2180</v>
      </c>
      <c r="L435" s="15">
        <v>3845839</v>
      </c>
      <c r="M435" t="s" s="13">
        <v>451</v>
      </c>
      <c r="N435" s="15">
        <v>136575</v>
      </c>
      <c r="O435" s="17" cm="1">
        <f t="array" ref="O435">(H435-H434)/H434</f>
        <v>0.00455397803375301</v>
      </c>
    </row>
    <row r="436" ht="13.65" customHeight="1">
      <c r="A436" s="18">
        <v>44909</v>
      </c>
      <c r="B436" t="s" s="13">
        <v>22</v>
      </c>
      <c r="C436" s="14">
        <v>2637.65</v>
      </c>
      <c r="D436" s="14">
        <v>2638.95</v>
      </c>
      <c r="E436" s="14">
        <v>2611</v>
      </c>
      <c r="F436" s="14">
        <v>2625</v>
      </c>
      <c r="G436" s="14">
        <v>2613.5</v>
      </c>
      <c r="H436" s="14">
        <v>2615.5</v>
      </c>
      <c r="I436" s="14">
        <v>2620.85</v>
      </c>
      <c r="J436" s="14">
        <v>2856.15</v>
      </c>
      <c r="K436" s="14">
        <v>2180</v>
      </c>
      <c r="L436" s="15">
        <v>3354618</v>
      </c>
      <c r="M436" t="s" s="13">
        <v>452</v>
      </c>
      <c r="N436" s="15">
        <v>149123</v>
      </c>
      <c r="O436" s="17" cm="1">
        <f t="array" ref="O436">(H436-H435)/H435</f>
        <v>-0.00361904761904762</v>
      </c>
    </row>
    <row r="437" ht="13.65" customHeight="1">
      <c r="A437" s="18">
        <v>44910</v>
      </c>
      <c r="B437" t="s" s="13">
        <v>22</v>
      </c>
      <c r="C437" s="14">
        <v>2602.5</v>
      </c>
      <c r="D437" s="14">
        <v>2615</v>
      </c>
      <c r="E437" s="14">
        <v>2571</v>
      </c>
      <c r="F437" s="14">
        <v>2615.5</v>
      </c>
      <c r="G437" s="14">
        <v>2580</v>
      </c>
      <c r="H437" s="14">
        <v>2578.35</v>
      </c>
      <c r="I437" s="14">
        <v>2590.74</v>
      </c>
      <c r="J437" s="14">
        <v>2856.15</v>
      </c>
      <c r="K437" s="14">
        <v>2180</v>
      </c>
      <c r="L437" s="15">
        <v>4009765</v>
      </c>
      <c r="M437" t="s" s="13">
        <v>453</v>
      </c>
      <c r="N437" s="15">
        <v>175220</v>
      </c>
      <c r="O437" s="17" cm="1">
        <f t="array" ref="O437">(H437-H436)/H436</f>
        <v>-0.0142037851271267</v>
      </c>
    </row>
    <row r="438" ht="13.65" customHeight="1">
      <c r="A438" s="18">
        <v>44911</v>
      </c>
      <c r="B438" t="s" s="13">
        <v>22</v>
      </c>
      <c r="C438" s="14">
        <v>2571</v>
      </c>
      <c r="D438" s="14">
        <v>2618.8</v>
      </c>
      <c r="E438" s="14">
        <v>2558.15</v>
      </c>
      <c r="F438" s="14">
        <v>2578.35</v>
      </c>
      <c r="G438" s="14">
        <v>2567.9</v>
      </c>
      <c r="H438" s="14">
        <v>2565.6</v>
      </c>
      <c r="I438" s="14">
        <v>2583.46</v>
      </c>
      <c r="J438" s="14">
        <v>2856.15</v>
      </c>
      <c r="K438" s="14">
        <v>2180</v>
      </c>
      <c r="L438" s="15">
        <v>7308934</v>
      </c>
      <c r="M438" t="s" s="13">
        <v>454</v>
      </c>
      <c r="N438" s="15">
        <v>216883</v>
      </c>
      <c r="O438" s="17" cm="1">
        <f t="array" ref="O438">(H438-H437)/H437</f>
        <v>-0.00494502297981267</v>
      </c>
    </row>
    <row r="439" ht="13.65" customHeight="1">
      <c r="A439" s="18">
        <v>44914</v>
      </c>
      <c r="B439" t="s" s="13">
        <v>22</v>
      </c>
      <c r="C439" s="14">
        <v>2581</v>
      </c>
      <c r="D439" s="14">
        <v>2604</v>
      </c>
      <c r="E439" s="14">
        <v>2566.7</v>
      </c>
      <c r="F439" s="14">
        <v>2565.6</v>
      </c>
      <c r="G439" s="14">
        <v>2603</v>
      </c>
      <c r="H439" s="14">
        <v>2599.3</v>
      </c>
      <c r="I439" s="14">
        <v>2582.95</v>
      </c>
      <c r="J439" s="14">
        <v>2856.15</v>
      </c>
      <c r="K439" s="14">
        <v>2180</v>
      </c>
      <c r="L439" s="15">
        <v>3567363</v>
      </c>
      <c r="M439" t="s" s="13">
        <v>455</v>
      </c>
      <c r="N439" s="15">
        <v>174281</v>
      </c>
      <c r="O439" s="17" cm="1">
        <f t="array" ref="O439">(H439-H438)/H438</f>
        <v>0.0131353289678828</v>
      </c>
    </row>
    <row r="440" ht="13.65" customHeight="1">
      <c r="A440" s="18">
        <v>44915</v>
      </c>
      <c r="B440" t="s" s="13">
        <v>22</v>
      </c>
      <c r="C440" s="14">
        <v>2583.9</v>
      </c>
      <c r="D440" s="14">
        <v>2626</v>
      </c>
      <c r="E440" s="14">
        <v>2566</v>
      </c>
      <c r="F440" s="14">
        <v>2599.3</v>
      </c>
      <c r="G440" s="14">
        <v>2619.95</v>
      </c>
      <c r="H440" s="14">
        <v>2621.8</v>
      </c>
      <c r="I440" s="14">
        <v>2594.8</v>
      </c>
      <c r="J440" s="14">
        <v>2856.15</v>
      </c>
      <c r="K440" s="14">
        <v>2180</v>
      </c>
      <c r="L440" s="15">
        <v>3446291</v>
      </c>
      <c r="M440" t="s" s="13">
        <v>456</v>
      </c>
      <c r="N440" s="15">
        <v>165894</v>
      </c>
      <c r="O440" s="17" cm="1">
        <f t="array" ref="O440">(H440-H439)/H439</f>
        <v>0.008656176662947721</v>
      </c>
    </row>
    <row r="441" ht="13.65" customHeight="1">
      <c r="A441" s="18">
        <v>44916</v>
      </c>
      <c r="B441" t="s" s="13">
        <v>22</v>
      </c>
      <c r="C441" s="14">
        <v>2621</v>
      </c>
      <c r="D441" s="14">
        <v>2633</v>
      </c>
      <c r="E441" s="14">
        <v>2576.1</v>
      </c>
      <c r="F441" s="14">
        <v>2621.8</v>
      </c>
      <c r="G441" s="14">
        <v>2583.2</v>
      </c>
      <c r="H441" s="14">
        <v>2584.5</v>
      </c>
      <c r="I441" s="14">
        <v>2601.19</v>
      </c>
      <c r="J441" s="14">
        <v>2856.15</v>
      </c>
      <c r="K441" s="14">
        <v>2180</v>
      </c>
      <c r="L441" s="15">
        <v>3935463</v>
      </c>
      <c r="M441" t="s" s="13">
        <v>457</v>
      </c>
      <c r="N441" s="15">
        <v>142775</v>
      </c>
      <c r="O441" s="17" cm="1">
        <f t="array" ref="O441">(H441-H440)/H440</f>
        <v>-0.0142268670379129</v>
      </c>
    </row>
    <row r="442" ht="13.65" customHeight="1">
      <c r="A442" s="18">
        <v>44917</v>
      </c>
      <c r="B442" t="s" s="13">
        <v>22</v>
      </c>
      <c r="C442" s="14">
        <v>2598</v>
      </c>
      <c r="D442" s="14">
        <v>2604.65</v>
      </c>
      <c r="E442" s="14">
        <v>2566.75</v>
      </c>
      <c r="F442" s="14">
        <v>2584.5</v>
      </c>
      <c r="G442" s="14">
        <v>2577</v>
      </c>
      <c r="H442" s="14">
        <v>2577.8</v>
      </c>
      <c r="I442" s="14">
        <v>2582.55</v>
      </c>
      <c r="J442" s="14">
        <v>2856.15</v>
      </c>
      <c r="K442" s="14">
        <v>2180</v>
      </c>
      <c r="L442" s="15">
        <v>3438692</v>
      </c>
      <c r="M442" t="s" s="13">
        <v>458</v>
      </c>
      <c r="N442" s="15">
        <v>149770</v>
      </c>
      <c r="O442" s="17" cm="1">
        <f t="array" ref="O442">(H442-H441)/H441</f>
        <v>-0.00259237763590636</v>
      </c>
    </row>
    <row r="443" ht="13.65" customHeight="1">
      <c r="A443" s="18">
        <v>44918</v>
      </c>
      <c r="B443" t="s" s="13">
        <v>22</v>
      </c>
      <c r="C443" s="14">
        <v>2563.3</v>
      </c>
      <c r="D443" s="14">
        <v>2590.5</v>
      </c>
      <c r="E443" s="14">
        <v>2492.25</v>
      </c>
      <c r="F443" s="14">
        <v>2577.8</v>
      </c>
      <c r="G443" s="14">
        <v>2508.5</v>
      </c>
      <c r="H443" s="14">
        <v>2502.2</v>
      </c>
      <c r="I443" s="14">
        <v>2540.02</v>
      </c>
      <c r="J443" s="14">
        <v>2856.15</v>
      </c>
      <c r="K443" s="14">
        <v>2180</v>
      </c>
      <c r="L443" s="15">
        <v>4733657</v>
      </c>
      <c r="M443" t="s" s="13">
        <v>459</v>
      </c>
      <c r="N443" s="15">
        <v>231798</v>
      </c>
      <c r="O443" s="17" cm="1">
        <f t="array" ref="O443">(H443-H442)/H442</f>
        <v>-0.029327333385057</v>
      </c>
    </row>
    <row r="444" ht="13.65" customHeight="1">
      <c r="A444" s="18">
        <v>44921</v>
      </c>
      <c r="B444" t="s" s="13">
        <v>22</v>
      </c>
      <c r="C444" s="14">
        <v>2514.75</v>
      </c>
      <c r="D444" s="14">
        <v>2542</v>
      </c>
      <c r="E444" s="14">
        <v>2492.4</v>
      </c>
      <c r="F444" s="14">
        <v>2502.2</v>
      </c>
      <c r="G444" s="14">
        <v>2525</v>
      </c>
      <c r="H444" s="14">
        <v>2524.05</v>
      </c>
      <c r="I444" s="14">
        <v>2523.81</v>
      </c>
      <c r="J444" s="14">
        <v>2856.15</v>
      </c>
      <c r="K444" s="14">
        <v>2180</v>
      </c>
      <c r="L444" s="15">
        <v>2764496</v>
      </c>
      <c r="M444" t="s" s="13">
        <v>460</v>
      </c>
      <c r="N444" s="15">
        <v>117927</v>
      </c>
      <c r="O444" s="17" cm="1">
        <f t="array" ref="O444">(H444-H443)/H443</f>
        <v>0.00873231556230517</v>
      </c>
    </row>
    <row r="445" ht="13.65" customHeight="1">
      <c r="A445" s="18">
        <v>44922</v>
      </c>
      <c r="B445" t="s" s="13">
        <v>22</v>
      </c>
      <c r="C445" s="14">
        <v>2530</v>
      </c>
      <c r="D445" s="14">
        <v>2548.8</v>
      </c>
      <c r="E445" s="14">
        <v>2515.25</v>
      </c>
      <c r="F445" s="14">
        <v>2524.05</v>
      </c>
      <c r="G445" s="14">
        <v>2542.7</v>
      </c>
      <c r="H445" s="14">
        <v>2544.7</v>
      </c>
      <c r="I445" s="14">
        <v>2534.62</v>
      </c>
      <c r="J445" s="14">
        <v>2856.15</v>
      </c>
      <c r="K445" s="14">
        <v>2180</v>
      </c>
      <c r="L445" s="15">
        <v>2659749</v>
      </c>
      <c r="M445" t="s" s="13">
        <v>461</v>
      </c>
      <c r="N445" s="15">
        <v>138609</v>
      </c>
      <c r="O445" s="17" cm="1">
        <f t="array" ref="O445">(H445-H444)/H444</f>
        <v>0.008181295933123349</v>
      </c>
    </row>
    <row r="446" ht="13.65" customHeight="1">
      <c r="A446" s="18">
        <v>44923</v>
      </c>
      <c r="B446" t="s" s="13">
        <v>22</v>
      </c>
      <c r="C446" s="14">
        <v>2538</v>
      </c>
      <c r="D446" s="14">
        <v>2549.8</v>
      </c>
      <c r="E446" s="14">
        <v>2521.5</v>
      </c>
      <c r="F446" s="14">
        <v>2544.7</v>
      </c>
      <c r="G446" s="14">
        <v>2542</v>
      </c>
      <c r="H446" s="14">
        <v>2544.45</v>
      </c>
      <c r="I446" s="14">
        <v>2537.68</v>
      </c>
      <c r="J446" s="14">
        <v>2856.15</v>
      </c>
      <c r="K446" s="14">
        <v>2180</v>
      </c>
      <c r="L446" s="15">
        <v>3442509</v>
      </c>
      <c r="M446" t="s" s="13">
        <v>462</v>
      </c>
      <c r="N446" s="15">
        <v>158888</v>
      </c>
      <c r="O446" s="17" cm="1">
        <f t="array" ref="O446">(H446-H445)/H445</f>
        <v>-9.82434078673321e-05</v>
      </c>
    </row>
    <row r="447" ht="13.65" customHeight="1">
      <c r="A447" s="18">
        <v>44924</v>
      </c>
      <c r="B447" t="s" s="13">
        <v>22</v>
      </c>
      <c r="C447" s="14">
        <v>2527</v>
      </c>
      <c r="D447" s="14">
        <v>2548.9</v>
      </c>
      <c r="E447" s="14">
        <v>2525.5</v>
      </c>
      <c r="F447" s="14">
        <v>2544.45</v>
      </c>
      <c r="G447" s="14">
        <v>2544.95</v>
      </c>
      <c r="H447" s="14">
        <v>2543.3</v>
      </c>
      <c r="I447" s="14">
        <v>2536.86</v>
      </c>
      <c r="J447" s="14">
        <v>2856.15</v>
      </c>
      <c r="K447" s="14">
        <v>2180</v>
      </c>
      <c r="L447" s="15">
        <v>3198493</v>
      </c>
      <c r="M447" t="s" s="13">
        <v>463</v>
      </c>
      <c r="N447" s="15">
        <v>124496</v>
      </c>
      <c r="O447" s="17" cm="1">
        <f t="array" ref="O447">(H447-H446)/H446</f>
        <v>-0.000451964078681051</v>
      </c>
    </row>
    <row r="448" ht="13.65" customHeight="1">
      <c r="A448" s="18">
        <v>44925</v>
      </c>
      <c r="B448" t="s" s="13">
        <v>22</v>
      </c>
      <c r="C448" s="14">
        <v>2545.1</v>
      </c>
      <c r="D448" s="14">
        <v>2577</v>
      </c>
      <c r="E448" s="14">
        <v>2541.1</v>
      </c>
      <c r="F448" s="14">
        <v>2543.3</v>
      </c>
      <c r="G448" s="14">
        <v>2547</v>
      </c>
      <c r="H448" s="14">
        <v>2547.2</v>
      </c>
      <c r="I448" s="14">
        <v>2559.73</v>
      </c>
      <c r="J448" s="14">
        <v>2856.15</v>
      </c>
      <c r="K448" s="14">
        <v>2180</v>
      </c>
      <c r="L448" s="15">
        <v>3364092</v>
      </c>
      <c r="M448" t="s" s="13">
        <v>464</v>
      </c>
      <c r="N448" s="15">
        <v>147642</v>
      </c>
      <c r="O448" s="17" cm="1">
        <f t="array" ref="O448">(H448-H447)/H447</f>
        <v>0.00153344080525302</v>
      </c>
    </row>
    <row r="449" ht="13.65" customHeight="1">
      <c r="A449" s="12">
        <v>44928</v>
      </c>
      <c r="B449" t="s" s="13">
        <v>22</v>
      </c>
      <c r="C449" s="14">
        <v>2550</v>
      </c>
      <c r="D449" s="14">
        <v>2579</v>
      </c>
      <c r="E449" s="14">
        <v>2548.2</v>
      </c>
      <c r="F449" s="14">
        <v>2547.2</v>
      </c>
      <c r="G449" s="14">
        <v>2577.9</v>
      </c>
      <c r="H449" s="14">
        <v>2575.9</v>
      </c>
      <c r="I449" s="14">
        <v>2564.68</v>
      </c>
      <c r="J449" s="14">
        <v>2856.15</v>
      </c>
      <c r="K449" s="14">
        <v>2180</v>
      </c>
      <c r="L449" s="15">
        <v>2453414</v>
      </c>
      <c r="M449" t="s" s="13">
        <v>465</v>
      </c>
      <c r="N449" s="15">
        <v>97175</v>
      </c>
      <c r="O449" s="17" cm="1">
        <f t="array" ref="O449">(H449-H448)/H448</f>
        <v>0.0112672738693467</v>
      </c>
    </row>
    <row r="450" ht="13.65" customHeight="1">
      <c r="A450" s="12">
        <v>44929</v>
      </c>
      <c r="B450" t="s" s="13">
        <v>22</v>
      </c>
      <c r="C450" s="14">
        <v>2565.05</v>
      </c>
      <c r="D450" s="14">
        <v>2573</v>
      </c>
      <c r="E450" s="14">
        <v>2547.8</v>
      </c>
      <c r="F450" s="14">
        <v>2575.9</v>
      </c>
      <c r="G450" s="14">
        <v>2555.8</v>
      </c>
      <c r="H450" s="14">
        <v>2557.05</v>
      </c>
      <c r="I450" s="14">
        <v>2558.48</v>
      </c>
      <c r="J450" s="14">
        <v>2856.15</v>
      </c>
      <c r="K450" s="14">
        <v>2180</v>
      </c>
      <c r="L450" s="15">
        <v>3534596</v>
      </c>
      <c r="M450" t="s" s="13">
        <v>466</v>
      </c>
      <c r="N450" s="15">
        <v>135268</v>
      </c>
      <c r="O450" s="17" cm="1">
        <f t="array" ref="O450">(H450-H449)/H449</f>
        <v>-0.00731783066112815</v>
      </c>
    </row>
    <row r="451" ht="13.65" customHeight="1">
      <c r="A451" s="12">
        <v>44930</v>
      </c>
      <c r="B451" t="s" s="13">
        <v>22</v>
      </c>
      <c r="C451" s="14">
        <v>2557</v>
      </c>
      <c r="D451" s="14">
        <v>2561.05</v>
      </c>
      <c r="E451" s="14">
        <v>2514</v>
      </c>
      <c r="F451" s="14">
        <v>2557.05</v>
      </c>
      <c r="G451" s="14">
        <v>2516.65</v>
      </c>
      <c r="H451" s="14">
        <v>2518.55</v>
      </c>
      <c r="I451" s="14">
        <v>2529.71</v>
      </c>
      <c r="J451" s="14">
        <v>2856.15</v>
      </c>
      <c r="K451" s="14">
        <v>2180</v>
      </c>
      <c r="L451" s="15">
        <v>4275746</v>
      </c>
      <c r="M451" t="s" s="13">
        <v>467</v>
      </c>
      <c r="N451" s="15">
        <v>182754</v>
      </c>
      <c r="O451" s="17" cm="1">
        <f t="array" ref="O451">(H451-H450)/H450</f>
        <v>-0.0150564126630297</v>
      </c>
    </row>
    <row r="452" ht="13.65" customHeight="1">
      <c r="A452" s="12">
        <v>44931</v>
      </c>
      <c r="B452" t="s" s="13">
        <v>22</v>
      </c>
      <c r="C452" s="14">
        <v>2523.5</v>
      </c>
      <c r="D452" s="14">
        <v>2536.4</v>
      </c>
      <c r="E452" s="14">
        <v>2504</v>
      </c>
      <c r="F452" s="14">
        <v>2518.55</v>
      </c>
      <c r="G452" s="14">
        <v>2521.8</v>
      </c>
      <c r="H452" s="14">
        <v>2514.05</v>
      </c>
      <c r="I452" s="14">
        <v>2516.5</v>
      </c>
      <c r="J452" s="14">
        <v>2856.15</v>
      </c>
      <c r="K452" s="14">
        <v>2180</v>
      </c>
      <c r="L452" s="15">
        <v>6293519</v>
      </c>
      <c r="M452" t="s" s="13">
        <v>468</v>
      </c>
      <c r="N452" s="15">
        <v>197434</v>
      </c>
      <c r="O452" s="17" cm="1">
        <f t="array" ref="O452">(H452-H451)/H451</f>
        <v>-0.00178674237160271</v>
      </c>
    </row>
    <row r="453" ht="13.65" customHeight="1">
      <c r="A453" s="12">
        <v>44932</v>
      </c>
      <c r="B453" t="s" s="13">
        <v>22</v>
      </c>
      <c r="C453" s="14">
        <v>2526.65</v>
      </c>
      <c r="D453" s="14">
        <v>2547.95</v>
      </c>
      <c r="E453" s="14">
        <v>2518.3</v>
      </c>
      <c r="F453" s="14">
        <v>2514.05</v>
      </c>
      <c r="G453" s="14">
        <v>2537</v>
      </c>
      <c r="H453" s="14">
        <v>2536.9</v>
      </c>
      <c r="I453" s="14">
        <v>2534.9</v>
      </c>
      <c r="J453" s="14">
        <v>2856.15</v>
      </c>
      <c r="K453" s="14">
        <v>2180</v>
      </c>
      <c r="L453" s="15">
        <v>2930338</v>
      </c>
      <c r="M453" t="s" s="13">
        <v>469</v>
      </c>
      <c r="N453" s="15">
        <v>157118</v>
      </c>
      <c r="O453" s="17" cm="1">
        <f t="array" ref="O453">(H453-H452)/H452</f>
        <v>0.00908892026809332</v>
      </c>
    </row>
    <row r="454" ht="13.65" customHeight="1">
      <c r="A454" s="12">
        <v>44935</v>
      </c>
      <c r="B454" t="s" s="13">
        <v>22</v>
      </c>
      <c r="C454" s="14">
        <v>2545.3</v>
      </c>
      <c r="D454" s="14">
        <v>2602</v>
      </c>
      <c r="E454" s="14">
        <v>2543.35</v>
      </c>
      <c r="F454" s="14">
        <v>2536.9</v>
      </c>
      <c r="G454" s="14">
        <v>2594</v>
      </c>
      <c r="H454" s="14">
        <v>2596.8</v>
      </c>
      <c r="I454" s="14">
        <v>2582.5</v>
      </c>
      <c r="J454" s="14">
        <v>2856.15</v>
      </c>
      <c r="K454" s="14">
        <v>2180</v>
      </c>
      <c r="L454" s="15">
        <v>4948549</v>
      </c>
      <c r="M454" t="s" s="13">
        <v>470</v>
      </c>
      <c r="N454" s="15">
        <v>254220</v>
      </c>
      <c r="O454" s="17" cm="1">
        <f t="array" ref="O454">(H454-H453)/H453</f>
        <v>0.0236114943434901</v>
      </c>
    </row>
    <row r="455" ht="13.65" customHeight="1">
      <c r="A455" s="18">
        <v>44936</v>
      </c>
      <c r="B455" t="s" s="13">
        <v>22</v>
      </c>
      <c r="C455" s="14">
        <v>2606</v>
      </c>
      <c r="D455" s="14">
        <v>2606</v>
      </c>
      <c r="E455" s="14">
        <v>2546</v>
      </c>
      <c r="F455" s="14">
        <v>2596.8</v>
      </c>
      <c r="G455" s="14">
        <v>2561.95</v>
      </c>
      <c r="H455" s="14">
        <v>2558.4</v>
      </c>
      <c r="I455" s="14">
        <v>2568.83</v>
      </c>
      <c r="J455" s="14">
        <v>2856.15</v>
      </c>
      <c r="K455" s="14">
        <v>2180</v>
      </c>
      <c r="L455" s="15">
        <v>3713755</v>
      </c>
      <c r="M455" t="s" s="13">
        <v>471</v>
      </c>
      <c r="N455" s="15">
        <v>234537</v>
      </c>
      <c r="O455" s="17" cm="1">
        <f t="array" ref="O455">(H455-H454)/H454</f>
        <v>-0.0147874306839187</v>
      </c>
    </row>
    <row r="456" ht="13.65" customHeight="1">
      <c r="A456" s="18">
        <v>44937</v>
      </c>
      <c r="B456" t="s" s="13">
        <v>22</v>
      </c>
      <c r="C456" s="14">
        <v>2552.5</v>
      </c>
      <c r="D456" s="14">
        <v>2558</v>
      </c>
      <c r="E456" s="14">
        <v>2521.1</v>
      </c>
      <c r="F456" s="14">
        <v>2558.4</v>
      </c>
      <c r="G456" s="14">
        <v>2525</v>
      </c>
      <c r="H456" s="14">
        <v>2526.15</v>
      </c>
      <c r="I456" s="14">
        <v>2533.89</v>
      </c>
      <c r="J456" s="14">
        <v>2856.15</v>
      </c>
      <c r="K456" s="14">
        <v>2180</v>
      </c>
      <c r="L456" s="15">
        <v>5311657</v>
      </c>
      <c r="M456" t="s" s="13">
        <v>472</v>
      </c>
      <c r="N456" s="15">
        <v>208828</v>
      </c>
      <c r="O456" s="17" cm="1">
        <f t="array" ref="O456">(H456-H455)/H455</f>
        <v>-0.0126055347091932</v>
      </c>
    </row>
    <row r="457" ht="13.65" customHeight="1">
      <c r="A457" s="18">
        <v>44938</v>
      </c>
      <c r="B457" t="s" s="13">
        <v>22</v>
      </c>
      <c r="C457" s="14">
        <v>2524.85</v>
      </c>
      <c r="D457" s="14">
        <v>2532.5</v>
      </c>
      <c r="E457" s="14">
        <v>2465</v>
      </c>
      <c r="F457" s="14">
        <v>2526.15</v>
      </c>
      <c r="G457" s="14">
        <v>2475</v>
      </c>
      <c r="H457" s="14">
        <v>2471.6</v>
      </c>
      <c r="I457" s="14">
        <v>2487.49</v>
      </c>
      <c r="J457" s="14">
        <v>2856.15</v>
      </c>
      <c r="K457" s="14">
        <v>2180</v>
      </c>
      <c r="L457" s="15">
        <v>8163366</v>
      </c>
      <c r="M457" t="s" s="13">
        <v>473</v>
      </c>
      <c r="N457" s="15">
        <v>340401</v>
      </c>
      <c r="O457" s="17" cm="1">
        <f t="array" ref="O457">(H457-H456)/H456</f>
        <v>-0.0215941254478158</v>
      </c>
    </row>
    <row r="458" ht="13.65" customHeight="1">
      <c r="A458" s="18">
        <v>44939</v>
      </c>
      <c r="B458" t="s" s="13">
        <v>22</v>
      </c>
      <c r="C458" s="14">
        <v>2458.4</v>
      </c>
      <c r="D458" s="14">
        <v>2472.9</v>
      </c>
      <c r="E458" s="14">
        <v>2434.6</v>
      </c>
      <c r="F458" s="14">
        <v>2471.6</v>
      </c>
      <c r="G458" s="14">
        <v>2467.9</v>
      </c>
      <c r="H458" s="14">
        <v>2467.6</v>
      </c>
      <c r="I458" s="14">
        <v>2454.77</v>
      </c>
      <c r="J458" s="14">
        <v>2856.15</v>
      </c>
      <c r="K458" s="14">
        <v>2180</v>
      </c>
      <c r="L458" s="15">
        <v>9515473</v>
      </c>
      <c r="M458" t="s" s="13">
        <v>474</v>
      </c>
      <c r="N458" s="15">
        <v>328122</v>
      </c>
      <c r="O458" s="17" cm="1">
        <f t="array" ref="O458">(H458-H457)/H457</f>
        <v>-0.00161838485191779</v>
      </c>
    </row>
    <row r="459" ht="13.65" customHeight="1">
      <c r="A459" s="18">
        <v>44942</v>
      </c>
      <c r="B459" t="s" s="13">
        <v>22</v>
      </c>
      <c r="C459" s="14">
        <v>2472.7</v>
      </c>
      <c r="D459" s="14">
        <v>2479.65</v>
      </c>
      <c r="E459" s="14">
        <v>2427</v>
      </c>
      <c r="F459" s="14">
        <v>2467.6</v>
      </c>
      <c r="G459" s="14">
        <v>2444.5</v>
      </c>
      <c r="H459" s="14">
        <v>2444.1</v>
      </c>
      <c r="I459" s="14">
        <v>2445.1</v>
      </c>
      <c r="J459" s="14">
        <v>2856.15</v>
      </c>
      <c r="K459" s="14">
        <v>2180</v>
      </c>
      <c r="L459" s="15">
        <v>6287407</v>
      </c>
      <c r="M459" t="s" s="13">
        <v>475</v>
      </c>
      <c r="N459" s="15">
        <v>174901</v>
      </c>
      <c r="O459" s="17" cm="1">
        <f t="array" ref="O459">(H459-H458)/H458</f>
        <v>-0.009523423569460201</v>
      </c>
    </row>
    <row r="460" ht="13.65" customHeight="1">
      <c r="A460" s="18">
        <v>44943</v>
      </c>
      <c r="B460" t="s" s="13">
        <v>22</v>
      </c>
      <c r="C460" s="14">
        <v>2458</v>
      </c>
      <c r="D460" s="14">
        <v>2483</v>
      </c>
      <c r="E460" s="14">
        <v>2450.6</v>
      </c>
      <c r="F460" s="14">
        <v>2444.1</v>
      </c>
      <c r="G460" s="14">
        <v>2478.4</v>
      </c>
      <c r="H460" s="14">
        <v>2478.8</v>
      </c>
      <c r="I460" s="14">
        <v>2466.88</v>
      </c>
      <c r="J460" s="14">
        <v>2856.15</v>
      </c>
      <c r="K460" s="14">
        <v>2180</v>
      </c>
      <c r="L460" s="15">
        <v>4961585</v>
      </c>
      <c r="M460" t="s" s="13">
        <v>476</v>
      </c>
      <c r="N460" s="15">
        <v>205841</v>
      </c>
      <c r="O460" s="17" cm="1">
        <f t="array" ref="O460">(H460-H459)/H459</f>
        <v>0.0141974550959453</v>
      </c>
    </row>
    <row r="461" ht="13.65" customHeight="1">
      <c r="A461" s="18">
        <v>44944</v>
      </c>
      <c r="B461" t="s" s="13">
        <v>22</v>
      </c>
      <c r="C461" s="14">
        <v>2473.5</v>
      </c>
      <c r="D461" s="14">
        <v>2491.1</v>
      </c>
      <c r="E461" s="14">
        <v>2460.35</v>
      </c>
      <c r="F461" s="14">
        <v>2478.8</v>
      </c>
      <c r="G461" s="14">
        <v>2474.7</v>
      </c>
      <c r="H461" s="14">
        <v>2474.7</v>
      </c>
      <c r="I461" s="14">
        <v>2476.84</v>
      </c>
      <c r="J461" s="14">
        <v>2856.15</v>
      </c>
      <c r="K461" s="14">
        <v>2180</v>
      </c>
      <c r="L461" s="15">
        <v>6206382</v>
      </c>
      <c r="M461" t="s" s="13">
        <v>477</v>
      </c>
      <c r="N461" s="15">
        <v>185546</v>
      </c>
      <c r="O461" s="17" cm="1">
        <f t="array" ref="O461">(H461-H460)/H460</f>
        <v>-0.00165402614168146</v>
      </c>
    </row>
    <row r="462" ht="13.65" customHeight="1">
      <c r="A462" s="18">
        <v>44945</v>
      </c>
      <c r="B462" t="s" s="13">
        <v>22</v>
      </c>
      <c r="C462" s="14">
        <v>2472.9</v>
      </c>
      <c r="D462" s="14">
        <v>2481.15</v>
      </c>
      <c r="E462" s="14">
        <v>2456.65</v>
      </c>
      <c r="F462" s="14">
        <v>2474.7</v>
      </c>
      <c r="G462" s="14">
        <v>2469</v>
      </c>
      <c r="H462" s="14">
        <v>2472.05</v>
      </c>
      <c r="I462" s="14">
        <v>2472.43</v>
      </c>
      <c r="J462" s="14">
        <v>2856.15</v>
      </c>
      <c r="K462" s="14">
        <v>2180</v>
      </c>
      <c r="L462" s="15">
        <v>5510333</v>
      </c>
      <c r="M462" t="s" s="13">
        <v>478</v>
      </c>
      <c r="N462" s="15">
        <v>153940</v>
      </c>
      <c r="O462" s="17" cm="1">
        <f t="array" ref="O462">(H462-H461)/H461</f>
        <v>-0.00107083686911545</v>
      </c>
    </row>
    <row r="463" ht="13.65" customHeight="1">
      <c r="A463" s="18">
        <v>44946</v>
      </c>
      <c r="B463" t="s" s="13">
        <v>22</v>
      </c>
      <c r="C463" s="14">
        <v>2475</v>
      </c>
      <c r="D463" s="14">
        <v>2475</v>
      </c>
      <c r="E463" s="14">
        <v>2437.25</v>
      </c>
      <c r="F463" s="14">
        <v>2472.05</v>
      </c>
      <c r="G463" s="14">
        <v>2443</v>
      </c>
      <c r="H463" s="14">
        <v>2442.65</v>
      </c>
      <c r="I463" s="14">
        <v>2452.37</v>
      </c>
      <c r="J463" s="14">
        <v>2856.15</v>
      </c>
      <c r="K463" s="14">
        <v>2180</v>
      </c>
      <c r="L463" s="15">
        <v>6890325</v>
      </c>
      <c r="M463" t="s" s="13">
        <v>479</v>
      </c>
      <c r="N463" s="15">
        <v>229958</v>
      </c>
      <c r="O463" s="17" cm="1">
        <f t="array" ref="O463">(H463-H462)/H462</f>
        <v>-0.0118929633300297</v>
      </c>
    </row>
    <row r="464" ht="13.65" customHeight="1">
      <c r="A464" s="18">
        <v>44949</v>
      </c>
      <c r="B464" t="s" s="13">
        <v>22</v>
      </c>
      <c r="C464" s="14">
        <v>2449</v>
      </c>
      <c r="D464" s="14">
        <v>2466.2</v>
      </c>
      <c r="E464" s="14">
        <v>2425</v>
      </c>
      <c r="F464" s="14">
        <v>2442.65</v>
      </c>
      <c r="G464" s="14">
        <v>2428</v>
      </c>
      <c r="H464" s="14">
        <v>2430.3</v>
      </c>
      <c r="I464" s="14">
        <v>2440.34</v>
      </c>
      <c r="J464" s="14">
        <v>2856.15</v>
      </c>
      <c r="K464" s="14">
        <v>2180</v>
      </c>
      <c r="L464" s="15">
        <v>5055324</v>
      </c>
      <c r="M464" t="s" s="13">
        <v>480</v>
      </c>
      <c r="N464" s="15">
        <v>218454</v>
      </c>
      <c r="O464" s="17" cm="1">
        <f t="array" ref="O464">(H464-H463)/H463</f>
        <v>-0.00505598427936872</v>
      </c>
    </row>
    <row r="465" ht="13.65" customHeight="1">
      <c r="A465" s="18">
        <v>44950</v>
      </c>
      <c r="B465" t="s" s="13">
        <v>22</v>
      </c>
      <c r="C465" s="14">
        <v>2440</v>
      </c>
      <c r="D465" s="14">
        <v>2443.65</v>
      </c>
      <c r="E465" s="14">
        <v>2387.35</v>
      </c>
      <c r="F465" s="14">
        <v>2430.3</v>
      </c>
      <c r="G465" s="14">
        <v>2413</v>
      </c>
      <c r="H465" s="14">
        <v>2415.95</v>
      </c>
      <c r="I465" s="14">
        <v>2414.29</v>
      </c>
      <c r="J465" s="14">
        <v>2856.15</v>
      </c>
      <c r="K465" s="14">
        <v>2180</v>
      </c>
      <c r="L465" s="15">
        <v>7609558</v>
      </c>
      <c r="M465" t="s" s="13">
        <v>481</v>
      </c>
      <c r="N465" s="15">
        <v>232964</v>
      </c>
      <c r="O465" s="17" cm="1">
        <f t="array" ref="O465">(H465-H464)/H464</f>
        <v>-0.00590462082870428</v>
      </c>
    </row>
    <row r="466" ht="13.65" customHeight="1">
      <c r="A466" s="18">
        <v>44951</v>
      </c>
      <c r="B466" t="s" s="13">
        <v>22</v>
      </c>
      <c r="C466" s="14">
        <v>2412.45</v>
      </c>
      <c r="D466" s="14">
        <v>2414.7</v>
      </c>
      <c r="E466" s="14">
        <v>2380</v>
      </c>
      <c r="F466" s="14">
        <v>2415.95</v>
      </c>
      <c r="G466" s="14">
        <v>2384</v>
      </c>
      <c r="H466" s="14">
        <v>2382.55</v>
      </c>
      <c r="I466" s="14">
        <v>2392.49</v>
      </c>
      <c r="J466" s="14">
        <v>2856.15</v>
      </c>
      <c r="K466" s="14">
        <v>2180</v>
      </c>
      <c r="L466" s="15">
        <v>5715684</v>
      </c>
      <c r="M466" t="s" s="13">
        <v>482</v>
      </c>
      <c r="N466" s="15">
        <v>334425</v>
      </c>
      <c r="O466" s="17" cm="1">
        <f t="array" ref="O466">(H466-H465)/H465</f>
        <v>-0.0138247894203109</v>
      </c>
    </row>
    <row r="467" ht="13.65" customHeight="1">
      <c r="A467" s="18">
        <v>44953</v>
      </c>
      <c r="B467" t="s" s="13">
        <v>22</v>
      </c>
      <c r="C467" s="14">
        <v>2384.4</v>
      </c>
      <c r="D467" s="14">
        <v>2387.35</v>
      </c>
      <c r="E467" s="14">
        <v>2311.65</v>
      </c>
      <c r="F467" s="14">
        <v>2382.55</v>
      </c>
      <c r="G467" s="14">
        <v>2339</v>
      </c>
      <c r="H467" s="14">
        <v>2337.35</v>
      </c>
      <c r="I467" s="14">
        <v>2337.64</v>
      </c>
      <c r="J467" s="14">
        <v>2856.15</v>
      </c>
      <c r="K467" s="14">
        <v>2180</v>
      </c>
      <c r="L467" s="15">
        <v>11920991</v>
      </c>
      <c r="M467" t="s" s="13">
        <v>483</v>
      </c>
      <c r="N467" s="15">
        <v>456285</v>
      </c>
      <c r="O467" s="17" cm="1">
        <f t="array" ref="O467">(H467-H466)/H466</f>
        <v>-0.0189712702776437</v>
      </c>
    </row>
    <row r="468" ht="13.65" customHeight="1">
      <c r="A468" s="18">
        <v>44956</v>
      </c>
      <c r="B468" t="s" s="13">
        <v>22</v>
      </c>
      <c r="C468" s="14">
        <v>2331.7</v>
      </c>
      <c r="D468" s="14">
        <v>2371.9</v>
      </c>
      <c r="E468" s="14">
        <v>2301</v>
      </c>
      <c r="F468" s="14">
        <v>2337.35</v>
      </c>
      <c r="G468" s="14">
        <v>2363.55</v>
      </c>
      <c r="H468" s="14">
        <v>2359.75</v>
      </c>
      <c r="I468" s="14">
        <v>2340.91</v>
      </c>
      <c r="J468" s="14">
        <v>2856.15</v>
      </c>
      <c r="K468" s="14">
        <v>2180</v>
      </c>
      <c r="L468" s="15">
        <v>10047822</v>
      </c>
      <c r="M468" t="s" s="13">
        <v>484</v>
      </c>
      <c r="N468" s="15">
        <v>312077</v>
      </c>
      <c r="O468" s="17" cm="1">
        <f t="array" ref="O468">(H468-H467)/H467</f>
        <v>0.00958350268466426</v>
      </c>
    </row>
    <row r="469" ht="13.65" customHeight="1">
      <c r="A469" s="18">
        <v>44957</v>
      </c>
      <c r="B469" t="s" s="13">
        <v>22</v>
      </c>
      <c r="C469" s="14">
        <v>2382</v>
      </c>
      <c r="D469" s="14">
        <v>2387.65</v>
      </c>
      <c r="E469" s="14">
        <v>2341</v>
      </c>
      <c r="F469" s="14">
        <v>2359.75</v>
      </c>
      <c r="G469" s="14">
        <v>2356.65</v>
      </c>
      <c r="H469" s="14">
        <v>2353.85</v>
      </c>
      <c r="I469" s="14">
        <v>2354.47</v>
      </c>
      <c r="J469" s="14">
        <v>2856.15</v>
      </c>
      <c r="K469" s="14">
        <v>2180</v>
      </c>
      <c r="L469" s="15">
        <v>10472167</v>
      </c>
      <c r="M469" t="s" s="13">
        <v>485</v>
      </c>
      <c r="N469" s="15">
        <v>348674</v>
      </c>
      <c r="O469" s="17" cm="1">
        <f t="array" ref="O469">(H469-H468)/H468</f>
        <v>-0.00250026485856553</v>
      </c>
    </row>
    <row r="470" ht="13.65" customHeight="1">
      <c r="A470" s="12">
        <v>44958</v>
      </c>
      <c r="B470" t="s" s="13">
        <v>22</v>
      </c>
      <c r="C470" s="14">
        <v>2379.95</v>
      </c>
      <c r="D470" s="14">
        <v>2379.95</v>
      </c>
      <c r="E470" s="14">
        <v>2305</v>
      </c>
      <c r="F470" s="14">
        <v>2353.85</v>
      </c>
      <c r="G470" s="14">
        <v>2340</v>
      </c>
      <c r="H470" s="14">
        <v>2339.9</v>
      </c>
      <c r="I470" s="14">
        <v>2351.35</v>
      </c>
      <c r="J470" s="14">
        <v>2856.15</v>
      </c>
      <c r="K470" s="14">
        <v>2180</v>
      </c>
      <c r="L470" s="15">
        <v>8929007</v>
      </c>
      <c r="M470" t="s" s="13">
        <v>486</v>
      </c>
      <c r="N470" s="15">
        <v>312582</v>
      </c>
      <c r="O470" s="17" cm="1">
        <f t="array" ref="O470">(H470-H469)/H469</f>
        <v>-0.00592646090447565</v>
      </c>
    </row>
    <row r="471" ht="13.65" customHeight="1">
      <c r="A471" s="12">
        <v>44959</v>
      </c>
      <c r="B471" t="s" s="13">
        <v>22</v>
      </c>
      <c r="C471" s="14">
        <v>2318</v>
      </c>
      <c r="D471" s="14">
        <v>2348</v>
      </c>
      <c r="E471" s="14">
        <v>2311</v>
      </c>
      <c r="F471" s="14">
        <v>2339.9</v>
      </c>
      <c r="G471" s="14">
        <v>2325</v>
      </c>
      <c r="H471" s="14">
        <v>2326.95</v>
      </c>
      <c r="I471" s="14">
        <v>2324.91</v>
      </c>
      <c r="J471" s="14">
        <v>2856.15</v>
      </c>
      <c r="K471" s="14">
        <v>2180</v>
      </c>
      <c r="L471" s="15">
        <v>6305317</v>
      </c>
      <c r="M471" t="s" s="13">
        <v>487</v>
      </c>
      <c r="N471" s="15">
        <v>275957</v>
      </c>
      <c r="O471" s="17" cm="1">
        <f t="array" ref="O471">(H471-H470)/H470</f>
        <v>-0.00553442454805761</v>
      </c>
    </row>
    <row r="472" ht="13.65" customHeight="1">
      <c r="A472" s="12">
        <v>44960</v>
      </c>
      <c r="B472" t="s" s="13">
        <v>22</v>
      </c>
      <c r="C472" s="14">
        <v>2349</v>
      </c>
      <c r="D472" s="14">
        <v>2349</v>
      </c>
      <c r="E472" s="14">
        <v>2293</v>
      </c>
      <c r="F472" s="14">
        <v>2326.95</v>
      </c>
      <c r="G472" s="14">
        <v>2330</v>
      </c>
      <c r="H472" s="14">
        <v>2329</v>
      </c>
      <c r="I472" s="14">
        <v>2318.88</v>
      </c>
      <c r="J472" s="14">
        <v>2856.15</v>
      </c>
      <c r="K472" s="14">
        <v>2180</v>
      </c>
      <c r="L472" s="15">
        <v>11398850</v>
      </c>
      <c r="M472" t="s" s="13">
        <v>488</v>
      </c>
      <c r="N472" s="15">
        <v>406488</v>
      </c>
      <c r="O472" s="17" cm="1">
        <f t="array" ref="O472">(H472-H471)/H471</f>
        <v>0.00088098154236232</v>
      </c>
    </row>
    <row r="473" ht="13.65" customHeight="1">
      <c r="A473" s="12">
        <v>44963</v>
      </c>
      <c r="B473" t="s" s="13">
        <v>22</v>
      </c>
      <c r="C473" s="14">
        <v>2315</v>
      </c>
      <c r="D473" s="14">
        <v>2321</v>
      </c>
      <c r="E473" s="14">
        <v>2305.8</v>
      </c>
      <c r="F473" s="14">
        <v>2329</v>
      </c>
      <c r="G473" s="14">
        <v>2312.9</v>
      </c>
      <c r="H473" s="14">
        <v>2311.45</v>
      </c>
      <c r="I473" s="14">
        <v>2311.92</v>
      </c>
      <c r="J473" s="14">
        <v>2856.15</v>
      </c>
      <c r="K473" s="14">
        <v>2180</v>
      </c>
      <c r="L473" s="15">
        <v>6847679</v>
      </c>
      <c r="M473" t="s" s="13">
        <v>489</v>
      </c>
      <c r="N473" s="15">
        <v>293805</v>
      </c>
      <c r="O473" s="17" cm="1">
        <f t="array" ref="O473">(H473-H472)/H472</f>
        <v>-0.00753542292829541</v>
      </c>
    </row>
    <row r="474" ht="13.65" customHeight="1">
      <c r="A474" s="12">
        <v>44964</v>
      </c>
      <c r="B474" t="s" s="13">
        <v>22</v>
      </c>
      <c r="C474" s="14">
        <v>2312</v>
      </c>
      <c r="D474" s="14">
        <v>2327.4</v>
      </c>
      <c r="E474" s="14">
        <v>2293</v>
      </c>
      <c r="F474" s="14">
        <v>2311.45</v>
      </c>
      <c r="G474" s="14">
        <v>2304.3</v>
      </c>
      <c r="H474" s="14">
        <v>2305.9</v>
      </c>
      <c r="I474" s="14">
        <v>2312.27</v>
      </c>
      <c r="J474" s="14">
        <v>2856.15</v>
      </c>
      <c r="K474" s="14">
        <v>2180</v>
      </c>
      <c r="L474" s="15">
        <v>6985001</v>
      </c>
      <c r="M474" t="s" s="13">
        <v>490</v>
      </c>
      <c r="N474" s="15">
        <v>281342</v>
      </c>
      <c r="O474" s="17" cm="1">
        <f t="array" ref="O474">(H474-H473)/H473</f>
        <v>-0.0024010902247507</v>
      </c>
    </row>
    <row r="475" ht="13.65" customHeight="1">
      <c r="A475" s="12">
        <v>44965</v>
      </c>
      <c r="B475" t="s" s="13">
        <v>22</v>
      </c>
      <c r="C475" s="14">
        <v>2313</v>
      </c>
      <c r="D475" s="14">
        <v>2359.9</v>
      </c>
      <c r="E475" s="14">
        <v>2307</v>
      </c>
      <c r="F475" s="14">
        <v>2305.9</v>
      </c>
      <c r="G475" s="14">
        <v>2349.65</v>
      </c>
      <c r="H475" s="14">
        <v>2351.95</v>
      </c>
      <c r="I475" s="14">
        <v>2344.97</v>
      </c>
      <c r="J475" s="14">
        <v>2856.15</v>
      </c>
      <c r="K475" s="14">
        <v>2180</v>
      </c>
      <c r="L475" s="15">
        <v>9765490</v>
      </c>
      <c r="M475" t="s" s="13">
        <v>491</v>
      </c>
      <c r="N475" s="15">
        <v>283018</v>
      </c>
      <c r="O475" s="17" cm="1">
        <f t="array" ref="O475">(H475-H474)/H474</f>
        <v>0.0199705104297671</v>
      </c>
    </row>
    <row r="476" ht="13.65" customHeight="1">
      <c r="A476" s="12">
        <v>44966</v>
      </c>
      <c r="B476" t="s" s="13">
        <v>22</v>
      </c>
      <c r="C476" s="14">
        <v>2353.45</v>
      </c>
      <c r="D476" s="14">
        <v>2370.85</v>
      </c>
      <c r="E476" s="14">
        <v>2334</v>
      </c>
      <c r="F476" s="14">
        <v>2351.95</v>
      </c>
      <c r="G476" s="14">
        <v>2353.6</v>
      </c>
      <c r="H476" s="14">
        <v>2356.05</v>
      </c>
      <c r="I476" s="14">
        <v>2354.91</v>
      </c>
      <c r="J476" s="14">
        <v>2856.15</v>
      </c>
      <c r="K476" s="14">
        <v>2180</v>
      </c>
      <c r="L476" s="15">
        <v>6079228</v>
      </c>
      <c r="M476" t="s" s="13">
        <v>492</v>
      </c>
      <c r="N476" s="15">
        <v>264097</v>
      </c>
      <c r="O476" s="17" cm="1">
        <f t="array" ref="O476">(H476-H475)/H475</f>
        <v>0.00174323433746466</v>
      </c>
    </row>
    <row r="477" ht="13.65" customHeight="1">
      <c r="A477" s="18">
        <v>44967</v>
      </c>
      <c r="B477" t="s" s="13">
        <v>22</v>
      </c>
      <c r="C477" s="14">
        <v>2354.9</v>
      </c>
      <c r="D477" s="14">
        <v>2354.9</v>
      </c>
      <c r="E477" s="14">
        <v>2321.3</v>
      </c>
      <c r="F477" s="14">
        <v>2356.05</v>
      </c>
      <c r="G477" s="14">
        <v>2336.5</v>
      </c>
      <c r="H477" s="14">
        <v>2336.65</v>
      </c>
      <c r="I477" s="14">
        <v>2331.77</v>
      </c>
      <c r="J477" s="14">
        <v>2856.15</v>
      </c>
      <c r="K477" s="14">
        <v>2180</v>
      </c>
      <c r="L477" s="15">
        <v>4979789</v>
      </c>
      <c r="M477" t="s" s="13">
        <v>493</v>
      </c>
      <c r="N477" s="15">
        <v>188258</v>
      </c>
      <c r="O477" s="17" cm="1">
        <f t="array" ref="O477">(H477-H476)/H476</f>
        <v>-0.00823412066806732</v>
      </c>
    </row>
    <row r="478" ht="13.65" customHeight="1">
      <c r="A478" s="18">
        <v>44970</v>
      </c>
      <c r="B478" t="s" s="13">
        <v>22</v>
      </c>
      <c r="C478" s="14">
        <v>2340.2</v>
      </c>
      <c r="D478" s="14">
        <v>2350</v>
      </c>
      <c r="E478" s="14">
        <v>2313.55</v>
      </c>
      <c r="F478" s="14">
        <v>2336.65</v>
      </c>
      <c r="G478" s="14">
        <v>2324.6</v>
      </c>
      <c r="H478" s="14">
        <v>2323.35</v>
      </c>
      <c r="I478" s="14">
        <v>2323.49</v>
      </c>
      <c r="J478" s="14">
        <v>2856.15</v>
      </c>
      <c r="K478" s="14">
        <v>2180</v>
      </c>
      <c r="L478" s="15">
        <v>4777674</v>
      </c>
      <c r="M478" t="s" s="13">
        <v>494</v>
      </c>
      <c r="N478" s="15">
        <v>151763</v>
      </c>
      <c r="O478" s="17" cm="1">
        <f t="array" ref="O478">(H478-H477)/H477</f>
        <v>-0.00569190935741339</v>
      </c>
    </row>
    <row r="479" ht="13.65" customHeight="1">
      <c r="A479" s="18">
        <v>44971</v>
      </c>
      <c r="B479" t="s" s="13">
        <v>22</v>
      </c>
      <c r="C479" s="14">
        <v>2329.95</v>
      </c>
      <c r="D479" s="14">
        <v>2381.9</v>
      </c>
      <c r="E479" s="14">
        <v>2323.65</v>
      </c>
      <c r="F479" s="14">
        <v>2323.35</v>
      </c>
      <c r="G479" s="14">
        <v>2380</v>
      </c>
      <c r="H479" s="14">
        <v>2378.1</v>
      </c>
      <c r="I479" s="14">
        <v>2365.58</v>
      </c>
      <c r="J479" s="14">
        <v>2856.15</v>
      </c>
      <c r="K479" s="14">
        <v>2180</v>
      </c>
      <c r="L479" s="15">
        <v>6609564</v>
      </c>
      <c r="M479" t="s" s="13">
        <v>495</v>
      </c>
      <c r="N479" s="15">
        <v>227277</v>
      </c>
      <c r="O479" s="17" cm="1">
        <f t="array" ref="O479">(H479-H478)/H478</f>
        <v>0.0235651107237394</v>
      </c>
    </row>
    <row r="480" ht="13.65" customHeight="1">
      <c r="A480" s="18">
        <v>44972</v>
      </c>
      <c r="B480" t="s" s="13">
        <v>22</v>
      </c>
      <c r="C480" s="14">
        <v>2376</v>
      </c>
      <c r="D480" s="14">
        <v>2437.2</v>
      </c>
      <c r="E480" s="14">
        <v>2373</v>
      </c>
      <c r="F480" s="14">
        <v>2378.1</v>
      </c>
      <c r="G480" s="14">
        <v>2435.05</v>
      </c>
      <c r="H480" s="14">
        <v>2431.95</v>
      </c>
      <c r="I480" s="14">
        <v>2417.55</v>
      </c>
      <c r="J480" s="14">
        <v>2856.15</v>
      </c>
      <c r="K480" s="14">
        <v>2180</v>
      </c>
      <c r="L480" s="15">
        <v>15461902</v>
      </c>
      <c r="M480" t="s" s="13">
        <v>496</v>
      </c>
      <c r="N480" s="15">
        <v>338567</v>
      </c>
      <c r="O480" s="17" cm="1">
        <f t="array" ref="O480">(H480-H479)/H479</f>
        <v>0.0226441276649426</v>
      </c>
    </row>
    <row r="481" ht="13.65" customHeight="1">
      <c r="A481" s="18">
        <v>44973</v>
      </c>
      <c r="B481" t="s" s="13">
        <v>22</v>
      </c>
      <c r="C481" s="14">
        <v>2449.45</v>
      </c>
      <c r="D481" s="14">
        <v>2463.8</v>
      </c>
      <c r="E481" s="14">
        <v>2425.05</v>
      </c>
      <c r="F481" s="14">
        <v>2431.95</v>
      </c>
      <c r="G481" s="14">
        <v>2427.5</v>
      </c>
      <c r="H481" s="14">
        <v>2430.05</v>
      </c>
      <c r="I481" s="14">
        <v>2445.33</v>
      </c>
      <c r="J481" s="14">
        <v>2856.15</v>
      </c>
      <c r="K481" s="14">
        <v>2180</v>
      </c>
      <c r="L481" s="15">
        <v>7967558</v>
      </c>
      <c r="M481" t="s" s="13">
        <v>497</v>
      </c>
      <c r="N481" s="15">
        <v>320609</v>
      </c>
      <c r="O481" s="17" cm="1">
        <f t="array" ref="O481">(H481-H480)/H480</f>
        <v>-0.00078126606221345</v>
      </c>
    </row>
    <row r="482" ht="13.65" customHeight="1">
      <c r="A482" s="18">
        <v>44974</v>
      </c>
      <c r="B482" t="s" s="13">
        <v>22</v>
      </c>
      <c r="C482" s="14">
        <v>2420</v>
      </c>
      <c r="D482" s="14">
        <v>2447.5</v>
      </c>
      <c r="E482" s="14">
        <v>2410.6</v>
      </c>
      <c r="F482" s="14">
        <v>2430.05</v>
      </c>
      <c r="G482" s="14">
        <v>2438</v>
      </c>
      <c r="H482" s="14">
        <v>2440.2</v>
      </c>
      <c r="I482" s="14">
        <v>2433.17</v>
      </c>
      <c r="J482" s="14">
        <v>2856.15</v>
      </c>
      <c r="K482" s="14">
        <v>2180</v>
      </c>
      <c r="L482" s="15">
        <v>5450092</v>
      </c>
      <c r="M482" t="s" s="13">
        <v>498</v>
      </c>
      <c r="N482" s="15">
        <v>172321</v>
      </c>
      <c r="O482" s="17" cm="1">
        <f t="array" ref="O482">(H482-H481)/H481</f>
        <v>0.00417686878870805</v>
      </c>
    </row>
    <row r="483" ht="13.65" customHeight="1">
      <c r="A483" s="18">
        <v>44977</v>
      </c>
      <c r="B483" t="s" s="13">
        <v>22</v>
      </c>
      <c r="C483" s="14">
        <v>2445</v>
      </c>
      <c r="D483" s="14">
        <v>2449.75</v>
      </c>
      <c r="E483" s="14">
        <v>2410.1</v>
      </c>
      <c r="F483" s="14">
        <v>2440.2</v>
      </c>
      <c r="G483" s="14">
        <v>2414.7</v>
      </c>
      <c r="H483" s="14">
        <v>2414.4</v>
      </c>
      <c r="I483" s="14">
        <v>2429.58</v>
      </c>
      <c r="J483" s="14">
        <v>2856.15</v>
      </c>
      <c r="K483" s="14">
        <v>2180</v>
      </c>
      <c r="L483" s="15">
        <v>4078245</v>
      </c>
      <c r="M483" t="s" s="13">
        <v>499</v>
      </c>
      <c r="N483" s="15">
        <v>169244</v>
      </c>
      <c r="O483" s="17" cm="1">
        <f t="array" ref="O483">(H483-H482)/H482</f>
        <v>-0.0105729038603393</v>
      </c>
    </row>
    <row r="484" ht="13.65" customHeight="1">
      <c r="A484" s="18">
        <v>44978</v>
      </c>
      <c r="B484" t="s" s="13">
        <v>22</v>
      </c>
      <c r="C484" s="14">
        <v>2424</v>
      </c>
      <c r="D484" s="14">
        <v>2446.8</v>
      </c>
      <c r="E484" s="14">
        <v>2412.35</v>
      </c>
      <c r="F484" s="14">
        <v>2414.4</v>
      </c>
      <c r="G484" s="14">
        <v>2435.2</v>
      </c>
      <c r="H484" s="14">
        <v>2434.1</v>
      </c>
      <c r="I484" s="14">
        <v>2428.09</v>
      </c>
      <c r="J484" s="14">
        <v>2856.15</v>
      </c>
      <c r="K484" s="14">
        <v>2180</v>
      </c>
      <c r="L484" s="15">
        <v>6143298</v>
      </c>
      <c r="M484" t="s" s="13">
        <v>500</v>
      </c>
      <c r="N484" s="15">
        <v>190616</v>
      </c>
      <c r="O484" s="17" cm="1">
        <f t="array" ref="O484">(H484-H483)/H483</f>
        <v>0.00815937707090789</v>
      </c>
    </row>
    <row r="485" ht="13.65" customHeight="1">
      <c r="A485" s="18">
        <v>44979</v>
      </c>
      <c r="B485" t="s" s="13">
        <v>22</v>
      </c>
      <c r="C485" s="14">
        <v>2425.95</v>
      </c>
      <c r="D485" s="14">
        <v>2430</v>
      </c>
      <c r="E485" s="14">
        <v>2375.05</v>
      </c>
      <c r="F485" s="14">
        <v>2434.1</v>
      </c>
      <c r="G485" s="14">
        <v>2377</v>
      </c>
      <c r="H485" s="14">
        <v>2378.9</v>
      </c>
      <c r="I485" s="14">
        <v>2395.74</v>
      </c>
      <c r="J485" s="14">
        <v>2856.15</v>
      </c>
      <c r="K485" s="14">
        <v>2180</v>
      </c>
      <c r="L485" s="15">
        <v>5087729</v>
      </c>
      <c r="M485" t="s" s="13">
        <v>501</v>
      </c>
      <c r="N485" s="15">
        <v>204778</v>
      </c>
      <c r="O485" s="17" cm="1">
        <f t="array" ref="O485">(H485-H484)/H484</f>
        <v>-0.0226777864508443</v>
      </c>
    </row>
    <row r="486" ht="13.65" customHeight="1">
      <c r="A486" s="18">
        <v>44980</v>
      </c>
      <c r="B486" t="s" s="13">
        <v>22</v>
      </c>
      <c r="C486" s="14">
        <v>2378</v>
      </c>
      <c r="D486" s="14">
        <v>2394.75</v>
      </c>
      <c r="E486" s="14">
        <v>2361.35</v>
      </c>
      <c r="F486" s="14">
        <v>2378.9</v>
      </c>
      <c r="G486" s="14">
        <v>2366.5</v>
      </c>
      <c r="H486" s="14">
        <v>2367.5</v>
      </c>
      <c r="I486" s="14">
        <v>2377.1</v>
      </c>
      <c r="J486" s="14">
        <v>2856.15</v>
      </c>
      <c r="K486" s="14">
        <v>2180</v>
      </c>
      <c r="L486" s="15">
        <v>4546655</v>
      </c>
      <c r="M486" t="s" s="13">
        <v>502</v>
      </c>
      <c r="N486" s="15">
        <v>176202</v>
      </c>
      <c r="O486" s="17" cm="1">
        <f t="array" ref="O486">(H486-H485)/H485</f>
        <v>-0.00479213081676405</v>
      </c>
    </row>
    <row r="487" ht="13.65" customHeight="1">
      <c r="A487" s="18">
        <v>44981</v>
      </c>
      <c r="B487" t="s" s="13">
        <v>22</v>
      </c>
      <c r="C487" s="14">
        <v>2372</v>
      </c>
      <c r="D487" s="14">
        <v>2396.15</v>
      </c>
      <c r="E487" s="14">
        <v>2368</v>
      </c>
      <c r="F487" s="14">
        <v>2367.5</v>
      </c>
      <c r="G487" s="14">
        <v>2387.9</v>
      </c>
      <c r="H487" s="14">
        <v>2383.7</v>
      </c>
      <c r="I487" s="14">
        <v>2381.54</v>
      </c>
      <c r="J487" s="14">
        <v>2856.15</v>
      </c>
      <c r="K487" s="14">
        <v>2180</v>
      </c>
      <c r="L487" s="15">
        <v>4353814</v>
      </c>
      <c r="M487" t="s" s="13">
        <v>503</v>
      </c>
      <c r="N487" s="15">
        <v>157064</v>
      </c>
      <c r="O487" s="17" cm="1">
        <f t="array" ref="O487">(H487-H486)/H486</f>
        <v>0.00684266103484688</v>
      </c>
    </row>
    <row r="488" ht="13.65" customHeight="1">
      <c r="A488" s="18">
        <v>44984</v>
      </c>
      <c r="B488" t="s" s="13">
        <v>22</v>
      </c>
      <c r="C488" s="14">
        <v>2382</v>
      </c>
      <c r="D488" s="14">
        <v>2389.65</v>
      </c>
      <c r="E488" s="14">
        <v>2351.7</v>
      </c>
      <c r="F488" s="14">
        <v>2383.7</v>
      </c>
      <c r="G488" s="14">
        <v>2365.05</v>
      </c>
      <c r="H488" s="14">
        <v>2367.85</v>
      </c>
      <c r="I488" s="14">
        <v>2366.2</v>
      </c>
      <c r="J488" s="14">
        <v>2856.15</v>
      </c>
      <c r="K488" s="14">
        <v>2180</v>
      </c>
      <c r="L488" s="15">
        <v>5168667</v>
      </c>
      <c r="M488" t="s" s="13">
        <v>504</v>
      </c>
      <c r="N488" s="15">
        <v>193653</v>
      </c>
      <c r="O488" s="17" cm="1">
        <f t="array" ref="O488">(H488-H487)/H487</f>
        <v>-0.00664932667701473</v>
      </c>
    </row>
    <row r="489" ht="13.65" customHeight="1">
      <c r="A489" s="18">
        <v>44985</v>
      </c>
      <c r="B489" t="s" s="13">
        <v>22</v>
      </c>
      <c r="C489" s="14">
        <v>2356.1</v>
      </c>
      <c r="D489" s="14">
        <v>2367</v>
      </c>
      <c r="E489" s="14">
        <v>2313.65</v>
      </c>
      <c r="F489" s="14">
        <v>2367.85</v>
      </c>
      <c r="G489" s="14">
        <v>2319.95</v>
      </c>
      <c r="H489" s="14">
        <v>2322.55</v>
      </c>
      <c r="I489" s="14">
        <v>2333.98</v>
      </c>
      <c r="J489" s="14">
        <v>2856.15</v>
      </c>
      <c r="K489" s="14">
        <v>2180</v>
      </c>
      <c r="L489" s="15">
        <v>10150245</v>
      </c>
      <c r="M489" t="s" s="13">
        <v>505</v>
      </c>
      <c r="N489" s="15">
        <v>313946</v>
      </c>
      <c r="O489" s="17" cm="1">
        <f t="array" ref="O489">(H489-H488)/H488</f>
        <v>-0.0191312794307072</v>
      </c>
    </row>
    <row r="490" ht="13.65" customHeight="1">
      <c r="A490" s="12">
        <v>44986</v>
      </c>
      <c r="B490" t="s" s="13">
        <v>22</v>
      </c>
      <c r="C490" s="14">
        <v>2344</v>
      </c>
      <c r="D490" s="14">
        <v>2345.5</v>
      </c>
      <c r="E490" s="14">
        <v>2323.25</v>
      </c>
      <c r="F490" s="14">
        <v>2322.55</v>
      </c>
      <c r="G490" s="14">
        <v>2345.4</v>
      </c>
      <c r="H490" s="14">
        <v>2343.9</v>
      </c>
      <c r="I490" s="14">
        <v>2336.64</v>
      </c>
      <c r="J490" s="14">
        <v>2856.15</v>
      </c>
      <c r="K490" s="14">
        <v>2180</v>
      </c>
      <c r="L490" s="15">
        <v>5330852</v>
      </c>
      <c r="M490" t="s" s="13">
        <v>506</v>
      </c>
      <c r="N490" s="15">
        <v>230019</v>
      </c>
      <c r="O490" s="17" cm="1">
        <f t="array" ref="O490">(H490-H489)/H489</f>
        <v>0.00919248240080946</v>
      </c>
    </row>
    <row r="491" ht="13.65" customHeight="1">
      <c r="A491" s="12">
        <v>44987</v>
      </c>
      <c r="B491" t="s" s="13">
        <v>22</v>
      </c>
      <c r="C491" s="14">
        <v>2337</v>
      </c>
      <c r="D491" s="14">
        <v>2351.65</v>
      </c>
      <c r="E491" s="14">
        <v>2321.6</v>
      </c>
      <c r="F491" s="14">
        <v>2343.9</v>
      </c>
      <c r="G491" s="14">
        <v>2329.4</v>
      </c>
      <c r="H491" s="14">
        <v>2326.05</v>
      </c>
      <c r="I491" s="14">
        <v>2333.58</v>
      </c>
      <c r="J491" s="14">
        <v>2856.15</v>
      </c>
      <c r="K491" s="14">
        <v>2180</v>
      </c>
      <c r="L491" s="15">
        <v>4307425</v>
      </c>
      <c r="M491" t="s" s="13">
        <v>507</v>
      </c>
      <c r="N491" s="15">
        <v>188182</v>
      </c>
      <c r="O491" s="17" cm="1">
        <f t="array" ref="O491">(H491-H490)/H490</f>
        <v>-0.00761551260719314</v>
      </c>
    </row>
    <row r="492" ht="13.65" customHeight="1">
      <c r="A492" s="12">
        <v>44988</v>
      </c>
      <c r="B492" t="s" s="13">
        <v>22</v>
      </c>
      <c r="C492" s="14">
        <v>2349.15</v>
      </c>
      <c r="D492" s="14">
        <v>2393.45</v>
      </c>
      <c r="E492" s="14">
        <v>2341.55</v>
      </c>
      <c r="F492" s="14">
        <v>2326.05</v>
      </c>
      <c r="G492" s="14">
        <v>2382</v>
      </c>
      <c r="H492" s="14">
        <v>2385.4</v>
      </c>
      <c r="I492" s="14">
        <v>2366.67</v>
      </c>
      <c r="J492" s="14">
        <v>2856.15</v>
      </c>
      <c r="K492" s="14">
        <v>2180</v>
      </c>
      <c r="L492" s="15">
        <v>6758115</v>
      </c>
      <c r="M492" t="s" s="13">
        <v>508</v>
      </c>
      <c r="N492" s="15">
        <v>197227</v>
      </c>
      <c r="O492" s="17" cm="1">
        <f t="array" ref="O492">(H492-H491)/H491</f>
        <v>0.025515358655231</v>
      </c>
    </row>
    <row r="493" ht="13.65" customHeight="1">
      <c r="A493" s="12">
        <v>44991</v>
      </c>
      <c r="B493" t="s" s="13">
        <v>22</v>
      </c>
      <c r="C493" s="14">
        <v>2400</v>
      </c>
      <c r="D493" s="14">
        <v>2424.6</v>
      </c>
      <c r="E493" s="14">
        <v>2400</v>
      </c>
      <c r="F493" s="14">
        <v>2385.4</v>
      </c>
      <c r="G493" s="14">
        <v>2409.7</v>
      </c>
      <c r="H493" s="14">
        <v>2408.7</v>
      </c>
      <c r="I493" s="14">
        <v>2412.27</v>
      </c>
      <c r="J493" s="14">
        <v>2856.15</v>
      </c>
      <c r="K493" s="14">
        <v>2180</v>
      </c>
      <c r="L493" s="15">
        <v>4694338</v>
      </c>
      <c r="M493" t="s" s="13">
        <v>509</v>
      </c>
      <c r="N493" s="15">
        <v>155650</v>
      </c>
      <c r="O493" s="17" cm="1">
        <f t="array" ref="O493">(H493-H492)/H492</f>
        <v>0.009767753835834661</v>
      </c>
    </row>
    <row r="494" ht="13.65" customHeight="1">
      <c r="A494" s="12">
        <v>44993</v>
      </c>
      <c r="B494" t="s" s="13">
        <v>22</v>
      </c>
      <c r="C494" s="14">
        <v>2408.7</v>
      </c>
      <c r="D494" s="14">
        <v>2419</v>
      </c>
      <c r="E494" s="14">
        <v>2385</v>
      </c>
      <c r="F494" s="14">
        <v>2408.7</v>
      </c>
      <c r="G494" s="14">
        <v>2416.5</v>
      </c>
      <c r="H494" s="14">
        <v>2417.35</v>
      </c>
      <c r="I494" s="14">
        <v>2407.08</v>
      </c>
      <c r="J494" s="14">
        <v>2856.15</v>
      </c>
      <c r="K494" s="14">
        <v>2180</v>
      </c>
      <c r="L494" s="15">
        <v>7283694</v>
      </c>
      <c r="M494" t="s" s="13">
        <v>510</v>
      </c>
      <c r="N494" s="15">
        <v>182199</v>
      </c>
      <c r="O494" s="17" cm="1">
        <f t="array" ref="O494">(H494-H493)/H493</f>
        <v>0.00359114875243908</v>
      </c>
    </row>
    <row r="495" ht="13.65" customHeight="1">
      <c r="A495" s="12">
        <v>44994</v>
      </c>
      <c r="B495" t="s" s="13">
        <v>22</v>
      </c>
      <c r="C495" s="14">
        <v>2416</v>
      </c>
      <c r="D495" s="14">
        <v>2416.9</v>
      </c>
      <c r="E495" s="14">
        <v>2355.1</v>
      </c>
      <c r="F495" s="14">
        <v>2417.35</v>
      </c>
      <c r="G495" s="14">
        <v>2360</v>
      </c>
      <c r="H495" s="14">
        <v>2359.25</v>
      </c>
      <c r="I495" s="14">
        <v>2377.08</v>
      </c>
      <c r="J495" s="14">
        <v>2856.15</v>
      </c>
      <c r="K495" s="14">
        <v>2180</v>
      </c>
      <c r="L495" s="15">
        <v>7492509</v>
      </c>
      <c r="M495" t="s" s="13">
        <v>511</v>
      </c>
      <c r="N495" s="15">
        <v>232305</v>
      </c>
      <c r="O495" s="17" cm="1">
        <f t="array" ref="O495">(H495-H494)/H494</f>
        <v>-0.0240345833247151</v>
      </c>
    </row>
    <row r="496" ht="13.65" customHeight="1">
      <c r="A496" s="18">
        <v>44995</v>
      </c>
      <c r="B496" t="s" s="13">
        <v>22</v>
      </c>
      <c r="C496" s="14">
        <v>2341.5</v>
      </c>
      <c r="D496" s="14">
        <v>2344</v>
      </c>
      <c r="E496" s="14">
        <v>2315.05</v>
      </c>
      <c r="F496" s="14">
        <v>2359.25</v>
      </c>
      <c r="G496" s="14">
        <v>2326</v>
      </c>
      <c r="H496" s="14">
        <v>2322.7</v>
      </c>
      <c r="I496" s="14">
        <v>2324.06</v>
      </c>
      <c r="J496" s="14">
        <v>2856.15</v>
      </c>
      <c r="K496" s="14">
        <v>2180</v>
      </c>
      <c r="L496" s="15">
        <v>6153681</v>
      </c>
      <c r="M496" t="s" s="13">
        <v>512</v>
      </c>
      <c r="N496" s="15">
        <v>257596</v>
      </c>
      <c r="O496" s="17" cm="1">
        <f t="array" ref="O496">(H496-H495)/H495</f>
        <v>-0.0154922115078945</v>
      </c>
    </row>
    <row r="497" ht="13.65" customHeight="1">
      <c r="A497" s="18">
        <v>44998</v>
      </c>
      <c r="B497" t="s" s="13">
        <v>22</v>
      </c>
      <c r="C497" s="14">
        <v>2329</v>
      </c>
      <c r="D497" s="14">
        <v>2344</v>
      </c>
      <c r="E497" s="14">
        <v>2275</v>
      </c>
      <c r="F497" s="14">
        <v>2322.7</v>
      </c>
      <c r="G497" s="14">
        <v>2288</v>
      </c>
      <c r="H497" s="14">
        <v>2284.5</v>
      </c>
      <c r="I497" s="14">
        <v>2307.72</v>
      </c>
      <c r="J497" s="14">
        <v>2856.15</v>
      </c>
      <c r="K497" s="14">
        <v>2275</v>
      </c>
      <c r="L497" s="15">
        <v>5894088</v>
      </c>
      <c r="M497" t="s" s="13">
        <v>513</v>
      </c>
      <c r="N497" s="15">
        <v>256526</v>
      </c>
      <c r="O497" s="17" cm="1">
        <f t="array" ref="O497">(H497-H496)/H496</f>
        <v>-0.0164463770611788</v>
      </c>
    </row>
    <row r="498" ht="13.65" customHeight="1">
      <c r="A498" s="18">
        <v>44999</v>
      </c>
      <c r="B498" t="s" s="13">
        <v>22</v>
      </c>
      <c r="C498" s="14">
        <v>2280</v>
      </c>
      <c r="D498" s="14">
        <v>2304.95</v>
      </c>
      <c r="E498" s="14">
        <v>2269.05</v>
      </c>
      <c r="F498" s="14">
        <v>2284.5</v>
      </c>
      <c r="G498" s="14">
        <v>2279</v>
      </c>
      <c r="H498" s="14">
        <v>2275.95</v>
      </c>
      <c r="I498" s="14">
        <v>2285.47</v>
      </c>
      <c r="J498" s="14">
        <v>2856.15</v>
      </c>
      <c r="K498" s="14">
        <v>2269.05</v>
      </c>
      <c r="L498" s="15">
        <v>7396699</v>
      </c>
      <c r="M498" t="s" s="13">
        <v>514</v>
      </c>
      <c r="N498" s="15">
        <v>266523</v>
      </c>
      <c r="O498" s="17" cm="1">
        <f t="array" ref="O498">(H498-H497)/H497</f>
        <v>-0.00374261326329613</v>
      </c>
    </row>
    <row r="499" ht="13.65" customHeight="1">
      <c r="A499" s="18">
        <v>45000</v>
      </c>
      <c r="B499" t="s" s="13">
        <v>22</v>
      </c>
      <c r="C499" s="14">
        <v>2284.1</v>
      </c>
      <c r="D499" s="14">
        <v>2298.3</v>
      </c>
      <c r="E499" s="14">
        <v>2227.4</v>
      </c>
      <c r="F499" s="14">
        <v>2275.95</v>
      </c>
      <c r="G499" s="14">
        <v>2237.45</v>
      </c>
      <c r="H499" s="14">
        <v>2237.05</v>
      </c>
      <c r="I499" s="14">
        <v>2263.32</v>
      </c>
      <c r="J499" s="14">
        <v>2856.15</v>
      </c>
      <c r="K499" s="14">
        <v>2227.4</v>
      </c>
      <c r="L499" s="15">
        <v>10027725</v>
      </c>
      <c r="M499" t="s" s="13">
        <v>515</v>
      </c>
      <c r="N499" s="15">
        <v>371953</v>
      </c>
      <c r="O499" s="17" cm="1">
        <f t="array" ref="O499">(H499-H498)/H498</f>
        <v>-0.0170917638788198</v>
      </c>
    </row>
    <row r="500" ht="13.65" customHeight="1">
      <c r="A500" s="18">
        <v>45001</v>
      </c>
      <c r="B500" t="s" s="13">
        <v>22</v>
      </c>
      <c r="C500" s="14">
        <v>2243</v>
      </c>
      <c r="D500" s="14">
        <v>2254</v>
      </c>
      <c r="E500" s="14">
        <v>2202.2</v>
      </c>
      <c r="F500" s="14">
        <v>2237.05</v>
      </c>
      <c r="G500" s="14">
        <v>2229.5</v>
      </c>
      <c r="H500" s="14">
        <v>2225.9</v>
      </c>
      <c r="I500" s="14">
        <v>2229.58</v>
      </c>
      <c r="J500" s="14">
        <v>2856.15</v>
      </c>
      <c r="K500" s="14">
        <v>2202.2</v>
      </c>
      <c r="L500" s="15">
        <v>8474595</v>
      </c>
      <c r="M500" t="s" s="13">
        <v>516</v>
      </c>
      <c r="N500" s="15">
        <v>366871</v>
      </c>
      <c r="O500" s="17" cm="1">
        <f t="array" ref="O500">(H500-H499)/H499</f>
        <v>-0.00498424264097807</v>
      </c>
    </row>
    <row r="501" ht="13.65" customHeight="1">
      <c r="A501" s="18">
        <v>45002</v>
      </c>
      <c r="B501" t="s" s="13">
        <v>22</v>
      </c>
      <c r="C501" s="14">
        <v>2244.75</v>
      </c>
      <c r="D501" s="14">
        <v>2251.95</v>
      </c>
      <c r="E501" s="14">
        <v>2212.7</v>
      </c>
      <c r="F501" s="14">
        <v>2225.9</v>
      </c>
      <c r="G501" s="14">
        <v>2224.4</v>
      </c>
      <c r="H501" s="14">
        <v>2223.1</v>
      </c>
      <c r="I501" s="14">
        <v>2226.05</v>
      </c>
      <c r="J501" s="14">
        <v>2856.15</v>
      </c>
      <c r="K501" s="14">
        <v>2202.2</v>
      </c>
      <c r="L501" s="15">
        <v>15697554</v>
      </c>
      <c r="M501" t="s" s="13">
        <v>517</v>
      </c>
      <c r="N501" s="15">
        <v>302341</v>
      </c>
      <c r="O501" s="17" cm="1">
        <f t="array" ref="O501">(H501-H500)/H500</f>
        <v>-0.00125791814546925</v>
      </c>
    </row>
    <row r="502" ht="13.65" customHeight="1">
      <c r="A502" s="18">
        <v>45005</v>
      </c>
      <c r="B502" t="s" s="13">
        <v>22</v>
      </c>
      <c r="C502" s="14">
        <v>2215</v>
      </c>
      <c r="D502" s="14">
        <v>2220</v>
      </c>
      <c r="E502" s="14">
        <v>2180</v>
      </c>
      <c r="F502" s="14">
        <v>2223.1</v>
      </c>
      <c r="G502" s="14">
        <v>2211.15</v>
      </c>
      <c r="H502" s="14">
        <v>2201.25</v>
      </c>
      <c r="I502" s="14">
        <v>2194.09</v>
      </c>
      <c r="J502" s="14">
        <v>2856.15</v>
      </c>
      <c r="K502" s="14">
        <v>2180</v>
      </c>
      <c r="L502" s="15">
        <v>9010595</v>
      </c>
      <c r="M502" t="s" s="13">
        <v>518</v>
      </c>
      <c r="N502" s="15">
        <v>369095</v>
      </c>
      <c r="O502" s="17" cm="1">
        <f t="array" ref="O502">(H502-H501)/H501</f>
        <v>-0.009828617696010081</v>
      </c>
    </row>
    <row r="503" ht="13.65" customHeight="1">
      <c r="A503" s="18">
        <v>45006</v>
      </c>
      <c r="B503" t="s" s="13">
        <v>22</v>
      </c>
      <c r="C503" s="14">
        <v>2218.95</v>
      </c>
      <c r="D503" s="14">
        <v>2274</v>
      </c>
      <c r="E503" s="14">
        <v>2217</v>
      </c>
      <c r="F503" s="14">
        <v>2201.25</v>
      </c>
      <c r="G503" s="14">
        <v>2272</v>
      </c>
      <c r="H503" s="14">
        <v>2269.7</v>
      </c>
      <c r="I503" s="14">
        <v>2256.48</v>
      </c>
      <c r="J503" s="14">
        <v>2856.15</v>
      </c>
      <c r="K503" s="14">
        <v>2180</v>
      </c>
      <c r="L503" s="15">
        <v>9876263</v>
      </c>
      <c r="M503" t="s" s="13">
        <v>519</v>
      </c>
      <c r="N503" s="15">
        <v>342611</v>
      </c>
      <c r="O503" s="17" cm="1">
        <f t="array" ref="O503">(H503-H502)/H502</f>
        <v>0.0310959681998864</v>
      </c>
    </row>
    <row r="504" ht="13.65" customHeight="1">
      <c r="A504" s="18">
        <v>45007</v>
      </c>
      <c r="B504" t="s" s="13">
        <v>22</v>
      </c>
      <c r="C504" s="14">
        <v>2285</v>
      </c>
      <c r="D504" s="14">
        <v>2291.45</v>
      </c>
      <c r="E504" s="14">
        <v>2270</v>
      </c>
      <c r="F504" s="14">
        <v>2269.7</v>
      </c>
      <c r="G504" s="14">
        <v>2274.3</v>
      </c>
      <c r="H504" s="14">
        <v>2276.6</v>
      </c>
      <c r="I504" s="14">
        <v>2281.22</v>
      </c>
      <c r="J504" s="14">
        <v>2856.15</v>
      </c>
      <c r="K504" s="14">
        <v>2180</v>
      </c>
      <c r="L504" s="15">
        <v>5039622</v>
      </c>
      <c r="M504" t="s" s="13">
        <v>520</v>
      </c>
      <c r="N504" s="15">
        <v>195193</v>
      </c>
      <c r="O504" s="17" cm="1">
        <f t="array" ref="O504">(H504-H503)/H503</f>
        <v>0.00304004934572851</v>
      </c>
    </row>
    <row r="505" ht="13.65" customHeight="1">
      <c r="A505" s="18">
        <v>45008</v>
      </c>
      <c r="B505" t="s" s="13">
        <v>22</v>
      </c>
      <c r="C505" s="14">
        <v>2268</v>
      </c>
      <c r="D505" s="14">
        <v>2269.9</v>
      </c>
      <c r="E505" s="14">
        <v>2243.05</v>
      </c>
      <c r="F505" s="14">
        <v>2276.6</v>
      </c>
      <c r="G505" s="14">
        <v>2247.6</v>
      </c>
      <c r="H505" s="14">
        <v>2247.8</v>
      </c>
      <c r="I505" s="14">
        <v>2253.68</v>
      </c>
      <c r="J505" s="14">
        <v>2856.15</v>
      </c>
      <c r="K505" s="14">
        <v>2180</v>
      </c>
      <c r="L505" s="15">
        <v>7499082</v>
      </c>
      <c r="M505" t="s" s="13">
        <v>521</v>
      </c>
      <c r="N505" s="15">
        <v>187678</v>
      </c>
      <c r="O505" s="17" cm="1">
        <f t="array" ref="O505">(H505-H504)/H504</f>
        <v>-0.0126504436440306</v>
      </c>
    </row>
    <row r="506" ht="13.65" customHeight="1">
      <c r="A506" s="18">
        <v>45009</v>
      </c>
      <c r="B506" t="s" s="13">
        <v>22</v>
      </c>
      <c r="C506" s="14">
        <v>2245.25</v>
      </c>
      <c r="D506" s="14">
        <v>2250</v>
      </c>
      <c r="E506" s="14">
        <v>2198</v>
      </c>
      <c r="F506" s="14">
        <v>2247.8</v>
      </c>
      <c r="G506" s="14">
        <v>2204.9</v>
      </c>
      <c r="H506" s="14">
        <v>2203.3</v>
      </c>
      <c r="I506" s="14">
        <v>2221.83</v>
      </c>
      <c r="J506" s="14">
        <v>2856.15</v>
      </c>
      <c r="K506" s="14">
        <v>2180</v>
      </c>
      <c r="L506" s="15">
        <v>5711497</v>
      </c>
      <c r="M506" t="s" s="13">
        <v>522</v>
      </c>
      <c r="N506" s="15">
        <v>231777</v>
      </c>
      <c r="O506" s="17" cm="1">
        <f t="array" ref="O506">(H506-H505)/H505</f>
        <v>-0.0197971349764214</v>
      </c>
    </row>
    <row r="507" ht="13.65" customHeight="1">
      <c r="A507" s="18">
        <v>45012</v>
      </c>
      <c r="B507" t="s" s="13">
        <v>22</v>
      </c>
      <c r="C507" s="14">
        <v>2217.5</v>
      </c>
      <c r="D507" s="14">
        <v>2254</v>
      </c>
      <c r="E507" s="14">
        <v>2200.2</v>
      </c>
      <c r="F507" s="14">
        <v>2203.3</v>
      </c>
      <c r="G507" s="14">
        <v>2238.8</v>
      </c>
      <c r="H507" s="14">
        <v>2237.55</v>
      </c>
      <c r="I507" s="14">
        <v>2237.36</v>
      </c>
      <c r="J507" s="14">
        <v>2856.15</v>
      </c>
      <c r="K507" s="14">
        <v>2180</v>
      </c>
      <c r="L507" s="15">
        <v>6486068</v>
      </c>
      <c r="M507" t="s" s="13">
        <v>523</v>
      </c>
      <c r="N507" s="15">
        <v>217981</v>
      </c>
      <c r="O507" s="17" cm="1">
        <f t="array" ref="O507">(H507-H506)/H506</f>
        <v>0.0155448645213997</v>
      </c>
    </row>
    <row r="508" ht="13.65" customHeight="1">
      <c r="A508" s="18">
        <v>45013</v>
      </c>
      <c r="B508" t="s" s="13">
        <v>22</v>
      </c>
      <c r="C508" s="14">
        <v>2245</v>
      </c>
      <c r="D508" s="14">
        <v>2256.5</v>
      </c>
      <c r="E508" s="14">
        <v>2237</v>
      </c>
      <c r="F508" s="14">
        <v>2237.55</v>
      </c>
      <c r="G508" s="14">
        <v>2247.05</v>
      </c>
      <c r="H508" s="14">
        <v>2248</v>
      </c>
      <c r="I508" s="14">
        <v>2246.61</v>
      </c>
      <c r="J508" s="14">
        <v>2856.15</v>
      </c>
      <c r="K508" s="14">
        <v>2180</v>
      </c>
      <c r="L508" s="15">
        <v>5804018</v>
      </c>
      <c r="M508" t="s" s="13">
        <v>524</v>
      </c>
      <c r="N508" s="15">
        <v>200011</v>
      </c>
      <c r="O508" s="17" cm="1">
        <f t="array" ref="O508">(H508-H507)/H507</f>
        <v>0.00467028669750397</v>
      </c>
    </row>
    <row r="509" ht="13.65" customHeight="1">
      <c r="A509" s="18">
        <v>45014</v>
      </c>
      <c r="B509" t="s" s="13">
        <v>22</v>
      </c>
      <c r="C509" s="14">
        <v>2239</v>
      </c>
      <c r="D509" s="14">
        <v>2244.8</v>
      </c>
      <c r="E509" s="14">
        <v>2211.1</v>
      </c>
      <c r="F509" s="14">
        <v>2248</v>
      </c>
      <c r="G509" s="14">
        <v>2242.2</v>
      </c>
      <c r="H509" s="14">
        <v>2234.7</v>
      </c>
      <c r="I509" s="14">
        <v>2228.64</v>
      </c>
      <c r="J509" s="14">
        <v>2856.15</v>
      </c>
      <c r="K509" s="14">
        <v>2180</v>
      </c>
      <c r="L509" s="15">
        <v>8678073</v>
      </c>
      <c r="M509" t="s" s="13">
        <v>525</v>
      </c>
      <c r="N509" s="15">
        <v>294929</v>
      </c>
      <c r="O509" s="17" cm="1">
        <f t="array" ref="O509">(H509-H508)/H508</f>
        <v>-0.00591637010676157</v>
      </c>
    </row>
    <row r="510" ht="13.65" customHeight="1">
      <c r="A510" s="18">
        <v>45016</v>
      </c>
      <c r="B510" t="s" s="13">
        <v>22</v>
      </c>
      <c r="C510" s="14">
        <v>2255</v>
      </c>
      <c r="D510" s="14">
        <v>2343.45</v>
      </c>
      <c r="E510" s="14">
        <v>2254.7</v>
      </c>
      <c r="F510" s="14">
        <v>2234.7</v>
      </c>
      <c r="G510" s="14">
        <v>2330.95</v>
      </c>
      <c r="H510" s="14">
        <v>2331.05</v>
      </c>
      <c r="I510" s="14">
        <v>2315.77</v>
      </c>
      <c r="J510" s="14">
        <v>2856.15</v>
      </c>
      <c r="K510" s="14">
        <v>2180</v>
      </c>
      <c r="L510" s="15">
        <v>13001005</v>
      </c>
      <c r="M510" t="s" s="13">
        <v>526</v>
      </c>
      <c r="N510" s="15">
        <v>446320</v>
      </c>
      <c r="O510" s="17" cm="1">
        <f t="array" ref="O510">(H510-H509)/H509</f>
        <v>0.0431154069897525</v>
      </c>
    </row>
    <row r="511" ht="13.65" customHeight="1">
      <c r="A511" s="21"/>
      <c r="B511" s="21"/>
      <c r="C511" s="21"/>
      <c r="D511" s="21"/>
      <c r="E511" s="21"/>
      <c r="F511" s="21"/>
      <c r="G511" s="21"/>
      <c r="H511" s="21"/>
      <c r="I511" s="21"/>
      <c r="J511" s="21"/>
      <c r="K511" s="21"/>
      <c r="L511" s="21"/>
      <c r="M511" s="21"/>
      <c r="N511" s="21"/>
      <c r="O511" s="8"/>
    </row>
    <row r="512" ht="13.65" customHeight="1">
      <c r="A512" s="8"/>
      <c r="B512" s="8"/>
      <c r="C512" s="8"/>
      <c r="D512" s="8"/>
      <c r="E512" s="8"/>
      <c r="F512" s="8"/>
      <c r="G512" s="8"/>
      <c r="H512" s="8"/>
      <c r="I512" s="8"/>
      <c r="J512" s="8"/>
      <c r="K512" s="8"/>
      <c r="L512" s="8"/>
      <c r="M512" s="8"/>
      <c r="N512" t="s" s="7">
        <v>272</v>
      </c>
      <c r="O512" s="22" cm="1">
        <f t="array" ref="O512">AVERAGE(O262:O510)</f>
        <v>-0.000402453360652431</v>
      </c>
    </row>
    <row r="513" ht="13.65" customHeight="1">
      <c r="A513" s="8"/>
      <c r="B513" s="8"/>
      <c r="C513" s="8"/>
      <c r="D513" s="8"/>
      <c r="E513" s="8"/>
      <c r="F513" s="8"/>
      <c r="G513" s="8"/>
      <c r="H513" s="8"/>
      <c r="I513" s="8"/>
      <c r="J513" s="8"/>
      <c r="K513" s="8"/>
      <c r="L513" s="8"/>
      <c r="M513" s="8"/>
      <c r="N513" t="s" s="7">
        <v>527</v>
      </c>
      <c r="O513" s="22">
        <v>0.016</v>
      </c>
    </row>
    <row r="514" ht="13.65" customHeight="1">
      <c r="A514" s="8"/>
      <c r="B514" s="8"/>
      <c r="C514" s="8"/>
      <c r="D514" s="8"/>
      <c r="E514" s="8"/>
      <c r="F514" s="8"/>
      <c r="G514" s="8"/>
      <c r="H514" s="8"/>
      <c r="I514" s="8"/>
      <c r="J514" s="8"/>
      <c r="K514" s="8"/>
      <c r="L514" s="8"/>
      <c r="M514" s="8"/>
      <c r="N514" t="s" s="7">
        <v>274</v>
      </c>
      <c r="O514" s="23" cm="1">
        <f t="array" ref="O514">AVERAGE(L262:L510)</f>
        <v>6558226.30120482</v>
      </c>
    </row>
    <row r="515" ht="13.65" customHeight="1">
      <c r="A515" s="8"/>
      <c r="B515" s="8"/>
      <c r="C515" s="8"/>
      <c r="D515" s="8"/>
      <c r="E515" s="8"/>
      <c r="F515" s="8"/>
      <c r="G515" s="8"/>
      <c r="H515" s="8"/>
      <c r="I515" s="8"/>
      <c r="J515" s="8"/>
      <c r="K515" s="8"/>
      <c r="L515" s="8"/>
      <c r="M515" s="8"/>
      <c r="N515" t="s" s="7">
        <v>275</v>
      </c>
      <c r="O515" s="23" cm="1">
        <f t="array" ref="O515">IF(H510&gt;H262,1,IF(H510&lt;H262,-1,0))</f>
        <v>-1</v>
      </c>
    </row>
    <row r="516" ht="13.65" customHeight="1">
      <c r="A516" s="8"/>
      <c r="B516" s="8"/>
      <c r="C516" s="8"/>
      <c r="D516" s="8"/>
      <c r="E516" s="8"/>
      <c r="F516" s="8"/>
      <c r="G516" s="8"/>
      <c r="H516" s="8"/>
      <c r="I516" s="8"/>
      <c r="J516" s="8"/>
      <c r="K516" s="8"/>
      <c r="L516" s="8"/>
      <c r="M516" s="8"/>
      <c r="N516" t="s" s="7">
        <v>528</v>
      </c>
      <c r="O516" s="22" cm="1">
        <f t="array" ref="O516">(H510-H262)/H262</f>
        <v>-0.122296063407195</v>
      </c>
    </row>
    <row r="517" ht="13.65" customHeight="1">
      <c r="A517" s="8"/>
      <c r="B517" s="8"/>
      <c r="C517" s="8"/>
      <c r="D517" s="8"/>
      <c r="E517" s="8"/>
      <c r="F517" s="8"/>
      <c r="G517" s="8"/>
      <c r="H517" s="8"/>
      <c r="I517" s="8"/>
      <c r="J517" s="8"/>
      <c r="K517" s="8"/>
      <c r="L517" s="8"/>
      <c r="M517" s="8"/>
      <c r="N517" s="8"/>
      <c r="O517" s="8"/>
    </row>
    <row r="518" ht="13.65" customHeight="1">
      <c r="A518" t="s" s="7">
        <v>529</v>
      </c>
      <c r="B518" s="8"/>
      <c r="C518" s="8"/>
      <c r="D518" s="8"/>
      <c r="E518" s="8"/>
      <c r="F518" s="8"/>
      <c r="G518" s="8"/>
      <c r="H518" s="8"/>
      <c r="I518" s="8"/>
      <c r="J518" s="8"/>
      <c r="K518" s="8"/>
      <c r="L518" s="8"/>
      <c r="M518" s="8"/>
      <c r="N518" s="8"/>
      <c r="O518" s="8"/>
    </row>
    <row r="519" ht="13.65" customHeight="1">
      <c r="A519" s="9"/>
      <c r="B519" s="9"/>
      <c r="C519" s="9"/>
      <c r="D519" s="9"/>
      <c r="E519" s="9"/>
      <c r="F519" s="9"/>
      <c r="G519" s="9"/>
      <c r="H519" s="9"/>
      <c r="I519" s="9"/>
      <c r="J519" s="9"/>
      <c r="K519" s="9"/>
      <c r="L519" s="9"/>
      <c r="M519" s="9"/>
      <c r="N519" s="9"/>
      <c r="O519" s="8"/>
    </row>
    <row r="520" ht="13.65" customHeight="1">
      <c r="A520" t="s" s="10">
        <v>7</v>
      </c>
      <c r="B520" t="s" s="10">
        <v>8</v>
      </c>
      <c r="C520" t="s" s="10">
        <v>9</v>
      </c>
      <c r="D520" t="s" s="10">
        <v>10</v>
      </c>
      <c r="E520" t="s" s="10">
        <v>11</v>
      </c>
      <c r="F520" t="s" s="10">
        <v>12</v>
      </c>
      <c r="G520" t="s" s="10">
        <v>13</v>
      </c>
      <c r="H520" t="s" s="10">
        <v>14</v>
      </c>
      <c r="I520" t="s" s="10">
        <v>15</v>
      </c>
      <c r="J520" t="s" s="10">
        <v>16</v>
      </c>
      <c r="K520" t="s" s="10">
        <v>17</v>
      </c>
      <c r="L520" t="s" s="10">
        <v>18</v>
      </c>
      <c r="M520" t="s" s="10">
        <v>19</v>
      </c>
      <c r="N520" t="s" s="10">
        <v>20</v>
      </c>
      <c r="O520" t="s" s="11">
        <v>530</v>
      </c>
    </row>
    <row r="521" ht="13.65" customHeight="1">
      <c r="A521" s="12">
        <v>45019</v>
      </c>
      <c r="B521" t="s" s="13">
        <v>22</v>
      </c>
      <c r="C521" s="14">
        <v>2345</v>
      </c>
      <c r="D521" s="14">
        <v>2349</v>
      </c>
      <c r="E521" s="14">
        <v>2315</v>
      </c>
      <c r="F521" s="14">
        <v>2331.05</v>
      </c>
      <c r="G521" s="14">
        <v>2331.05</v>
      </c>
      <c r="H521" s="14">
        <v>2331.45</v>
      </c>
      <c r="I521" s="14">
        <v>2327.86</v>
      </c>
      <c r="J521" s="14">
        <v>2856.15</v>
      </c>
      <c r="K521" s="14">
        <v>2180</v>
      </c>
      <c r="L521" s="15">
        <v>4750238</v>
      </c>
      <c r="M521" t="s" s="13">
        <v>531</v>
      </c>
      <c r="N521" s="15">
        <v>192147</v>
      </c>
      <c r="O521" s="16"/>
    </row>
    <row r="522" ht="13.65" customHeight="1">
      <c r="A522" s="12">
        <v>45021</v>
      </c>
      <c r="B522" t="s" s="13">
        <v>22</v>
      </c>
      <c r="C522" s="14">
        <v>2348</v>
      </c>
      <c r="D522" s="14">
        <v>2348</v>
      </c>
      <c r="E522" s="14">
        <v>2308.55</v>
      </c>
      <c r="F522" s="14">
        <v>2331.45</v>
      </c>
      <c r="G522" s="14">
        <v>2324.1</v>
      </c>
      <c r="H522" s="14">
        <v>2325.85</v>
      </c>
      <c r="I522" s="14">
        <v>2325.64</v>
      </c>
      <c r="J522" s="14">
        <v>2856.15</v>
      </c>
      <c r="K522" s="14">
        <v>2180</v>
      </c>
      <c r="L522" s="15">
        <v>7505339</v>
      </c>
      <c r="M522" t="s" s="13">
        <v>532</v>
      </c>
      <c r="N522" s="15">
        <v>215635</v>
      </c>
      <c r="O522" s="17" cm="1">
        <f t="array" ref="O522">(H522-H521)/H521</f>
        <v>-0.00240193870767119</v>
      </c>
    </row>
    <row r="523" ht="13.65" customHeight="1">
      <c r="A523" s="12">
        <v>45022</v>
      </c>
      <c r="B523" t="s" s="13">
        <v>22</v>
      </c>
      <c r="C523" s="14">
        <v>2318.15</v>
      </c>
      <c r="D523" s="14">
        <v>2354</v>
      </c>
      <c r="E523" s="14">
        <v>2318.15</v>
      </c>
      <c r="F523" s="14">
        <v>2325.85</v>
      </c>
      <c r="G523" s="14">
        <v>2340.15</v>
      </c>
      <c r="H523" s="14">
        <v>2341.45</v>
      </c>
      <c r="I523" s="14">
        <v>2341.09</v>
      </c>
      <c r="J523" s="14">
        <v>2856.15</v>
      </c>
      <c r="K523" s="14">
        <v>2180</v>
      </c>
      <c r="L523" s="15">
        <v>8507771</v>
      </c>
      <c r="M523" t="s" s="13">
        <v>533</v>
      </c>
      <c r="N523" s="15">
        <v>201019</v>
      </c>
      <c r="O523" s="17" cm="1">
        <f t="array" ref="O523">(H523-H522)/H522</f>
        <v>0.00670722531547606</v>
      </c>
    </row>
    <row r="524" ht="13.65" customHeight="1">
      <c r="A524" s="18">
        <v>45026</v>
      </c>
      <c r="B524" t="s" s="13">
        <v>22</v>
      </c>
      <c r="C524" s="14">
        <v>2350</v>
      </c>
      <c r="D524" s="14">
        <v>2350.4</v>
      </c>
      <c r="E524" s="14">
        <v>2321.55</v>
      </c>
      <c r="F524" s="14">
        <v>2341.45</v>
      </c>
      <c r="G524" s="14">
        <v>2324.05</v>
      </c>
      <c r="H524" s="14">
        <v>2324.85</v>
      </c>
      <c r="I524" s="14">
        <v>2337.29</v>
      </c>
      <c r="J524" s="14">
        <v>2856.15</v>
      </c>
      <c r="K524" s="14">
        <v>2180</v>
      </c>
      <c r="L524" s="15">
        <v>5981688</v>
      </c>
      <c r="M524" t="s" s="13">
        <v>534</v>
      </c>
      <c r="N524" s="15">
        <v>146678</v>
      </c>
      <c r="O524" s="17" cm="1">
        <f t="array" ref="O524">(H524-H523)/H523</f>
        <v>-0.00708962395097055</v>
      </c>
    </row>
    <row r="525" ht="13.65" customHeight="1">
      <c r="A525" s="18">
        <v>45027</v>
      </c>
      <c r="B525" t="s" s="13">
        <v>22</v>
      </c>
      <c r="C525" s="14">
        <v>2334</v>
      </c>
      <c r="D525" s="14">
        <v>2341</v>
      </c>
      <c r="E525" s="14">
        <v>2324.05</v>
      </c>
      <c r="F525" s="14">
        <v>2324.85</v>
      </c>
      <c r="G525" s="14">
        <v>2334.1</v>
      </c>
      <c r="H525" s="14">
        <v>2336.35</v>
      </c>
      <c r="I525" s="14">
        <v>2333.1</v>
      </c>
      <c r="J525" s="14">
        <v>2856.15</v>
      </c>
      <c r="K525" s="14">
        <v>2180</v>
      </c>
      <c r="L525" s="15">
        <v>4865301</v>
      </c>
      <c r="M525" t="s" s="13">
        <v>535</v>
      </c>
      <c r="N525" s="15">
        <v>151084</v>
      </c>
      <c r="O525" s="17" cm="1">
        <f t="array" ref="O525">(H525-H524)/H524</f>
        <v>0.00494655569176506</v>
      </c>
    </row>
    <row r="526" ht="13.65" customHeight="1">
      <c r="A526" s="18">
        <v>45028</v>
      </c>
      <c r="B526" t="s" s="13">
        <v>22</v>
      </c>
      <c r="C526" s="14">
        <v>2336.35</v>
      </c>
      <c r="D526" s="14">
        <v>2367.8</v>
      </c>
      <c r="E526" s="14">
        <v>2330.05</v>
      </c>
      <c r="F526" s="14">
        <v>2336.35</v>
      </c>
      <c r="G526" s="14">
        <v>2346.7</v>
      </c>
      <c r="H526" s="14">
        <v>2346.65</v>
      </c>
      <c r="I526" s="14">
        <v>2347.57</v>
      </c>
      <c r="J526" s="14">
        <v>2856.15</v>
      </c>
      <c r="K526" s="14">
        <v>2180</v>
      </c>
      <c r="L526" s="15">
        <v>8389646</v>
      </c>
      <c r="M526" t="s" s="13">
        <v>536</v>
      </c>
      <c r="N526" s="15">
        <v>187546</v>
      </c>
      <c r="O526" s="17" cm="1">
        <f t="array" ref="O526">(H526-H525)/H525</f>
        <v>0.00440858604233099</v>
      </c>
    </row>
    <row r="527" ht="13.65" customHeight="1">
      <c r="A527" s="18">
        <v>45029</v>
      </c>
      <c r="B527" t="s" s="13">
        <v>22</v>
      </c>
      <c r="C527" s="14">
        <v>2353</v>
      </c>
      <c r="D527" s="14">
        <v>2365.8</v>
      </c>
      <c r="E527" s="14">
        <v>2342</v>
      </c>
      <c r="F527" s="14">
        <v>2346.65</v>
      </c>
      <c r="G527" s="14">
        <v>2356</v>
      </c>
      <c r="H527" s="14">
        <v>2355.5</v>
      </c>
      <c r="I527" s="14">
        <v>2354.04</v>
      </c>
      <c r="J527" s="14">
        <v>2856.15</v>
      </c>
      <c r="K527" s="14">
        <v>2180</v>
      </c>
      <c r="L527" s="15">
        <v>5712541</v>
      </c>
      <c r="M527" t="s" s="13">
        <v>537</v>
      </c>
      <c r="N527" s="15">
        <v>173375</v>
      </c>
      <c r="O527" s="17" cm="1">
        <f t="array" ref="O527">(H527-H526)/H526</f>
        <v>0.00377133360322161</v>
      </c>
    </row>
    <row r="528" ht="13.65" customHeight="1">
      <c r="A528" s="18">
        <v>45033</v>
      </c>
      <c r="B528" t="s" s="13">
        <v>22</v>
      </c>
      <c r="C528" s="14">
        <v>2424.95</v>
      </c>
      <c r="D528" s="14">
        <v>2424.95</v>
      </c>
      <c r="E528" s="14">
        <v>2349.05</v>
      </c>
      <c r="F528" s="14">
        <v>2355.5</v>
      </c>
      <c r="G528" s="14">
        <v>2367.35</v>
      </c>
      <c r="H528" s="14">
        <v>2367.45</v>
      </c>
      <c r="I528" s="14">
        <v>2371.58</v>
      </c>
      <c r="J528" s="14">
        <v>2856.15</v>
      </c>
      <c r="K528" s="14">
        <v>2180</v>
      </c>
      <c r="L528" s="15">
        <v>8274452</v>
      </c>
      <c r="M528" t="s" s="13">
        <v>538</v>
      </c>
      <c r="N528" s="15">
        <v>198022</v>
      </c>
      <c r="O528" s="17" cm="1">
        <f t="array" ref="O528">(H528-H527)/H527</f>
        <v>0.00507323285926555</v>
      </c>
    </row>
    <row r="529" ht="13.65" customHeight="1">
      <c r="A529" s="18">
        <v>45034</v>
      </c>
      <c r="B529" t="s" s="13">
        <v>22</v>
      </c>
      <c r="C529" s="14">
        <v>2377</v>
      </c>
      <c r="D529" s="14">
        <v>2377</v>
      </c>
      <c r="E529" s="14">
        <v>2326</v>
      </c>
      <c r="F529" s="14">
        <v>2367.45</v>
      </c>
      <c r="G529" s="14">
        <v>2340.4</v>
      </c>
      <c r="H529" s="14">
        <v>2340.35</v>
      </c>
      <c r="I529" s="14">
        <v>2341.54</v>
      </c>
      <c r="J529" s="14">
        <v>2856.15</v>
      </c>
      <c r="K529" s="14">
        <v>2180</v>
      </c>
      <c r="L529" s="15">
        <v>4802172</v>
      </c>
      <c r="M529" t="s" s="13">
        <v>539</v>
      </c>
      <c r="N529" s="15">
        <v>159024</v>
      </c>
      <c r="O529" s="17" cm="1">
        <f t="array" ref="O529">(H529-H528)/H528</f>
        <v>-0.0114469154575598</v>
      </c>
    </row>
    <row r="530" ht="13.65" customHeight="1">
      <c r="A530" s="18">
        <v>45035</v>
      </c>
      <c r="B530" t="s" s="13">
        <v>22</v>
      </c>
      <c r="C530" s="14">
        <v>2339.05</v>
      </c>
      <c r="D530" s="14">
        <v>2357.9</v>
      </c>
      <c r="E530" s="14">
        <v>2332.2</v>
      </c>
      <c r="F530" s="14">
        <v>2340.35</v>
      </c>
      <c r="G530" s="14">
        <v>2348.8</v>
      </c>
      <c r="H530" s="14">
        <v>2352</v>
      </c>
      <c r="I530" s="14">
        <v>2347.73</v>
      </c>
      <c r="J530" s="14">
        <v>2856.15</v>
      </c>
      <c r="K530" s="14">
        <v>2180</v>
      </c>
      <c r="L530" s="15">
        <v>5664207</v>
      </c>
      <c r="M530" t="s" s="13">
        <v>540</v>
      </c>
      <c r="N530" s="15">
        <v>146728</v>
      </c>
      <c r="O530" s="17" cm="1">
        <f t="array" ref="O530">(H530-H529)/H529</f>
        <v>0.0049778879227466</v>
      </c>
    </row>
    <row r="531" ht="13.65" customHeight="1">
      <c r="A531" s="18">
        <v>45036</v>
      </c>
      <c r="B531" t="s" s="13">
        <v>22</v>
      </c>
      <c r="C531" s="14">
        <v>2354.1</v>
      </c>
      <c r="D531" s="14">
        <v>2359</v>
      </c>
      <c r="E531" s="14">
        <v>2332.1</v>
      </c>
      <c r="F531" s="14">
        <v>2352</v>
      </c>
      <c r="G531" s="14">
        <v>2345</v>
      </c>
      <c r="H531" s="14">
        <v>2346.05</v>
      </c>
      <c r="I531" s="14">
        <v>2342.63</v>
      </c>
      <c r="J531" s="14">
        <v>2856.15</v>
      </c>
      <c r="K531" s="14">
        <v>2180</v>
      </c>
      <c r="L531" s="15">
        <v>3233882</v>
      </c>
      <c r="M531" t="s" s="13">
        <v>541</v>
      </c>
      <c r="N531" s="15">
        <v>142307</v>
      </c>
      <c r="O531" s="17" cm="1">
        <f t="array" ref="O531">(H531-H530)/H530</f>
        <v>-0.0025297619047619</v>
      </c>
    </row>
    <row r="532" ht="13.65" customHeight="1">
      <c r="A532" s="18">
        <v>45037</v>
      </c>
      <c r="B532" t="s" s="13">
        <v>22</v>
      </c>
      <c r="C532" s="14">
        <v>2350.65</v>
      </c>
      <c r="D532" s="14">
        <v>2361</v>
      </c>
      <c r="E532" s="14">
        <v>2336.4</v>
      </c>
      <c r="F532" s="14">
        <v>2346.05</v>
      </c>
      <c r="G532" s="14">
        <v>2351</v>
      </c>
      <c r="H532" s="14">
        <v>2349</v>
      </c>
      <c r="I532" s="14">
        <v>2348.7</v>
      </c>
      <c r="J532" s="14">
        <v>2856.15</v>
      </c>
      <c r="K532" s="14">
        <v>2180</v>
      </c>
      <c r="L532" s="15">
        <v>3529236</v>
      </c>
      <c r="M532" t="s" s="13">
        <v>542</v>
      </c>
      <c r="N532" s="15">
        <v>151695</v>
      </c>
      <c r="O532" s="17" cm="1">
        <f t="array" ref="O532">(H532-H531)/H531</f>
        <v>0.00125743270603781</v>
      </c>
    </row>
    <row r="533" ht="13.65" customHeight="1">
      <c r="A533" s="18">
        <v>45040</v>
      </c>
      <c r="B533" t="s" s="13">
        <v>22</v>
      </c>
      <c r="C533" s="14">
        <v>2375</v>
      </c>
      <c r="D533" s="14">
        <v>2380.9</v>
      </c>
      <c r="E533" s="14">
        <v>2348</v>
      </c>
      <c r="F533" s="14">
        <v>2349</v>
      </c>
      <c r="G533" s="14">
        <v>2360.5</v>
      </c>
      <c r="H533" s="14">
        <v>2358</v>
      </c>
      <c r="I533" s="14">
        <v>2360.7</v>
      </c>
      <c r="J533" s="14">
        <v>2856.15</v>
      </c>
      <c r="K533" s="14">
        <v>2180</v>
      </c>
      <c r="L533" s="15">
        <v>5970048</v>
      </c>
      <c r="M533" t="s" s="13">
        <v>543</v>
      </c>
      <c r="N533" s="15">
        <v>217965</v>
      </c>
      <c r="O533" s="17" cm="1">
        <f t="array" ref="O533">(H533-H532)/H532</f>
        <v>0.00383141762452107</v>
      </c>
    </row>
    <row r="534" ht="13.65" customHeight="1">
      <c r="A534" s="18">
        <v>45041</v>
      </c>
      <c r="B534" t="s" s="13">
        <v>22</v>
      </c>
      <c r="C534" s="14">
        <v>2366</v>
      </c>
      <c r="D534" s="14">
        <v>2380.6</v>
      </c>
      <c r="E534" s="14">
        <v>2350.5</v>
      </c>
      <c r="F534" s="14">
        <v>2358</v>
      </c>
      <c r="G534" s="14">
        <v>2373.45</v>
      </c>
      <c r="H534" s="14">
        <v>2376.05</v>
      </c>
      <c r="I534" s="14">
        <v>2365.75</v>
      </c>
      <c r="J534" s="14">
        <v>2856.15</v>
      </c>
      <c r="K534" s="14">
        <v>2180</v>
      </c>
      <c r="L534" s="15">
        <v>4262471</v>
      </c>
      <c r="M534" t="s" s="13">
        <v>544</v>
      </c>
      <c r="N534" s="15">
        <v>151700</v>
      </c>
      <c r="O534" s="17" cm="1">
        <f t="array" ref="O534">(H534-H533)/H533</f>
        <v>0.00765479219677693</v>
      </c>
    </row>
    <row r="535" ht="13.65" customHeight="1">
      <c r="A535" s="18">
        <v>45042</v>
      </c>
      <c r="B535" t="s" s="13">
        <v>22</v>
      </c>
      <c r="C535" s="14">
        <v>2379</v>
      </c>
      <c r="D535" s="14">
        <v>2386.1</v>
      </c>
      <c r="E535" s="14">
        <v>2354.05</v>
      </c>
      <c r="F535" s="14">
        <v>2376.05</v>
      </c>
      <c r="G535" s="14">
        <v>2361.9</v>
      </c>
      <c r="H535" s="14">
        <v>2362.1</v>
      </c>
      <c r="I535" s="14">
        <v>2363.34</v>
      </c>
      <c r="J535" s="14">
        <v>2856.15</v>
      </c>
      <c r="K535" s="14">
        <v>2180</v>
      </c>
      <c r="L535" s="15">
        <v>3977129</v>
      </c>
      <c r="M535" t="s" s="13">
        <v>545</v>
      </c>
      <c r="N535" s="15">
        <v>159924</v>
      </c>
      <c r="O535" s="17" cm="1">
        <f t="array" ref="O535">(H535-H534)/H534</f>
        <v>-0.00587108857136845</v>
      </c>
    </row>
    <row r="536" ht="13.65" customHeight="1">
      <c r="A536" s="18">
        <v>45043</v>
      </c>
      <c r="B536" t="s" s="13">
        <v>22</v>
      </c>
      <c r="C536" s="14">
        <v>2375</v>
      </c>
      <c r="D536" s="14">
        <v>2384</v>
      </c>
      <c r="E536" s="14">
        <v>2364</v>
      </c>
      <c r="F536" s="14">
        <v>2362.1</v>
      </c>
      <c r="G536" s="14">
        <v>2381.7</v>
      </c>
      <c r="H536" s="14">
        <v>2377.05</v>
      </c>
      <c r="I536" s="14">
        <v>2373.05</v>
      </c>
      <c r="J536" s="14">
        <v>2856.15</v>
      </c>
      <c r="K536" s="14">
        <v>2180</v>
      </c>
      <c r="L536" s="15">
        <v>4230627</v>
      </c>
      <c r="M536" t="s" s="13">
        <v>546</v>
      </c>
      <c r="N536" s="15">
        <v>151491</v>
      </c>
      <c r="O536" s="17" cm="1">
        <f t="array" ref="O536">(H536-H535)/H535</f>
        <v>0.00632911392405063</v>
      </c>
    </row>
    <row r="537" ht="13.65" customHeight="1">
      <c r="A537" s="18">
        <v>45044</v>
      </c>
      <c r="B537" t="s" s="13">
        <v>22</v>
      </c>
      <c r="C537" s="14">
        <v>2382</v>
      </c>
      <c r="D537" s="14">
        <v>2423.9</v>
      </c>
      <c r="E537" s="14">
        <v>2381.75</v>
      </c>
      <c r="F537" s="14">
        <v>2377.05</v>
      </c>
      <c r="G537" s="14">
        <v>2419.9</v>
      </c>
      <c r="H537" s="14">
        <v>2420.5</v>
      </c>
      <c r="I537" s="14">
        <v>2409.46</v>
      </c>
      <c r="J537" s="14">
        <v>2856.15</v>
      </c>
      <c r="K537" s="14">
        <v>2180</v>
      </c>
      <c r="L537" s="15">
        <v>7183342</v>
      </c>
      <c r="M537" t="s" s="13">
        <v>547</v>
      </c>
      <c r="N537" s="15">
        <v>226856</v>
      </c>
      <c r="O537" s="17" cm="1">
        <f t="array" ref="O537">(H537-H536)/H536</f>
        <v>0.018278959214152</v>
      </c>
    </row>
    <row r="538" ht="13.65" customHeight="1">
      <c r="A538" s="19">
        <v>45048</v>
      </c>
      <c r="B538" t="s" s="13">
        <v>22</v>
      </c>
      <c r="C538" s="14">
        <v>2436.2</v>
      </c>
      <c r="D538" s="14">
        <v>2445.8</v>
      </c>
      <c r="E538" s="14">
        <v>2428.1</v>
      </c>
      <c r="F538" s="14">
        <v>2420.5</v>
      </c>
      <c r="G538" s="14">
        <v>2440.2</v>
      </c>
      <c r="H538" s="14">
        <v>2441.05</v>
      </c>
      <c r="I538" s="14">
        <v>2438.83</v>
      </c>
      <c r="J538" s="14">
        <v>2817.35</v>
      </c>
      <c r="K538" s="14">
        <v>2180</v>
      </c>
      <c r="L538" s="15">
        <v>5991101</v>
      </c>
      <c r="M538" t="s" s="13">
        <v>548</v>
      </c>
      <c r="N538" s="15">
        <v>213010</v>
      </c>
      <c r="O538" s="17" cm="1">
        <f t="array" ref="O538">(H538-H537)/H537</f>
        <v>0.00848998140879983</v>
      </c>
    </row>
    <row r="539" ht="13.65" customHeight="1">
      <c r="A539" s="19">
        <v>45049</v>
      </c>
      <c r="B539" t="s" s="13">
        <v>22</v>
      </c>
      <c r="C539" s="14">
        <v>2445</v>
      </c>
      <c r="D539" s="14">
        <v>2445</v>
      </c>
      <c r="E539" s="14">
        <v>2413.05</v>
      </c>
      <c r="F539" s="14">
        <v>2441.05</v>
      </c>
      <c r="G539" s="14">
        <v>2418</v>
      </c>
      <c r="H539" s="14">
        <v>2420.1</v>
      </c>
      <c r="I539" s="14">
        <v>2423.03</v>
      </c>
      <c r="J539" s="14">
        <v>2817.35</v>
      </c>
      <c r="K539" s="14">
        <v>2180</v>
      </c>
      <c r="L539" s="15">
        <v>3259053</v>
      </c>
      <c r="M539" t="s" s="13">
        <v>549</v>
      </c>
      <c r="N539" s="15">
        <v>122949</v>
      </c>
      <c r="O539" s="17" cm="1">
        <f t="array" ref="O539">(H539-H538)/H538</f>
        <v>-0.00858237233977182</v>
      </c>
    </row>
    <row r="540" ht="13.65" customHeight="1">
      <c r="A540" s="19">
        <v>45050</v>
      </c>
      <c r="B540" t="s" s="13">
        <v>22</v>
      </c>
      <c r="C540" s="14">
        <v>2421.15</v>
      </c>
      <c r="D540" s="14">
        <v>2452.85</v>
      </c>
      <c r="E540" s="14">
        <v>2414.6</v>
      </c>
      <c r="F540" s="14">
        <v>2420.1</v>
      </c>
      <c r="G540" s="14">
        <v>2445.95</v>
      </c>
      <c r="H540" s="14">
        <v>2448</v>
      </c>
      <c r="I540" s="14">
        <v>2438.2</v>
      </c>
      <c r="J540" s="14">
        <v>2817.35</v>
      </c>
      <c r="K540" s="14">
        <v>2180</v>
      </c>
      <c r="L540" s="15">
        <v>3985159</v>
      </c>
      <c r="M540" t="s" s="13">
        <v>550</v>
      </c>
      <c r="N540" s="15">
        <v>148384</v>
      </c>
      <c r="O540" s="17" cm="1">
        <f t="array" ref="O540">(H540-H539)/H539</f>
        <v>0.0115284492376348</v>
      </c>
    </row>
    <row r="541" ht="13.65" customHeight="1">
      <c r="A541" s="19">
        <v>45051</v>
      </c>
      <c r="B541" t="s" s="13">
        <v>22</v>
      </c>
      <c r="C541" s="14">
        <v>2441</v>
      </c>
      <c r="D541" s="14">
        <v>2461.35</v>
      </c>
      <c r="E541" s="14">
        <v>2436</v>
      </c>
      <c r="F541" s="14">
        <v>2448</v>
      </c>
      <c r="G541" s="14">
        <v>2441</v>
      </c>
      <c r="H541" s="14">
        <v>2441.75</v>
      </c>
      <c r="I541" s="14">
        <v>2447.86</v>
      </c>
      <c r="J541" s="14">
        <v>2817.35</v>
      </c>
      <c r="K541" s="14">
        <v>2180</v>
      </c>
      <c r="L541" s="15">
        <v>4036548</v>
      </c>
      <c r="M541" t="s" s="13">
        <v>551</v>
      </c>
      <c r="N541" s="15">
        <v>171662</v>
      </c>
      <c r="O541" s="17" cm="1">
        <f t="array" ref="O541">(H541-H540)/H540</f>
        <v>-0.0025531045751634</v>
      </c>
    </row>
    <row r="542" ht="13.65" customHeight="1">
      <c r="A542" s="19">
        <v>45054</v>
      </c>
      <c r="B542" t="s" s="13">
        <v>22</v>
      </c>
      <c r="C542" s="14">
        <v>2450</v>
      </c>
      <c r="D542" s="14">
        <v>2483.65</v>
      </c>
      <c r="E542" s="14">
        <v>2444.15</v>
      </c>
      <c r="F542" s="14">
        <v>2441.75</v>
      </c>
      <c r="G542" s="14">
        <v>2471</v>
      </c>
      <c r="H542" s="14">
        <v>2471.9</v>
      </c>
      <c r="I542" s="14">
        <v>2468.41</v>
      </c>
      <c r="J542" s="14">
        <v>2817.35</v>
      </c>
      <c r="K542" s="14">
        <v>2180</v>
      </c>
      <c r="L542" s="15">
        <v>4224469</v>
      </c>
      <c r="M542" t="s" s="13">
        <v>552</v>
      </c>
      <c r="N542" s="15">
        <v>169304</v>
      </c>
      <c r="O542" s="17" cm="1">
        <f t="array" ref="O542">(H542-H541)/H541</f>
        <v>0.0123477014436367</v>
      </c>
    </row>
    <row r="543" ht="13.65" customHeight="1">
      <c r="A543" s="19">
        <v>45055</v>
      </c>
      <c r="B543" t="s" s="13">
        <v>22</v>
      </c>
      <c r="C543" s="14">
        <v>2475</v>
      </c>
      <c r="D543" s="14">
        <v>2486.8</v>
      </c>
      <c r="E543" s="14">
        <v>2463.25</v>
      </c>
      <c r="F543" s="14">
        <v>2471.9</v>
      </c>
      <c r="G543" s="14">
        <v>2476.7</v>
      </c>
      <c r="H543" s="14">
        <v>2479.55</v>
      </c>
      <c r="I543" s="14">
        <v>2476.94</v>
      </c>
      <c r="J543" s="14">
        <v>2817.35</v>
      </c>
      <c r="K543" s="14">
        <v>2180</v>
      </c>
      <c r="L543" s="15">
        <v>2983468</v>
      </c>
      <c r="M543" t="s" s="13">
        <v>553</v>
      </c>
      <c r="N543" s="15">
        <v>167950</v>
      </c>
      <c r="O543" s="17" cm="1">
        <f t="array" ref="O543">(H543-H542)/H542</f>
        <v>0.0030947853877584</v>
      </c>
    </row>
    <row r="544" ht="13.65" customHeight="1">
      <c r="A544" s="20">
        <v>45056</v>
      </c>
      <c r="B544" t="s" s="13">
        <v>22</v>
      </c>
      <c r="C544" s="14">
        <v>2490</v>
      </c>
      <c r="D544" s="14">
        <v>2499.85</v>
      </c>
      <c r="E544" s="14">
        <v>2481.2</v>
      </c>
      <c r="F544" s="14">
        <v>2479.55</v>
      </c>
      <c r="G544" s="14">
        <v>2492</v>
      </c>
      <c r="H544" s="14">
        <v>2496.6</v>
      </c>
      <c r="I544" s="14">
        <v>2493.65</v>
      </c>
      <c r="J544" s="14">
        <v>2817.35</v>
      </c>
      <c r="K544" s="14">
        <v>2180</v>
      </c>
      <c r="L544" s="15">
        <v>5017544</v>
      </c>
      <c r="M544" t="s" s="13">
        <v>554</v>
      </c>
      <c r="N544" s="15">
        <v>147588</v>
      </c>
      <c r="O544" s="17" cm="1">
        <f t="array" ref="O544">(H544-H543)/H543</f>
        <v>0.00687624770623702</v>
      </c>
    </row>
    <row r="545" ht="13.65" customHeight="1">
      <c r="A545" s="20">
        <v>45057</v>
      </c>
      <c r="B545" t="s" s="13">
        <v>22</v>
      </c>
      <c r="C545" s="14">
        <v>2498.95</v>
      </c>
      <c r="D545" s="14">
        <v>2509.5</v>
      </c>
      <c r="E545" s="14">
        <v>2476.55</v>
      </c>
      <c r="F545" s="14">
        <v>2496.6</v>
      </c>
      <c r="G545" s="14">
        <v>2482</v>
      </c>
      <c r="H545" s="14">
        <v>2480.3</v>
      </c>
      <c r="I545" s="14">
        <v>2494.02</v>
      </c>
      <c r="J545" s="14">
        <v>2817.35</v>
      </c>
      <c r="K545" s="14">
        <v>2180</v>
      </c>
      <c r="L545" s="15">
        <v>4872451</v>
      </c>
      <c r="M545" t="s" s="13">
        <v>555</v>
      </c>
      <c r="N545" s="15">
        <v>190308</v>
      </c>
      <c r="O545" s="17" cm="1">
        <f t="array" ref="O545">(H545-H544)/H544</f>
        <v>-0.00652887927581511</v>
      </c>
    </row>
    <row r="546" ht="13.65" customHeight="1">
      <c r="A546" s="20">
        <v>45058</v>
      </c>
      <c r="B546" t="s" s="13">
        <v>22</v>
      </c>
      <c r="C546" s="14">
        <v>2469.8</v>
      </c>
      <c r="D546" s="14">
        <v>2487.4</v>
      </c>
      <c r="E546" s="14">
        <v>2456.5</v>
      </c>
      <c r="F546" s="14">
        <v>2480.3</v>
      </c>
      <c r="G546" s="14">
        <v>2481.9</v>
      </c>
      <c r="H546" s="14">
        <v>2484.35</v>
      </c>
      <c r="I546" s="14">
        <v>2473.5</v>
      </c>
      <c r="J546" s="14">
        <v>2817.35</v>
      </c>
      <c r="K546" s="14">
        <v>2180</v>
      </c>
      <c r="L546" s="15">
        <v>3209889</v>
      </c>
      <c r="M546" t="s" s="13">
        <v>556</v>
      </c>
      <c r="N546" s="15">
        <v>116311</v>
      </c>
      <c r="O546" s="17" cm="1">
        <f t="array" ref="O546">(H546-H545)/H545</f>
        <v>0.00163286699189614</v>
      </c>
    </row>
    <row r="547" ht="13.65" customHeight="1">
      <c r="A547" s="20">
        <v>45061</v>
      </c>
      <c r="B547" t="s" s="13">
        <v>22</v>
      </c>
      <c r="C547" s="14">
        <v>2489.9</v>
      </c>
      <c r="D547" s="14">
        <v>2504.55</v>
      </c>
      <c r="E547" s="14">
        <v>2473.15</v>
      </c>
      <c r="F547" s="14">
        <v>2484.35</v>
      </c>
      <c r="G547" s="14">
        <v>2484.75</v>
      </c>
      <c r="H547" s="14">
        <v>2489.25</v>
      </c>
      <c r="I547" s="14">
        <v>2492.24</v>
      </c>
      <c r="J547" s="14">
        <v>2817.35</v>
      </c>
      <c r="K547" s="14">
        <v>2180</v>
      </c>
      <c r="L547" s="15">
        <v>3153587</v>
      </c>
      <c r="M547" t="s" s="13">
        <v>557</v>
      </c>
      <c r="N547" s="15">
        <v>139761</v>
      </c>
      <c r="O547" s="17" cm="1">
        <f t="array" ref="O547">(H547-H546)/H546</f>
        <v>0.00197234689154105</v>
      </c>
    </row>
    <row r="548" ht="13.65" customHeight="1">
      <c r="A548" s="20">
        <v>45062</v>
      </c>
      <c r="B548" t="s" s="13">
        <v>22</v>
      </c>
      <c r="C548" s="14">
        <v>2494</v>
      </c>
      <c r="D548" s="14">
        <v>2499.6</v>
      </c>
      <c r="E548" s="14">
        <v>2450.15</v>
      </c>
      <c r="F548" s="14">
        <v>2489.25</v>
      </c>
      <c r="G548" s="14">
        <v>2454.55</v>
      </c>
      <c r="H548" s="14">
        <v>2453.8</v>
      </c>
      <c r="I548" s="14">
        <v>2474.17</v>
      </c>
      <c r="J548" s="14">
        <v>2817.35</v>
      </c>
      <c r="K548" s="14">
        <v>2180</v>
      </c>
      <c r="L548" s="15">
        <v>4023000</v>
      </c>
      <c r="M548" t="s" s="13">
        <v>558</v>
      </c>
      <c r="N548" s="15">
        <v>202246</v>
      </c>
      <c r="O548" s="17" cm="1">
        <f t="array" ref="O548">(H548-H547)/H547</f>
        <v>-0.0142412373204781</v>
      </c>
    </row>
    <row r="549" ht="13.65" customHeight="1">
      <c r="A549" s="20">
        <v>45063</v>
      </c>
      <c r="B549" t="s" s="13">
        <v>22</v>
      </c>
      <c r="C549" s="14">
        <v>2463</v>
      </c>
      <c r="D549" s="14">
        <v>2465</v>
      </c>
      <c r="E549" s="14">
        <v>2429</v>
      </c>
      <c r="F549" s="14">
        <v>2453.8</v>
      </c>
      <c r="G549" s="14">
        <v>2442</v>
      </c>
      <c r="H549" s="14">
        <v>2439.3</v>
      </c>
      <c r="I549" s="14">
        <v>2444.63</v>
      </c>
      <c r="J549" s="14">
        <v>2817.35</v>
      </c>
      <c r="K549" s="14">
        <v>2180</v>
      </c>
      <c r="L549" s="15">
        <v>4060722</v>
      </c>
      <c r="M549" t="s" s="13">
        <v>559</v>
      </c>
      <c r="N549" s="15">
        <v>155508</v>
      </c>
      <c r="O549" s="17" cm="1">
        <f t="array" ref="O549">(H549-H548)/H548</f>
        <v>-0.00590920205395713</v>
      </c>
    </row>
    <row r="550" ht="13.65" customHeight="1">
      <c r="A550" s="20">
        <v>45064</v>
      </c>
      <c r="B550" t="s" s="13">
        <v>22</v>
      </c>
      <c r="C550" s="14">
        <v>2449.55</v>
      </c>
      <c r="D550" s="14">
        <v>2457</v>
      </c>
      <c r="E550" s="14">
        <v>2427.15</v>
      </c>
      <c r="F550" s="14">
        <v>2439.3</v>
      </c>
      <c r="G550" s="14">
        <v>2433</v>
      </c>
      <c r="H550" s="14">
        <v>2434.05</v>
      </c>
      <c r="I550" s="14">
        <v>2443.67</v>
      </c>
      <c r="J550" s="14">
        <v>2817.35</v>
      </c>
      <c r="K550" s="14">
        <v>2180</v>
      </c>
      <c r="L550" s="15">
        <v>4857531</v>
      </c>
      <c r="M550" t="s" s="13">
        <v>560</v>
      </c>
      <c r="N550" s="15">
        <v>145659</v>
      </c>
      <c r="O550" s="17" cm="1">
        <f t="array" ref="O550">(H550-H549)/H549</f>
        <v>-0.00215225679498217</v>
      </c>
    </row>
    <row r="551" ht="13.65" customHeight="1">
      <c r="A551" s="20">
        <v>45065</v>
      </c>
      <c r="B551" t="s" s="13">
        <v>22</v>
      </c>
      <c r="C551" s="14">
        <v>2434.05</v>
      </c>
      <c r="D551" s="14">
        <v>2445.95</v>
      </c>
      <c r="E551" s="14">
        <v>2418.85</v>
      </c>
      <c r="F551" s="14">
        <v>2434.05</v>
      </c>
      <c r="G551" s="14">
        <v>2444</v>
      </c>
      <c r="H551" s="14">
        <v>2441.95</v>
      </c>
      <c r="I551" s="14">
        <v>2432.71</v>
      </c>
      <c r="J551" s="14">
        <v>2817.35</v>
      </c>
      <c r="K551" s="14">
        <v>2180</v>
      </c>
      <c r="L551" s="15">
        <v>3715280</v>
      </c>
      <c r="M551" t="s" s="13">
        <v>561</v>
      </c>
      <c r="N551" s="15">
        <v>118264</v>
      </c>
      <c r="O551" s="17" cm="1">
        <f t="array" ref="O551">(H551-H550)/H550</f>
        <v>0.00324561944084961</v>
      </c>
    </row>
    <row r="552" ht="13.65" customHeight="1">
      <c r="A552" s="20">
        <v>45068</v>
      </c>
      <c r="B552" t="s" s="13">
        <v>22</v>
      </c>
      <c r="C552" s="14">
        <v>2435</v>
      </c>
      <c r="D552" s="14">
        <v>2466</v>
      </c>
      <c r="E552" s="14">
        <v>2432.35</v>
      </c>
      <c r="F552" s="14">
        <v>2441.95</v>
      </c>
      <c r="G552" s="14">
        <v>2454.5</v>
      </c>
      <c r="H552" s="14">
        <v>2455</v>
      </c>
      <c r="I552" s="14">
        <v>2455.77</v>
      </c>
      <c r="J552" s="14">
        <v>2817.35</v>
      </c>
      <c r="K552" s="14">
        <v>2180</v>
      </c>
      <c r="L552" s="15">
        <v>3431208</v>
      </c>
      <c r="M552" t="s" s="13">
        <v>562</v>
      </c>
      <c r="N552" s="15">
        <v>122501</v>
      </c>
      <c r="O552" s="17" cm="1">
        <f t="array" ref="O552">(H552-H551)/H551</f>
        <v>0.00534408976432769</v>
      </c>
    </row>
    <row r="553" ht="13.65" customHeight="1">
      <c r="A553" s="20">
        <v>45069</v>
      </c>
      <c r="B553" t="s" s="13">
        <v>22</v>
      </c>
      <c r="C553" s="14">
        <v>2460.65</v>
      </c>
      <c r="D553" s="14">
        <v>2468</v>
      </c>
      <c r="E553" s="14">
        <v>2451.45</v>
      </c>
      <c r="F553" s="14">
        <v>2455</v>
      </c>
      <c r="G553" s="14">
        <v>2453</v>
      </c>
      <c r="H553" s="14">
        <v>2454.55</v>
      </c>
      <c r="I553" s="14">
        <v>2460.13</v>
      </c>
      <c r="J553" s="14">
        <v>2817.35</v>
      </c>
      <c r="K553" s="14">
        <v>2180</v>
      </c>
      <c r="L553" s="15">
        <v>2811473</v>
      </c>
      <c r="M553" t="s" s="13">
        <v>563</v>
      </c>
      <c r="N553" s="15">
        <v>121065</v>
      </c>
      <c r="O553" s="17" cm="1">
        <f t="array" ref="O553">(H553-H552)/H552</f>
        <v>-0.000183299389002037</v>
      </c>
    </row>
    <row r="554" ht="13.65" customHeight="1">
      <c r="A554" s="20">
        <v>45070</v>
      </c>
      <c r="B554" t="s" s="13">
        <v>22</v>
      </c>
      <c r="C554" s="14">
        <v>2445.9</v>
      </c>
      <c r="D554" s="14">
        <v>2464</v>
      </c>
      <c r="E554" s="14">
        <v>2433.45</v>
      </c>
      <c r="F554" s="14">
        <v>2454.55</v>
      </c>
      <c r="G554" s="14">
        <v>2441</v>
      </c>
      <c r="H554" s="14">
        <v>2440.25</v>
      </c>
      <c r="I554" s="14">
        <v>2447.77</v>
      </c>
      <c r="J554" s="14">
        <v>2817.35</v>
      </c>
      <c r="K554" s="14">
        <v>2180</v>
      </c>
      <c r="L554" s="15">
        <v>3743804</v>
      </c>
      <c r="M554" t="s" s="13">
        <v>564</v>
      </c>
      <c r="N554" s="15">
        <v>132191</v>
      </c>
      <c r="O554" s="17" cm="1">
        <f t="array" ref="O554">(H554-H553)/H553</f>
        <v>-0.00582591513719419</v>
      </c>
    </row>
    <row r="555" ht="13.65" customHeight="1">
      <c r="A555" s="20">
        <v>45071</v>
      </c>
      <c r="B555" t="s" s="13">
        <v>22</v>
      </c>
      <c r="C555" s="14">
        <v>2433.9</v>
      </c>
      <c r="D555" s="14">
        <v>2449</v>
      </c>
      <c r="E555" s="14">
        <v>2416.05</v>
      </c>
      <c r="F555" s="14">
        <v>2440.25</v>
      </c>
      <c r="G555" s="14">
        <v>2444.85</v>
      </c>
      <c r="H555" s="14">
        <v>2439.95</v>
      </c>
      <c r="I555" s="14">
        <v>2430.14</v>
      </c>
      <c r="J555" s="14">
        <v>2817.35</v>
      </c>
      <c r="K555" s="14">
        <v>2180</v>
      </c>
      <c r="L555" s="15">
        <v>5301647</v>
      </c>
      <c r="M555" t="s" s="13">
        <v>565</v>
      </c>
      <c r="N555" s="15">
        <v>136521</v>
      </c>
      <c r="O555" s="17" cm="1">
        <f t="array" ref="O555">(H555-H554)/H554</f>
        <v>-0.00012293822354267</v>
      </c>
    </row>
    <row r="556" ht="13.65" customHeight="1">
      <c r="A556" s="20">
        <v>45072</v>
      </c>
      <c r="B556" t="s" s="13">
        <v>22</v>
      </c>
      <c r="C556" s="14">
        <v>2458</v>
      </c>
      <c r="D556" s="14">
        <v>2509</v>
      </c>
      <c r="E556" s="14">
        <v>2450.75</v>
      </c>
      <c r="F556" s="14">
        <v>2439.95</v>
      </c>
      <c r="G556" s="14">
        <v>2508.8</v>
      </c>
      <c r="H556" s="14">
        <v>2506.5</v>
      </c>
      <c r="I556" s="14">
        <v>2489.54</v>
      </c>
      <c r="J556" s="14">
        <v>2817.35</v>
      </c>
      <c r="K556" s="14">
        <v>2180</v>
      </c>
      <c r="L556" s="15">
        <v>5827017</v>
      </c>
      <c r="M556" t="s" s="13">
        <v>566</v>
      </c>
      <c r="N556" s="15">
        <v>197182</v>
      </c>
      <c r="O556" s="17" cm="1">
        <f t="array" ref="O556">(H556-H555)/H555</f>
        <v>0.0272751490809238</v>
      </c>
    </row>
    <row r="557" ht="13.65" customHeight="1">
      <c r="A557" s="20">
        <v>45075</v>
      </c>
      <c r="B557" t="s" s="13">
        <v>22</v>
      </c>
      <c r="C557" s="14">
        <v>2521</v>
      </c>
      <c r="D557" s="14">
        <v>2530</v>
      </c>
      <c r="E557" s="14">
        <v>2507.2</v>
      </c>
      <c r="F557" s="14">
        <v>2506.5</v>
      </c>
      <c r="G557" s="14">
        <v>2518.2</v>
      </c>
      <c r="H557" s="14">
        <v>2520.6</v>
      </c>
      <c r="I557" s="14">
        <v>2519.76</v>
      </c>
      <c r="J557" s="14">
        <v>2817.35</v>
      </c>
      <c r="K557" s="14">
        <v>2180</v>
      </c>
      <c r="L557" s="15">
        <v>4619754</v>
      </c>
      <c r="M557" t="s" s="13">
        <v>567</v>
      </c>
      <c r="N557" s="15">
        <v>184530</v>
      </c>
      <c r="O557" s="17" cm="1">
        <f t="array" ref="O557">(H557-H556)/H556</f>
        <v>0.00562537402752843</v>
      </c>
    </row>
    <row r="558" ht="13.65" customHeight="1">
      <c r="A558" s="20">
        <v>45076</v>
      </c>
      <c r="B558" t="s" s="13">
        <v>22</v>
      </c>
      <c r="C558" s="14">
        <v>2520.6</v>
      </c>
      <c r="D558" s="14">
        <v>2537.7</v>
      </c>
      <c r="E558" s="14">
        <v>2514.35</v>
      </c>
      <c r="F558" s="14">
        <v>2520.6</v>
      </c>
      <c r="G558" s="14">
        <v>2520.55</v>
      </c>
      <c r="H558" s="14">
        <v>2519.95</v>
      </c>
      <c r="I558" s="14">
        <v>2524.94</v>
      </c>
      <c r="J558" s="14">
        <v>2817.35</v>
      </c>
      <c r="K558" s="14">
        <v>2180</v>
      </c>
      <c r="L558" s="15">
        <v>5234564</v>
      </c>
      <c r="M558" t="s" s="13">
        <v>568</v>
      </c>
      <c r="N558" s="15">
        <v>173212</v>
      </c>
      <c r="O558" s="17" cm="1">
        <f t="array" ref="O558">(H558-H557)/H557</f>
        <v>-0.000257875109101008</v>
      </c>
    </row>
    <row r="559" ht="13.65" customHeight="1">
      <c r="A559" s="20">
        <v>45077</v>
      </c>
      <c r="B559" t="s" s="13">
        <v>22</v>
      </c>
      <c r="C559" s="14">
        <v>2500</v>
      </c>
      <c r="D559" s="14">
        <v>2509.85</v>
      </c>
      <c r="E559" s="14">
        <v>2461</v>
      </c>
      <c r="F559" s="14">
        <v>2519.95</v>
      </c>
      <c r="G559" s="14">
        <v>2466.95</v>
      </c>
      <c r="H559" s="14">
        <v>2469.9</v>
      </c>
      <c r="I559" s="14">
        <v>2477.34</v>
      </c>
      <c r="J559" s="14">
        <v>2817.35</v>
      </c>
      <c r="K559" s="14">
        <v>2180</v>
      </c>
      <c r="L559" s="15">
        <v>12510304</v>
      </c>
      <c r="M559" t="s" s="13">
        <v>569</v>
      </c>
      <c r="N559" s="15">
        <v>289027</v>
      </c>
      <c r="O559" s="17" cm="1">
        <f t="array" ref="O559">(H559-H558)/H558</f>
        <v>-0.019861505188595</v>
      </c>
    </row>
    <row r="560" ht="13.65" customHeight="1">
      <c r="A560" s="12">
        <v>45078</v>
      </c>
      <c r="B560" t="s" s="13">
        <v>22</v>
      </c>
      <c r="C560" s="14">
        <v>2480.15</v>
      </c>
      <c r="D560" s="14">
        <v>2484.9</v>
      </c>
      <c r="E560" s="14">
        <v>2458</v>
      </c>
      <c r="F560" s="14">
        <v>2469.9</v>
      </c>
      <c r="G560" s="14">
        <v>2467</v>
      </c>
      <c r="H560" s="14">
        <v>2463.25</v>
      </c>
      <c r="I560" s="14">
        <v>2472.06</v>
      </c>
      <c r="J560" s="14">
        <v>2817.35</v>
      </c>
      <c r="K560" s="14">
        <v>2180</v>
      </c>
      <c r="L560" s="15">
        <v>6734525</v>
      </c>
      <c r="M560" t="s" s="13">
        <v>570</v>
      </c>
      <c r="N560" s="15">
        <v>216233</v>
      </c>
      <c r="O560" s="17" cm="1">
        <f t="array" ref="O560">(H560-H559)/H559</f>
        <v>-0.00269241669703227</v>
      </c>
    </row>
    <row r="561" ht="13.65" customHeight="1">
      <c r="A561" s="12">
        <v>45079</v>
      </c>
      <c r="B561" t="s" s="13">
        <v>22</v>
      </c>
      <c r="C561" s="14">
        <v>2471</v>
      </c>
      <c r="D561" s="14">
        <v>2482.85</v>
      </c>
      <c r="E561" s="14">
        <v>2451</v>
      </c>
      <c r="F561" s="14">
        <v>2463.25</v>
      </c>
      <c r="G561" s="14">
        <v>2455.25</v>
      </c>
      <c r="H561" s="14">
        <v>2455.2</v>
      </c>
      <c r="I561" s="14">
        <v>2459.32</v>
      </c>
      <c r="J561" s="14">
        <v>2817.35</v>
      </c>
      <c r="K561" s="14">
        <v>2180</v>
      </c>
      <c r="L561" s="15">
        <v>7291995</v>
      </c>
      <c r="M561" t="s" s="13">
        <v>571</v>
      </c>
      <c r="N561" s="15">
        <v>160655</v>
      </c>
      <c r="O561" s="17" cm="1">
        <f t="array" ref="O561">(H561-H560)/H560</f>
        <v>-0.00326804019080483</v>
      </c>
    </row>
    <row r="562" ht="13.65" customHeight="1">
      <c r="A562" s="12">
        <v>45082</v>
      </c>
      <c r="B562" t="s" s="13">
        <v>22</v>
      </c>
      <c r="C562" s="14">
        <v>2467.2</v>
      </c>
      <c r="D562" s="14">
        <v>2483.75</v>
      </c>
      <c r="E562" s="14">
        <v>2458.45</v>
      </c>
      <c r="F562" s="14">
        <v>2455.2</v>
      </c>
      <c r="G562" s="14">
        <v>2479.95</v>
      </c>
      <c r="H562" s="14">
        <v>2477.25</v>
      </c>
      <c r="I562" s="14">
        <v>2470.14</v>
      </c>
      <c r="J562" s="14">
        <v>2814</v>
      </c>
      <c r="K562" s="14">
        <v>2180</v>
      </c>
      <c r="L562" s="15">
        <v>5034355</v>
      </c>
      <c r="M562" t="s" s="13">
        <v>572</v>
      </c>
      <c r="N562" s="15">
        <v>161758</v>
      </c>
      <c r="O562" s="17" cm="1">
        <f t="array" ref="O562">(H562-H561)/H561</f>
        <v>0.00898093841642229</v>
      </c>
    </row>
    <row r="563" ht="13.65" customHeight="1">
      <c r="A563" s="12">
        <v>45083</v>
      </c>
      <c r="B563" t="s" s="13">
        <v>22</v>
      </c>
      <c r="C563" s="14">
        <v>2483.45</v>
      </c>
      <c r="D563" s="14">
        <v>2487.7</v>
      </c>
      <c r="E563" s="14">
        <v>2462</v>
      </c>
      <c r="F563" s="14">
        <v>2477.25</v>
      </c>
      <c r="G563" s="14">
        <v>2483.8</v>
      </c>
      <c r="H563" s="14">
        <v>2479.35</v>
      </c>
      <c r="I563" s="14">
        <v>2473.7</v>
      </c>
      <c r="J563" s="14">
        <v>2814</v>
      </c>
      <c r="K563" s="14">
        <v>2180</v>
      </c>
      <c r="L563" s="15">
        <v>3458161</v>
      </c>
      <c r="M563" t="s" s="13">
        <v>573</v>
      </c>
      <c r="N563" s="15">
        <v>167754</v>
      </c>
      <c r="O563" s="17" cm="1">
        <f t="array" ref="O563">(H563-H562)/H562</f>
        <v>0.000847714199212837</v>
      </c>
    </row>
    <row r="564" ht="13.65" customHeight="1">
      <c r="A564" s="12">
        <v>45084</v>
      </c>
      <c r="B564" t="s" s="13">
        <v>22</v>
      </c>
      <c r="C564" s="14">
        <v>2487</v>
      </c>
      <c r="D564" s="14">
        <v>2500</v>
      </c>
      <c r="E564" s="14">
        <v>2472.6</v>
      </c>
      <c r="F564" s="14">
        <v>2479.35</v>
      </c>
      <c r="G564" s="14">
        <v>2498</v>
      </c>
      <c r="H564" s="14">
        <v>2498.15</v>
      </c>
      <c r="I564" s="14">
        <v>2487.06</v>
      </c>
      <c r="J564" s="14">
        <v>2814</v>
      </c>
      <c r="K564" s="14">
        <v>2180</v>
      </c>
      <c r="L564" s="15">
        <v>4759238</v>
      </c>
      <c r="M564" t="s" s="13">
        <v>574</v>
      </c>
      <c r="N564" s="15">
        <v>187387</v>
      </c>
      <c r="O564" s="17" cm="1">
        <f t="array" ref="O564">(H564-H563)/H563</f>
        <v>0.00758263254482021</v>
      </c>
    </row>
    <row r="565" ht="13.65" customHeight="1">
      <c r="A565" s="12">
        <v>45085</v>
      </c>
      <c r="B565" t="s" s="13">
        <v>22</v>
      </c>
      <c r="C565" s="14">
        <v>2506</v>
      </c>
      <c r="D565" s="14">
        <v>2516.85</v>
      </c>
      <c r="E565" s="14">
        <v>2491</v>
      </c>
      <c r="F565" s="14">
        <v>2498.15</v>
      </c>
      <c r="G565" s="14">
        <v>2505</v>
      </c>
      <c r="H565" s="14">
        <v>2499.65</v>
      </c>
      <c r="I565" s="14">
        <v>2504.11</v>
      </c>
      <c r="J565" s="14">
        <v>2814</v>
      </c>
      <c r="K565" s="14">
        <v>2180</v>
      </c>
      <c r="L565" s="15">
        <v>5570815</v>
      </c>
      <c r="M565" t="s" s="13">
        <v>575</v>
      </c>
      <c r="N565" s="15">
        <v>176663</v>
      </c>
      <c r="O565" s="17" cm="1">
        <f t="array" ref="O565">(H565-H564)/H564</f>
        <v>0.000600444328803314</v>
      </c>
    </row>
    <row r="566" ht="13.65" customHeight="1">
      <c r="A566" s="12">
        <v>45086</v>
      </c>
      <c r="B566" t="s" s="13">
        <v>22</v>
      </c>
      <c r="C566" s="14">
        <v>2507</v>
      </c>
      <c r="D566" s="14">
        <v>2508.55</v>
      </c>
      <c r="E566" s="14">
        <v>2478</v>
      </c>
      <c r="F566" s="14">
        <v>2499.65</v>
      </c>
      <c r="G566" s="14">
        <v>2482</v>
      </c>
      <c r="H566" s="14">
        <v>2481.95</v>
      </c>
      <c r="I566" s="14">
        <v>2493.99</v>
      </c>
      <c r="J566" s="14">
        <v>2814</v>
      </c>
      <c r="K566" s="14">
        <v>2180</v>
      </c>
      <c r="L566" s="15">
        <v>2712243</v>
      </c>
      <c r="M566" t="s" s="13">
        <v>576</v>
      </c>
      <c r="N566" s="15">
        <v>154585</v>
      </c>
      <c r="O566" s="17" cm="1">
        <f t="array" ref="O566">(H566-H565)/H565</f>
        <v>-0.00708099133878743</v>
      </c>
    </row>
    <row r="567" ht="13.65" customHeight="1">
      <c r="A567" s="18">
        <v>45089</v>
      </c>
      <c r="B567" t="s" s="13">
        <v>22</v>
      </c>
      <c r="C567" s="14">
        <v>2475.5</v>
      </c>
      <c r="D567" s="14">
        <v>2489.2</v>
      </c>
      <c r="E567" s="14">
        <v>2465</v>
      </c>
      <c r="F567" s="14">
        <v>2481.95</v>
      </c>
      <c r="G567" s="14">
        <v>2488</v>
      </c>
      <c r="H567" s="14">
        <v>2484.15</v>
      </c>
      <c r="I567" s="14">
        <v>2479.76</v>
      </c>
      <c r="J567" s="14">
        <v>2755</v>
      </c>
      <c r="K567" s="14">
        <v>2180</v>
      </c>
      <c r="L567" s="15">
        <v>2949893</v>
      </c>
      <c r="M567" t="s" s="13">
        <v>577</v>
      </c>
      <c r="N567" s="15">
        <v>155197</v>
      </c>
      <c r="O567" s="17" cm="1">
        <f t="array" ref="O567">(H567-H566)/H566</f>
        <v>0.000886399806603679</v>
      </c>
    </row>
    <row r="568" ht="13.65" customHeight="1">
      <c r="A568" s="18">
        <v>45090</v>
      </c>
      <c r="B568" t="s" s="13">
        <v>22</v>
      </c>
      <c r="C568" s="14">
        <v>2495</v>
      </c>
      <c r="D568" s="14">
        <v>2523.45</v>
      </c>
      <c r="E568" s="14">
        <v>2486.25</v>
      </c>
      <c r="F568" s="14">
        <v>2484.15</v>
      </c>
      <c r="G568" s="14">
        <v>2517.9</v>
      </c>
      <c r="H568" s="14">
        <v>2520.85</v>
      </c>
      <c r="I568" s="14">
        <v>2509.06</v>
      </c>
      <c r="J568" s="14">
        <v>2755</v>
      </c>
      <c r="K568" s="14">
        <v>2180</v>
      </c>
      <c r="L568" s="15">
        <v>5190958</v>
      </c>
      <c r="M568" t="s" s="13">
        <v>578</v>
      </c>
      <c r="N568" s="15">
        <v>179929</v>
      </c>
      <c r="O568" s="17" cm="1">
        <f t="array" ref="O568">(H568-H567)/H567</f>
        <v>0.0147736650363303</v>
      </c>
    </row>
    <row r="569" ht="13.65" customHeight="1">
      <c r="A569" s="18">
        <v>45091</v>
      </c>
      <c r="B569" t="s" s="13">
        <v>22</v>
      </c>
      <c r="C569" s="14">
        <v>2521</v>
      </c>
      <c r="D569" s="14">
        <v>2555</v>
      </c>
      <c r="E569" s="14">
        <v>2517</v>
      </c>
      <c r="F569" s="14">
        <v>2520.85</v>
      </c>
      <c r="G569" s="14">
        <v>2546.25</v>
      </c>
      <c r="H569" s="14">
        <v>2551.85</v>
      </c>
      <c r="I569" s="14">
        <v>2541.35</v>
      </c>
      <c r="J569" s="14">
        <v>2755</v>
      </c>
      <c r="K569" s="14">
        <v>2180</v>
      </c>
      <c r="L569" s="15">
        <v>6127509</v>
      </c>
      <c r="M569" t="s" s="13">
        <v>579</v>
      </c>
      <c r="N569" s="15">
        <v>255684</v>
      </c>
      <c r="O569" s="17" cm="1">
        <f t="array" ref="O569">(H569-H568)/H568</f>
        <v>0.0122974393557729</v>
      </c>
    </row>
    <row r="570" ht="13.65" customHeight="1">
      <c r="A570" s="18">
        <v>45092</v>
      </c>
      <c r="B570" t="s" s="13">
        <v>22</v>
      </c>
      <c r="C570" s="14">
        <v>2551.8</v>
      </c>
      <c r="D570" s="14">
        <v>2562.55</v>
      </c>
      <c r="E570" s="14">
        <v>2535.5</v>
      </c>
      <c r="F570" s="14">
        <v>2551.85</v>
      </c>
      <c r="G570" s="14">
        <v>2550.15</v>
      </c>
      <c r="H570" s="14">
        <v>2552.55</v>
      </c>
      <c r="I570" s="14">
        <v>2551.63</v>
      </c>
      <c r="J570" s="14">
        <v>2755</v>
      </c>
      <c r="K570" s="14">
        <v>2180</v>
      </c>
      <c r="L570" s="15">
        <v>5451926</v>
      </c>
      <c r="M570" t="s" s="13">
        <v>580</v>
      </c>
      <c r="N570" s="15">
        <v>193503</v>
      </c>
      <c r="O570" s="17" cm="1">
        <f t="array" ref="O570">(H570-H569)/H569</f>
        <v>0.000274310794129749</v>
      </c>
    </row>
    <row r="571" ht="13.65" customHeight="1">
      <c r="A571" s="18">
        <v>45093</v>
      </c>
      <c r="B571" t="s" s="13">
        <v>22</v>
      </c>
      <c r="C571" s="14">
        <v>2560.2</v>
      </c>
      <c r="D571" s="14">
        <v>2582.4</v>
      </c>
      <c r="E571" s="14">
        <v>2560.2</v>
      </c>
      <c r="F571" s="14">
        <v>2552.55</v>
      </c>
      <c r="G571" s="14">
        <v>2575</v>
      </c>
      <c r="H571" s="14">
        <v>2577.4</v>
      </c>
      <c r="I571" s="14">
        <v>2574.79</v>
      </c>
      <c r="J571" s="14">
        <v>2755</v>
      </c>
      <c r="K571" s="14">
        <v>2180</v>
      </c>
      <c r="L571" s="15">
        <v>11155180</v>
      </c>
      <c r="M571" t="s" s="13">
        <v>581</v>
      </c>
      <c r="N571" s="15">
        <v>237630</v>
      </c>
      <c r="O571" s="17" cm="1">
        <f t="array" ref="O571">(H571-H570)/H570</f>
        <v>0.00973536267653915</v>
      </c>
    </row>
    <row r="572" ht="13.65" customHeight="1">
      <c r="A572" s="18">
        <v>45096</v>
      </c>
      <c r="B572" t="s" s="13">
        <v>22</v>
      </c>
      <c r="C572" s="14">
        <v>2584</v>
      </c>
      <c r="D572" s="14">
        <v>2584</v>
      </c>
      <c r="E572" s="14">
        <v>2542.65</v>
      </c>
      <c r="F572" s="14">
        <v>2577.4</v>
      </c>
      <c r="G572" s="14">
        <v>2550.5</v>
      </c>
      <c r="H572" s="14">
        <v>2551.8</v>
      </c>
      <c r="I572" s="14">
        <v>2555.84</v>
      </c>
      <c r="J572" s="14">
        <v>2755</v>
      </c>
      <c r="K572" s="14">
        <v>2180</v>
      </c>
      <c r="L572" s="15">
        <v>3137532</v>
      </c>
      <c r="M572" t="s" s="13">
        <v>582</v>
      </c>
      <c r="N572" s="15">
        <v>130037</v>
      </c>
      <c r="O572" s="17" cm="1">
        <f t="array" ref="O572">(H572-H571)/H571</f>
        <v>-0.009932490106308679</v>
      </c>
    </row>
    <row r="573" ht="13.65" customHeight="1">
      <c r="A573" s="18">
        <v>45097</v>
      </c>
      <c r="B573" t="s" s="13">
        <v>22</v>
      </c>
      <c r="C573" s="14">
        <v>2547.55</v>
      </c>
      <c r="D573" s="14">
        <v>2564</v>
      </c>
      <c r="E573" s="14">
        <v>2535</v>
      </c>
      <c r="F573" s="14">
        <v>2551.8</v>
      </c>
      <c r="G573" s="14">
        <v>2561.5</v>
      </c>
      <c r="H573" s="14">
        <v>2557.1</v>
      </c>
      <c r="I573" s="14">
        <v>2548.6</v>
      </c>
      <c r="J573" s="14">
        <v>2755</v>
      </c>
      <c r="K573" s="14">
        <v>2180</v>
      </c>
      <c r="L573" s="15">
        <v>3194085</v>
      </c>
      <c r="M573" t="s" s="13">
        <v>583</v>
      </c>
      <c r="N573" s="15">
        <v>119189</v>
      </c>
      <c r="O573" s="17" cm="1">
        <f t="array" ref="O573">(H573-H572)/H572</f>
        <v>0.00207696527941061</v>
      </c>
    </row>
    <row r="574" ht="13.65" customHeight="1">
      <c r="A574" s="18">
        <v>45098</v>
      </c>
      <c r="B574" t="s" s="13">
        <v>22</v>
      </c>
      <c r="C574" s="14">
        <v>2557</v>
      </c>
      <c r="D574" s="14">
        <v>2569.85</v>
      </c>
      <c r="E574" s="14">
        <v>2548</v>
      </c>
      <c r="F574" s="14">
        <v>2557.1</v>
      </c>
      <c r="G574" s="14">
        <v>2564.9</v>
      </c>
      <c r="H574" s="14">
        <v>2564.3</v>
      </c>
      <c r="I574" s="14">
        <v>2561.96</v>
      </c>
      <c r="J574" s="14">
        <v>2755</v>
      </c>
      <c r="K574" s="14">
        <v>2180</v>
      </c>
      <c r="L574" s="15">
        <v>3212779</v>
      </c>
      <c r="M574" t="s" s="13">
        <v>584</v>
      </c>
      <c r="N574" s="15">
        <v>135010</v>
      </c>
      <c r="O574" s="17" cm="1">
        <f t="array" ref="O574">(H574-H573)/H573</f>
        <v>0.00281568964842986</v>
      </c>
    </row>
    <row r="575" ht="13.65" customHeight="1">
      <c r="A575" s="18">
        <v>45099</v>
      </c>
      <c r="B575" t="s" s="13">
        <v>22</v>
      </c>
      <c r="C575" s="14">
        <v>2556</v>
      </c>
      <c r="D575" s="14">
        <v>2573.3</v>
      </c>
      <c r="E575" s="14">
        <v>2532</v>
      </c>
      <c r="F575" s="14">
        <v>2564.3</v>
      </c>
      <c r="G575" s="14">
        <v>2539</v>
      </c>
      <c r="H575" s="14">
        <v>2535.5</v>
      </c>
      <c r="I575" s="14">
        <v>2551.25</v>
      </c>
      <c r="J575" s="14">
        <v>2755</v>
      </c>
      <c r="K575" s="14">
        <v>2180</v>
      </c>
      <c r="L575" s="15">
        <v>3516244</v>
      </c>
      <c r="M575" t="s" s="13">
        <v>585</v>
      </c>
      <c r="N575" s="15">
        <v>179274</v>
      </c>
      <c r="O575" s="17" cm="1">
        <f t="array" ref="O575">(H575-H574)/H574</f>
        <v>-0.0112311352025894</v>
      </c>
    </row>
    <row r="576" ht="13.65" customHeight="1">
      <c r="A576" s="18">
        <v>45100</v>
      </c>
      <c r="B576" t="s" s="13">
        <v>22</v>
      </c>
      <c r="C576" s="14">
        <v>2528.9</v>
      </c>
      <c r="D576" s="14">
        <v>2533.4</v>
      </c>
      <c r="E576" s="14">
        <v>2512</v>
      </c>
      <c r="F576" s="14">
        <v>2535.5</v>
      </c>
      <c r="G576" s="14">
        <v>2517.8</v>
      </c>
      <c r="H576" s="14">
        <v>2514.75</v>
      </c>
      <c r="I576" s="14">
        <v>2521.55</v>
      </c>
      <c r="J576" s="14">
        <v>2755</v>
      </c>
      <c r="K576" s="14">
        <v>2180</v>
      </c>
      <c r="L576" s="15">
        <v>3059084</v>
      </c>
      <c r="M576" t="s" s="13">
        <v>586</v>
      </c>
      <c r="N576" s="15">
        <v>136010</v>
      </c>
      <c r="O576" s="17" cm="1">
        <f t="array" ref="O576">(H576-H575)/H575</f>
        <v>-0.00818379017945178</v>
      </c>
    </row>
    <row r="577" ht="13.65" customHeight="1">
      <c r="A577" s="18">
        <v>45103</v>
      </c>
      <c r="B577" t="s" s="13">
        <v>22</v>
      </c>
      <c r="C577" s="14">
        <v>2507</v>
      </c>
      <c r="D577" s="14">
        <v>2515.4</v>
      </c>
      <c r="E577" s="14">
        <v>2488.7</v>
      </c>
      <c r="F577" s="14">
        <v>2514.75</v>
      </c>
      <c r="G577" s="14">
        <v>2495.25</v>
      </c>
      <c r="H577" s="14">
        <v>2495.55</v>
      </c>
      <c r="I577" s="14">
        <v>2500.04</v>
      </c>
      <c r="J577" s="14">
        <v>2755</v>
      </c>
      <c r="K577" s="14">
        <v>2180</v>
      </c>
      <c r="L577" s="15">
        <v>5833893</v>
      </c>
      <c r="M577" t="s" s="13">
        <v>587</v>
      </c>
      <c r="N577" s="15">
        <v>140793</v>
      </c>
      <c r="O577" s="17" cm="1">
        <f t="array" ref="O577">(H577-H576)/H576</f>
        <v>-0.00763495377274083</v>
      </c>
    </row>
    <row r="578" ht="13.65" customHeight="1">
      <c r="A578" s="18">
        <v>45104</v>
      </c>
      <c r="B578" t="s" s="13">
        <v>22</v>
      </c>
      <c r="C578" s="14">
        <v>2496.55</v>
      </c>
      <c r="D578" s="14">
        <v>2509.5</v>
      </c>
      <c r="E578" s="14">
        <v>2486.65</v>
      </c>
      <c r="F578" s="14">
        <v>2495.55</v>
      </c>
      <c r="G578" s="14">
        <v>2495</v>
      </c>
      <c r="H578" s="14">
        <v>2496.45</v>
      </c>
      <c r="I578" s="14">
        <v>2496.25</v>
      </c>
      <c r="J578" s="14">
        <v>2755</v>
      </c>
      <c r="K578" s="14">
        <v>2180</v>
      </c>
      <c r="L578" s="15">
        <v>4471687</v>
      </c>
      <c r="M578" t="s" s="13">
        <v>588</v>
      </c>
      <c r="N578" s="15">
        <v>157574</v>
      </c>
      <c r="O578" s="17" cm="1">
        <f t="array" ref="O578">(H578-H577)/H577</f>
        <v>0.000360641942657931</v>
      </c>
    </row>
    <row r="579" ht="13.65" customHeight="1">
      <c r="A579" s="18">
        <v>45105</v>
      </c>
      <c r="B579" t="s" s="13">
        <v>22</v>
      </c>
      <c r="C579" s="14">
        <v>2513</v>
      </c>
      <c r="D579" s="14">
        <v>2537.85</v>
      </c>
      <c r="E579" s="14">
        <v>2497.85</v>
      </c>
      <c r="F579" s="14">
        <v>2496.45</v>
      </c>
      <c r="G579" s="14">
        <v>2530.35</v>
      </c>
      <c r="H579" s="14">
        <v>2529.5</v>
      </c>
      <c r="I579" s="14">
        <v>2525.48</v>
      </c>
      <c r="J579" s="14">
        <v>2755</v>
      </c>
      <c r="K579" s="14">
        <v>2180</v>
      </c>
      <c r="L579" s="15">
        <v>5239872</v>
      </c>
      <c r="M579" t="s" s="13">
        <v>589</v>
      </c>
      <c r="N579" s="15">
        <v>190293</v>
      </c>
      <c r="O579" s="17" cm="1">
        <f t="array" ref="O579">(H579-H578)/H578</f>
        <v>0.0132387990947145</v>
      </c>
    </row>
    <row r="580" ht="13.65" customHeight="1">
      <c r="A580" s="18">
        <v>45107</v>
      </c>
      <c r="B580" t="s" s="13">
        <v>22</v>
      </c>
      <c r="C580" s="14">
        <v>2546.4</v>
      </c>
      <c r="D580" s="14">
        <v>2556.65</v>
      </c>
      <c r="E580" s="14">
        <v>2533.45</v>
      </c>
      <c r="F580" s="14">
        <v>2529.5</v>
      </c>
      <c r="G580" s="14">
        <v>2553.35</v>
      </c>
      <c r="H580" s="14">
        <v>2550.25</v>
      </c>
      <c r="I580" s="14">
        <v>2543.75</v>
      </c>
      <c r="J580" s="14">
        <v>2755</v>
      </c>
      <c r="K580" s="14">
        <v>2180</v>
      </c>
      <c r="L580" s="15">
        <v>5146441</v>
      </c>
      <c r="M580" t="s" s="13">
        <v>590</v>
      </c>
      <c r="N580" s="15">
        <v>223168</v>
      </c>
      <c r="O580" s="17" cm="1">
        <f t="array" ref="O580">(H580-H579)/H579</f>
        <v>0.00820320221387626</v>
      </c>
    </row>
    <row r="581" ht="13.65" customHeight="1">
      <c r="A581" s="12">
        <v>45110</v>
      </c>
      <c r="B581" t="s" s="13">
        <v>22</v>
      </c>
      <c r="C581" s="14">
        <v>2558.05</v>
      </c>
      <c r="D581" s="14">
        <v>2622</v>
      </c>
      <c r="E581" s="14">
        <v>2555.35</v>
      </c>
      <c r="F581" s="14">
        <v>2550.25</v>
      </c>
      <c r="G581" s="14">
        <v>2612</v>
      </c>
      <c r="H581" s="14">
        <v>2615.7</v>
      </c>
      <c r="I581" s="14">
        <v>2596.46</v>
      </c>
      <c r="J581" s="14">
        <v>2755</v>
      </c>
      <c r="K581" s="14">
        <v>2180</v>
      </c>
      <c r="L581" s="15">
        <v>5609248</v>
      </c>
      <c r="M581" t="s" s="13">
        <v>591</v>
      </c>
      <c r="N581" s="15">
        <v>205284</v>
      </c>
      <c r="O581" s="17" cm="1">
        <f t="array" ref="O581">(H581-H580)/H580</f>
        <v>0.0256641505734732</v>
      </c>
    </row>
    <row r="582" ht="13.65" customHeight="1">
      <c r="A582" s="12">
        <v>45111</v>
      </c>
      <c r="B582" t="s" s="13">
        <v>22</v>
      </c>
      <c r="C582" s="14">
        <v>2625</v>
      </c>
      <c r="D582" s="14">
        <v>2625</v>
      </c>
      <c r="E582" s="14">
        <v>2573.25</v>
      </c>
      <c r="F582" s="14">
        <v>2615.7</v>
      </c>
      <c r="G582" s="14">
        <v>2588</v>
      </c>
      <c r="H582" s="14">
        <v>2588.75</v>
      </c>
      <c r="I582" s="14">
        <v>2588.64</v>
      </c>
      <c r="J582" s="14">
        <v>2755</v>
      </c>
      <c r="K582" s="14">
        <v>2180</v>
      </c>
      <c r="L582" s="15">
        <v>3720447</v>
      </c>
      <c r="M582" t="s" s="13">
        <v>592</v>
      </c>
      <c r="N582" s="15">
        <v>157756</v>
      </c>
      <c r="O582" s="17" cm="1">
        <f t="array" ref="O582">(H582-H581)/H581</f>
        <v>-0.0103031693236992</v>
      </c>
    </row>
    <row r="583" ht="13.65" customHeight="1">
      <c r="A583" s="12">
        <v>45112</v>
      </c>
      <c r="B583" t="s" s="13">
        <v>22</v>
      </c>
      <c r="C583" s="14">
        <v>2609</v>
      </c>
      <c r="D583" s="14">
        <v>2609</v>
      </c>
      <c r="E583" s="14">
        <v>2575.8</v>
      </c>
      <c r="F583" s="14">
        <v>2588.75</v>
      </c>
      <c r="G583" s="14">
        <v>2588</v>
      </c>
      <c r="H583" s="14">
        <v>2584.5</v>
      </c>
      <c r="I583" s="14">
        <v>2585.9</v>
      </c>
      <c r="J583" s="14">
        <v>2755</v>
      </c>
      <c r="K583" s="14">
        <v>2180</v>
      </c>
      <c r="L583" s="15">
        <v>4729479</v>
      </c>
      <c r="M583" t="s" s="13">
        <v>593</v>
      </c>
      <c r="N583" s="15">
        <v>163146</v>
      </c>
      <c r="O583" s="17" cm="1">
        <f t="array" ref="O583">(H583-H582)/H582</f>
        <v>-0.00164171897633993</v>
      </c>
    </row>
    <row r="584" ht="13.65" customHeight="1">
      <c r="A584" s="12">
        <v>45113</v>
      </c>
      <c r="B584" t="s" s="13">
        <v>22</v>
      </c>
      <c r="C584" s="14">
        <v>2576.05</v>
      </c>
      <c r="D584" s="14">
        <v>2644.45</v>
      </c>
      <c r="E584" s="14">
        <v>2576.05</v>
      </c>
      <c r="F584" s="14">
        <v>2584.5</v>
      </c>
      <c r="G584" s="14">
        <v>2633.3</v>
      </c>
      <c r="H584" s="14">
        <v>2638.75</v>
      </c>
      <c r="I584" s="14">
        <v>2628.55</v>
      </c>
      <c r="J584" s="14">
        <v>2755</v>
      </c>
      <c r="K584" s="14">
        <v>2180</v>
      </c>
      <c r="L584" s="15">
        <v>8822948</v>
      </c>
      <c r="M584" t="s" s="13">
        <v>594</v>
      </c>
      <c r="N584" s="15">
        <v>242971</v>
      </c>
      <c r="O584" s="17" cm="1">
        <f t="array" ref="O584">(H584-H583)/H583</f>
        <v>0.0209905204101374</v>
      </c>
    </row>
    <row r="585" ht="13.65" customHeight="1">
      <c r="A585" s="12">
        <v>45114</v>
      </c>
      <c r="B585" t="s" s="13">
        <v>22</v>
      </c>
      <c r="C585" s="14">
        <v>2635</v>
      </c>
      <c r="D585" s="14">
        <v>2664.95</v>
      </c>
      <c r="E585" s="14">
        <v>2628</v>
      </c>
      <c r="F585" s="14">
        <v>2638.75</v>
      </c>
      <c r="G585" s="14">
        <v>2629</v>
      </c>
      <c r="H585" s="14">
        <v>2633.6</v>
      </c>
      <c r="I585" s="14">
        <v>2645.39</v>
      </c>
      <c r="J585" s="14">
        <v>2755</v>
      </c>
      <c r="K585" s="14">
        <v>2180</v>
      </c>
      <c r="L585" s="15">
        <v>6172684</v>
      </c>
      <c r="M585" t="s" s="13">
        <v>595</v>
      </c>
      <c r="N585" s="15">
        <v>231715</v>
      </c>
      <c r="O585" s="17" cm="1">
        <f t="array" ref="O585">(H585-H584)/H584</f>
        <v>-0.00195168166745618</v>
      </c>
    </row>
    <row r="586" ht="13.65" customHeight="1">
      <c r="A586" s="18">
        <v>45117</v>
      </c>
      <c r="B586" t="s" s="13">
        <v>22</v>
      </c>
      <c r="C586" s="14">
        <v>2688.9</v>
      </c>
      <c r="D586" s="14">
        <v>2756</v>
      </c>
      <c r="E586" s="14">
        <v>2675</v>
      </c>
      <c r="F586" s="14">
        <v>2633.6</v>
      </c>
      <c r="G586" s="14">
        <v>2735.25</v>
      </c>
      <c r="H586" s="14">
        <v>2735.05</v>
      </c>
      <c r="I586" s="14">
        <v>2729.55</v>
      </c>
      <c r="J586" s="14">
        <v>2756</v>
      </c>
      <c r="K586" s="14">
        <v>2180</v>
      </c>
      <c r="L586" s="15">
        <v>15340262</v>
      </c>
      <c r="M586" t="s" s="13">
        <v>596</v>
      </c>
      <c r="N586" s="15">
        <v>452960</v>
      </c>
      <c r="O586" s="17" cm="1">
        <f t="array" ref="O586">(H586-H585)/H585</f>
        <v>0.0385214155528554</v>
      </c>
    </row>
    <row r="587" ht="13.65" customHeight="1">
      <c r="A587" s="18">
        <v>45118</v>
      </c>
      <c r="B587" t="s" s="13">
        <v>22</v>
      </c>
      <c r="C587" s="14">
        <v>2752.9</v>
      </c>
      <c r="D587" s="14">
        <v>2770</v>
      </c>
      <c r="E587" s="14">
        <v>2737.6</v>
      </c>
      <c r="F587" s="14">
        <v>2735.05</v>
      </c>
      <c r="G587" s="14">
        <v>2769</v>
      </c>
      <c r="H587" s="14">
        <v>2764.7</v>
      </c>
      <c r="I587" s="14">
        <v>2755.34</v>
      </c>
      <c r="J587" s="14">
        <v>2770</v>
      </c>
      <c r="K587" s="14">
        <v>2180</v>
      </c>
      <c r="L587" s="15">
        <v>9262001</v>
      </c>
      <c r="M587" t="s" s="13">
        <v>597</v>
      </c>
      <c r="N587" s="15">
        <v>306208</v>
      </c>
      <c r="O587" s="17" cm="1">
        <f t="array" ref="O587">(H587-H586)/H586</f>
        <v>0.0108407524542513</v>
      </c>
    </row>
    <row r="588" ht="13.65" customHeight="1">
      <c r="A588" s="18">
        <v>45119</v>
      </c>
      <c r="B588" t="s" s="13">
        <v>22</v>
      </c>
      <c r="C588" s="14">
        <v>2766.3</v>
      </c>
      <c r="D588" s="14">
        <v>2802</v>
      </c>
      <c r="E588" s="14">
        <v>2761.65</v>
      </c>
      <c r="F588" s="14">
        <v>2764.7</v>
      </c>
      <c r="G588" s="14">
        <v>2765</v>
      </c>
      <c r="H588" s="14">
        <v>2767.75</v>
      </c>
      <c r="I588" s="14">
        <v>2781.6</v>
      </c>
      <c r="J588" s="14">
        <v>2802</v>
      </c>
      <c r="K588" s="14">
        <v>2180</v>
      </c>
      <c r="L588" s="15">
        <v>8645662</v>
      </c>
      <c r="M588" t="s" s="13">
        <v>598</v>
      </c>
      <c r="N588" s="15">
        <v>348082</v>
      </c>
      <c r="O588" s="17" cm="1">
        <f t="array" ref="O588">(H588-H587)/H587</f>
        <v>0.00110319383658263</v>
      </c>
    </row>
    <row r="589" ht="13.65" customHeight="1">
      <c r="A589" s="18">
        <v>45120</v>
      </c>
      <c r="B589" t="s" s="13">
        <v>22</v>
      </c>
      <c r="C589" s="14">
        <v>2783.9</v>
      </c>
      <c r="D589" s="14">
        <v>2799</v>
      </c>
      <c r="E589" s="14">
        <v>2737.25</v>
      </c>
      <c r="F589" s="14">
        <v>2767.75</v>
      </c>
      <c r="G589" s="14">
        <v>2748</v>
      </c>
      <c r="H589" s="14">
        <v>2743</v>
      </c>
      <c r="I589" s="14">
        <v>2774.19</v>
      </c>
      <c r="J589" s="14">
        <v>2802</v>
      </c>
      <c r="K589" s="14">
        <v>2180</v>
      </c>
      <c r="L589" s="15">
        <v>6776172</v>
      </c>
      <c r="M589" t="s" s="13">
        <v>599</v>
      </c>
      <c r="N589" s="15">
        <v>254196</v>
      </c>
      <c r="O589" s="17" cm="1">
        <f t="array" ref="O589">(H589-H588)/H588</f>
        <v>-0.008942281636708521</v>
      </c>
    </row>
    <row r="590" ht="13.65" customHeight="1">
      <c r="A590" s="18">
        <v>45121</v>
      </c>
      <c r="B590" t="s" s="13">
        <v>22</v>
      </c>
      <c r="C590" s="14">
        <v>2750</v>
      </c>
      <c r="D590" s="14">
        <v>2760.9</v>
      </c>
      <c r="E590" s="14">
        <v>2725.1</v>
      </c>
      <c r="F590" s="14">
        <v>2743</v>
      </c>
      <c r="G590" s="14">
        <v>2751</v>
      </c>
      <c r="H590" s="14">
        <v>2740.7</v>
      </c>
      <c r="I590" s="14">
        <v>2739.02</v>
      </c>
      <c r="J590" s="14">
        <v>2802</v>
      </c>
      <c r="K590" s="14">
        <v>2180</v>
      </c>
      <c r="L590" s="15">
        <v>6979790</v>
      </c>
      <c r="M590" t="s" s="13">
        <v>600</v>
      </c>
      <c r="N590" s="15">
        <v>201319</v>
      </c>
      <c r="O590" s="17" cm="1">
        <f t="array" ref="O590">(H590-H589)/H589</f>
        <v>-0.000838497994896099</v>
      </c>
    </row>
    <row r="591" ht="13.65" customHeight="1">
      <c r="A591" s="18">
        <v>45124</v>
      </c>
      <c r="B591" t="s" s="13">
        <v>22</v>
      </c>
      <c r="C591" s="14">
        <v>2747</v>
      </c>
      <c r="D591" s="14">
        <v>2815.05</v>
      </c>
      <c r="E591" s="14">
        <v>2728</v>
      </c>
      <c r="F591" s="14">
        <v>2740.7</v>
      </c>
      <c r="G591" s="14">
        <v>2795.2</v>
      </c>
      <c r="H591" s="14">
        <v>2796.7</v>
      </c>
      <c r="I591" s="14">
        <v>2780.3</v>
      </c>
      <c r="J591" s="14">
        <v>2815.05</v>
      </c>
      <c r="K591" s="14">
        <v>2180</v>
      </c>
      <c r="L591" s="15">
        <v>10254545</v>
      </c>
      <c r="M591" t="s" s="13">
        <v>601</v>
      </c>
      <c r="N591" s="15">
        <v>386729</v>
      </c>
      <c r="O591" s="17" cm="1">
        <f t="array" ref="O591">(H591-H590)/H590</f>
        <v>0.0204327361622943</v>
      </c>
    </row>
    <row r="592" ht="13.65" customHeight="1">
      <c r="A592" s="18">
        <v>45125</v>
      </c>
      <c r="B592" t="s" s="13">
        <v>22</v>
      </c>
      <c r="C592" s="14">
        <v>2817</v>
      </c>
      <c r="D592" s="14">
        <v>2837.45</v>
      </c>
      <c r="E592" s="14">
        <v>2793</v>
      </c>
      <c r="F592" s="14">
        <v>2796.7</v>
      </c>
      <c r="G592" s="14">
        <v>2822.6</v>
      </c>
      <c r="H592" s="14">
        <v>2820.45</v>
      </c>
      <c r="I592" s="14">
        <v>2814.75</v>
      </c>
      <c r="J592" s="14">
        <v>2837.45</v>
      </c>
      <c r="K592" s="14">
        <v>2180</v>
      </c>
      <c r="L592" s="15">
        <v>11937761</v>
      </c>
      <c r="M592" t="s" s="13">
        <v>602</v>
      </c>
      <c r="N592" s="15">
        <v>332862</v>
      </c>
      <c r="O592" s="17" cm="1">
        <f t="array" ref="O592">(H592-H591)/H591</f>
        <v>0.008492151464225691</v>
      </c>
    </row>
    <row r="593" ht="13.65" customHeight="1">
      <c r="A593" s="18">
        <v>45126</v>
      </c>
      <c r="B593" t="s" s="13">
        <v>22</v>
      </c>
      <c r="C593" s="14">
        <v>2830</v>
      </c>
      <c r="D593" s="14">
        <v>2856</v>
      </c>
      <c r="E593" s="14">
        <v>2797</v>
      </c>
      <c r="F593" s="14">
        <v>2820.45</v>
      </c>
      <c r="G593" s="14">
        <v>2853</v>
      </c>
      <c r="H593" s="14">
        <v>2841.85</v>
      </c>
      <c r="I593" s="14">
        <v>2826.91</v>
      </c>
      <c r="J593" s="14">
        <v>2856</v>
      </c>
      <c r="K593" s="14">
        <v>2180</v>
      </c>
      <c r="L593" s="15">
        <v>18054869</v>
      </c>
      <c r="M593" t="s" s="13">
        <v>603</v>
      </c>
      <c r="N593" s="15">
        <v>441824</v>
      </c>
      <c r="O593" s="17" cm="1">
        <f t="array" ref="O593">(H593-H592)/H592</f>
        <v>0.00758744172029286</v>
      </c>
    </row>
    <row r="594" ht="13.65" customHeight="1">
      <c r="A594" s="18">
        <v>45127</v>
      </c>
      <c r="B594" t="s" s="13">
        <v>22</v>
      </c>
      <c r="C594" s="14">
        <v>2580</v>
      </c>
      <c r="D594" s="14">
        <v>2630.95</v>
      </c>
      <c r="E594" s="14">
        <v>2580</v>
      </c>
      <c r="F594" s="14">
        <v>2841.85</v>
      </c>
      <c r="G594" s="14">
        <v>2623</v>
      </c>
      <c r="H594" s="14">
        <v>2619.85</v>
      </c>
      <c r="I594" s="14">
        <v>2614</v>
      </c>
      <c r="J594" s="14">
        <v>2630.95</v>
      </c>
      <c r="K594" s="14">
        <v>2580</v>
      </c>
      <c r="L594" s="15">
        <v>19358812</v>
      </c>
      <c r="M594" t="s" s="13">
        <v>604</v>
      </c>
      <c r="N594" s="15">
        <v>415393</v>
      </c>
      <c r="O594" s="17" cm="1">
        <f t="array" ref="O594">(H594-H593)/H593</f>
        <v>-0.0781181272762461</v>
      </c>
    </row>
    <row r="595" ht="13.65" customHeight="1">
      <c r="A595" s="18">
        <v>45128</v>
      </c>
      <c r="B595" t="s" s="13">
        <v>22</v>
      </c>
      <c r="C595" s="14">
        <v>2609</v>
      </c>
      <c r="D595" s="14">
        <v>2614.9</v>
      </c>
      <c r="E595" s="14">
        <v>2523.6</v>
      </c>
      <c r="F595" s="14">
        <v>2619.85</v>
      </c>
      <c r="G595" s="14">
        <v>2555</v>
      </c>
      <c r="H595" s="14">
        <v>2538.75</v>
      </c>
      <c r="I595" s="14">
        <v>2549.83</v>
      </c>
      <c r="J595" s="14">
        <v>2630.95</v>
      </c>
      <c r="K595" s="14">
        <v>2523.6</v>
      </c>
      <c r="L595" s="15">
        <v>15124619</v>
      </c>
      <c r="M595" t="s" s="13">
        <v>605</v>
      </c>
      <c r="N595" s="15">
        <v>457107</v>
      </c>
      <c r="O595" s="17" cm="1">
        <f t="array" ref="O595">(H595-H594)/H594</f>
        <v>-0.0309559707616848</v>
      </c>
    </row>
    <row r="596" ht="13.65" customHeight="1">
      <c r="A596" s="18">
        <v>45131</v>
      </c>
      <c r="B596" t="s" s="13">
        <v>22</v>
      </c>
      <c r="C596" s="14">
        <v>2481</v>
      </c>
      <c r="D596" s="14">
        <v>2514.95</v>
      </c>
      <c r="E596" s="14">
        <v>2469.3</v>
      </c>
      <c r="F596" s="14">
        <v>2538.75</v>
      </c>
      <c r="G596" s="14">
        <v>2488</v>
      </c>
      <c r="H596" s="14">
        <v>2487.4</v>
      </c>
      <c r="I596" s="14">
        <v>2491.6</v>
      </c>
      <c r="J596" s="14">
        <v>2630.95</v>
      </c>
      <c r="K596" s="14">
        <v>2469.3</v>
      </c>
      <c r="L596" s="15">
        <v>11863933</v>
      </c>
      <c r="M596" t="s" s="13">
        <v>606</v>
      </c>
      <c r="N596" s="15">
        <v>441158</v>
      </c>
      <c r="O596" s="17" cm="1">
        <f t="array" ref="O596">(H596-H595)/H595</f>
        <v>-0.0202264894140817</v>
      </c>
    </row>
    <row r="597" ht="13.65" customHeight="1">
      <c r="A597" s="18">
        <v>45132</v>
      </c>
      <c r="B597" t="s" s="13">
        <v>22</v>
      </c>
      <c r="C597" s="14">
        <v>2494</v>
      </c>
      <c r="D597" s="14">
        <v>2505.2</v>
      </c>
      <c r="E597" s="14">
        <v>2480</v>
      </c>
      <c r="F597" s="14">
        <v>2487.4</v>
      </c>
      <c r="G597" s="14">
        <v>2484</v>
      </c>
      <c r="H597" s="14">
        <v>2485.8</v>
      </c>
      <c r="I597" s="14">
        <v>2492.71</v>
      </c>
      <c r="J597" s="14">
        <v>2630.95</v>
      </c>
      <c r="K597" s="14">
        <v>2469.3</v>
      </c>
      <c r="L597" s="15">
        <v>6013010</v>
      </c>
      <c r="M597" t="s" s="13">
        <v>607</v>
      </c>
      <c r="N597" s="15">
        <v>242346</v>
      </c>
      <c r="O597" s="17" cm="1">
        <f t="array" ref="O597">(H597-H596)/H596</f>
        <v>-0.000643241939374447</v>
      </c>
    </row>
    <row r="598" ht="13.65" customHeight="1">
      <c r="A598" s="18">
        <v>45133</v>
      </c>
      <c r="B598" t="s" s="13">
        <v>22</v>
      </c>
      <c r="C598" s="14">
        <v>2485</v>
      </c>
      <c r="D598" s="14">
        <v>2547</v>
      </c>
      <c r="E598" s="14">
        <v>2485</v>
      </c>
      <c r="F598" s="14">
        <v>2485.8</v>
      </c>
      <c r="G598" s="14">
        <v>2526</v>
      </c>
      <c r="H598" s="14">
        <v>2526.2</v>
      </c>
      <c r="I598" s="14">
        <v>2526.43</v>
      </c>
      <c r="J598" s="14">
        <v>2630.95</v>
      </c>
      <c r="K598" s="14">
        <v>2469.3</v>
      </c>
      <c r="L598" s="15">
        <v>6455506</v>
      </c>
      <c r="M598" t="s" s="13">
        <v>608</v>
      </c>
      <c r="N598" s="15">
        <v>255390</v>
      </c>
      <c r="O598" s="17" cm="1">
        <f t="array" ref="O598">(H598-H597)/H597</f>
        <v>0.0162523131386274</v>
      </c>
    </row>
    <row r="599" ht="13.65" customHeight="1">
      <c r="A599" s="18">
        <v>45134</v>
      </c>
      <c r="B599" t="s" s="13">
        <v>22</v>
      </c>
      <c r="C599" s="14">
        <v>2534.05</v>
      </c>
      <c r="D599" s="14">
        <v>2537.65</v>
      </c>
      <c r="E599" s="14">
        <v>2490.35</v>
      </c>
      <c r="F599" s="14">
        <v>2526.2</v>
      </c>
      <c r="G599" s="14">
        <v>2515</v>
      </c>
      <c r="H599" s="14">
        <v>2502.7</v>
      </c>
      <c r="I599" s="14">
        <v>2509.19</v>
      </c>
      <c r="J599" s="14">
        <v>2630.95</v>
      </c>
      <c r="K599" s="14">
        <v>2469.3</v>
      </c>
      <c r="L599" s="15">
        <v>8613449</v>
      </c>
      <c r="M599" t="s" s="13">
        <v>609</v>
      </c>
      <c r="N599" s="15">
        <v>299635</v>
      </c>
      <c r="O599" s="17" cm="1">
        <f t="array" ref="O599">(H599-H598)/H598</f>
        <v>-0.00930250969836117</v>
      </c>
    </row>
    <row r="600" ht="13.65" customHeight="1">
      <c r="A600" s="18">
        <v>45135</v>
      </c>
      <c r="B600" t="s" s="13">
        <v>22</v>
      </c>
      <c r="C600" s="14">
        <v>2512.05</v>
      </c>
      <c r="D600" s="14">
        <v>2542.85</v>
      </c>
      <c r="E600" s="14">
        <v>2500.55</v>
      </c>
      <c r="F600" s="14">
        <v>2502.7</v>
      </c>
      <c r="G600" s="14">
        <v>2528.2</v>
      </c>
      <c r="H600" s="14">
        <v>2527.85</v>
      </c>
      <c r="I600" s="14">
        <v>2518.8</v>
      </c>
      <c r="J600" s="14">
        <v>2630.95</v>
      </c>
      <c r="K600" s="14">
        <v>2469.3</v>
      </c>
      <c r="L600" s="15">
        <v>10413926</v>
      </c>
      <c r="M600" t="s" s="13">
        <v>610</v>
      </c>
      <c r="N600" s="15">
        <v>333806</v>
      </c>
      <c r="O600" s="17" cm="1">
        <f t="array" ref="O600">(H600-H599)/H599</f>
        <v>0.010049146921325</v>
      </c>
    </row>
    <row r="601" ht="13.65" customHeight="1">
      <c r="A601" s="18">
        <v>45138</v>
      </c>
      <c r="B601" t="s" s="13">
        <v>22</v>
      </c>
      <c r="C601" s="14">
        <v>2527.85</v>
      </c>
      <c r="D601" s="14">
        <v>2553.9</v>
      </c>
      <c r="E601" s="14">
        <v>2517.95</v>
      </c>
      <c r="F601" s="14">
        <v>2527.85</v>
      </c>
      <c r="G601" s="14">
        <v>2546</v>
      </c>
      <c r="H601" s="14">
        <v>2549.25</v>
      </c>
      <c r="I601" s="14">
        <v>2540.69</v>
      </c>
      <c r="J601" s="14">
        <v>2630.95</v>
      </c>
      <c r="K601" s="14">
        <v>2469.3</v>
      </c>
      <c r="L601" s="15">
        <v>4275587</v>
      </c>
      <c r="M601" t="s" s="13">
        <v>611</v>
      </c>
      <c r="N601" s="15">
        <v>169076</v>
      </c>
      <c r="O601" s="17" cm="1">
        <f t="array" ref="O601">(H601-H600)/H600</f>
        <v>0.008465692189014379</v>
      </c>
    </row>
    <row r="602" ht="13.65" customHeight="1">
      <c r="A602" s="12">
        <v>45139</v>
      </c>
      <c r="B602" t="s" s="13">
        <v>22</v>
      </c>
      <c r="C602" s="14">
        <v>2555</v>
      </c>
      <c r="D602" s="14">
        <v>2559</v>
      </c>
      <c r="E602" s="14">
        <v>2505.3</v>
      </c>
      <c r="F602" s="14">
        <v>2549.25</v>
      </c>
      <c r="G602" s="14">
        <v>2517.7</v>
      </c>
      <c r="H602" s="14">
        <v>2513.2</v>
      </c>
      <c r="I602" s="14">
        <v>2524.85</v>
      </c>
      <c r="J602" s="14">
        <v>2630.95</v>
      </c>
      <c r="K602" s="14">
        <v>2469.3</v>
      </c>
      <c r="L602" s="15">
        <v>4768316</v>
      </c>
      <c r="M602" t="s" s="13">
        <v>612</v>
      </c>
      <c r="N602" s="15">
        <v>198132</v>
      </c>
      <c r="O602" s="17" cm="1">
        <f t="array" ref="O602">(H602-H601)/H601</f>
        <v>-0.0141414141414141</v>
      </c>
    </row>
    <row r="603" ht="13.65" customHeight="1">
      <c r="A603" s="12">
        <v>45140</v>
      </c>
      <c r="B603" t="s" s="13">
        <v>22</v>
      </c>
      <c r="C603" s="14">
        <v>2509.2</v>
      </c>
      <c r="D603" s="14">
        <v>2512</v>
      </c>
      <c r="E603" s="14">
        <v>2463.6</v>
      </c>
      <c r="F603" s="14">
        <v>2513.2</v>
      </c>
      <c r="G603" s="14">
        <v>2484.05</v>
      </c>
      <c r="H603" s="14">
        <v>2486.35</v>
      </c>
      <c r="I603" s="14">
        <v>2485.51</v>
      </c>
      <c r="J603" s="14">
        <v>2630.95</v>
      </c>
      <c r="K603" s="14">
        <v>2463.6</v>
      </c>
      <c r="L603" s="15">
        <v>6374107</v>
      </c>
      <c r="M603" t="s" s="13">
        <v>613</v>
      </c>
      <c r="N603" s="15">
        <v>330411</v>
      </c>
      <c r="O603" s="17" cm="1">
        <f t="array" ref="O603">(H603-H602)/H602</f>
        <v>-0.0106835906414133</v>
      </c>
    </row>
    <row r="604" ht="13.65" customHeight="1">
      <c r="A604" s="12">
        <v>45141</v>
      </c>
      <c r="B604" t="s" s="13">
        <v>22</v>
      </c>
      <c r="C604" s="14">
        <v>2475.3</v>
      </c>
      <c r="D604" s="14">
        <v>2500.9</v>
      </c>
      <c r="E604" s="14">
        <v>2458.05</v>
      </c>
      <c r="F604" s="14">
        <v>2486.35</v>
      </c>
      <c r="G604" s="14">
        <v>2474.5</v>
      </c>
      <c r="H604" s="14">
        <v>2475.9</v>
      </c>
      <c r="I604" s="14">
        <v>2474.27</v>
      </c>
      <c r="J604" s="14">
        <v>2630.95</v>
      </c>
      <c r="K604" s="14">
        <v>2458.05</v>
      </c>
      <c r="L604" s="15">
        <v>5084175</v>
      </c>
      <c r="M604" t="s" s="13">
        <v>614</v>
      </c>
      <c r="N604" s="15">
        <v>227047</v>
      </c>
      <c r="O604" s="17" cm="1">
        <f t="array" ref="O604">(H604-H603)/H603</f>
        <v>-0.00420294809660748</v>
      </c>
    </row>
    <row r="605" ht="13.65" customHeight="1">
      <c r="A605" s="12">
        <v>45142</v>
      </c>
      <c r="B605" t="s" s="13">
        <v>22</v>
      </c>
      <c r="C605" s="14">
        <v>2498.8</v>
      </c>
      <c r="D605" s="14">
        <v>2516</v>
      </c>
      <c r="E605" s="14">
        <v>2471.6</v>
      </c>
      <c r="F605" s="14">
        <v>2475.9</v>
      </c>
      <c r="G605" s="14">
        <v>2508</v>
      </c>
      <c r="H605" s="14">
        <v>2509.55</v>
      </c>
      <c r="I605" s="14">
        <v>2497.26</v>
      </c>
      <c r="J605" s="14">
        <v>2630.95</v>
      </c>
      <c r="K605" s="14">
        <v>2458.05</v>
      </c>
      <c r="L605" s="15">
        <v>11442805</v>
      </c>
      <c r="M605" t="s" s="13">
        <v>615</v>
      </c>
      <c r="N605" s="15">
        <v>292077</v>
      </c>
      <c r="O605" s="17" cm="1">
        <f t="array" ref="O605">(H605-H604)/H604</f>
        <v>0.0135910174078113</v>
      </c>
    </row>
    <row r="606" ht="13.65" customHeight="1">
      <c r="A606" s="12">
        <v>45145</v>
      </c>
      <c r="B606" t="s" s="13">
        <v>22</v>
      </c>
      <c r="C606" s="14">
        <v>2521</v>
      </c>
      <c r="D606" s="14">
        <v>2528.4</v>
      </c>
      <c r="E606" s="14">
        <v>2505</v>
      </c>
      <c r="F606" s="14">
        <v>2509.55</v>
      </c>
      <c r="G606" s="14">
        <v>2523.5</v>
      </c>
      <c r="H606" s="14">
        <v>2523.85</v>
      </c>
      <c r="I606" s="14">
        <v>2518.85</v>
      </c>
      <c r="J606" s="14">
        <v>2630.95</v>
      </c>
      <c r="K606" s="14">
        <v>2458.05</v>
      </c>
      <c r="L606" s="15">
        <v>2991435</v>
      </c>
      <c r="M606" t="s" s="13">
        <v>616</v>
      </c>
      <c r="N606" s="15">
        <v>144288</v>
      </c>
      <c r="O606" s="17" cm="1">
        <f t="array" ref="O606">(H606-H605)/H605</f>
        <v>0.00569823275089159</v>
      </c>
    </row>
    <row r="607" ht="13.65" customHeight="1">
      <c r="A607" s="12">
        <v>45146</v>
      </c>
      <c r="B607" t="s" s="13">
        <v>22</v>
      </c>
      <c r="C607" s="14">
        <v>2528</v>
      </c>
      <c r="D607" s="14">
        <v>2534.45</v>
      </c>
      <c r="E607" s="14">
        <v>2499.55</v>
      </c>
      <c r="F607" s="14">
        <v>2523.85</v>
      </c>
      <c r="G607" s="14">
        <v>2503.75</v>
      </c>
      <c r="H607" s="14">
        <v>2508.65</v>
      </c>
      <c r="I607" s="14">
        <v>2514.67</v>
      </c>
      <c r="J607" s="14">
        <v>2630.95</v>
      </c>
      <c r="K607" s="14">
        <v>2458.05</v>
      </c>
      <c r="L607" s="15">
        <v>4922036</v>
      </c>
      <c r="M607" t="s" s="13">
        <v>617</v>
      </c>
      <c r="N607" s="15">
        <v>199690</v>
      </c>
      <c r="O607" s="17" cm="1">
        <f t="array" ref="O607">(H607-H606)/H606</f>
        <v>-0.00602254492144937</v>
      </c>
    </row>
    <row r="608" ht="13.65" customHeight="1">
      <c r="A608" s="12">
        <v>45147</v>
      </c>
      <c r="B608" t="s" s="13">
        <v>22</v>
      </c>
      <c r="C608" s="14">
        <v>2504.85</v>
      </c>
      <c r="D608" s="14">
        <v>2529</v>
      </c>
      <c r="E608" s="14">
        <v>2481.1</v>
      </c>
      <c r="F608" s="14">
        <v>2508.65</v>
      </c>
      <c r="G608" s="14">
        <v>2522</v>
      </c>
      <c r="H608" s="14">
        <v>2525.2</v>
      </c>
      <c r="I608" s="14">
        <v>2499.68</v>
      </c>
      <c r="J608" s="14">
        <v>2630.95</v>
      </c>
      <c r="K608" s="14">
        <v>2458.05</v>
      </c>
      <c r="L608" s="15">
        <v>5743293</v>
      </c>
      <c r="M608" t="s" s="13">
        <v>618</v>
      </c>
      <c r="N608" s="15">
        <v>269092</v>
      </c>
      <c r="O608" s="17" cm="1">
        <f t="array" ref="O608">(H608-H607)/H607</f>
        <v>0.00659717377872561</v>
      </c>
    </row>
    <row r="609" ht="13.65" customHeight="1">
      <c r="A609" s="18">
        <v>45148</v>
      </c>
      <c r="B609" t="s" s="13">
        <v>22</v>
      </c>
      <c r="C609" s="14">
        <v>2524.95</v>
      </c>
      <c r="D609" s="14">
        <v>2550</v>
      </c>
      <c r="E609" s="14">
        <v>2508.45</v>
      </c>
      <c r="F609" s="14">
        <v>2525.2</v>
      </c>
      <c r="G609" s="14">
        <v>2536</v>
      </c>
      <c r="H609" s="14">
        <v>2536.45</v>
      </c>
      <c r="I609" s="14">
        <v>2533.24</v>
      </c>
      <c r="J609" s="14">
        <v>2630.95</v>
      </c>
      <c r="K609" s="14">
        <v>2458.05</v>
      </c>
      <c r="L609" s="15">
        <v>7735299</v>
      </c>
      <c r="M609" t="s" s="13">
        <v>619</v>
      </c>
      <c r="N609" s="15">
        <v>257586</v>
      </c>
      <c r="O609" s="17" cm="1">
        <f t="array" ref="O609">(H609-H608)/H608</f>
        <v>0.00445509266592745</v>
      </c>
    </row>
    <row r="610" ht="13.65" customHeight="1">
      <c r="A610" s="18">
        <v>45149</v>
      </c>
      <c r="B610" t="s" s="13">
        <v>22</v>
      </c>
      <c r="C610" s="14">
        <v>2532.45</v>
      </c>
      <c r="D610" s="14">
        <v>2558.85</v>
      </c>
      <c r="E610" s="14">
        <v>2512.35</v>
      </c>
      <c r="F610" s="14">
        <v>2536.45</v>
      </c>
      <c r="G610" s="14">
        <v>2542</v>
      </c>
      <c r="H610" s="14">
        <v>2547.15</v>
      </c>
      <c r="I610" s="14">
        <v>2535.53</v>
      </c>
      <c r="J610" s="14">
        <v>2630.95</v>
      </c>
      <c r="K610" s="14">
        <v>2458.05</v>
      </c>
      <c r="L610" s="15">
        <v>11089665</v>
      </c>
      <c r="M610" t="s" s="13">
        <v>620</v>
      </c>
      <c r="N610" s="15">
        <v>247074</v>
      </c>
      <c r="O610" s="17" cm="1">
        <f t="array" ref="O610">(H610-H609)/H609</f>
        <v>0.00421849435234284</v>
      </c>
    </row>
    <row r="611" ht="13.65" customHeight="1">
      <c r="A611" s="18">
        <v>45152</v>
      </c>
      <c r="B611" t="s" s="13">
        <v>22</v>
      </c>
      <c r="C611" s="14">
        <v>2539</v>
      </c>
      <c r="D611" s="14">
        <v>2582.3</v>
      </c>
      <c r="E611" s="14">
        <v>2525</v>
      </c>
      <c r="F611" s="14">
        <v>2547.15</v>
      </c>
      <c r="G611" s="14">
        <v>2573.2</v>
      </c>
      <c r="H611" s="14">
        <v>2577.25</v>
      </c>
      <c r="I611" s="14">
        <v>2563.04</v>
      </c>
      <c r="J611" s="14">
        <v>2630.95</v>
      </c>
      <c r="K611" s="14">
        <v>2458.05</v>
      </c>
      <c r="L611" s="15">
        <v>4787906</v>
      </c>
      <c r="M611" t="s" s="13">
        <v>621</v>
      </c>
      <c r="N611" s="15">
        <v>248402</v>
      </c>
      <c r="O611" s="17" cm="1">
        <f t="array" ref="O611">(H611-H610)/H610</f>
        <v>0.01181712894804</v>
      </c>
    </row>
    <row r="612" ht="13.65" customHeight="1">
      <c r="A612" s="18">
        <v>45154</v>
      </c>
      <c r="B612" t="s" s="13">
        <v>22</v>
      </c>
      <c r="C612" s="14">
        <v>2551</v>
      </c>
      <c r="D612" s="14">
        <v>2582.8</v>
      </c>
      <c r="E612" s="14">
        <v>2551</v>
      </c>
      <c r="F612" s="14">
        <v>2577.25</v>
      </c>
      <c r="G612" s="14">
        <v>2571.95</v>
      </c>
      <c r="H612" s="14">
        <v>2575.15</v>
      </c>
      <c r="I612" s="14">
        <v>2568.15</v>
      </c>
      <c r="J612" s="14">
        <v>2630.95</v>
      </c>
      <c r="K612" s="14">
        <v>2458.05</v>
      </c>
      <c r="L612" s="15">
        <v>5101556</v>
      </c>
      <c r="M612" t="s" s="13">
        <v>622</v>
      </c>
      <c r="N612" s="15">
        <v>157128</v>
      </c>
      <c r="O612" s="17" cm="1">
        <f t="array" ref="O612">(H612-H611)/H611</f>
        <v>-0.000814822000194005</v>
      </c>
    </row>
    <row r="613" ht="13.65" customHeight="1">
      <c r="A613" s="18">
        <v>45155</v>
      </c>
      <c r="B613" t="s" s="13">
        <v>22</v>
      </c>
      <c r="C613" s="14">
        <v>2567.1</v>
      </c>
      <c r="D613" s="14">
        <v>2578.1</v>
      </c>
      <c r="E613" s="14">
        <v>2532.85</v>
      </c>
      <c r="F613" s="14">
        <v>2575.15</v>
      </c>
      <c r="G613" s="14">
        <v>2534.05</v>
      </c>
      <c r="H613" s="14">
        <v>2538</v>
      </c>
      <c r="I613" s="14">
        <v>2550.82</v>
      </c>
      <c r="J613" s="14">
        <v>2630.95</v>
      </c>
      <c r="K613" s="14">
        <v>2458.05</v>
      </c>
      <c r="L613" s="15">
        <v>6836872</v>
      </c>
      <c r="M613" t="s" s="13">
        <v>623</v>
      </c>
      <c r="N613" s="15">
        <v>305866</v>
      </c>
      <c r="O613" s="17" cm="1">
        <f t="array" ref="O613">(H613-H612)/H612</f>
        <v>-0.0144263440964604</v>
      </c>
    </row>
    <row r="614" ht="13.65" customHeight="1">
      <c r="A614" s="18">
        <v>45156</v>
      </c>
      <c r="B614" t="s" s="13">
        <v>22</v>
      </c>
      <c r="C614" s="14">
        <v>2531.25</v>
      </c>
      <c r="D614" s="14">
        <v>2577.6</v>
      </c>
      <c r="E614" s="14">
        <v>2508.55</v>
      </c>
      <c r="F614" s="14">
        <v>2538</v>
      </c>
      <c r="G614" s="14">
        <v>2551.05</v>
      </c>
      <c r="H614" s="14">
        <v>2556.8</v>
      </c>
      <c r="I614" s="14">
        <v>2543.13</v>
      </c>
      <c r="J614" s="14">
        <v>2630.95</v>
      </c>
      <c r="K614" s="14">
        <v>2458.05</v>
      </c>
      <c r="L614" s="15">
        <v>9319989</v>
      </c>
      <c r="M614" t="s" s="13">
        <v>624</v>
      </c>
      <c r="N614" s="15">
        <v>293106</v>
      </c>
      <c r="O614" s="17" cm="1">
        <f t="array" ref="O614">(H614-H613)/H613</f>
        <v>0.00740740740740741</v>
      </c>
    </row>
    <row r="615" ht="13.65" customHeight="1">
      <c r="A615" s="18">
        <v>45159</v>
      </c>
      <c r="B615" t="s" s="13">
        <v>22</v>
      </c>
      <c r="C615" s="14">
        <v>2539.95</v>
      </c>
      <c r="D615" s="14">
        <v>2555.45</v>
      </c>
      <c r="E615" s="14">
        <v>2515.65</v>
      </c>
      <c r="F615" s="14">
        <v>2556.8</v>
      </c>
      <c r="G615" s="14">
        <v>2519.5</v>
      </c>
      <c r="H615" s="14">
        <v>2520</v>
      </c>
      <c r="I615" s="14">
        <v>2528.76</v>
      </c>
      <c r="J615" s="14">
        <v>2630.95</v>
      </c>
      <c r="K615" s="14">
        <v>2458.05</v>
      </c>
      <c r="L615" s="15">
        <v>4610873</v>
      </c>
      <c r="M615" t="s" s="13">
        <v>625</v>
      </c>
      <c r="N615" s="15">
        <v>186604</v>
      </c>
      <c r="O615" s="17" cm="1">
        <f t="array" ref="O615">(H615-H614)/H614</f>
        <v>-0.0143929912390488</v>
      </c>
    </row>
    <row r="616" ht="13.65" customHeight="1">
      <c r="A616" s="18">
        <v>45160</v>
      </c>
      <c r="B616" t="s" s="13">
        <v>22</v>
      </c>
      <c r="C616" s="14">
        <v>2516.9</v>
      </c>
      <c r="D616" s="14">
        <v>2537.95</v>
      </c>
      <c r="E616" s="14">
        <v>2499</v>
      </c>
      <c r="F616" s="14">
        <v>2520</v>
      </c>
      <c r="G616" s="14">
        <v>2523</v>
      </c>
      <c r="H616" s="14">
        <v>2519.4</v>
      </c>
      <c r="I616" s="14">
        <v>2522.49</v>
      </c>
      <c r="J616" s="14">
        <v>2630.95</v>
      </c>
      <c r="K616" s="14">
        <v>2458.05</v>
      </c>
      <c r="L616" s="15">
        <v>3856522</v>
      </c>
      <c r="M616" t="s" s="13">
        <v>626</v>
      </c>
      <c r="N616" s="15">
        <v>234127</v>
      </c>
      <c r="O616" s="17" cm="1">
        <f t="array" ref="O616">(H616-H615)/H615</f>
        <v>-0.000238095238095238</v>
      </c>
    </row>
    <row r="617" ht="13.65" customHeight="1">
      <c r="A617" s="18">
        <v>45161</v>
      </c>
      <c r="B617" t="s" s="13">
        <v>22</v>
      </c>
      <c r="C617" s="14">
        <v>2524.2</v>
      </c>
      <c r="D617" s="14">
        <v>2542.85</v>
      </c>
      <c r="E617" s="14">
        <v>2516.95</v>
      </c>
      <c r="F617" s="14">
        <v>2519.4</v>
      </c>
      <c r="G617" s="14">
        <v>2518.2</v>
      </c>
      <c r="H617" s="14">
        <v>2522.2</v>
      </c>
      <c r="I617" s="14">
        <v>2528.38</v>
      </c>
      <c r="J617" s="14">
        <v>2630.95</v>
      </c>
      <c r="K617" s="14">
        <v>2458.05</v>
      </c>
      <c r="L617" s="15">
        <v>4758976</v>
      </c>
      <c r="M617" t="s" s="13">
        <v>627</v>
      </c>
      <c r="N617" s="15">
        <v>186890</v>
      </c>
      <c r="O617" s="17" cm="1">
        <f t="array" ref="O617">(H617-H616)/H616</f>
        <v>0.00111137572437882</v>
      </c>
    </row>
    <row r="618" ht="13.65" customHeight="1">
      <c r="A618" s="18">
        <v>45162</v>
      </c>
      <c r="B618" t="s" s="13">
        <v>22</v>
      </c>
      <c r="C618" s="14">
        <v>2539.9</v>
      </c>
      <c r="D618" s="14">
        <v>2539.9</v>
      </c>
      <c r="E618" s="14">
        <v>2471</v>
      </c>
      <c r="F618" s="14">
        <v>2522.2</v>
      </c>
      <c r="G618" s="14">
        <v>2475.8</v>
      </c>
      <c r="H618" s="14">
        <v>2479.8</v>
      </c>
      <c r="I618" s="14">
        <v>2505.26</v>
      </c>
      <c r="J618" s="14">
        <v>2630.95</v>
      </c>
      <c r="K618" s="14">
        <v>2458.05</v>
      </c>
      <c r="L618" s="15">
        <v>7070010</v>
      </c>
      <c r="M618" t="s" s="13">
        <v>628</v>
      </c>
      <c r="N618" s="15">
        <v>277360</v>
      </c>
      <c r="O618" s="17" cm="1">
        <f t="array" ref="O618">(H618-H617)/H617</f>
        <v>-0.0168107207993022</v>
      </c>
    </row>
    <row r="619" ht="13.65" customHeight="1">
      <c r="A619" s="18">
        <v>45163</v>
      </c>
      <c r="B619" t="s" s="13">
        <v>22</v>
      </c>
      <c r="C619" s="14">
        <v>2456</v>
      </c>
      <c r="D619" s="14">
        <v>2505</v>
      </c>
      <c r="E619" s="14">
        <v>2442.6</v>
      </c>
      <c r="F619" s="14">
        <v>2479.8</v>
      </c>
      <c r="G619" s="14">
        <v>2461.9</v>
      </c>
      <c r="H619" s="14">
        <v>2468.35</v>
      </c>
      <c r="I619" s="14">
        <v>2475.31</v>
      </c>
      <c r="J619" s="14">
        <v>2630.95</v>
      </c>
      <c r="K619" s="14">
        <v>2442.6</v>
      </c>
      <c r="L619" s="15">
        <v>11111200</v>
      </c>
      <c r="M619" t="s" s="13">
        <v>629</v>
      </c>
      <c r="N619" s="15">
        <v>309987</v>
      </c>
      <c r="O619" s="17" cm="1">
        <f t="array" ref="O619">(H619-H618)/H618</f>
        <v>-0.00461730784740705</v>
      </c>
    </row>
    <row r="620" ht="13.65" customHeight="1">
      <c r="A620" s="18">
        <v>45166</v>
      </c>
      <c r="B620" t="s" s="13">
        <v>22</v>
      </c>
      <c r="C620" s="14">
        <v>2472</v>
      </c>
      <c r="D620" s="14">
        <v>2484</v>
      </c>
      <c r="E620" s="14">
        <v>2431.1</v>
      </c>
      <c r="F620" s="14">
        <v>2468.35</v>
      </c>
      <c r="G620" s="14">
        <v>2436.95</v>
      </c>
      <c r="H620" s="14">
        <v>2443.75</v>
      </c>
      <c r="I620" s="14">
        <v>2465.38</v>
      </c>
      <c r="J620" s="14">
        <v>2630.95</v>
      </c>
      <c r="K620" s="14">
        <v>2431.1</v>
      </c>
      <c r="L620" s="15">
        <v>6290413</v>
      </c>
      <c r="M620" t="s" s="13">
        <v>630</v>
      </c>
      <c r="N620" s="15">
        <v>248985</v>
      </c>
      <c r="O620" s="17" cm="1">
        <f t="array" ref="O620">(H620-H619)/H619</f>
        <v>-0.009966171734154389</v>
      </c>
    </row>
    <row r="621" ht="13.65" customHeight="1">
      <c r="A621" s="18">
        <v>45167</v>
      </c>
      <c r="B621" t="s" s="13">
        <v>22</v>
      </c>
      <c r="C621" s="14">
        <v>2452.05</v>
      </c>
      <c r="D621" s="14">
        <v>2453.45</v>
      </c>
      <c r="E621" s="14">
        <v>2408.15</v>
      </c>
      <c r="F621" s="14">
        <v>2443.75</v>
      </c>
      <c r="G621" s="14">
        <v>2422</v>
      </c>
      <c r="H621" s="14">
        <v>2420.35</v>
      </c>
      <c r="I621" s="14">
        <v>2425.23</v>
      </c>
      <c r="J621" s="14">
        <v>2630.95</v>
      </c>
      <c r="K621" s="14">
        <v>2408.15</v>
      </c>
      <c r="L621" s="15">
        <v>8438322</v>
      </c>
      <c r="M621" t="s" s="13">
        <v>631</v>
      </c>
      <c r="N621" s="15">
        <v>319838</v>
      </c>
      <c r="O621" s="17" cm="1">
        <f t="array" ref="O621">(H621-H620)/H620</f>
        <v>-0.00957544757033248</v>
      </c>
    </row>
    <row r="622" ht="13.65" customHeight="1">
      <c r="A622" s="18">
        <v>45168</v>
      </c>
      <c r="B622" t="s" s="13">
        <v>22</v>
      </c>
      <c r="C622" s="14">
        <v>2432</v>
      </c>
      <c r="D622" s="14">
        <v>2443</v>
      </c>
      <c r="E622" s="14">
        <v>2415</v>
      </c>
      <c r="F622" s="14">
        <v>2420.35</v>
      </c>
      <c r="G622" s="14">
        <v>2419.4</v>
      </c>
      <c r="H622" s="14">
        <v>2418.05</v>
      </c>
      <c r="I622" s="14">
        <v>2426.59</v>
      </c>
      <c r="J622" s="14">
        <v>2630.95</v>
      </c>
      <c r="K622" s="14">
        <v>2408.15</v>
      </c>
      <c r="L622" s="15">
        <v>6084473</v>
      </c>
      <c r="M622" t="s" s="13">
        <v>632</v>
      </c>
      <c r="N622" s="15">
        <v>220096</v>
      </c>
      <c r="O622" s="17" cm="1">
        <f t="array" ref="O622">(H622-H621)/H621</f>
        <v>-0.000950275786559795</v>
      </c>
    </row>
    <row r="623" ht="13.65" customHeight="1">
      <c r="A623" s="18">
        <v>45169</v>
      </c>
      <c r="B623" t="s" s="13">
        <v>22</v>
      </c>
      <c r="C623" s="14">
        <v>2423</v>
      </c>
      <c r="D623" s="14">
        <v>2425</v>
      </c>
      <c r="E623" s="14">
        <v>2399.9</v>
      </c>
      <c r="F623" s="14">
        <v>2418.05</v>
      </c>
      <c r="G623" s="14">
        <v>2408</v>
      </c>
      <c r="H623" s="14">
        <v>2407</v>
      </c>
      <c r="I623" s="14">
        <v>2410.24</v>
      </c>
      <c r="J623" s="14">
        <v>2630.95</v>
      </c>
      <c r="K623" s="14">
        <v>2399.9</v>
      </c>
      <c r="L623" s="15">
        <v>10819300</v>
      </c>
      <c r="M623" t="s" s="13">
        <v>633</v>
      </c>
      <c r="N623" s="15">
        <v>263614</v>
      </c>
      <c r="O623" s="17" cm="1">
        <f t="array" ref="O623">(H623-H622)/H622</f>
        <v>-0.00456979797770931</v>
      </c>
    </row>
    <row r="624" ht="13.65" customHeight="1">
      <c r="A624" s="12">
        <v>45170</v>
      </c>
      <c r="B624" t="s" s="13">
        <v>22</v>
      </c>
      <c r="C624" s="14">
        <v>2406.55</v>
      </c>
      <c r="D624" s="14">
        <v>2425.65</v>
      </c>
      <c r="E624" s="14">
        <v>2401.65</v>
      </c>
      <c r="F624" s="14">
        <v>2407</v>
      </c>
      <c r="G624" s="14">
        <v>2411.4</v>
      </c>
      <c r="H624" s="14">
        <v>2412.65</v>
      </c>
      <c r="I624" s="14">
        <v>2413.4</v>
      </c>
      <c r="J624" s="14">
        <v>2630.95</v>
      </c>
      <c r="K624" s="14">
        <v>2399.9</v>
      </c>
      <c r="L624" s="15">
        <v>9056421</v>
      </c>
      <c r="M624" t="s" s="13">
        <v>634</v>
      </c>
      <c r="N624" s="15">
        <v>285753</v>
      </c>
      <c r="O624" s="17" cm="1">
        <f t="array" ref="O624">(H624-H623)/H623</f>
        <v>0.00234732031574574</v>
      </c>
    </row>
    <row r="625" ht="13.65" customHeight="1">
      <c r="A625" s="12">
        <v>45173</v>
      </c>
      <c r="B625" t="s" s="13">
        <v>22</v>
      </c>
      <c r="C625" s="14">
        <v>2412.65</v>
      </c>
      <c r="D625" s="14">
        <v>2423.65</v>
      </c>
      <c r="E625" s="14">
        <v>2405.3</v>
      </c>
      <c r="F625" s="14">
        <v>2412.65</v>
      </c>
      <c r="G625" s="14">
        <v>2411.05</v>
      </c>
      <c r="H625" s="14">
        <v>2410.7</v>
      </c>
      <c r="I625" s="14">
        <v>2413.56</v>
      </c>
      <c r="J625" s="14">
        <v>2630.95</v>
      </c>
      <c r="K625" s="14">
        <v>2399.9</v>
      </c>
      <c r="L625" s="15">
        <v>4673813</v>
      </c>
      <c r="M625" t="s" s="13">
        <v>635</v>
      </c>
      <c r="N625" s="15">
        <v>167154</v>
      </c>
      <c r="O625" s="17" cm="1">
        <f t="array" ref="O625">(H625-H624)/H624</f>
        <v>-0.0008082399021822479</v>
      </c>
    </row>
    <row r="626" ht="13.65" customHeight="1">
      <c r="A626" s="12">
        <v>45174</v>
      </c>
      <c r="B626" t="s" s="13">
        <v>22</v>
      </c>
      <c r="C626" s="14">
        <v>2420</v>
      </c>
      <c r="D626" s="14">
        <v>2433.95</v>
      </c>
      <c r="E626" s="14">
        <v>2412.45</v>
      </c>
      <c r="F626" s="14">
        <v>2410.7</v>
      </c>
      <c r="G626" s="14">
        <v>2426</v>
      </c>
      <c r="H626" s="14">
        <v>2423.6</v>
      </c>
      <c r="I626" s="14">
        <v>2423.22</v>
      </c>
      <c r="J626" s="14">
        <v>2630.95</v>
      </c>
      <c r="K626" s="14">
        <v>2399.9</v>
      </c>
      <c r="L626" s="15">
        <v>4337938</v>
      </c>
      <c r="M626" t="s" s="13">
        <v>636</v>
      </c>
      <c r="N626" s="15">
        <v>160296</v>
      </c>
      <c r="O626" s="17" cm="1">
        <f t="array" ref="O626">(H626-H625)/H625</f>
        <v>0.00535114282158709</v>
      </c>
    </row>
    <row r="627" ht="13.65" customHeight="1">
      <c r="A627" s="12">
        <v>45175</v>
      </c>
      <c r="B627" t="s" s="13">
        <v>22</v>
      </c>
      <c r="C627" s="14">
        <v>2421.1</v>
      </c>
      <c r="D627" s="14">
        <v>2436.15</v>
      </c>
      <c r="E627" s="14">
        <v>2417.25</v>
      </c>
      <c r="F627" s="14">
        <v>2423.6</v>
      </c>
      <c r="G627" s="14">
        <v>2426.35</v>
      </c>
      <c r="H627" s="14">
        <v>2428.7</v>
      </c>
      <c r="I627" s="14">
        <v>2427.46</v>
      </c>
      <c r="J627" s="14">
        <v>2630.95</v>
      </c>
      <c r="K627" s="14">
        <v>2399.9</v>
      </c>
      <c r="L627" s="15">
        <v>4100185</v>
      </c>
      <c r="M627" t="s" s="13">
        <v>637</v>
      </c>
      <c r="N627" s="15">
        <v>168907</v>
      </c>
      <c r="O627" s="17" cm="1">
        <f t="array" ref="O627">(H627-H626)/H626</f>
        <v>0.002104307641525</v>
      </c>
    </row>
    <row r="628" ht="13.65" customHeight="1">
      <c r="A628" s="12">
        <v>45176</v>
      </c>
      <c r="B628" t="s" s="13">
        <v>22</v>
      </c>
      <c r="C628" s="14">
        <v>2421.7</v>
      </c>
      <c r="D628" s="14">
        <v>2438.25</v>
      </c>
      <c r="E628" s="14">
        <v>2411</v>
      </c>
      <c r="F628" s="14">
        <v>2428.7</v>
      </c>
      <c r="G628" s="14">
        <v>2431</v>
      </c>
      <c r="H628" s="14">
        <v>2432</v>
      </c>
      <c r="I628" s="14">
        <v>2424.86</v>
      </c>
      <c r="J628" s="14">
        <v>2630.95</v>
      </c>
      <c r="K628" s="14">
        <v>2399.9</v>
      </c>
      <c r="L628" s="15">
        <v>6826286</v>
      </c>
      <c r="M628" t="s" s="13">
        <v>638</v>
      </c>
      <c r="N628" s="15">
        <v>176371</v>
      </c>
      <c r="O628" s="17" cm="1">
        <f t="array" ref="O628">(H628-H627)/H627</f>
        <v>0.00135875159550377</v>
      </c>
    </row>
    <row r="629" ht="13.65" customHeight="1">
      <c r="A629" s="12">
        <v>45177</v>
      </c>
      <c r="B629" t="s" s="13">
        <v>22</v>
      </c>
      <c r="C629" s="14">
        <v>2440</v>
      </c>
      <c r="D629" s="14">
        <v>2456</v>
      </c>
      <c r="E629" s="14">
        <v>2422.95</v>
      </c>
      <c r="F629" s="14">
        <v>2432</v>
      </c>
      <c r="G629" s="14">
        <v>2451</v>
      </c>
      <c r="H629" s="14">
        <v>2448.2</v>
      </c>
      <c r="I629" s="14">
        <v>2435.83</v>
      </c>
      <c r="J629" s="14">
        <v>2630.95</v>
      </c>
      <c r="K629" s="14">
        <v>2399.9</v>
      </c>
      <c r="L629" s="15">
        <v>11554644</v>
      </c>
      <c r="M629" t="s" s="13">
        <v>639</v>
      </c>
      <c r="N629" s="15">
        <v>203161</v>
      </c>
      <c r="O629" s="17" cm="1">
        <f t="array" ref="O629">(H629-H628)/H628</f>
        <v>0.00666118421052632</v>
      </c>
    </row>
    <row r="630" ht="13.65" customHeight="1">
      <c r="A630" s="18">
        <v>45180</v>
      </c>
      <c r="B630" t="s" s="13">
        <v>22</v>
      </c>
      <c r="C630" s="14">
        <v>2452</v>
      </c>
      <c r="D630" s="14">
        <v>2476.85</v>
      </c>
      <c r="E630" s="14">
        <v>2452</v>
      </c>
      <c r="F630" s="14">
        <v>2448.2</v>
      </c>
      <c r="G630" s="14">
        <v>2473.05</v>
      </c>
      <c r="H630" s="14">
        <v>2474.6</v>
      </c>
      <c r="I630" s="14">
        <v>2468.87</v>
      </c>
      <c r="J630" s="14">
        <v>2630.95</v>
      </c>
      <c r="K630" s="14">
        <v>2399.9</v>
      </c>
      <c r="L630" s="15">
        <v>6635537</v>
      </c>
      <c r="M630" t="s" s="13">
        <v>640</v>
      </c>
      <c r="N630" s="15">
        <v>216515</v>
      </c>
      <c r="O630" s="17" cm="1">
        <f t="array" ref="O630">(H630-H629)/H629</f>
        <v>0.0107834327260845</v>
      </c>
    </row>
    <row r="631" ht="13.65" customHeight="1">
      <c r="A631" s="18">
        <v>45181</v>
      </c>
      <c r="B631" t="s" s="13">
        <v>22</v>
      </c>
      <c r="C631" s="14">
        <v>2483</v>
      </c>
      <c r="D631" s="14">
        <v>2483</v>
      </c>
      <c r="E631" s="14">
        <v>2435.95</v>
      </c>
      <c r="F631" s="14">
        <v>2474.6</v>
      </c>
      <c r="G631" s="14">
        <v>2437</v>
      </c>
      <c r="H631" s="14">
        <v>2438.85</v>
      </c>
      <c r="I631" s="14">
        <v>2451.73</v>
      </c>
      <c r="J631" s="14">
        <v>2630.95</v>
      </c>
      <c r="K631" s="14">
        <v>2399.9</v>
      </c>
      <c r="L631" s="15">
        <v>8127833</v>
      </c>
      <c r="M631" t="s" s="13">
        <v>641</v>
      </c>
      <c r="N631" s="15">
        <v>230277</v>
      </c>
      <c r="O631" s="17" cm="1">
        <f t="array" ref="O631">(H631-H630)/H630</f>
        <v>-0.014446779277459</v>
      </c>
    </row>
    <row r="632" ht="13.65" customHeight="1">
      <c r="A632" s="18">
        <v>45182</v>
      </c>
      <c r="B632" t="s" s="13">
        <v>22</v>
      </c>
      <c r="C632" s="14">
        <v>2440</v>
      </c>
      <c r="D632" s="14">
        <v>2462.65</v>
      </c>
      <c r="E632" s="14">
        <v>2426.25</v>
      </c>
      <c r="F632" s="14">
        <v>2438.85</v>
      </c>
      <c r="G632" s="14">
        <v>2450.1</v>
      </c>
      <c r="H632" s="14">
        <v>2451.05</v>
      </c>
      <c r="I632" s="14">
        <v>2451.78</v>
      </c>
      <c r="J632" s="14">
        <v>2630.95</v>
      </c>
      <c r="K632" s="14">
        <v>2399.9</v>
      </c>
      <c r="L632" s="15">
        <v>6401669</v>
      </c>
      <c r="M632" t="s" s="13">
        <v>642</v>
      </c>
      <c r="N632" s="15">
        <v>153034</v>
      </c>
      <c r="O632" s="17" cm="1">
        <f t="array" ref="O632">(H632-H631)/H631</f>
        <v>0.0050023576685733</v>
      </c>
    </row>
    <row r="633" ht="13.65" customHeight="1">
      <c r="A633" s="18">
        <v>45183</v>
      </c>
      <c r="B633" t="s" s="13">
        <v>22</v>
      </c>
      <c r="C633" s="14">
        <v>2460</v>
      </c>
      <c r="D633" s="14">
        <v>2465.8</v>
      </c>
      <c r="E633" s="14">
        <v>2445</v>
      </c>
      <c r="F633" s="14">
        <v>2451.05</v>
      </c>
      <c r="G633" s="14">
        <v>2456</v>
      </c>
      <c r="H633" s="14">
        <v>2453.3</v>
      </c>
      <c r="I633" s="14">
        <v>2454.2</v>
      </c>
      <c r="J633" s="14">
        <v>2630.95</v>
      </c>
      <c r="K633" s="14">
        <v>2399.9</v>
      </c>
      <c r="L633" s="15">
        <v>4604818</v>
      </c>
      <c r="M633" t="s" s="13">
        <v>643</v>
      </c>
      <c r="N633" s="15">
        <v>259706</v>
      </c>
      <c r="O633" s="17" cm="1">
        <f t="array" ref="O633">(H633-H632)/H632</f>
        <v>0.000917973929540401</v>
      </c>
    </row>
    <row r="634" ht="13.65" customHeight="1">
      <c r="A634" s="18">
        <v>45184</v>
      </c>
      <c r="B634" t="s" s="13">
        <v>22</v>
      </c>
      <c r="C634" s="14">
        <v>2468</v>
      </c>
      <c r="D634" s="14">
        <v>2468</v>
      </c>
      <c r="E634" s="14">
        <v>2449.5</v>
      </c>
      <c r="F634" s="14">
        <v>2453.3</v>
      </c>
      <c r="G634" s="14">
        <v>2452.5</v>
      </c>
      <c r="H634" s="14">
        <v>2457.85</v>
      </c>
      <c r="I634" s="14">
        <v>2458.32</v>
      </c>
      <c r="J634" s="14">
        <v>2630.95</v>
      </c>
      <c r="K634" s="14">
        <v>2399.9</v>
      </c>
      <c r="L634" s="15">
        <v>12734296</v>
      </c>
      <c r="M634" t="s" s="13">
        <v>644</v>
      </c>
      <c r="N634" s="15">
        <v>172228</v>
      </c>
      <c r="O634" s="17" cm="1">
        <f t="array" ref="O634">(H634-H633)/H633</f>
        <v>0.00185464476419517</v>
      </c>
    </row>
    <row r="635" ht="13.65" customHeight="1">
      <c r="A635" s="18">
        <v>45187</v>
      </c>
      <c r="B635" t="s" s="13">
        <v>22</v>
      </c>
      <c r="C635" s="14">
        <v>2440.05</v>
      </c>
      <c r="D635" s="14">
        <v>2451</v>
      </c>
      <c r="E635" s="14">
        <v>2432.05</v>
      </c>
      <c r="F635" s="14">
        <v>2457.85</v>
      </c>
      <c r="G635" s="14">
        <v>2434</v>
      </c>
      <c r="H635" s="14">
        <v>2436.45</v>
      </c>
      <c r="I635" s="14">
        <v>2442.35</v>
      </c>
      <c r="J635" s="14">
        <v>2630.95</v>
      </c>
      <c r="K635" s="14">
        <v>2399.9</v>
      </c>
      <c r="L635" s="15">
        <v>3758150</v>
      </c>
      <c r="M635" t="s" s="13">
        <v>645</v>
      </c>
      <c r="N635" s="15">
        <v>135713</v>
      </c>
      <c r="O635" s="17" cm="1">
        <f t="array" ref="O635">(H635-H634)/H634</f>
        <v>-0.008706796590516101</v>
      </c>
    </row>
    <row r="636" ht="13.65" customHeight="1">
      <c r="A636" s="18">
        <v>45189</v>
      </c>
      <c r="B636" t="s" s="13">
        <v>22</v>
      </c>
      <c r="C636" s="14">
        <v>2423.05</v>
      </c>
      <c r="D636" s="14">
        <v>2427.6</v>
      </c>
      <c r="E636" s="14">
        <v>2355</v>
      </c>
      <c r="F636" s="14">
        <v>2436.45</v>
      </c>
      <c r="G636" s="14">
        <v>2380.65</v>
      </c>
      <c r="H636" s="14">
        <v>2382.15</v>
      </c>
      <c r="I636" s="14">
        <v>2377.79</v>
      </c>
      <c r="J636" s="14">
        <v>2630.95</v>
      </c>
      <c r="K636" s="14">
        <v>2355</v>
      </c>
      <c r="L636" s="15">
        <v>28540942</v>
      </c>
      <c r="M636" t="s" s="13">
        <v>646</v>
      </c>
      <c r="N636" s="15">
        <v>350883</v>
      </c>
      <c r="O636" s="17" cm="1">
        <f t="array" ref="O636">(H636-H635)/H635</f>
        <v>-0.0222865234254756</v>
      </c>
    </row>
    <row r="637" ht="13.65" customHeight="1">
      <c r="A637" s="18">
        <v>45190</v>
      </c>
      <c r="B637" t="s" s="13">
        <v>22</v>
      </c>
      <c r="C637" s="14">
        <v>2374.95</v>
      </c>
      <c r="D637" s="14">
        <v>2390.1</v>
      </c>
      <c r="E637" s="14">
        <v>2360</v>
      </c>
      <c r="F637" s="14">
        <v>2382.15</v>
      </c>
      <c r="G637" s="14">
        <v>2365</v>
      </c>
      <c r="H637" s="14">
        <v>2364.8</v>
      </c>
      <c r="I637" s="14">
        <v>2370.7</v>
      </c>
      <c r="J637" s="14">
        <v>2630.95</v>
      </c>
      <c r="K637" s="14">
        <v>2355</v>
      </c>
      <c r="L637" s="15">
        <v>6113091</v>
      </c>
      <c r="M637" t="s" s="13">
        <v>647</v>
      </c>
      <c r="N637" s="15">
        <v>292445</v>
      </c>
      <c r="O637" s="17" cm="1">
        <f t="array" ref="O637">(H637-H636)/H636</f>
        <v>-0.00728333648174968</v>
      </c>
    </row>
    <row r="638" ht="13.65" customHeight="1">
      <c r="A638" s="18">
        <v>45191</v>
      </c>
      <c r="B638" t="s" s="13">
        <v>22</v>
      </c>
      <c r="C638" s="14">
        <v>2376</v>
      </c>
      <c r="D638" s="14">
        <v>2382.45</v>
      </c>
      <c r="E638" s="14">
        <v>2350</v>
      </c>
      <c r="F638" s="14">
        <v>2364.8</v>
      </c>
      <c r="G638" s="14">
        <v>2356.5</v>
      </c>
      <c r="H638" s="14">
        <v>2354.95</v>
      </c>
      <c r="I638" s="14">
        <v>2363.47</v>
      </c>
      <c r="J638" s="14">
        <v>2630.95</v>
      </c>
      <c r="K638" s="14">
        <v>2350</v>
      </c>
      <c r="L638" s="15">
        <v>9588393</v>
      </c>
      <c r="M638" t="s" s="13">
        <v>648</v>
      </c>
      <c r="N638" s="15">
        <v>302933</v>
      </c>
      <c r="O638" s="17" cm="1">
        <f t="array" ref="O638">(H638-H637)/H637</f>
        <v>-0.00416525710419486</v>
      </c>
    </row>
    <row r="639" ht="13.65" customHeight="1">
      <c r="A639" s="18">
        <v>45194</v>
      </c>
      <c r="B639" t="s" s="13">
        <v>22</v>
      </c>
      <c r="C639" s="14">
        <v>2350.4</v>
      </c>
      <c r="D639" s="14">
        <v>2360.7</v>
      </c>
      <c r="E639" s="14">
        <v>2335.1</v>
      </c>
      <c r="F639" s="14">
        <v>2354.95</v>
      </c>
      <c r="G639" s="14">
        <v>2339.5</v>
      </c>
      <c r="H639" s="14">
        <v>2340.45</v>
      </c>
      <c r="I639" s="14">
        <v>2343.52</v>
      </c>
      <c r="J639" s="14">
        <v>2630.95</v>
      </c>
      <c r="K639" s="14">
        <v>2335.1</v>
      </c>
      <c r="L639" s="15">
        <v>7127442</v>
      </c>
      <c r="M639" t="s" s="13">
        <v>649</v>
      </c>
      <c r="N639" s="15">
        <v>266745</v>
      </c>
      <c r="O639" s="17" cm="1">
        <f t="array" ref="O639">(H639-H638)/H638</f>
        <v>-0.00615724325357226</v>
      </c>
    </row>
    <row r="640" ht="13.65" customHeight="1">
      <c r="A640" s="18">
        <v>45195</v>
      </c>
      <c r="B640" t="s" s="13">
        <v>22</v>
      </c>
      <c r="C640" s="14">
        <v>2338.55</v>
      </c>
      <c r="D640" s="14">
        <v>2350.2</v>
      </c>
      <c r="E640" s="14">
        <v>2335.6</v>
      </c>
      <c r="F640" s="14">
        <v>2340.45</v>
      </c>
      <c r="G640" s="14">
        <v>2340</v>
      </c>
      <c r="H640" s="14">
        <v>2342.5</v>
      </c>
      <c r="I640" s="14">
        <v>2342.35</v>
      </c>
      <c r="J640" s="14">
        <v>2630.95</v>
      </c>
      <c r="K640" s="14">
        <v>2335.1</v>
      </c>
      <c r="L640" s="15">
        <v>5043891</v>
      </c>
      <c r="M640" t="s" s="13">
        <v>650</v>
      </c>
      <c r="N640" s="15">
        <v>168749</v>
      </c>
      <c r="O640" s="17" cm="1">
        <f t="array" ref="O640">(H640-H639)/H639</f>
        <v>0.00087589993377342</v>
      </c>
    </row>
    <row r="641" ht="13.65" customHeight="1">
      <c r="A641" s="18">
        <v>45196</v>
      </c>
      <c r="B641" t="s" s="13">
        <v>22</v>
      </c>
      <c r="C641" s="14">
        <v>2343.5</v>
      </c>
      <c r="D641" s="14">
        <v>2371.8</v>
      </c>
      <c r="E641" s="14">
        <v>2338.5</v>
      </c>
      <c r="F641" s="14">
        <v>2342.5</v>
      </c>
      <c r="G641" s="14">
        <v>2371</v>
      </c>
      <c r="H641" s="14">
        <v>2368.9</v>
      </c>
      <c r="I641" s="14">
        <v>2355.73</v>
      </c>
      <c r="J641" s="14">
        <v>2630.95</v>
      </c>
      <c r="K641" s="14">
        <v>2335.1</v>
      </c>
      <c r="L641" s="15">
        <v>5861389</v>
      </c>
      <c r="M641" t="s" s="13">
        <v>651</v>
      </c>
      <c r="N641" s="15">
        <v>233089</v>
      </c>
      <c r="O641" s="17" cm="1">
        <f t="array" ref="O641">(H641-H640)/H640</f>
        <v>0.0112700106723586</v>
      </c>
    </row>
    <row r="642" ht="13.65" customHeight="1">
      <c r="A642" s="18">
        <v>45197</v>
      </c>
      <c r="B642" t="s" s="13">
        <v>22</v>
      </c>
      <c r="C642" s="14">
        <v>2383</v>
      </c>
      <c r="D642" s="14">
        <v>2383</v>
      </c>
      <c r="E642" s="14">
        <v>2325</v>
      </c>
      <c r="F642" s="14">
        <v>2368.9</v>
      </c>
      <c r="G642" s="14">
        <v>2339</v>
      </c>
      <c r="H642" s="14">
        <v>2334.1</v>
      </c>
      <c r="I642" s="14">
        <v>2352.03</v>
      </c>
      <c r="J642" s="14">
        <v>2630.95</v>
      </c>
      <c r="K642" s="14">
        <v>2325</v>
      </c>
      <c r="L642" s="15">
        <v>7259173</v>
      </c>
      <c r="M642" t="s" s="13">
        <v>652</v>
      </c>
      <c r="N642" s="15">
        <v>283992</v>
      </c>
      <c r="O642" s="17" cm="1">
        <f t="array" ref="O642">(H642-H641)/H641</f>
        <v>-0.01469036261556</v>
      </c>
    </row>
    <row r="643" ht="13.65" customHeight="1">
      <c r="A643" s="18">
        <v>45198</v>
      </c>
      <c r="B643" t="s" s="13">
        <v>22</v>
      </c>
      <c r="C643" s="14">
        <v>2341.8</v>
      </c>
      <c r="D643" s="14">
        <v>2369.1</v>
      </c>
      <c r="E643" s="14">
        <v>2334.1</v>
      </c>
      <c r="F643" s="14">
        <v>2334.1</v>
      </c>
      <c r="G643" s="14">
        <v>2342.05</v>
      </c>
      <c r="H643" s="14">
        <v>2345</v>
      </c>
      <c r="I643" s="14">
        <v>2350.92</v>
      </c>
      <c r="J643" s="14">
        <v>2630.95</v>
      </c>
      <c r="K643" s="14">
        <v>2325</v>
      </c>
      <c r="L643" s="15">
        <v>6171007</v>
      </c>
      <c r="M643" t="s" s="13">
        <v>653</v>
      </c>
      <c r="N643" s="15">
        <v>178898</v>
      </c>
      <c r="O643" s="17" cm="1">
        <f t="array" ref="O643">(H643-H642)/H642</f>
        <v>0.00466989417762735</v>
      </c>
    </row>
    <row r="644" ht="13.65" customHeight="1">
      <c r="A644" s="12">
        <v>45202</v>
      </c>
      <c r="B644" t="s" s="13">
        <v>22</v>
      </c>
      <c r="C644" s="14">
        <v>2329.95</v>
      </c>
      <c r="D644" s="14">
        <v>2335.6</v>
      </c>
      <c r="E644" s="14">
        <v>2316</v>
      </c>
      <c r="F644" s="14">
        <v>2345</v>
      </c>
      <c r="G644" s="14">
        <v>2318.4</v>
      </c>
      <c r="H644" s="14">
        <v>2318.15</v>
      </c>
      <c r="I644" s="14">
        <v>2322.04</v>
      </c>
      <c r="J644" s="14">
        <v>2630.95</v>
      </c>
      <c r="K644" s="14">
        <v>2316</v>
      </c>
      <c r="L644" s="15">
        <v>4429528</v>
      </c>
      <c r="M644" t="s" s="13">
        <v>654</v>
      </c>
      <c r="N644" s="15">
        <v>192207</v>
      </c>
      <c r="O644" s="17" cm="1">
        <f t="array" ref="O644">(H644-H643)/H643</f>
        <v>-0.0114498933901919</v>
      </c>
    </row>
    <row r="645" ht="13.65" customHeight="1">
      <c r="A645" s="12">
        <v>45203</v>
      </c>
      <c r="B645" t="s" s="13">
        <v>22</v>
      </c>
      <c r="C645" s="14">
        <v>2309</v>
      </c>
      <c r="D645" s="14">
        <v>2319</v>
      </c>
      <c r="E645" s="14">
        <v>2295.1</v>
      </c>
      <c r="F645" s="14">
        <v>2318.15</v>
      </c>
      <c r="G645" s="14">
        <v>2314.1</v>
      </c>
      <c r="H645" s="14">
        <v>2314.15</v>
      </c>
      <c r="I645" s="14">
        <v>2304.24</v>
      </c>
      <c r="J645" s="14">
        <v>2630.95</v>
      </c>
      <c r="K645" s="14">
        <v>2295.1</v>
      </c>
      <c r="L645" s="15">
        <v>5143193</v>
      </c>
      <c r="M645" t="s" s="13">
        <v>655</v>
      </c>
      <c r="N645" s="15">
        <v>261511</v>
      </c>
      <c r="O645" s="17" cm="1">
        <f t="array" ref="O645">(H645-H644)/H644</f>
        <v>-0.00172551387960227</v>
      </c>
    </row>
    <row r="646" ht="13.65" customHeight="1">
      <c r="A646" s="12">
        <v>45204</v>
      </c>
      <c r="B646" t="s" s="13">
        <v>22</v>
      </c>
      <c r="C646" s="14">
        <v>2319.25</v>
      </c>
      <c r="D646" s="14">
        <v>2329.4</v>
      </c>
      <c r="E646" s="14">
        <v>2309</v>
      </c>
      <c r="F646" s="14">
        <v>2314.15</v>
      </c>
      <c r="G646" s="14">
        <v>2312.9</v>
      </c>
      <c r="H646" s="14">
        <v>2314.1</v>
      </c>
      <c r="I646" s="14">
        <v>2317.43</v>
      </c>
      <c r="J646" s="14">
        <v>2630.95</v>
      </c>
      <c r="K646" s="14">
        <v>2295.1</v>
      </c>
      <c r="L646" s="15">
        <v>5476841</v>
      </c>
      <c r="M646" t="s" s="13">
        <v>656</v>
      </c>
      <c r="N646" s="15">
        <v>220239</v>
      </c>
      <c r="O646" s="17" cm="1">
        <f t="array" ref="O646">(H646-H645)/H645</f>
        <v>-2.16062053021628e-05</v>
      </c>
    </row>
    <row r="647" ht="13.65" customHeight="1">
      <c r="A647" s="12">
        <v>45205</v>
      </c>
      <c r="B647" t="s" s="13">
        <v>22</v>
      </c>
      <c r="C647" s="14">
        <v>2317.05</v>
      </c>
      <c r="D647" s="14">
        <v>2324.8</v>
      </c>
      <c r="E647" s="14">
        <v>2312.05</v>
      </c>
      <c r="F647" s="14">
        <v>2314.1</v>
      </c>
      <c r="G647" s="14">
        <v>2317.65</v>
      </c>
      <c r="H647" s="14">
        <v>2318</v>
      </c>
      <c r="I647" s="14">
        <v>2318.8</v>
      </c>
      <c r="J647" s="14">
        <v>2630.95</v>
      </c>
      <c r="K647" s="14">
        <v>2295.1</v>
      </c>
      <c r="L647" s="15">
        <v>2715513</v>
      </c>
      <c r="M647" t="s" s="13">
        <v>657</v>
      </c>
      <c r="N647" s="15">
        <v>165579</v>
      </c>
      <c r="O647" s="17" cm="1">
        <f t="array" ref="O647">(H647-H646)/H646</f>
        <v>0.00168532042694784</v>
      </c>
    </row>
    <row r="648" ht="13.65" customHeight="1">
      <c r="A648" s="12">
        <v>45208</v>
      </c>
      <c r="B648" t="s" s="13">
        <v>22</v>
      </c>
      <c r="C648" s="14">
        <v>2308.1</v>
      </c>
      <c r="D648" s="14">
        <v>2311.95</v>
      </c>
      <c r="E648" s="14">
        <v>2295</v>
      </c>
      <c r="F648" s="14">
        <v>2318</v>
      </c>
      <c r="G648" s="14">
        <v>2295.15</v>
      </c>
      <c r="H648" s="14">
        <v>2298.25</v>
      </c>
      <c r="I648" s="14">
        <v>2302.95</v>
      </c>
      <c r="J648" s="14">
        <v>2630.95</v>
      </c>
      <c r="K648" s="14">
        <v>2295</v>
      </c>
      <c r="L648" s="15">
        <v>3788439</v>
      </c>
      <c r="M648" t="s" s="13">
        <v>658</v>
      </c>
      <c r="N648" s="15">
        <v>215473</v>
      </c>
      <c r="O648" s="17" cm="1">
        <f t="array" ref="O648">(H648-H647)/H647</f>
        <v>-0.00852027610008628</v>
      </c>
    </row>
    <row r="649" ht="13.65" customHeight="1">
      <c r="A649" s="18">
        <v>45209</v>
      </c>
      <c r="B649" t="s" s="13">
        <v>22</v>
      </c>
      <c r="C649" s="14">
        <v>2306.55</v>
      </c>
      <c r="D649" s="14">
        <v>2317.9</v>
      </c>
      <c r="E649" s="14">
        <v>2303.75</v>
      </c>
      <c r="F649" s="14">
        <v>2298.25</v>
      </c>
      <c r="G649" s="14">
        <v>2310.3</v>
      </c>
      <c r="H649" s="14">
        <v>2308.4</v>
      </c>
      <c r="I649" s="14">
        <v>2309.03</v>
      </c>
      <c r="J649" s="14">
        <v>2630.95</v>
      </c>
      <c r="K649" s="14">
        <v>2295</v>
      </c>
      <c r="L649" s="15">
        <v>5118016</v>
      </c>
      <c r="M649" t="s" s="13">
        <v>659</v>
      </c>
      <c r="N649" s="15">
        <v>240623</v>
      </c>
      <c r="O649" s="17" cm="1">
        <f t="array" ref="O649">(H649-H648)/H648</f>
        <v>0.00441640378548896</v>
      </c>
    </row>
    <row r="650" ht="13.65" customHeight="1">
      <c r="A650" s="18">
        <v>45210</v>
      </c>
      <c r="B650" t="s" s="13">
        <v>22</v>
      </c>
      <c r="C650" s="14">
        <v>2314.45</v>
      </c>
      <c r="D650" s="14">
        <v>2349.7</v>
      </c>
      <c r="E650" s="14">
        <v>2313</v>
      </c>
      <c r="F650" s="14">
        <v>2308.4</v>
      </c>
      <c r="G650" s="14">
        <v>2345.75</v>
      </c>
      <c r="H650" s="14">
        <v>2345.05</v>
      </c>
      <c r="I650" s="14">
        <v>2333.86</v>
      </c>
      <c r="J650" s="14">
        <v>2630.95</v>
      </c>
      <c r="K650" s="14">
        <v>2295</v>
      </c>
      <c r="L650" s="15">
        <v>4907059</v>
      </c>
      <c r="M650" t="s" s="13">
        <v>660</v>
      </c>
      <c r="N650" s="15">
        <v>199005</v>
      </c>
      <c r="O650" s="17" cm="1">
        <f t="array" ref="O650">(H650-H649)/H649</f>
        <v>0.0158767977820135</v>
      </c>
    </row>
    <row r="651" ht="13.65" customHeight="1">
      <c r="A651" s="18">
        <v>45211</v>
      </c>
      <c r="B651" t="s" s="13">
        <v>22</v>
      </c>
      <c r="C651" s="14">
        <v>2343.85</v>
      </c>
      <c r="D651" s="14">
        <v>2359.35</v>
      </c>
      <c r="E651" s="14">
        <v>2338.15</v>
      </c>
      <c r="F651" s="14">
        <v>2345.05</v>
      </c>
      <c r="G651" s="14">
        <v>2347.35</v>
      </c>
      <c r="H651" s="14">
        <v>2349.4</v>
      </c>
      <c r="I651" s="14">
        <v>2350.76</v>
      </c>
      <c r="J651" s="14">
        <v>2630.95</v>
      </c>
      <c r="K651" s="14">
        <v>2295</v>
      </c>
      <c r="L651" s="15">
        <v>6277225</v>
      </c>
      <c r="M651" t="s" s="13">
        <v>661</v>
      </c>
      <c r="N651" s="15">
        <v>231306</v>
      </c>
      <c r="O651" s="17" cm="1">
        <f t="array" ref="O651">(H651-H650)/H650</f>
        <v>0.00185497110935801</v>
      </c>
    </row>
    <row r="652" ht="13.65" customHeight="1">
      <c r="A652" s="18">
        <v>45212</v>
      </c>
      <c r="B652" t="s" s="13">
        <v>22</v>
      </c>
      <c r="C652" s="14">
        <v>2340</v>
      </c>
      <c r="D652" s="14">
        <v>2357.5</v>
      </c>
      <c r="E652" s="14">
        <v>2329.15</v>
      </c>
      <c r="F652" s="14">
        <v>2349.4</v>
      </c>
      <c r="G652" s="14">
        <v>2344.95</v>
      </c>
      <c r="H652" s="14">
        <v>2349.3</v>
      </c>
      <c r="I652" s="14">
        <v>2344.56</v>
      </c>
      <c r="J652" s="14">
        <v>2630.95</v>
      </c>
      <c r="K652" s="14">
        <v>2295</v>
      </c>
      <c r="L652" s="15">
        <v>5075158</v>
      </c>
      <c r="M652" t="s" s="13">
        <v>662</v>
      </c>
      <c r="N652" s="15">
        <v>196532</v>
      </c>
      <c r="O652" s="17" cm="1">
        <f t="array" ref="O652">(H652-H651)/H651</f>
        <v>-4.25640589086575e-05</v>
      </c>
    </row>
    <row r="653" ht="13.65" customHeight="1">
      <c r="A653" s="18">
        <v>45215</v>
      </c>
      <c r="B653" t="s" s="13">
        <v>22</v>
      </c>
      <c r="C653" s="14">
        <v>2345</v>
      </c>
      <c r="D653" s="14">
        <v>2354.55</v>
      </c>
      <c r="E653" s="14">
        <v>2336</v>
      </c>
      <c r="F653" s="14">
        <v>2349.3</v>
      </c>
      <c r="G653" s="14">
        <v>2345.8</v>
      </c>
      <c r="H653" s="14">
        <v>2344.05</v>
      </c>
      <c r="I653" s="14">
        <v>2346.59</v>
      </c>
      <c r="J653" s="14">
        <v>2630.95</v>
      </c>
      <c r="K653" s="14">
        <v>2295</v>
      </c>
      <c r="L653" s="15">
        <v>2964518</v>
      </c>
      <c r="M653" t="s" s="13">
        <v>663</v>
      </c>
      <c r="N653" s="15">
        <v>174031</v>
      </c>
      <c r="O653" s="17" cm="1">
        <f t="array" ref="O653">(H653-H652)/H652</f>
        <v>-0.00223470821095646</v>
      </c>
    </row>
    <row r="654" ht="13.65" customHeight="1">
      <c r="A654" s="18">
        <v>45216</v>
      </c>
      <c r="B654" t="s" s="13">
        <v>22</v>
      </c>
      <c r="C654" s="14">
        <v>2356</v>
      </c>
      <c r="D654" s="14">
        <v>2359.7</v>
      </c>
      <c r="E654" s="14">
        <v>2341.3</v>
      </c>
      <c r="F654" s="14">
        <v>2344.05</v>
      </c>
      <c r="G654" s="14">
        <v>2356.2</v>
      </c>
      <c r="H654" s="14">
        <v>2355.25</v>
      </c>
      <c r="I654" s="14">
        <v>2350.51</v>
      </c>
      <c r="J654" s="14">
        <v>2630.95</v>
      </c>
      <c r="K654" s="14">
        <v>2295</v>
      </c>
      <c r="L654" s="15">
        <v>3964090</v>
      </c>
      <c r="M654" t="s" s="13">
        <v>664</v>
      </c>
      <c r="N654" s="15">
        <v>132520</v>
      </c>
      <c r="O654" s="17" cm="1">
        <f t="array" ref="O654">(H654-H653)/H653</f>
        <v>0.00477805507561699</v>
      </c>
    </row>
    <row r="655" ht="13.65" customHeight="1">
      <c r="A655" s="18">
        <v>45217</v>
      </c>
      <c r="B655" t="s" s="13">
        <v>22</v>
      </c>
      <c r="C655" s="14">
        <v>2355.25</v>
      </c>
      <c r="D655" s="14">
        <v>2367</v>
      </c>
      <c r="E655" s="14">
        <v>2321</v>
      </c>
      <c r="F655" s="14">
        <v>2355.25</v>
      </c>
      <c r="G655" s="14">
        <v>2321.4</v>
      </c>
      <c r="H655" s="14">
        <v>2324</v>
      </c>
      <c r="I655" s="14">
        <v>2341.91</v>
      </c>
      <c r="J655" s="14">
        <v>2630.95</v>
      </c>
      <c r="K655" s="14">
        <v>2295</v>
      </c>
      <c r="L655" s="15">
        <v>4459160</v>
      </c>
      <c r="M655" t="s" s="13">
        <v>665</v>
      </c>
      <c r="N655" s="15">
        <v>197131</v>
      </c>
      <c r="O655" s="17" cm="1">
        <f t="array" ref="O655">(H655-H654)/H654</f>
        <v>-0.013268230548774</v>
      </c>
    </row>
    <row r="656" ht="13.65" customHeight="1">
      <c r="A656" s="18">
        <v>45218</v>
      </c>
      <c r="B656" t="s" s="13">
        <v>22</v>
      </c>
      <c r="C656" s="14">
        <v>2312</v>
      </c>
      <c r="D656" s="14">
        <v>2321.8</v>
      </c>
      <c r="E656" s="14">
        <v>2301</v>
      </c>
      <c r="F656" s="14">
        <v>2324</v>
      </c>
      <c r="G656" s="14">
        <v>2304.65</v>
      </c>
      <c r="H656" s="14">
        <v>2306.15</v>
      </c>
      <c r="I656" s="14">
        <v>2310.08</v>
      </c>
      <c r="J656" s="14">
        <v>2630.95</v>
      </c>
      <c r="K656" s="14">
        <v>2295</v>
      </c>
      <c r="L656" s="15">
        <v>6016278</v>
      </c>
      <c r="M656" t="s" s="13">
        <v>666</v>
      </c>
      <c r="N656" s="15">
        <v>306999</v>
      </c>
      <c r="O656" s="17" cm="1">
        <f t="array" ref="O656">(H656-H655)/H655</f>
        <v>-0.00768072289156627</v>
      </c>
    </row>
    <row r="657" ht="13.65" customHeight="1">
      <c r="A657" s="18">
        <v>45219</v>
      </c>
      <c r="B657" t="s" s="13">
        <v>22</v>
      </c>
      <c r="C657" s="14">
        <v>2300</v>
      </c>
      <c r="D657" s="14">
        <v>2314.7</v>
      </c>
      <c r="E657" s="14">
        <v>2296.3</v>
      </c>
      <c r="F657" s="14">
        <v>2306.15</v>
      </c>
      <c r="G657" s="14">
        <v>2296.6</v>
      </c>
      <c r="H657" s="14">
        <v>2299.1</v>
      </c>
      <c r="I657" s="14">
        <v>2302.59</v>
      </c>
      <c r="J657" s="14">
        <v>2630.95</v>
      </c>
      <c r="K657" s="14">
        <v>2295</v>
      </c>
      <c r="L657" s="15">
        <v>4456656</v>
      </c>
      <c r="M657" t="s" s="13">
        <v>667</v>
      </c>
      <c r="N657" s="15">
        <v>236801</v>
      </c>
      <c r="O657" s="17" cm="1">
        <f t="array" ref="O657">(H657-H656)/H656</f>
        <v>-0.00305704312382109</v>
      </c>
    </row>
    <row r="658" ht="13.65" customHeight="1">
      <c r="A658" s="18">
        <v>45222</v>
      </c>
      <c r="B658" t="s" s="13">
        <v>22</v>
      </c>
      <c r="C658" s="14">
        <v>2290</v>
      </c>
      <c r="D658" s="14">
        <v>2306.25</v>
      </c>
      <c r="E658" s="14">
        <v>2255.25</v>
      </c>
      <c r="F658" s="14">
        <v>2299.1</v>
      </c>
      <c r="G658" s="14">
        <v>2262.9</v>
      </c>
      <c r="H658" s="14">
        <v>2263.2</v>
      </c>
      <c r="I658" s="14">
        <v>2283.24</v>
      </c>
      <c r="J658" s="14">
        <v>2630.95</v>
      </c>
      <c r="K658" s="14">
        <v>2255.25</v>
      </c>
      <c r="L658" s="15">
        <v>3926981</v>
      </c>
      <c r="M658" t="s" s="13">
        <v>668</v>
      </c>
      <c r="N658" s="15">
        <v>229519</v>
      </c>
      <c r="O658" s="17" cm="1">
        <f t="array" ref="O658">(H658-H657)/H657</f>
        <v>-0.0156148057935714</v>
      </c>
    </row>
    <row r="659" ht="13.65" customHeight="1">
      <c r="A659" s="18">
        <v>45224</v>
      </c>
      <c r="B659" t="s" s="13">
        <v>22</v>
      </c>
      <c r="C659" s="14">
        <v>2250.05</v>
      </c>
      <c r="D659" s="14">
        <v>2281.2</v>
      </c>
      <c r="E659" s="14">
        <v>2243</v>
      </c>
      <c r="F659" s="14">
        <v>2263.2</v>
      </c>
      <c r="G659" s="14">
        <v>2256</v>
      </c>
      <c r="H659" s="14">
        <v>2257.95</v>
      </c>
      <c r="I659" s="14">
        <v>2261.49</v>
      </c>
      <c r="J659" s="14">
        <v>2630.95</v>
      </c>
      <c r="K659" s="14">
        <v>2243</v>
      </c>
      <c r="L659" s="15">
        <v>5810344</v>
      </c>
      <c r="M659" t="s" s="13">
        <v>669</v>
      </c>
      <c r="N659" s="15">
        <v>276253</v>
      </c>
      <c r="O659" s="17" cm="1">
        <f t="array" ref="O659">(H659-H658)/H658</f>
        <v>-0.00231972428419936</v>
      </c>
    </row>
    <row r="660" ht="13.65" customHeight="1">
      <c r="A660" s="18">
        <v>45225</v>
      </c>
      <c r="B660" t="s" s="13">
        <v>22</v>
      </c>
      <c r="C660" s="14">
        <v>2251</v>
      </c>
      <c r="D660" s="14">
        <v>2258</v>
      </c>
      <c r="E660" s="14">
        <v>2220.3</v>
      </c>
      <c r="F660" s="14">
        <v>2257.95</v>
      </c>
      <c r="G660" s="14">
        <v>2223</v>
      </c>
      <c r="H660" s="14">
        <v>2226.5</v>
      </c>
      <c r="I660" s="14">
        <v>2232.86</v>
      </c>
      <c r="J660" s="14">
        <v>2630.95</v>
      </c>
      <c r="K660" s="14">
        <v>2220.3</v>
      </c>
      <c r="L660" s="15">
        <v>7611267</v>
      </c>
      <c r="M660" t="s" s="13">
        <v>670</v>
      </c>
      <c r="N660" s="15">
        <v>349499</v>
      </c>
      <c r="O660" s="17" cm="1">
        <f t="array" ref="O660">(H660-H659)/H659</f>
        <v>-0.0139285635200071</v>
      </c>
    </row>
    <row r="661" ht="13.65" customHeight="1">
      <c r="A661" s="18">
        <v>45226</v>
      </c>
      <c r="B661" t="s" s="13">
        <v>22</v>
      </c>
      <c r="C661" s="14">
        <v>2240</v>
      </c>
      <c r="D661" s="14">
        <v>2273.5</v>
      </c>
      <c r="E661" s="14">
        <v>2235.95</v>
      </c>
      <c r="F661" s="14">
        <v>2226.5</v>
      </c>
      <c r="G661" s="14">
        <v>2266.15</v>
      </c>
      <c r="H661" s="14">
        <v>2265.8</v>
      </c>
      <c r="I661" s="14">
        <v>2262.35</v>
      </c>
      <c r="J661" s="14">
        <v>2630.95</v>
      </c>
      <c r="K661" s="14">
        <v>2220.3</v>
      </c>
      <c r="L661" s="15">
        <v>5885542</v>
      </c>
      <c r="M661" t="s" s="13">
        <v>671</v>
      </c>
      <c r="N661" s="15">
        <v>247495</v>
      </c>
      <c r="O661" s="17" cm="1">
        <f t="array" ref="O661">(H661-H660)/H660</f>
        <v>0.0176510217830676</v>
      </c>
    </row>
    <row r="662" ht="13.65" customHeight="1">
      <c r="A662" s="18">
        <v>45229</v>
      </c>
      <c r="B662" t="s" s="13">
        <v>22</v>
      </c>
      <c r="C662" s="14">
        <v>2274</v>
      </c>
      <c r="D662" s="14">
        <v>2325</v>
      </c>
      <c r="E662" s="14">
        <v>2269.95</v>
      </c>
      <c r="F662" s="14">
        <v>2265.8</v>
      </c>
      <c r="G662" s="14">
        <v>2309</v>
      </c>
      <c r="H662" s="14">
        <v>2312.5</v>
      </c>
      <c r="I662" s="14">
        <v>2310.35</v>
      </c>
      <c r="J662" s="14">
        <v>2630.95</v>
      </c>
      <c r="K662" s="14">
        <v>2220.3</v>
      </c>
      <c r="L662" s="15">
        <v>8406652</v>
      </c>
      <c r="M662" t="s" s="13">
        <v>672</v>
      </c>
      <c r="N662" s="15">
        <v>352375</v>
      </c>
      <c r="O662" s="17" cm="1">
        <f t="array" ref="O662">(H662-H661)/H661</f>
        <v>0.0206108217848001</v>
      </c>
    </row>
    <row r="663" ht="13.65" customHeight="1">
      <c r="A663" s="18">
        <v>45230</v>
      </c>
      <c r="B663" t="s" s="13">
        <v>22</v>
      </c>
      <c r="C663" s="14">
        <v>2328</v>
      </c>
      <c r="D663" s="14">
        <v>2328</v>
      </c>
      <c r="E663" s="14">
        <v>2282.9</v>
      </c>
      <c r="F663" s="14">
        <v>2312.5</v>
      </c>
      <c r="G663" s="14">
        <v>2289</v>
      </c>
      <c r="H663" s="14">
        <v>2287.9</v>
      </c>
      <c r="I663" s="14">
        <v>2302.76</v>
      </c>
      <c r="J663" s="14">
        <v>2630.95</v>
      </c>
      <c r="K663" s="14">
        <v>2220.3</v>
      </c>
      <c r="L663" s="15">
        <v>6404219</v>
      </c>
      <c r="M663" t="s" s="13">
        <v>673</v>
      </c>
      <c r="N663" s="15">
        <v>285198</v>
      </c>
      <c r="O663" s="17" cm="1">
        <f t="array" ref="O663">(H663-H662)/H662</f>
        <v>-0.0106378378378378</v>
      </c>
    </row>
    <row r="664" ht="13.65" customHeight="1">
      <c r="A664" s="12">
        <v>45231</v>
      </c>
      <c r="B664" t="s" s="13">
        <v>22</v>
      </c>
      <c r="C664" s="14">
        <v>2289.15</v>
      </c>
      <c r="D664" s="14">
        <v>2317.5</v>
      </c>
      <c r="E664" s="14">
        <v>2275.2</v>
      </c>
      <c r="F664" s="14">
        <v>2287.9</v>
      </c>
      <c r="G664" s="14">
        <v>2294.7</v>
      </c>
      <c r="H664" s="14">
        <v>2297.4</v>
      </c>
      <c r="I664" s="14">
        <v>2301.86</v>
      </c>
      <c r="J664" s="14">
        <v>2630.95</v>
      </c>
      <c r="K664" s="14">
        <v>2220.3</v>
      </c>
      <c r="L664" s="15">
        <v>5154595</v>
      </c>
      <c r="M664" t="s" s="13">
        <v>674</v>
      </c>
      <c r="N664" s="15">
        <v>172384</v>
      </c>
      <c r="O664" s="17" cm="1">
        <f t="array" ref="O664">(H664-H663)/H663</f>
        <v>0.00415227938284016</v>
      </c>
    </row>
    <row r="665" ht="13.65" customHeight="1">
      <c r="A665" s="12">
        <v>45232</v>
      </c>
      <c r="B665" t="s" s="13">
        <v>22</v>
      </c>
      <c r="C665" s="14">
        <v>2313.95</v>
      </c>
      <c r="D665" s="14">
        <v>2324.3</v>
      </c>
      <c r="E665" s="14">
        <v>2307.95</v>
      </c>
      <c r="F665" s="14">
        <v>2297.4</v>
      </c>
      <c r="G665" s="14">
        <v>2319</v>
      </c>
      <c r="H665" s="14">
        <v>2320.2</v>
      </c>
      <c r="I665" s="14">
        <v>2316.45</v>
      </c>
      <c r="J665" s="14">
        <v>2630.95</v>
      </c>
      <c r="K665" s="14">
        <v>2220.3</v>
      </c>
      <c r="L665" s="15">
        <v>5281052</v>
      </c>
      <c r="M665" t="s" s="13">
        <v>675</v>
      </c>
      <c r="N665" s="15">
        <v>156658</v>
      </c>
      <c r="O665" s="17" cm="1">
        <f t="array" ref="O665">(H665-H664)/H664</f>
        <v>0.009924262209454171</v>
      </c>
    </row>
    <row r="666" ht="13.65" customHeight="1">
      <c r="A666" s="12">
        <v>45233</v>
      </c>
      <c r="B666" t="s" s="13">
        <v>22</v>
      </c>
      <c r="C666" s="14">
        <v>2327.2</v>
      </c>
      <c r="D666" s="14">
        <v>2334.95</v>
      </c>
      <c r="E666" s="14">
        <v>2315.75</v>
      </c>
      <c r="F666" s="14">
        <v>2320.2</v>
      </c>
      <c r="G666" s="14">
        <v>2319</v>
      </c>
      <c r="H666" s="14">
        <v>2319.7</v>
      </c>
      <c r="I666" s="14">
        <v>2325.94</v>
      </c>
      <c r="J666" s="14">
        <v>2630.95</v>
      </c>
      <c r="K666" s="14">
        <v>2220.3</v>
      </c>
      <c r="L666" s="15">
        <v>4425078</v>
      </c>
      <c r="M666" t="s" s="13">
        <v>676</v>
      </c>
      <c r="N666" s="15">
        <v>157991</v>
      </c>
      <c r="O666" s="17" cm="1">
        <f t="array" ref="O666">(H666-H665)/H665</f>
        <v>-0.000215498663908284</v>
      </c>
    </row>
    <row r="667" ht="13.65" customHeight="1">
      <c r="A667" s="12">
        <v>45236</v>
      </c>
      <c r="B667" t="s" s="13">
        <v>22</v>
      </c>
      <c r="C667" s="14">
        <v>2332.3</v>
      </c>
      <c r="D667" s="14">
        <v>2340</v>
      </c>
      <c r="E667" s="14">
        <v>2325.6</v>
      </c>
      <c r="F667" s="14">
        <v>2319.7</v>
      </c>
      <c r="G667" s="14">
        <v>2339</v>
      </c>
      <c r="H667" s="14">
        <v>2339</v>
      </c>
      <c r="I667" s="14">
        <v>2334.2</v>
      </c>
      <c r="J667" s="14">
        <v>2630.95</v>
      </c>
      <c r="K667" s="14">
        <v>2220.3</v>
      </c>
      <c r="L667" s="15">
        <v>5323652</v>
      </c>
      <c r="M667" t="s" s="13">
        <v>677</v>
      </c>
      <c r="N667" s="15">
        <v>159387</v>
      </c>
      <c r="O667" s="17" cm="1">
        <f t="array" ref="O667">(H667-H666)/H666</f>
        <v>0.00832004138466181</v>
      </c>
    </row>
    <row r="668" ht="13.65" customHeight="1">
      <c r="A668" s="12">
        <v>45237</v>
      </c>
      <c r="B668" t="s" s="13">
        <v>22</v>
      </c>
      <c r="C668" s="14">
        <v>2334.05</v>
      </c>
      <c r="D668" s="14">
        <v>2339.1</v>
      </c>
      <c r="E668" s="14">
        <v>2319.55</v>
      </c>
      <c r="F668" s="14">
        <v>2339</v>
      </c>
      <c r="G668" s="14">
        <v>2323.1</v>
      </c>
      <c r="H668" s="14">
        <v>2323.8</v>
      </c>
      <c r="I668" s="14">
        <v>2328.29</v>
      </c>
      <c r="J668" s="14">
        <v>2630.95</v>
      </c>
      <c r="K668" s="14">
        <v>2220.3</v>
      </c>
      <c r="L668" s="15">
        <v>3480102</v>
      </c>
      <c r="M668" t="s" s="13">
        <v>678</v>
      </c>
      <c r="N668" s="15">
        <v>164587</v>
      </c>
      <c r="O668" s="17" cm="1">
        <f t="array" ref="O668">(H668-H667)/H667</f>
        <v>-0.00649850363403164</v>
      </c>
    </row>
    <row r="669" ht="13.65" customHeight="1">
      <c r="A669" s="12">
        <v>45238</v>
      </c>
      <c r="B669" t="s" s="13">
        <v>22</v>
      </c>
      <c r="C669" s="14">
        <v>2332</v>
      </c>
      <c r="D669" s="14">
        <v>2341</v>
      </c>
      <c r="E669" s="14">
        <v>2321.75</v>
      </c>
      <c r="F669" s="14">
        <v>2323.8</v>
      </c>
      <c r="G669" s="14">
        <v>2333.75</v>
      </c>
      <c r="H669" s="14">
        <v>2335.9</v>
      </c>
      <c r="I669" s="14">
        <v>2335.8</v>
      </c>
      <c r="J669" s="14">
        <v>2630.95</v>
      </c>
      <c r="K669" s="14">
        <v>2220.3</v>
      </c>
      <c r="L669" s="15">
        <v>3942247</v>
      </c>
      <c r="M669" t="s" s="13">
        <v>679</v>
      </c>
      <c r="N669" s="15">
        <v>150160</v>
      </c>
      <c r="O669" s="17" cm="1">
        <f t="array" ref="O669">(H669-H668)/H668</f>
        <v>0.00520698855323178</v>
      </c>
    </row>
    <row r="670" ht="13.65" customHeight="1">
      <c r="A670" s="12">
        <v>45239</v>
      </c>
      <c r="B670" t="s" s="13">
        <v>22</v>
      </c>
      <c r="C670" s="14">
        <v>2335.85</v>
      </c>
      <c r="D670" s="14">
        <v>2335.9</v>
      </c>
      <c r="E670" s="14">
        <v>2304.2</v>
      </c>
      <c r="F670" s="14">
        <v>2335.9</v>
      </c>
      <c r="G670" s="14">
        <v>2311.45</v>
      </c>
      <c r="H670" s="14">
        <v>2310.55</v>
      </c>
      <c r="I670" s="14">
        <v>2316.51</v>
      </c>
      <c r="J670" s="14">
        <v>2630.95</v>
      </c>
      <c r="K670" s="14">
        <v>2220.3</v>
      </c>
      <c r="L670" s="15">
        <v>7256805</v>
      </c>
      <c r="M670" t="s" s="13">
        <v>680</v>
      </c>
      <c r="N670" s="15">
        <v>264597</v>
      </c>
      <c r="O670" s="17" cm="1">
        <f t="array" ref="O670">(H670-H669)/H669</f>
        <v>-0.0108523481313412</v>
      </c>
    </row>
    <row r="671" ht="13.65" customHeight="1">
      <c r="A671" s="18">
        <v>45240</v>
      </c>
      <c r="B671" t="s" s="13">
        <v>22</v>
      </c>
      <c r="C671" s="14">
        <v>2305.55</v>
      </c>
      <c r="D671" s="14">
        <v>2316.35</v>
      </c>
      <c r="E671" s="14">
        <v>2298.05</v>
      </c>
      <c r="F671" s="14">
        <v>2310.55</v>
      </c>
      <c r="G671" s="14">
        <v>2315.9</v>
      </c>
      <c r="H671" s="14">
        <v>2314.9</v>
      </c>
      <c r="I671" s="14">
        <v>2308.66</v>
      </c>
      <c r="J671" s="14">
        <v>2630.95</v>
      </c>
      <c r="K671" s="14">
        <v>2220.3</v>
      </c>
      <c r="L671" s="15">
        <v>3867477</v>
      </c>
      <c r="M671" t="s" s="13">
        <v>681</v>
      </c>
      <c r="N671" s="15">
        <v>144846</v>
      </c>
      <c r="O671" s="17" cm="1">
        <f t="array" ref="O671">(H671-H670)/H670</f>
        <v>0.00188266862868148</v>
      </c>
    </row>
    <row r="672" ht="13.65" customHeight="1">
      <c r="A672" s="18">
        <v>45242</v>
      </c>
      <c r="B672" t="s" s="13">
        <v>22</v>
      </c>
      <c r="C672" s="14">
        <v>2326.05</v>
      </c>
      <c r="D672" s="14">
        <v>2332</v>
      </c>
      <c r="E672" s="14">
        <v>2322.5</v>
      </c>
      <c r="F672" s="14">
        <v>2314.9</v>
      </c>
      <c r="G672" s="14">
        <v>2330.9</v>
      </c>
      <c r="H672" s="14">
        <v>2330.65</v>
      </c>
      <c r="I672" s="14">
        <v>2328.71</v>
      </c>
      <c r="J672" s="14">
        <v>2630.95</v>
      </c>
      <c r="K672" s="14">
        <v>2220.3</v>
      </c>
      <c r="L672" s="15">
        <v>709922</v>
      </c>
      <c r="M672" t="s" s="13">
        <v>682</v>
      </c>
      <c r="N672" s="15">
        <v>54331</v>
      </c>
      <c r="O672" s="17" cm="1">
        <f t="array" ref="O672">(H672-H671)/H671</f>
        <v>0.00680374962201391</v>
      </c>
    </row>
    <row r="673" ht="13.65" customHeight="1">
      <c r="A673" s="18">
        <v>45243</v>
      </c>
      <c r="B673" t="s" s="13">
        <v>22</v>
      </c>
      <c r="C673" s="14">
        <v>2322.9</v>
      </c>
      <c r="D673" s="14">
        <v>2324.6</v>
      </c>
      <c r="E673" s="14">
        <v>2311.7</v>
      </c>
      <c r="F673" s="14">
        <v>2330.65</v>
      </c>
      <c r="G673" s="14">
        <v>2315.1</v>
      </c>
      <c r="H673" s="14">
        <v>2314.6</v>
      </c>
      <c r="I673" s="14">
        <v>2316.15</v>
      </c>
      <c r="J673" s="14">
        <v>2630.95</v>
      </c>
      <c r="K673" s="14">
        <v>2220.3</v>
      </c>
      <c r="L673" s="15">
        <v>1927405</v>
      </c>
      <c r="M673" t="s" s="13">
        <v>683</v>
      </c>
      <c r="N673" s="15">
        <v>101023</v>
      </c>
      <c r="O673" s="17" cm="1">
        <f t="array" ref="O673">(H673-H672)/H672</f>
        <v>-0.00688649089309849</v>
      </c>
    </row>
    <row r="674" ht="13.65" customHeight="1">
      <c r="A674" s="18">
        <v>45245</v>
      </c>
      <c r="B674" t="s" s="13">
        <v>22</v>
      </c>
      <c r="C674" s="14">
        <v>2340</v>
      </c>
      <c r="D674" s="14">
        <v>2361.95</v>
      </c>
      <c r="E674" s="14">
        <v>2327</v>
      </c>
      <c r="F674" s="14">
        <v>2314.6</v>
      </c>
      <c r="G674" s="14">
        <v>2356.1</v>
      </c>
      <c r="H674" s="14">
        <v>2356.45</v>
      </c>
      <c r="I674" s="14">
        <v>2346.76</v>
      </c>
      <c r="J674" s="14">
        <v>2630.95</v>
      </c>
      <c r="K674" s="14">
        <v>2220.3</v>
      </c>
      <c r="L674" s="15">
        <v>6110324</v>
      </c>
      <c r="M674" t="s" s="13">
        <v>684</v>
      </c>
      <c r="N674" s="15">
        <v>188402</v>
      </c>
      <c r="O674" s="17" cm="1">
        <f t="array" ref="O674">(H674-H673)/H673</f>
        <v>0.0180808779054696</v>
      </c>
    </row>
    <row r="675" ht="13.65" customHeight="1">
      <c r="A675" s="18">
        <v>45246</v>
      </c>
      <c r="B675" t="s" s="13">
        <v>22</v>
      </c>
      <c r="C675" s="14">
        <v>2351.1</v>
      </c>
      <c r="D675" s="14">
        <v>2374.15</v>
      </c>
      <c r="E675" s="14">
        <v>2346.95</v>
      </c>
      <c r="F675" s="14">
        <v>2356.45</v>
      </c>
      <c r="G675" s="14">
        <v>2358</v>
      </c>
      <c r="H675" s="14">
        <v>2360.7</v>
      </c>
      <c r="I675" s="14">
        <v>2363.74</v>
      </c>
      <c r="J675" s="14">
        <v>2630.95</v>
      </c>
      <c r="K675" s="14">
        <v>2220.3</v>
      </c>
      <c r="L675" s="15">
        <v>6567455</v>
      </c>
      <c r="M675" t="s" s="13">
        <v>685</v>
      </c>
      <c r="N675" s="15">
        <v>179828</v>
      </c>
      <c r="O675" s="17" cm="1">
        <f t="array" ref="O675">(H675-H674)/H674</f>
        <v>0.00180356044049311</v>
      </c>
    </row>
    <row r="676" ht="13.65" customHeight="1">
      <c r="A676" s="18">
        <v>45247</v>
      </c>
      <c r="B676" t="s" s="13">
        <v>22</v>
      </c>
      <c r="C676" s="14">
        <v>2352.9</v>
      </c>
      <c r="D676" s="14">
        <v>2373.25</v>
      </c>
      <c r="E676" s="14">
        <v>2352.05</v>
      </c>
      <c r="F676" s="14">
        <v>2360.7</v>
      </c>
      <c r="G676" s="14">
        <v>2354.85</v>
      </c>
      <c r="H676" s="14">
        <v>2355.55</v>
      </c>
      <c r="I676" s="14">
        <v>2363.5</v>
      </c>
      <c r="J676" s="14">
        <v>2630.95</v>
      </c>
      <c r="K676" s="14">
        <v>2220.3</v>
      </c>
      <c r="L676" s="15">
        <v>3879317</v>
      </c>
      <c r="M676" t="s" s="13">
        <v>686</v>
      </c>
      <c r="N676" s="15">
        <v>140454</v>
      </c>
      <c r="O676" s="17" cm="1">
        <f t="array" ref="O676">(H676-H675)/H675</f>
        <v>-0.00218155631804126</v>
      </c>
    </row>
    <row r="677" ht="13.65" customHeight="1">
      <c r="A677" s="18">
        <v>45250</v>
      </c>
      <c r="B677" t="s" s="13">
        <v>22</v>
      </c>
      <c r="C677" s="14">
        <v>2348.55</v>
      </c>
      <c r="D677" s="14">
        <v>2358.4</v>
      </c>
      <c r="E677" s="14">
        <v>2336.4</v>
      </c>
      <c r="F677" s="14">
        <v>2355.55</v>
      </c>
      <c r="G677" s="14">
        <v>2349</v>
      </c>
      <c r="H677" s="14">
        <v>2349.35</v>
      </c>
      <c r="I677" s="14">
        <v>2346.96</v>
      </c>
      <c r="J677" s="14">
        <v>2630.95</v>
      </c>
      <c r="K677" s="14">
        <v>2220.3</v>
      </c>
      <c r="L677" s="15">
        <v>2245093</v>
      </c>
      <c r="M677" t="s" s="13">
        <v>687</v>
      </c>
      <c r="N677" s="15">
        <v>117438</v>
      </c>
      <c r="O677" s="17" cm="1">
        <f t="array" ref="O677">(H677-H676)/H676</f>
        <v>-0.00263208167943792</v>
      </c>
    </row>
    <row r="678" ht="13.65" customHeight="1">
      <c r="A678" s="18">
        <v>45251</v>
      </c>
      <c r="B678" t="s" s="13">
        <v>22</v>
      </c>
      <c r="C678" s="14">
        <v>2366</v>
      </c>
      <c r="D678" s="14">
        <v>2388</v>
      </c>
      <c r="E678" s="14">
        <v>2360.2</v>
      </c>
      <c r="F678" s="14">
        <v>2349.35</v>
      </c>
      <c r="G678" s="14">
        <v>2377</v>
      </c>
      <c r="H678" s="14">
        <v>2378.9</v>
      </c>
      <c r="I678" s="14">
        <v>2377.09</v>
      </c>
      <c r="J678" s="14">
        <v>2630.95</v>
      </c>
      <c r="K678" s="14">
        <v>2220.3</v>
      </c>
      <c r="L678" s="15">
        <v>4107225</v>
      </c>
      <c r="M678" t="s" s="13">
        <v>688</v>
      </c>
      <c r="N678" s="15">
        <v>163809</v>
      </c>
      <c r="O678" s="17" cm="1">
        <f t="array" ref="O678">(H678-H677)/H677</f>
        <v>0.0125779470917488</v>
      </c>
    </row>
    <row r="679" ht="13.65" customHeight="1">
      <c r="A679" s="18">
        <v>45252</v>
      </c>
      <c r="B679" t="s" s="13">
        <v>22</v>
      </c>
      <c r="C679" s="14">
        <v>2375</v>
      </c>
      <c r="D679" s="14">
        <v>2394.45</v>
      </c>
      <c r="E679" s="14">
        <v>2372.2</v>
      </c>
      <c r="F679" s="14">
        <v>2378.9</v>
      </c>
      <c r="G679" s="14">
        <v>2387</v>
      </c>
      <c r="H679" s="14">
        <v>2388.2</v>
      </c>
      <c r="I679" s="14">
        <v>2385.76</v>
      </c>
      <c r="J679" s="14">
        <v>2630.95</v>
      </c>
      <c r="K679" s="14">
        <v>2220.3</v>
      </c>
      <c r="L679" s="15">
        <v>4267407</v>
      </c>
      <c r="M679" t="s" s="13">
        <v>689</v>
      </c>
      <c r="N679" s="15">
        <v>177755</v>
      </c>
      <c r="O679" s="17" cm="1">
        <f t="array" ref="O679">(H679-H678)/H678</f>
        <v>0.00390936987683383</v>
      </c>
    </row>
    <row r="680" ht="13.65" customHeight="1">
      <c r="A680" s="18">
        <v>45253</v>
      </c>
      <c r="B680" t="s" s="13">
        <v>22</v>
      </c>
      <c r="C680" s="14">
        <v>2388.2</v>
      </c>
      <c r="D680" s="14">
        <v>2400</v>
      </c>
      <c r="E680" s="14">
        <v>2388.2</v>
      </c>
      <c r="F680" s="14">
        <v>2388.2</v>
      </c>
      <c r="G680" s="14">
        <v>2393.9</v>
      </c>
      <c r="H680" s="14">
        <v>2395.5</v>
      </c>
      <c r="I680" s="14">
        <v>2395.76</v>
      </c>
      <c r="J680" s="14">
        <v>2630.95</v>
      </c>
      <c r="K680" s="14">
        <v>2220.3</v>
      </c>
      <c r="L680" s="15">
        <v>4265771</v>
      </c>
      <c r="M680" t="s" s="13">
        <v>690</v>
      </c>
      <c r="N680" s="15">
        <v>151936</v>
      </c>
      <c r="O680" s="17" cm="1">
        <f t="array" ref="O680">(H680-H679)/H679</f>
        <v>0.00305669541914413</v>
      </c>
    </row>
    <row r="681" ht="13.65" customHeight="1">
      <c r="A681" s="18">
        <v>45254</v>
      </c>
      <c r="B681" t="s" s="13">
        <v>22</v>
      </c>
      <c r="C681" s="14">
        <v>2391.6</v>
      </c>
      <c r="D681" s="14">
        <v>2402.6</v>
      </c>
      <c r="E681" s="14">
        <v>2391.05</v>
      </c>
      <c r="F681" s="14">
        <v>2395.5</v>
      </c>
      <c r="G681" s="14">
        <v>2394.25</v>
      </c>
      <c r="H681" s="14">
        <v>2393.9</v>
      </c>
      <c r="I681" s="14">
        <v>2397.29</v>
      </c>
      <c r="J681" s="14">
        <v>2630.95</v>
      </c>
      <c r="K681" s="14">
        <v>2220.3</v>
      </c>
      <c r="L681" s="15">
        <v>3374743</v>
      </c>
      <c r="M681" t="s" s="13">
        <v>691</v>
      </c>
      <c r="N681" s="15">
        <v>182231</v>
      </c>
      <c r="O681" s="17" cm="1">
        <f t="array" ref="O681">(H681-H680)/H680</f>
        <v>-0.000667919014819453</v>
      </c>
    </row>
    <row r="682" ht="13.65" customHeight="1">
      <c r="A682" s="18">
        <v>45258</v>
      </c>
      <c r="B682" t="s" s="13">
        <v>22</v>
      </c>
      <c r="C682" s="14">
        <v>2393.9</v>
      </c>
      <c r="D682" s="14">
        <v>2399.7</v>
      </c>
      <c r="E682" s="14">
        <v>2375.25</v>
      </c>
      <c r="F682" s="14">
        <v>2393.9</v>
      </c>
      <c r="G682" s="14">
        <v>2395.15</v>
      </c>
      <c r="H682" s="14">
        <v>2394.4</v>
      </c>
      <c r="I682" s="14">
        <v>2383.04</v>
      </c>
      <c r="J682" s="14">
        <v>2630.95</v>
      </c>
      <c r="K682" s="14">
        <v>2220.3</v>
      </c>
      <c r="L682" s="15">
        <v>6896087</v>
      </c>
      <c r="M682" t="s" s="13">
        <v>692</v>
      </c>
      <c r="N682" s="15">
        <v>221537</v>
      </c>
      <c r="O682" s="17" cm="1">
        <f t="array" ref="O682">(H682-H681)/H681</f>
        <v>0.000208864196499436</v>
      </c>
    </row>
    <row r="683" ht="13.65" customHeight="1">
      <c r="A683" s="18">
        <v>45259</v>
      </c>
      <c r="B683" t="s" s="13">
        <v>22</v>
      </c>
      <c r="C683" s="14">
        <v>2408</v>
      </c>
      <c r="D683" s="14">
        <v>2411.95</v>
      </c>
      <c r="E683" s="14">
        <v>2398.05</v>
      </c>
      <c r="F683" s="14">
        <v>2394.4</v>
      </c>
      <c r="G683" s="14">
        <v>2400</v>
      </c>
      <c r="H683" s="14">
        <v>2400.7</v>
      </c>
      <c r="I683" s="14">
        <v>2406.54</v>
      </c>
      <c r="J683" s="14">
        <v>2630.95</v>
      </c>
      <c r="K683" s="14">
        <v>2220.3</v>
      </c>
      <c r="L683" s="15">
        <v>6265653</v>
      </c>
      <c r="M683" t="s" s="13">
        <v>693</v>
      </c>
      <c r="N683" s="15">
        <v>161091</v>
      </c>
      <c r="O683" s="17" cm="1">
        <f t="array" ref="O683">(H683-H682)/H682</f>
        <v>0.00263113932509188</v>
      </c>
    </row>
    <row r="684" ht="13.65" customHeight="1">
      <c r="A684" s="18">
        <v>45260</v>
      </c>
      <c r="B684" t="s" s="13">
        <v>22</v>
      </c>
      <c r="C684" s="14">
        <v>2394.7</v>
      </c>
      <c r="D684" s="14">
        <v>2400.7</v>
      </c>
      <c r="E684" s="14">
        <v>2369.9</v>
      </c>
      <c r="F684" s="14">
        <v>2400.7</v>
      </c>
      <c r="G684" s="14">
        <v>2379</v>
      </c>
      <c r="H684" s="14">
        <v>2377.45</v>
      </c>
      <c r="I684" s="14">
        <v>2382.58</v>
      </c>
      <c r="J684" s="14">
        <v>2630.95</v>
      </c>
      <c r="K684" s="14">
        <v>2220.3</v>
      </c>
      <c r="L684" s="15">
        <v>14219992</v>
      </c>
      <c r="M684" t="s" s="13">
        <v>694</v>
      </c>
      <c r="N684" s="15">
        <v>368003</v>
      </c>
      <c r="O684" s="17" cm="1">
        <f t="array" ref="O684">(H684-H683)/H683</f>
        <v>-0.00968467530303661</v>
      </c>
    </row>
    <row r="685" ht="13.65" customHeight="1">
      <c r="A685" s="12">
        <v>45261</v>
      </c>
      <c r="B685" t="s" s="13">
        <v>22</v>
      </c>
      <c r="C685" s="14">
        <v>2378</v>
      </c>
      <c r="D685" s="14">
        <v>2396.4</v>
      </c>
      <c r="E685" s="14">
        <v>2377.6</v>
      </c>
      <c r="F685" s="14">
        <v>2377.45</v>
      </c>
      <c r="G685" s="14">
        <v>2393</v>
      </c>
      <c r="H685" s="14">
        <v>2394.3</v>
      </c>
      <c r="I685" s="14">
        <v>2389.47</v>
      </c>
      <c r="J685" s="14">
        <v>2630.95</v>
      </c>
      <c r="K685" s="14">
        <v>2220.3</v>
      </c>
      <c r="L685" s="15">
        <v>7171421</v>
      </c>
      <c r="M685" t="s" s="13">
        <v>695</v>
      </c>
      <c r="N685" s="15">
        <v>218016</v>
      </c>
      <c r="O685" s="17" cm="1">
        <f t="array" ref="O685">(H685-H684)/H684</f>
        <v>0.0070874256030621</v>
      </c>
    </row>
    <row r="686" ht="13.65" customHeight="1">
      <c r="A686" s="12">
        <v>45264</v>
      </c>
      <c r="B686" t="s" s="13">
        <v>22</v>
      </c>
      <c r="C686" s="14">
        <v>2450</v>
      </c>
      <c r="D686" s="14">
        <v>2450</v>
      </c>
      <c r="E686" s="14">
        <v>2398.6</v>
      </c>
      <c r="F686" s="14">
        <v>2394.3</v>
      </c>
      <c r="G686" s="14">
        <v>2421</v>
      </c>
      <c r="H686" s="14">
        <v>2420.2</v>
      </c>
      <c r="I686" s="14">
        <v>2417.16</v>
      </c>
      <c r="J686" s="14">
        <v>2630.95</v>
      </c>
      <c r="K686" s="14">
        <v>2220.3</v>
      </c>
      <c r="L686" s="15">
        <v>7795495</v>
      </c>
      <c r="M686" t="s" s="13">
        <v>696</v>
      </c>
      <c r="N686" s="15">
        <v>249010</v>
      </c>
      <c r="O686" s="17" cm="1">
        <f t="array" ref="O686">(H686-H685)/H685</f>
        <v>0.0108173578916594</v>
      </c>
    </row>
    <row r="687" ht="13.65" customHeight="1">
      <c r="A687" s="12">
        <v>45265</v>
      </c>
      <c r="B687" t="s" s="13">
        <v>22</v>
      </c>
      <c r="C687" s="14">
        <v>2439</v>
      </c>
      <c r="D687" s="14">
        <v>2440.85</v>
      </c>
      <c r="E687" s="14">
        <v>2421.65</v>
      </c>
      <c r="F687" s="14">
        <v>2420.2</v>
      </c>
      <c r="G687" s="14">
        <v>2437.15</v>
      </c>
      <c r="H687" s="14">
        <v>2437.75</v>
      </c>
      <c r="I687" s="14">
        <v>2435.32</v>
      </c>
      <c r="J687" s="14">
        <v>2630.95</v>
      </c>
      <c r="K687" s="14">
        <v>2220.3</v>
      </c>
      <c r="L687" s="15">
        <v>6346812</v>
      </c>
      <c r="M687" t="s" s="13">
        <v>697</v>
      </c>
      <c r="N687" s="15">
        <v>270813</v>
      </c>
      <c r="O687" s="17" cm="1">
        <f t="array" ref="O687">(H687-H686)/H686</f>
        <v>0.00725146682092389</v>
      </c>
    </row>
    <row r="688" ht="13.65" customHeight="1">
      <c r="A688" s="12">
        <v>45266</v>
      </c>
      <c r="B688" t="s" s="13">
        <v>22</v>
      </c>
      <c r="C688" s="14">
        <v>2447.1</v>
      </c>
      <c r="D688" s="14">
        <v>2472.95</v>
      </c>
      <c r="E688" s="14">
        <v>2435</v>
      </c>
      <c r="F688" s="14">
        <v>2437.75</v>
      </c>
      <c r="G688" s="14">
        <v>2462</v>
      </c>
      <c r="H688" s="14">
        <v>2461.1</v>
      </c>
      <c r="I688" s="14">
        <v>2459.66</v>
      </c>
      <c r="J688" s="14">
        <v>2630.95</v>
      </c>
      <c r="K688" s="14">
        <v>2220.3</v>
      </c>
      <c r="L688" s="15">
        <v>8211221</v>
      </c>
      <c r="M688" t="s" s="13">
        <v>698</v>
      </c>
      <c r="N688" s="15">
        <v>203350</v>
      </c>
      <c r="O688" s="17" cm="1">
        <f t="array" ref="O688">(H688-H687)/H687</f>
        <v>0.009578504768741671</v>
      </c>
    </row>
    <row r="689" ht="13.65" customHeight="1">
      <c r="A689" s="12">
        <v>45267</v>
      </c>
      <c r="B689" t="s" s="13">
        <v>22</v>
      </c>
      <c r="C689" s="14">
        <v>2460</v>
      </c>
      <c r="D689" s="14">
        <v>2460.95</v>
      </c>
      <c r="E689" s="14">
        <v>2442</v>
      </c>
      <c r="F689" s="14">
        <v>2461.1</v>
      </c>
      <c r="G689" s="14">
        <v>2456.15</v>
      </c>
      <c r="H689" s="14">
        <v>2457.05</v>
      </c>
      <c r="I689" s="14">
        <v>2453.62</v>
      </c>
      <c r="J689" s="14">
        <v>2630.95</v>
      </c>
      <c r="K689" s="14">
        <v>2220.3</v>
      </c>
      <c r="L689" s="15">
        <v>4071048</v>
      </c>
      <c r="M689" t="s" s="13">
        <v>699</v>
      </c>
      <c r="N689" s="15">
        <v>169328</v>
      </c>
      <c r="O689" s="17" cm="1">
        <f t="array" ref="O689">(H689-H688)/H688</f>
        <v>-0.00164560562350169</v>
      </c>
    </row>
    <row r="690" ht="13.65" customHeight="1">
      <c r="A690" s="12">
        <v>45268</v>
      </c>
      <c r="B690" t="s" s="13">
        <v>22</v>
      </c>
      <c r="C690" s="14">
        <v>2463.85</v>
      </c>
      <c r="D690" s="14">
        <v>2476.7</v>
      </c>
      <c r="E690" s="14">
        <v>2445</v>
      </c>
      <c r="F690" s="14">
        <v>2457.05</v>
      </c>
      <c r="G690" s="14">
        <v>2451</v>
      </c>
      <c r="H690" s="14">
        <v>2455.75</v>
      </c>
      <c r="I690" s="14">
        <v>2457.48</v>
      </c>
      <c r="J690" s="14">
        <v>2630.95</v>
      </c>
      <c r="K690" s="14">
        <v>2220.3</v>
      </c>
      <c r="L690" s="15">
        <v>5102447</v>
      </c>
      <c r="M690" t="s" s="13">
        <v>700</v>
      </c>
      <c r="N690" s="15">
        <v>193898</v>
      </c>
      <c r="O690" s="17" cm="1">
        <f t="array" ref="O690">(H690-H689)/H689</f>
        <v>-0.000529089762113103</v>
      </c>
    </row>
    <row r="691" ht="13.65" customHeight="1">
      <c r="A691" s="18">
        <v>45271</v>
      </c>
      <c r="B691" t="s" s="13">
        <v>22</v>
      </c>
      <c r="C691" s="14">
        <v>2456</v>
      </c>
      <c r="D691" s="14">
        <v>2467.6</v>
      </c>
      <c r="E691" s="14">
        <v>2452.4</v>
      </c>
      <c r="F691" s="14">
        <v>2455.75</v>
      </c>
      <c r="G691" s="14">
        <v>2460.9</v>
      </c>
      <c r="H691" s="14">
        <v>2459.35</v>
      </c>
      <c r="I691" s="14">
        <v>2459.8</v>
      </c>
      <c r="J691" s="14">
        <v>2630.95</v>
      </c>
      <c r="K691" s="14">
        <v>2220.3</v>
      </c>
      <c r="L691" s="15">
        <v>3533069</v>
      </c>
      <c r="M691" t="s" s="13">
        <v>701</v>
      </c>
      <c r="N691" s="15">
        <v>148258</v>
      </c>
      <c r="O691" s="17" cm="1">
        <f t="array" ref="O691">(H691-H690)/H690</f>
        <v>0.00146594726661916</v>
      </c>
    </row>
    <row r="692" ht="13.65" customHeight="1">
      <c r="A692" s="18">
        <v>45272</v>
      </c>
      <c r="B692" t="s" s="13">
        <v>22</v>
      </c>
      <c r="C692" s="14">
        <v>2460</v>
      </c>
      <c r="D692" s="14">
        <v>2464.95</v>
      </c>
      <c r="E692" s="14">
        <v>2420.15</v>
      </c>
      <c r="F692" s="14">
        <v>2459.35</v>
      </c>
      <c r="G692" s="14">
        <v>2424</v>
      </c>
      <c r="H692" s="14">
        <v>2424.05</v>
      </c>
      <c r="I692" s="14">
        <v>2442.73</v>
      </c>
      <c r="J692" s="14">
        <v>2630.95</v>
      </c>
      <c r="K692" s="14">
        <v>2220.3</v>
      </c>
      <c r="L692" s="15">
        <v>4598562</v>
      </c>
      <c r="M692" t="s" s="13">
        <v>702</v>
      </c>
      <c r="N692" s="15">
        <v>164611</v>
      </c>
      <c r="O692" s="17" cm="1">
        <f t="array" ref="O692">(H692-H691)/H691</f>
        <v>-0.0143533860572916</v>
      </c>
    </row>
    <row r="693" ht="13.65" customHeight="1">
      <c r="A693" s="18">
        <v>45273</v>
      </c>
      <c r="B693" t="s" s="13">
        <v>22</v>
      </c>
      <c r="C693" s="14">
        <v>2422</v>
      </c>
      <c r="D693" s="14">
        <v>2438.35</v>
      </c>
      <c r="E693" s="14">
        <v>2406.3</v>
      </c>
      <c r="F693" s="14">
        <v>2424.05</v>
      </c>
      <c r="G693" s="14">
        <v>2432.05</v>
      </c>
      <c r="H693" s="14">
        <v>2433.95</v>
      </c>
      <c r="I693" s="14">
        <v>2422.37</v>
      </c>
      <c r="J693" s="14">
        <v>2630.95</v>
      </c>
      <c r="K693" s="14">
        <v>2220.3</v>
      </c>
      <c r="L693" s="15">
        <v>5015591</v>
      </c>
      <c r="M693" t="s" s="13">
        <v>703</v>
      </c>
      <c r="N693" s="15">
        <v>203903</v>
      </c>
      <c r="O693" s="17" cm="1">
        <f t="array" ref="O693">(H693-H692)/H692</f>
        <v>0.00408407417338751</v>
      </c>
    </row>
    <row r="694" ht="13.65" customHeight="1">
      <c r="A694" s="18">
        <v>45274</v>
      </c>
      <c r="B694" t="s" s="13">
        <v>22</v>
      </c>
      <c r="C694" s="14">
        <v>2454</v>
      </c>
      <c r="D694" s="14">
        <v>2474.95</v>
      </c>
      <c r="E694" s="14">
        <v>2442.65</v>
      </c>
      <c r="F694" s="14">
        <v>2433.95</v>
      </c>
      <c r="G694" s="14">
        <v>2463.55</v>
      </c>
      <c r="H694" s="14">
        <v>2464.15</v>
      </c>
      <c r="I694" s="14">
        <v>2464.76</v>
      </c>
      <c r="J694" s="14">
        <v>2630.95</v>
      </c>
      <c r="K694" s="14">
        <v>2220.3</v>
      </c>
      <c r="L694" s="15">
        <v>8486177</v>
      </c>
      <c r="M694" t="s" s="13">
        <v>704</v>
      </c>
      <c r="N694" s="15">
        <v>308013</v>
      </c>
      <c r="O694" s="17" cm="1">
        <f t="array" ref="O694">(H694-H693)/H693</f>
        <v>0.0124078144579798</v>
      </c>
    </row>
    <row r="695" ht="13.65" customHeight="1">
      <c r="A695" s="18">
        <v>45275</v>
      </c>
      <c r="B695" t="s" s="13">
        <v>22</v>
      </c>
      <c r="C695" s="14">
        <v>2478</v>
      </c>
      <c r="D695" s="14">
        <v>2500</v>
      </c>
      <c r="E695" s="14">
        <v>2470.05</v>
      </c>
      <c r="F695" s="14">
        <v>2464.15</v>
      </c>
      <c r="G695" s="14">
        <v>2492</v>
      </c>
      <c r="H695" s="14">
        <v>2495.6</v>
      </c>
      <c r="I695" s="14">
        <v>2487.92</v>
      </c>
      <c r="J695" s="14">
        <v>2630.95</v>
      </c>
      <c r="K695" s="14">
        <v>2220.3</v>
      </c>
      <c r="L695" s="15">
        <v>7966076</v>
      </c>
      <c r="M695" t="s" s="13">
        <v>705</v>
      </c>
      <c r="N695" s="15">
        <v>219982</v>
      </c>
      <c r="O695" s="17" cm="1">
        <f t="array" ref="O695">(H695-H694)/H694</f>
        <v>0.0127630217316316</v>
      </c>
    </row>
    <row r="696" ht="13.65" customHeight="1">
      <c r="A696" s="18">
        <v>45278</v>
      </c>
      <c r="B696" t="s" s="13">
        <v>22</v>
      </c>
      <c r="C696" s="14">
        <v>2495.6</v>
      </c>
      <c r="D696" s="14">
        <v>2534.9</v>
      </c>
      <c r="E696" s="14">
        <v>2490.95</v>
      </c>
      <c r="F696" s="14">
        <v>2495.6</v>
      </c>
      <c r="G696" s="14">
        <v>2520</v>
      </c>
      <c r="H696" s="14">
        <v>2521</v>
      </c>
      <c r="I696" s="14">
        <v>2521.89</v>
      </c>
      <c r="J696" s="14">
        <v>2630.95</v>
      </c>
      <c r="K696" s="14">
        <v>2220.3</v>
      </c>
      <c r="L696" s="15">
        <v>7082594</v>
      </c>
      <c r="M696" t="s" s="13">
        <v>706</v>
      </c>
      <c r="N696" s="15">
        <v>253336</v>
      </c>
      <c r="O696" s="17" cm="1">
        <f t="array" ref="O696">(H696-H695)/H695</f>
        <v>0.0101779131271037</v>
      </c>
    </row>
    <row r="697" ht="13.65" customHeight="1">
      <c r="A697" s="18">
        <v>45279</v>
      </c>
      <c r="B697" t="s" s="13">
        <v>22</v>
      </c>
      <c r="C697" s="14">
        <v>2555</v>
      </c>
      <c r="D697" s="14">
        <v>2573.9</v>
      </c>
      <c r="E697" s="14">
        <v>2525.2</v>
      </c>
      <c r="F697" s="14">
        <v>2521</v>
      </c>
      <c r="G697" s="14">
        <v>2556.5</v>
      </c>
      <c r="H697" s="14">
        <v>2558.1</v>
      </c>
      <c r="I697" s="14">
        <v>2553.63</v>
      </c>
      <c r="J697" s="14">
        <v>2630.95</v>
      </c>
      <c r="K697" s="14">
        <v>2220.3</v>
      </c>
      <c r="L697" s="15">
        <v>8410302</v>
      </c>
      <c r="M697" t="s" s="13">
        <v>707</v>
      </c>
      <c r="N697" s="15">
        <v>331728</v>
      </c>
      <c r="O697" s="17" cm="1">
        <f t="array" ref="O697">(H697-H696)/H696</f>
        <v>0.0147163823879413</v>
      </c>
    </row>
    <row r="698" ht="13.65" customHeight="1">
      <c r="A698" s="18">
        <v>45280</v>
      </c>
      <c r="B698" t="s" s="13">
        <v>22</v>
      </c>
      <c r="C698" s="14">
        <v>2571.05</v>
      </c>
      <c r="D698" s="14">
        <v>2598.85</v>
      </c>
      <c r="E698" s="14">
        <v>2520</v>
      </c>
      <c r="F698" s="14">
        <v>2558.1</v>
      </c>
      <c r="G698" s="14">
        <v>2529.4</v>
      </c>
      <c r="H698" s="14">
        <v>2527.15</v>
      </c>
      <c r="I698" s="14">
        <v>2563.63</v>
      </c>
      <c r="J698" s="14">
        <v>2630.95</v>
      </c>
      <c r="K698" s="14">
        <v>2220.3</v>
      </c>
      <c r="L698" s="15">
        <v>8868361</v>
      </c>
      <c r="M698" t="s" s="13">
        <v>708</v>
      </c>
      <c r="N698" s="15">
        <v>372595</v>
      </c>
      <c r="O698" s="17" cm="1">
        <f t="array" ref="O698">(H698-H697)/H697</f>
        <v>-0.0120988233454517</v>
      </c>
    </row>
    <row r="699" ht="13.65" customHeight="1">
      <c r="A699" s="18">
        <v>45281</v>
      </c>
      <c r="B699" t="s" s="13">
        <v>22</v>
      </c>
      <c r="C699" s="14">
        <v>2527</v>
      </c>
      <c r="D699" s="14">
        <v>2573.5</v>
      </c>
      <c r="E699" s="14">
        <v>2518.25</v>
      </c>
      <c r="F699" s="14">
        <v>2527.15</v>
      </c>
      <c r="G699" s="14">
        <v>2561</v>
      </c>
      <c r="H699" s="14">
        <v>2562.55</v>
      </c>
      <c r="I699" s="14">
        <v>2551.74</v>
      </c>
      <c r="J699" s="14">
        <v>2630.95</v>
      </c>
      <c r="K699" s="14">
        <v>2220.3</v>
      </c>
      <c r="L699" s="15">
        <v>6882727</v>
      </c>
      <c r="M699" t="s" s="13">
        <v>709</v>
      </c>
      <c r="N699" s="15">
        <v>235158</v>
      </c>
      <c r="O699" s="17" cm="1">
        <f t="array" ref="O699">(H699-H698)/H698</f>
        <v>0.0140078744831134</v>
      </c>
    </row>
    <row r="700" ht="13.65" customHeight="1">
      <c r="A700" s="18">
        <v>45282</v>
      </c>
      <c r="B700" t="s" s="13">
        <v>22</v>
      </c>
      <c r="C700" s="14">
        <v>2559.6</v>
      </c>
      <c r="D700" s="14">
        <v>2580.9</v>
      </c>
      <c r="E700" s="14">
        <v>2547.65</v>
      </c>
      <c r="F700" s="14">
        <v>2562.55</v>
      </c>
      <c r="G700" s="14">
        <v>2561</v>
      </c>
      <c r="H700" s="14">
        <v>2565.05</v>
      </c>
      <c r="I700" s="14">
        <v>2559.79</v>
      </c>
      <c r="J700" s="14">
        <v>2630.95</v>
      </c>
      <c r="K700" s="14">
        <v>2220.3</v>
      </c>
      <c r="L700" s="15">
        <v>8270892</v>
      </c>
      <c r="M700" t="s" s="13">
        <v>710</v>
      </c>
      <c r="N700" s="15">
        <v>274088</v>
      </c>
      <c r="O700" s="17" cm="1">
        <f t="array" ref="O700">(H700-H699)/H699</f>
        <v>0.00097559072018107</v>
      </c>
    </row>
    <row r="701" ht="13.65" customHeight="1">
      <c r="A701" s="18">
        <v>45286</v>
      </c>
      <c r="B701" t="s" s="13">
        <v>22</v>
      </c>
      <c r="C701" s="14">
        <v>2568</v>
      </c>
      <c r="D701" s="14">
        <v>2591.95</v>
      </c>
      <c r="E701" s="14">
        <v>2562.7</v>
      </c>
      <c r="F701" s="14">
        <v>2565.05</v>
      </c>
      <c r="G701" s="14">
        <v>2579</v>
      </c>
      <c r="H701" s="14">
        <v>2578.05</v>
      </c>
      <c r="I701" s="14">
        <v>2579.88</v>
      </c>
      <c r="J701" s="14">
        <v>2630.95</v>
      </c>
      <c r="K701" s="14">
        <v>2220.3</v>
      </c>
      <c r="L701" s="15">
        <v>3732832</v>
      </c>
      <c r="M701" t="s" s="13">
        <v>711</v>
      </c>
      <c r="N701" s="15">
        <v>188513</v>
      </c>
      <c r="O701" s="17" cm="1">
        <f t="array" ref="O701">(H701-H700)/H700</f>
        <v>0.00506812732695269</v>
      </c>
    </row>
    <row r="702" ht="13.65" customHeight="1">
      <c r="A702" s="18">
        <v>45287</v>
      </c>
      <c r="B702" t="s" s="13">
        <v>22</v>
      </c>
      <c r="C702" s="14">
        <v>2582</v>
      </c>
      <c r="D702" s="14">
        <v>2599.9</v>
      </c>
      <c r="E702" s="14">
        <v>2573.1</v>
      </c>
      <c r="F702" s="14">
        <v>2578.05</v>
      </c>
      <c r="G702" s="14">
        <v>2583.35</v>
      </c>
      <c r="H702" s="14">
        <v>2586.85</v>
      </c>
      <c r="I702" s="14">
        <v>2586.56</v>
      </c>
      <c r="J702" s="14">
        <v>2630.95</v>
      </c>
      <c r="K702" s="14">
        <v>2220.3</v>
      </c>
      <c r="L702" s="15">
        <v>4602078</v>
      </c>
      <c r="M702" t="s" s="13">
        <v>712</v>
      </c>
      <c r="N702" s="15">
        <v>191497</v>
      </c>
      <c r="O702" s="17" cm="1">
        <f t="array" ref="O702">(H702-H701)/H701</f>
        <v>0.00341343263319175</v>
      </c>
    </row>
    <row r="703" ht="13.65" customHeight="1">
      <c r="A703" s="18">
        <v>45288</v>
      </c>
      <c r="B703" t="s" s="13">
        <v>22</v>
      </c>
      <c r="C703" s="14">
        <v>2589.8</v>
      </c>
      <c r="D703" s="14">
        <v>2612</v>
      </c>
      <c r="E703" s="14">
        <v>2586.85</v>
      </c>
      <c r="F703" s="14">
        <v>2586.85</v>
      </c>
      <c r="G703" s="14">
        <v>2605</v>
      </c>
      <c r="H703" s="14">
        <v>2605.55</v>
      </c>
      <c r="I703" s="14">
        <v>2602.58</v>
      </c>
      <c r="J703" s="14">
        <v>2630.95</v>
      </c>
      <c r="K703" s="14">
        <v>2220.3</v>
      </c>
      <c r="L703" s="15">
        <v>6151318</v>
      </c>
      <c r="M703" t="s" s="13">
        <v>713</v>
      </c>
      <c r="N703" s="15">
        <v>228625</v>
      </c>
      <c r="O703" s="17" cm="1">
        <f t="array" ref="O703">(H703-H702)/H702</f>
        <v>0.00722886908788681</v>
      </c>
    </row>
    <row r="704" ht="13.65" customHeight="1">
      <c r="A704" s="18">
        <v>45289</v>
      </c>
      <c r="B704" t="s" s="13">
        <v>22</v>
      </c>
      <c r="C704" s="14">
        <v>2611.1</v>
      </c>
      <c r="D704" s="14">
        <v>2614</v>
      </c>
      <c r="E704" s="14">
        <v>2579.3</v>
      </c>
      <c r="F704" s="14">
        <v>2605.55</v>
      </c>
      <c r="G704" s="14">
        <v>2587</v>
      </c>
      <c r="H704" s="14">
        <v>2584.95</v>
      </c>
      <c r="I704" s="14">
        <v>2589.61</v>
      </c>
      <c r="J704" s="14">
        <v>2630.95</v>
      </c>
      <c r="K704" s="14">
        <v>2220.3</v>
      </c>
      <c r="L704" s="15">
        <v>5432292</v>
      </c>
      <c r="M704" t="s" s="13">
        <v>714</v>
      </c>
      <c r="N704" s="15">
        <v>248419</v>
      </c>
      <c r="O704" s="17" cm="1">
        <f t="array" ref="O704">(H704-H703)/H703</f>
        <v>-0.00790620022643972</v>
      </c>
    </row>
    <row r="705" ht="13.65" customHeight="1">
      <c r="A705" s="12">
        <v>45292</v>
      </c>
      <c r="B705" t="s" s="13">
        <v>22</v>
      </c>
      <c r="C705" s="14">
        <v>2580.55</v>
      </c>
      <c r="D705" s="14">
        <v>2606.85</v>
      </c>
      <c r="E705" s="14">
        <v>2573.15</v>
      </c>
      <c r="F705" s="14">
        <v>2584.95</v>
      </c>
      <c r="G705" s="14">
        <v>2588.45</v>
      </c>
      <c r="H705" s="14">
        <v>2590.25</v>
      </c>
      <c r="I705" s="14">
        <v>2588.14</v>
      </c>
      <c r="J705" s="14">
        <v>2630.95</v>
      </c>
      <c r="K705" s="14">
        <v>2220.3</v>
      </c>
      <c r="L705" s="15">
        <v>2015270</v>
      </c>
      <c r="M705" t="s" s="13">
        <v>715</v>
      </c>
      <c r="N705" s="15">
        <v>115559</v>
      </c>
      <c r="O705" s="17" cm="1">
        <f t="array" ref="O705">(H705-H704)/H704</f>
        <v>0.00205032979361303</v>
      </c>
    </row>
    <row r="706" ht="13.65" customHeight="1">
      <c r="A706" s="12">
        <v>45293</v>
      </c>
      <c r="B706" t="s" s="13">
        <v>22</v>
      </c>
      <c r="C706" s="14">
        <v>2585</v>
      </c>
      <c r="D706" s="14">
        <v>2615</v>
      </c>
      <c r="E706" s="14">
        <v>2573</v>
      </c>
      <c r="F706" s="14">
        <v>2590.25</v>
      </c>
      <c r="G706" s="14">
        <v>2609</v>
      </c>
      <c r="H706" s="14">
        <v>2611.7</v>
      </c>
      <c r="I706" s="14">
        <v>2596.75</v>
      </c>
      <c r="J706" s="14">
        <v>2630.95</v>
      </c>
      <c r="K706" s="14">
        <v>2220.3</v>
      </c>
      <c r="L706" s="15">
        <v>3724400</v>
      </c>
      <c r="M706" t="s" s="13">
        <v>716</v>
      </c>
      <c r="N706" s="15">
        <v>175872</v>
      </c>
      <c r="O706" s="17" cm="1">
        <f t="array" ref="O706">(H706-H705)/H705</f>
        <v>0.008281053952321199</v>
      </c>
    </row>
    <row r="707" ht="13.65" customHeight="1">
      <c r="A707" s="12">
        <v>45294</v>
      </c>
      <c r="B707" t="s" s="13">
        <v>22</v>
      </c>
      <c r="C707" s="14">
        <v>2610</v>
      </c>
      <c r="D707" s="14">
        <v>2634</v>
      </c>
      <c r="E707" s="14">
        <v>2577.2</v>
      </c>
      <c r="F707" s="14">
        <v>2611.7</v>
      </c>
      <c r="G707" s="14">
        <v>2580.75</v>
      </c>
      <c r="H707" s="14">
        <v>2583.3</v>
      </c>
      <c r="I707" s="14">
        <v>2606.46</v>
      </c>
      <c r="J707" s="14">
        <v>2634</v>
      </c>
      <c r="K707" s="14">
        <v>2220.3</v>
      </c>
      <c r="L707" s="15">
        <v>4518768</v>
      </c>
      <c r="M707" t="s" s="13">
        <v>717</v>
      </c>
      <c r="N707" s="15">
        <v>198303</v>
      </c>
      <c r="O707" s="17" cm="1">
        <f t="array" ref="O707">(H707-H706)/H706</f>
        <v>-0.0108741432783245</v>
      </c>
    </row>
    <row r="708" ht="13.65" customHeight="1">
      <c r="A708" s="12">
        <v>45295</v>
      </c>
      <c r="B708" t="s" s="13">
        <v>22</v>
      </c>
      <c r="C708" s="14">
        <v>2588</v>
      </c>
      <c r="D708" s="14">
        <v>2609.85</v>
      </c>
      <c r="E708" s="14">
        <v>2579.1</v>
      </c>
      <c r="F708" s="14">
        <v>2583.3</v>
      </c>
      <c r="G708" s="14">
        <v>2600</v>
      </c>
      <c r="H708" s="14">
        <v>2596.65</v>
      </c>
      <c r="I708" s="14">
        <v>2597.37</v>
      </c>
      <c r="J708" s="14">
        <v>2634</v>
      </c>
      <c r="K708" s="14">
        <v>2220.3</v>
      </c>
      <c r="L708" s="15">
        <v>4806389</v>
      </c>
      <c r="M708" t="s" s="13">
        <v>718</v>
      </c>
      <c r="N708" s="15">
        <v>267185</v>
      </c>
      <c r="O708" s="17" cm="1">
        <f t="array" ref="O708">(H708-H707)/H707</f>
        <v>0.00516780861688538</v>
      </c>
    </row>
    <row r="709" ht="13.65" customHeight="1">
      <c r="A709" s="12">
        <v>45296</v>
      </c>
      <c r="B709" t="s" s="13">
        <v>22</v>
      </c>
      <c r="C709" s="14">
        <v>2602.9</v>
      </c>
      <c r="D709" s="14">
        <v>2619.85</v>
      </c>
      <c r="E709" s="14">
        <v>2598</v>
      </c>
      <c r="F709" s="14">
        <v>2596.65</v>
      </c>
      <c r="G709" s="14">
        <v>2609</v>
      </c>
      <c r="H709" s="14">
        <v>2607.7</v>
      </c>
      <c r="I709" s="14">
        <v>2606.82</v>
      </c>
      <c r="J709" s="14">
        <v>2634</v>
      </c>
      <c r="K709" s="14">
        <v>2220.3</v>
      </c>
      <c r="L709" s="15">
        <v>4043203</v>
      </c>
      <c r="M709" t="s" s="13">
        <v>719</v>
      </c>
      <c r="N709" s="15">
        <v>211413</v>
      </c>
      <c r="O709" s="17" cm="1">
        <f t="array" ref="O709">(H709-H708)/H708</f>
        <v>0.00425548302620684</v>
      </c>
    </row>
    <row r="710" ht="13.65" customHeight="1">
      <c r="A710" s="12">
        <v>45299</v>
      </c>
      <c r="B710" t="s" s="13">
        <v>22</v>
      </c>
      <c r="C710" s="14">
        <v>2610</v>
      </c>
      <c r="D710" s="14">
        <v>2631.95</v>
      </c>
      <c r="E710" s="14">
        <v>2568.95</v>
      </c>
      <c r="F710" s="14">
        <v>2607.7</v>
      </c>
      <c r="G710" s="14">
        <v>2586</v>
      </c>
      <c r="H710" s="14">
        <v>2587.35</v>
      </c>
      <c r="I710" s="14">
        <v>2600.55</v>
      </c>
      <c r="J710" s="14">
        <v>2634</v>
      </c>
      <c r="K710" s="14">
        <v>2220.3</v>
      </c>
      <c r="L710" s="15">
        <v>3867326</v>
      </c>
      <c r="M710" t="s" s="13">
        <v>720</v>
      </c>
      <c r="N710" s="15">
        <v>171169</v>
      </c>
      <c r="O710" s="17" cm="1">
        <f t="array" ref="O710">(H710-H709)/H709</f>
        <v>-0.00780381178816582</v>
      </c>
    </row>
    <row r="711" ht="13.65" customHeight="1">
      <c r="A711" s="12">
        <v>45300</v>
      </c>
      <c r="B711" t="s" s="13">
        <v>22</v>
      </c>
      <c r="C711" s="14">
        <v>2600</v>
      </c>
      <c r="D711" s="14">
        <v>2606.8</v>
      </c>
      <c r="E711" s="14">
        <v>2577.2</v>
      </c>
      <c r="F711" s="14">
        <v>2587.35</v>
      </c>
      <c r="G711" s="14">
        <v>2580.5</v>
      </c>
      <c r="H711" s="14">
        <v>2580.5</v>
      </c>
      <c r="I711" s="14">
        <v>2592.44</v>
      </c>
      <c r="J711" s="14">
        <v>2634</v>
      </c>
      <c r="K711" s="14">
        <v>2220.3</v>
      </c>
      <c r="L711" s="15">
        <v>2701537</v>
      </c>
      <c r="M711" t="s" s="13">
        <v>721</v>
      </c>
      <c r="N711" s="15">
        <v>130706</v>
      </c>
      <c r="O711" s="17" cm="1">
        <f t="array" ref="O711">(H711-H710)/H710</f>
        <v>-0.0026474964732255</v>
      </c>
    </row>
    <row r="712" ht="13.65" customHeight="1">
      <c r="A712" s="18">
        <v>45301</v>
      </c>
      <c r="B712" t="s" s="13">
        <v>22</v>
      </c>
      <c r="C712" s="14">
        <v>2577</v>
      </c>
      <c r="D712" s="14">
        <v>2659</v>
      </c>
      <c r="E712" s="14">
        <v>2575.05</v>
      </c>
      <c r="F712" s="14">
        <v>2580.5</v>
      </c>
      <c r="G712" s="14">
        <v>2655</v>
      </c>
      <c r="H712" s="14">
        <v>2650.1</v>
      </c>
      <c r="I712" s="14">
        <v>2616.79</v>
      </c>
      <c r="J712" s="14">
        <v>2659</v>
      </c>
      <c r="K712" s="14">
        <v>2220.3</v>
      </c>
      <c r="L712" s="15">
        <v>5551370</v>
      </c>
      <c r="M712" t="s" s="13">
        <v>722</v>
      </c>
      <c r="N712" s="15">
        <v>179441</v>
      </c>
      <c r="O712" s="17" cm="1">
        <f t="array" ref="O712">(H712-H711)/H711</f>
        <v>0.0269715171478396</v>
      </c>
    </row>
    <row r="713" ht="13.65" customHeight="1">
      <c r="A713" s="18">
        <v>45302</v>
      </c>
      <c r="B713" t="s" s="13">
        <v>22</v>
      </c>
      <c r="C713" s="14">
        <v>2659</v>
      </c>
      <c r="D713" s="14">
        <v>2725</v>
      </c>
      <c r="E713" s="14">
        <v>2657</v>
      </c>
      <c r="F713" s="14">
        <v>2650.1</v>
      </c>
      <c r="G713" s="14">
        <v>2716</v>
      </c>
      <c r="H713" s="14">
        <v>2719.8</v>
      </c>
      <c r="I713" s="14">
        <v>2695.73</v>
      </c>
      <c r="J713" s="14">
        <v>2725</v>
      </c>
      <c r="K713" s="14">
        <v>2220.3</v>
      </c>
      <c r="L713" s="15">
        <v>11862926</v>
      </c>
      <c r="M713" t="s" s="13">
        <v>723</v>
      </c>
      <c r="N713" s="15">
        <v>581952</v>
      </c>
      <c r="O713" s="17" cm="1">
        <f t="array" ref="O713">(H713-H712)/H712</f>
        <v>0.0263008943058752</v>
      </c>
    </row>
    <row r="714" ht="13.65" customHeight="1">
      <c r="A714" s="18">
        <v>45303</v>
      </c>
      <c r="B714" t="s" s="13">
        <v>22</v>
      </c>
      <c r="C714" s="14">
        <v>2719.8</v>
      </c>
      <c r="D714" s="14">
        <v>2746.65</v>
      </c>
      <c r="E714" s="14">
        <v>2691.5</v>
      </c>
      <c r="F714" s="14">
        <v>2719.8</v>
      </c>
      <c r="G714" s="14">
        <v>2740.5</v>
      </c>
      <c r="H714" s="14">
        <v>2741.45</v>
      </c>
      <c r="I714" s="14">
        <v>2729.49</v>
      </c>
      <c r="J714" s="14">
        <v>2746.65</v>
      </c>
      <c r="K714" s="14">
        <v>2220.3</v>
      </c>
      <c r="L714" s="15">
        <v>7506082</v>
      </c>
      <c r="M714" t="s" s="13">
        <v>724</v>
      </c>
      <c r="N714" s="15">
        <v>434055</v>
      </c>
      <c r="O714" s="17" cm="1">
        <f t="array" ref="O714">(H714-H713)/H713</f>
        <v>0.007960144128244719</v>
      </c>
    </row>
    <row r="715" ht="13.65" customHeight="1">
      <c r="A715" s="18">
        <v>45306</v>
      </c>
      <c r="B715" t="s" s="13">
        <v>22</v>
      </c>
      <c r="C715" s="14">
        <v>2750</v>
      </c>
      <c r="D715" s="14">
        <v>2792.9</v>
      </c>
      <c r="E715" s="14">
        <v>2732</v>
      </c>
      <c r="F715" s="14">
        <v>2741.45</v>
      </c>
      <c r="G715" s="14">
        <v>2786</v>
      </c>
      <c r="H715" s="14">
        <v>2788.25</v>
      </c>
      <c r="I715" s="14">
        <v>2768.73</v>
      </c>
      <c r="J715" s="14">
        <v>2792.9</v>
      </c>
      <c r="K715" s="14">
        <v>2220.3</v>
      </c>
      <c r="L715" s="15">
        <v>4305297</v>
      </c>
      <c r="M715" t="s" s="13">
        <v>725</v>
      </c>
      <c r="N715" s="15">
        <v>237252</v>
      </c>
      <c r="O715" s="17" cm="1">
        <f t="array" ref="O715">(H715-H714)/H714</f>
        <v>0.0170712579109595</v>
      </c>
    </row>
    <row r="716" ht="13.65" customHeight="1">
      <c r="A716" s="18">
        <v>45307</v>
      </c>
      <c r="B716" t="s" s="13">
        <v>22</v>
      </c>
      <c r="C716" s="14">
        <v>2779.95</v>
      </c>
      <c r="D716" s="14">
        <v>2792.6</v>
      </c>
      <c r="E716" s="14">
        <v>2741</v>
      </c>
      <c r="F716" s="14">
        <v>2788.25</v>
      </c>
      <c r="G716" s="14">
        <v>2746.8</v>
      </c>
      <c r="H716" s="14">
        <v>2749.25</v>
      </c>
      <c r="I716" s="14">
        <v>2770.68</v>
      </c>
      <c r="J716" s="14">
        <v>2792.9</v>
      </c>
      <c r="K716" s="14">
        <v>2220.3</v>
      </c>
      <c r="L716" s="15">
        <v>4534512</v>
      </c>
      <c r="M716" t="s" s="13">
        <v>726</v>
      </c>
      <c r="N716" s="15">
        <v>235619</v>
      </c>
      <c r="O716" s="17" cm="1">
        <f t="array" ref="O716">(H716-H715)/H715</f>
        <v>-0.0139872679996414</v>
      </c>
    </row>
    <row r="717" ht="13.65" customHeight="1">
      <c r="A717" s="18">
        <v>45308</v>
      </c>
      <c r="B717" t="s" s="13">
        <v>22</v>
      </c>
      <c r="C717" s="14">
        <v>2719</v>
      </c>
      <c r="D717" s="14">
        <v>2772.55</v>
      </c>
      <c r="E717" s="14">
        <v>2710.05</v>
      </c>
      <c r="F717" s="14">
        <v>2749.25</v>
      </c>
      <c r="G717" s="14">
        <v>2723.5</v>
      </c>
      <c r="H717" s="14">
        <v>2723.15</v>
      </c>
      <c r="I717" s="14">
        <v>2738.75</v>
      </c>
      <c r="J717" s="14">
        <v>2792.9</v>
      </c>
      <c r="K717" s="14">
        <v>2220.3</v>
      </c>
      <c r="L717" s="15">
        <v>6098691</v>
      </c>
      <c r="M717" t="s" s="13">
        <v>727</v>
      </c>
      <c r="N717" s="15">
        <v>312203</v>
      </c>
      <c r="O717" s="17" cm="1">
        <f t="array" ref="O717">(H717-H716)/H716</f>
        <v>-0.00949349822678912</v>
      </c>
    </row>
    <row r="718" ht="13.65" customHeight="1">
      <c r="A718" s="18">
        <v>45309</v>
      </c>
      <c r="B718" t="s" s="13">
        <v>22</v>
      </c>
      <c r="C718" s="14">
        <v>2702.8</v>
      </c>
      <c r="D718" s="14">
        <v>2742</v>
      </c>
      <c r="E718" s="14">
        <v>2702.5</v>
      </c>
      <c r="F718" s="14">
        <v>2723.15</v>
      </c>
      <c r="G718" s="14">
        <v>2734.75</v>
      </c>
      <c r="H718" s="14">
        <v>2735.9</v>
      </c>
      <c r="I718" s="14">
        <v>2724.93</v>
      </c>
      <c r="J718" s="14">
        <v>2792.9</v>
      </c>
      <c r="K718" s="14">
        <v>2220.3</v>
      </c>
      <c r="L718" s="15">
        <v>5139719</v>
      </c>
      <c r="M718" t="s" s="13">
        <v>728</v>
      </c>
      <c r="N718" s="15">
        <v>253448</v>
      </c>
      <c r="O718" s="17" cm="1">
        <f t="array" ref="O718">(H718-H717)/H717</f>
        <v>0.00468207774085159</v>
      </c>
    </row>
    <row r="719" ht="13.65" customHeight="1">
      <c r="A719" s="18">
        <v>45310</v>
      </c>
      <c r="B719" t="s" s="13">
        <v>22</v>
      </c>
      <c r="C719" s="14">
        <v>2752</v>
      </c>
      <c r="D719" s="14">
        <v>2752</v>
      </c>
      <c r="E719" s="14">
        <v>2718</v>
      </c>
      <c r="F719" s="14">
        <v>2735.9</v>
      </c>
      <c r="G719" s="14">
        <v>2736.45</v>
      </c>
      <c r="H719" s="14">
        <v>2734.9</v>
      </c>
      <c r="I719" s="14">
        <v>2732.29</v>
      </c>
      <c r="J719" s="14">
        <v>2792.9</v>
      </c>
      <c r="K719" s="14">
        <v>2220.3</v>
      </c>
      <c r="L719" s="15">
        <v>5211352</v>
      </c>
      <c r="M719" t="s" s="13">
        <v>729</v>
      </c>
      <c r="N719" s="15">
        <v>275902</v>
      </c>
      <c r="O719" s="17" cm="1">
        <f t="array" ref="O719">(H719-H718)/H718</f>
        <v>-0.000365510435322928</v>
      </c>
    </row>
    <row r="720" ht="13.65" customHeight="1">
      <c r="A720" s="18">
        <v>45311</v>
      </c>
      <c r="B720" t="s" s="13">
        <v>22</v>
      </c>
      <c r="C720" s="14">
        <v>2730</v>
      </c>
      <c r="D720" s="14">
        <v>2766.95</v>
      </c>
      <c r="E720" s="14">
        <v>2700</v>
      </c>
      <c r="F720" s="14">
        <v>2734.9</v>
      </c>
      <c r="G720" s="14">
        <v>2716</v>
      </c>
      <c r="H720" s="14">
        <v>2713.3</v>
      </c>
      <c r="I720" s="14">
        <v>2734.2</v>
      </c>
      <c r="J720" s="14">
        <v>2792.9</v>
      </c>
      <c r="K720" s="14">
        <v>2220.3</v>
      </c>
      <c r="L720" s="15">
        <v>3641697</v>
      </c>
      <c r="M720" t="s" s="13">
        <v>730</v>
      </c>
      <c r="N720" s="15">
        <v>128579</v>
      </c>
      <c r="O720" s="17" cm="1">
        <f t="array" ref="O720">(H720-H719)/H719</f>
        <v>-0.00789791217229149</v>
      </c>
    </row>
    <row r="721" ht="13.65" customHeight="1">
      <c r="A721" s="18">
        <v>45314</v>
      </c>
      <c r="B721" t="s" s="13">
        <v>22</v>
      </c>
      <c r="C721" s="14">
        <v>2743.5</v>
      </c>
      <c r="D721" s="14">
        <v>2743.5</v>
      </c>
      <c r="E721" s="14">
        <v>2645.1</v>
      </c>
      <c r="F721" s="14">
        <v>2713.3</v>
      </c>
      <c r="G721" s="14">
        <v>2656.75</v>
      </c>
      <c r="H721" s="14">
        <v>2657.15</v>
      </c>
      <c r="I721" s="14">
        <v>2674.9</v>
      </c>
      <c r="J721" s="14">
        <v>2792.9</v>
      </c>
      <c r="K721" s="14">
        <v>2220.3</v>
      </c>
      <c r="L721" s="15">
        <v>10027710</v>
      </c>
      <c r="M721" t="s" s="13">
        <v>731</v>
      </c>
      <c r="N721" s="15">
        <v>337484</v>
      </c>
      <c r="O721" s="17" cm="1">
        <f t="array" ref="O721">(H721-H720)/H720</f>
        <v>-0.0206943574245384</v>
      </c>
    </row>
    <row r="722" ht="13.65" customHeight="1">
      <c r="A722" s="18">
        <v>45315</v>
      </c>
      <c r="B722" t="s" s="13">
        <v>22</v>
      </c>
      <c r="C722" s="14">
        <v>2670.45</v>
      </c>
      <c r="D722" s="14">
        <v>2699</v>
      </c>
      <c r="E722" s="14">
        <v>2647.85</v>
      </c>
      <c r="F722" s="14">
        <v>2657.15</v>
      </c>
      <c r="G722" s="14">
        <v>2694.9</v>
      </c>
      <c r="H722" s="14">
        <v>2687.75</v>
      </c>
      <c r="I722" s="14">
        <v>2664.32</v>
      </c>
      <c r="J722" s="14">
        <v>2792.9</v>
      </c>
      <c r="K722" s="14">
        <v>2220.3</v>
      </c>
      <c r="L722" s="15">
        <v>10959564</v>
      </c>
      <c r="M722" t="s" s="13">
        <v>732</v>
      </c>
      <c r="N722" s="15">
        <v>253093</v>
      </c>
      <c r="O722" s="17" cm="1">
        <f t="array" ref="O722">(H722-H721)/H721</f>
        <v>0.0115160980750052</v>
      </c>
    </row>
    <row r="723" ht="13.65" customHeight="1">
      <c r="A723" s="18">
        <v>45316</v>
      </c>
      <c r="B723" t="s" s="13">
        <v>22</v>
      </c>
      <c r="C723" s="14">
        <v>2685.9</v>
      </c>
      <c r="D723" s="14">
        <v>2728.3</v>
      </c>
      <c r="E723" s="14">
        <v>2670.4</v>
      </c>
      <c r="F723" s="14">
        <v>2687.75</v>
      </c>
      <c r="G723" s="14">
        <v>2711</v>
      </c>
      <c r="H723" s="14">
        <v>2706.15</v>
      </c>
      <c r="I723" s="14">
        <v>2697.07</v>
      </c>
      <c r="J723" s="14">
        <v>2792.9</v>
      </c>
      <c r="K723" s="14">
        <v>2220.3</v>
      </c>
      <c r="L723" s="15">
        <v>5904436</v>
      </c>
      <c r="M723" t="s" s="13">
        <v>733</v>
      </c>
      <c r="N723" s="15">
        <v>199408</v>
      </c>
      <c r="O723" s="17" cm="1">
        <f t="array" ref="O723">(H723-H722)/H722</f>
        <v>0.00684587480234397</v>
      </c>
    </row>
    <row r="724" ht="13.65" customHeight="1">
      <c r="A724" s="18">
        <v>45320</v>
      </c>
      <c r="B724" t="s" s="13">
        <v>22</v>
      </c>
      <c r="C724" s="14">
        <v>2729</v>
      </c>
      <c r="D724" s="14">
        <v>2905</v>
      </c>
      <c r="E724" s="14">
        <v>2720.35</v>
      </c>
      <c r="F724" s="14">
        <v>2706.15</v>
      </c>
      <c r="G724" s="14">
        <v>2890.1</v>
      </c>
      <c r="H724" s="14">
        <v>2896.1</v>
      </c>
      <c r="I724" s="14">
        <v>2842.26</v>
      </c>
      <c r="J724" s="14">
        <v>2905</v>
      </c>
      <c r="K724" s="14">
        <v>2220.3</v>
      </c>
      <c r="L724" s="15">
        <v>11946719</v>
      </c>
      <c r="M724" t="s" s="13">
        <v>734</v>
      </c>
      <c r="N724" s="15">
        <v>464414</v>
      </c>
      <c r="O724" s="17" cm="1">
        <f t="array" ref="O724">(H724-H723)/H723</f>
        <v>0.0701919701420838</v>
      </c>
    </row>
    <row r="725" ht="13.65" customHeight="1">
      <c r="A725" s="18">
        <v>45321</v>
      </c>
      <c r="B725" t="s" s="13">
        <v>22</v>
      </c>
      <c r="C725" s="14">
        <v>2919.9</v>
      </c>
      <c r="D725" s="14">
        <v>2919.95</v>
      </c>
      <c r="E725" s="14">
        <v>2808.85</v>
      </c>
      <c r="F725" s="14">
        <v>2896.1</v>
      </c>
      <c r="G725" s="14">
        <v>2818.25</v>
      </c>
      <c r="H725" s="14">
        <v>2815.25</v>
      </c>
      <c r="I725" s="14">
        <v>2854.34</v>
      </c>
      <c r="J725" s="14">
        <v>2919.95</v>
      </c>
      <c r="K725" s="14">
        <v>2220.3</v>
      </c>
      <c r="L725" s="15">
        <v>7046989</v>
      </c>
      <c r="M725" t="s" s="13">
        <v>735</v>
      </c>
      <c r="N725" s="15">
        <v>314728</v>
      </c>
      <c r="O725" s="17" cm="1">
        <f t="array" ref="O725">(H725-H724)/H724</f>
        <v>-0.0279168536998032</v>
      </c>
    </row>
    <row r="726" ht="13.65" customHeight="1">
      <c r="A726" s="18">
        <v>45322</v>
      </c>
      <c r="B726" t="s" s="13">
        <v>22</v>
      </c>
      <c r="C726" s="14">
        <v>2808</v>
      </c>
      <c r="D726" s="14">
        <v>2868.5</v>
      </c>
      <c r="E726" s="14">
        <v>2805</v>
      </c>
      <c r="F726" s="14">
        <v>2815.25</v>
      </c>
      <c r="G726" s="14">
        <v>2850</v>
      </c>
      <c r="H726" s="14">
        <v>2853.25</v>
      </c>
      <c r="I726" s="14">
        <v>2847.99</v>
      </c>
      <c r="J726" s="14">
        <v>2919.95</v>
      </c>
      <c r="K726" s="14">
        <v>2220.3</v>
      </c>
      <c r="L726" s="15">
        <v>7565113</v>
      </c>
      <c r="M726" t="s" s="13">
        <v>736</v>
      </c>
      <c r="N726" s="15">
        <v>343623</v>
      </c>
      <c r="O726" s="17" cm="1">
        <f t="array" ref="O726">(H726-H725)/H725</f>
        <v>0.0134979131515851</v>
      </c>
    </row>
    <row r="727" ht="13.65" customHeight="1">
      <c r="A727" s="12">
        <v>45323</v>
      </c>
      <c r="B727" t="s" s="13">
        <v>22</v>
      </c>
      <c r="C727" s="14">
        <v>2870</v>
      </c>
      <c r="D727" s="14">
        <v>2886.7</v>
      </c>
      <c r="E727" s="14">
        <v>2836.1</v>
      </c>
      <c r="F727" s="14">
        <v>2853.25</v>
      </c>
      <c r="G727" s="14">
        <v>2851.5</v>
      </c>
      <c r="H727" s="14">
        <v>2853.3</v>
      </c>
      <c r="I727" s="14">
        <v>2857.88</v>
      </c>
      <c r="J727" s="14">
        <v>2919.95</v>
      </c>
      <c r="K727" s="14">
        <v>2220.3</v>
      </c>
      <c r="L727" s="15">
        <v>6674681</v>
      </c>
      <c r="M727" t="s" s="13">
        <v>737</v>
      </c>
      <c r="N727" s="15">
        <v>259110</v>
      </c>
      <c r="O727" s="17" cm="1">
        <f t="array" ref="O727">(H727-H726)/H726</f>
        <v>1.75238762814335e-05</v>
      </c>
    </row>
    <row r="728" ht="13.65" customHeight="1">
      <c r="A728" s="12">
        <v>45324</v>
      </c>
      <c r="B728" t="s" s="13">
        <v>22</v>
      </c>
      <c r="C728" s="14">
        <v>2866.35</v>
      </c>
      <c r="D728" s="14">
        <v>2949.8</v>
      </c>
      <c r="E728" s="14">
        <v>2866.35</v>
      </c>
      <c r="F728" s="14">
        <v>2853.3</v>
      </c>
      <c r="G728" s="14">
        <v>2913</v>
      </c>
      <c r="H728" s="14">
        <v>2915.4</v>
      </c>
      <c r="I728" s="14">
        <v>2913.44</v>
      </c>
      <c r="J728" s="14">
        <v>2949.8</v>
      </c>
      <c r="K728" s="14">
        <v>2220.3</v>
      </c>
      <c r="L728" s="15">
        <v>9826294</v>
      </c>
      <c r="M728" t="s" s="13">
        <v>738</v>
      </c>
      <c r="N728" s="15">
        <v>420949</v>
      </c>
      <c r="O728" s="17" cm="1">
        <f t="array" ref="O728">(H728-H727)/H727</f>
        <v>0.0217642729471139</v>
      </c>
    </row>
    <row r="729" ht="13.65" customHeight="1">
      <c r="A729" s="12">
        <v>45327</v>
      </c>
      <c r="B729" t="s" s="13">
        <v>22</v>
      </c>
      <c r="C729" s="14">
        <v>2921.5</v>
      </c>
      <c r="D729" s="14">
        <v>2941</v>
      </c>
      <c r="E729" s="14">
        <v>2863.05</v>
      </c>
      <c r="F729" s="14">
        <v>2915.4</v>
      </c>
      <c r="G729" s="14">
        <v>2879.45</v>
      </c>
      <c r="H729" s="14">
        <v>2878.05</v>
      </c>
      <c r="I729" s="14">
        <v>2907.3</v>
      </c>
      <c r="J729" s="14">
        <v>2949.8</v>
      </c>
      <c r="K729" s="14">
        <v>2220.3</v>
      </c>
      <c r="L729" s="15">
        <v>4407216</v>
      </c>
      <c r="M729" t="s" s="13">
        <v>739</v>
      </c>
      <c r="N729" s="15">
        <v>197343</v>
      </c>
      <c r="O729" s="17" cm="1">
        <f t="array" ref="O729">(H729-H728)/H728</f>
        <v>-0.0128112780407491</v>
      </c>
    </row>
    <row r="730" ht="13.65" customHeight="1">
      <c r="A730" s="12">
        <v>45328</v>
      </c>
      <c r="B730" t="s" s="13">
        <v>22</v>
      </c>
      <c r="C730" s="14">
        <v>2883.7</v>
      </c>
      <c r="D730" s="14">
        <v>2883.7</v>
      </c>
      <c r="E730" s="14">
        <v>2839.65</v>
      </c>
      <c r="F730" s="14">
        <v>2878.05</v>
      </c>
      <c r="G730" s="14">
        <v>2854.75</v>
      </c>
      <c r="H730" s="14">
        <v>2855.6</v>
      </c>
      <c r="I730" s="14">
        <v>2859.49</v>
      </c>
      <c r="J730" s="14">
        <v>2949.8</v>
      </c>
      <c r="K730" s="14">
        <v>2220.3</v>
      </c>
      <c r="L730" s="15">
        <v>4523992</v>
      </c>
      <c r="M730" t="s" s="13">
        <v>740</v>
      </c>
      <c r="N730" s="15">
        <v>240512</v>
      </c>
      <c r="O730" s="17" cm="1">
        <f t="array" ref="O730">(H730-H729)/H729</f>
        <v>-0.00780042042355067</v>
      </c>
    </row>
    <row r="731" ht="13.65" customHeight="1">
      <c r="A731" s="12">
        <v>45329</v>
      </c>
      <c r="B731" t="s" s="13">
        <v>22</v>
      </c>
      <c r="C731" s="14">
        <v>2871.85</v>
      </c>
      <c r="D731" s="14">
        <v>2899</v>
      </c>
      <c r="E731" s="14">
        <v>2858.5</v>
      </c>
      <c r="F731" s="14">
        <v>2855.6</v>
      </c>
      <c r="G731" s="14">
        <v>2885</v>
      </c>
      <c r="H731" s="14">
        <v>2884.3</v>
      </c>
      <c r="I731" s="14">
        <v>2876.04</v>
      </c>
      <c r="J731" s="14">
        <v>2949.8</v>
      </c>
      <c r="K731" s="14">
        <v>2220.3</v>
      </c>
      <c r="L731" s="15">
        <v>4648284</v>
      </c>
      <c r="M731" t="s" s="13">
        <v>741</v>
      </c>
      <c r="N731" s="15">
        <v>228951</v>
      </c>
      <c r="O731" s="17" cm="1">
        <f t="array" ref="O731">(H731-H730)/H730</f>
        <v>0.0100504272307046</v>
      </c>
    </row>
    <row r="732" ht="13.65" customHeight="1">
      <c r="A732" s="12">
        <v>45330</v>
      </c>
      <c r="B732" t="s" s="13">
        <v>22</v>
      </c>
      <c r="C732" s="14">
        <v>2900</v>
      </c>
      <c r="D732" s="14">
        <v>2918.95</v>
      </c>
      <c r="E732" s="14">
        <v>2855.05</v>
      </c>
      <c r="F732" s="14">
        <v>2884.3</v>
      </c>
      <c r="G732" s="14">
        <v>2916</v>
      </c>
      <c r="H732" s="14">
        <v>2900.25</v>
      </c>
      <c r="I732" s="14">
        <v>2882.9</v>
      </c>
      <c r="J732" s="14">
        <v>2949.8</v>
      </c>
      <c r="K732" s="14">
        <v>2220.3</v>
      </c>
      <c r="L732" s="15">
        <v>7347317</v>
      </c>
      <c r="M732" t="s" s="13">
        <v>742</v>
      </c>
      <c r="N732" s="15">
        <v>320055</v>
      </c>
      <c r="O732" s="17" cm="1">
        <f t="array" ref="O732">(H732-H731)/H731</f>
        <v>0.00552993793988143</v>
      </c>
    </row>
    <row r="733" ht="13.65" customHeight="1">
      <c r="A733" s="12">
        <v>45331</v>
      </c>
      <c r="B733" t="s" s="13">
        <v>22</v>
      </c>
      <c r="C733" s="14">
        <v>2908</v>
      </c>
      <c r="D733" s="14">
        <v>2943.95</v>
      </c>
      <c r="E733" s="14">
        <v>2901.9</v>
      </c>
      <c r="F733" s="14">
        <v>2900.25</v>
      </c>
      <c r="G733" s="14">
        <v>2917.3</v>
      </c>
      <c r="H733" s="14">
        <v>2921.5</v>
      </c>
      <c r="I733" s="14">
        <v>2924.38</v>
      </c>
      <c r="J733" s="14">
        <v>2949.8</v>
      </c>
      <c r="K733" s="14">
        <v>2220.3</v>
      </c>
      <c r="L733" s="15">
        <v>6278399</v>
      </c>
      <c r="M733" t="s" s="13">
        <v>743</v>
      </c>
      <c r="N733" s="15">
        <v>248252</v>
      </c>
      <c r="O733" s="17" cm="1">
        <f t="array" ref="O733">(H733-H732)/H732</f>
        <v>0.00732695457288165</v>
      </c>
    </row>
    <row r="734" ht="13.65" customHeight="1">
      <c r="A734" s="18">
        <v>45334</v>
      </c>
      <c r="B734" t="s" s="13">
        <v>22</v>
      </c>
      <c r="C734" s="14">
        <v>2921.5</v>
      </c>
      <c r="D734" s="14">
        <v>2922</v>
      </c>
      <c r="E734" s="14">
        <v>2884.7</v>
      </c>
      <c r="F734" s="14">
        <v>2921.5</v>
      </c>
      <c r="G734" s="14">
        <v>2904</v>
      </c>
      <c r="H734" s="14">
        <v>2904.7</v>
      </c>
      <c r="I734" s="14">
        <v>2900.64</v>
      </c>
      <c r="J734" s="14">
        <v>2949.8</v>
      </c>
      <c r="K734" s="14">
        <v>2220.3</v>
      </c>
      <c r="L734" s="15">
        <v>3337215</v>
      </c>
      <c r="M734" t="s" s="13">
        <v>744</v>
      </c>
      <c r="N734" s="15">
        <v>170350</v>
      </c>
      <c r="O734" s="17" cm="1">
        <f t="array" ref="O734">(H734-H733)/H733</f>
        <v>-0.0057504706486394</v>
      </c>
    </row>
    <row r="735" ht="13.65" customHeight="1">
      <c r="A735" s="18">
        <v>45335</v>
      </c>
      <c r="B735" t="s" s="13">
        <v>22</v>
      </c>
      <c r="C735" s="14">
        <v>2911</v>
      </c>
      <c r="D735" s="14">
        <v>2958</v>
      </c>
      <c r="E735" s="14">
        <v>2908</v>
      </c>
      <c r="F735" s="14">
        <v>2904.7</v>
      </c>
      <c r="G735" s="14">
        <v>2926.2</v>
      </c>
      <c r="H735" s="14">
        <v>2930.2</v>
      </c>
      <c r="I735" s="14">
        <v>2934.72</v>
      </c>
      <c r="J735" s="14">
        <v>2958</v>
      </c>
      <c r="K735" s="14">
        <v>2220.3</v>
      </c>
      <c r="L735" s="15">
        <v>3857797</v>
      </c>
      <c r="M735" t="s" s="13">
        <v>745</v>
      </c>
      <c r="N735" s="15">
        <v>178755</v>
      </c>
      <c r="O735" s="17" cm="1">
        <f t="array" ref="O735">(H735-H734)/H734</f>
        <v>0.00877887561538197</v>
      </c>
    </row>
    <row r="736" ht="13.65" customHeight="1">
      <c r="A736" s="18">
        <v>45336</v>
      </c>
      <c r="B736" t="s" s="13">
        <v>22</v>
      </c>
      <c r="C736" s="14">
        <v>2915</v>
      </c>
      <c r="D736" s="14">
        <v>2967.3</v>
      </c>
      <c r="E736" s="14">
        <v>2915</v>
      </c>
      <c r="F736" s="14">
        <v>2930.2</v>
      </c>
      <c r="G736" s="14">
        <v>2963.6</v>
      </c>
      <c r="H736" s="14">
        <v>2962.75</v>
      </c>
      <c r="I736" s="14">
        <v>2943.59</v>
      </c>
      <c r="J736" s="14">
        <v>2967.3</v>
      </c>
      <c r="K736" s="14">
        <v>2220.3</v>
      </c>
      <c r="L736" s="15">
        <v>3558944</v>
      </c>
      <c r="M736" t="s" s="13">
        <v>746</v>
      </c>
      <c r="N736" s="15">
        <v>200869</v>
      </c>
      <c r="O736" s="17" cm="1">
        <f t="array" ref="O736">(H736-H735)/H735</f>
        <v>0.0111084567606307</v>
      </c>
    </row>
    <row r="737" ht="13.65" customHeight="1">
      <c r="A737" s="18">
        <v>45337</v>
      </c>
      <c r="B737" t="s" s="13">
        <v>22</v>
      </c>
      <c r="C737" s="14">
        <v>2966.7</v>
      </c>
      <c r="D737" s="14">
        <v>2969.45</v>
      </c>
      <c r="E737" s="14">
        <v>2933.05</v>
      </c>
      <c r="F737" s="14">
        <v>2962.75</v>
      </c>
      <c r="G737" s="14">
        <v>2944.5</v>
      </c>
      <c r="H737" s="14">
        <v>2941.2</v>
      </c>
      <c r="I737" s="14">
        <v>2946.03</v>
      </c>
      <c r="J737" s="14">
        <v>2969.45</v>
      </c>
      <c r="K737" s="14">
        <v>2220.3</v>
      </c>
      <c r="L737" s="15">
        <v>5003391</v>
      </c>
      <c r="M737" t="s" s="13">
        <v>747</v>
      </c>
      <c r="N737" s="15">
        <v>236768</v>
      </c>
      <c r="O737" s="17" cm="1">
        <f t="array" ref="O737">(H737-H736)/H736</f>
        <v>-0.00727364779343515</v>
      </c>
    </row>
    <row r="738" ht="13.65" customHeight="1">
      <c r="A738" s="18">
        <v>45338</v>
      </c>
      <c r="B738" t="s" s="13">
        <v>22</v>
      </c>
      <c r="C738" s="14">
        <v>2952.95</v>
      </c>
      <c r="D738" s="14">
        <v>2954</v>
      </c>
      <c r="E738" s="14">
        <v>2917.1</v>
      </c>
      <c r="F738" s="14">
        <v>2941.2</v>
      </c>
      <c r="G738" s="14">
        <v>2925</v>
      </c>
      <c r="H738" s="14">
        <v>2921.15</v>
      </c>
      <c r="I738" s="14">
        <v>2932.13</v>
      </c>
      <c r="J738" s="14">
        <v>2969.45</v>
      </c>
      <c r="K738" s="14">
        <v>2220.3</v>
      </c>
      <c r="L738" s="15">
        <v>4883749</v>
      </c>
      <c r="M738" t="s" s="13">
        <v>748</v>
      </c>
      <c r="N738" s="15">
        <v>170212</v>
      </c>
      <c r="O738" s="17" cm="1">
        <f t="array" ref="O738">(H738-H737)/H737</f>
        <v>-0.00681694546443628</v>
      </c>
    </row>
    <row r="739" ht="13.65" customHeight="1">
      <c r="A739" s="18">
        <v>45341</v>
      </c>
      <c r="B739" t="s" s="13">
        <v>22</v>
      </c>
      <c r="C739" s="14">
        <v>2924.1</v>
      </c>
      <c r="D739" s="14">
        <v>2959</v>
      </c>
      <c r="E739" s="14">
        <v>2907.05</v>
      </c>
      <c r="F739" s="14">
        <v>2921.15</v>
      </c>
      <c r="G739" s="14">
        <v>2940</v>
      </c>
      <c r="H739" s="14">
        <v>2948</v>
      </c>
      <c r="I739" s="14">
        <v>2934.52</v>
      </c>
      <c r="J739" s="14">
        <v>2969.45</v>
      </c>
      <c r="K739" s="14">
        <v>2220.3</v>
      </c>
      <c r="L739" s="15">
        <v>3364914</v>
      </c>
      <c r="M739" t="s" s="13">
        <v>749</v>
      </c>
      <c r="N739" s="15">
        <v>143935</v>
      </c>
      <c r="O739" s="17" cm="1">
        <f t="array" ref="O739">(H739-H738)/H738</f>
        <v>0.00919158550570837</v>
      </c>
    </row>
    <row r="740" ht="13.65" customHeight="1">
      <c r="A740" s="18">
        <v>45342</v>
      </c>
      <c r="B740" t="s" s="13">
        <v>22</v>
      </c>
      <c r="C740" s="14">
        <v>2950.05</v>
      </c>
      <c r="D740" s="14">
        <v>2951</v>
      </c>
      <c r="E740" s="14">
        <v>2923.6</v>
      </c>
      <c r="F740" s="14">
        <v>2948</v>
      </c>
      <c r="G740" s="14">
        <v>2941.45</v>
      </c>
      <c r="H740" s="14">
        <v>2942.05</v>
      </c>
      <c r="I740" s="14">
        <v>2937.06</v>
      </c>
      <c r="J740" s="14">
        <v>2969.45</v>
      </c>
      <c r="K740" s="14">
        <v>2220.3</v>
      </c>
      <c r="L740" s="15">
        <v>3558748</v>
      </c>
      <c r="M740" t="s" s="13">
        <v>750</v>
      </c>
      <c r="N740" s="15">
        <v>172812</v>
      </c>
      <c r="O740" s="17" cm="1">
        <f t="array" ref="O740">(H740-H739)/H739</f>
        <v>-0.00201831750339213</v>
      </c>
    </row>
    <row r="741" ht="13.65" customHeight="1">
      <c r="A741" s="18">
        <v>45343</v>
      </c>
      <c r="B741" t="s" s="13">
        <v>22</v>
      </c>
      <c r="C741" s="14">
        <v>2948</v>
      </c>
      <c r="D741" s="14">
        <v>2977.05</v>
      </c>
      <c r="E741" s="14">
        <v>2915.1</v>
      </c>
      <c r="F741" s="14">
        <v>2942.05</v>
      </c>
      <c r="G741" s="14">
        <v>2932.05</v>
      </c>
      <c r="H741" s="14">
        <v>2935.4</v>
      </c>
      <c r="I741" s="14">
        <v>2949.3</v>
      </c>
      <c r="J741" s="14">
        <v>2977.05</v>
      </c>
      <c r="K741" s="14">
        <v>2220.3</v>
      </c>
      <c r="L741" s="15">
        <v>6360146</v>
      </c>
      <c r="M741" t="s" s="13">
        <v>751</v>
      </c>
      <c r="N741" s="15">
        <v>289896</v>
      </c>
      <c r="O741" s="17" cm="1">
        <f t="array" ref="O741">(H741-H740)/H740</f>
        <v>-0.00226032868238133</v>
      </c>
    </row>
    <row r="742" ht="13.65" customHeight="1">
      <c r="A742" s="18">
        <v>45344</v>
      </c>
      <c r="B742" t="s" s="13">
        <v>22</v>
      </c>
      <c r="C742" s="14">
        <v>2936.3</v>
      </c>
      <c r="D742" s="14">
        <v>2969.9</v>
      </c>
      <c r="E742" s="14">
        <v>2916</v>
      </c>
      <c r="F742" s="14">
        <v>2935.4</v>
      </c>
      <c r="G742" s="14">
        <v>2962.2</v>
      </c>
      <c r="H742" s="14">
        <v>2963.5</v>
      </c>
      <c r="I742" s="14">
        <v>2944.65</v>
      </c>
      <c r="J742" s="14">
        <v>2977.05</v>
      </c>
      <c r="K742" s="14">
        <v>2220.3</v>
      </c>
      <c r="L742" s="15">
        <v>9246864</v>
      </c>
      <c r="M742" t="s" s="13">
        <v>752</v>
      </c>
      <c r="N742" s="15">
        <v>273105</v>
      </c>
      <c r="O742" s="17" cm="1">
        <f t="array" ref="O742">(H742-H741)/H741</f>
        <v>0.009572800981126931</v>
      </c>
    </row>
    <row r="743" ht="13.65" customHeight="1">
      <c r="A743" s="18">
        <v>45345</v>
      </c>
      <c r="B743" t="s" s="13">
        <v>22</v>
      </c>
      <c r="C743" s="14">
        <v>2979</v>
      </c>
      <c r="D743" s="14">
        <v>2995.1</v>
      </c>
      <c r="E743" s="14">
        <v>2966.7</v>
      </c>
      <c r="F743" s="14">
        <v>2963.5</v>
      </c>
      <c r="G743" s="14">
        <v>2986.55</v>
      </c>
      <c r="H743" s="14">
        <v>2987.25</v>
      </c>
      <c r="I743" s="14">
        <v>2982.96</v>
      </c>
      <c r="J743" s="14">
        <v>2995.1</v>
      </c>
      <c r="K743" s="14">
        <v>2220.3</v>
      </c>
      <c r="L743" s="15">
        <v>7219292</v>
      </c>
      <c r="M743" t="s" s="13">
        <v>753</v>
      </c>
      <c r="N743" s="15">
        <v>255210</v>
      </c>
      <c r="O743" s="17" cm="1">
        <f t="array" ref="O743">(H743-H742)/H742</f>
        <v>0.00801417243124684</v>
      </c>
    </row>
    <row r="744" ht="13.65" customHeight="1">
      <c r="A744" s="18">
        <v>45348</v>
      </c>
      <c r="B744" t="s" s="13">
        <v>22</v>
      </c>
      <c r="C744" s="14">
        <v>2987.1</v>
      </c>
      <c r="D744" s="14">
        <v>2989.05</v>
      </c>
      <c r="E744" s="14">
        <v>2965</v>
      </c>
      <c r="F744" s="14">
        <v>2987.25</v>
      </c>
      <c r="G744" s="14">
        <v>2975.1</v>
      </c>
      <c r="H744" s="14">
        <v>2974.65</v>
      </c>
      <c r="I744" s="14">
        <v>2974.31</v>
      </c>
      <c r="J744" s="14">
        <v>2995.1</v>
      </c>
      <c r="K744" s="14">
        <v>2220.3</v>
      </c>
      <c r="L744" s="15">
        <v>3756553</v>
      </c>
      <c r="M744" t="s" s="13">
        <v>754</v>
      </c>
      <c r="N744" s="15">
        <v>141799</v>
      </c>
      <c r="O744" s="17" cm="1">
        <f t="array" ref="O744">(H744-H743)/H743</f>
        <v>-0.00421792618629174</v>
      </c>
    </row>
    <row r="745" ht="13.65" customHeight="1">
      <c r="A745" s="18">
        <v>45349</v>
      </c>
      <c r="B745" t="s" s="13">
        <v>22</v>
      </c>
      <c r="C745" s="14">
        <v>2966.05</v>
      </c>
      <c r="D745" s="14">
        <v>2999.9</v>
      </c>
      <c r="E745" s="14">
        <v>2956.1</v>
      </c>
      <c r="F745" s="14">
        <v>2974.65</v>
      </c>
      <c r="G745" s="14">
        <v>2971</v>
      </c>
      <c r="H745" s="14">
        <v>2971.3</v>
      </c>
      <c r="I745" s="14">
        <v>2974.38</v>
      </c>
      <c r="J745" s="14">
        <v>2999.9</v>
      </c>
      <c r="K745" s="14">
        <v>2220.3</v>
      </c>
      <c r="L745" s="15">
        <v>5413022</v>
      </c>
      <c r="M745" t="s" s="13">
        <v>755</v>
      </c>
      <c r="N745" s="15">
        <v>197414</v>
      </c>
      <c r="O745" s="17" cm="1">
        <f t="array" ref="O745">(H745-H744)/H744</f>
        <v>-0.00112618291227539</v>
      </c>
    </row>
    <row r="746" ht="13.65" customHeight="1">
      <c r="A746" s="18">
        <v>45350</v>
      </c>
      <c r="B746" t="s" s="13">
        <v>22</v>
      </c>
      <c r="C746" s="14">
        <v>2966</v>
      </c>
      <c r="D746" s="14">
        <v>2982.55</v>
      </c>
      <c r="E746" s="14">
        <v>2900.35</v>
      </c>
      <c r="F746" s="14">
        <v>2971.3</v>
      </c>
      <c r="G746" s="14">
        <v>2915</v>
      </c>
      <c r="H746" s="14">
        <v>2911.25</v>
      </c>
      <c r="I746" s="14">
        <v>2931.01</v>
      </c>
      <c r="J746" s="14">
        <v>2999.9</v>
      </c>
      <c r="K746" s="14">
        <v>2220.3</v>
      </c>
      <c r="L746" s="15">
        <v>4323975</v>
      </c>
      <c r="M746" t="s" s="13">
        <v>756</v>
      </c>
      <c r="N746" s="15">
        <v>216192</v>
      </c>
      <c r="O746" s="17" cm="1">
        <f t="array" ref="O746">(H746-H745)/H745</f>
        <v>-0.0202100090869316</v>
      </c>
    </row>
    <row r="747" ht="13.65" customHeight="1">
      <c r="A747" s="18">
        <v>45351</v>
      </c>
      <c r="B747" t="s" s="13">
        <v>22</v>
      </c>
      <c r="C747" s="14">
        <v>2930</v>
      </c>
      <c r="D747" s="14">
        <v>2957.95</v>
      </c>
      <c r="E747" s="14">
        <v>2909.05</v>
      </c>
      <c r="F747" s="14">
        <v>2911.25</v>
      </c>
      <c r="G747" s="14">
        <v>2930.75</v>
      </c>
      <c r="H747" s="14">
        <v>2921.6</v>
      </c>
      <c r="I747" s="14">
        <v>2927.13</v>
      </c>
      <c r="J747" s="14">
        <v>2999.9</v>
      </c>
      <c r="K747" s="14">
        <v>2220.3</v>
      </c>
      <c r="L747" s="15">
        <v>11814488</v>
      </c>
      <c r="M747" t="s" s="13">
        <v>757</v>
      </c>
      <c r="N747" s="15">
        <v>298691</v>
      </c>
      <c r="O747" s="17" cm="1">
        <f t="array" ref="O747">(H747-H746)/H746</f>
        <v>0.00355517389437527</v>
      </c>
    </row>
    <row r="748" ht="13.65" customHeight="1">
      <c r="A748" s="12">
        <v>45352</v>
      </c>
      <c r="B748" t="s" s="13">
        <v>22</v>
      </c>
      <c r="C748" s="14">
        <v>2927</v>
      </c>
      <c r="D748" s="14">
        <v>3000</v>
      </c>
      <c r="E748" s="14">
        <v>2925</v>
      </c>
      <c r="F748" s="14">
        <v>2921.6</v>
      </c>
      <c r="G748" s="14">
        <v>2977</v>
      </c>
      <c r="H748" s="14">
        <v>2984.25</v>
      </c>
      <c r="I748" s="14">
        <v>2966.96</v>
      </c>
      <c r="J748" s="14">
        <v>3000</v>
      </c>
      <c r="K748" s="14">
        <v>2220.3</v>
      </c>
      <c r="L748" s="15">
        <v>6066463</v>
      </c>
      <c r="M748" t="s" s="13">
        <v>758</v>
      </c>
      <c r="N748" s="15">
        <v>272154</v>
      </c>
      <c r="O748" s="17" cm="1">
        <f t="array" ref="O748">(H748-H747)/H747</f>
        <v>0.0214437294633078</v>
      </c>
    </row>
    <row r="749" ht="13.65" customHeight="1">
      <c r="A749" s="12">
        <v>45353</v>
      </c>
      <c r="B749" t="s" s="13">
        <v>22</v>
      </c>
      <c r="C749" s="14">
        <v>2984</v>
      </c>
      <c r="D749" s="14">
        <v>3000.9</v>
      </c>
      <c r="E749" s="14">
        <v>2976</v>
      </c>
      <c r="F749" s="14">
        <v>2984.25</v>
      </c>
      <c r="G749" s="14">
        <v>2980.95</v>
      </c>
      <c r="H749" s="14">
        <v>2982.15</v>
      </c>
      <c r="I749" s="14">
        <v>2989.65</v>
      </c>
      <c r="J749" s="14">
        <v>3000.9</v>
      </c>
      <c r="K749" s="14">
        <v>2220.3</v>
      </c>
      <c r="L749" s="15">
        <v>358150</v>
      </c>
      <c r="M749" t="s" s="13">
        <v>759</v>
      </c>
      <c r="N749" s="15">
        <v>18856</v>
      </c>
      <c r="O749" s="17" cm="1">
        <f t="array" ref="O749">(H749-H748)/H748</f>
        <v>-0.000703694395576778</v>
      </c>
    </row>
    <row r="750" ht="13.65" customHeight="1">
      <c r="A750" s="12">
        <v>45355</v>
      </c>
      <c r="B750" t="s" s="13">
        <v>22</v>
      </c>
      <c r="C750" s="14">
        <v>2980.95</v>
      </c>
      <c r="D750" s="14">
        <v>3024.9</v>
      </c>
      <c r="E750" s="14">
        <v>2974.45</v>
      </c>
      <c r="F750" s="14">
        <v>2982.15</v>
      </c>
      <c r="G750" s="14">
        <v>3010</v>
      </c>
      <c r="H750" s="14">
        <v>3014.8</v>
      </c>
      <c r="I750" s="14">
        <v>3003.93</v>
      </c>
      <c r="J750" s="14">
        <v>3024.9</v>
      </c>
      <c r="K750" s="14">
        <v>2220.3</v>
      </c>
      <c r="L750" s="15">
        <v>5012210</v>
      </c>
      <c r="M750" t="s" s="13">
        <v>760</v>
      </c>
      <c r="N750" s="15">
        <v>240680</v>
      </c>
      <c r="O750" s="17" cm="1">
        <f t="array" ref="O750">(H750-H749)/H749</f>
        <v>0.0109484767701155</v>
      </c>
    </row>
    <row r="751" ht="13.65" customHeight="1">
      <c r="A751" s="12">
        <v>45356</v>
      </c>
      <c r="B751" t="s" s="13">
        <v>22</v>
      </c>
      <c r="C751" s="14">
        <v>3011.55</v>
      </c>
      <c r="D751" s="14">
        <v>3014.8</v>
      </c>
      <c r="E751" s="14">
        <v>2972.1</v>
      </c>
      <c r="F751" s="14">
        <v>3014.8</v>
      </c>
      <c r="G751" s="14">
        <v>2996</v>
      </c>
      <c r="H751" s="14">
        <v>3000.4</v>
      </c>
      <c r="I751" s="14">
        <v>2992.5</v>
      </c>
      <c r="J751" s="14">
        <v>3024.9</v>
      </c>
      <c r="K751" s="14">
        <v>2220.3</v>
      </c>
      <c r="L751" s="15">
        <v>3553834</v>
      </c>
      <c r="M751" t="s" s="13">
        <v>761</v>
      </c>
      <c r="N751" s="15">
        <v>213477</v>
      </c>
      <c r="O751" s="17" cm="1">
        <f t="array" ref="O751">(H751-H750)/H750</f>
        <v>-0.00477643624784397</v>
      </c>
    </row>
    <row r="752" ht="13.65" customHeight="1">
      <c r="A752" s="12">
        <v>45357</v>
      </c>
      <c r="B752" t="s" s="13">
        <v>22</v>
      </c>
      <c r="C752" s="14">
        <v>2986.9</v>
      </c>
      <c r="D752" s="14">
        <v>3018</v>
      </c>
      <c r="E752" s="14">
        <v>2957</v>
      </c>
      <c r="F752" s="14">
        <v>3000.4</v>
      </c>
      <c r="G752" s="14">
        <v>3002.85</v>
      </c>
      <c r="H752" s="14">
        <v>3006</v>
      </c>
      <c r="I752" s="14">
        <v>2991.36</v>
      </c>
      <c r="J752" s="14">
        <v>3024.9</v>
      </c>
      <c r="K752" s="14">
        <v>2220.3</v>
      </c>
      <c r="L752" s="15">
        <v>3902838</v>
      </c>
      <c r="M752" t="s" s="13">
        <v>762</v>
      </c>
      <c r="N752" s="15">
        <v>205634</v>
      </c>
      <c r="O752" s="17" cm="1">
        <f t="array" ref="O752">(H752-H751)/H751</f>
        <v>0.00186641781095854</v>
      </c>
    </row>
    <row r="753" ht="13.65" customHeight="1">
      <c r="A753" s="12">
        <v>45358</v>
      </c>
      <c r="B753" t="s" s="13">
        <v>22</v>
      </c>
      <c r="C753" s="14">
        <v>3005.95</v>
      </c>
      <c r="D753" s="14">
        <v>3006.2</v>
      </c>
      <c r="E753" s="14">
        <v>2951.1</v>
      </c>
      <c r="F753" s="14">
        <v>3006</v>
      </c>
      <c r="G753" s="14">
        <v>2957</v>
      </c>
      <c r="H753" s="14">
        <v>2957.85</v>
      </c>
      <c r="I753" s="14">
        <v>2973.36</v>
      </c>
      <c r="J753" s="14">
        <v>3024.9</v>
      </c>
      <c r="K753" s="14">
        <v>2220.3</v>
      </c>
      <c r="L753" s="15">
        <v>4157863</v>
      </c>
      <c r="M753" t="s" s="13">
        <v>763</v>
      </c>
      <c r="N753" s="15">
        <v>195070</v>
      </c>
      <c r="O753" s="17" cm="1">
        <f t="array" ref="O753">(H753-H752)/H752</f>
        <v>-0.0160179640718563</v>
      </c>
    </row>
    <row r="754" ht="13.65" customHeight="1">
      <c r="A754" s="18">
        <v>45362</v>
      </c>
      <c r="B754" t="s" s="13">
        <v>22</v>
      </c>
      <c r="C754" s="14">
        <v>2978</v>
      </c>
      <c r="D754" s="14">
        <v>2978</v>
      </c>
      <c r="E754" s="14">
        <v>2927</v>
      </c>
      <c r="F754" s="14">
        <v>2957.85</v>
      </c>
      <c r="G754" s="14">
        <v>2928</v>
      </c>
      <c r="H754" s="14">
        <v>2933.2</v>
      </c>
      <c r="I754" s="14">
        <v>2950.2</v>
      </c>
      <c r="J754" s="14">
        <v>3024.9</v>
      </c>
      <c r="K754" s="14">
        <v>2220.3</v>
      </c>
      <c r="L754" s="15">
        <v>5638565</v>
      </c>
      <c r="M754" t="s" s="13">
        <v>764</v>
      </c>
      <c r="N754" s="15">
        <v>255615</v>
      </c>
      <c r="O754" s="17" cm="1">
        <f t="array" ref="O754">(H754-H753)/H753</f>
        <v>-0.008333755937589799</v>
      </c>
    </row>
    <row r="755" ht="13.65" customHeight="1">
      <c r="A755" s="18">
        <v>45363</v>
      </c>
      <c r="B755" t="s" s="13">
        <v>22</v>
      </c>
      <c r="C755" s="14">
        <v>2933.2</v>
      </c>
      <c r="D755" s="14">
        <v>2976</v>
      </c>
      <c r="E755" s="14">
        <v>2930.05</v>
      </c>
      <c r="F755" s="14">
        <v>2933.2</v>
      </c>
      <c r="G755" s="14">
        <v>2953.5</v>
      </c>
      <c r="H755" s="14">
        <v>2950.85</v>
      </c>
      <c r="I755" s="14">
        <v>2956.49</v>
      </c>
      <c r="J755" s="14">
        <v>3024.9</v>
      </c>
      <c r="K755" s="14">
        <v>2220.3</v>
      </c>
      <c r="L755" s="15">
        <v>4716339</v>
      </c>
      <c r="M755" t="s" s="13">
        <v>765</v>
      </c>
      <c r="N755" s="15">
        <v>178946</v>
      </c>
      <c r="O755" s="17" cm="1">
        <f t="array" ref="O755">(H755-H754)/H754</f>
        <v>0.00601731896904405</v>
      </c>
    </row>
    <row r="756" ht="13.65" customHeight="1">
      <c r="A756" s="18">
        <v>45364</v>
      </c>
      <c r="B756" t="s" s="13">
        <v>22</v>
      </c>
      <c r="C756" s="14">
        <v>2959.55</v>
      </c>
      <c r="D756" s="14">
        <v>2966.2</v>
      </c>
      <c r="E756" s="14">
        <v>2855.55</v>
      </c>
      <c r="F756" s="14">
        <v>2950.85</v>
      </c>
      <c r="G756" s="14">
        <v>2873.2</v>
      </c>
      <c r="H756" s="14">
        <v>2864.35</v>
      </c>
      <c r="I756" s="14">
        <v>2889.98</v>
      </c>
      <c r="J756" s="14">
        <v>3024.9</v>
      </c>
      <c r="K756" s="14">
        <v>2220.3</v>
      </c>
      <c r="L756" s="15">
        <v>6761067</v>
      </c>
      <c r="M756" t="s" s="13">
        <v>766</v>
      </c>
      <c r="N756" s="15">
        <v>255973</v>
      </c>
      <c r="O756" s="17" cm="1">
        <f t="array" ref="O756">(H756-H755)/H755</f>
        <v>-0.0293135876103496</v>
      </c>
    </row>
    <row r="757" ht="13.65" customHeight="1">
      <c r="A757" s="18">
        <v>45365</v>
      </c>
      <c r="B757" t="s" s="13">
        <v>22</v>
      </c>
      <c r="C757" s="14">
        <v>2879.4</v>
      </c>
      <c r="D757" s="14">
        <v>2897.05</v>
      </c>
      <c r="E757" s="14">
        <v>2851</v>
      </c>
      <c r="F757" s="14">
        <v>2864.35</v>
      </c>
      <c r="G757" s="14">
        <v>2870</v>
      </c>
      <c r="H757" s="14">
        <v>2862.95</v>
      </c>
      <c r="I757" s="14">
        <v>2871.07</v>
      </c>
      <c r="J757" s="14">
        <v>3024.9</v>
      </c>
      <c r="K757" s="14">
        <v>2220.3</v>
      </c>
      <c r="L757" s="15">
        <v>9285551</v>
      </c>
      <c r="M757" t="s" s="13">
        <v>767</v>
      </c>
      <c r="N757" s="15">
        <v>343017</v>
      </c>
      <c r="O757" s="17" cm="1">
        <f t="array" ref="O757">(H757-H756)/H756</f>
        <v>-0.000488767085028017</v>
      </c>
    </row>
    <row r="758" ht="13.65" customHeight="1">
      <c r="A758" s="18">
        <v>45366</v>
      </c>
      <c r="B758" t="s" s="13">
        <v>22</v>
      </c>
      <c r="C758" s="14">
        <v>2851.9</v>
      </c>
      <c r="D758" s="14">
        <v>2866.45</v>
      </c>
      <c r="E758" s="14">
        <v>2825.8</v>
      </c>
      <c r="F758" s="14">
        <v>2862.95</v>
      </c>
      <c r="G758" s="14">
        <v>2838</v>
      </c>
      <c r="H758" s="14">
        <v>2836.45</v>
      </c>
      <c r="I758" s="14">
        <v>2839.66</v>
      </c>
      <c r="J758" s="14">
        <v>3024.9</v>
      </c>
      <c r="K758" s="14">
        <v>2220.3</v>
      </c>
      <c r="L758" s="15">
        <v>9611909</v>
      </c>
      <c r="M758" t="s" s="13">
        <v>768</v>
      </c>
      <c r="N758" s="15">
        <v>249827</v>
      </c>
      <c r="O758" s="17" cm="1">
        <f t="array" ref="O758">(H758-H757)/H757</f>
        <v>-0.009256186800328329</v>
      </c>
    </row>
    <row r="759" ht="13.65" customHeight="1">
      <c r="A759" s="18">
        <v>45369</v>
      </c>
      <c r="B759" t="s" s="13">
        <v>22</v>
      </c>
      <c r="C759" s="14">
        <v>2840</v>
      </c>
      <c r="D759" s="14">
        <v>2883.45</v>
      </c>
      <c r="E759" s="14">
        <v>2833.05</v>
      </c>
      <c r="F759" s="14">
        <v>2836.45</v>
      </c>
      <c r="G759" s="14">
        <v>2874</v>
      </c>
      <c r="H759" s="14">
        <v>2878.95</v>
      </c>
      <c r="I759" s="14">
        <v>2858.1</v>
      </c>
      <c r="J759" s="14">
        <v>3024.9</v>
      </c>
      <c r="K759" s="14">
        <v>2220.3</v>
      </c>
      <c r="L759" s="15">
        <v>4584696</v>
      </c>
      <c r="M759" t="s" s="13">
        <v>769</v>
      </c>
      <c r="N759" s="15">
        <v>228224</v>
      </c>
      <c r="O759" s="17" cm="1">
        <f t="array" ref="O759">(H759-H758)/H758</f>
        <v>0.0149835181300569</v>
      </c>
    </row>
    <row r="760" ht="13.65" customHeight="1">
      <c r="A760" s="18">
        <v>45370</v>
      </c>
      <c r="B760" t="s" s="13">
        <v>22</v>
      </c>
      <c r="C760" s="14">
        <v>2857.5</v>
      </c>
      <c r="D760" s="14">
        <v>2875.2</v>
      </c>
      <c r="E760" s="14">
        <v>2834.5</v>
      </c>
      <c r="F760" s="14">
        <v>2878.95</v>
      </c>
      <c r="G760" s="14">
        <v>2849.15</v>
      </c>
      <c r="H760" s="14">
        <v>2850.5</v>
      </c>
      <c r="I760" s="14">
        <v>2848.79</v>
      </c>
      <c r="J760" s="14">
        <v>3024.9</v>
      </c>
      <c r="K760" s="14">
        <v>2220.3</v>
      </c>
      <c r="L760" s="15">
        <v>4137882</v>
      </c>
      <c r="M760" t="s" s="13">
        <v>770</v>
      </c>
      <c r="N760" s="15">
        <v>196658</v>
      </c>
      <c r="O760" s="17" cm="1">
        <f t="array" ref="O760">(H760-H759)/H759</f>
        <v>-0.009882075062088609</v>
      </c>
    </row>
    <row r="761" ht="13.65" customHeight="1">
      <c r="A761" s="18">
        <v>45371</v>
      </c>
      <c r="B761" t="s" s="13">
        <v>22</v>
      </c>
      <c r="C761" s="14">
        <v>2855.9</v>
      </c>
      <c r="D761" s="14">
        <v>2890</v>
      </c>
      <c r="E761" s="14">
        <v>2848.05</v>
      </c>
      <c r="F761" s="14">
        <v>2850.5</v>
      </c>
      <c r="G761" s="14">
        <v>2886.25</v>
      </c>
      <c r="H761" s="14">
        <v>2887.5</v>
      </c>
      <c r="I761" s="14">
        <v>2874.53</v>
      </c>
      <c r="J761" s="14">
        <v>3024.9</v>
      </c>
      <c r="K761" s="14">
        <v>2220.3</v>
      </c>
      <c r="L761" s="15">
        <v>4244403</v>
      </c>
      <c r="M761" t="s" s="13">
        <v>771</v>
      </c>
      <c r="N761" s="15">
        <v>208132</v>
      </c>
      <c r="O761" s="17" cm="1">
        <f t="array" ref="O761">(H761-H760)/H760</f>
        <v>0.0129801789159797</v>
      </c>
    </row>
    <row r="762" ht="13.65" customHeight="1">
      <c r="A762" s="18">
        <v>45372</v>
      </c>
      <c r="B762" t="s" s="13">
        <v>22</v>
      </c>
      <c r="C762" s="14">
        <v>2905.05</v>
      </c>
      <c r="D762" s="14">
        <v>2915.8</v>
      </c>
      <c r="E762" s="14">
        <v>2889.35</v>
      </c>
      <c r="F762" s="14">
        <v>2887.5</v>
      </c>
      <c r="G762" s="14">
        <v>2900.05</v>
      </c>
      <c r="H762" s="14">
        <v>2901.95</v>
      </c>
      <c r="I762" s="14">
        <v>2903.52</v>
      </c>
      <c r="J762" s="14">
        <v>3024.9</v>
      </c>
      <c r="K762" s="14">
        <v>2220.3</v>
      </c>
      <c r="L762" s="15">
        <v>6503468</v>
      </c>
      <c r="M762" t="s" s="13">
        <v>772</v>
      </c>
      <c r="N762" s="15">
        <v>244846</v>
      </c>
      <c r="O762" s="17" cm="1">
        <f t="array" ref="O762">(H762-H761)/H761</f>
        <v>0.005004329004329</v>
      </c>
    </row>
    <row r="763" ht="13.65" customHeight="1">
      <c r="A763" s="18">
        <v>45373</v>
      </c>
      <c r="B763" t="s" s="13">
        <v>22</v>
      </c>
      <c r="C763" s="14">
        <v>2899.95</v>
      </c>
      <c r="D763" s="14">
        <v>2920</v>
      </c>
      <c r="E763" s="14">
        <v>2894.7</v>
      </c>
      <c r="F763" s="14">
        <v>2901.95</v>
      </c>
      <c r="G763" s="14">
        <v>2906.55</v>
      </c>
      <c r="H763" s="14">
        <v>2910.05</v>
      </c>
      <c r="I763" s="14">
        <v>2909.59</v>
      </c>
      <c r="J763" s="14">
        <v>3024.9</v>
      </c>
      <c r="K763" s="14">
        <v>2220.3</v>
      </c>
      <c r="L763" s="15">
        <v>9763804</v>
      </c>
      <c r="M763" t="s" s="13">
        <v>773</v>
      </c>
      <c r="N763" s="15">
        <v>286746</v>
      </c>
      <c r="O763" s="17" cm="1">
        <f t="array" ref="O763">(H763-H762)/H762</f>
        <v>0.00279122658901773</v>
      </c>
    </row>
    <row r="764" ht="13.65" customHeight="1">
      <c r="A764" s="18">
        <v>45377</v>
      </c>
      <c r="B764" t="s" s="13">
        <v>22</v>
      </c>
      <c r="C764" s="14">
        <v>2890</v>
      </c>
      <c r="D764" s="14">
        <v>2904.8</v>
      </c>
      <c r="E764" s="14">
        <v>2878</v>
      </c>
      <c r="F764" s="14">
        <v>2910.05</v>
      </c>
      <c r="G764" s="14">
        <v>2886.7</v>
      </c>
      <c r="H764" s="14">
        <v>2883.15</v>
      </c>
      <c r="I764" s="14">
        <v>2887.28</v>
      </c>
      <c r="J764" s="14">
        <v>3024.9</v>
      </c>
      <c r="K764" s="14">
        <v>2220.3</v>
      </c>
      <c r="L764" s="15">
        <v>5707953</v>
      </c>
      <c r="M764" t="s" s="13">
        <v>774</v>
      </c>
      <c r="N764" s="15">
        <v>174805</v>
      </c>
      <c r="O764" s="17" cm="1">
        <f t="array" ref="O764">(H764-H763)/H763</f>
        <v>-0.00924382742564561</v>
      </c>
    </row>
    <row r="765" ht="13.65" customHeight="1">
      <c r="A765" s="18">
        <v>45378</v>
      </c>
      <c r="B765" t="s" s="13">
        <v>22</v>
      </c>
      <c r="C765" s="14">
        <v>2896</v>
      </c>
      <c r="D765" s="14">
        <v>3000</v>
      </c>
      <c r="E765" s="14">
        <v>2894</v>
      </c>
      <c r="F765" s="14">
        <v>2883.15</v>
      </c>
      <c r="G765" s="14">
        <v>2983.75</v>
      </c>
      <c r="H765" s="14">
        <v>2985.7</v>
      </c>
      <c r="I765" s="14">
        <v>2972.19</v>
      </c>
      <c r="J765" s="14">
        <v>3024.9</v>
      </c>
      <c r="K765" s="14">
        <v>2220.3</v>
      </c>
      <c r="L765" s="15">
        <v>8163322</v>
      </c>
      <c r="M765" t="s" s="13">
        <v>775</v>
      </c>
      <c r="N765" s="15">
        <v>299800</v>
      </c>
      <c r="O765" s="17" cm="1">
        <f t="array" ref="O765">(H765-H764)/H764</f>
        <v>0.0355687355843435</v>
      </c>
    </row>
    <row r="766" ht="13.65" customHeight="1">
      <c r="A766" s="18">
        <v>45379</v>
      </c>
      <c r="B766" t="s" s="13">
        <v>22</v>
      </c>
      <c r="C766" s="14">
        <v>2985.75</v>
      </c>
      <c r="D766" s="14">
        <v>3011.9</v>
      </c>
      <c r="E766" s="14">
        <v>2957.3</v>
      </c>
      <c r="F766" s="14">
        <v>2985.7</v>
      </c>
      <c r="G766" s="14">
        <v>2970.3</v>
      </c>
      <c r="H766" s="14">
        <v>2971.7</v>
      </c>
      <c r="I766" s="14">
        <v>2988.81</v>
      </c>
      <c r="J766" s="14">
        <v>3024.9</v>
      </c>
      <c r="K766" s="14">
        <v>2220.3</v>
      </c>
      <c r="L766" s="15">
        <v>10927182</v>
      </c>
      <c r="M766" t="s" s="13">
        <v>776</v>
      </c>
      <c r="N766" s="15">
        <v>289271</v>
      </c>
      <c r="O766" s="17" cm="1">
        <f t="array" ref="O766">(H766-H765)/H765</f>
        <v>-0.00468901765080216</v>
      </c>
    </row>
    <row r="767" ht="13.65" customHeight="1">
      <c r="A767" s="12">
        <v>45383</v>
      </c>
      <c r="B767" t="s" s="13">
        <v>22</v>
      </c>
      <c r="C767" s="14">
        <v>2984.95</v>
      </c>
      <c r="D767" s="14">
        <v>2987.95</v>
      </c>
      <c r="E767" s="14">
        <v>2965</v>
      </c>
      <c r="F767" s="14">
        <v>2971.7</v>
      </c>
      <c r="G767" s="14">
        <v>2974.8</v>
      </c>
      <c r="H767" s="14">
        <v>2969.55</v>
      </c>
      <c r="I767" s="14">
        <v>2973.78</v>
      </c>
      <c r="J767" s="14">
        <v>3024.9</v>
      </c>
      <c r="K767" s="14">
        <v>2220.3</v>
      </c>
      <c r="L767" s="15">
        <v>2506940</v>
      </c>
      <c r="M767" t="s" s="13">
        <v>777</v>
      </c>
      <c r="N767" s="15">
        <v>128873</v>
      </c>
      <c r="O767" s="17" cm="1">
        <f t="array" ref="O767">(H767-H766)/H766</f>
        <v>-0.000723491604132315</v>
      </c>
    </row>
    <row r="768" ht="13.65" customHeight="1">
      <c r="A768" s="21"/>
      <c r="B768" s="21"/>
      <c r="C768" s="21"/>
      <c r="D768" s="21"/>
      <c r="E768" s="21"/>
      <c r="F768" s="21"/>
      <c r="G768" s="21"/>
      <c r="H768" s="21"/>
      <c r="I768" s="21"/>
      <c r="J768" s="21"/>
      <c r="K768" s="21"/>
      <c r="L768" s="21"/>
      <c r="M768" s="21"/>
      <c r="N768" s="21"/>
      <c r="O768" s="8"/>
    </row>
    <row r="769" ht="13.65" customHeight="1">
      <c r="A769" s="8"/>
      <c r="B769" s="8"/>
      <c r="C769" s="8"/>
      <c r="D769" s="8"/>
      <c r="E769" s="8"/>
      <c r="F769" s="8"/>
      <c r="G769" s="8"/>
      <c r="H769" s="8"/>
      <c r="I769" s="8"/>
      <c r="J769" s="8"/>
      <c r="K769" s="8"/>
      <c r="L769" s="8"/>
      <c r="M769" s="8"/>
      <c r="N769" t="s" s="7">
        <v>272</v>
      </c>
      <c r="O769" s="22" cm="1">
        <f t="array" ref="O769">AVERAGE(O521:O767)</f>
        <v>0.00106140896032057</v>
      </c>
    </row>
    <row r="770" ht="13.65" customHeight="1">
      <c r="A770" s="8"/>
      <c r="B770" s="8"/>
      <c r="C770" s="8"/>
      <c r="D770" s="8"/>
      <c r="E770" s="8"/>
      <c r="F770" s="8"/>
      <c r="G770" s="8"/>
      <c r="H770" s="8"/>
      <c r="I770" s="8"/>
      <c r="J770" s="8"/>
      <c r="K770" s="8"/>
      <c r="L770" s="8"/>
      <c r="M770" s="8"/>
      <c r="N770" t="s" s="7">
        <v>273</v>
      </c>
      <c r="O770" s="22">
        <v>0.0124</v>
      </c>
    </row>
    <row r="771" ht="13.65" customHeight="1">
      <c r="A771" s="8"/>
      <c r="B771" s="8"/>
      <c r="C771" s="8"/>
      <c r="D771" s="8"/>
      <c r="E771" s="8"/>
      <c r="F771" s="8"/>
      <c r="G771" s="8"/>
      <c r="H771" s="8"/>
      <c r="I771" s="8"/>
      <c r="J771" s="8"/>
      <c r="K771" s="8"/>
      <c r="L771" s="8"/>
      <c r="M771" s="8"/>
      <c r="N771" t="s" s="7">
        <v>274</v>
      </c>
      <c r="O771" s="23" cm="1">
        <f t="array" ref="O771">AVERAGE(L521:L767)</f>
        <v>6110370.18218623</v>
      </c>
    </row>
    <row r="772" ht="13.65" customHeight="1">
      <c r="A772" s="8"/>
      <c r="B772" s="8"/>
      <c r="C772" s="8"/>
      <c r="D772" s="8"/>
      <c r="E772" s="8"/>
      <c r="F772" s="8"/>
      <c r="G772" s="8"/>
      <c r="H772" s="8"/>
      <c r="I772" s="8"/>
      <c r="J772" s="8"/>
      <c r="K772" s="8"/>
      <c r="L772" s="8"/>
      <c r="M772" s="8"/>
      <c r="N772" t="s" s="7">
        <v>275</v>
      </c>
      <c r="O772" s="23" cm="1">
        <f t="array" ref="O772">IF(H767&gt;H521,1,IF(H767&lt;H521,-1,0))</f>
        <v>1</v>
      </c>
    </row>
    <row r="773" ht="13.65" customHeight="1">
      <c r="A773" s="8"/>
      <c r="B773" s="8"/>
      <c r="C773" s="8"/>
      <c r="D773" s="8"/>
      <c r="E773" s="8"/>
      <c r="F773" s="8"/>
      <c r="G773" s="8"/>
      <c r="H773" s="8"/>
      <c r="I773" s="8"/>
      <c r="J773" s="8"/>
      <c r="K773" s="8"/>
      <c r="L773" s="8"/>
      <c r="M773" s="8"/>
      <c r="N773" t="s" s="7">
        <v>528</v>
      </c>
      <c r="O773" s="22" cm="1">
        <f t="array" ref="O773">(H767-H521)/H521</f>
        <v>0.273692337386605</v>
      </c>
    </row>
    <row r="774" ht="13.65" customHeight="1">
      <c r="A774" s="8"/>
      <c r="B774" s="8"/>
      <c r="C774" s="8"/>
      <c r="D774" s="8"/>
      <c r="E774" s="8"/>
      <c r="F774" s="8"/>
      <c r="G774" s="8"/>
      <c r="H774" s="8"/>
      <c r="I774" s="8"/>
      <c r="J774" s="8"/>
      <c r="K774" s="8"/>
      <c r="L774" s="8"/>
      <c r="M774" s="8"/>
      <c r="N774" s="8"/>
      <c r="O774" s="8"/>
    </row>
    <row r="775" ht="13.65" customHeight="1">
      <c r="A775" t="s" s="24">
        <v>778</v>
      </c>
      <c r="B775" s="9"/>
      <c r="C775" s="9"/>
      <c r="D775" s="9"/>
      <c r="E775" s="9"/>
      <c r="F775" s="9"/>
      <c r="G775" s="9"/>
      <c r="H775" s="9"/>
      <c r="I775" s="9"/>
      <c r="J775" s="9"/>
      <c r="K775" s="9"/>
      <c r="L775" s="9"/>
      <c r="M775" s="9"/>
      <c r="N775" s="9"/>
      <c r="O775" s="8"/>
    </row>
    <row r="776" ht="13.65" customHeight="1">
      <c r="A776" t="s" s="10">
        <v>7</v>
      </c>
      <c r="B776" t="s" s="10">
        <v>8</v>
      </c>
      <c r="C776" t="s" s="10">
        <v>9</v>
      </c>
      <c r="D776" t="s" s="10">
        <v>10</v>
      </c>
      <c r="E776" t="s" s="10">
        <v>11</v>
      </c>
      <c r="F776" t="s" s="10">
        <v>12</v>
      </c>
      <c r="G776" t="s" s="10">
        <v>13</v>
      </c>
      <c r="H776" t="s" s="10">
        <v>14</v>
      </c>
      <c r="I776" t="s" s="10">
        <v>15</v>
      </c>
      <c r="J776" t="s" s="10">
        <v>16</v>
      </c>
      <c r="K776" t="s" s="10">
        <v>17</v>
      </c>
      <c r="L776" t="s" s="10">
        <v>18</v>
      </c>
      <c r="M776" t="s" s="10">
        <v>19</v>
      </c>
      <c r="N776" t="s" s="10">
        <v>20</v>
      </c>
      <c r="O776" t="s" s="11">
        <v>21</v>
      </c>
    </row>
    <row r="777" ht="13.65" customHeight="1">
      <c r="A777" s="12">
        <v>45383</v>
      </c>
      <c r="B777" t="s" s="13">
        <v>22</v>
      </c>
      <c r="C777" s="14">
        <v>2984.95</v>
      </c>
      <c r="D777" s="14">
        <v>2987.95</v>
      </c>
      <c r="E777" s="14">
        <v>2965</v>
      </c>
      <c r="F777" s="14">
        <v>2971.7</v>
      </c>
      <c r="G777" s="14">
        <v>2974.8</v>
      </c>
      <c r="H777" s="14">
        <v>2969.55</v>
      </c>
      <c r="I777" s="14">
        <v>2973.78</v>
      </c>
      <c r="J777" s="14">
        <v>3024.9</v>
      </c>
      <c r="K777" s="14">
        <v>2220.3</v>
      </c>
      <c r="L777" s="15">
        <v>2506940</v>
      </c>
      <c r="M777" t="s" s="13">
        <v>777</v>
      </c>
      <c r="N777" s="15">
        <v>128873</v>
      </c>
      <c r="O777" s="16"/>
    </row>
    <row r="778" ht="13.65" customHeight="1">
      <c r="A778" s="12">
        <v>45384</v>
      </c>
      <c r="B778" t="s" s="13">
        <v>22</v>
      </c>
      <c r="C778" s="14">
        <v>2968</v>
      </c>
      <c r="D778" s="14">
        <v>2988</v>
      </c>
      <c r="E778" s="14">
        <v>2950</v>
      </c>
      <c r="F778" s="14">
        <v>2969.55</v>
      </c>
      <c r="G778" s="14">
        <v>2977</v>
      </c>
      <c r="H778" s="14">
        <v>2973.9</v>
      </c>
      <c r="I778" s="14">
        <v>2964.64</v>
      </c>
      <c r="J778" s="14">
        <v>3024.9</v>
      </c>
      <c r="K778" s="14">
        <v>2220.3</v>
      </c>
      <c r="L778" s="15">
        <v>4455083</v>
      </c>
      <c r="M778" t="s" s="13">
        <v>779</v>
      </c>
      <c r="N778" s="15">
        <v>144866</v>
      </c>
      <c r="O778" s="17" cm="1">
        <f t="array" ref="O778">(H778-H777)/H777</f>
        <v>0.00146486841440622</v>
      </c>
    </row>
    <row r="779" ht="13.65" customHeight="1">
      <c r="A779" s="12">
        <v>45385</v>
      </c>
      <c r="B779" t="s" s="13">
        <v>22</v>
      </c>
      <c r="C779" s="14">
        <v>2964.15</v>
      </c>
      <c r="D779" s="14">
        <v>2968.9</v>
      </c>
      <c r="E779" s="14">
        <v>2937.8</v>
      </c>
      <c r="F779" s="14">
        <v>2973.9</v>
      </c>
      <c r="G779" s="14">
        <v>2944.95</v>
      </c>
      <c r="H779" s="14">
        <v>2943.2</v>
      </c>
      <c r="I779" s="14">
        <v>2950.91</v>
      </c>
      <c r="J779" s="14">
        <v>3024.9</v>
      </c>
      <c r="K779" s="14">
        <v>2220.3</v>
      </c>
      <c r="L779" s="15">
        <v>3504146</v>
      </c>
      <c r="M779" t="s" s="13">
        <v>780</v>
      </c>
      <c r="N779" s="15">
        <v>152022</v>
      </c>
      <c r="O779" s="17" cm="1">
        <f t="array" ref="O779">(H779-H778)/H778</f>
        <v>-0.0103231446921551</v>
      </c>
    </row>
    <row r="780" ht="13.65" customHeight="1">
      <c r="A780" s="12">
        <v>45386</v>
      </c>
      <c r="B780" t="s" s="13">
        <v>22</v>
      </c>
      <c r="C780" s="14">
        <v>2959.5</v>
      </c>
      <c r="D780" s="14">
        <v>2959.5</v>
      </c>
      <c r="E780" s="14">
        <v>2900</v>
      </c>
      <c r="F780" s="14">
        <v>2943.2</v>
      </c>
      <c r="G780" s="14">
        <v>2931</v>
      </c>
      <c r="H780" s="14">
        <v>2925.85</v>
      </c>
      <c r="I780" s="14">
        <v>2924.41</v>
      </c>
      <c r="J780" s="14">
        <v>3024.9</v>
      </c>
      <c r="K780" s="14">
        <v>2220.3</v>
      </c>
      <c r="L780" s="15">
        <v>7245136</v>
      </c>
      <c r="M780" t="s" s="13">
        <v>781</v>
      </c>
      <c r="N780" s="15">
        <v>305593</v>
      </c>
      <c r="O780" s="17" cm="1">
        <f t="array" ref="O780">(H780-H779)/H779</f>
        <v>-0.0058949442783365</v>
      </c>
    </row>
    <row r="781" ht="13.65" customHeight="1">
      <c r="A781" s="12">
        <v>45387</v>
      </c>
      <c r="B781" t="s" s="13">
        <v>22</v>
      </c>
      <c r="C781" s="14">
        <v>2921.75</v>
      </c>
      <c r="D781" s="14">
        <v>2941.6</v>
      </c>
      <c r="E781" s="14">
        <v>2912</v>
      </c>
      <c r="F781" s="14">
        <v>2925.85</v>
      </c>
      <c r="G781" s="14">
        <v>2925.95</v>
      </c>
      <c r="H781" s="14">
        <v>2920.2</v>
      </c>
      <c r="I781" s="14">
        <v>2924.97</v>
      </c>
      <c r="J781" s="14">
        <v>3024.9</v>
      </c>
      <c r="K781" s="14">
        <v>2220.3</v>
      </c>
      <c r="L781" s="15">
        <v>3721149</v>
      </c>
      <c r="M781" t="s" s="13">
        <v>782</v>
      </c>
      <c r="N781" s="15">
        <v>138742</v>
      </c>
      <c r="O781" s="17" cm="1">
        <f t="array" ref="O781">(H781-H780)/H780</f>
        <v>-0.00193106276808449</v>
      </c>
    </row>
    <row r="782" ht="13.65" customHeight="1">
      <c r="A782" s="12">
        <v>45390</v>
      </c>
      <c r="B782" t="s" s="13">
        <v>22</v>
      </c>
      <c r="C782" s="14">
        <v>2925.95</v>
      </c>
      <c r="D782" s="14">
        <v>2981.95</v>
      </c>
      <c r="E782" s="14">
        <v>2922</v>
      </c>
      <c r="F782" s="14">
        <v>2920.2</v>
      </c>
      <c r="G782" s="14">
        <v>2970</v>
      </c>
      <c r="H782" s="14">
        <v>2971.95</v>
      </c>
      <c r="I782" s="14">
        <v>2967.76</v>
      </c>
      <c r="J782" s="14">
        <v>3024.9</v>
      </c>
      <c r="K782" s="14">
        <v>2220.3</v>
      </c>
      <c r="L782" s="15">
        <v>4178559</v>
      </c>
      <c r="M782" t="s" s="13">
        <v>783</v>
      </c>
      <c r="N782" s="15">
        <v>144054</v>
      </c>
      <c r="O782" s="17" cm="1">
        <f t="array" ref="O782">(H782-H781)/H781</f>
        <v>0.0177213889459626</v>
      </c>
    </row>
    <row r="783" ht="13.65" customHeight="1">
      <c r="A783" s="12">
        <v>45391</v>
      </c>
      <c r="B783" t="s" s="13">
        <v>22</v>
      </c>
      <c r="C783" s="14">
        <v>2978</v>
      </c>
      <c r="D783" s="14">
        <v>2979.6</v>
      </c>
      <c r="E783" s="14">
        <v>2925</v>
      </c>
      <c r="F783" s="14">
        <v>2971.95</v>
      </c>
      <c r="G783" s="14">
        <v>2931.9</v>
      </c>
      <c r="H783" s="14">
        <v>2927.3</v>
      </c>
      <c r="I783" s="14">
        <v>2942.09</v>
      </c>
      <c r="J783" s="14">
        <v>3024.9</v>
      </c>
      <c r="K783" s="14">
        <v>2220.3</v>
      </c>
      <c r="L783" s="15">
        <v>3535707</v>
      </c>
      <c r="M783" t="s" s="13">
        <v>784</v>
      </c>
      <c r="N783" s="15">
        <v>166238</v>
      </c>
      <c r="O783" s="17" cm="1">
        <f t="array" ref="O783">(H783-H782)/H782</f>
        <v>-0.0150238059186729</v>
      </c>
    </row>
    <row r="784" ht="13.65" customHeight="1">
      <c r="A784" s="18">
        <v>45392</v>
      </c>
      <c r="B784" t="s" s="13">
        <v>22</v>
      </c>
      <c r="C784" s="14">
        <v>2932.7</v>
      </c>
      <c r="D784" s="14">
        <v>2974</v>
      </c>
      <c r="E784" s="14">
        <v>2932.7</v>
      </c>
      <c r="F784" s="14">
        <v>2927.3</v>
      </c>
      <c r="G784" s="14">
        <v>2955</v>
      </c>
      <c r="H784" s="14">
        <v>2959.15</v>
      </c>
      <c r="I784" s="14">
        <v>2956.51</v>
      </c>
      <c r="J784" s="14">
        <v>3024.9</v>
      </c>
      <c r="K784" s="14">
        <v>2220.3</v>
      </c>
      <c r="L784" s="15">
        <v>4569165</v>
      </c>
      <c r="M784" t="s" s="13">
        <v>785</v>
      </c>
      <c r="N784" s="15">
        <v>247782</v>
      </c>
      <c r="O784" s="17" cm="1">
        <f t="array" ref="O784">(H784-H783)/H783</f>
        <v>0.0108803334130427</v>
      </c>
    </row>
    <row r="785" ht="13.65" customHeight="1">
      <c r="A785" s="18">
        <v>45394</v>
      </c>
      <c r="B785" t="s" s="13">
        <v>22</v>
      </c>
      <c r="C785" s="14">
        <v>2951.75</v>
      </c>
      <c r="D785" s="14">
        <v>2972.95</v>
      </c>
      <c r="E785" s="14">
        <v>2926.15</v>
      </c>
      <c r="F785" s="14">
        <v>2959.15</v>
      </c>
      <c r="G785" s="14">
        <v>2937.15</v>
      </c>
      <c r="H785" s="14">
        <v>2934.3</v>
      </c>
      <c r="I785" s="14">
        <v>2950.89</v>
      </c>
      <c r="J785" s="14">
        <v>3024.9</v>
      </c>
      <c r="K785" s="14">
        <v>2220.3</v>
      </c>
      <c r="L785" s="15">
        <v>7775506</v>
      </c>
      <c r="M785" t="s" s="13">
        <v>786</v>
      </c>
      <c r="N785" s="15">
        <v>318190</v>
      </c>
      <c r="O785" s="17" cm="1">
        <f t="array" ref="O785">(H785-H784)/H784</f>
        <v>-0.00839768176672355</v>
      </c>
    </row>
    <row r="786" ht="13.65" customHeight="1">
      <c r="A786" s="18">
        <v>45397</v>
      </c>
      <c r="B786" t="s" s="13">
        <v>22</v>
      </c>
      <c r="C786" s="14">
        <v>2922</v>
      </c>
      <c r="D786" s="14">
        <v>2964.25</v>
      </c>
      <c r="E786" s="14">
        <v>2892.65</v>
      </c>
      <c r="F786" s="14">
        <v>2934.3</v>
      </c>
      <c r="G786" s="14">
        <v>2931</v>
      </c>
      <c r="H786" s="14">
        <v>2929.65</v>
      </c>
      <c r="I786" s="14">
        <v>2937.49</v>
      </c>
      <c r="J786" s="14">
        <v>3024.9</v>
      </c>
      <c r="K786" s="14">
        <v>2220.3</v>
      </c>
      <c r="L786" s="15">
        <v>6451031</v>
      </c>
      <c r="M786" t="s" s="13">
        <v>787</v>
      </c>
      <c r="N786" s="15">
        <v>278625</v>
      </c>
      <c r="O786" s="17" cm="1">
        <f t="array" ref="O786">(H786-H785)/H785</f>
        <v>-0.00158470504038442</v>
      </c>
    </row>
    <row r="787" ht="13.65" customHeight="1">
      <c r="A787" s="18">
        <v>45398</v>
      </c>
      <c r="B787" t="s" s="13">
        <v>22</v>
      </c>
      <c r="C787" s="14">
        <v>2906.7</v>
      </c>
      <c r="D787" s="14">
        <v>2942.35</v>
      </c>
      <c r="E787" s="14">
        <v>2901.85</v>
      </c>
      <c r="F787" s="14">
        <v>2929.65</v>
      </c>
      <c r="G787" s="14">
        <v>2936.5</v>
      </c>
      <c r="H787" s="14">
        <v>2931.5</v>
      </c>
      <c r="I787" s="14">
        <v>2922.76</v>
      </c>
      <c r="J787" s="14">
        <v>3024.9</v>
      </c>
      <c r="K787" s="14">
        <v>2220.3</v>
      </c>
      <c r="L787" s="15">
        <v>4683092</v>
      </c>
      <c r="M787" t="s" s="13">
        <v>788</v>
      </c>
      <c r="N787" s="15">
        <v>202013</v>
      </c>
      <c r="O787" s="17" cm="1">
        <f t="array" ref="O787">(H787-H786)/H786</f>
        <v>0.000631474749543461</v>
      </c>
    </row>
    <row r="788" ht="13.65" customHeight="1">
      <c r="A788" s="18">
        <v>45400</v>
      </c>
      <c r="B788" t="s" s="13">
        <v>22</v>
      </c>
      <c r="C788" s="14">
        <v>2927</v>
      </c>
      <c r="D788" s="14">
        <v>2972</v>
      </c>
      <c r="E788" s="14">
        <v>2918.7</v>
      </c>
      <c r="F788" s="14">
        <v>2931.5</v>
      </c>
      <c r="G788" s="14">
        <v>2925</v>
      </c>
      <c r="H788" s="14">
        <v>2928.65</v>
      </c>
      <c r="I788" s="14">
        <v>2940.33</v>
      </c>
      <c r="J788" s="14">
        <v>3024.9</v>
      </c>
      <c r="K788" s="14">
        <v>2220.3</v>
      </c>
      <c r="L788" s="15">
        <v>9502846</v>
      </c>
      <c r="M788" t="s" s="13">
        <v>789</v>
      </c>
      <c r="N788" s="15">
        <v>292105</v>
      </c>
      <c r="O788" s="17" cm="1">
        <f t="array" ref="O788">(H788-H787)/H787</f>
        <v>-0.000972198533174143</v>
      </c>
    </row>
    <row r="789" ht="13.65" customHeight="1">
      <c r="A789" s="18">
        <v>45401</v>
      </c>
      <c r="B789" t="s" s="13">
        <v>22</v>
      </c>
      <c r="C789" s="14">
        <v>2913.55</v>
      </c>
      <c r="D789" s="14">
        <v>2948</v>
      </c>
      <c r="E789" s="14">
        <v>2886.05</v>
      </c>
      <c r="F789" s="14">
        <v>2928.65</v>
      </c>
      <c r="G789" s="14">
        <v>2943.05</v>
      </c>
      <c r="H789" s="14">
        <v>2940.25</v>
      </c>
      <c r="I789" s="14">
        <v>2922.72</v>
      </c>
      <c r="J789" s="14">
        <v>3024.9</v>
      </c>
      <c r="K789" s="14">
        <v>2220.3</v>
      </c>
      <c r="L789" s="15">
        <v>7870889</v>
      </c>
      <c r="M789" t="s" s="13">
        <v>790</v>
      </c>
      <c r="N789" s="15">
        <v>257506</v>
      </c>
      <c r="O789" s="17" cm="1">
        <f t="array" ref="O789">(H789-H788)/H788</f>
        <v>0.00396086934252983</v>
      </c>
    </row>
    <row r="790" ht="13.65" customHeight="1">
      <c r="A790" s="18">
        <v>45404</v>
      </c>
      <c r="B790" t="s" s="13">
        <v>22</v>
      </c>
      <c r="C790" s="14">
        <v>2944.9</v>
      </c>
      <c r="D790" s="14">
        <v>2965.65</v>
      </c>
      <c r="E790" s="14">
        <v>2935.6</v>
      </c>
      <c r="F790" s="14">
        <v>2940.25</v>
      </c>
      <c r="G790" s="14">
        <v>2962.9</v>
      </c>
      <c r="H790" s="14">
        <v>2959.7</v>
      </c>
      <c r="I790" s="14">
        <v>2950.88</v>
      </c>
      <c r="J790" s="14">
        <v>3024.9</v>
      </c>
      <c r="K790" s="14">
        <v>2220.3</v>
      </c>
      <c r="L790" s="15">
        <v>5175181</v>
      </c>
      <c r="M790" t="s" s="13">
        <v>791</v>
      </c>
      <c r="N790" s="15">
        <v>163758</v>
      </c>
      <c r="O790" s="17" cm="1">
        <f t="array" ref="O790">(H790-H789)/H789</f>
        <v>0.00661508375138169</v>
      </c>
    </row>
    <row r="791" ht="13.65" customHeight="1">
      <c r="A791" s="18">
        <v>45405</v>
      </c>
      <c r="B791" t="s" s="13">
        <v>22</v>
      </c>
      <c r="C791" s="14">
        <v>2958</v>
      </c>
      <c r="D791" s="14">
        <v>2987</v>
      </c>
      <c r="E791" s="14">
        <v>2911.1</v>
      </c>
      <c r="F791" s="14">
        <v>2959.7</v>
      </c>
      <c r="G791" s="14">
        <v>2919.5</v>
      </c>
      <c r="H791" s="14">
        <v>2918.65</v>
      </c>
      <c r="I791" s="14">
        <v>2944.51</v>
      </c>
      <c r="J791" s="14">
        <v>3024.9</v>
      </c>
      <c r="K791" s="14">
        <v>2220.3</v>
      </c>
      <c r="L791" s="15">
        <v>7302777</v>
      </c>
      <c r="M791" t="s" s="13">
        <v>792</v>
      </c>
      <c r="N791" s="15">
        <v>339439</v>
      </c>
      <c r="O791" s="17" cm="1">
        <f t="array" ref="O791">(H791-H790)/H790</f>
        <v>-0.0138696489509072</v>
      </c>
    </row>
    <row r="792" ht="13.65" customHeight="1">
      <c r="A792" s="18">
        <v>45406</v>
      </c>
      <c r="B792" t="s" s="13">
        <v>22</v>
      </c>
      <c r="C792" s="14">
        <v>2927</v>
      </c>
      <c r="D792" s="14">
        <v>2937.1</v>
      </c>
      <c r="E792" s="14">
        <v>2899</v>
      </c>
      <c r="F792" s="14">
        <v>2918.65</v>
      </c>
      <c r="G792" s="14">
        <v>2901.45</v>
      </c>
      <c r="H792" s="14">
        <v>2900.35</v>
      </c>
      <c r="I792" s="14">
        <v>2917.88</v>
      </c>
      <c r="J792" s="14">
        <v>3024.9</v>
      </c>
      <c r="K792" s="14">
        <v>2220.3</v>
      </c>
      <c r="L792" s="15">
        <v>5231388</v>
      </c>
      <c r="M792" t="s" s="13">
        <v>793</v>
      </c>
      <c r="N792" s="15">
        <v>186848</v>
      </c>
      <c r="O792" s="17" cm="1">
        <f t="array" ref="O792">(H792-H791)/H791</f>
        <v>-0.00627002209925822</v>
      </c>
    </row>
    <row r="793" ht="13.65" customHeight="1">
      <c r="A793" s="18">
        <v>45407</v>
      </c>
      <c r="B793" t="s" s="13">
        <v>22</v>
      </c>
      <c r="C793" s="14">
        <v>2885</v>
      </c>
      <c r="D793" s="14">
        <v>2935.95</v>
      </c>
      <c r="E793" s="14">
        <v>2883</v>
      </c>
      <c r="F793" s="14">
        <v>2900.35</v>
      </c>
      <c r="G793" s="14">
        <v>2917.7</v>
      </c>
      <c r="H793" s="14">
        <v>2919.95</v>
      </c>
      <c r="I793" s="14">
        <v>2914.62</v>
      </c>
      <c r="J793" s="14">
        <v>3024.9</v>
      </c>
      <c r="K793" s="14">
        <v>2220.3</v>
      </c>
      <c r="L793" s="15">
        <v>7971963</v>
      </c>
      <c r="M793" t="s" s="13">
        <v>794</v>
      </c>
      <c r="N793" s="15">
        <v>236911</v>
      </c>
      <c r="O793" s="17" cm="1">
        <f t="array" ref="O793">(H793-H792)/H792</f>
        <v>0.00675780509248884</v>
      </c>
    </row>
    <row r="794" ht="13.65" customHeight="1">
      <c r="A794" s="18">
        <v>45408</v>
      </c>
      <c r="B794" t="s" s="13">
        <v>22</v>
      </c>
      <c r="C794" s="14">
        <v>2927.9</v>
      </c>
      <c r="D794" s="14">
        <v>2930</v>
      </c>
      <c r="E794" s="14">
        <v>2900</v>
      </c>
      <c r="F794" s="14">
        <v>2919.95</v>
      </c>
      <c r="G794" s="14">
        <v>2908.5</v>
      </c>
      <c r="H794" s="14">
        <v>2905.1</v>
      </c>
      <c r="I794" s="14">
        <v>2911.85</v>
      </c>
      <c r="J794" s="14">
        <v>3024.9</v>
      </c>
      <c r="K794" s="14">
        <v>2220.3</v>
      </c>
      <c r="L794" s="15">
        <v>4706924</v>
      </c>
      <c r="M794" t="s" s="13">
        <v>795</v>
      </c>
      <c r="N794" s="15">
        <v>208164</v>
      </c>
      <c r="O794" s="17" cm="1">
        <f t="array" ref="O794">(H794-H793)/H793</f>
        <v>-0.00508570352232059</v>
      </c>
    </row>
    <row r="795" ht="13.65" customHeight="1">
      <c r="A795" s="18">
        <v>45411</v>
      </c>
      <c r="B795" t="s" s="13">
        <v>22</v>
      </c>
      <c r="C795" s="14">
        <v>2900</v>
      </c>
      <c r="D795" s="14">
        <v>2935.8</v>
      </c>
      <c r="E795" s="14">
        <v>2900</v>
      </c>
      <c r="F795" s="14">
        <v>2905.1</v>
      </c>
      <c r="G795" s="14">
        <v>2927.5</v>
      </c>
      <c r="H795" s="14">
        <v>2930.05</v>
      </c>
      <c r="I795" s="14">
        <v>2926.58</v>
      </c>
      <c r="J795" s="14">
        <v>3024.9</v>
      </c>
      <c r="K795" s="14">
        <v>2220.3</v>
      </c>
      <c r="L795" s="15">
        <v>3623987</v>
      </c>
      <c r="M795" t="s" s="13">
        <v>796</v>
      </c>
      <c r="N795" s="15">
        <v>158806</v>
      </c>
      <c r="O795" s="17" cm="1">
        <f t="array" ref="O795">(H795-H794)/H794</f>
        <v>0.008588344635296549</v>
      </c>
    </row>
    <row r="796" ht="13.65" customHeight="1">
      <c r="A796" s="18">
        <v>45412</v>
      </c>
      <c r="B796" t="s" s="13">
        <v>22</v>
      </c>
      <c r="C796" s="14">
        <v>2936</v>
      </c>
      <c r="D796" s="14">
        <v>2966.15</v>
      </c>
      <c r="E796" s="14">
        <v>2925.75</v>
      </c>
      <c r="F796" s="14">
        <v>2930.05</v>
      </c>
      <c r="G796" s="14">
        <v>2932</v>
      </c>
      <c r="H796" s="14">
        <v>2934</v>
      </c>
      <c r="I796" s="14">
        <v>2947.6</v>
      </c>
      <c r="J796" s="14">
        <v>3024.9</v>
      </c>
      <c r="K796" s="14">
        <v>2220.3</v>
      </c>
      <c r="L796" s="15">
        <v>5737131</v>
      </c>
      <c r="M796" t="s" s="13">
        <v>797</v>
      </c>
      <c r="N796" s="15">
        <v>210901</v>
      </c>
      <c r="O796" s="17" cm="1">
        <f t="array" ref="O796">(H796-H795)/H795</f>
        <v>0.0013480998617771</v>
      </c>
    </row>
    <row r="797" ht="13.65" customHeight="1">
      <c r="A797" s="19">
        <v>45414</v>
      </c>
      <c r="B797" t="s" s="13">
        <v>22</v>
      </c>
      <c r="C797" s="14">
        <v>2944</v>
      </c>
      <c r="D797" s="14">
        <v>2954.65</v>
      </c>
      <c r="E797" s="14">
        <v>2928.25</v>
      </c>
      <c r="F797" s="14">
        <v>2934</v>
      </c>
      <c r="G797" s="14">
        <v>2938.1</v>
      </c>
      <c r="H797" s="14">
        <v>2933.1</v>
      </c>
      <c r="I797" s="14">
        <v>2941.23</v>
      </c>
      <c r="J797" s="14">
        <v>3024.9</v>
      </c>
      <c r="K797" s="14">
        <v>2220.3</v>
      </c>
      <c r="L797" s="15">
        <v>7256323</v>
      </c>
      <c r="M797" t="s" s="13">
        <v>798</v>
      </c>
      <c r="N797" s="15">
        <v>306721</v>
      </c>
      <c r="O797" s="17" cm="1">
        <f t="array" ref="O797">(H797-H796)/H796</f>
        <v>-0.000306748466257669</v>
      </c>
    </row>
    <row r="798" ht="13.65" customHeight="1">
      <c r="A798" s="19">
        <v>45415</v>
      </c>
      <c r="B798" t="s" s="13">
        <v>22</v>
      </c>
      <c r="C798" s="14">
        <v>2942</v>
      </c>
      <c r="D798" s="14">
        <v>2949.9</v>
      </c>
      <c r="E798" s="14">
        <v>2832.3</v>
      </c>
      <c r="F798" s="14">
        <v>2933.1</v>
      </c>
      <c r="G798" s="14">
        <v>2871</v>
      </c>
      <c r="H798" s="14">
        <v>2868</v>
      </c>
      <c r="I798" s="14">
        <v>2876.27</v>
      </c>
      <c r="J798" s="14">
        <v>3024.9</v>
      </c>
      <c r="K798" s="14">
        <v>2220.3</v>
      </c>
      <c r="L798" s="15">
        <v>8613479</v>
      </c>
      <c r="M798" t="s" s="13">
        <v>799</v>
      </c>
      <c r="N798" s="15">
        <v>358280</v>
      </c>
      <c r="O798" s="17" cm="1">
        <f t="array" ref="O798">(H798-H797)/H797</f>
        <v>-0.0221949473253554</v>
      </c>
    </row>
    <row r="799" ht="13.65" customHeight="1">
      <c r="A799" s="19">
        <v>45418</v>
      </c>
      <c r="B799" t="s" s="13">
        <v>22</v>
      </c>
      <c r="C799" s="14">
        <v>2871</v>
      </c>
      <c r="D799" s="14">
        <v>2880</v>
      </c>
      <c r="E799" s="14">
        <v>2836</v>
      </c>
      <c r="F799" s="14">
        <v>2868</v>
      </c>
      <c r="G799" s="14">
        <v>2843.4</v>
      </c>
      <c r="H799" s="14">
        <v>2839.05</v>
      </c>
      <c r="I799" s="14">
        <v>2851.8</v>
      </c>
      <c r="J799" s="14">
        <v>3024.9</v>
      </c>
      <c r="K799" s="14">
        <v>2220.3</v>
      </c>
      <c r="L799" s="15">
        <v>3697104</v>
      </c>
      <c r="M799" t="s" s="13">
        <v>800</v>
      </c>
      <c r="N799" s="15">
        <v>168077</v>
      </c>
      <c r="O799" s="17" cm="1">
        <f t="array" ref="O799">(H799-H798)/H798</f>
        <v>-0.0100941422594142</v>
      </c>
    </row>
    <row r="800" ht="13.65" customHeight="1">
      <c r="A800" s="19">
        <v>45419</v>
      </c>
      <c r="B800" t="s" s="13">
        <v>22</v>
      </c>
      <c r="C800" s="14">
        <v>2831.95</v>
      </c>
      <c r="D800" s="14">
        <v>2841.5</v>
      </c>
      <c r="E800" s="14">
        <v>2784</v>
      </c>
      <c r="F800" s="14">
        <v>2839.05</v>
      </c>
      <c r="G800" s="14">
        <v>2808</v>
      </c>
      <c r="H800" s="14">
        <v>2802.95</v>
      </c>
      <c r="I800" s="14">
        <v>2804.43</v>
      </c>
      <c r="J800" s="14">
        <v>3024.9</v>
      </c>
      <c r="K800" s="14">
        <v>2220.3</v>
      </c>
      <c r="L800" s="15">
        <v>7258736</v>
      </c>
      <c r="M800" t="s" s="13">
        <v>801</v>
      </c>
      <c r="N800" s="15">
        <v>308242</v>
      </c>
      <c r="O800" s="17" cm="1">
        <f t="array" ref="O800">(H800-H799)/H799</f>
        <v>-0.0127155210369666</v>
      </c>
    </row>
    <row r="801" ht="13.65" customHeight="1">
      <c r="A801" s="19">
        <v>45420</v>
      </c>
      <c r="B801" t="s" s="13">
        <v>22</v>
      </c>
      <c r="C801" s="14">
        <v>2795</v>
      </c>
      <c r="D801" s="14">
        <v>2865.9</v>
      </c>
      <c r="E801" s="14">
        <v>2795</v>
      </c>
      <c r="F801" s="14">
        <v>2802.95</v>
      </c>
      <c r="G801" s="14">
        <v>2834.25</v>
      </c>
      <c r="H801" s="14">
        <v>2837.1</v>
      </c>
      <c r="I801" s="14">
        <v>2834.7</v>
      </c>
      <c r="J801" s="14">
        <v>3024.9</v>
      </c>
      <c r="K801" s="14">
        <v>2220.3</v>
      </c>
      <c r="L801" s="15">
        <v>4719501</v>
      </c>
      <c r="M801" t="s" s="13">
        <v>802</v>
      </c>
      <c r="N801" s="15">
        <v>191054</v>
      </c>
      <c r="O801" s="17" cm="1">
        <f t="array" ref="O801">(H801-H800)/H800</f>
        <v>0.0121835922866979</v>
      </c>
    </row>
    <row r="802" ht="13.65" customHeight="1">
      <c r="A802" s="19">
        <v>45421</v>
      </c>
      <c r="B802" t="s" s="13">
        <v>22</v>
      </c>
      <c r="C802" s="14">
        <v>2826</v>
      </c>
      <c r="D802" s="14">
        <v>2847.5</v>
      </c>
      <c r="E802" s="14">
        <v>2780</v>
      </c>
      <c r="F802" s="14">
        <v>2837.1</v>
      </c>
      <c r="G802" s="14">
        <v>2785</v>
      </c>
      <c r="H802" s="14">
        <v>2788.25</v>
      </c>
      <c r="I802" s="14">
        <v>2800.69</v>
      </c>
      <c r="J802" s="14">
        <v>3024.9</v>
      </c>
      <c r="K802" s="14">
        <v>2220.3</v>
      </c>
      <c r="L802" s="15">
        <v>5504806</v>
      </c>
      <c r="M802" t="s" s="13">
        <v>803</v>
      </c>
      <c r="N802" s="15">
        <v>280459</v>
      </c>
      <c r="O802" s="17" cm="1">
        <f t="array" ref="O802">(H802-H801)/H801</f>
        <v>-0.0172182862782419</v>
      </c>
    </row>
    <row r="803" ht="13.65" customHeight="1">
      <c r="A803" s="20">
        <v>45422</v>
      </c>
      <c r="B803" t="s" s="13">
        <v>22</v>
      </c>
      <c r="C803" s="14">
        <v>2793.5</v>
      </c>
      <c r="D803" s="14">
        <v>2820</v>
      </c>
      <c r="E803" s="14">
        <v>2776.15</v>
      </c>
      <c r="F803" s="14">
        <v>2788.25</v>
      </c>
      <c r="G803" s="14">
        <v>2808</v>
      </c>
      <c r="H803" s="14">
        <v>2814.85</v>
      </c>
      <c r="I803" s="14">
        <v>2800.8</v>
      </c>
      <c r="J803" s="14">
        <v>3024.9</v>
      </c>
      <c r="K803" s="14">
        <v>2220.3</v>
      </c>
      <c r="L803" s="15">
        <v>5252548</v>
      </c>
      <c r="M803" t="s" s="13">
        <v>804</v>
      </c>
      <c r="N803" s="15">
        <v>238752</v>
      </c>
      <c r="O803" s="17" cm="1">
        <f t="array" ref="O803">(H803-H802)/H802</f>
        <v>0.00954003407155026</v>
      </c>
    </row>
    <row r="804" ht="13.65" customHeight="1">
      <c r="A804" s="20">
        <v>45425</v>
      </c>
      <c r="B804" t="s" s="13">
        <v>22</v>
      </c>
      <c r="C804" s="14">
        <v>2799.8</v>
      </c>
      <c r="D804" s="14">
        <v>2813.95</v>
      </c>
      <c r="E804" s="14">
        <v>2768</v>
      </c>
      <c r="F804" s="14">
        <v>2814.85</v>
      </c>
      <c r="G804" s="14">
        <v>2805</v>
      </c>
      <c r="H804" s="14">
        <v>2805.4</v>
      </c>
      <c r="I804" s="14">
        <v>2795.26</v>
      </c>
      <c r="J804" s="14">
        <v>3024.9</v>
      </c>
      <c r="K804" s="14">
        <v>2220.3</v>
      </c>
      <c r="L804" s="15">
        <v>4228310</v>
      </c>
      <c r="M804" t="s" s="13">
        <v>805</v>
      </c>
      <c r="N804" s="15">
        <v>200542</v>
      </c>
      <c r="O804" s="17" cm="1">
        <f t="array" ref="O804">(H804-H803)/H803</f>
        <v>-0.0033571948771693</v>
      </c>
    </row>
    <row r="805" ht="13.65" customHeight="1">
      <c r="A805" s="20">
        <v>45426</v>
      </c>
      <c r="B805" t="s" s="13">
        <v>22</v>
      </c>
      <c r="C805" s="14">
        <v>2801.95</v>
      </c>
      <c r="D805" s="14">
        <v>2854.15</v>
      </c>
      <c r="E805" s="14">
        <v>2800.05</v>
      </c>
      <c r="F805" s="14">
        <v>2805.4</v>
      </c>
      <c r="G805" s="14">
        <v>2839</v>
      </c>
      <c r="H805" s="14">
        <v>2840.15</v>
      </c>
      <c r="I805" s="14">
        <v>2834.55</v>
      </c>
      <c r="J805" s="14">
        <v>3024.9</v>
      </c>
      <c r="K805" s="14">
        <v>2220.3</v>
      </c>
      <c r="L805" s="15">
        <v>3594150</v>
      </c>
      <c r="M805" t="s" s="13">
        <v>806</v>
      </c>
      <c r="N805" s="15">
        <v>248782</v>
      </c>
      <c r="O805" s="17" cm="1">
        <f t="array" ref="O805">(H805-H804)/H804</f>
        <v>0.0123868254081414</v>
      </c>
    </row>
    <row r="806" ht="13.65" customHeight="1">
      <c r="A806" s="20">
        <v>45427</v>
      </c>
      <c r="B806" t="s" s="13">
        <v>22</v>
      </c>
      <c r="C806" s="14">
        <v>2841</v>
      </c>
      <c r="D806" s="14">
        <v>2859.95</v>
      </c>
      <c r="E806" s="14">
        <v>2826.05</v>
      </c>
      <c r="F806" s="14">
        <v>2840.15</v>
      </c>
      <c r="G806" s="14">
        <v>2831.7</v>
      </c>
      <c r="H806" s="14">
        <v>2832.55</v>
      </c>
      <c r="I806" s="14">
        <v>2841.94</v>
      </c>
      <c r="J806" s="14">
        <v>3024.9</v>
      </c>
      <c r="K806" s="14">
        <v>2220.3</v>
      </c>
      <c r="L806" s="15">
        <v>2523267</v>
      </c>
      <c r="M806" t="s" s="13">
        <v>807</v>
      </c>
      <c r="N806" s="15">
        <v>147326</v>
      </c>
      <c r="O806" s="17" cm="1">
        <f t="array" ref="O806">(H806-H805)/H805</f>
        <v>-0.0026759150044892</v>
      </c>
    </row>
    <row r="807" ht="13.65" customHeight="1">
      <c r="A807" s="20">
        <v>45428</v>
      </c>
      <c r="B807" t="s" s="13">
        <v>22</v>
      </c>
      <c r="C807" s="14">
        <v>2837.1</v>
      </c>
      <c r="D807" s="14">
        <v>2855</v>
      </c>
      <c r="E807" s="14">
        <v>2796.05</v>
      </c>
      <c r="F807" s="14">
        <v>2832.55</v>
      </c>
      <c r="G807" s="14">
        <v>2851</v>
      </c>
      <c r="H807" s="14">
        <v>2850.7</v>
      </c>
      <c r="I807" s="14">
        <v>2830.3</v>
      </c>
      <c r="J807" s="14">
        <v>3024.9</v>
      </c>
      <c r="K807" s="14">
        <v>2220.3</v>
      </c>
      <c r="L807" s="15">
        <v>7355887</v>
      </c>
      <c r="M807" t="s" s="13">
        <v>808</v>
      </c>
      <c r="N807" s="15">
        <v>359411</v>
      </c>
      <c r="O807" s="17" cm="1">
        <f t="array" ref="O807">(H807-H806)/H806</f>
        <v>0.0064076538807788</v>
      </c>
    </row>
    <row r="808" ht="13.65" customHeight="1">
      <c r="A808" s="20">
        <v>45429</v>
      </c>
      <c r="B808" t="s" s="13">
        <v>22</v>
      </c>
      <c r="C808" s="14">
        <v>2846.1</v>
      </c>
      <c r="D808" s="14">
        <v>2874.4</v>
      </c>
      <c r="E808" s="14">
        <v>2826.5</v>
      </c>
      <c r="F808" s="14">
        <v>2850.7</v>
      </c>
      <c r="G808" s="14">
        <v>2870.1</v>
      </c>
      <c r="H808" s="14">
        <v>2871.4</v>
      </c>
      <c r="I808" s="14">
        <v>2859.68</v>
      </c>
      <c r="J808" s="14">
        <v>3024.9</v>
      </c>
      <c r="K808" s="14">
        <v>2220.3</v>
      </c>
      <c r="L808" s="15">
        <v>5458238</v>
      </c>
      <c r="M808" t="s" s="13">
        <v>809</v>
      </c>
      <c r="N808" s="15">
        <v>200677</v>
      </c>
      <c r="O808" s="17" cm="1">
        <f t="array" ref="O808">(H808-H807)/H807</f>
        <v>0.00726137439927035</v>
      </c>
    </row>
    <row r="809" ht="13.65" customHeight="1">
      <c r="A809" s="20">
        <v>45430</v>
      </c>
      <c r="B809" t="s" s="13">
        <v>22</v>
      </c>
      <c r="C809" s="14">
        <v>2875</v>
      </c>
      <c r="D809" s="14">
        <v>2879</v>
      </c>
      <c r="E809" s="14">
        <v>2865.4</v>
      </c>
      <c r="F809" s="14">
        <v>2871.4</v>
      </c>
      <c r="G809" s="14">
        <v>2869.5</v>
      </c>
      <c r="H809" s="14">
        <v>2869.65</v>
      </c>
      <c r="I809" s="14">
        <v>2871.38</v>
      </c>
      <c r="J809" s="14">
        <v>3024.9</v>
      </c>
      <c r="K809" s="14">
        <v>2220.3</v>
      </c>
      <c r="L809" s="15">
        <v>213020</v>
      </c>
      <c r="M809" t="s" s="13">
        <v>810</v>
      </c>
      <c r="N809" s="15">
        <v>9456</v>
      </c>
      <c r="O809" s="17" cm="1">
        <f t="array" ref="O809">(H809-H808)/H808</f>
        <v>-0.00060945880058508</v>
      </c>
    </row>
    <row r="810" ht="13.65" customHeight="1">
      <c r="A810" s="20">
        <v>45433</v>
      </c>
      <c r="B810" t="s" s="13">
        <v>22</v>
      </c>
      <c r="C810" s="14">
        <v>2851.2</v>
      </c>
      <c r="D810" s="14">
        <v>2883.65</v>
      </c>
      <c r="E810" s="14">
        <v>2851.2</v>
      </c>
      <c r="F810" s="14">
        <v>2869.65</v>
      </c>
      <c r="G810" s="14">
        <v>2867.95</v>
      </c>
      <c r="H810" s="14">
        <v>2872.25</v>
      </c>
      <c r="I810" s="14">
        <v>2867.19</v>
      </c>
      <c r="J810" s="14">
        <v>3024.9</v>
      </c>
      <c r="K810" s="14">
        <v>2220.3</v>
      </c>
      <c r="L810" s="15">
        <v>5588064</v>
      </c>
      <c r="M810" t="s" s="13">
        <v>811</v>
      </c>
      <c r="N810" s="15">
        <v>303596</v>
      </c>
      <c r="O810" s="17" cm="1">
        <f t="array" ref="O810">(H810-H809)/H809</f>
        <v>0.000906033836879062</v>
      </c>
    </row>
    <row r="811" ht="13.65" customHeight="1">
      <c r="A811" s="20">
        <v>45434</v>
      </c>
      <c r="B811" t="s" s="13">
        <v>22</v>
      </c>
      <c r="C811" s="14">
        <v>2872.55</v>
      </c>
      <c r="D811" s="14">
        <v>2937.55</v>
      </c>
      <c r="E811" s="14">
        <v>2872.55</v>
      </c>
      <c r="F811" s="14">
        <v>2872.25</v>
      </c>
      <c r="G811" s="14">
        <v>2921</v>
      </c>
      <c r="H811" s="14">
        <v>2921.3</v>
      </c>
      <c r="I811" s="14">
        <v>2918.56</v>
      </c>
      <c r="J811" s="14">
        <v>3024.9</v>
      </c>
      <c r="K811" s="14">
        <v>2220.3</v>
      </c>
      <c r="L811" s="15">
        <v>5140802</v>
      </c>
      <c r="M811" t="s" s="13">
        <v>812</v>
      </c>
      <c r="N811" s="15">
        <v>241909</v>
      </c>
      <c r="O811" s="17" cm="1">
        <f t="array" ref="O811">(H811-H810)/H810</f>
        <v>0.017077204282357</v>
      </c>
    </row>
    <row r="812" ht="13.65" customHeight="1">
      <c r="A812" s="20">
        <v>45435</v>
      </c>
      <c r="B812" t="s" s="13">
        <v>22</v>
      </c>
      <c r="C812" s="14">
        <v>2917.1</v>
      </c>
      <c r="D812" s="14">
        <v>2984.45</v>
      </c>
      <c r="E812" s="14">
        <v>2910</v>
      </c>
      <c r="F812" s="14">
        <v>2921.3</v>
      </c>
      <c r="G812" s="14">
        <v>2969</v>
      </c>
      <c r="H812" s="14">
        <v>2972.1</v>
      </c>
      <c r="I812" s="14">
        <v>2956.98</v>
      </c>
      <c r="J812" s="14">
        <v>3024.9</v>
      </c>
      <c r="K812" s="14">
        <v>2220.3</v>
      </c>
      <c r="L812" s="15">
        <v>7304130</v>
      </c>
      <c r="M812" t="s" s="13">
        <v>813</v>
      </c>
      <c r="N812" s="15">
        <v>254418</v>
      </c>
      <c r="O812" s="17" cm="1">
        <f t="array" ref="O812">(H812-H811)/H811</f>
        <v>0.0173895183651114</v>
      </c>
    </row>
    <row r="813" ht="13.65" customHeight="1">
      <c r="A813" s="20">
        <v>45436</v>
      </c>
      <c r="B813" t="s" s="13">
        <v>22</v>
      </c>
      <c r="C813" s="14">
        <v>2967.25</v>
      </c>
      <c r="D813" s="14">
        <v>2977</v>
      </c>
      <c r="E813" s="14">
        <v>2952.2</v>
      </c>
      <c r="F813" s="14">
        <v>2972.1</v>
      </c>
      <c r="G813" s="14">
        <v>2959</v>
      </c>
      <c r="H813" s="14">
        <v>2960.5</v>
      </c>
      <c r="I813" s="14">
        <v>2962.79</v>
      </c>
      <c r="J813" s="14">
        <v>3024.9</v>
      </c>
      <c r="K813" s="14">
        <v>2220.3</v>
      </c>
      <c r="L813" s="15">
        <v>3547388</v>
      </c>
      <c r="M813" t="s" s="13">
        <v>814</v>
      </c>
      <c r="N813" s="15">
        <v>142807</v>
      </c>
      <c r="O813" s="17" cm="1">
        <f t="array" ref="O813">(H813-H812)/H812</f>
        <v>-0.00390296423404327</v>
      </c>
    </row>
    <row r="814" ht="13.65" customHeight="1">
      <c r="A814" s="20">
        <v>45439</v>
      </c>
      <c r="B814" t="s" s="13">
        <v>22</v>
      </c>
      <c r="C814" s="14">
        <v>2960.45</v>
      </c>
      <c r="D814" s="14">
        <v>2969.8</v>
      </c>
      <c r="E814" s="14">
        <v>2923.1</v>
      </c>
      <c r="F814" s="14">
        <v>2960.5</v>
      </c>
      <c r="G814" s="14">
        <v>2934.9</v>
      </c>
      <c r="H814" s="14">
        <v>2932.5</v>
      </c>
      <c r="I814" s="14">
        <v>2944.31</v>
      </c>
      <c r="J814" s="14">
        <v>3024.9</v>
      </c>
      <c r="K814" s="14">
        <v>2220.3</v>
      </c>
      <c r="L814" s="15">
        <v>3314505</v>
      </c>
      <c r="M814" t="s" s="13">
        <v>815</v>
      </c>
      <c r="N814" s="15">
        <v>142936</v>
      </c>
      <c r="O814" s="17" cm="1">
        <f t="array" ref="O814">(H814-H813)/H813</f>
        <v>-0.00945786184766087</v>
      </c>
    </row>
    <row r="815" ht="13.65" customHeight="1">
      <c r="A815" s="20">
        <v>45440</v>
      </c>
      <c r="B815" t="s" s="13">
        <v>22</v>
      </c>
      <c r="C815" s="14">
        <v>2936</v>
      </c>
      <c r="D815" s="14">
        <v>2957</v>
      </c>
      <c r="E815" s="14">
        <v>2905.5</v>
      </c>
      <c r="F815" s="14">
        <v>2932.5</v>
      </c>
      <c r="G815" s="14">
        <v>2911</v>
      </c>
      <c r="H815" s="14">
        <v>2912.4</v>
      </c>
      <c r="I815" s="14">
        <v>2930.7</v>
      </c>
      <c r="J815" s="14">
        <v>3024.9</v>
      </c>
      <c r="K815" s="14">
        <v>2220.3</v>
      </c>
      <c r="L815" s="15">
        <v>3910081</v>
      </c>
      <c r="M815" t="s" s="13">
        <v>816</v>
      </c>
      <c r="N815" s="15">
        <v>177899</v>
      </c>
      <c r="O815" s="17" cm="1">
        <f t="array" ref="O815">(H815-H814)/H814</f>
        <v>-0.0068542199488491</v>
      </c>
    </row>
    <row r="816" ht="13.65" customHeight="1">
      <c r="A816" s="20">
        <v>45441</v>
      </c>
      <c r="B816" t="s" s="13">
        <v>22</v>
      </c>
      <c r="C816" s="14">
        <v>2893</v>
      </c>
      <c r="D816" s="14">
        <v>2916</v>
      </c>
      <c r="E816" s="14">
        <v>2876.9</v>
      </c>
      <c r="F816" s="14">
        <v>2912.4</v>
      </c>
      <c r="G816" s="14">
        <v>2881.05</v>
      </c>
      <c r="H816" s="14">
        <v>2881.55</v>
      </c>
      <c r="I816" s="14">
        <v>2892.28</v>
      </c>
      <c r="J816" s="14">
        <v>3024.9</v>
      </c>
      <c r="K816" s="14">
        <v>2220.3</v>
      </c>
      <c r="L816" s="15">
        <v>3691778</v>
      </c>
      <c r="M816" t="s" s="13">
        <v>817</v>
      </c>
      <c r="N816" s="15">
        <v>166778</v>
      </c>
      <c r="O816" s="17" cm="1">
        <f t="array" ref="O816">(H816-H815)/H815</f>
        <v>-0.0105926383738497</v>
      </c>
    </row>
    <row r="817" ht="13.65" customHeight="1">
      <c r="A817" s="20">
        <v>45442</v>
      </c>
      <c r="B817" t="s" s="13">
        <v>22</v>
      </c>
      <c r="C817" s="14">
        <v>2871</v>
      </c>
      <c r="D817" s="14">
        <v>2880.8</v>
      </c>
      <c r="E817" s="14">
        <v>2840.2</v>
      </c>
      <c r="F817" s="14">
        <v>2881.55</v>
      </c>
      <c r="G817" s="14">
        <v>2859.1</v>
      </c>
      <c r="H817" s="14">
        <v>2849.7</v>
      </c>
      <c r="I817" s="14">
        <v>2853.56</v>
      </c>
      <c r="J817" s="14">
        <v>3024.9</v>
      </c>
      <c r="K817" s="14">
        <v>2220.3</v>
      </c>
      <c r="L817" s="15">
        <v>6603429</v>
      </c>
      <c r="M817" t="s" s="13">
        <v>818</v>
      </c>
      <c r="N817" s="15">
        <v>248791</v>
      </c>
      <c r="O817" s="17" cm="1">
        <f t="array" ref="O817">(H817-H816)/H816</f>
        <v>-0.0110530790720272</v>
      </c>
    </row>
    <row r="818" ht="13.65" customHeight="1">
      <c r="A818" s="20">
        <v>45443</v>
      </c>
      <c r="B818" t="s" s="13">
        <v>22</v>
      </c>
      <c r="C818" s="14">
        <v>2862.6</v>
      </c>
      <c r="D818" s="14">
        <v>2884.5</v>
      </c>
      <c r="E818" s="14">
        <v>2844.5</v>
      </c>
      <c r="F818" s="14">
        <v>2849.7</v>
      </c>
      <c r="G818" s="14">
        <v>2859</v>
      </c>
      <c r="H818" s="14">
        <v>2860.8</v>
      </c>
      <c r="I818" s="14">
        <v>2859.97</v>
      </c>
      <c r="J818" s="14">
        <v>3024.9</v>
      </c>
      <c r="K818" s="14">
        <v>2220.3</v>
      </c>
      <c r="L818" s="15">
        <v>15534916</v>
      </c>
      <c r="M818" t="s" s="13">
        <v>819</v>
      </c>
      <c r="N818" s="15">
        <v>291018</v>
      </c>
      <c r="O818" s="17" cm="1">
        <f t="array" ref="O818">(H818-H817)/H817</f>
        <v>0.00389514685756395</v>
      </c>
    </row>
    <row r="819" ht="13.65" customHeight="1">
      <c r="A819" s="12">
        <v>45446</v>
      </c>
      <c r="B819" t="s" s="13">
        <v>22</v>
      </c>
      <c r="C819" s="14">
        <v>2966</v>
      </c>
      <c r="D819" s="14">
        <v>3029</v>
      </c>
      <c r="E819" s="14">
        <v>2918</v>
      </c>
      <c r="F819" s="14">
        <v>2860.8</v>
      </c>
      <c r="G819" s="14">
        <v>3027.75</v>
      </c>
      <c r="H819" s="14">
        <v>3020.65</v>
      </c>
      <c r="I819" s="14">
        <v>2978.07</v>
      </c>
      <c r="J819" s="14">
        <v>3029</v>
      </c>
      <c r="K819" s="14">
        <v>2220.3</v>
      </c>
      <c r="L819" s="15">
        <v>10763971</v>
      </c>
      <c r="M819" t="s" s="13">
        <v>820</v>
      </c>
      <c r="N819" s="15">
        <v>527552</v>
      </c>
      <c r="O819" s="17" cm="1">
        <f t="array" ref="O819">(H819-H818)/H818</f>
        <v>0.0558759787472036</v>
      </c>
    </row>
    <row r="820" ht="13.65" customHeight="1">
      <c r="A820" s="12">
        <v>45447</v>
      </c>
      <c r="B820" t="s" s="13">
        <v>22</v>
      </c>
      <c r="C820" s="14">
        <v>2996.1</v>
      </c>
      <c r="D820" s="14">
        <v>2996.1</v>
      </c>
      <c r="E820" s="14">
        <v>2718.6</v>
      </c>
      <c r="F820" s="14">
        <v>3020.65</v>
      </c>
      <c r="G820" s="14">
        <v>2816.45</v>
      </c>
      <c r="H820" s="14">
        <v>2794.55</v>
      </c>
      <c r="I820" s="14">
        <v>2840.81</v>
      </c>
      <c r="J820" s="14">
        <v>3029</v>
      </c>
      <c r="K820" s="14">
        <v>2220.3</v>
      </c>
      <c r="L820" s="15">
        <v>18354549</v>
      </c>
      <c r="M820" t="s" s="13">
        <v>821</v>
      </c>
      <c r="N820" s="15">
        <v>687198</v>
      </c>
      <c r="O820" s="17" cm="1">
        <f t="array" ref="O820">(H820-H819)/H819</f>
        <v>-0.074851439259762</v>
      </c>
    </row>
    <row r="821" ht="13.65" customHeight="1">
      <c r="A821" s="12">
        <v>45448</v>
      </c>
      <c r="B821" t="s" s="13">
        <v>22</v>
      </c>
      <c r="C821" s="14">
        <v>2844</v>
      </c>
      <c r="D821" s="14">
        <v>2862.3</v>
      </c>
      <c r="E821" s="14">
        <v>2768.2</v>
      </c>
      <c r="F821" s="14">
        <v>2794.55</v>
      </c>
      <c r="G821" s="14">
        <v>2838.85</v>
      </c>
      <c r="H821" s="14">
        <v>2841.5</v>
      </c>
      <c r="I821" s="14">
        <v>2821.32</v>
      </c>
      <c r="J821" s="14">
        <v>3029</v>
      </c>
      <c r="K821" s="14">
        <v>2220.3</v>
      </c>
      <c r="L821" s="15">
        <v>8732445</v>
      </c>
      <c r="M821" t="s" s="13">
        <v>822</v>
      </c>
      <c r="N821" s="15">
        <v>474290</v>
      </c>
      <c r="O821" s="17" cm="1">
        <f t="array" ref="O821">(H821-H820)/H820</f>
        <v>0.0168005582294108</v>
      </c>
    </row>
    <row r="822" ht="13.65" customHeight="1">
      <c r="A822" s="12">
        <v>45449</v>
      </c>
      <c r="B822" t="s" s="13">
        <v>22</v>
      </c>
      <c r="C822" s="14">
        <v>2870</v>
      </c>
      <c r="D822" s="14">
        <v>2887.4</v>
      </c>
      <c r="E822" s="14">
        <v>2842.7</v>
      </c>
      <c r="F822" s="14">
        <v>2841.5</v>
      </c>
      <c r="G822" s="14">
        <v>2872</v>
      </c>
      <c r="H822" s="14">
        <v>2863.2</v>
      </c>
      <c r="I822" s="14">
        <v>2860.47</v>
      </c>
      <c r="J822" s="14">
        <v>3029</v>
      </c>
      <c r="K822" s="14">
        <v>2220.3</v>
      </c>
      <c r="L822" s="15">
        <v>8927861</v>
      </c>
      <c r="M822" t="s" s="13">
        <v>823</v>
      </c>
      <c r="N822" s="15">
        <v>361277</v>
      </c>
      <c r="O822" s="17" cm="1">
        <f t="array" ref="O822">(H822-H821)/H821</f>
        <v>0.00763681154319901</v>
      </c>
    </row>
    <row r="823" ht="13.65" customHeight="1">
      <c r="A823" s="12">
        <v>45450</v>
      </c>
      <c r="B823" t="s" s="13">
        <v>22</v>
      </c>
      <c r="C823" s="14">
        <v>2857</v>
      </c>
      <c r="D823" s="14">
        <v>2944</v>
      </c>
      <c r="E823" s="14">
        <v>2853</v>
      </c>
      <c r="F823" s="14">
        <v>2863.2</v>
      </c>
      <c r="G823" s="14">
        <v>2931.1</v>
      </c>
      <c r="H823" s="14">
        <v>2939.9</v>
      </c>
      <c r="I823" s="14">
        <v>2917.34</v>
      </c>
      <c r="J823" s="14">
        <v>3029</v>
      </c>
      <c r="K823" s="14">
        <v>2220.3</v>
      </c>
      <c r="L823" s="15">
        <v>9279348</v>
      </c>
      <c r="M823" t="s" s="13">
        <v>824</v>
      </c>
      <c r="N823" s="15">
        <v>344744</v>
      </c>
      <c r="O823" s="17" cm="1">
        <f t="array" ref="O823">(H823-H822)/H822</f>
        <v>0.0267882089969265</v>
      </c>
    </row>
    <row r="824" ht="13.65" customHeight="1">
      <c r="A824" s="18">
        <v>45453</v>
      </c>
      <c r="B824" t="s" s="13">
        <v>22</v>
      </c>
      <c r="C824" s="14">
        <v>2939.9</v>
      </c>
      <c r="D824" s="14">
        <v>2986.7</v>
      </c>
      <c r="E824" s="14">
        <v>2936.15</v>
      </c>
      <c r="F824" s="14">
        <v>2939.9</v>
      </c>
      <c r="G824" s="14">
        <v>2944.05</v>
      </c>
      <c r="H824" s="14">
        <v>2942.8</v>
      </c>
      <c r="I824" s="14">
        <v>2961.63</v>
      </c>
      <c r="J824" s="14">
        <v>3029</v>
      </c>
      <c r="K824" s="14">
        <v>2220.3</v>
      </c>
      <c r="L824" s="15">
        <v>4625880</v>
      </c>
      <c r="M824" t="s" s="13">
        <v>825</v>
      </c>
      <c r="N824" s="15">
        <v>213285</v>
      </c>
      <c r="O824" s="17" cm="1">
        <f t="array" ref="O824">(H824-H823)/H823</f>
        <v>0.000986428109799653</v>
      </c>
    </row>
    <row r="825" ht="13.65" customHeight="1">
      <c r="A825" s="18">
        <v>45454</v>
      </c>
      <c r="B825" t="s" s="13">
        <v>22</v>
      </c>
      <c r="C825" s="14">
        <v>2938</v>
      </c>
      <c r="D825" s="14">
        <v>2947.35</v>
      </c>
      <c r="E825" s="14">
        <v>2909.35</v>
      </c>
      <c r="F825" s="14">
        <v>2942.8</v>
      </c>
      <c r="G825" s="14">
        <v>2915.05</v>
      </c>
      <c r="H825" s="14">
        <v>2913.35</v>
      </c>
      <c r="I825" s="14">
        <v>2927.47</v>
      </c>
      <c r="J825" s="14">
        <v>3029</v>
      </c>
      <c r="K825" s="14">
        <v>2220.3</v>
      </c>
      <c r="L825" s="15">
        <v>5887451</v>
      </c>
      <c r="M825" t="s" s="13">
        <v>826</v>
      </c>
      <c r="N825" s="15">
        <v>210257</v>
      </c>
      <c r="O825" s="17" cm="1">
        <f t="array" ref="O825">(H825-H824)/H824</f>
        <v>-0.0100074758733179</v>
      </c>
    </row>
    <row r="826" ht="13.65" customHeight="1">
      <c r="A826" s="18">
        <v>45455</v>
      </c>
      <c r="B826" t="s" s="13">
        <v>22</v>
      </c>
      <c r="C826" s="14">
        <v>2915</v>
      </c>
      <c r="D826" s="14">
        <v>2952</v>
      </c>
      <c r="E826" s="14">
        <v>2910.35</v>
      </c>
      <c r="F826" s="14">
        <v>2913.35</v>
      </c>
      <c r="G826" s="14">
        <v>2924.5</v>
      </c>
      <c r="H826" s="14">
        <v>2926.65</v>
      </c>
      <c r="I826" s="14">
        <v>2933.93</v>
      </c>
      <c r="J826" s="14">
        <v>3029</v>
      </c>
      <c r="K826" s="14">
        <v>2220.3</v>
      </c>
      <c r="L826" s="15">
        <v>5040871</v>
      </c>
      <c r="M826" t="s" s="13">
        <v>827</v>
      </c>
      <c r="N826" s="15">
        <v>194907</v>
      </c>
      <c r="O826" s="17" cm="1">
        <f t="array" ref="O826">(H826-H825)/H825</f>
        <v>0.00456519127464946</v>
      </c>
    </row>
    <row r="827" ht="13.65" customHeight="1">
      <c r="A827" s="18">
        <v>45456</v>
      </c>
      <c r="B827" t="s" s="13">
        <v>22</v>
      </c>
      <c r="C827" s="14">
        <v>2944</v>
      </c>
      <c r="D827" s="14">
        <v>2944.5</v>
      </c>
      <c r="E827" s="14">
        <v>2920.2</v>
      </c>
      <c r="F827" s="14">
        <v>2926.65</v>
      </c>
      <c r="G827" s="14">
        <v>2927.6</v>
      </c>
      <c r="H827" s="14">
        <v>2930.5</v>
      </c>
      <c r="I827" s="14">
        <v>2932.52</v>
      </c>
      <c r="J827" s="14">
        <v>3029</v>
      </c>
      <c r="K827" s="14">
        <v>2220.3</v>
      </c>
      <c r="L827" s="15">
        <v>4590580</v>
      </c>
      <c r="M827" t="s" s="13">
        <v>828</v>
      </c>
      <c r="N827" s="15">
        <v>150823</v>
      </c>
      <c r="O827" s="17" cm="1">
        <f t="array" ref="O827">(H827-H826)/H826</f>
        <v>0.00131549724087267</v>
      </c>
    </row>
    <row r="828" ht="13.65" customHeight="1">
      <c r="A828" s="18">
        <v>45457</v>
      </c>
      <c r="B828" t="s" s="13">
        <v>22</v>
      </c>
      <c r="C828" s="14">
        <v>2940</v>
      </c>
      <c r="D828" s="14">
        <v>2959.35</v>
      </c>
      <c r="E828" s="14">
        <v>2914.45</v>
      </c>
      <c r="F828" s="14">
        <v>2930.5</v>
      </c>
      <c r="G828" s="14">
        <v>2951.45</v>
      </c>
      <c r="H828" s="14">
        <v>2955.1</v>
      </c>
      <c r="I828" s="14">
        <v>2944.28</v>
      </c>
      <c r="J828" s="14">
        <v>3029</v>
      </c>
      <c r="K828" s="14">
        <v>2220.3</v>
      </c>
      <c r="L828" s="15">
        <v>4078999</v>
      </c>
      <c r="M828" t="s" s="13">
        <v>829</v>
      </c>
      <c r="N828" s="15">
        <v>150934</v>
      </c>
      <c r="O828" s="17" cm="1">
        <f t="array" ref="O828">(H828-H827)/H827</f>
        <v>0.008394471933117219</v>
      </c>
    </row>
    <row r="829" ht="13.65" customHeight="1">
      <c r="A829" s="18">
        <v>45461</v>
      </c>
      <c r="B829" t="s" s="13">
        <v>22</v>
      </c>
      <c r="C829" s="14">
        <v>2974.7</v>
      </c>
      <c r="D829" s="14">
        <v>2974.8</v>
      </c>
      <c r="E829" s="14">
        <v>2942.7</v>
      </c>
      <c r="F829" s="14">
        <v>2955.1</v>
      </c>
      <c r="G829" s="14">
        <v>2959.9</v>
      </c>
      <c r="H829" s="14">
        <v>2962.05</v>
      </c>
      <c r="I829" s="14">
        <v>2956.95</v>
      </c>
      <c r="J829" s="14">
        <v>3029</v>
      </c>
      <c r="K829" s="14">
        <v>2220.3</v>
      </c>
      <c r="L829" s="15">
        <v>3598383</v>
      </c>
      <c r="M829" t="s" s="13">
        <v>830</v>
      </c>
      <c r="N829" s="15">
        <v>228749</v>
      </c>
      <c r="O829" s="17" cm="1">
        <f t="array" ref="O829">(H829-H828)/H828</f>
        <v>0.00235186626510101</v>
      </c>
    </row>
    <row r="830" ht="13.65" customHeight="1">
      <c r="A830" s="18">
        <v>45462</v>
      </c>
      <c r="B830" t="s" s="13">
        <v>22</v>
      </c>
      <c r="C830" s="14">
        <v>2975</v>
      </c>
      <c r="D830" s="14">
        <v>2975</v>
      </c>
      <c r="E830" s="14">
        <v>2912</v>
      </c>
      <c r="F830" s="14">
        <v>2962.05</v>
      </c>
      <c r="G830" s="14">
        <v>2917</v>
      </c>
      <c r="H830" s="14">
        <v>2917.3</v>
      </c>
      <c r="I830" s="14">
        <v>2935.27</v>
      </c>
      <c r="J830" s="14">
        <v>3029</v>
      </c>
      <c r="K830" s="14">
        <v>2220.3</v>
      </c>
      <c r="L830" s="15">
        <v>4362937</v>
      </c>
      <c r="M830" t="s" s="13">
        <v>831</v>
      </c>
      <c r="N830" s="15">
        <v>181800</v>
      </c>
      <c r="O830" s="17" cm="1">
        <f t="array" ref="O830">(H830-H829)/H829</f>
        <v>-0.0151077800847386</v>
      </c>
    </row>
    <row r="831" ht="13.65" customHeight="1">
      <c r="A831" s="18">
        <v>45463</v>
      </c>
      <c r="B831" t="s" s="13">
        <v>22</v>
      </c>
      <c r="C831" s="14">
        <v>2918</v>
      </c>
      <c r="D831" s="14">
        <v>2965.7</v>
      </c>
      <c r="E831" s="14">
        <v>2900.2</v>
      </c>
      <c r="F831" s="14">
        <v>2917.3</v>
      </c>
      <c r="G831" s="14">
        <v>2949</v>
      </c>
      <c r="H831" s="14">
        <v>2947.4</v>
      </c>
      <c r="I831" s="14">
        <v>2945.61</v>
      </c>
      <c r="J831" s="14">
        <v>3029</v>
      </c>
      <c r="K831" s="14">
        <v>2220.3</v>
      </c>
      <c r="L831" s="15">
        <v>8056888</v>
      </c>
      <c r="M831" t="s" s="13">
        <v>832</v>
      </c>
      <c r="N831" s="15">
        <v>219372</v>
      </c>
      <c r="O831" s="17" cm="1">
        <f t="array" ref="O831">(H831-H830)/H830</f>
        <v>0.0103177595722072</v>
      </c>
    </row>
    <row r="832" ht="13.65" customHeight="1">
      <c r="A832" s="18">
        <v>45464</v>
      </c>
      <c r="B832" t="s" s="13">
        <v>22</v>
      </c>
      <c r="C832" s="14">
        <v>2947.25</v>
      </c>
      <c r="D832" s="14">
        <v>2949.4</v>
      </c>
      <c r="E832" s="14">
        <v>2881.15</v>
      </c>
      <c r="F832" s="14">
        <v>2947.4</v>
      </c>
      <c r="G832" s="14">
        <v>2912</v>
      </c>
      <c r="H832" s="14">
        <v>2908.4</v>
      </c>
      <c r="I832" s="14">
        <v>2909.13</v>
      </c>
      <c r="J832" s="14">
        <v>3029</v>
      </c>
      <c r="K832" s="14">
        <v>2220.3</v>
      </c>
      <c r="L832" s="15">
        <v>15585180</v>
      </c>
      <c r="M832" t="s" s="13">
        <v>833</v>
      </c>
      <c r="N832" s="15">
        <v>338377</v>
      </c>
      <c r="O832" s="17" cm="1">
        <f t="array" ref="O832">(H832-H831)/H831</f>
        <v>-0.0132320010857027</v>
      </c>
    </row>
    <row r="833" ht="13.65" customHeight="1">
      <c r="A833" s="18">
        <v>45467</v>
      </c>
      <c r="B833" t="s" s="13">
        <v>22</v>
      </c>
      <c r="C833" s="14">
        <v>2891.05</v>
      </c>
      <c r="D833" s="14">
        <v>2899</v>
      </c>
      <c r="E833" s="14">
        <v>2875</v>
      </c>
      <c r="F833" s="14">
        <v>2908.4</v>
      </c>
      <c r="G833" s="14">
        <v>2885</v>
      </c>
      <c r="H833" s="14">
        <v>2882.95</v>
      </c>
      <c r="I833" s="14">
        <v>2885.46</v>
      </c>
      <c r="J833" s="14">
        <v>3029</v>
      </c>
      <c r="K833" s="14">
        <v>2220.3</v>
      </c>
      <c r="L833" s="15">
        <v>4439193</v>
      </c>
      <c r="M833" t="s" s="13">
        <v>834</v>
      </c>
      <c r="N833" s="15">
        <v>204050</v>
      </c>
      <c r="O833" s="17" cm="1">
        <f t="array" ref="O833">(H833-H832)/H832</f>
        <v>-0.00875051574749003</v>
      </c>
    </row>
    <row r="834" ht="13.65" customHeight="1">
      <c r="A834" s="18">
        <v>45468</v>
      </c>
      <c r="B834" t="s" s="13">
        <v>22</v>
      </c>
      <c r="C834" s="14">
        <v>2886</v>
      </c>
      <c r="D834" s="14">
        <v>2911.85</v>
      </c>
      <c r="E834" s="14">
        <v>2882</v>
      </c>
      <c r="F834" s="14">
        <v>2882.95</v>
      </c>
      <c r="G834" s="14">
        <v>2905.05</v>
      </c>
      <c r="H834" s="14">
        <v>2908.3</v>
      </c>
      <c r="I834" s="14">
        <v>2897.19</v>
      </c>
      <c r="J834" s="14">
        <v>3029</v>
      </c>
      <c r="K834" s="14">
        <v>2220.3</v>
      </c>
      <c r="L834" s="15">
        <v>3522693</v>
      </c>
      <c r="M834" t="s" s="13">
        <v>835</v>
      </c>
      <c r="N834" s="15">
        <v>143772</v>
      </c>
      <c r="O834" s="17" cm="1">
        <f t="array" ref="O834">(H834-H833)/H833</f>
        <v>0.00879307653618689</v>
      </c>
    </row>
    <row r="835" ht="13.65" customHeight="1">
      <c r="A835" s="18">
        <v>45469</v>
      </c>
      <c r="B835" t="s" s="13">
        <v>22</v>
      </c>
      <c r="C835" s="14">
        <v>2892.1</v>
      </c>
      <c r="D835" s="14">
        <v>3037.95</v>
      </c>
      <c r="E835" s="14">
        <v>2890.25</v>
      </c>
      <c r="F835" s="14">
        <v>2908.3</v>
      </c>
      <c r="G835" s="14">
        <v>3021.1</v>
      </c>
      <c r="H835" s="14">
        <v>3028.05</v>
      </c>
      <c r="I835" s="14">
        <v>2984.44</v>
      </c>
      <c r="J835" s="14">
        <v>3037.95</v>
      </c>
      <c r="K835" s="14">
        <v>2220.3</v>
      </c>
      <c r="L835" s="15">
        <v>11007441</v>
      </c>
      <c r="M835" t="s" s="13">
        <v>836</v>
      </c>
      <c r="N835" s="15">
        <v>355204</v>
      </c>
      <c r="O835" s="17" cm="1">
        <f t="array" ref="O835">(H835-H834)/H834</f>
        <v>0.0411752570230031</v>
      </c>
    </row>
    <row r="836" ht="13.65" customHeight="1">
      <c r="A836" s="18">
        <v>45470</v>
      </c>
      <c r="B836" t="s" s="13">
        <v>22</v>
      </c>
      <c r="C836" s="14">
        <v>3027.5</v>
      </c>
      <c r="D836" s="14">
        <v>3075</v>
      </c>
      <c r="E836" s="14">
        <v>3012</v>
      </c>
      <c r="F836" s="14">
        <v>3028.05</v>
      </c>
      <c r="G836" s="14">
        <v>3057.1</v>
      </c>
      <c r="H836" s="14">
        <v>3061.1</v>
      </c>
      <c r="I836" s="14">
        <v>3056.99</v>
      </c>
      <c r="J836" s="14">
        <v>3075</v>
      </c>
      <c r="K836" s="14">
        <v>2220.3</v>
      </c>
      <c r="L836" s="15">
        <v>14191515</v>
      </c>
      <c r="M836" t="s" s="13">
        <v>837</v>
      </c>
      <c r="N836" s="15">
        <v>437882</v>
      </c>
      <c r="O836" s="17" cm="1">
        <f t="array" ref="O836">(H836-H835)/H835</f>
        <v>0.0109146150162646</v>
      </c>
    </row>
    <row r="837" ht="13.65" customHeight="1">
      <c r="A837" s="18">
        <v>45471</v>
      </c>
      <c r="B837" t="s" s="13">
        <v>22</v>
      </c>
      <c r="C837" s="14">
        <v>3062.05</v>
      </c>
      <c r="D837" s="14">
        <v>3162</v>
      </c>
      <c r="E837" s="14">
        <v>3062.05</v>
      </c>
      <c r="F837" s="14">
        <v>3061.1</v>
      </c>
      <c r="G837" s="14">
        <v>3128.25</v>
      </c>
      <c r="H837" s="14">
        <v>3130.8</v>
      </c>
      <c r="I837" s="14">
        <v>3120.51</v>
      </c>
      <c r="J837" s="14">
        <v>3162</v>
      </c>
      <c r="K837" s="14">
        <v>2220.3</v>
      </c>
      <c r="L837" s="15">
        <v>14478668</v>
      </c>
      <c r="M837" t="s" s="13">
        <v>838</v>
      </c>
      <c r="N837" s="15">
        <v>484009</v>
      </c>
      <c r="O837" s="17" cm="1">
        <f t="array" ref="O837">(H837-H836)/H836</f>
        <v>0.0227695926301003</v>
      </c>
    </row>
    <row r="838" ht="13.65" customHeight="1">
      <c r="A838" s="12">
        <v>45474</v>
      </c>
      <c r="B838" t="s" s="13">
        <v>22</v>
      </c>
      <c r="C838" s="14">
        <v>3125.05</v>
      </c>
      <c r="D838" s="14">
        <v>3158.8</v>
      </c>
      <c r="E838" s="14">
        <v>3111.35</v>
      </c>
      <c r="F838" s="14">
        <v>3130.8</v>
      </c>
      <c r="G838" s="14">
        <v>3123</v>
      </c>
      <c r="H838" s="14">
        <v>3120.3</v>
      </c>
      <c r="I838" s="14">
        <v>3126.53</v>
      </c>
      <c r="J838" s="14">
        <v>3162</v>
      </c>
      <c r="K838" s="14">
        <v>2220.3</v>
      </c>
      <c r="L838" s="15">
        <v>3862153</v>
      </c>
      <c r="M838" t="s" s="13">
        <v>839</v>
      </c>
      <c r="N838" s="15">
        <v>186641</v>
      </c>
      <c r="O838" s="17" cm="1">
        <f t="array" ref="O838">(H838-H837)/H837</f>
        <v>-0.00335377539287083</v>
      </c>
    </row>
    <row r="839" ht="13.65" customHeight="1">
      <c r="A839" s="12">
        <v>45475</v>
      </c>
      <c r="B839" t="s" s="13">
        <v>22</v>
      </c>
      <c r="C839" s="14">
        <v>3139</v>
      </c>
      <c r="D839" s="14">
        <v>3147</v>
      </c>
      <c r="E839" s="14">
        <v>3114</v>
      </c>
      <c r="F839" s="14">
        <v>3120.3</v>
      </c>
      <c r="G839" s="14">
        <v>3126.2</v>
      </c>
      <c r="H839" s="14">
        <v>3130.35</v>
      </c>
      <c r="I839" s="14">
        <v>3129.71</v>
      </c>
      <c r="J839" s="14">
        <v>3162</v>
      </c>
      <c r="K839" s="14">
        <v>2220.3</v>
      </c>
      <c r="L839" s="15">
        <v>3874623</v>
      </c>
      <c r="M839" t="s" s="13">
        <v>840</v>
      </c>
      <c r="N839" s="15">
        <v>179115</v>
      </c>
      <c r="O839" s="17" cm="1">
        <f t="array" ref="O839">(H839-H838)/H838</f>
        <v>0.003220844149601</v>
      </c>
    </row>
    <row r="840" ht="13.65" customHeight="1">
      <c r="A840" s="12">
        <v>45476</v>
      </c>
      <c r="B840" t="s" s="13">
        <v>22</v>
      </c>
      <c r="C840" s="14">
        <v>3132.65</v>
      </c>
      <c r="D840" s="14">
        <v>3150</v>
      </c>
      <c r="E840" s="14">
        <v>3085.55</v>
      </c>
      <c r="F840" s="14">
        <v>3130.35</v>
      </c>
      <c r="G840" s="14">
        <v>3109</v>
      </c>
      <c r="H840" s="14">
        <v>3104.85</v>
      </c>
      <c r="I840" s="14">
        <v>3104.97</v>
      </c>
      <c r="J840" s="14">
        <v>3162</v>
      </c>
      <c r="K840" s="14">
        <v>2220.3</v>
      </c>
      <c r="L840" s="15">
        <v>4524810</v>
      </c>
      <c r="M840" t="s" s="13">
        <v>841</v>
      </c>
      <c r="N840" s="15">
        <v>185754</v>
      </c>
      <c r="O840" s="17" cm="1">
        <f t="array" ref="O840">(H840-H839)/H839</f>
        <v>-0.008146053955627961</v>
      </c>
    </row>
    <row r="841" ht="13.65" customHeight="1">
      <c r="A841" s="12">
        <v>45477</v>
      </c>
      <c r="B841" t="s" s="13">
        <v>22</v>
      </c>
      <c r="C841" s="14">
        <v>3114</v>
      </c>
      <c r="D841" s="14">
        <v>3135</v>
      </c>
      <c r="E841" s="14">
        <v>3101.6</v>
      </c>
      <c r="F841" s="14">
        <v>3104.85</v>
      </c>
      <c r="G841" s="14">
        <v>3106</v>
      </c>
      <c r="H841" s="14">
        <v>3108.05</v>
      </c>
      <c r="I841" s="14">
        <v>3116.99</v>
      </c>
      <c r="J841" s="14">
        <v>3162</v>
      </c>
      <c r="K841" s="14">
        <v>2220.3</v>
      </c>
      <c r="L841" s="15">
        <v>3418588</v>
      </c>
      <c r="M841" t="s" s="13">
        <v>842</v>
      </c>
      <c r="N841" s="15">
        <v>173336</v>
      </c>
      <c r="O841" s="17" cm="1">
        <f t="array" ref="O841">(H841-H840)/H840</f>
        <v>0.00103064560284716</v>
      </c>
    </row>
    <row r="842" ht="13.65" customHeight="1">
      <c r="A842" s="12">
        <v>45478</v>
      </c>
      <c r="B842" t="s" s="13">
        <v>22</v>
      </c>
      <c r="C842" s="14">
        <v>3107.65</v>
      </c>
      <c r="D842" s="14">
        <v>3197</v>
      </c>
      <c r="E842" s="14">
        <v>3096</v>
      </c>
      <c r="F842" s="14">
        <v>3108.05</v>
      </c>
      <c r="G842" s="14">
        <v>3189.9</v>
      </c>
      <c r="H842" s="14">
        <v>3177.25</v>
      </c>
      <c r="I842" s="14">
        <v>3149.82</v>
      </c>
      <c r="J842" s="14">
        <v>3197</v>
      </c>
      <c r="K842" s="14">
        <v>2220.3</v>
      </c>
      <c r="L842" s="15">
        <v>6134855</v>
      </c>
      <c r="M842" t="s" s="13">
        <v>843</v>
      </c>
      <c r="N842" s="15">
        <v>261494</v>
      </c>
      <c r="O842" s="17" cm="1">
        <f t="array" ref="O842">(H842-H841)/H841</f>
        <v>0.0222647640803719</v>
      </c>
    </row>
    <row r="843" ht="13.65" customHeight="1">
      <c r="A843" s="12">
        <v>45481</v>
      </c>
      <c r="B843" t="s" s="13">
        <v>22</v>
      </c>
      <c r="C843" s="14">
        <v>3178</v>
      </c>
      <c r="D843" s="14">
        <v>3217.6</v>
      </c>
      <c r="E843" s="14">
        <v>3165.05</v>
      </c>
      <c r="F843" s="14">
        <v>3177.25</v>
      </c>
      <c r="G843" s="14">
        <v>3201.5</v>
      </c>
      <c r="H843" s="14">
        <v>3201.8</v>
      </c>
      <c r="I843" s="14">
        <v>3195.83</v>
      </c>
      <c r="J843" s="14">
        <v>3217.6</v>
      </c>
      <c r="K843" s="14">
        <v>2220.3</v>
      </c>
      <c r="L843" s="15">
        <v>4750403</v>
      </c>
      <c r="M843" t="s" s="13">
        <v>844</v>
      </c>
      <c r="N843" s="15">
        <v>240527</v>
      </c>
      <c r="O843" s="17" cm="1">
        <f t="array" ref="O843">(H843-H842)/H842</f>
        <v>0.00772680777401841</v>
      </c>
    </row>
    <row r="844" ht="13.65" customHeight="1">
      <c r="A844" s="12">
        <v>45482</v>
      </c>
      <c r="B844" t="s" s="13">
        <v>22</v>
      </c>
      <c r="C844" s="14">
        <v>3195.2</v>
      </c>
      <c r="D844" s="14">
        <v>3201</v>
      </c>
      <c r="E844" s="14">
        <v>3161</v>
      </c>
      <c r="F844" s="14">
        <v>3201.8</v>
      </c>
      <c r="G844" s="14">
        <v>3176.3</v>
      </c>
      <c r="H844" s="14">
        <v>3180.55</v>
      </c>
      <c r="I844" s="14">
        <v>3178.56</v>
      </c>
      <c r="J844" s="14">
        <v>3217.6</v>
      </c>
      <c r="K844" s="14">
        <v>2220.3</v>
      </c>
      <c r="L844" s="15">
        <v>3480001</v>
      </c>
      <c r="M844" t="s" s="13">
        <v>845</v>
      </c>
      <c r="N844" s="15">
        <v>159638</v>
      </c>
      <c r="O844" s="17" cm="1">
        <f t="array" ref="O844">(H844-H843)/H843</f>
        <v>-0.00663689174839153</v>
      </c>
    </row>
    <row r="845" ht="13.65" customHeight="1">
      <c r="A845" s="18">
        <v>45483</v>
      </c>
      <c r="B845" t="s" s="13">
        <v>22</v>
      </c>
      <c r="C845" s="14">
        <v>3190</v>
      </c>
      <c r="D845" s="14">
        <v>3195</v>
      </c>
      <c r="E845" s="14">
        <v>3126.3</v>
      </c>
      <c r="F845" s="14">
        <v>3180.55</v>
      </c>
      <c r="G845" s="14">
        <v>3164</v>
      </c>
      <c r="H845" s="14">
        <v>3168.45</v>
      </c>
      <c r="I845" s="14">
        <v>3154.77</v>
      </c>
      <c r="J845" s="14">
        <v>3217.6</v>
      </c>
      <c r="K845" s="14">
        <v>2220.3</v>
      </c>
      <c r="L845" s="15">
        <v>3567289</v>
      </c>
      <c r="M845" t="s" s="13">
        <v>846</v>
      </c>
      <c r="N845" s="15">
        <v>182113</v>
      </c>
      <c r="O845" s="17" cm="1">
        <f t="array" ref="O845">(H845-H844)/H844</f>
        <v>-0.00380437345742089</v>
      </c>
    </row>
    <row r="846" ht="13.65" customHeight="1">
      <c r="A846" s="18">
        <v>45484</v>
      </c>
      <c r="B846" t="s" s="13">
        <v>22</v>
      </c>
      <c r="C846" s="14">
        <v>3175</v>
      </c>
      <c r="D846" s="14">
        <v>3208.5</v>
      </c>
      <c r="E846" s="14">
        <v>3141</v>
      </c>
      <c r="F846" s="14">
        <v>3168.45</v>
      </c>
      <c r="G846" s="14">
        <v>3170</v>
      </c>
      <c r="H846" s="14">
        <v>3161.3</v>
      </c>
      <c r="I846" s="14">
        <v>3169.61</v>
      </c>
      <c r="J846" s="14">
        <v>3217.6</v>
      </c>
      <c r="K846" s="14">
        <v>2220.3</v>
      </c>
      <c r="L846" s="15">
        <v>5970473</v>
      </c>
      <c r="M846" t="s" s="13">
        <v>847</v>
      </c>
      <c r="N846" s="15">
        <v>246252</v>
      </c>
      <c r="O846" s="17" cm="1">
        <f t="array" ref="O846">(H846-H845)/H845</f>
        <v>-0.00225662390127665</v>
      </c>
    </row>
    <row r="847" ht="13.65" customHeight="1">
      <c r="A847" s="18">
        <v>45485</v>
      </c>
      <c r="B847" t="s" s="13">
        <v>22</v>
      </c>
      <c r="C847" s="14">
        <v>3169</v>
      </c>
      <c r="D847" s="14">
        <v>3210.3</v>
      </c>
      <c r="E847" s="14">
        <v>3149</v>
      </c>
      <c r="F847" s="14">
        <v>3161.3</v>
      </c>
      <c r="G847" s="14">
        <v>3195</v>
      </c>
      <c r="H847" s="14">
        <v>3193.45</v>
      </c>
      <c r="I847" s="14">
        <v>3186.07</v>
      </c>
      <c r="J847" s="14">
        <v>3217.6</v>
      </c>
      <c r="K847" s="14">
        <v>2220.3</v>
      </c>
      <c r="L847" s="15">
        <v>6462392</v>
      </c>
      <c r="M847" t="s" s="13">
        <v>848</v>
      </c>
      <c r="N847" s="15">
        <v>246838</v>
      </c>
      <c r="O847" s="17" cm="1">
        <f t="array" ref="O847">(H847-H846)/H846</f>
        <v>0.0101698668269383</v>
      </c>
    </row>
    <row r="848" ht="13.65" customHeight="1">
      <c r="A848" s="18">
        <v>45488</v>
      </c>
      <c r="B848" t="s" s="13">
        <v>22</v>
      </c>
      <c r="C848" s="14">
        <v>3208.9</v>
      </c>
      <c r="D848" s="14">
        <v>3211.7</v>
      </c>
      <c r="E848" s="14">
        <v>3171</v>
      </c>
      <c r="F848" s="14">
        <v>3193.45</v>
      </c>
      <c r="G848" s="14">
        <v>3193.6</v>
      </c>
      <c r="H848" s="14">
        <v>3194.45</v>
      </c>
      <c r="I848" s="14">
        <v>3191.4</v>
      </c>
      <c r="J848" s="14">
        <v>3217.6</v>
      </c>
      <c r="K848" s="14">
        <v>2220.3</v>
      </c>
      <c r="L848" s="15">
        <v>2664844</v>
      </c>
      <c r="M848" t="s" s="13">
        <v>849</v>
      </c>
      <c r="N848" s="15">
        <v>187867</v>
      </c>
      <c r="O848" s="17" cm="1">
        <f t="array" ref="O848">(H848-H847)/H847</f>
        <v>0.000313140960403326</v>
      </c>
    </row>
    <row r="849" ht="13.65" customHeight="1">
      <c r="A849" s="18">
        <v>45489</v>
      </c>
      <c r="B849" t="s" s="13">
        <v>22</v>
      </c>
      <c r="C849" s="14">
        <v>3187</v>
      </c>
      <c r="D849" s="14">
        <v>3200</v>
      </c>
      <c r="E849" s="14">
        <v>3138.25</v>
      </c>
      <c r="F849" s="14">
        <v>3194.45</v>
      </c>
      <c r="G849" s="14">
        <v>3148.3</v>
      </c>
      <c r="H849" s="14">
        <v>3152.5</v>
      </c>
      <c r="I849" s="14">
        <v>3166.04</v>
      </c>
      <c r="J849" s="14">
        <v>3217.6</v>
      </c>
      <c r="K849" s="14">
        <v>2220.3</v>
      </c>
      <c r="L849" s="15">
        <v>4693419</v>
      </c>
      <c r="M849" t="s" s="13">
        <v>850</v>
      </c>
      <c r="N849" s="15">
        <v>230262</v>
      </c>
      <c r="O849" s="17" cm="1">
        <f t="array" ref="O849">(H849-H848)/H848</f>
        <v>-0.0131321510745199</v>
      </c>
    </row>
    <row r="850" ht="13.65" customHeight="1">
      <c r="A850" s="18">
        <v>45491</v>
      </c>
      <c r="B850" t="s" s="13">
        <v>22</v>
      </c>
      <c r="C850" s="14">
        <v>3152</v>
      </c>
      <c r="D850" s="14">
        <v>3187.8</v>
      </c>
      <c r="E850" s="14">
        <v>3115.65</v>
      </c>
      <c r="F850" s="14">
        <v>3152.5</v>
      </c>
      <c r="G850" s="14">
        <v>3170.6</v>
      </c>
      <c r="H850" s="14">
        <v>3173.35</v>
      </c>
      <c r="I850" s="14">
        <v>3155.52</v>
      </c>
      <c r="J850" s="14">
        <v>3217.6</v>
      </c>
      <c r="K850" s="14">
        <v>2220.3</v>
      </c>
      <c r="L850" s="15">
        <v>6149187</v>
      </c>
      <c r="M850" t="s" s="13">
        <v>851</v>
      </c>
      <c r="N850" s="15">
        <v>212178</v>
      </c>
      <c r="O850" s="17" cm="1">
        <f t="array" ref="O850">(H850-H849)/H849</f>
        <v>0.00661379857256146</v>
      </c>
    </row>
    <row r="851" ht="13.65" customHeight="1">
      <c r="A851" s="18">
        <v>45492</v>
      </c>
      <c r="B851" t="s" s="13">
        <v>22</v>
      </c>
      <c r="C851" s="14">
        <v>3172</v>
      </c>
      <c r="D851" s="14">
        <v>3179.95</v>
      </c>
      <c r="E851" s="14">
        <v>3105.6</v>
      </c>
      <c r="F851" s="14">
        <v>3173.35</v>
      </c>
      <c r="G851" s="14">
        <v>3116.95</v>
      </c>
      <c r="H851" s="14">
        <v>3110.3</v>
      </c>
      <c r="I851" s="14">
        <v>3128.4</v>
      </c>
      <c r="J851" s="14">
        <v>3217.6</v>
      </c>
      <c r="K851" s="14">
        <v>2220.3</v>
      </c>
      <c r="L851" s="15">
        <v>6570195</v>
      </c>
      <c r="M851" t="s" s="13">
        <v>852</v>
      </c>
      <c r="N851" s="15">
        <v>213186</v>
      </c>
      <c r="O851" s="17" cm="1">
        <f t="array" ref="O851">(H851-H850)/H850</f>
        <v>-0.0198685931271369</v>
      </c>
    </row>
    <row r="852" ht="13.65" customHeight="1">
      <c r="A852" s="18">
        <v>45495</v>
      </c>
      <c r="B852" t="s" s="13">
        <v>22</v>
      </c>
      <c r="C852" s="14">
        <v>3074.5</v>
      </c>
      <c r="D852" s="14">
        <v>3075</v>
      </c>
      <c r="E852" s="14">
        <v>2998.55</v>
      </c>
      <c r="F852" s="14">
        <v>3110.3</v>
      </c>
      <c r="G852" s="14">
        <v>3004</v>
      </c>
      <c r="H852" s="14">
        <v>3001.35</v>
      </c>
      <c r="I852" s="14">
        <v>3016.24</v>
      </c>
      <c r="J852" s="14">
        <v>3217.6</v>
      </c>
      <c r="K852" s="14">
        <v>2220.3</v>
      </c>
      <c r="L852" s="15">
        <v>9837188</v>
      </c>
      <c r="M852" t="s" s="13">
        <v>853</v>
      </c>
      <c r="N852" s="15">
        <v>465224</v>
      </c>
      <c r="O852" s="17" cm="1">
        <f t="array" ref="O852">(H852-H851)/H851</f>
        <v>-0.0350287753592901</v>
      </c>
    </row>
    <row r="853" ht="13.65" customHeight="1">
      <c r="A853" s="18">
        <v>45496</v>
      </c>
      <c r="B853" t="s" s="13">
        <v>22</v>
      </c>
      <c r="C853" s="14">
        <v>3002</v>
      </c>
      <c r="D853" s="14">
        <v>3011.5</v>
      </c>
      <c r="E853" s="14">
        <v>2926</v>
      </c>
      <c r="F853" s="14">
        <v>3001.35</v>
      </c>
      <c r="G853" s="14">
        <v>2970.05</v>
      </c>
      <c r="H853" s="14">
        <v>2975.8</v>
      </c>
      <c r="I853" s="14">
        <v>2969.6</v>
      </c>
      <c r="J853" s="14">
        <v>3217.6</v>
      </c>
      <c r="K853" s="14">
        <v>2220.3</v>
      </c>
      <c r="L853" s="15">
        <v>9026022</v>
      </c>
      <c r="M853" t="s" s="13">
        <v>854</v>
      </c>
      <c r="N853" s="15">
        <v>384359</v>
      </c>
      <c r="O853" s="17" cm="1">
        <f t="array" ref="O853">(H853-H852)/H852</f>
        <v>-0.00851283589051593</v>
      </c>
    </row>
    <row r="854" ht="13.65" customHeight="1">
      <c r="A854" s="18">
        <v>45497</v>
      </c>
      <c r="B854" t="s" s="13">
        <v>22</v>
      </c>
      <c r="C854" s="14">
        <v>2970</v>
      </c>
      <c r="D854" s="14">
        <v>3019</v>
      </c>
      <c r="E854" s="14">
        <v>2952.8</v>
      </c>
      <c r="F854" s="14">
        <v>2975.8</v>
      </c>
      <c r="G854" s="14">
        <v>2988</v>
      </c>
      <c r="H854" s="14">
        <v>2991.4</v>
      </c>
      <c r="I854" s="14">
        <v>2987.68</v>
      </c>
      <c r="J854" s="14">
        <v>3217.6</v>
      </c>
      <c r="K854" s="14">
        <v>2220.3</v>
      </c>
      <c r="L854" s="15">
        <v>5956681</v>
      </c>
      <c r="M854" t="s" s="13">
        <v>855</v>
      </c>
      <c r="N854" s="15">
        <v>232120</v>
      </c>
      <c r="O854" s="17" cm="1">
        <f t="array" ref="O854">(H854-H853)/H853</f>
        <v>0.00524228778815781</v>
      </c>
    </row>
    <row r="855" ht="13.65" customHeight="1">
      <c r="A855" s="18">
        <v>45498</v>
      </c>
      <c r="B855" t="s" s="13">
        <v>22</v>
      </c>
      <c r="C855" s="14">
        <v>2962</v>
      </c>
      <c r="D855" s="14">
        <v>3000.95</v>
      </c>
      <c r="E855" s="14">
        <v>2954.15</v>
      </c>
      <c r="F855" s="14">
        <v>2991.4</v>
      </c>
      <c r="G855" s="14">
        <v>2988.35</v>
      </c>
      <c r="H855" s="14">
        <v>2984.8</v>
      </c>
      <c r="I855" s="14">
        <v>2980.72</v>
      </c>
      <c r="J855" s="14">
        <v>3217.6</v>
      </c>
      <c r="K855" s="14">
        <v>2220.3</v>
      </c>
      <c r="L855" s="15">
        <v>6259938</v>
      </c>
      <c r="M855" t="s" s="13">
        <v>856</v>
      </c>
      <c r="N855" s="15">
        <v>221753</v>
      </c>
      <c r="O855" s="17" cm="1">
        <f t="array" ref="O855">(H855-H854)/H854</f>
        <v>-0.00220632479775356</v>
      </c>
    </row>
    <row r="856" ht="13.65" customHeight="1">
      <c r="A856" s="18">
        <v>45499</v>
      </c>
      <c r="B856" t="s" s="13">
        <v>22</v>
      </c>
      <c r="C856" s="14">
        <v>2984.8</v>
      </c>
      <c r="D856" s="14">
        <v>3024.85</v>
      </c>
      <c r="E856" s="14">
        <v>2980.7</v>
      </c>
      <c r="F856" s="14">
        <v>2984.8</v>
      </c>
      <c r="G856" s="14">
        <v>3018.6</v>
      </c>
      <c r="H856" s="14">
        <v>3018.05</v>
      </c>
      <c r="I856" s="14">
        <v>3012.08</v>
      </c>
      <c r="J856" s="14">
        <v>3217.6</v>
      </c>
      <c r="K856" s="14">
        <v>2220.3</v>
      </c>
      <c r="L856" s="15">
        <v>4929970</v>
      </c>
      <c r="M856" t="s" s="13">
        <v>857</v>
      </c>
      <c r="N856" s="15">
        <v>180757</v>
      </c>
      <c r="O856" s="17" cm="1">
        <f t="array" ref="O856">(H856-H855)/H855</f>
        <v>0.0111397748592871</v>
      </c>
    </row>
    <row r="857" ht="13.65" customHeight="1">
      <c r="A857" s="18">
        <v>45502</v>
      </c>
      <c r="B857" t="s" s="13">
        <v>22</v>
      </c>
      <c r="C857" s="14">
        <v>3023.9</v>
      </c>
      <c r="D857" s="14">
        <v>3055</v>
      </c>
      <c r="E857" s="14">
        <v>3023.55</v>
      </c>
      <c r="F857" s="14">
        <v>3018.05</v>
      </c>
      <c r="G857" s="14">
        <v>3038.25</v>
      </c>
      <c r="H857" s="14">
        <v>3040.2</v>
      </c>
      <c r="I857" s="14">
        <v>3038.43</v>
      </c>
      <c r="J857" s="14">
        <v>3217.6</v>
      </c>
      <c r="K857" s="14">
        <v>2220.3</v>
      </c>
      <c r="L857" s="15">
        <v>3769275</v>
      </c>
      <c r="M857" t="s" s="13">
        <v>858</v>
      </c>
      <c r="N857" s="15">
        <v>170155</v>
      </c>
      <c r="O857" s="17" cm="1">
        <f t="array" ref="O857">(H857-H856)/H856</f>
        <v>0.00733917595798612</v>
      </c>
    </row>
    <row r="858" ht="13.65" customHeight="1">
      <c r="A858" s="18">
        <v>45503</v>
      </c>
      <c r="B858" t="s" s="13">
        <v>22</v>
      </c>
      <c r="C858" s="14">
        <v>3034.05</v>
      </c>
      <c r="D858" s="14">
        <v>3050</v>
      </c>
      <c r="E858" s="14">
        <v>3020</v>
      </c>
      <c r="F858" s="14">
        <v>3040.2</v>
      </c>
      <c r="G858" s="14">
        <v>3023</v>
      </c>
      <c r="H858" s="14">
        <v>3026.3</v>
      </c>
      <c r="I858" s="14">
        <v>3033.38</v>
      </c>
      <c r="J858" s="14">
        <v>3217.6</v>
      </c>
      <c r="K858" s="14">
        <v>2220.3</v>
      </c>
      <c r="L858" s="15">
        <v>4114104</v>
      </c>
      <c r="M858" t="s" s="13">
        <v>859</v>
      </c>
      <c r="N858" s="15">
        <v>184296</v>
      </c>
      <c r="O858" s="17" cm="1">
        <f t="array" ref="O858">(H858-H857)/H857</f>
        <v>-0.00457206762712979</v>
      </c>
    </row>
    <row r="859" ht="13.65" customHeight="1">
      <c r="A859" s="18">
        <v>45504</v>
      </c>
      <c r="B859" t="s" s="13">
        <v>22</v>
      </c>
      <c r="C859" s="14">
        <v>3008</v>
      </c>
      <c r="D859" s="14">
        <v>3020.9</v>
      </c>
      <c r="E859" s="14">
        <v>3002.3</v>
      </c>
      <c r="F859" s="14">
        <v>3026.3</v>
      </c>
      <c r="G859" s="14">
        <v>3009</v>
      </c>
      <c r="H859" s="14">
        <v>3010.85</v>
      </c>
      <c r="I859" s="14">
        <v>3010.83</v>
      </c>
      <c r="J859" s="14">
        <v>3217.6</v>
      </c>
      <c r="K859" s="14">
        <v>2220.3</v>
      </c>
      <c r="L859" s="15">
        <v>5028673</v>
      </c>
      <c r="M859" t="s" s="13">
        <v>860</v>
      </c>
      <c r="N859" s="15">
        <v>201961</v>
      </c>
      <c r="O859" s="17" cm="1">
        <f t="array" ref="O859">(H859-H858)/H858</f>
        <v>-0.00510524402736014</v>
      </c>
    </row>
    <row r="860" ht="13.65" customHeight="1">
      <c r="A860" s="12">
        <v>45505</v>
      </c>
      <c r="B860" t="s" s="13">
        <v>22</v>
      </c>
      <c r="C860" s="14">
        <v>3024</v>
      </c>
      <c r="D860" s="14">
        <v>3036</v>
      </c>
      <c r="E860" s="14">
        <v>3008.6</v>
      </c>
      <c r="F860" s="14">
        <v>3010.85</v>
      </c>
      <c r="G860" s="14">
        <v>3035.9</v>
      </c>
      <c r="H860" s="14">
        <v>3030.6</v>
      </c>
      <c r="I860" s="14">
        <v>3025.5</v>
      </c>
      <c r="J860" s="14">
        <v>3217.6</v>
      </c>
      <c r="K860" s="14">
        <v>2220.3</v>
      </c>
      <c r="L860" s="15">
        <v>5382111</v>
      </c>
      <c r="M860" t="s" s="13">
        <v>861</v>
      </c>
      <c r="N860" s="15">
        <v>219081</v>
      </c>
      <c r="O860" s="17" cm="1">
        <f t="array" ref="O860">(H860-H859)/H859</f>
        <v>0.00655960941262434</v>
      </c>
    </row>
    <row r="861" ht="13.65" customHeight="1">
      <c r="A861" s="12">
        <v>45506</v>
      </c>
      <c r="B861" t="s" s="13">
        <v>22</v>
      </c>
      <c r="C861" s="14">
        <v>3010</v>
      </c>
      <c r="D861" s="14">
        <v>3018.65</v>
      </c>
      <c r="E861" s="14">
        <v>2986.55</v>
      </c>
      <c r="F861" s="14">
        <v>3030.6</v>
      </c>
      <c r="G861" s="14">
        <v>2992</v>
      </c>
      <c r="H861" s="14">
        <v>2998.65</v>
      </c>
      <c r="I861" s="14">
        <v>3001.82</v>
      </c>
      <c r="J861" s="14">
        <v>3217.6</v>
      </c>
      <c r="K861" s="14">
        <v>2220.3</v>
      </c>
      <c r="L861" s="15">
        <v>5134124</v>
      </c>
      <c r="M861" t="s" s="13">
        <v>862</v>
      </c>
      <c r="N861" s="15">
        <v>176635</v>
      </c>
      <c r="O861" s="17" cm="1">
        <f t="array" ref="O861">(H861-H860)/H860</f>
        <v>-0.0105424668382499</v>
      </c>
    </row>
    <row r="862" ht="13.65" customHeight="1">
      <c r="A862" s="12">
        <v>45509</v>
      </c>
      <c r="B862" t="s" s="13">
        <v>22</v>
      </c>
      <c r="C862" s="14">
        <v>2960</v>
      </c>
      <c r="D862" s="14">
        <v>2967.8</v>
      </c>
      <c r="E862" s="14">
        <v>2866.5</v>
      </c>
      <c r="F862" s="14">
        <v>2998.65</v>
      </c>
      <c r="G862" s="14">
        <v>2896</v>
      </c>
      <c r="H862" s="14">
        <v>2894.65</v>
      </c>
      <c r="I862" s="14">
        <v>2901.81</v>
      </c>
      <c r="J862" s="14">
        <v>3217.6</v>
      </c>
      <c r="K862" s="14">
        <v>2220.3</v>
      </c>
      <c r="L862" s="15">
        <v>8523352</v>
      </c>
      <c r="M862" t="s" s="13">
        <v>863</v>
      </c>
      <c r="N862" s="15">
        <v>448630</v>
      </c>
      <c r="O862" s="17" cm="1">
        <f t="array" ref="O862">(H862-H861)/H861</f>
        <v>-0.0346822736898271</v>
      </c>
    </row>
    <row r="863" ht="13.65" customHeight="1">
      <c r="A863" s="12">
        <v>45510</v>
      </c>
      <c r="B863" t="s" s="13">
        <v>22</v>
      </c>
      <c r="C863" s="14">
        <v>2910.3</v>
      </c>
      <c r="D863" s="14">
        <v>2955</v>
      </c>
      <c r="E863" s="14">
        <v>2902.65</v>
      </c>
      <c r="F863" s="14">
        <v>2894.65</v>
      </c>
      <c r="G863" s="14">
        <v>2915.55</v>
      </c>
      <c r="H863" s="14">
        <v>2912.1</v>
      </c>
      <c r="I863" s="14">
        <v>2929.53</v>
      </c>
      <c r="J863" s="14">
        <v>3217.6</v>
      </c>
      <c r="K863" s="14">
        <v>2220.3</v>
      </c>
      <c r="L863" s="15">
        <v>5118093</v>
      </c>
      <c r="M863" t="s" s="13">
        <v>864</v>
      </c>
      <c r="N863" s="15">
        <v>197549</v>
      </c>
      <c r="O863" s="17" cm="1">
        <f t="array" ref="O863">(H863-H862)/H862</f>
        <v>0.00602836266906189</v>
      </c>
    </row>
    <row r="864" ht="13.65" customHeight="1">
      <c r="A864" s="12">
        <v>45511</v>
      </c>
      <c r="B864" t="s" s="13">
        <v>22</v>
      </c>
      <c r="C864" s="14">
        <v>2938</v>
      </c>
      <c r="D864" s="14">
        <v>2945</v>
      </c>
      <c r="E864" s="14">
        <v>2923</v>
      </c>
      <c r="F864" s="14">
        <v>2912.1</v>
      </c>
      <c r="G864" s="14">
        <v>2930</v>
      </c>
      <c r="H864" s="14">
        <v>2929.65</v>
      </c>
      <c r="I864" s="14">
        <v>2930.89</v>
      </c>
      <c r="J864" s="14">
        <v>3217.6</v>
      </c>
      <c r="K864" s="14">
        <v>2220.3</v>
      </c>
      <c r="L864" s="15">
        <v>4087284</v>
      </c>
      <c r="M864" t="s" s="13">
        <v>865</v>
      </c>
      <c r="N864" s="15">
        <v>276362</v>
      </c>
      <c r="O864" s="17" cm="1">
        <f t="array" ref="O864">(H864-H863)/H863</f>
        <v>0.00602657875759761</v>
      </c>
    </row>
    <row r="865" ht="13.65" customHeight="1">
      <c r="A865" s="12">
        <v>45512</v>
      </c>
      <c r="B865" t="s" s="13">
        <v>22</v>
      </c>
      <c r="C865" s="14">
        <v>2915.05</v>
      </c>
      <c r="D865" s="14">
        <v>2930</v>
      </c>
      <c r="E865" s="14">
        <v>2891.85</v>
      </c>
      <c r="F865" s="14">
        <v>2929.65</v>
      </c>
      <c r="G865" s="14">
        <v>2896.45</v>
      </c>
      <c r="H865" s="14">
        <v>2898.25</v>
      </c>
      <c r="I865" s="14">
        <v>2905.69</v>
      </c>
      <c r="J865" s="14">
        <v>3217.6</v>
      </c>
      <c r="K865" s="14">
        <v>2220.3</v>
      </c>
      <c r="L865" s="15">
        <v>6193596</v>
      </c>
      <c r="M865" t="s" s="13">
        <v>866</v>
      </c>
      <c r="N865" s="15">
        <v>255138</v>
      </c>
      <c r="O865" s="17" cm="1">
        <f t="array" ref="O865">(H865-H864)/H864</f>
        <v>-0.010718003857116</v>
      </c>
    </row>
    <row r="866" ht="13.65" customHeight="1">
      <c r="A866" s="12">
        <v>45513</v>
      </c>
      <c r="B866" t="s" s="13">
        <v>22</v>
      </c>
      <c r="C866" s="14">
        <v>2920</v>
      </c>
      <c r="D866" s="14">
        <v>2953</v>
      </c>
      <c r="E866" s="14">
        <v>2912</v>
      </c>
      <c r="F866" s="14">
        <v>2898.25</v>
      </c>
      <c r="G866" s="14">
        <v>2946.1</v>
      </c>
      <c r="H866" s="14">
        <v>2948.6</v>
      </c>
      <c r="I866" s="14">
        <v>2939.2</v>
      </c>
      <c r="J866" s="14">
        <v>3217.6</v>
      </c>
      <c r="K866" s="14">
        <v>2220.3</v>
      </c>
      <c r="L866" s="15">
        <v>3124888</v>
      </c>
      <c r="M866" t="s" s="13">
        <v>867</v>
      </c>
      <c r="N866" s="15">
        <v>150169</v>
      </c>
      <c r="O866" s="17" cm="1">
        <f t="array" ref="O866">(H866-H865)/H865</f>
        <v>0.0173725524023117</v>
      </c>
    </row>
    <row r="867" ht="13.65" customHeight="1">
      <c r="A867" s="18">
        <v>45516</v>
      </c>
      <c r="B867" t="s" s="13">
        <v>22</v>
      </c>
      <c r="C867" s="14">
        <v>2940</v>
      </c>
      <c r="D867" s="14">
        <v>2946</v>
      </c>
      <c r="E867" s="14">
        <v>2915.5</v>
      </c>
      <c r="F867" s="14">
        <v>2948.6</v>
      </c>
      <c r="G867" s="14">
        <v>2923</v>
      </c>
      <c r="H867" s="14">
        <v>2921.25</v>
      </c>
      <c r="I867" s="14">
        <v>2929.82</v>
      </c>
      <c r="J867" s="14">
        <v>3217.6</v>
      </c>
      <c r="K867" s="14">
        <v>2220.3</v>
      </c>
      <c r="L867" s="15">
        <v>4092292</v>
      </c>
      <c r="M867" t="s" s="13">
        <v>868</v>
      </c>
      <c r="N867" s="15">
        <v>188301</v>
      </c>
      <c r="O867" s="17" cm="1">
        <f t="array" ref="O867">(H867-H866)/H866</f>
        <v>-0.009275588414840941</v>
      </c>
    </row>
    <row r="868" ht="13.65" customHeight="1">
      <c r="A868" s="18">
        <v>45517</v>
      </c>
      <c r="B868" t="s" s="13">
        <v>22</v>
      </c>
      <c r="C868" s="14">
        <v>2921.5</v>
      </c>
      <c r="D868" s="14">
        <v>2940.15</v>
      </c>
      <c r="E868" s="14">
        <v>2916</v>
      </c>
      <c r="F868" s="14">
        <v>2921.25</v>
      </c>
      <c r="G868" s="14">
        <v>2925</v>
      </c>
      <c r="H868" s="14">
        <v>2927.25</v>
      </c>
      <c r="I868" s="14">
        <v>2928.29</v>
      </c>
      <c r="J868" s="14">
        <v>3217.6</v>
      </c>
      <c r="K868" s="14">
        <v>2220.3</v>
      </c>
      <c r="L868" s="15">
        <v>3132532</v>
      </c>
      <c r="M868" t="s" s="13">
        <v>869</v>
      </c>
      <c r="N868" s="15">
        <v>134517</v>
      </c>
      <c r="O868" s="17" cm="1">
        <f t="array" ref="O868">(H868-H867)/H867</f>
        <v>0.00205391527599487</v>
      </c>
    </row>
    <row r="869" ht="13.65" customHeight="1">
      <c r="A869" s="18">
        <v>45518</v>
      </c>
      <c r="B869" t="s" s="13">
        <v>22</v>
      </c>
      <c r="C869" s="14">
        <v>2927.1</v>
      </c>
      <c r="D869" s="14">
        <v>2944</v>
      </c>
      <c r="E869" s="14">
        <v>2907.4</v>
      </c>
      <c r="F869" s="14">
        <v>2927.25</v>
      </c>
      <c r="G869" s="14">
        <v>2920.1</v>
      </c>
      <c r="H869" s="14">
        <v>2923.7</v>
      </c>
      <c r="I869" s="14">
        <v>2925.78</v>
      </c>
      <c r="J869" s="14">
        <v>3217.6</v>
      </c>
      <c r="K869" s="14">
        <v>2220.3</v>
      </c>
      <c r="L869" s="15">
        <v>3133733</v>
      </c>
      <c r="M869" t="s" s="13">
        <v>870</v>
      </c>
      <c r="N869" s="15">
        <v>185733</v>
      </c>
      <c r="O869" s="17" cm="1">
        <f t="array" ref="O869">(H869-H868)/H868</f>
        <v>-0.00121274233495602</v>
      </c>
    </row>
    <row r="870" ht="13.65" customHeight="1">
      <c r="A870" s="18">
        <v>45520</v>
      </c>
      <c r="B870" t="s" s="13">
        <v>22</v>
      </c>
      <c r="C870" s="14">
        <v>2937.3</v>
      </c>
      <c r="D870" s="14">
        <v>2960.8</v>
      </c>
      <c r="E870" s="14">
        <v>2916.1</v>
      </c>
      <c r="F870" s="14">
        <v>2923.7</v>
      </c>
      <c r="G870" s="14">
        <v>2957.75</v>
      </c>
      <c r="H870" s="14">
        <v>2956.4</v>
      </c>
      <c r="I870" s="14">
        <v>2944.77</v>
      </c>
      <c r="J870" s="14">
        <v>3217.6</v>
      </c>
      <c r="K870" s="14">
        <v>2220.3</v>
      </c>
      <c r="L870" s="15">
        <v>4708451</v>
      </c>
      <c r="M870" t="s" s="13">
        <v>871</v>
      </c>
      <c r="N870" s="15">
        <v>187365</v>
      </c>
      <c r="O870" s="17" cm="1">
        <f t="array" ref="O870">(H870-H869)/H869</f>
        <v>0.0111844580497315</v>
      </c>
    </row>
    <row r="871" ht="13.65" customHeight="1">
      <c r="A871" s="18">
        <v>45523</v>
      </c>
      <c r="B871" t="s" s="13">
        <v>22</v>
      </c>
      <c r="C871" s="14">
        <v>2965</v>
      </c>
      <c r="D871" s="14">
        <v>2996.6</v>
      </c>
      <c r="E871" s="14">
        <v>2961</v>
      </c>
      <c r="F871" s="14">
        <v>2956.4</v>
      </c>
      <c r="G871" s="14">
        <v>2979</v>
      </c>
      <c r="H871" s="14">
        <v>2976.8</v>
      </c>
      <c r="I871" s="14">
        <v>2980.25</v>
      </c>
      <c r="J871" s="14">
        <v>3217.6</v>
      </c>
      <c r="K871" s="14">
        <v>2220.3</v>
      </c>
      <c r="L871" s="15">
        <v>6898871</v>
      </c>
      <c r="M871" t="s" s="13">
        <v>872</v>
      </c>
      <c r="N871" s="15">
        <v>200328</v>
      </c>
      <c r="O871" s="17" cm="1">
        <f t="array" ref="O871">(H871-H870)/H870</f>
        <v>0.0069002841293465</v>
      </c>
    </row>
    <row r="872" ht="13.65" customHeight="1">
      <c r="A872" s="18">
        <v>45524</v>
      </c>
      <c r="B872" t="s" s="13">
        <v>22</v>
      </c>
      <c r="C872" s="14">
        <v>2994.45</v>
      </c>
      <c r="D872" s="14">
        <v>3007.85</v>
      </c>
      <c r="E872" s="14">
        <v>2980.05</v>
      </c>
      <c r="F872" s="14">
        <v>2976.8</v>
      </c>
      <c r="G872" s="14">
        <v>2986.5</v>
      </c>
      <c r="H872" s="14">
        <v>2991.9</v>
      </c>
      <c r="I872" s="14">
        <v>2996.98</v>
      </c>
      <c r="J872" s="14">
        <v>3217.6</v>
      </c>
      <c r="K872" s="14">
        <v>2220.3</v>
      </c>
      <c r="L872" s="15">
        <v>4205904</v>
      </c>
      <c r="M872" t="s" s="13">
        <v>873</v>
      </c>
      <c r="N872" s="15">
        <v>175516</v>
      </c>
      <c r="O872" s="17" cm="1">
        <f t="array" ref="O872">(H872-H871)/H871</f>
        <v>0.00507256113947863</v>
      </c>
    </row>
    <row r="873" ht="13.65" customHeight="1">
      <c r="A873" s="18">
        <v>45525</v>
      </c>
      <c r="B873" t="s" s="13">
        <v>22</v>
      </c>
      <c r="C873" s="14">
        <v>2986.5</v>
      </c>
      <c r="D873" s="14">
        <v>3015.75</v>
      </c>
      <c r="E873" s="14">
        <v>2980</v>
      </c>
      <c r="F873" s="14">
        <v>2991.9</v>
      </c>
      <c r="G873" s="14">
        <v>2999</v>
      </c>
      <c r="H873" s="14">
        <v>2997.35</v>
      </c>
      <c r="I873" s="14">
        <v>3001.42</v>
      </c>
      <c r="J873" s="14">
        <v>3217.6</v>
      </c>
      <c r="K873" s="14">
        <v>2220.3</v>
      </c>
      <c r="L873" s="15">
        <v>3884998</v>
      </c>
      <c r="M873" t="s" s="13">
        <v>874</v>
      </c>
      <c r="N873" s="15">
        <v>141353</v>
      </c>
      <c r="O873" s="17" cm="1">
        <f t="array" ref="O873">(H873-H872)/H872</f>
        <v>0.00182158494602092</v>
      </c>
    </row>
    <row r="874" ht="13.65" customHeight="1">
      <c r="A874" s="18">
        <v>45526</v>
      </c>
      <c r="B874" t="s" s="13">
        <v>22</v>
      </c>
      <c r="C874" s="14">
        <v>3006</v>
      </c>
      <c r="D874" s="14">
        <v>3013</v>
      </c>
      <c r="E874" s="14">
        <v>2981.3</v>
      </c>
      <c r="F874" s="14">
        <v>2997.35</v>
      </c>
      <c r="G874" s="14">
        <v>2996.5</v>
      </c>
      <c r="H874" s="14">
        <v>2996.25</v>
      </c>
      <c r="I874" s="14">
        <v>2994.88</v>
      </c>
      <c r="J874" s="14">
        <v>3217.6</v>
      </c>
      <c r="K874" s="14">
        <v>2220.3</v>
      </c>
      <c r="L874" s="15">
        <v>5222891</v>
      </c>
      <c r="M874" t="s" s="13">
        <v>875</v>
      </c>
      <c r="N874" s="15">
        <v>233216</v>
      </c>
      <c r="O874" s="17" cm="1">
        <f t="array" ref="O874">(H874-H873)/H873</f>
        <v>-0.000366990841910354</v>
      </c>
    </row>
    <row r="875" ht="13.65" customHeight="1">
      <c r="A875" s="18">
        <v>45527</v>
      </c>
      <c r="B875" t="s" s="13">
        <v>22</v>
      </c>
      <c r="C875" s="14">
        <v>3007.5</v>
      </c>
      <c r="D875" s="14">
        <v>3022.65</v>
      </c>
      <c r="E875" s="14">
        <v>2996.85</v>
      </c>
      <c r="F875" s="14">
        <v>2996.25</v>
      </c>
      <c r="G875" s="14">
        <v>2996.85</v>
      </c>
      <c r="H875" s="14">
        <v>2999.95</v>
      </c>
      <c r="I875" s="14">
        <v>3007.21</v>
      </c>
      <c r="J875" s="14">
        <v>3217.6</v>
      </c>
      <c r="K875" s="14">
        <v>2220.3</v>
      </c>
      <c r="L875" s="15">
        <v>4624827</v>
      </c>
      <c r="M875" t="s" s="13">
        <v>876</v>
      </c>
      <c r="N875" s="15">
        <v>168002</v>
      </c>
      <c r="O875" s="17" cm="1">
        <f t="array" ref="O875">(H875-H874)/H874</f>
        <v>0.0012348769294952</v>
      </c>
    </row>
    <row r="876" ht="13.65" customHeight="1">
      <c r="A876" s="18">
        <v>45530</v>
      </c>
      <c r="B876" t="s" s="13">
        <v>22</v>
      </c>
      <c r="C876" s="14">
        <v>3013.95</v>
      </c>
      <c r="D876" s="14">
        <v>3046</v>
      </c>
      <c r="E876" s="14">
        <v>3006</v>
      </c>
      <c r="F876" s="14">
        <v>2999.95</v>
      </c>
      <c r="G876" s="14">
        <v>3021.2</v>
      </c>
      <c r="H876" s="14">
        <v>3025.2</v>
      </c>
      <c r="I876" s="14">
        <v>3028.8</v>
      </c>
      <c r="J876" s="14">
        <v>3217.6</v>
      </c>
      <c r="K876" s="14">
        <v>2220.3</v>
      </c>
      <c r="L876" s="15">
        <v>4408057</v>
      </c>
      <c r="M876" t="s" s="13">
        <v>877</v>
      </c>
      <c r="N876" s="15">
        <v>237540</v>
      </c>
      <c r="O876" s="17" cm="1">
        <f t="array" ref="O876">(H876-H875)/H875</f>
        <v>0.00841680694678245</v>
      </c>
    </row>
    <row r="877" ht="13.65" customHeight="1">
      <c r="A877" s="18">
        <v>45531</v>
      </c>
      <c r="B877" t="s" s="13">
        <v>22</v>
      </c>
      <c r="C877" s="14">
        <v>3021</v>
      </c>
      <c r="D877" s="14">
        <v>3026.95</v>
      </c>
      <c r="E877" s="14">
        <v>2998.9</v>
      </c>
      <c r="F877" s="14">
        <v>3025.2</v>
      </c>
      <c r="G877" s="14">
        <v>3001</v>
      </c>
      <c r="H877" s="14">
        <v>3000.9</v>
      </c>
      <c r="I877" s="14">
        <v>3008.12</v>
      </c>
      <c r="J877" s="14">
        <v>3217.6</v>
      </c>
      <c r="K877" s="14">
        <v>2220.3</v>
      </c>
      <c r="L877" s="15">
        <v>3125578</v>
      </c>
      <c r="M877" t="s" s="13">
        <v>878</v>
      </c>
      <c r="N877" s="15">
        <v>101024</v>
      </c>
      <c r="O877" s="17" cm="1">
        <f t="array" ref="O877">(H877-H876)/H876</f>
        <v>-0.00803252677508925</v>
      </c>
    </row>
    <row r="878" ht="13.65" customHeight="1">
      <c r="A878" s="18">
        <v>45532</v>
      </c>
      <c r="B878" t="s" s="13">
        <v>22</v>
      </c>
      <c r="C878" s="14">
        <v>3010</v>
      </c>
      <c r="D878" s="14">
        <v>3014.95</v>
      </c>
      <c r="E878" s="14">
        <v>2986</v>
      </c>
      <c r="F878" s="14">
        <v>3000.9</v>
      </c>
      <c r="G878" s="14">
        <v>2999</v>
      </c>
      <c r="H878" s="14">
        <v>2996.6</v>
      </c>
      <c r="I878" s="14">
        <v>2999.57</v>
      </c>
      <c r="J878" s="14">
        <v>3217.6</v>
      </c>
      <c r="K878" s="14">
        <v>2220.3</v>
      </c>
      <c r="L878" s="15">
        <v>4805143</v>
      </c>
      <c r="M878" t="s" s="13">
        <v>879</v>
      </c>
      <c r="N878" s="15">
        <v>200883</v>
      </c>
      <c r="O878" s="17" cm="1">
        <f t="array" ref="O878">(H878-H877)/H877</f>
        <v>-0.00143290346229464</v>
      </c>
    </row>
    <row r="879" ht="13.65" customHeight="1">
      <c r="A879" s="18">
        <v>45533</v>
      </c>
      <c r="B879" t="s" s="13">
        <v>22</v>
      </c>
      <c r="C879" s="14">
        <v>3006.2</v>
      </c>
      <c r="D879" s="14">
        <v>3074</v>
      </c>
      <c r="E879" s="14">
        <v>2988</v>
      </c>
      <c r="F879" s="14">
        <v>2996.6</v>
      </c>
      <c r="G879" s="14">
        <v>3042.9</v>
      </c>
      <c r="H879" s="14">
        <v>3041.85</v>
      </c>
      <c r="I879" s="14">
        <v>3038.57</v>
      </c>
      <c r="J879" s="14">
        <v>3217.6</v>
      </c>
      <c r="K879" s="14">
        <v>2220.3</v>
      </c>
      <c r="L879" s="15">
        <v>19167679</v>
      </c>
      <c r="M879" t="s" s="13">
        <v>880</v>
      </c>
      <c r="N879" s="15">
        <v>570843</v>
      </c>
      <c r="O879" s="17" cm="1">
        <f t="array" ref="O879">(H879-H878)/H878</f>
        <v>0.0151004471734633</v>
      </c>
    </row>
    <row r="880" ht="13.65" customHeight="1">
      <c r="A880" s="18">
        <v>45534</v>
      </c>
      <c r="B880" t="s" s="13">
        <v>22</v>
      </c>
      <c r="C880" s="14">
        <v>3068</v>
      </c>
      <c r="D880" s="14">
        <v>3079.45</v>
      </c>
      <c r="E880" s="14">
        <v>3006.65</v>
      </c>
      <c r="F880" s="14">
        <v>3041.85</v>
      </c>
      <c r="G880" s="14">
        <v>3024.95</v>
      </c>
      <c r="H880" s="14">
        <v>3019.25</v>
      </c>
      <c r="I880" s="14">
        <v>3026.71</v>
      </c>
      <c r="J880" s="14">
        <v>3217.6</v>
      </c>
      <c r="K880" s="14">
        <v>2220.3</v>
      </c>
      <c r="L880" s="15">
        <v>20810365</v>
      </c>
      <c r="M880" t="s" s="13">
        <v>881</v>
      </c>
      <c r="N880" s="15">
        <v>599570</v>
      </c>
      <c r="O880" s="17" cm="1">
        <f t="array" ref="O880">(H880-H879)/H879</f>
        <v>-0.00742968916941993</v>
      </c>
    </row>
    <row r="881" ht="13.65" customHeight="1">
      <c r="A881" s="12">
        <v>45537</v>
      </c>
      <c r="B881" t="s" s="13">
        <v>22</v>
      </c>
      <c r="C881" s="14">
        <v>3021.75</v>
      </c>
      <c r="D881" s="14">
        <v>3053.6</v>
      </c>
      <c r="E881" s="14">
        <v>3013.25</v>
      </c>
      <c r="F881" s="14">
        <v>3019.25</v>
      </c>
      <c r="G881" s="14">
        <v>3034.4</v>
      </c>
      <c r="H881" s="14">
        <v>3032.5</v>
      </c>
      <c r="I881" s="14">
        <v>3034.1</v>
      </c>
      <c r="J881" s="14">
        <v>3217.6</v>
      </c>
      <c r="K881" s="14">
        <v>2220.3</v>
      </c>
      <c r="L881" s="15">
        <v>5620426</v>
      </c>
      <c r="M881" t="s" s="13">
        <v>882</v>
      </c>
      <c r="N881" s="15">
        <v>280541</v>
      </c>
      <c r="O881" s="17" cm="1">
        <f t="array" ref="O881">(H881-H880)/H880</f>
        <v>0.00438850707957274</v>
      </c>
    </row>
    <row r="882" ht="13.65" customHeight="1">
      <c r="A882" s="12">
        <v>45538</v>
      </c>
      <c r="B882" t="s" s="13">
        <v>22</v>
      </c>
      <c r="C882" s="14">
        <v>3042.5</v>
      </c>
      <c r="D882" s="14">
        <v>3046</v>
      </c>
      <c r="E882" s="14">
        <v>3015</v>
      </c>
      <c r="F882" s="14">
        <v>3032.5</v>
      </c>
      <c r="G882" s="14">
        <v>3018.9</v>
      </c>
      <c r="H882" s="14">
        <v>3018.25</v>
      </c>
      <c r="I882" s="14">
        <v>3026.09</v>
      </c>
      <c r="J882" s="14">
        <v>3217.6</v>
      </c>
      <c r="K882" s="14">
        <v>2220.3</v>
      </c>
      <c r="L882" s="15">
        <v>5461900</v>
      </c>
      <c r="M882" t="s" s="13">
        <v>883</v>
      </c>
      <c r="N882" s="15">
        <v>226578</v>
      </c>
      <c r="O882" s="17" cm="1">
        <f t="array" ref="O882">(H882-H881)/H881</f>
        <v>-0.00469909315746084</v>
      </c>
    </row>
    <row r="883" ht="13.65" customHeight="1">
      <c r="A883" s="12">
        <v>45539</v>
      </c>
      <c r="B883" t="s" s="13">
        <v>22</v>
      </c>
      <c r="C883" s="14">
        <v>3001.4</v>
      </c>
      <c r="D883" s="14">
        <v>3035</v>
      </c>
      <c r="E883" s="14">
        <v>2999</v>
      </c>
      <c r="F883" s="14">
        <v>3018.25</v>
      </c>
      <c r="G883" s="14">
        <v>3031.95</v>
      </c>
      <c r="H883" s="14">
        <v>3029.1</v>
      </c>
      <c r="I883" s="14">
        <v>3023.3</v>
      </c>
      <c r="J883" s="14">
        <v>3217.6</v>
      </c>
      <c r="K883" s="14">
        <v>2220.3</v>
      </c>
      <c r="L883" s="15">
        <v>5991652</v>
      </c>
      <c r="M883" t="s" s="13">
        <v>884</v>
      </c>
      <c r="N883" s="15">
        <v>252191</v>
      </c>
      <c r="O883" s="17" cm="1">
        <f t="array" ref="O883">(H883-H882)/H882</f>
        <v>0.00359479831027914</v>
      </c>
    </row>
    <row r="884" ht="13.65" customHeight="1">
      <c r="A884" s="12">
        <v>45540</v>
      </c>
      <c r="B884" t="s" s="13">
        <v>22</v>
      </c>
      <c r="C884" s="14">
        <v>3038.1</v>
      </c>
      <c r="D884" s="14">
        <v>3051.55</v>
      </c>
      <c r="E884" s="14">
        <v>2974.1</v>
      </c>
      <c r="F884" s="14">
        <v>3029.1</v>
      </c>
      <c r="G884" s="14">
        <v>2991</v>
      </c>
      <c r="H884" s="14">
        <v>2985.95</v>
      </c>
      <c r="I884" s="14">
        <v>3007.1</v>
      </c>
      <c r="J884" s="14">
        <v>3217.6</v>
      </c>
      <c r="K884" s="14">
        <v>2220.3</v>
      </c>
      <c r="L884" s="15">
        <v>8132084</v>
      </c>
      <c r="M884" t="s" s="13">
        <v>885</v>
      </c>
      <c r="N884" s="15">
        <v>343225</v>
      </c>
      <c r="O884" s="17" cm="1">
        <f t="array" ref="O884">(H884-H883)/H883</f>
        <v>-0.0142451553266647</v>
      </c>
    </row>
    <row r="885" ht="13.65" customHeight="1">
      <c r="A885" s="12">
        <v>45541</v>
      </c>
      <c r="B885" t="s" s="13">
        <v>22</v>
      </c>
      <c r="C885" s="14">
        <v>2985</v>
      </c>
      <c r="D885" s="14">
        <v>2994</v>
      </c>
      <c r="E885" s="14">
        <v>2923.25</v>
      </c>
      <c r="F885" s="14">
        <v>2985.95</v>
      </c>
      <c r="G885" s="14">
        <v>2930.95</v>
      </c>
      <c r="H885" s="14">
        <v>2929.65</v>
      </c>
      <c r="I885" s="14">
        <v>2938.97</v>
      </c>
      <c r="J885" s="14">
        <v>3217.6</v>
      </c>
      <c r="K885" s="14">
        <v>2220.3</v>
      </c>
      <c r="L885" s="15">
        <v>9697114</v>
      </c>
      <c r="M885" t="s" s="13">
        <v>886</v>
      </c>
      <c r="N885" s="15">
        <v>447718</v>
      </c>
      <c r="O885" s="17" cm="1">
        <f t="array" ref="O885">(H885-H884)/H884</f>
        <v>-0.0188549707798188</v>
      </c>
    </row>
    <row r="886" ht="13.65" customHeight="1">
      <c r="A886" s="12">
        <v>45544</v>
      </c>
      <c r="B886" t="s" s="13">
        <v>22</v>
      </c>
      <c r="C886" s="14">
        <v>2933</v>
      </c>
      <c r="D886" s="14">
        <v>2939.85</v>
      </c>
      <c r="E886" s="14">
        <v>2911.2</v>
      </c>
      <c r="F886" s="14">
        <v>2929.65</v>
      </c>
      <c r="G886" s="14">
        <v>2927</v>
      </c>
      <c r="H886" s="14">
        <v>2924.9</v>
      </c>
      <c r="I886" s="14">
        <v>2923.84</v>
      </c>
      <c r="J886" s="14">
        <v>3217.6</v>
      </c>
      <c r="K886" s="14">
        <v>2220.3</v>
      </c>
      <c r="L886" s="15">
        <v>4505149</v>
      </c>
      <c r="M886" t="s" s="13">
        <v>887</v>
      </c>
      <c r="N886" s="15">
        <v>179506</v>
      </c>
      <c r="O886" s="17" cm="1">
        <f t="array" ref="O886">(H886-H885)/H885</f>
        <v>-0.00162135408666564</v>
      </c>
    </row>
    <row r="887" ht="13.65" customHeight="1">
      <c r="A887" s="18">
        <v>45545</v>
      </c>
      <c r="B887" t="s" s="13">
        <v>22</v>
      </c>
      <c r="C887" s="14">
        <v>2921</v>
      </c>
      <c r="D887" s="14">
        <v>2944.1</v>
      </c>
      <c r="E887" s="14">
        <v>2915.15</v>
      </c>
      <c r="F887" s="14">
        <v>2924.9</v>
      </c>
      <c r="G887" s="14">
        <v>2924</v>
      </c>
      <c r="H887" s="14">
        <v>2923.05</v>
      </c>
      <c r="I887" s="14">
        <v>2928.75</v>
      </c>
      <c r="J887" s="14">
        <v>3217.6</v>
      </c>
      <c r="K887" s="14">
        <v>2220.3</v>
      </c>
      <c r="L887" s="15">
        <v>5384130</v>
      </c>
      <c r="M887" t="s" s="13">
        <v>888</v>
      </c>
      <c r="N887" s="15">
        <v>186858</v>
      </c>
      <c r="O887" s="17" cm="1">
        <f t="array" ref="O887">(H887-H886)/H886</f>
        <v>-0.000632500256419023</v>
      </c>
    </row>
    <row r="888" ht="13.65" customHeight="1">
      <c r="A888" s="18">
        <v>45546</v>
      </c>
      <c r="B888" t="s" s="13">
        <v>22</v>
      </c>
      <c r="C888" s="14">
        <v>2926.1</v>
      </c>
      <c r="D888" s="14">
        <v>2937.5</v>
      </c>
      <c r="E888" s="14">
        <v>2895.1</v>
      </c>
      <c r="F888" s="14">
        <v>2923.05</v>
      </c>
      <c r="G888" s="14">
        <v>2904.45</v>
      </c>
      <c r="H888" s="14">
        <v>2903</v>
      </c>
      <c r="I888" s="14">
        <v>2917.1</v>
      </c>
      <c r="J888" s="14">
        <v>3217.6</v>
      </c>
      <c r="K888" s="14">
        <v>2220.3</v>
      </c>
      <c r="L888" s="15">
        <v>4880101</v>
      </c>
      <c r="M888" t="s" s="13">
        <v>889</v>
      </c>
      <c r="N888" s="15">
        <v>254431</v>
      </c>
      <c r="O888" s="17" cm="1">
        <f t="array" ref="O888">(H888-H887)/H887</f>
        <v>-0.00685927370383675</v>
      </c>
    </row>
    <row r="889" ht="13.65" customHeight="1">
      <c r="A889" s="18">
        <v>45547</v>
      </c>
      <c r="B889" t="s" s="13">
        <v>22</v>
      </c>
      <c r="C889" s="14">
        <v>2914</v>
      </c>
      <c r="D889" s="14">
        <v>2972</v>
      </c>
      <c r="E889" s="14">
        <v>2891.75</v>
      </c>
      <c r="F889" s="14">
        <v>2903</v>
      </c>
      <c r="G889" s="14">
        <v>2953</v>
      </c>
      <c r="H889" s="14">
        <v>2959.6</v>
      </c>
      <c r="I889" s="14">
        <v>2930.24</v>
      </c>
      <c r="J889" s="14">
        <v>3217.6</v>
      </c>
      <c r="K889" s="14">
        <v>2220.3</v>
      </c>
      <c r="L889" s="15">
        <v>11174688</v>
      </c>
      <c r="M889" t="s" s="13">
        <v>890</v>
      </c>
      <c r="N889" s="15">
        <v>365694</v>
      </c>
      <c r="O889" s="17" cm="1">
        <f t="array" ref="O889">(H889-H888)/H888</f>
        <v>0.0194970719944885</v>
      </c>
    </row>
    <row r="890" ht="13.65" customHeight="1">
      <c r="A890" s="18">
        <v>45548</v>
      </c>
      <c r="B890" t="s" s="13">
        <v>22</v>
      </c>
      <c r="C890" s="14">
        <v>2952.8</v>
      </c>
      <c r="D890" s="14">
        <v>2966.3</v>
      </c>
      <c r="E890" s="14">
        <v>2939</v>
      </c>
      <c r="F890" s="14">
        <v>2959.6</v>
      </c>
      <c r="G890" s="14">
        <v>2946.5</v>
      </c>
      <c r="H890" s="14">
        <v>2945.25</v>
      </c>
      <c r="I890" s="14">
        <v>2951.65</v>
      </c>
      <c r="J890" s="14">
        <v>3217.6</v>
      </c>
      <c r="K890" s="14">
        <v>2220.3</v>
      </c>
      <c r="L890" s="15">
        <v>4355664</v>
      </c>
      <c r="M890" t="s" s="13">
        <v>891</v>
      </c>
      <c r="N890" s="15">
        <v>133244</v>
      </c>
      <c r="O890" s="17" cm="1">
        <f t="array" ref="O890">(H890-H889)/H889</f>
        <v>-0.00484862819299905</v>
      </c>
    </row>
    <row r="891" ht="13.65" customHeight="1">
      <c r="A891" s="18">
        <v>45551</v>
      </c>
      <c r="B891" t="s" s="13">
        <v>22</v>
      </c>
      <c r="C891" s="14">
        <v>2955.1</v>
      </c>
      <c r="D891" s="14">
        <v>2961.8</v>
      </c>
      <c r="E891" s="14">
        <v>2929.5</v>
      </c>
      <c r="F891" s="14">
        <v>2945.25</v>
      </c>
      <c r="G891" s="14">
        <v>2944.35</v>
      </c>
      <c r="H891" s="14">
        <v>2942.7</v>
      </c>
      <c r="I891" s="14">
        <v>2944.45</v>
      </c>
      <c r="J891" s="14">
        <v>3217.6</v>
      </c>
      <c r="K891" s="14">
        <v>2220.3</v>
      </c>
      <c r="L891" s="15">
        <v>2740887</v>
      </c>
      <c r="M891" t="s" s="13">
        <v>892</v>
      </c>
      <c r="N891" s="15">
        <v>127429</v>
      </c>
      <c r="O891" s="17" cm="1">
        <f t="array" ref="O891">(H891-H890)/H890</f>
        <v>-0.000865800865800866</v>
      </c>
    </row>
    <row r="892" ht="13.65" customHeight="1">
      <c r="A892" s="18">
        <v>45552</v>
      </c>
      <c r="B892" t="s" s="13">
        <v>22</v>
      </c>
      <c r="C892" s="14">
        <v>2948</v>
      </c>
      <c r="D892" s="14">
        <v>2954.95</v>
      </c>
      <c r="E892" s="14">
        <v>2933.25</v>
      </c>
      <c r="F892" s="14">
        <v>2942.7</v>
      </c>
      <c r="G892" s="14">
        <v>2945</v>
      </c>
      <c r="H892" s="14">
        <v>2944.6</v>
      </c>
      <c r="I892" s="14">
        <v>2943.09</v>
      </c>
      <c r="J892" s="14">
        <v>3217.6</v>
      </c>
      <c r="K892" s="14">
        <v>2220.3</v>
      </c>
      <c r="L892" s="15">
        <v>2967664</v>
      </c>
      <c r="M892" t="s" s="13">
        <v>893</v>
      </c>
      <c r="N892" s="15">
        <v>148458</v>
      </c>
      <c r="O892" s="17" cm="1">
        <f t="array" ref="O892">(H892-H891)/H891</f>
        <v>0.000645665545247562</v>
      </c>
    </row>
    <row r="893" ht="13.65" customHeight="1">
      <c r="A893" s="18">
        <v>45553</v>
      </c>
      <c r="B893" t="s" s="13">
        <v>22</v>
      </c>
      <c r="C893" s="14">
        <v>2940</v>
      </c>
      <c r="D893" s="14">
        <v>2964</v>
      </c>
      <c r="E893" s="14">
        <v>2921.1</v>
      </c>
      <c r="F893" s="14">
        <v>2944.6</v>
      </c>
      <c r="G893" s="14">
        <v>2923</v>
      </c>
      <c r="H893" s="14">
        <v>2926.9</v>
      </c>
      <c r="I893" s="14">
        <v>2939.96</v>
      </c>
      <c r="J893" s="14">
        <v>3217.6</v>
      </c>
      <c r="K893" s="14">
        <v>2220.3</v>
      </c>
      <c r="L893" s="15">
        <v>4287357</v>
      </c>
      <c r="M893" t="s" s="13">
        <v>894</v>
      </c>
      <c r="N893" s="15">
        <v>179852</v>
      </c>
      <c r="O893" s="17" cm="1">
        <f t="array" ref="O893">(H893-H892)/H892</f>
        <v>-0.00601100319228418</v>
      </c>
    </row>
    <row r="894" ht="13.65" customHeight="1">
      <c r="A894" s="18">
        <v>45554</v>
      </c>
      <c r="B894" t="s" s="13">
        <v>22</v>
      </c>
      <c r="C894" s="14">
        <v>2932.5</v>
      </c>
      <c r="D894" s="14">
        <v>2953</v>
      </c>
      <c r="E894" s="14">
        <v>2911.1</v>
      </c>
      <c r="F894" s="14">
        <v>2926.9</v>
      </c>
      <c r="G894" s="14">
        <v>2940</v>
      </c>
      <c r="H894" s="14">
        <v>2939.35</v>
      </c>
      <c r="I894" s="14">
        <v>2934.14</v>
      </c>
      <c r="J894" s="14">
        <v>3217.6</v>
      </c>
      <c r="K894" s="14">
        <v>2220.3</v>
      </c>
      <c r="L894" s="15">
        <v>8477951</v>
      </c>
      <c r="M894" t="s" s="13">
        <v>895</v>
      </c>
      <c r="N894" s="15">
        <v>259931</v>
      </c>
      <c r="O894" s="17" cm="1">
        <f t="array" ref="O894">(H894-H893)/H893</f>
        <v>0.00425364720352591</v>
      </c>
    </row>
    <row r="895" ht="13.65" customHeight="1">
      <c r="A895" s="18">
        <v>45555</v>
      </c>
      <c r="B895" t="s" s="13">
        <v>22</v>
      </c>
      <c r="C895" s="14">
        <v>2948</v>
      </c>
      <c r="D895" s="14">
        <v>2990</v>
      </c>
      <c r="E895" s="14">
        <v>2942.75</v>
      </c>
      <c r="F895" s="14">
        <v>2939.35</v>
      </c>
      <c r="G895" s="14">
        <v>2972.1</v>
      </c>
      <c r="H895" s="14">
        <v>2971.85</v>
      </c>
      <c r="I895" s="14">
        <v>2970.54</v>
      </c>
      <c r="J895" s="14">
        <v>3217.6</v>
      </c>
      <c r="K895" s="14">
        <v>2220.3</v>
      </c>
      <c r="L895" s="15">
        <v>15448660</v>
      </c>
      <c r="M895" t="s" s="13">
        <v>896</v>
      </c>
      <c r="N895" s="15">
        <v>379677</v>
      </c>
      <c r="O895" s="17" cm="1">
        <f t="array" ref="O895">(H895-H894)/H894</f>
        <v>0.011056866313981</v>
      </c>
    </row>
    <row r="896" ht="13.65" customHeight="1">
      <c r="A896" s="18">
        <v>45558</v>
      </c>
      <c r="B896" t="s" s="13">
        <v>22</v>
      </c>
      <c r="C896" s="14">
        <v>2982</v>
      </c>
      <c r="D896" s="14">
        <v>3003</v>
      </c>
      <c r="E896" s="14">
        <v>2977.9</v>
      </c>
      <c r="F896" s="14">
        <v>2971.85</v>
      </c>
      <c r="G896" s="14">
        <v>2985</v>
      </c>
      <c r="H896" s="14">
        <v>2986.75</v>
      </c>
      <c r="I896" s="14">
        <v>2990.93</v>
      </c>
      <c r="J896" s="14">
        <v>3217.6</v>
      </c>
      <c r="K896" s="14">
        <v>2220.3</v>
      </c>
      <c r="L896" s="15">
        <v>4416157</v>
      </c>
      <c r="M896" t="s" s="13">
        <v>897</v>
      </c>
      <c r="N896" s="15">
        <v>146805</v>
      </c>
      <c r="O896" s="17" cm="1">
        <f t="array" ref="O896">(H896-H895)/H895</f>
        <v>0.00501371199757727</v>
      </c>
    </row>
    <row r="897" ht="13.65" customHeight="1">
      <c r="A897" s="18">
        <v>45559</v>
      </c>
      <c r="B897" t="s" s="13">
        <v>22</v>
      </c>
      <c r="C897" s="14">
        <v>2977</v>
      </c>
      <c r="D897" s="14">
        <v>3001</v>
      </c>
      <c r="E897" s="14">
        <v>2975.75</v>
      </c>
      <c r="F897" s="14">
        <v>2986.75</v>
      </c>
      <c r="G897" s="14">
        <v>2980.5</v>
      </c>
      <c r="H897" s="14">
        <v>2978.75</v>
      </c>
      <c r="I897" s="14">
        <v>2986.14</v>
      </c>
      <c r="J897" s="14">
        <v>3217.6</v>
      </c>
      <c r="K897" s="14">
        <v>2220.3</v>
      </c>
      <c r="L897" s="15">
        <v>8568722</v>
      </c>
      <c r="M897" t="s" s="13">
        <v>898</v>
      </c>
      <c r="N897" s="15">
        <v>201586</v>
      </c>
      <c r="O897" s="17" cm="1">
        <f t="array" ref="O897">(H897-H896)/H896</f>
        <v>-0.00267849669373064</v>
      </c>
    </row>
    <row r="898" ht="13.65" customHeight="1">
      <c r="A898" s="18">
        <v>45560</v>
      </c>
      <c r="B898" t="s" s="13">
        <v>22</v>
      </c>
      <c r="C898" s="14">
        <v>2967.8</v>
      </c>
      <c r="D898" s="14">
        <v>2993</v>
      </c>
      <c r="E898" s="14">
        <v>2960.4</v>
      </c>
      <c r="F898" s="14">
        <v>2978.75</v>
      </c>
      <c r="G898" s="14">
        <v>2988.05</v>
      </c>
      <c r="H898" s="14">
        <v>2987.9</v>
      </c>
      <c r="I898" s="14">
        <v>2976.46</v>
      </c>
      <c r="J898" s="14">
        <v>3217.6</v>
      </c>
      <c r="K898" s="14">
        <v>2220.3</v>
      </c>
      <c r="L898" s="15">
        <v>3534501</v>
      </c>
      <c r="M898" t="s" s="13">
        <v>899</v>
      </c>
      <c r="N898" s="15">
        <v>154120</v>
      </c>
      <c r="O898" s="17" cm="1">
        <f t="array" ref="O898">(H898-H897)/H897</f>
        <v>0.00307175828787243</v>
      </c>
    </row>
    <row r="899" ht="13.65" customHeight="1">
      <c r="A899" s="18">
        <v>45561</v>
      </c>
      <c r="B899" t="s" s="13">
        <v>22</v>
      </c>
      <c r="C899" s="14">
        <v>2981.3</v>
      </c>
      <c r="D899" s="14">
        <v>3008</v>
      </c>
      <c r="E899" s="14">
        <v>2976.1</v>
      </c>
      <c r="F899" s="14">
        <v>2987.9</v>
      </c>
      <c r="G899" s="14">
        <v>3008</v>
      </c>
      <c r="H899" s="14">
        <v>2995.9</v>
      </c>
      <c r="I899" s="14">
        <v>2994.82</v>
      </c>
      <c r="J899" s="14">
        <v>3217.6</v>
      </c>
      <c r="K899" s="14">
        <v>2220.3</v>
      </c>
      <c r="L899" s="15">
        <v>9409499</v>
      </c>
      <c r="M899" t="s" s="13">
        <v>900</v>
      </c>
      <c r="N899" s="15">
        <v>259792</v>
      </c>
      <c r="O899" s="17" cm="1">
        <f t="array" ref="O899">(H899-H898)/H898</f>
        <v>0.00267746577864052</v>
      </c>
    </row>
    <row r="900" ht="13.65" customHeight="1">
      <c r="A900" s="18">
        <v>45562</v>
      </c>
      <c r="B900" t="s" s="13">
        <v>22</v>
      </c>
      <c r="C900" s="14">
        <v>2998</v>
      </c>
      <c r="D900" s="14">
        <v>3066.95</v>
      </c>
      <c r="E900" s="14">
        <v>2984</v>
      </c>
      <c r="F900" s="14">
        <v>2995.9</v>
      </c>
      <c r="G900" s="14">
        <v>3047.05</v>
      </c>
      <c r="H900" s="14">
        <v>3052.35</v>
      </c>
      <c r="I900" s="14">
        <v>3024.87</v>
      </c>
      <c r="J900" s="14">
        <v>3217.6</v>
      </c>
      <c r="K900" s="14">
        <v>2220.3</v>
      </c>
      <c r="L900" s="15">
        <v>10298739</v>
      </c>
      <c r="M900" t="s" s="13">
        <v>901</v>
      </c>
      <c r="N900" s="15">
        <v>328612</v>
      </c>
      <c r="O900" s="17" cm="1">
        <f t="array" ref="O900">(H900-H899)/H899</f>
        <v>0.0188424179712273</v>
      </c>
    </row>
    <row r="901" ht="13.65" customHeight="1">
      <c r="A901" s="18">
        <v>45565</v>
      </c>
      <c r="B901" t="s" s="13">
        <v>22</v>
      </c>
      <c r="C901" s="14">
        <v>3038.8</v>
      </c>
      <c r="D901" s="14">
        <v>3049.95</v>
      </c>
      <c r="E901" s="14">
        <v>2948.8</v>
      </c>
      <c r="F901" s="14">
        <v>3052.35</v>
      </c>
      <c r="G901" s="14">
        <v>2958</v>
      </c>
      <c r="H901" s="14">
        <v>2953.15</v>
      </c>
      <c r="I901" s="14">
        <v>2977.44</v>
      </c>
      <c r="J901" s="14">
        <v>3217.6</v>
      </c>
      <c r="K901" s="14">
        <v>2220.3</v>
      </c>
      <c r="L901" s="15">
        <v>13504407</v>
      </c>
      <c r="M901" t="s" s="13">
        <v>902</v>
      </c>
      <c r="N901" s="15">
        <v>431656</v>
      </c>
      <c r="O901" s="17" cm="1">
        <f t="array" ref="O901">(H901-H900)/H900</f>
        <v>-0.0324995495274133</v>
      </c>
    </row>
    <row r="902" ht="13.65" customHeight="1">
      <c r="A902" s="12">
        <v>45566</v>
      </c>
      <c r="B902" t="s" s="13">
        <v>22</v>
      </c>
      <c r="C902" s="14">
        <v>2961.3</v>
      </c>
      <c r="D902" s="14">
        <v>2975.9</v>
      </c>
      <c r="E902" s="14">
        <v>2925.65</v>
      </c>
      <c r="F902" s="14">
        <v>2953.15</v>
      </c>
      <c r="G902" s="14">
        <v>2927</v>
      </c>
      <c r="H902" s="14">
        <v>2929.65</v>
      </c>
      <c r="I902" s="14">
        <v>2938.6</v>
      </c>
      <c r="J902" s="14">
        <v>3217.6</v>
      </c>
      <c r="K902" s="14">
        <v>2220.3</v>
      </c>
      <c r="L902" s="15">
        <v>8215821</v>
      </c>
      <c r="M902" t="s" s="13">
        <v>903</v>
      </c>
      <c r="N902" s="15">
        <v>330546</v>
      </c>
      <c r="O902" s="17" cm="1">
        <f t="array" ref="O902">(H902-H901)/H901</f>
        <v>-0.007957604591707161</v>
      </c>
    </row>
    <row r="903" ht="13.65" customHeight="1">
      <c r="A903" s="12">
        <v>45568</v>
      </c>
      <c r="B903" t="s" s="13">
        <v>22</v>
      </c>
      <c r="C903" s="14">
        <v>2873.15</v>
      </c>
      <c r="D903" s="14">
        <v>2898.8</v>
      </c>
      <c r="E903" s="14">
        <v>2804.15</v>
      </c>
      <c r="F903" s="14">
        <v>2929.65</v>
      </c>
      <c r="G903" s="14">
        <v>2813.95</v>
      </c>
      <c r="H903" s="14">
        <v>2813.95</v>
      </c>
      <c r="I903" s="14">
        <v>2846.93</v>
      </c>
      <c r="J903" s="14">
        <v>3217.6</v>
      </c>
      <c r="K903" s="14">
        <v>2220.3</v>
      </c>
      <c r="L903" s="15">
        <v>18878647</v>
      </c>
      <c r="M903" t="s" s="13">
        <v>904</v>
      </c>
      <c r="N903" s="15">
        <v>689559</v>
      </c>
      <c r="O903" s="17" cm="1">
        <f t="array" ref="O903">(H903-H902)/H902</f>
        <v>-0.0394927721741505</v>
      </c>
    </row>
    <row r="904" ht="13.65" customHeight="1">
      <c r="A904" s="12">
        <v>45569</v>
      </c>
      <c r="B904" t="s" s="13">
        <v>22</v>
      </c>
      <c r="C904" s="14">
        <v>2807.85</v>
      </c>
      <c r="D904" s="14">
        <v>2834.7</v>
      </c>
      <c r="E904" s="14">
        <v>2763.55</v>
      </c>
      <c r="F904" s="14">
        <v>2813.95</v>
      </c>
      <c r="G904" s="14">
        <v>2771.5</v>
      </c>
      <c r="H904" s="14">
        <v>2773.05</v>
      </c>
      <c r="I904" s="14">
        <v>2796.15</v>
      </c>
      <c r="J904" s="14">
        <v>3217.6</v>
      </c>
      <c r="K904" s="14">
        <v>2220.3</v>
      </c>
      <c r="L904" s="15">
        <v>18536438</v>
      </c>
      <c r="M904" t="s" s="13">
        <v>905</v>
      </c>
      <c r="N904" s="15">
        <v>534690</v>
      </c>
      <c r="O904" s="17" cm="1">
        <f t="array" ref="O904">(H904-H903)/H903</f>
        <v>-0.0145347287620604</v>
      </c>
    </row>
    <row r="905" ht="13.65" customHeight="1">
      <c r="A905" s="12">
        <v>45572</v>
      </c>
      <c r="B905" t="s" s="13">
        <v>22</v>
      </c>
      <c r="C905" s="14">
        <v>2787</v>
      </c>
      <c r="D905" s="14">
        <v>2793</v>
      </c>
      <c r="E905" s="14">
        <v>2722.75</v>
      </c>
      <c r="F905" s="14">
        <v>2773.05</v>
      </c>
      <c r="G905" s="14">
        <v>2740.7</v>
      </c>
      <c r="H905" s="14">
        <v>2741.45</v>
      </c>
      <c r="I905" s="14">
        <v>2750.92</v>
      </c>
      <c r="J905" s="14">
        <v>3217.6</v>
      </c>
      <c r="K905" s="14">
        <v>2220.3</v>
      </c>
      <c r="L905" s="15">
        <v>11090670</v>
      </c>
      <c r="M905" t="s" s="13">
        <v>906</v>
      </c>
      <c r="N905" s="15">
        <v>423167</v>
      </c>
      <c r="O905" s="17" cm="1">
        <f t="array" ref="O905">(H905-H904)/H904</f>
        <v>-0.0113953949622257</v>
      </c>
    </row>
    <row r="906" ht="13.65" customHeight="1">
      <c r="A906" s="12">
        <v>45573</v>
      </c>
      <c r="B906" t="s" s="13">
        <v>22</v>
      </c>
      <c r="C906" s="14">
        <v>2745.95</v>
      </c>
      <c r="D906" s="14">
        <v>2802</v>
      </c>
      <c r="E906" s="14">
        <v>2730.2</v>
      </c>
      <c r="F906" s="14">
        <v>2741.45</v>
      </c>
      <c r="G906" s="14">
        <v>2798.95</v>
      </c>
      <c r="H906" s="14">
        <v>2794.7</v>
      </c>
      <c r="I906" s="14">
        <v>2768.6</v>
      </c>
      <c r="J906" s="14">
        <v>3217.6</v>
      </c>
      <c r="K906" s="14">
        <v>2220.3</v>
      </c>
      <c r="L906" s="15">
        <v>8510404</v>
      </c>
      <c r="M906" t="s" s="13">
        <v>907</v>
      </c>
      <c r="N906" s="15">
        <v>358981</v>
      </c>
      <c r="O906" s="17" cm="1">
        <f t="array" ref="O906">(H906-H905)/H905</f>
        <v>0.0194240274307392</v>
      </c>
    </row>
    <row r="907" ht="13.65" customHeight="1">
      <c r="A907" s="12">
        <v>45574</v>
      </c>
      <c r="B907" t="s" s="13">
        <v>22</v>
      </c>
      <c r="C907" s="14">
        <v>2795.05</v>
      </c>
      <c r="D907" s="14">
        <v>2801.95</v>
      </c>
      <c r="E907" s="14">
        <v>2745</v>
      </c>
      <c r="F907" s="14">
        <v>2794.7</v>
      </c>
      <c r="G907" s="14">
        <v>2748</v>
      </c>
      <c r="H907" s="14">
        <v>2749.2</v>
      </c>
      <c r="I907" s="14">
        <v>2773.49</v>
      </c>
      <c r="J907" s="14">
        <v>3217.6</v>
      </c>
      <c r="K907" s="14">
        <v>2220.3</v>
      </c>
      <c r="L907" s="15">
        <v>7155305</v>
      </c>
      <c r="M907" t="s" s="13">
        <v>908</v>
      </c>
      <c r="N907" s="15">
        <v>358324</v>
      </c>
      <c r="O907" s="17" cm="1">
        <f t="array" ref="O907">(H907-H906)/H906</f>
        <v>-0.0162808172612445</v>
      </c>
    </row>
    <row r="908" ht="13.65" customHeight="1">
      <c r="A908" s="18">
        <v>45575</v>
      </c>
      <c r="B908" t="s" s="13">
        <v>22</v>
      </c>
      <c r="C908" s="14">
        <v>2760.05</v>
      </c>
      <c r="D908" s="14">
        <v>2772</v>
      </c>
      <c r="E908" s="14">
        <v>2738.85</v>
      </c>
      <c r="F908" s="14">
        <v>2749.2</v>
      </c>
      <c r="G908" s="14">
        <v>2742.5</v>
      </c>
      <c r="H908" s="14">
        <v>2742.1</v>
      </c>
      <c r="I908" s="14">
        <v>2749.69</v>
      </c>
      <c r="J908" s="14">
        <v>3217.6</v>
      </c>
      <c r="K908" s="14">
        <v>2220.3</v>
      </c>
      <c r="L908" s="15">
        <v>11179323</v>
      </c>
      <c r="M908" t="s" s="13">
        <v>909</v>
      </c>
      <c r="N908" s="15">
        <v>364305</v>
      </c>
      <c r="O908" s="17" cm="1">
        <f t="array" ref="O908">(H908-H907)/H907</f>
        <v>-0.00258256947475629</v>
      </c>
    </row>
    <row r="909" ht="13.65" customHeight="1">
      <c r="A909" s="18">
        <v>45576</v>
      </c>
      <c r="B909" t="s" s="13">
        <v>22</v>
      </c>
      <c r="C909" s="14">
        <v>2740</v>
      </c>
      <c r="D909" s="14">
        <v>2766.55</v>
      </c>
      <c r="E909" s="14">
        <v>2737.65</v>
      </c>
      <c r="F909" s="14">
        <v>2742.1</v>
      </c>
      <c r="G909" s="14">
        <v>2749</v>
      </c>
      <c r="H909" s="14">
        <v>2744.2</v>
      </c>
      <c r="I909" s="14">
        <v>2751.19</v>
      </c>
      <c r="J909" s="14">
        <v>3217.6</v>
      </c>
      <c r="K909" s="14">
        <v>2220.3</v>
      </c>
      <c r="L909" s="15">
        <v>3990061</v>
      </c>
      <c r="M909" t="s" s="13">
        <v>910</v>
      </c>
      <c r="N909" s="15">
        <v>197702</v>
      </c>
      <c r="O909" s="17" cm="1">
        <f t="array" ref="O909">(H909-H908)/H908</f>
        <v>0.000765836402757011</v>
      </c>
    </row>
    <row r="910" ht="13.65" customHeight="1">
      <c r="A910" s="18">
        <v>45579</v>
      </c>
      <c r="B910" t="s" s="13">
        <v>22</v>
      </c>
      <c r="C910" s="14">
        <v>2758.9</v>
      </c>
      <c r="D910" s="14">
        <v>2760.15</v>
      </c>
      <c r="E910" s="14">
        <v>2736.5</v>
      </c>
      <c r="F910" s="14">
        <v>2744.2</v>
      </c>
      <c r="G910" s="14">
        <v>2745.5</v>
      </c>
      <c r="H910" s="14">
        <v>2745.05</v>
      </c>
      <c r="I910" s="14">
        <v>2746.12</v>
      </c>
      <c r="J910" s="14">
        <v>3217.6</v>
      </c>
      <c r="K910" s="14">
        <v>2220.3</v>
      </c>
      <c r="L910" s="15">
        <v>6110716</v>
      </c>
      <c r="M910" t="s" s="13">
        <v>911</v>
      </c>
      <c r="N910" s="15">
        <v>233903</v>
      </c>
      <c r="O910" s="17" cm="1">
        <f t="array" ref="O910">(H910-H909)/H909</f>
        <v>0.000309744187741418</v>
      </c>
    </row>
    <row r="911" ht="13.65" customHeight="1">
      <c r="A911" s="18">
        <v>45580</v>
      </c>
      <c r="B911" t="s" s="13">
        <v>22</v>
      </c>
      <c r="C911" s="14">
        <v>2717.05</v>
      </c>
      <c r="D911" s="14">
        <v>2743.4</v>
      </c>
      <c r="E911" s="14">
        <v>2681.4</v>
      </c>
      <c r="F911" s="14">
        <v>2745.05</v>
      </c>
      <c r="G911" s="14">
        <v>2688.6</v>
      </c>
      <c r="H911" s="14">
        <v>2688.05</v>
      </c>
      <c r="I911" s="14">
        <v>2708.71</v>
      </c>
      <c r="J911" s="14">
        <v>3217.6</v>
      </c>
      <c r="K911" s="14">
        <v>2220.3</v>
      </c>
      <c r="L911" s="15">
        <v>16881397</v>
      </c>
      <c r="M911" t="s" s="13">
        <v>912</v>
      </c>
      <c r="N911" s="15">
        <v>602869</v>
      </c>
      <c r="O911" s="17" cm="1">
        <f t="array" ref="O911">(H911-H910)/H910</f>
        <v>-0.0207646490956449</v>
      </c>
    </row>
    <row r="912" ht="13.65" customHeight="1">
      <c r="A912" s="18">
        <v>45581</v>
      </c>
      <c r="B912" t="s" s="13">
        <v>22</v>
      </c>
      <c r="C912" s="14">
        <v>2680</v>
      </c>
      <c r="D912" s="14">
        <v>2728</v>
      </c>
      <c r="E912" s="14">
        <v>2675.25</v>
      </c>
      <c r="F912" s="14">
        <v>2688.05</v>
      </c>
      <c r="G912" s="14">
        <v>2709.4</v>
      </c>
      <c r="H912" s="14">
        <v>2708.15</v>
      </c>
      <c r="I912" s="14">
        <v>2696.84</v>
      </c>
      <c r="J912" s="14">
        <v>3217.6</v>
      </c>
      <c r="K912" s="14">
        <v>2220.3</v>
      </c>
      <c r="L912" s="15">
        <v>10017219</v>
      </c>
      <c r="M912" t="s" s="13">
        <v>913</v>
      </c>
      <c r="N912" s="15">
        <v>356705</v>
      </c>
      <c r="O912" s="17" cm="1">
        <f t="array" ref="O912">(H912-H911)/H911</f>
        <v>0.00747753948029241</v>
      </c>
    </row>
    <row r="913" ht="13.65" customHeight="1">
      <c r="A913" s="18">
        <v>45582</v>
      </c>
      <c r="B913" t="s" s="13">
        <v>22</v>
      </c>
      <c r="C913" s="14">
        <v>2731.4</v>
      </c>
      <c r="D913" s="14">
        <v>2736.9</v>
      </c>
      <c r="E913" s="14">
        <v>2704.1</v>
      </c>
      <c r="F913" s="14">
        <v>2708.15</v>
      </c>
      <c r="G913" s="14">
        <v>2713.3</v>
      </c>
      <c r="H913" s="14">
        <v>2712.85</v>
      </c>
      <c r="I913" s="14">
        <v>2718.84</v>
      </c>
      <c r="J913" s="14">
        <v>3217.6</v>
      </c>
      <c r="K913" s="14">
        <v>2220.3</v>
      </c>
      <c r="L913" s="15">
        <v>7771830</v>
      </c>
      <c r="M913" t="s" s="13">
        <v>914</v>
      </c>
      <c r="N913" s="15">
        <v>383984</v>
      </c>
      <c r="O913" s="17" cm="1">
        <f t="array" ref="O913">(H913-H912)/H912</f>
        <v>0.00173550209552647</v>
      </c>
    </row>
    <row r="914" ht="13.65" customHeight="1">
      <c r="A914" s="18">
        <v>45583</v>
      </c>
      <c r="B914" t="s" s="13">
        <v>22</v>
      </c>
      <c r="C914" s="14">
        <v>2704.35</v>
      </c>
      <c r="D914" s="14">
        <v>2736.85</v>
      </c>
      <c r="E914" s="14">
        <v>2682.65</v>
      </c>
      <c r="F914" s="14">
        <v>2712.85</v>
      </c>
      <c r="G914" s="14">
        <v>2717</v>
      </c>
      <c r="H914" s="14">
        <v>2718.6</v>
      </c>
      <c r="I914" s="14">
        <v>2713.87</v>
      </c>
      <c r="J914" s="14">
        <v>3217.6</v>
      </c>
      <c r="K914" s="14">
        <v>2220.3</v>
      </c>
      <c r="L914" s="15">
        <v>6041226</v>
      </c>
      <c r="M914" t="s" s="13">
        <v>915</v>
      </c>
      <c r="N914" s="15">
        <v>295032</v>
      </c>
      <c r="O914" s="17" cm="1">
        <f t="array" ref="O914">(H914-H913)/H913</f>
        <v>0.00211954217888936</v>
      </c>
    </row>
    <row r="915" ht="13.65" customHeight="1">
      <c r="A915" s="18">
        <v>45586</v>
      </c>
      <c r="B915" t="s" s="13">
        <v>22</v>
      </c>
      <c r="C915" s="14">
        <v>2734.25</v>
      </c>
      <c r="D915" s="14">
        <v>2748</v>
      </c>
      <c r="E915" s="14">
        <v>2715.45</v>
      </c>
      <c r="F915" s="14">
        <v>2718.6</v>
      </c>
      <c r="G915" s="14">
        <v>2736</v>
      </c>
      <c r="H915" s="14">
        <v>2738.4</v>
      </c>
      <c r="I915" s="14">
        <v>2734.41</v>
      </c>
      <c r="J915" s="14">
        <v>3217.6</v>
      </c>
      <c r="K915" s="14">
        <v>2220.3</v>
      </c>
      <c r="L915" s="15">
        <v>7033704</v>
      </c>
      <c r="M915" t="s" s="13">
        <v>916</v>
      </c>
      <c r="N915" s="15">
        <v>228845</v>
      </c>
      <c r="O915" s="17" cm="1">
        <f t="array" ref="O915">(H915-H914)/H914</f>
        <v>0.00728316045023174</v>
      </c>
    </row>
    <row r="916" ht="13.65" customHeight="1">
      <c r="A916" s="18">
        <v>45587</v>
      </c>
      <c r="B916" t="s" s="13">
        <v>22</v>
      </c>
      <c r="C916" s="14">
        <v>2738.4</v>
      </c>
      <c r="D916" s="14">
        <v>2752</v>
      </c>
      <c r="E916" s="14">
        <v>2680.45</v>
      </c>
      <c r="F916" s="14">
        <v>2738.4</v>
      </c>
      <c r="G916" s="14">
        <v>2684.15</v>
      </c>
      <c r="H916" s="14">
        <v>2686.7</v>
      </c>
      <c r="I916" s="14">
        <v>2707.8</v>
      </c>
      <c r="J916" s="14">
        <v>3217.6</v>
      </c>
      <c r="K916" s="14">
        <v>2220.3</v>
      </c>
      <c r="L916" s="15">
        <v>7915980</v>
      </c>
      <c r="M916" t="s" s="13">
        <v>917</v>
      </c>
      <c r="N916" s="15">
        <v>363161</v>
      </c>
      <c r="O916" s="17" cm="1">
        <f t="array" ref="O916">(H916-H915)/H915</f>
        <v>-0.0188796377446684</v>
      </c>
    </row>
    <row r="917" ht="13.65" customHeight="1">
      <c r="A917" s="18">
        <v>45588</v>
      </c>
      <c r="B917" t="s" s="13">
        <v>22</v>
      </c>
      <c r="C917" s="14">
        <v>2675</v>
      </c>
      <c r="D917" s="14">
        <v>2714.95</v>
      </c>
      <c r="E917" s="14">
        <v>2670</v>
      </c>
      <c r="F917" s="14">
        <v>2686.7</v>
      </c>
      <c r="G917" s="14">
        <v>2682.35</v>
      </c>
      <c r="H917" s="14">
        <v>2677.05</v>
      </c>
      <c r="I917" s="14">
        <v>2688.32</v>
      </c>
      <c r="J917" s="14">
        <v>3217.6</v>
      </c>
      <c r="K917" s="14">
        <v>2220.3</v>
      </c>
      <c r="L917" s="15">
        <v>8607371</v>
      </c>
      <c r="M917" t="s" s="13">
        <v>918</v>
      </c>
      <c r="N917" s="15">
        <v>337356</v>
      </c>
      <c r="O917" s="17" cm="1">
        <f t="array" ref="O917">(H917-H916)/H916</f>
        <v>-0.0035917668515279</v>
      </c>
    </row>
    <row r="918" ht="13.65" customHeight="1">
      <c r="A918" s="18">
        <v>45589</v>
      </c>
      <c r="B918" t="s" s="13">
        <v>22</v>
      </c>
      <c r="C918" s="14">
        <v>2670.55</v>
      </c>
      <c r="D918" s="14">
        <v>2687.4</v>
      </c>
      <c r="E918" s="14">
        <v>2646.25</v>
      </c>
      <c r="F918" s="14">
        <v>2677.05</v>
      </c>
      <c r="G918" s="14">
        <v>2678.9</v>
      </c>
      <c r="H918" s="14">
        <v>2679.6</v>
      </c>
      <c r="I918" s="14">
        <v>2668.53</v>
      </c>
      <c r="J918" s="14">
        <v>3217.6</v>
      </c>
      <c r="K918" s="14">
        <v>2220.3</v>
      </c>
      <c r="L918" s="15">
        <v>11077967</v>
      </c>
      <c r="M918" t="s" s="13">
        <v>919</v>
      </c>
      <c r="N918" s="15">
        <v>345601</v>
      </c>
      <c r="O918" s="17" cm="1">
        <f t="array" ref="O918">(H918-H917)/H917</f>
        <v>0.000952541043312602</v>
      </c>
    </row>
    <row r="919" ht="13.65" customHeight="1">
      <c r="A919" s="18">
        <v>45590</v>
      </c>
      <c r="B919" t="s" s="13">
        <v>22</v>
      </c>
      <c r="C919" s="14">
        <v>2687</v>
      </c>
      <c r="D919" s="14">
        <v>2688.7</v>
      </c>
      <c r="E919" s="14">
        <v>2644</v>
      </c>
      <c r="F919" s="14">
        <v>2679.6</v>
      </c>
      <c r="G919" s="14">
        <v>2656.3</v>
      </c>
      <c r="H919" s="14">
        <v>2655.7</v>
      </c>
      <c r="I919" s="14">
        <v>2659.8</v>
      </c>
      <c r="J919" s="14">
        <v>3217.6</v>
      </c>
      <c r="K919" s="14">
        <v>2220.3</v>
      </c>
      <c r="L919" s="15">
        <v>9298748</v>
      </c>
      <c r="M919" t="s" s="13">
        <v>920</v>
      </c>
      <c r="N919" s="15">
        <v>388238</v>
      </c>
      <c r="O919" s="17" cm="1">
        <f t="array" ref="O919">(H919-H918)/H918</f>
        <v>-0.00891924167786237</v>
      </c>
    </row>
    <row r="920" ht="13.65" customHeight="1">
      <c r="A920" s="18">
        <v>45593</v>
      </c>
      <c r="B920" t="s" s="13">
        <v>22</v>
      </c>
      <c r="C920" s="14">
        <v>1337</v>
      </c>
      <c r="D920" s="14">
        <v>1353</v>
      </c>
      <c r="E920" s="14">
        <v>1322.1</v>
      </c>
      <c r="F920" s="14">
        <v>2655.7</v>
      </c>
      <c r="G920" s="14">
        <v>1335</v>
      </c>
      <c r="H920" s="14">
        <v>1334.35</v>
      </c>
      <c r="I920" s="14">
        <v>1337.7</v>
      </c>
      <c r="J920" s="14">
        <v>3217.6</v>
      </c>
      <c r="K920" s="14">
        <v>1322.1</v>
      </c>
      <c r="L920" s="15">
        <v>10824350</v>
      </c>
      <c r="M920" t="s" s="13">
        <v>921</v>
      </c>
      <c r="N920" s="15">
        <v>368817</v>
      </c>
      <c r="O920" s="17" cm="1">
        <f t="array" ref="O920">(H920-H919)/H919</f>
        <v>-0.497552434386414</v>
      </c>
    </row>
    <row r="921" ht="13.65" customHeight="1">
      <c r="A921" s="18">
        <v>45594</v>
      </c>
      <c r="B921" t="s" s="13">
        <v>22</v>
      </c>
      <c r="C921" s="14">
        <v>1328.1</v>
      </c>
      <c r="D921" s="14">
        <v>1343.2</v>
      </c>
      <c r="E921" s="14">
        <v>1320.3</v>
      </c>
      <c r="F921" s="14">
        <v>1334.35</v>
      </c>
      <c r="G921" s="14">
        <v>1340</v>
      </c>
      <c r="H921" s="14">
        <v>1340</v>
      </c>
      <c r="I921" s="14">
        <v>1331.46</v>
      </c>
      <c r="J921" s="14">
        <v>3217.6</v>
      </c>
      <c r="K921" s="14">
        <v>1320.3</v>
      </c>
      <c r="L921" s="15">
        <v>12008361</v>
      </c>
      <c r="M921" t="s" s="13">
        <v>922</v>
      </c>
      <c r="N921" s="15">
        <v>436915</v>
      </c>
      <c r="O921" s="17" cm="1">
        <f t="array" ref="O921">(H921-H920)/H920</f>
        <v>0.00423427136808184</v>
      </c>
    </row>
    <row r="922" ht="13.65" customHeight="1">
      <c r="A922" s="18">
        <v>45595</v>
      </c>
      <c r="B922" t="s" s="13">
        <v>22</v>
      </c>
      <c r="C922" s="14">
        <v>1335</v>
      </c>
      <c r="D922" s="14">
        <v>1350</v>
      </c>
      <c r="E922" s="14">
        <v>1325.35</v>
      </c>
      <c r="F922" s="14">
        <v>1340</v>
      </c>
      <c r="G922" s="14">
        <v>1344.85</v>
      </c>
      <c r="H922" s="14">
        <v>1343.9</v>
      </c>
      <c r="I922" s="14">
        <v>1341.16</v>
      </c>
      <c r="J922" s="14">
        <v>3217.6</v>
      </c>
      <c r="K922" s="14">
        <v>1320.3</v>
      </c>
      <c r="L922" s="15">
        <v>11984423</v>
      </c>
      <c r="M922" t="s" s="13">
        <v>923</v>
      </c>
      <c r="N922" s="15">
        <v>295954</v>
      </c>
      <c r="O922" s="17" cm="1">
        <f t="array" ref="O922">(H922-H921)/H921</f>
        <v>0.00291044776119403</v>
      </c>
    </row>
    <row r="923" ht="13.65" customHeight="1">
      <c r="A923" s="18">
        <v>45596</v>
      </c>
      <c r="B923" t="s" s="13">
        <v>22</v>
      </c>
      <c r="C923" s="14">
        <v>1340</v>
      </c>
      <c r="D923" s="14">
        <v>1343</v>
      </c>
      <c r="E923" s="14">
        <v>1326.15</v>
      </c>
      <c r="F923" s="14">
        <v>1343.9</v>
      </c>
      <c r="G923" s="14">
        <v>1332</v>
      </c>
      <c r="H923" s="14">
        <v>1332.05</v>
      </c>
      <c r="I923" s="14">
        <v>1334.14</v>
      </c>
      <c r="J923" s="14">
        <v>3217.6</v>
      </c>
      <c r="K923" s="14">
        <v>1320.3</v>
      </c>
      <c r="L923" s="15">
        <v>9331650</v>
      </c>
      <c r="M923" t="s" s="13">
        <v>924</v>
      </c>
      <c r="N923" s="15">
        <v>414741</v>
      </c>
      <c r="O923" s="17" cm="1">
        <f t="array" ref="O923">(H923-H922)/H922</f>
        <v>-0.00881762035865764</v>
      </c>
    </row>
    <row r="924" ht="13.65" customHeight="1">
      <c r="A924" s="12">
        <v>45597</v>
      </c>
      <c r="B924" t="s" s="13">
        <v>22</v>
      </c>
      <c r="C924" s="14">
        <v>1333.05</v>
      </c>
      <c r="D924" s="14">
        <v>1341.95</v>
      </c>
      <c r="E924" s="14">
        <v>1333</v>
      </c>
      <c r="F924" s="14">
        <v>1332.05</v>
      </c>
      <c r="G924" s="14">
        <v>1338.4</v>
      </c>
      <c r="H924" s="14">
        <v>1338.65</v>
      </c>
      <c r="I924" s="14">
        <v>1338.89</v>
      </c>
      <c r="J924" s="14">
        <v>3217.6</v>
      </c>
      <c r="K924" s="14">
        <v>1320.3</v>
      </c>
      <c r="L924" s="15">
        <v>2127335</v>
      </c>
      <c r="M924" t="s" s="13">
        <v>925</v>
      </c>
      <c r="N924" s="15">
        <v>127374</v>
      </c>
      <c r="O924" s="17" cm="1">
        <f t="array" ref="O924">(H924-H923)/H923</f>
        <v>0.00495476896512894</v>
      </c>
    </row>
    <row r="925" ht="13.65" customHeight="1">
      <c r="A925" s="12">
        <v>45600</v>
      </c>
      <c r="B925" t="s" s="13">
        <v>22</v>
      </c>
      <c r="C925" s="14">
        <v>1337.85</v>
      </c>
      <c r="D925" s="14">
        <v>1340</v>
      </c>
      <c r="E925" s="14">
        <v>1285.1</v>
      </c>
      <c r="F925" s="14">
        <v>1338.65</v>
      </c>
      <c r="G925" s="14">
        <v>1298.5</v>
      </c>
      <c r="H925" s="14">
        <v>1302.15</v>
      </c>
      <c r="I925" s="14">
        <v>1301.44</v>
      </c>
      <c r="J925" s="14">
        <v>3217.6</v>
      </c>
      <c r="K925" s="14">
        <v>1285.1</v>
      </c>
      <c r="L925" s="15">
        <v>19796890</v>
      </c>
      <c r="M925" t="s" s="13">
        <v>926</v>
      </c>
      <c r="N925" s="15">
        <v>554958</v>
      </c>
      <c r="O925" s="17" cm="1">
        <f t="array" ref="O925">(H925-H924)/H924</f>
        <v>-0.0272662757255444</v>
      </c>
    </row>
    <row r="926" ht="13.65" customHeight="1">
      <c r="A926" s="12">
        <v>45601</v>
      </c>
      <c r="B926" t="s" s="13">
        <v>22</v>
      </c>
      <c r="C926" s="14">
        <v>1293</v>
      </c>
      <c r="D926" s="14">
        <v>1309.55</v>
      </c>
      <c r="E926" s="14">
        <v>1286.15</v>
      </c>
      <c r="F926" s="14">
        <v>1302.15</v>
      </c>
      <c r="G926" s="14">
        <v>1307.5</v>
      </c>
      <c r="H926" s="14">
        <v>1305.3</v>
      </c>
      <c r="I926" s="14">
        <v>1297.87</v>
      </c>
      <c r="J926" s="14">
        <v>3217.6</v>
      </c>
      <c r="K926" s="14">
        <v>1285.1</v>
      </c>
      <c r="L926" s="15">
        <v>16267479</v>
      </c>
      <c r="M926" t="s" s="13">
        <v>927</v>
      </c>
      <c r="N926" s="15">
        <v>371758</v>
      </c>
      <c r="O926" s="17" cm="1">
        <f t="array" ref="O926">(H926-H925)/H925</f>
        <v>0.00241907614330146</v>
      </c>
    </row>
    <row r="927" ht="13.65" customHeight="1">
      <c r="A927" s="12">
        <v>45602</v>
      </c>
      <c r="B927" t="s" s="13">
        <v>22</v>
      </c>
      <c r="C927" s="14">
        <v>1310</v>
      </c>
      <c r="D927" s="14">
        <v>1328.3</v>
      </c>
      <c r="E927" s="14">
        <v>1300.2</v>
      </c>
      <c r="F927" s="14">
        <v>1305.3</v>
      </c>
      <c r="G927" s="14">
        <v>1326</v>
      </c>
      <c r="H927" s="14">
        <v>1325.35</v>
      </c>
      <c r="I927" s="14">
        <v>1315.57</v>
      </c>
      <c r="J927" s="14">
        <v>3217.6</v>
      </c>
      <c r="K927" s="14">
        <v>1285.1</v>
      </c>
      <c r="L927" s="15">
        <v>21625209</v>
      </c>
      <c r="M927" t="s" s="13">
        <v>928</v>
      </c>
      <c r="N927" s="15">
        <v>349627</v>
      </c>
      <c r="O927" s="17" cm="1">
        <f t="array" ref="O927">(H927-H926)/H926</f>
        <v>0.0153604535355857</v>
      </c>
    </row>
    <row r="928" ht="13.65" customHeight="1">
      <c r="A928" s="12">
        <v>45603</v>
      </c>
      <c r="B928" t="s" s="13">
        <v>22</v>
      </c>
      <c r="C928" s="14">
        <v>1324</v>
      </c>
      <c r="D928" s="14">
        <v>1324</v>
      </c>
      <c r="E928" s="14">
        <v>1302.6</v>
      </c>
      <c r="F928" s="14">
        <v>1325.35</v>
      </c>
      <c r="G928" s="14">
        <v>1305</v>
      </c>
      <c r="H928" s="14">
        <v>1305.65</v>
      </c>
      <c r="I928" s="14">
        <v>1308.97</v>
      </c>
      <c r="J928" s="14">
        <v>3217.6</v>
      </c>
      <c r="K928" s="14">
        <v>1285.1</v>
      </c>
      <c r="L928" s="15">
        <v>9611974</v>
      </c>
      <c r="M928" t="s" s="13">
        <v>929</v>
      </c>
      <c r="N928" s="15">
        <v>261277</v>
      </c>
      <c r="O928" s="17" cm="1">
        <f t="array" ref="O928">(H928-H927)/H927</f>
        <v>-0.0148639981891576</v>
      </c>
    </row>
    <row r="929" ht="13.65" customHeight="1">
      <c r="A929" s="12">
        <v>45604</v>
      </c>
      <c r="B929" t="s" s="13">
        <v>22</v>
      </c>
      <c r="C929" s="14">
        <v>1297.65</v>
      </c>
      <c r="D929" s="14">
        <v>1301.65</v>
      </c>
      <c r="E929" s="14">
        <v>1275</v>
      </c>
      <c r="F929" s="14">
        <v>1305.65</v>
      </c>
      <c r="G929" s="14">
        <v>1280.2</v>
      </c>
      <c r="H929" s="14">
        <v>1283.75</v>
      </c>
      <c r="I929" s="14">
        <v>1284.01</v>
      </c>
      <c r="J929" s="14">
        <v>3217.6</v>
      </c>
      <c r="K929" s="14">
        <v>1275</v>
      </c>
      <c r="L929" s="15">
        <v>19814406</v>
      </c>
      <c r="M929" t="s" s="13">
        <v>930</v>
      </c>
      <c r="N929" s="15">
        <v>477001</v>
      </c>
      <c r="O929" s="17" cm="1">
        <f t="array" ref="O929">(H929-H928)/H928</f>
        <v>-0.0167732547007238</v>
      </c>
    </row>
    <row r="930" ht="13.65" customHeight="1">
      <c r="A930" s="18">
        <v>45607</v>
      </c>
      <c r="B930" t="s" s="13">
        <v>22</v>
      </c>
      <c r="C930" s="14">
        <v>1278.95</v>
      </c>
      <c r="D930" s="14">
        <v>1286</v>
      </c>
      <c r="E930" s="14">
        <v>1267</v>
      </c>
      <c r="F930" s="14">
        <v>1283.75</v>
      </c>
      <c r="G930" s="14">
        <v>1273.4</v>
      </c>
      <c r="H930" s="14">
        <v>1272.7</v>
      </c>
      <c r="I930" s="14">
        <v>1275.44</v>
      </c>
      <c r="J930" s="14">
        <v>3217.6</v>
      </c>
      <c r="K930" s="14">
        <v>1267</v>
      </c>
      <c r="L930" s="15">
        <v>9056552</v>
      </c>
      <c r="M930" t="s" s="13">
        <v>931</v>
      </c>
      <c r="N930" s="15">
        <v>286019</v>
      </c>
      <c r="O930" s="17" cm="1">
        <f t="array" ref="O930">(H930-H929)/H929</f>
        <v>-0.008607594936708859</v>
      </c>
    </row>
    <row r="931" ht="13.65" customHeight="1">
      <c r="A931" s="18">
        <v>45608</v>
      </c>
      <c r="B931" t="s" s="13">
        <v>22</v>
      </c>
      <c r="C931" s="14">
        <v>1275.55</v>
      </c>
      <c r="D931" s="14">
        <v>1289.3</v>
      </c>
      <c r="E931" s="14">
        <v>1267.5</v>
      </c>
      <c r="F931" s="14">
        <v>1272.7</v>
      </c>
      <c r="G931" s="14">
        <v>1269.5</v>
      </c>
      <c r="H931" s="14">
        <v>1274.25</v>
      </c>
      <c r="I931" s="14">
        <v>1277.82</v>
      </c>
      <c r="J931" s="14">
        <v>3217.6</v>
      </c>
      <c r="K931" s="14">
        <v>1267</v>
      </c>
      <c r="L931" s="15">
        <v>10671091</v>
      </c>
      <c r="M931" t="s" s="13">
        <v>932</v>
      </c>
      <c r="N931" s="15">
        <v>299780</v>
      </c>
      <c r="O931" s="17" cm="1">
        <f t="array" ref="O931">(H931-H930)/H930</f>
        <v>0.00121788324035515</v>
      </c>
    </row>
    <row r="932" ht="13.65" customHeight="1">
      <c r="A932" s="18">
        <v>45609</v>
      </c>
      <c r="B932" t="s" s="13">
        <v>22</v>
      </c>
      <c r="C932" s="14">
        <v>1270.25</v>
      </c>
      <c r="D932" s="14">
        <v>1275.45</v>
      </c>
      <c r="E932" s="14">
        <v>1249.5</v>
      </c>
      <c r="F932" s="14">
        <v>1274.25</v>
      </c>
      <c r="G932" s="14">
        <v>1252.7</v>
      </c>
      <c r="H932" s="14">
        <v>1252.05</v>
      </c>
      <c r="I932" s="14">
        <v>1258.62</v>
      </c>
      <c r="J932" s="14">
        <v>3217.6</v>
      </c>
      <c r="K932" s="14">
        <v>1249.5</v>
      </c>
      <c r="L932" s="15">
        <v>14633633</v>
      </c>
      <c r="M932" t="s" s="13">
        <v>933</v>
      </c>
      <c r="N932" s="15">
        <v>469215</v>
      </c>
      <c r="O932" s="17" cm="1">
        <f t="array" ref="O932">(H932-H931)/H931</f>
        <v>-0.0174220129487934</v>
      </c>
    </row>
    <row r="933" ht="13.65" customHeight="1">
      <c r="A933" s="18">
        <v>45610</v>
      </c>
      <c r="B933" t="s" s="13">
        <v>22</v>
      </c>
      <c r="C933" s="14">
        <v>1253.6</v>
      </c>
      <c r="D933" s="14">
        <v>1272.6</v>
      </c>
      <c r="E933" s="14">
        <v>1251.1</v>
      </c>
      <c r="F933" s="14">
        <v>1252.05</v>
      </c>
      <c r="G933" s="14">
        <v>1266.9</v>
      </c>
      <c r="H933" s="14">
        <v>1267.6</v>
      </c>
      <c r="I933" s="14">
        <v>1263.73</v>
      </c>
      <c r="J933" s="14">
        <v>3217.6</v>
      </c>
      <c r="K933" s="14">
        <v>1249.5</v>
      </c>
      <c r="L933" s="15">
        <v>12612633</v>
      </c>
      <c r="M933" t="s" s="13">
        <v>934</v>
      </c>
      <c r="N933" s="15">
        <v>301253</v>
      </c>
      <c r="O933" s="17" cm="1">
        <f t="array" ref="O933">(H933-H932)/H932</f>
        <v>0.0124196318038417</v>
      </c>
    </row>
    <row r="934" ht="13.65" customHeight="1">
      <c r="A934" s="18">
        <v>45614</v>
      </c>
      <c r="B934" t="s" s="13">
        <v>22</v>
      </c>
      <c r="C934" s="14">
        <v>1267.6</v>
      </c>
      <c r="D934" s="14">
        <v>1272.9</v>
      </c>
      <c r="E934" s="14">
        <v>1243.9</v>
      </c>
      <c r="F934" s="14">
        <v>1267.6</v>
      </c>
      <c r="G934" s="14">
        <v>1259.15</v>
      </c>
      <c r="H934" s="14">
        <v>1260.75</v>
      </c>
      <c r="I934" s="14">
        <v>1258.64</v>
      </c>
      <c r="J934" s="14">
        <v>3217.6</v>
      </c>
      <c r="K934" s="14">
        <v>1243.9</v>
      </c>
      <c r="L934" s="15">
        <v>13620611</v>
      </c>
      <c r="M934" t="s" s="13">
        <v>935</v>
      </c>
      <c r="N934" s="15">
        <v>301906</v>
      </c>
      <c r="O934" s="17" cm="1">
        <f t="array" ref="O934">(H934-H933)/H933</f>
        <v>-0.00540391290627958</v>
      </c>
    </row>
    <row r="935" ht="13.65" customHeight="1">
      <c r="A935" s="18">
        <v>45615</v>
      </c>
      <c r="B935" t="s" s="13">
        <v>22</v>
      </c>
      <c r="C935" s="14">
        <v>1260.75</v>
      </c>
      <c r="D935" s="14">
        <v>1281.5</v>
      </c>
      <c r="E935" s="14">
        <v>1235.15</v>
      </c>
      <c r="F935" s="14">
        <v>1260.75</v>
      </c>
      <c r="G935" s="14">
        <v>1237.4</v>
      </c>
      <c r="H935" s="14">
        <v>1241.65</v>
      </c>
      <c r="I935" s="14">
        <v>1265.5</v>
      </c>
      <c r="J935" s="14">
        <v>3217.6</v>
      </c>
      <c r="K935" s="14">
        <v>1235.15</v>
      </c>
      <c r="L935" s="15">
        <v>14183746</v>
      </c>
      <c r="M935" t="s" s="13">
        <v>936</v>
      </c>
      <c r="N935" s="15">
        <v>355649</v>
      </c>
      <c r="O935" s="17" cm="1">
        <f t="array" ref="O935">(H935-H934)/H934</f>
        <v>-0.0151497124727345</v>
      </c>
    </row>
    <row r="936" ht="13.65" customHeight="1">
      <c r="A936" s="18">
        <v>45617</v>
      </c>
      <c r="B936" t="s" s="13">
        <v>22</v>
      </c>
      <c r="C936" s="14">
        <v>1241.65</v>
      </c>
      <c r="D936" s="14">
        <v>1243.95</v>
      </c>
      <c r="E936" s="14">
        <v>1217.25</v>
      </c>
      <c r="F936" s="14">
        <v>1241.65</v>
      </c>
      <c r="G936" s="14">
        <v>1220.45</v>
      </c>
      <c r="H936" s="14">
        <v>1223</v>
      </c>
      <c r="I936" s="14">
        <v>1224.92</v>
      </c>
      <c r="J936" s="14">
        <v>3217.6</v>
      </c>
      <c r="K936" s="14">
        <v>1217.25</v>
      </c>
      <c r="L936" s="15">
        <v>19433843</v>
      </c>
      <c r="M936" t="s" s="13">
        <v>937</v>
      </c>
      <c r="N936" s="15">
        <v>553410</v>
      </c>
      <c r="O936" s="17" cm="1">
        <f t="array" ref="O936">(H936-H935)/H935</f>
        <v>-0.0150203358434341</v>
      </c>
    </row>
    <row r="937" ht="13.65" customHeight="1">
      <c r="A937" s="18">
        <v>45618</v>
      </c>
      <c r="B937" t="s" s="13">
        <v>22</v>
      </c>
      <c r="C937" s="14">
        <v>1229.4</v>
      </c>
      <c r="D937" s="14">
        <v>1268.85</v>
      </c>
      <c r="E937" s="14">
        <v>1222.45</v>
      </c>
      <c r="F937" s="14">
        <v>1223</v>
      </c>
      <c r="G937" s="14">
        <v>1264</v>
      </c>
      <c r="H937" s="14">
        <v>1265.4</v>
      </c>
      <c r="I937" s="14">
        <v>1247.09</v>
      </c>
      <c r="J937" s="14">
        <v>3217.6</v>
      </c>
      <c r="K937" s="14">
        <v>1217.25</v>
      </c>
      <c r="L937" s="15">
        <v>20471957</v>
      </c>
      <c r="M937" t="s" s="13">
        <v>938</v>
      </c>
      <c r="N937" s="15">
        <v>323219</v>
      </c>
      <c r="O937" s="17" cm="1">
        <f t="array" ref="O937">(H937-H936)/H936</f>
        <v>0.0346688470973017</v>
      </c>
    </row>
    <row r="938" ht="13.65" customHeight="1">
      <c r="A938" s="18">
        <v>45621</v>
      </c>
      <c r="B938" t="s" s="13">
        <v>22</v>
      </c>
      <c r="C938" s="14">
        <v>1290</v>
      </c>
      <c r="D938" s="14">
        <v>1304.45</v>
      </c>
      <c r="E938" s="14">
        <v>1282.45</v>
      </c>
      <c r="F938" s="14">
        <v>1265.4</v>
      </c>
      <c r="G938" s="14">
        <v>1290.95</v>
      </c>
      <c r="H938" s="14">
        <v>1287</v>
      </c>
      <c r="I938" s="14">
        <v>1291.52</v>
      </c>
      <c r="J938" s="14">
        <v>3217.6</v>
      </c>
      <c r="K938" s="14">
        <v>1217.25</v>
      </c>
      <c r="L938" s="15">
        <v>28923341</v>
      </c>
      <c r="M938" t="s" s="13">
        <v>939</v>
      </c>
      <c r="N938" s="15">
        <v>390544</v>
      </c>
      <c r="O938" s="17" cm="1">
        <f t="array" ref="O938">(H938-H937)/H937</f>
        <v>0.0170697012802276</v>
      </c>
    </row>
    <row r="939" ht="13.65" customHeight="1">
      <c r="A939" s="18">
        <v>45622</v>
      </c>
      <c r="B939" t="s" s="13">
        <v>22</v>
      </c>
      <c r="C939" s="14">
        <v>1294.95</v>
      </c>
      <c r="D939" s="14">
        <v>1297.85</v>
      </c>
      <c r="E939" s="14">
        <v>1284.2</v>
      </c>
      <c r="F939" s="14">
        <v>1287</v>
      </c>
      <c r="G939" s="14">
        <v>1295.6</v>
      </c>
      <c r="H939" s="14">
        <v>1295.7</v>
      </c>
      <c r="I939" s="14">
        <v>1292.03</v>
      </c>
      <c r="J939" s="14">
        <v>3217.6</v>
      </c>
      <c r="K939" s="14">
        <v>1217.25</v>
      </c>
      <c r="L939" s="15">
        <v>9247557</v>
      </c>
      <c r="M939" t="s" s="13">
        <v>940</v>
      </c>
      <c r="N939" s="15">
        <v>218738</v>
      </c>
      <c r="O939" s="17" cm="1">
        <f t="array" ref="O939">(H939-H938)/H938</f>
        <v>0.00675990675990676</v>
      </c>
    </row>
    <row r="940" ht="13.65" customHeight="1">
      <c r="A940" s="18">
        <v>45623</v>
      </c>
      <c r="B940" t="s" s="13">
        <v>22</v>
      </c>
      <c r="C940" s="14">
        <v>1293.5</v>
      </c>
      <c r="D940" s="14">
        <v>1303.85</v>
      </c>
      <c r="E940" s="14">
        <v>1286</v>
      </c>
      <c r="F940" s="14">
        <v>1295.7</v>
      </c>
      <c r="G940" s="14">
        <v>1293.4</v>
      </c>
      <c r="H940" s="14">
        <v>1293.2</v>
      </c>
      <c r="I940" s="14">
        <v>1293.84</v>
      </c>
      <c r="J940" s="14">
        <v>3217.6</v>
      </c>
      <c r="K940" s="14">
        <v>1217.25</v>
      </c>
      <c r="L940" s="15">
        <v>9572746</v>
      </c>
      <c r="M940" t="s" s="13">
        <v>941</v>
      </c>
      <c r="N940" s="15">
        <v>196614</v>
      </c>
      <c r="O940" s="17" cm="1">
        <f t="array" ref="O940">(H940-H939)/H939</f>
        <v>-0.00192945897970209</v>
      </c>
    </row>
    <row r="941" ht="13.65" customHeight="1">
      <c r="A941" s="18">
        <v>45624</v>
      </c>
      <c r="B941" t="s" s="13">
        <v>22</v>
      </c>
      <c r="C941" s="14">
        <v>1289.95</v>
      </c>
      <c r="D941" s="14">
        <v>1296.6</v>
      </c>
      <c r="E941" s="14">
        <v>1269.05</v>
      </c>
      <c r="F941" s="14">
        <v>1293.2</v>
      </c>
      <c r="G941" s="14">
        <v>1272.75</v>
      </c>
      <c r="H941" s="14">
        <v>1270.8</v>
      </c>
      <c r="I941" s="14">
        <v>1280.74</v>
      </c>
      <c r="J941" s="14">
        <v>3217.6</v>
      </c>
      <c r="K941" s="14">
        <v>1217.25</v>
      </c>
      <c r="L941" s="15">
        <v>15027412</v>
      </c>
      <c r="M941" t="s" s="13">
        <v>942</v>
      </c>
      <c r="N941" s="15">
        <v>311959</v>
      </c>
      <c r="O941" s="17" cm="1">
        <f t="array" ref="O941">(H941-H940)/H940</f>
        <v>-0.0173213733374575</v>
      </c>
    </row>
    <row r="942" ht="13.65" customHeight="1">
      <c r="A942" s="18">
        <v>45625</v>
      </c>
      <c r="B942" t="s" s="13">
        <v>22</v>
      </c>
      <c r="C942" s="14">
        <v>1280</v>
      </c>
      <c r="D942" s="14">
        <v>1299.5</v>
      </c>
      <c r="E942" s="14">
        <v>1275.25</v>
      </c>
      <c r="F942" s="14">
        <v>1270.8</v>
      </c>
      <c r="G942" s="14">
        <v>1291.5</v>
      </c>
      <c r="H942" s="14">
        <v>1292.2</v>
      </c>
      <c r="I942" s="14">
        <v>1290.83</v>
      </c>
      <c r="J942" s="14">
        <v>3217.6</v>
      </c>
      <c r="K942" s="14">
        <v>1217.25</v>
      </c>
      <c r="L942" s="15">
        <v>13202307</v>
      </c>
      <c r="M942" t="s" s="13">
        <v>943</v>
      </c>
      <c r="N942" s="15">
        <v>280529</v>
      </c>
      <c r="O942" s="17" cm="1">
        <f t="array" ref="O942">(H942-H941)/H941</f>
        <v>0.016839785961599</v>
      </c>
    </row>
    <row r="943" ht="13.65" customHeight="1">
      <c r="A943" s="12">
        <v>45628</v>
      </c>
      <c r="B943" t="s" s="13">
        <v>22</v>
      </c>
      <c r="C943" s="14">
        <v>1288</v>
      </c>
      <c r="D943" s="14">
        <v>1311.35</v>
      </c>
      <c r="E943" s="14">
        <v>1277.05</v>
      </c>
      <c r="F943" s="14">
        <v>1292.2</v>
      </c>
      <c r="G943" s="14">
        <v>1310.6</v>
      </c>
      <c r="H943" s="14">
        <v>1309.15</v>
      </c>
      <c r="I943" s="14">
        <v>1298.6</v>
      </c>
      <c r="J943" s="14">
        <v>3217.6</v>
      </c>
      <c r="K943" s="14">
        <v>1217.25</v>
      </c>
      <c r="L943" s="15">
        <v>11024152</v>
      </c>
      <c r="M943" t="s" s="13">
        <v>944</v>
      </c>
      <c r="N943" s="15">
        <v>272825</v>
      </c>
      <c r="O943" s="17" cm="1">
        <f t="array" ref="O943">(H943-H942)/H942</f>
        <v>0.0131171645256152</v>
      </c>
    </row>
    <row r="944" ht="13.65" customHeight="1">
      <c r="A944" s="12">
        <v>45629</v>
      </c>
      <c r="B944" t="s" s="13">
        <v>22</v>
      </c>
      <c r="C944" s="14">
        <v>1317</v>
      </c>
      <c r="D944" s="14">
        <v>1326.8</v>
      </c>
      <c r="E944" s="14">
        <v>1307</v>
      </c>
      <c r="F944" s="14">
        <v>1309.15</v>
      </c>
      <c r="G944" s="14">
        <v>1325.05</v>
      </c>
      <c r="H944" s="14">
        <v>1323.3</v>
      </c>
      <c r="I944" s="14">
        <v>1320.68</v>
      </c>
      <c r="J944" s="14">
        <v>3217.6</v>
      </c>
      <c r="K944" s="14">
        <v>1217.25</v>
      </c>
      <c r="L944" s="15">
        <v>16869482</v>
      </c>
      <c r="M944" t="s" s="13">
        <v>945</v>
      </c>
      <c r="N944" s="15">
        <v>349204</v>
      </c>
      <c r="O944" s="17" cm="1">
        <f t="array" ref="O944">(H944-H943)/H943</f>
        <v>0.0108085398922965</v>
      </c>
    </row>
    <row r="945" ht="13.65" customHeight="1">
      <c r="A945" s="12">
        <v>45630</v>
      </c>
      <c r="B945" t="s" s="13">
        <v>22</v>
      </c>
      <c r="C945" s="14">
        <v>1326</v>
      </c>
      <c r="D945" s="14">
        <v>1328.4</v>
      </c>
      <c r="E945" s="14">
        <v>1304.05</v>
      </c>
      <c r="F945" s="14">
        <v>1323.3</v>
      </c>
      <c r="G945" s="14">
        <v>1309.5</v>
      </c>
      <c r="H945" s="14">
        <v>1308.95</v>
      </c>
      <c r="I945" s="14">
        <v>1310.74</v>
      </c>
      <c r="J945" s="14">
        <v>3217.6</v>
      </c>
      <c r="K945" s="14">
        <v>1217.25</v>
      </c>
      <c r="L945" s="15">
        <v>19608540</v>
      </c>
      <c r="M945" t="s" s="13">
        <v>946</v>
      </c>
      <c r="N945" s="15">
        <v>250873</v>
      </c>
      <c r="O945" s="17" cm="1">
        <f t="array" ref="O945">(H945-H944)/H944</f>
        <v>-0.0108441018665458</v>
      </c>
    </row>
    <row r="946" ht="13.65" customHeight="1">
      <c r="A946" s="12">
        <v>45631</v>
      </c>
      <c r="B946" t="s" s="13">
        <v>22</v>
      </c>
      <c r="C946" s="14">
        <v>1314.35</v>
      </c>
      <c r="D946" s="14">
        <v>1329.95</v>
      </c>
      <c r="E946" s="14">
        <v>1306.15</v>
      </c>
      <c r="F946" s="14">
        <v>1308.95</v>
      </c>
      <c r="G946" s="14">
        <v>1320.9</v>
      </c>
      <c r="H946" s="14">
        <v>1322.05</v>
      </c>
      <c r="I946" s="14">
        <v>1319.78</v>
      </c>
      <c r="J946" s="14">
        <v>3217.6</v>
      </c>
      <c r="K946" s="14">
        <v>1217.25</v>
      </c>
      <c r="L946" s="15">
        <v>16858723</v>
      </c>
      <c r="M946" t="s" s="13">
        <v>947</v>
      </c>
      <c r="N946" s="15">
        <v>309667</v>
      </c>
      <c r="O946" s="17" cm="1">
        <f t="array" ref="O946">(H946-H945)/H945</f>
        <v>0.0100080216967799</v>
      </c>
    </row>
    <row r="947" ht="13.65" customHeight="1">
      <c r="A947" s="12">
        <v>45632</v>
      </c>
      <c r="B947" t="s" s="13">
        <v>22</v>
      </c>
      <c r="C947" s="14">
        <v>1323.9</v>
      </c>
      <c r="D947" s="14">
        <v>1323.9</v>
      </c>
      <c r="E947" s="14">
        <v>1310</v>
      </c>
      <c r="F947" s="14">
        <v>1322.05</v>
      </c>
      <c r="G947" s="14">
        <v>1311.6</v>
      </c>
      <c r="H947" s="14">
        <v>1311.55</v>
      </c>
      <c r="I947" s="14">
        <v>1314.49</v>
      </c>
      <c r="J947" s="14">
        <v>3217.6</v>
      </c>
      <c r="K947" s="14">
        <v>1217.25</v>
      </c>
      <c r="L947" s="15">
        <v>9037514</v>
      </c>
      <c r="M947" t="s" s="13">
        <v>948</v>
      </c>
      <c r="N947" s="15">
        <v>193736</v>
      </c>
      <c r="O947" s="17" cm="1">
        <f t="array" ref="O947">(H947-H946)/H946</f>
        <v>-0.00794221096025113</v>
      </c>
    </row>
    <row r="948" ht="13.65" customHeight="1">
      <c r="A948" s="12">
        <v>45635</v>
      </c>
      <c r="B948" t="s" s="13">
        <v>22</v>
      </c>
      <c r="C948" s="14">
        <v>1303</v>
      </c>
      <c r="D948" s="14">
        <v>1315</v>
      </c>
      <c r="E948" s="14">
        <v>1293.1</v>
      </c>
      <c r="F948" s="14">
        <v>1311.55</v>
      </c>
      <c r="G948" s="14">
        <v>1296.4</v>
      </c>
      <c r="H948" s="14">
        <v>1295.15</v>
      </c>
      <c r="I948" s="14">
        <v>1304.1</v>
      </c>
      <c r="J948" s="14">
        <v>3217.6</v>
      </c>
      <c r="K948" s="14">
        <v>1217.25</v>
      </c>
      <c r="L948" s="15">
        <v>14650002</v>
      </c>
      <c r="M948" t="s" s="13">
        <v>949</v>
      </c>
      <c r="N948" s="15">
        <v>202850</v>
      </c>
      <c r="O948" s="17" cm="1">
        <f t="array" ref="O948">(H948-H947)/H947</f>
        <v>-0.0125042888185734</v>
      </c>
    </row>
    <row r="949" ht="13.65" customHeight="1">
      <c r="A949" s="18">
        <v>45636</v>
      </c>
      <c r="B949" t="s" s="13">
        <v>22</v>
      </c>
      <c r="C949" s="14">
        <v>1289.25</v>
      </c>
      <c r="D949" s="14">
        <v>1294.9</v>
      </c>
      <c r="E949" s="14">
        <v>1280.2</v>
      </c>
      <c r="F949" s="14">
        <v>1295.15</v>
      </c>
      <c r="G949" s="14">
        <v>1285.95</v>
      </c>
      <c r="H949" s="14">
        <v>1284.85</v>
      </c>
      <c r="I949" s="14">
        <v>1286.46</v>
      </c>
      <c r="J949" s="14">
        <v>3217.6</v>
      </c>
      <c r="K949" s="14">
        <v>1217.25</v>
      </c>
      <c r="L949" s="15">
        <v>16043729</v>
      </c>
      <c r="M949" t="s" s="13">
        <v>950</v>
      </c>
      <c r="N949" s="15">
        <v>456341</v>
      </c>
      <c r="O949" s="17" cm="1">
        <f t="array" ref="O949">(H949-H948)/H948</f>
        <v>-0.00795274678608655</v>
      </c>
    </row>
    <row r="950" ht="13.65" customHeight="1">
      <c r="A950" s="18">
        <v>45637</v>
      </c>
      <c r="B950" t="s" s="13">
        <v>22</v>
      </c>
      <c r="C950" s="14">
        <v>1285</v>
      </c>
      <c r="D950" s="14">
        <v>1290</v>
      </c>
      <c r="E950" s="14">
        <v>1276.05</v>
      </c>
      <c r="F950" s="14">
        <v>1284.85</v>
      </c>
      <c r="G950" s="14">
        <v>1279</v>
      </c>
      <c r="H950" s="14">
        <v>1278.2</v>
      </c>
      <c r="I950" s="14">
        <v>1282.33</v>
      </c>
      <c r="J950" s="14">
        <v>3217.6</v>
      </c>
      <c r="K950" s="14">
        <v>1217.25</v>
      </c>
      <c r="L950" s="15">
        <v>11724373</v>
      </c>
      <c r="M950" t="s" s="13">
        <v>951</v>
      </c>
      <c r="N950" s="15">
        <v>272365</v>
      </c>
      <c r="O950" s="17" cm="1">
        <f t="array" ref="O950">(H950-H949)/H949</f>
        <v>-0.0051757014437483</v>
      </c>
    </row>
    <row r="951" ht="13.65" customHeight="1">
      <c r="A951" s="18">
        <v>45638</v>
      </c>
      <c r="B951" t="s" s="13">
        <v>22</v>
      </c>
      <c r="C951" s="14">
        <v>1270</v>
      </c>
      <c r="D951" s="14">
        <v>1278.2</v>
      </c>
      <c r="E951" s="14">
        <v>1260.6</v>
      </c>
      <c r="F951" s="14">
        <v>1278.2</v>
      </c>
      <c r="G951" s="14">
        <v>1261.3</v>
      </c>
      <c r="H951" s="14">
        <v>1262.9</v>
      </c>
      <c r="I951" s="14">
        <v>1265.58</v>
      </c>
      <c r="J951" s="14">
        <v>3217.6</v>
      </c>
      <c r="K951" s="14">
        <v>1217.25</v>
      </c>
      <c r="L951" s="15">
        <v>20906813</v>
      </c>
      <c r="M951" t="s" s="13">
        <v>952</v>
      </c>
      <c r="N951" s="15">
        <v>363205</v>
      </c>
      <c r="O951" s="17" cm="1">
        <f t="array" ref="O951">(H951-H950)/H950</f>
        <v>-0.0119699577530903</v>
      </c>
    </row>
    <row r="952" ht="13.65" customHeight="1">
      <c r="A952" s="18">
        <v>45639</v>
      </c>
      <c r="B952" t="s" s="13">
        <v>22</v>
      </c>
      <c r="C952" s="14">
        <v>1260</v>
      </c>
      <c r="D952" s="14">
        <v>1275.2</v>
      </c>
      <c r="E952" s="14">
        <v>1239.6</v>
      </c>
      <c r="F952" s="14">
        <v>1262.9</v>
      </c>
      <c r="G952" s="14">
        <v>1274.45</v>
      </c>
      <c r="H952" s="14">
        <v>1272.85</v>
      </c>
      <c r="I952" s="14">
        <v>1257.5</v>
      </c>
      <c r="J952" s="14">
        <v>3217.6</v>
      </c>
      <c r="K952" s="14">
        <v>1217.25</v>
      </c>
      <c r="L952" s="15">
        <v>28630222</v>
      </c>
      <c r="M952" t="s" s="13">
        <v>953</v>
      </c>
      <c r="N952" s="15">
        <v>482467</v>
      </c>
      <c r="O952" s="17" cm="1">
        <f t="array" ref="O952">(H952-H951)/H951</f>
        <v>0.00787869189959617</v>
      </c>
    </row>
    <row r="953" ht="13.65" customHeight="1">
      <c r="A953" s="18">
        <v>45642</v>
      </c>
      <c r="B953" t="s" s="13">
        <v>22</v>
      </c>
      <c r="C953" s="14">
        <v>1275</v>
      </c>
      <c r="D953" s="14">
        <v>1281</v>
      </c>
      <c r="E953" s="14">
        <v>1266.55</v>
      </c>
      <c r="F953" s="14">
        <v>1272.85</v>
      </c>
      <c r="G953" s="14">
        <v>1268.4</v>
      </c>
      <c r="H953" s="14">
        <v>1268.3</v>
      </c>
      <c r="I953" s="14">
        <v>1271.94</v>
      </c>
      <c r="J953" s="14">
        <v>3217.6</v>
      </c>
      <c r="K953" s="14">
        <v>1217.25</v>
      </c>
      <c r="L953" s="15">
        <v>9486781</v>
      </c>
      <c r="M953" t="s" s="13">
        <v>954</v>
      </c>
      <c r="N953" s="15">
        <v>224571</v>
      </c>
      <c r="O953" s="17" cm="1">
        <f t="array" ref="O953">(H953-H952)/H952</f>
        <v>-0.00357465530109597</v>
      </c>
    </row>
    <row r="954" ht="13.65" customHeight="1">
      <c r="A954" s="18">
        <v>45643</v>
      </c>
      <c r="B954" t="s" s="13">
        <v>22</v>
      </c>
      <c r="C954" s="14">
        <v>1261.05</v>
      </c>
      <c r="D954" s="14">
        <v>1263.9</v>
      </c>
      <c r="E954" s="14">
        <v>1242.8</v>
      </c>
      <c r="F954" s="14">
        <v>1268.3</v>
      </c>
      <c r="G954" s="14">
        <v>1244.7</v>
      </c>
      <c r="H954" s="14">
        <v>1245.3</v>
      </c>
      <c r="I954" s="14">
        <v>1249.22</v>
      </c>
      <c r="J954" s="14">
        <v>3217.6</v>
      </c>
      <c r="K954" s="14">
        <v>1217.25</v>
      </c>
      <c r="L954" s="15">
        <v>17462791</v>
      </c>
      <c r="M954" t="s" s="13">
        <v>955</v>
      </c>
      <c r="N954" s="15">
        <v>481698</v>
      </c>
      <c r="O954" s="17" cm="1">
        <f t="array" ref="O954">(H954-H953)/H953</f>
        <v>-0.0181345107624379</v>
      </c>
    </row>
    <row r="955" ht="13.65" customHeight="1">
      <c r="A955" s="18">
        <v>45644</v>
      </c>
      <c r="B955" t="s" s="13">
        <v>22</v>
      </c>
      <c r="C955" s="14">
        <v>1240.65</v>
      </c>
      <c r="D955" s="14">
        <v>1259.95</v>
      </c>
      <c r="E955" s="14">
        <v>1240.65</v>
      </c>
      <c r="F955" s="14">
        <v>1245.3</v>
      </c>
      <c r="G955" s="14">
        <v>1254.35</v>
      </c>
      <c r="H955" s="14">
        <v>1253.25</v>
      </c>
      <c r="I955" s="14">
        <v>1252.58</v>
      </c>
      <c r="J955" s="14">
        <v>3217.6</v>
      </c>
      <c r="K955" s="14">
        <v>1217.25</v>
      </c>
      <c r="L955" s="15">
        <v>12670179</v>
      </c>
      <c r="M955" t="s" s="13">
        <v>956</v>
      </c>
      <c r="N955" s="15">
        <v>266155</v>
      </c>
      <c r="O955" s="17" cm="1">
        <f t="array" ref="O955">(H955-H954)/H954</f>
        <v>0.00638400385449289</v>
      </c>
    </row>
    <row r="956" ht="13.65" customHeight="1">
      <c r="A956" s="18">
        <v>45645</v>
      </c>
      <c r="B956" t="s" s="13">
        <v>22</v>
      </c>
      <c r="C956" s="14">
        <v>1239</v>
      </c>
      <c r="D956" s="14">
        <v>1244.9</v>
      </c>
      <c r="E956" s="14">
        <v>1229</v>
      </c>
      <c r="F956" s="14">
        <v>1253.25</v>
      </c>
      <c r="G956" s="14">
        <v>1230.5</v>
      </c>
      <c r="H956" s="14">
        <v>1230.45</v>
      </c>
      <c r="I956" s="14">
        <v>1235.73</v>
      </c>
      <c r="J956" s="14">
        <v>3217.6</v>
      </c>
      <c r="K956" s="14">
        <v>1217.25</v>
      </c>
      <c r="L956" s="15">
        <v>14244653</v>
      </c>
      <c r="M956" t="s" s="13">
        <v>957</v>
      </c>
      <c r="N956" s="15">
        <v>503893</v>
      </c>
      <c r="O956" s="17" cm="1">
        <f t="array" ref="O956">(H956-H955)/H955</f>
        <v>-0.0181926989826451</v>
      </c>
    </row>
    <row r="957" ht="13.65" customHeight="1">
      <c r="A957" s="18">
        <v>45646</v>
      </c>
      <c r="B957" t="s" s="13">
        <v>22</v>
      </c>
      <c r="C957" s="14">
        <v>1224</v>
      </c>
      <c r="D957" s="14">
        <v>1239.5</v>
      </c>
      <c r="E957" s="14">
        <v>1201.5</v>
      </c>
      <c r="F957" s="14">
        <v>1230.45</v>
      </c>
      <c r="G957" s="14">
        <v>1206</v>
      </c>
      <c r="H957" s="14">
        <v>1205.3</v>
      </c>
      <c r="I957" s="14">
        <v>1215.95</v>
      </c>
      <c r="J957" s="14">
        <v>3217.6</v>
      </c>
      <c r="K957" s="14">
        <v>1201.5</v>
      </c>
      <c r="L957" s="15">
        <v>20312896</v>
      </c>
      <c r="M957" t="s" s="13">
        <v>958</v>
      </c>
      <c r="N957" s="15">
        <v>499900</v>
      </c>
      <c r="O957" s="17" cm="1">
        <f t="array" ref="O957">(H957-H956)/H956</f>
        <v>-0.0204396765411028</v>
      </c>
    </row>
    <row r="958" ht="13.65" customHeight="1">
      <c r="A958" s="18">
        <v>45649</v>
      </c>
      <c r="B958" t="s" s="13">
        <v>22</v>
      </c>
      <c r="C958" s="14">
        <v>1215</v>
      </c>
      <c r="D958" s="14">
        <v>1227.2</v>
      </c>
      <c r="E958" s="14">
        <v>1213.2</v>
      </c>
      <c r="F958" s="14">
        <v>1205.3</v>
      </c>
      <c r="G958" s="14">
        <v>1223.85</v>
      </c>
      <c r="H958" s="14">
        <v>1222.3</v>
      </c>
      <c r="I958" s="14">
        <v>1219.77</v>
      </c>
      <c r="J958" s="14">
        <v>3217.6</v>
      </c>
      <c r="K958" s="14">
        <v>1201.5</v>
      </c>
      <c r="L958" s="15">
        <v>10052824</v>
      </c>
      <c r="M958" t="s" s="13">
        <v>959</v>
      </c>
      <c r="N958" s="15">
        <v>258756</v>
      </c>
      <c r="O958" s="17" cm="1">
        <f t="array" ref="O958">(H958-H957)/H957</f>
        <v>0.0141043723554302</v>
      </c>
    </row>
    <row r="959" ht="13.65" customHeight="1">
      <c r="A959" s="18">
        <v>45650</v>
      </c>
      <c r="B959" t="s" s="13">
        <v>22</v>
      </c>
      <c r="C959" s="14">
        <v>1222.3</v>
      </c>
      <c r="D959" s="14">
        <v>1233.55</v>
      </c>
      <c r="E959" s="14">
        <v>1221</v>
      </c>
      <c r="F959" s="14">
        <v>1222.3</v>
      </c>
      <c r="G959" s="14">
        <v>1224.2</v>
      </c>
      <c r="H959" s="14">
        <v>1222.75</v>
      </c>
      <c r="I959" s="14">
        <v>1227.14</v>
      </c>
      <c r="J959" s="14">
        <v>3217.6</v>
      </c>
      <c r="K959" s="14">
        <v>1201.5</v>
      </c>
      <c r="L959" s="15">
        <v>6734917</v>
      </c>
      <c r="M959" t="s" s="13">
        <v>960</v>
      </c>
      <c r="N959" s="15">
        <v>207746</v>
      </c>
      <c r="O959" s="17" cm="1">
        <f t="array" ref="O959">(H959-H958)/H958</f>
        <v>0.000368158389920641</v>
      </c>
    </row>
    <row r="960" ht="13.65" customHeight="1">
      <c r="A960" s="18">
        <v>45652</v>
      </c>
      <c r="B960" t="s" s="13">
        <v>22</v>
      </c>
      <c r="C960" s="14">
        <v>1224.25</v>
      </c>
      <c r="D960" s="14">
        <v>1227.7</v>
      </c>
      <c r="E960" s="14">
        <v>1214.25</v>
      </c>
      <c r="F960" s="14">
        <v>1222.75</v>
      </c>
      <c r="G960" s="14">
        <v>1217</v>
      </c>
      <c r="H960" s="14">
        <v>1216.55</v>
      </c>
      <c r="I960" s="14">
        <v>1219.74</v>
      </c>
      <c r="J960" s="14">
        <v>3217.6</v>
      </c>
      <c r="K960" s="14">
        <v>1201.5</v>
      </c>
      <c r="L960" s="15">
        <v>10016178</v>
      </c>
      <c r="M960" t="s" s="13">
        <v>961</v>
      </c>
      <c r="N960" s="15">
        <v>256436</v>
      </c>
      <c r="O960" s="17" cm="1">
        <f t="array" ref="O960">(H960-H959)/H959</f>
        <v>-0.00507053772234717</v>
      </c>
    </row>
    <row r="961" ht="13.65" customHeight="1">
      <c r="A961" s="18">
        <v>45653</v>
      </c>
      <c r="B961" t="s" s="13">
        <v>22</v>
      </c>
      <c r="C961" s="14">
        <v>1218.3</v>
      </c>
      <c r="D961" s="14">
        <v>1227.9</v>
      </c>
      <c r="E961" s="14">
        <v>1217</v>
      </c>
      <c r="F961" s="14">
        <v>1216.55</v>
      </c>
      <c r="G961" s="14">
        <v>1221.5</v>
      </c>
      <c r="H961" s="14">
        <v>1221.05</v>
      </c>
      <c r="I961" s="14">
        <v>1223.2</v>
      </c>
      <c r="J961" s="14">
        <v>3217.6</v>
      </c>
      <c r="K961" s="14">
        <v>1201.5</v>
      </c>
      <c r="L961" s="15">
        <v>7000397</v>
      </c>
      <c r="M961" t="s" s="13">
        <v>962</v>
      </c>
      <c r="N961" s="15">
        <v>174882</v>
      </c>
      <c r="O961" s="17" cm="1">
        <f t="array" ref="O961">(H961-H960)/H960</f>
        <v>0.00369898483416218</v>
      </c>
    </row>
    <row r="962" ht="13.65" customHeight="1">
      <c r="A962" s="18">
        <v>45656</v>
      </c>
      <c r="B962" t="s" s="13">
        <v>22</v>
      </c>
      <c r="C962" s="14">
        <v>1216.4</v>
      </c>
      <c r="D962" s="14">
        <v>1223.2</v>
      </c>
      <c r="E962" s="14">
        <v>1208.1</v>
      </c>
      <c r="F962" s="14">
        <v>1221.05</v>
      </c>
      <c r="G962" s="14">
        <v>1211.5</v>
      </c>
      <c r="H962" s="14">
        <v>1210.7</v>
      </c>
      <c r="I962" s="14">
        <v>1214.71</v>
      </c>
      <c r="J962" s="14">
        <v>3217.6</v>
      </c>
      <c r="K962" s="14">
        <v>1201.5</v>
      </c>
      <c r="L962" s="15">
        <v>8818766</v>
      </c>
      <c r="M962" t="s" s="13">
        <v>963</v>
      </c>
      <c r="N962" s="15">
        <v>308317</v>
      </c>
      <c r="O962" s="17" cm="1">
        <f t="array" ref="O962">(H962-H961)/H961</f>
        <v>-0.00847631137136071</v>
      </c>
    </row>
    <row r="963" ht="13.65" customHeight="1">
      <c r="A963" s="18">
        <v>45657</v>
      </c>
      <c r="B963" t="s" s="13">
        <v>22</v>
      </c>
      <c r="C963" s="14">
        <v>1208</v>
      </c>
      <c r="D963" s="14">
        <v>1219.1</v>
      </c>
      <c r="E963" s="14">
        <v>1206.15</v>
      </c>
      <c r="F963" s="14">
        <v>1210.7</v>
      </c>
      <c r="G963" s="14">
        <v>1216.4</v>
      </c>
      <c r="H963" s="14">
        <v>1215.45</v>
      </c>
      <c r="I963" s="14">
        <v>1213.08</v>
      </c>
      <c r="J963" s="14">
        <v>3217.6</v>
      </c>
      <c r="K963" s="14">
        <v>1201.5</v>
      </c>
      <c r="L963" s="15">
        <v>6405475</v>
      </c>
      <c r="M963" t="s" s="13">
        <v>964</v>
      </c>
      <c r="N963" s="15">
        <v>180916</v>
      </c>
      <c r="O963" s="17" cm="1">
        <f t="array" ref="O963">(H963-H962)/H962</f>
        <v>0.00392335012802511</v>
      </c>
    </row>
    <row r="964" ht="13.65" customHeight="1">
      <c r="A964" s="12">
        <v>45658</v>
      </c>
      <c r="B964" t="s" s="13">
        <v>22</v>
      </c>
      <c r="C964" s="14">
        <v>1214.85</v>
      </c>
      <c r="D964" s="14">
        <v>1226.3</v>
      </c>
      <c r="E964" s="14">
        <v>1211.6</v>
      </c>
      <c r="F964" s="14">
        <v>1215.45</v>
      </c>
      <c r="G964" s="14">
        <v>1222.75</v>
      </c>
      <c r="H964" s="14">
        <v>1221.25</v>
      </c>
      <c r="I964" s="14">
        <v>1221.01</v>
      </c>
      <c r="J964" s="14">
        <v>3217.6</v>
      </c>
      <c r="K964" s="14">
        <v>1201.5</v>
      </c>
      <c r="L964" s="15">
        <v>5892590</v>
      </c>
      <c r="M964" t="s" s="13">
        <v>965</v>
      </c>
      <c r="N964" s="15">
        <v>138528</v>
      </c>
      <c r="O964" s="17" cm="1">
        <f t="array" ref="O964">(H964-H963)/H963</f>
        <v>0.00477189518285409</v>
      </c>
    </row>
    <row r="965" ht="13.65" customHeight="1">
      <c r="A965" s="12">
        <v>45659</v>
      </c>
      <c r="B965" t="s" s="13">
        <v>22</v>
      </c>
      <c r="C965" s="14">
        <v>1221.25</v>
      </c>
      <c r="D965" s="14">
        <v>1244.45</v>
      </c>
      <c r="E965" s="14">
        <v>1220</v>
      </c>
      <c r="F965" s="14">
        <v>1221.25</v>
      </c>
      <c r="G965" s="14">
        <v>1240.55</v>
      </c>
      <c r="H965" s="14">
        <v>1241.8</v>
      </c>
      <c r="I965" s="14">
        <v>1234.32</v>
      </c>
      <c r="J965" s="14">
        <v>3217.6</v>
      </c>
      <c r="K965" s="14">
        <v>1201.5</v>
      </c>
      <c r="L965" s="15">
        <v>15486276</v>
      </c>
      <c r="M965" t="s" s="13">
        <v>966</v>
      </c>
      <c r="N965" s="15">
        <v>271108</v>
      </c>
      <c r="O965" s="17" cm="1">
        <f t="array" ref="O965">(H965-H964)/H964</f>
        <v>0.0168270214943705</v>
      </c>
    </row>
    <row r="966" ht="13.65" customHeight="1">
      <c r="A966" s="12">
        <v>45660</v>
      </c>
      <c r="B966" t="s" s="13">
        <v>22</v>
      </c>
      <c r="C966" s="14">
        <v>1243.9</v>
      </c>
      <c r="D966" s="14">
        <v>1262.05</v>
      </c>
      <c r="E966" s="14">
        <v>1235.5</v>
      </c>
      <c r="F966" s="14">
        <v>1241.8</v>
      </c>
      <c r="G966" s="14">
        <v>1249.85</v>
      </c>
      <c r="H966" s="14">
        <v>1251.15</v>
      </c>
      <c r="I966" s="14">
        <v>1250.34</v>
      </c>
      <c r="J966" s="14">
        <v>3217.6</v>
      </c>
      <c r="K966" s="14">
        <v>1201.5</v>
      </c>
      <c r="L966" s="15">
        <v>15521102</v>
      </c>
      <c r="M966" t="s" s="13">
        <v>967</v>
      </c>
      <c r="N966" s="15">
        <v>277290</v>
      </c>
      <c r="O966" s="17" cm="1">
        <f t="array" ref="O966">(H966-H965)/H965</f>
        <v>0.00752939281687872</v>
      </c>
    </row>
    <row r="967" ht="13.65" customHeight="1">
      <c r="A967" s="12">
        <v>45663</v>
      </c>
      <c r="B967" t="s" s="13">
        <v>22</v>
      </c>
      <c r="C967" s="14">
        <v>1253.95</v>
      </c>
      <c r="D967" s="14">
        <v>1262</v>
      </c>
      <c r="E967" s="14">
        <v>1215</v>
      </c>
      <c r="F967" s="14">
        <v>1251.15</v>
      </c>
      <c r="G967" s="14">
        <v>1216.25</v>
      </c>
      <c r="H967" s="14">
        <v>1218</v>
      </c>
      <c r="I967" s="14">
        <v>1235.67</v>
      </c>
      <c r="J967" s="14">
        <v>3217.6</v>
      </c>
      <c r="K967" s="14">
        <v>1201.5</v>
      </c>
      <c r="L967" s="15">
        <v>14816766</v>
      </c>
      <c r="M967" t="s" s="13">
        <v>968</v>
      </c>
      <c r="N967" s="15">
        <v>317843</v>
      </c>
      <c r="O967" s="17" cm="1">
        <f t="array" ref="O967">(H967-H966)/H966</f>
        <v>-0.0264956240258962</v>
      </c>
    </row>
    <row r="968" ht="13.65" customHeight="1">
      <c r="A968" s="12">
        <v>45664</v>
      </c>
      <c r="B968" t="s" s="13">
        <v>22</v>
      </c>
      <c r="C968" s="14">
        <v>1222</v>
      </c>
      <c r="D968" s="14">
        <v>1244.5</v>
      </c>
      <c r="E968" s="14">
        <v>1221.25</v>
      </c>
      <c r="F968" s="14">
        <v>1218</v>
      </c>
      <c r="G968" s="14">
        <v>1239.95</v>
      </c>
      <c r="H968" s="14">
        <v>1240.85</v>
      </c>
      <c r="I968" s="14">
        <v>1237.63</v>
      </c>
      <c r="J968" s="14">
        <v>3217.6</v>
      </c>
      <c r="K968" s="14">
        <v>1201.5</v>
      </c>
      <c r="L968" s="15">
        <v>10070505</v>
      </c>
      <c r="M968" t="s" s="13">
        <v>969</v>
      </c>
      <c r="N968" s="15">
        <v>216620</v>
      </c>
      <c r="O968" s="17" cm="1">
        <f t="array" ref="O968">(H968-H967)/H967</f>
        <v>0.01876026272578</v>
      </c>
    </row>
    <row r="969" ht="13.65" customHeight="1">
      <c r="A969" s="12">
        <v>45665</v>
      </c>
      <c r="B969" t="s" s="13">
        <v>22</v>
      </c>
      <c r="C969" s="14">
        <v>1249</v>
      </c>
      <c r="D969" s="14">
        <v>1271.05</v>
      </c>
      <c r="E969" s="14">
        <v>1245.35</v>
      </c>
      <c r="F969" s="14">
        <v>1240.85</v>
      </c>
      <c r="G969" s="14">
        <v>1261.35</v>
      </c>
      <c r="H969" s="14">
        <v>1265.5</v>
      </c>
      <c r="I969" s="14">
        <v>1263.24</v>
      </c>
      <c r="J969" s="14">
        <v>3217.6</v>
      </c>
      <c r="K969" s="14">
        <v>1201.5</v>
      </c>
      <c r="L969" s="15">
        <v>19346579</v>
      </c>
      <c r="M969" t="s" s="13">
        <v>970</v>
      </c>
      <c r="N969" s="15">
        <v>531488</v>
      </c>
      <c r="O969" s="17" cm="1">
        <f t="array" ref="O969">(H969-H968)/H968</f>
        <v>0.0198654148366039</v>
      </c>
    </row>
    <row r="970" ht="13.65" customHeight="1">
      <c r="A970" s="12">
        <v>45666</v>
      </c>
      <c r="B970" t="s" s="13">
        <v>22</v>
      </c>
      <c r="C970" s="14">
        <v>1267</v>
      </c>
      <c r="D970" s="14">
        <v>1269.75</v>
      </c>
      <c r="E970" s="14">
        <v>1248.05</v>
      </c>
      <c r="F970" s="14">
        <v>1265.5</v>
      </c>
      <c r="G970" s="14">
        <v>1256.8</v>
      </c>
      <c r="H970" s="14">
        <v>1254.75</v>
      </c>
      <c r="I970" s="14">
        <v>1257.46</v>
      </c>
      <c r="J970" s="14">
        <v>3217.6</v>
      </c>
      <c r="K970" s="14">
        <v>1201.5</v>
      </c>
      <c r="L970" s="15">
        <v>12794704</v>
      </c>
      <c r="M970" t="s" s="13">
        <v>971</v>
      </c>
      <c r="N970" s="15">
        <v>390501</v>
      </c>
      <c r="O970" s="17" cm="1">
        <f t="array" ref="O970">(H970-H969)/H969</f>
        <v>-0.008494666139865671</v>
      </c>
    </row>
    <row r="971" ht="13.65" customHeight="1">
      <c r="A971" s="18">
        <v>45667</v>
      </c>
      <c r="B971" t="s" s="13">
        <v>22</v>
      </c>
      <c r="C971" s="14">
        <v>1253.85</v>
      </c>
      <c r="D971" s="14">
        <v>1256.75</v>
      </c>
      <c r="E971" s="14">
        <v>1236</v>
      </c>
      <c r="F971" s="14">
        <v>1254.75</v>
      </c>
      <c r="G971" s="14">
        <v>1245.55</v>
      </c>
      <c r="H971" s="14">
        <v>1241.9</v>
      </c>
      <c r="I971" s="14">
        <v>1245.97</v>
      </c>
      <c r="J971" s="14">
        <v>3217.6</v>
      </c>
      <c r="K971" s="14">
        <v>1201.5</v>
      </c>
      <c r="L971" s="15">
        <v>8120332</v>
      </c>
      <c r="M971" t="s" s="13">
        <v>972</v>
      </c>
      <c r="N971" s="15">
        <v>340024</v>
      </c>
      <c r="O971" s="17" cm="1">
        <f t="array" ref="O971">(H971-H970)/H970</f>
        <v>-0.0102410838812512</v>
      </c>
    </row>
    <row r="972" ht="13.65" customHeight="1">
      <c r="A972" s="18">
        <v>45670</v>
      </c>
      <c r="B972" t="s" s="13">
        <v>22</v>
      </c>
      <c r="C972" s="14">
        <v>1230</v>
      </c>
      <c r="D972" s="14">
        <v>1245.25</v>
      </c>
      <c r="E972" s="14">
        <v>1226.4</v>
      </c>
      <c r="F972" s="14">
        <v>1241.9</v>
      </c>
      <c r="G972" s="14">
        <v>1240.75</v>
      </c>
      <c r="H972" s="14">
        <v>1239.85</v>
      </c>
      <c r="I972" s="14">
        <v>1238.1</v>
      </c>
      <c r="J972" s="14">
        <v>3217.6</v>
      </c>
      <c r="K972" s="14">
        <v>1201.5</v>
      </c>
      <c r="L972" s="15">
        <v>13764861</v>
      </c>
      <c r="M972" t="s" s="13">
        <v>973</v>
      </c>
      <c r="N972" s="15">
        <v>398257</v>
      </c>
      <c r="O972" s="17" cm="1">
        <f t="array" ref="O972">(H972-H971)/H971</f>
        <v>-0.00165069651340688</v>
      </c>
    </row>
    <row r="973" ht="13.65" customHeight="1">
      <c r="A973" s="18">
        <v>45671</v>
      </c>
      <c r="B973" t="s" s="13">
        <v>22</v>
      </c>
      <c r="C973" s="14">
        <v>1244.1</v>
      </c>
      <c r="D973" s="14">
        <v>1253.35</v>
      </c>
      <c r="E973" s="14">
        <v>1227.25</v>
      </c>
      <c r="F973" s="14">
        <v>1239.85</v>
      </c>
      <c r="G973" s="14">
        <v>1239</v>
      </c>
      <c r="H973" s="14">
        <v>1238.75</v>
      </c>
      <c r="I973" s="14">
        <v>1236.46</v>
      </c>
      <c r="J973" s="14">
        <v>3217.6</v>
      </c>
      <c r="K973" s="14">
        <v>1201.5</v>
      </c>
      <c r="L973" s="15">
        <v>13095266</v>
      </c>
      <c r="M973" t="s" s="13">
        <v>974</v>
      </c>
      <c r="N973" s="15">
        <v>278977</v>
      </c>
      <c r="O973" s="17" cm="1">
        <f t="array" ref="O973">(H973-H972)/H972</f>
        <v>-0.000887204097269831</v>
      </c>
    </row>
    <row r="974" ht="13.65" customHeight="1">
      <c r="A974" s="18">
        <v>45672</v>
      </c>
      <c r="B974" t="s" s="13">
        <v>22</v>
      </c>
      <c r="C974" s="14">
        <v>1244.95</v>
      </c>
      <c r="D974" s="14">
        <v>1257</v>
      </c>
      <c r="E974" s="14">
        <v>1241.85</v>
      </c>
      <c r="F974" s="14">
        <v>1238.75</v>
      </c>
      <c r="G974" s="14">
        <v>1252</v>
      </c>
      <c r="H974" s="14">
        <v>1252.2</v>
      </c>
      <c r="I974" s="14">
        <v>1250.11</v>
      </c>
      <c r="J974" s="14">
        <v>3217.6</v>
      </c>
      <c r="K974" s="14">
        <v>1201.5</v>
      </c>
      <c r="L974" s="15">
        <v>9578856</v>
      </c>
      <c r="M974" t="s" s="13">
        <v>975</v>
      </c>
      <c r="N974" s="15">
        <v>220174</v>
      </c>
      <c r="O974" s="17" cm="1">
        <f t="array" ref="O974">(H974-H973)/H973</f>
        <v>0.0108577194752775</v>
      </c>
    </row>
    <row r="975" ht="13.65" customHeight="1">
      <c r="A975" s="18">
        <v>45673</v>
      </c>
      <c r="B975" t="s" s="13">
        <v>22</v>
      </c>
      <c r="C975" s="14">
        <v>1258.9</v>
      </c>
      <c r="D975" s="14">
        <v>1275</v>
      </c>
      <c r="E975" s="14">
        <v>1251.3</v>
      </c>
      <c r="F975" s="14">
        <v>1252.2</v>
      </c>
      <c r="G975" s="14">
        <v>1275</v>
      </c>
      <c r="H975" s="14">
        <v>1266.45</v>
      </c>
      <c r="I975" s="14">
        <v>1262.86</v>
      </c>
      <c r="J975" s="14">
        <v>3217.6</v>
      </c>
      <c r="K975" s="14">
        <v>1201.5</v>
      </c>
      <c r="L975" s="15">
        <v>14117603</v>
      </c>
      <c r="M975" t="s" s="13">
        <v>976</v>
      </c>
      <c r="N975" s="15">
        <v>207451</v>
      </c>
      <c r="O975" s="17" cm="1">
        <f t="array" ref="O975">(H975-H974)/H974</f>
        <v>0.0113799712505989</v>
      </c>
    </row>
    <row r="976" ht="13.65" customHeight="1">
      <c r="A976" s="18">
        <v>45674</v>
      </c>
      <c r="B976" t="s" s="13">
        <v>22</v>
      </c>
      <c r="C976" s="14">
        <v>1322.25</v>
      </c>
      <c r="D976" s="14">
        <v>1326</v>
      </c>
      <c r="E976" s="14">
        <v>1285</v>
      </c>
      <c r="F976" s="14">
        <v>1266.45</v>
      </c>
      <c r="G976" s="14">
        <v>1300</v>
      </c>
      <c r="H976" s="14">
        <v>1302.35</v>
      </c>
      <c r="I976" s="14">
        <v>1300.8</v>
      </c>
      <c r="J976" s="14">
        <v>3217.6</v>
      </c>
      <c r="K976" s="14">
        <v>1201.5</v>
      </c>
      <c r="L976" s="15">
        <v>29366277</v>
      </c>
      <c r="M976" t="s" s="13">
        <v>977</v>
      </c>
      <c r="N976" s="15">
        <v>594018</v>
      </c>
      <c r="O976" s="17" cm="1">
        <f t="array" ref="O976">(H976-H975)/H975</f>
        <v>0.0283469540842513</v>
      </c>
    </row>
    <row r="977" ht="13.65" customHeight="1">
      <c r="A977" s="18">
        <v>45677</v>
      </c>
      <c r="B977" t="s" s="13">
        <v>22</v>
      </c>
      <c r="C977" s="14">
        <v>1316</v>
      </c>
      <c r="D977" s="14">
        <v>1316</v>
      </c>
      <c r="E977" s="14">
        <v>1300.25</v>
      </c>
      <c r="F977" s="14">
        <v>1302.35</v>
      </c>
      <c r="G977" s="14">
        <v>1304</v>
      </c>
      <c r="H977" s="14">
        <v>1305.45</v>
      </c>
      <c r="I977" s="14">
        <v>1307.82</v>
      </c>
      <c r="J977" s="14">
        <v>3217.6</v>
      </c>
      <c r="K977" s="14">
        <v>1201.5</v>
      </c>
      <c r="L977" s="15">
        <v>14040244</v>
      </c>
      <c r="M977" t="s" s="13">
        <v>978</v>
      </c>
      <c r="N977" s="15">
        <v>280553</v>
      </c>
      <c r="O977" s="17" cm="1">
        <f t="array" ref="O977">(H977-H976)/H976</f>
        <v>0.00238031251199754</v>
      </c>
    </row>
    <row r="978" ht="13.65" customHeight="1">
      <c r="A978" s="18">
        <v>45678</v>
      </c>
      <c r="B978" t="s" s="13">
        <v>22</v>
      </c>
      <c r="C978" s="14">
        <v>1310.5</v>
      </c>
      <c r="D978" s="14">
        <v>1313</v>
      </c>
      <c r="E978" s="14">
        <v>1270.2</v>
      </c>
      <c r="F978" s="14">
        <v>1305.45</v>
      </c>
      <c r="G978" s="14">
        <v>1277.6</v>
      </c>
      <c r="H978" s="14">
        <v>1273.7</v>
      </c>
      <c r="I978" s="14">
        <v>1284.79</v>
      </c>
      <c r="J978" s="14">
        <v>3217.6</v>
      </c>
      <c r="K978" s="14">
        <v>1201.5</v>
      </c>
      <c r="L978" s="15">
        <v>14562976</v>
      </c>
      <c r="M978" t="s" s="13">
        <v>979</v>
      </c>
      <c r="N978" s="15">
        <v>325783</v>
      </c>
      <c r="O978" s="17" cm="1">
        <f t="array" ref="O978">(H978-H977)/H977</f>
        <v>-0.0243211153242177</v>
      </c>
    </row>
    <row r="979" ht="13.65" customHeight="1">
      <c r="A979" s="18">
        <v>45679</v>
      </c>
      <c r="B979" t="s" s="13">
        <v>22</v>
      </c>
      <c r="C979" s="14">
        <v>1278.3</v>
      </c>
      <c r="D979" s="14">
        <v>1282.9</v>
      </c>
      <c r="E979" s="14">
        <v>1268.7</v>
      </c>
      <c r="F979" s="14">
        <v>1273.7</v>
      </c>
      <c r="G979" s="14">
        <v>1278</v>
      </c>
      <c r="H979" s="14">
        <v>1277.1</v>
      </c>
      <c r="I979" s="14">
        <v>1276.09</v>
      </c>
      <c r="J979" s="14">
        <v>3217.6</v>
      </c>
      <c r="K979" s="14">
        <v>1201.5</v>
      </c>
      <c r="L979" s="15">
        <v>10273590</v>
      </c>
      <c r="M979" t="s" s="13">
        <v>980</v>
      </c>
      <c r="N979" s="15">
        <v>239816</v>
      </c>
      <c r="O979" s="17" cm="1">
        <f t="array" ref="O979">(H979-H978)/H978</f>
        <v>0.00266938839601162</v>
      </c>
    </row>
    <row r="980" ht="13.65" customHeight="1">
      <c r="A980" s="18">
        <v>45680</v>
      </c>
      <c r="B980" t="s" s="13">
        <v>22</v>
      </c>
      <c r="C980" s="14">
        <v>1270</v>
      </c>
      <c r="D980" s="14">
        <v>1277.35</v>
      </c>
      <c r="E980" s="14">
        <v>1261.6</v>
      </c>
      <c r="F980" s="14">
        <v>1277.1</v>
      </c>
      <c r="G980" s="14">
        <v>1264.9</v>
      </c>
      <c r="H980" s="14">
        <v>1263.65</v>
      </c>
      <c r="I980" s="14">
        <v>1267.52</v>
      </c>
      <c r="J980" s="14">
        <v>3217.6</v>
      </c>
      <c r="K980" s="14">
        <v>1201.5</v>
      </c>
      <c r="L980" s="15">
        <v>8720682</v>
      </c>
      <c r="M980" t="s" s="13">
        <v>981</v>
      </c>
      <c r="N980" s="15">
        <v>188421</v>
      </c>
      <c r="O980" s="17" cm="1">
        <f t="array" ref="O980">(H980-H979)/H979</f>
        <v>-0.010531673322371</v>
      </c>
    </row>
    <row r="981" ht="13.65" customHeight="1">
      <c r="A981" s="18">
        <v>45681</v>
      </c>
      <c r="B981" t="s" s="13">
        <v>22</v>
      </c>
      <c r="C981" s="14">
        <v>1266</v>
      </c>
      <c r="D981" s="14">
        <v>1273</v>
      </c>
      <c r="E981" s="14">
        <v>1243.5</v>
      </c>
      <c r="F981" s="14">
        <v>1263.65</v>
      </c>
      <c r="G981" s="14">
        <v>1244.45</v>
      </c>
      <c r="H981" s="14">
        <v>1246.3</v>
      </c>
      <c r="I981" s="14">
        <v>1252.27</v>
      </c>
      <c r="J981" s="14">
        <v>3217.6</v>
      </c>
      <c r="K981" s="14">
        <v>1201.5</v>
      </c>
      <c r="L981" s="15">
        <v>14235970</v>
      </c>
      <c r="M981" t="s" s="13">
        <v>982</v>
      </c>
      <c r="N981" s="15">
        <v>263461</v>
      </c>
      <c r="O981" s="17" cm="1">
        <f t="array" ref="O981">(H981-H980)/H980</f>
        <v>-0.0137300676611403</v>
      </c>
    </row>
    <row r="982" ht="13.65" customHeight="1">
      <c r="A982" s="18">
        <v>45684</v>
      </c>
      <c r="B982" t="s" s="13">
        <v>22</v>
      </c>
      <c r="C982" s="14">
        <v>1239.1</v>
      </c>
      <c r="D982" s="14">
        <v>1240.45</v>
      </c>
      <c r="E982" s="14">
        <v>1220</v>
      </c>
      <c r="F982" s="14">
        <v>1246.3</v>
      </c>
      <c r="G982" s="14">
        <v>1229</v>
      </c>
      <c r="H982" s="14">
        <v>1229.35</v>
      </c>
      <c r="I982" s="14">
        <v>1229.35</v>
      </c>
      <c r="J982" s="14">
        <v>3217.6</v>
      </c>
      <c r="K982" s="14">
        <v>1201.5</v>
      </c>
      <c r="L982" s="15">
        <v>9536019</v>
      </c>
      <c r="M982" t="s" s="13">
        <v>983</v>
      </c>
      <c r="N982" s="15">
        <v>368025</v>
      </c>
      <c r="O982" s="17" cm="1">
        <f t="array" ref="O982">(H982-H981)/H981</f>
        <v>-0.0136002567600096</v>
      </c>
    </row>
    <row r="983" ht="13.65" customHeight="1">
      <c r="A983" s="18">
        <v>45685</v>
      </c>
      <c r="B983" t="s" s="13">
        <v>22</v>
      </c>
      <c r="C983" s="14">
        <v>1238</v>
      </c>
      <c r="D983" s="14">
        <v>1244.75</v>
      </c>
      <c r="E983" s="14">
        <v>1218.5</v>
      </c>
      <c r="F983" s="14">
        <v>1229.35</v>
      </c>
      <c r="G983" s="14">
        <v>1235</v>
      </c>
      <c r="H983" s="14">
        <v>1234.4</v>
      </c>
      <c r="I983" s="14">
        <v>1232.65</v>
      </c>
      <c r="J983" s="14">
        <v>3217.6</v>
      </c>
      <c r="K983" s="14">
        <v>1201.5</v>
      </c>
      <c r="L983" s="15">
        <v>10568025</v>
      </c>
      <c r="M983" t="s" s="13">
        <v>984</v>
      </c>
      <c r="N983" s="15">
        <v>286863</v>
      </c>
      <c r="O983" s="17" cm="1">
        <f t="array" ref="O983">(H983-H982)/H982</f>
        <v>0.00410786187822833</v>
      </c>
    </row>
    <row r="984" ht="13.65" customHeight="1">
      <c r="A984" s="18">
        <v>45686</v>
      </c>
      <c r="B984" t="s" s="13">
        <v>22</v>
      </c>
      <c r="C984" s="14">
        <v>1236</v>
      </c>
      <c r="D984" s="14">
        <v>1242.75</v>
      </c>
      <c r="E984" s="14">
        <v>1228.05</v>
      </c>
      <c r="F984" s="14">
        <v>1234.4</v>
      </c>
      <c r="G984" s="14">
        <v>1237.25</v>
      </c>
      <c r="H984" s="14">
        <v>1235.5</v>
      </c>
      <c r="I984" s="14">
        <v>1236.66</v>
      </c>
      <c r="J984" s="14">
        <v>3217.6</v>
      </c>
      <c r="K984" s="14">
        <v>1201.5</v>
      </c>
      <c r="L984" s="15">
        <v>5928156</v>
      </c>
      <c r="M984" t="s" s="13">
        <v>985</v>
      </c>
      <c r="N984" s="15">
        <v>167073</v>
      </c>
      <c r="O984" s="17" cm="1">
        <f t="array" ref="O984">(H984-H983)/H983</f>
        <v>0.000891121192482178</v>
      </c>
    </row>
    <row r="985" ht="13.65" customHeight="1">
      <c r="A985" s="18">
        <v>45687</v>
      </c>
      <c r="B985" t="s" s="13">
        <v>22</v>
      </c>
      <c r="C985" s="14">
        <v>1235.55</v>
      </c>
      <c r="D985" s="14">
        <v>1257</v>
      </c>
      <c r="E985" s="14">
        <v>1232.4</v>
      </c>
      <c r="F985" s="14">
        <v>1235.5</v>
      </c>
      <c r="G985" s="14">
        <v>1253.15</v>
      </c>
      <c r="H985" s="14">
        <v>1253.05</v>
      </c>
      <c r="I985" s="14">
        <v>1249.15</v>
      </c>
      <c r="J985" s="14">
        <v>3217.6</v>
      </c>
      <c r="K985" s="14">
        <v>1201.5</v>
      </c>
      <c r="L985" s="15">
        <v>9269259</v>
      </c>
      <c r="M985" t="s" s="13">
        <v>986</v>
      </c>
      <c r="N985" s="15">
        <v>227871</v>
      </c>
      <c r="O985" s="17" cm="1">
        <f t="array" ref="O985">(H985-H984)/H984</f>
        <v>0.0142047753945771</v>
      </c>
    </row>
    <row r="986" ht="13.65" customHeight="1">
      <c r="A986" s="18">
        <v>45688</v>
      </c>
      <c r="B986" t="s" s="13">
        <v>22</v>
      </c>
      <c r="C986" s="14">
        <v>1255.85</v>
      </c>
      <c r="D986" s="14">
        <v>1267</v>
      </c>
      <c r="E986" s="14">
        <v>1249</v>
      </c>
      <c r="F986" s="14">
        <v>1253.05</v>
      </c>
      <c r="G986" s="14">
        <v>1266</v>
      </c>
      <c r="H986" s="14">
        <v>1265.1</v>
      </c>
      <c r="I986" s="14">
        <v>1261.32</v>
      </c>
      <c r="J986" s="14">
        <v>3217.6</v>
      </c>
      <c r="K986" s="14">
        <v>1201.5</v>
      </c>
      <c r="L986" s="15">
        <v>6584612</v>
      </c>
      <c r="M986" t="s" s="13">
        <v>987</v>
      </c>
      <c r="N986" s="15">
        <v>169481</v>
      </c>
      <c r="O986" s="17" cm="1">
        <f t="array" ref="O986">(H986-H985)/H985</f>
        <v>0.00961653565300666</v>
      </c>
    </row>
    <row r="987" ht="13.65" customHeight="1">
      <c r="A987" s="12">
        <v>45689</v>
      </c>
      <c r="B987" t="s" s="13">
        <v>22</v>
      </c>
      <c r="C987" s="14">
        <v>1265.1</v>
      </c>
      <c r="D987" s="14">
        <v>1270.55</v>
      </c>
      <c r="E987" s="14">
        <v>1241</v>
      </c>
      <c r="F987" s="14">
        <v>1265.1</v>
      </c>
      <c r="G987" s="14">
        <v>1264</v>
      </c>
      <c r="H987" s="14">
        <v>1264.6</v>
      </c>
      <c r="I987" s="14">
        <v>1260.42</v>
      </c>
      <c r="J987" s="14">
        <v>3217.6</v>
      </c>
      <c r="K987" s="14">
        <v>1201.5</v>
      </c>
      <c r="L987" s="15">
        <v>7118453</v>
      </c>
      <c r="M987" t="s" s="13">
        <v>988</v>
      </c>
      <c r="N987" s="15">
        <v>143258</v>
      </c>
      <c r="O987" s="17" cm="1">
        <f t="array" ref="O987">(H987-H986)/H986</f>
        <v>-0.000395225673859774</v>
      </c>
    </row>
    <row r="988" ht="13.65" customHeight="1">
      <c r="A988" s="12">
        <v>45691</v>
      </c>
      <c r="B988" t="s" s="13">
        <v>22</v>
      </c>
      <c r="C988" s="14">
        <v>1251</v>
      </c>
      <c r="D988" s="14">
        <v>1256</v>
      </c>
      <c r="E988" s="14">
        <v>1237.55</v>
      </c>
      <c r="F988" s="14">
        <v>1264.6</v>
      </c>
      <c r="G988" s="14">
        <v>1247</v>
      </c>
      <c r="H988" s="14">
        <v>1245.9</v>
      </c>
      <c r="I988" s="14">
        <v>1247.14</v>
      </c>
      <c r="J988" s="14">
        <v>3217.6</v>
      </c>
      <c r="K988" s="14">
        <v>1201.5</v>
      </c>
      <c r="L988" s="15">
        <v>9252345</v>
      </c>
      <c r="M988" t="s" s="13">
        <v>989</v>
      </c>
      <c r="N988" s="15">
        <v>268425</v>
      </c>
      <c r="O988" s="17" cm="1">
        <f t="array" ref="O988">(H988-H987)/H987</f>
        <v>-0.0147872845168433</v>
      </c>
    </row>
    <row r="989" ht="13.65" customHeight="1">
      <c r="A989" s="12">
        <v>45692</v>
      </c>
      <c r="B989" t="s" s="13">
        <v>22</v>
      </c>
      <c r="C989" s="14">
        <v>1248.05</v>
      </c>
      <c r="D989" s="14">
        <v>1288.8</v>
      </c>
      <c r="E989" s="14">
        <v>1246.6</v>
      </c>
      <c r="F989" s="14">
        <v>1245.9</v>
      </c>
      <c r="G989" s="14">
        <v>1282.9</v>
      </c>
      <c r="H989" s="14">
        <v>1285.2</v>
      </c>
      <c r="I989" s="14">
        <v>1273.65</v>
      </c>
      <c r="J989" s="14">
        <v>3217.6</v>
      </c>
      <c r="K989" s="14">
        <v>1201.5</v>
      </c>
      <c r="L989" s="15">
        <v>16691069</v>
      </c>
      <c r="M989" t="s" s="13">
        <v>990</v>
      </c>
      <c r="N989" s="15">
        <v>323415</v>
      </c>
      <c r="O989" s="17" cm="1">
        <f t="array" ref="O989">(H989-H988)/H988</f>
        <v>0.0315434625571876</v>
      </c>
    </row>
    <row r="990" ht="13.65" customHeight="1">
      <c r="A990" s="12">
        <v>45693</v>
      </c>
      <c r="B990" t="s" s="13">
        <v>22</v>
      </c>
      <c r="C990" s="14">
        <v>1282.65</v>
      </c>
      <c r="D990" s="14">
        <v>1290.5</v>
      </c>
      <c r="E990" s="14">
        <v>1276.7</v>
      </c>
      <c r="F990" s="14">
        <v>1285.2</v>
      </c>
      <c r="G990" s="14">
        <v>1278.5</v>
      </c>
      <c r="H990" s="14">
        <v>1278.2</v>
      </c>
      <c r="I990" s="14">
        <v>1281.97</v>
      </c>
      <c r="J990" s="14">
        <v>3217.6</v>
      </c>
      <c r="K990" s="14">
        <v>1201.5</v>
      </c>
      <c r="L990" s="15">
        <v>10112028</v>
      </c>
      <c r="M990" t="s" s="13">
        <v>991</v>
      </c>
      <c r="N990" s="15">
        <v>219550</v>
      </c>
      <c r="O990" s="17" cm="1">
        <f t="array" ref="O990">(H990-H989)/H989</f>
        <v>-0.00544662309368192</v>
      </c>
    </row>
    <row r="991" ht="13.65" customHeight="1">
      <c r="A991" s="12">
        <v>45694</v>
      </c>
      <c r="B991" t="s" s="13">
        <v>22</v>
      </c>
      <c r="C991" s="14">
        <v>1273.7</v>
      </c>
      <c r="D991" s="14">
        <v>1288</v>
      </c>
      <c r="E991" s="14">
        <v>1270.35</v>
      </c>
      <c r="F991" s="14">
        <v>1278.2</v>
      </c>
      <c r="G991" s="14">
        <v>1283</v>
      </c>
      <c r="H991" s="14">
        <v>1281.55</v>
      </c>
      <c r="I991" s="14">
        <v>1279.27</v>
      </c>
      <c r="J991" s="14">
        <v>3217.6</v>
      </c>
      <c r="K991" s="14">
        <v>1201.5</v>
      </c>
      <c r="L991" s="15">
        <v>9956001</v>
      </c>
      <c r="M991" t="s" s="13">
        <v>992</v>
      </c>
      <c r="N991" s="15">
        <v>217888</v>
      </c>
      <c r="O991" s="17" cm="1">
        <f t="array" ref="O991">(H991-H990)/H990</f>
        <v>0.00262087310280081</v>
      </c>
    </row>
    <row r="992" ht="13.65" customHeight="1">
      <c r="A992" s="12">
        <v>45695</v>
      </c>
      <c r="B992" t="s" s="13">
        <v>22</v>
      </c>
      <c r="C992" s="14">
        <v>1276.15</v>
      </c>
      <c r="D992" s="14">
        <v>1283.7</v>
      </c>
      <c r="E992" s="14">
        <v>1262</v>
      </c>
      <c r="F992" s="14">
        <v>1281.55</v>
      </c>
      <c r="G992" s="14">
        <v>1266.5</v>
      </c>
      <c r="H992" s="14">
        <v>1266.7</v>
      </c>
      <c r="I992" s="14">
        <v>1270.98</v>
      </c>
      <c r="J992" s="14">
        <v>3217.6</v>
      </c>
      <c r="K992" s="14">
        <v>1201.5</v>
      </c>
      <c r="L992" s="15">
        <v>8764283</v>
      </c>
      <c r="M992" t="s" s="13">
        <v>993</v>
      </c>
      <c r="N992" s="15">
        <v>174531</v>
      </c>
      <c r="O992" s="17" cm="1">
        <f t="array" ref="O992">(H992-H991)/H991</f>
        <v>-0.0115875307245133</v>
      </c>
    </row>
    <row r="993" ht="13.65" customHeight="1">
      <c r="A993" s="18">
        <v>45698</v>
      </c>
      <c r="B993" t="s" s="13">
        <v>22</v>
      </c>
      <c r="C993" s="14">
        <v>1264.5</v>
      </c>
      <c r="D993" s="14">
        <v>1266.5</v>
      </c>
      <c r="E993" s="14">
        <v>1245.55</v>
      </c>
      <c r="F993" s="14">
        <v>1266.7</v>
      </c>
      <c r="G993" s="14">
        <v>1254.65</v>
      </c>
      <c r="H993" s="14">
        <v>1253.65</v>
      </c>
      <c r="I993" s="14">
        <v>1251.52</v>
      </c>
      <c r="J993" s="14">
        <v>3217.6</v>
      </c>
      <c r="K993" s="14">
        <v>1201.5</v>
      </c>
      <c r="L993" s="15">
        <v>6970972</v>
      </c>
      <c r="M993" t="s" s="13">
        <v>994</v>
      </c>
      <c r="N993" s="15">
        <v>173316</v>
      </c>
      <c r="O993" s="17" cm="1">
        <f t="array" ref="O993">(H993-H992)/H992</f>
        <v>-0.0103023604641983</v>
      </c>
    </row>
    <row r="994" ht="13.65" customHeight="1">
      <c r="A994" s="18">
        <v>45699</v>
      </c>
      <c r="B994" t="s" s="13">
        <v>22</v>
      </c>
      <c r="C994" s="14">
        <v>1264.55</v>
      </c>
      <c r="D994" s="14">
        <v>1264.55</v>
      </c>
      <c r="E994" s="14">
        <v>1230.1</v>
      </c>
      <c r="F994" s="14">
        <v>1253.65</v>
      </c>
      <c r="G994" s="14">
        <v>1237.55</v>
      </c>
      <c r="H994" s="14">
        <v>1234.85</v>
      </c>
      <c r="I994" s="14">
        <v>1244.26</v>
      </c>
      <c r="J994" s="14">
        <v>3217.6</v>
      </c>
      <c r="K994" s="14">
        <v>1201.5</v>
      </c>
      <c r="L994" s="15">
        <v>8859714</v>
      </c>
      <c r="M994" t="s" s="13">
        <v>995</v>
      </c>
      <c r="N994" s="15">
        <v>240683</v>
      </c>
      <c r="O994" s="17" cm="1">
        <f t="array" ref="O994">(H994-H993)/H993</f>
        <v>-0.014996211063694</v>
      </c>
    </row>
    <row r="995" ht="13.65" customHeight="1">
      <c r="A995" s="18">
        <v>45700</v>
      </c>
      <c r="B995" t="s" s="13">
        <v>22</v>
      </c>
      <c r="C995" s="14">
        <v>1219.45</v>
      </c>
      <c r="D995" s="14">
        <v>1226.9</v>
      </c>
      <c r="E995" s="14">
        <v>1193.35</v>
      </c>
      <c r="F995" s="14">
        <v>1234.85</v>
      </c>
      <c r="G995" s="14">
        <v>1217.05</v>
      </c>
      <c r="H995" s="14">
        <v>1216.55</v>
      </c>
      <c r="I995" s="14">
        <v>1211.39</v>
      </c>
      <c r="J995" s="14">
        <v>3217.6</v>
      </c>
      <c r="K995" s="14">
        <v>1193.35</v>
      </c>
      <c r="L995" s="15">
        <v>21131654</v>
      </c>
      <c r="M995" t="s" s="13">
        <v>996</v>
      </c>
      <c r="N995" s="15">
        <v>404276</v>
      </c>
      <c r="O995" s="17" cm="1">
        <f t="array" ref="O995">(H995-H994)/H994</f>
        <v>-0.0148196137182654</v>
      </c>
    </row>
    <row r="996" ht="13.65" customHeight="1">
      <c r="A996" s="18">
        <v>45701</v>
      </c>
      <c r="B996" t="s" s="13">
        <v>22</v>
      </c>
      <c r="C996" s="14">
        <v>1217.05</v>
      </c>
      <c r="D996" s="14">
        <v>1228</v>
      </c>
      <c r="E996" s="14">
        <v>1212</v>
      </c>
      <c r="F996" s="14">
        <v>1216.55</v>
      </c>
      <c r="G996" s="14">
        <v>1216.2</v>
      </c>
      <c r="H996" s="14">
        <v>1216.1</v>
      </c>
      <c r="I996" s="14">
        <v>1219.6</v>
      </c>
      <c r="J996" s="14">
        <v>3217.6</v>
      </c>
      <c r="K996" s="14">
        <v>1193.35</v>
      </c>
      <c r="L996" s="15">
        <v>8511216</v>
      </c>
      <c r="M996" t="s" s="13">
        <v>997</v>
      </c>
      <c r="N996" s="15">
        <v>266249</v>
      </c>
      <c r="O996" s="17" cm="1">
        <f t="array" ref="O996">(H996-H995)/H995</f>
        <v>-0.000369898483416218</v>
      </c>
    </row>
    <row r="997" ht="13.65" customHeight="1">
      <c r="A997" s="18">
        <v>45702</v>
      </c>
      <c r="B997" t="s" s="13">
        <v>22</v>
      </c>
      <c r="C997" s="14">
        <v>1219</v>
      </c>
      <c r="D997" s="14">
        <v>1224</v>
      </c>
      <c r="E997" s="14">
        <v>1205.45</v>
      </c>
      <c r="F997" s="14">
        <v>1216.1</v>
      </c>
      <c r="G997" s="14">
        <v>1214.75</v>
      </c>
      <c r="H997" s="14">
        <v>1217.25</v>
      </c>
      <c r="I997" s="14">
        <v>1215.1</v>
      </c>
      <c r="J997" s="14">
        <v>3217.6</v>
      </c>
      <c r="K997" s="14">
        <v>1193.35</v>
      </c>
      <c r="L997" s="15">
        <v>10298145</v>
      </c>
      <c r="M997" t="s" s="13">
        <v>998</v>
      </c>
      <c r="N997" s="15">
        <v>202314</v>
      </c>
      <c r="O997" s="17" cm="1">
        <f t="array" ref="O997">(H997-H996)/H996</f>
        <v>0.00094564591727654</v>
      </c>
    </row>
    <row r="998" ht="13.65" customHeight="1">
      <c r="A998" s="18">
        <v>45705</v>
      </c>
      <c r="B998" t="s" s="13">
        <v>22</v>
      </c>
      <c r="C998" s="14">
        <v>1211.1</v>
      </c>
      <c r="D998" s="14">
        <v>1227.5</v>
      </c>
      <c r="E998" s="14">
        <v>1204.5</v>
      </c>
      <c r="F998" s="14">
        <v>1217.25</v>
      </c>
      <c r="G998" s="14">
        <v>1225.45</v>
      </c>
      <c r="H998" s="14">
        <v>1224.9</v>
      </c>
      <c r="I998" s="14">
        <v>1219.62</v>
      </c>
      <c r="J998" s="14">
        <v>3217.6</v>
      </c>
      <c r="K998" s="14">
        <v>1193.35</v>
      </c>
      <c r="L998" s="15">
        <v>8166683</v>
      </c>
      <c r="M998" t="s" s="13">
        <v>999</v>
      </c>
      <c r="N998" s="15">
        <v>220670</v>
      </c>
      <c r="O998" s="17" cm="1">
        <f t="array" ref="O998">(H998-H997)/H997</f>
        <v>0.00628465804066543</v>
      </c>
    </row>
    <row r="999" ht="13.65" customHeight="1">
      <c r="A999" s="18">
        <v>45706</v>
      </c>
      <c r="B999" t="s" s="13">
        <v>22</v>
      </c>
      <c r="C999" s="14">
        <v>1224.85</v>
      </c>
      <c r="D999" s="14">
        <v>1229.9</v>
      </c>
      <c r="E999" s="14">
        <v>1216.1</v>
      </c>
      <c r="F999" s="14">
        <v>1224.9</v>
      </c>
      <c r="G999" s="14">
        <v>1223.95</v>
      </c>
      <c r="H999" s="14">
        <v>1225.4</v>
      </c>
      <c r="I999" s="14">
        <v>1223.94</v>
      </c>
      <c r="J999" s="14">
        <v>3217.6</v>
      </c>
      <c r="K999" s="14">
        <v>1193.35</v>
      </c>
      <c r="L999" s="15">
        <v>6673250</v>
      </c>
      <c r="M999" t="s" s="13">
        <v>1000</v>
      </c>
      <c r="N999" s="15">
        <v>181273</v>
      </c>
      <c r="O999" s="17" cm="1">
        <f t="array" ref="O999">(H999-H998)/H998</f>
        <v>0.000408196587476529</v>
      </c>
    </row>
    <row r="1000" ht="13.65" customHeight="1">
      <c r="A1000" s="18">
        <v>45707</v>
      </c>
      <c r="B1000" t="s" s="13">
        <v>22</v>
      </c>
      <c r="C1000" s="14">
        <v>1219.5</v>
      </c>
      <c r="D1000" s="14">
        <v>1232.75</v>
      </c>
      <c r="E1000" s="14">
        <v>1217.55</v>
      </c>
      <c r="F1000" s="14">
        <v>1225.4</v>
      </c>
      <c r="G1000" s="14">
        <v>1226.3</v>
      </c>
      <c r="H1000" s="14">
        <v>1227.45</v>
      </c>
      <c r="I1000" s="14">
        <v>1226.67</v>
      </c>
      <c r="J1000" s="14">
        <v>3217.6</v>
      </c>
      <c r="K1000" s="14">
        <v>1193.35</v>
      </c>
      <c r="L1000" s="15">
        <v>6217338</v>
      </c>
      <c r="M1000" t="s" s="13">
        <v>1001</v>
      </c>
      <c r="N1000" s="15">
        <v>178165</v>
      </c>
      <c r="O1000" s="17" cm="1">
        <f t="array" ref="O1000">(H1000-H999)/H999</f>
        <v>0.00167292312714216</v>
      </c>
    </row>
    <row r="1001" ht="13.65" customHeight="1">
      <c r="A1001" s="18">
        <v>45708</v>
      </c>
      <c r="B1001" t="s" s="13">
        <v>22</v>
      </c>
      <c r="C1001" s="14">
        <v>1223.95</v>
      </c>
      <c r="D1001" s="14">
        <v>1239.35</v>
      </c>
      <c r="E1001" s="14">
        <v>1222</v>
      </c>
      <c r="F1001" s="14">
        <v>1227.45</v>
      </c>
      <c r="G1001" s="14">
        <v>1232</v>
      </c>
      <c r="H1001" s="14">
        <v>1233</v>
      </c>
      <c r="I1001" s="14">
        <v>1233.94</v>
      </c>
      <c r="J1001" s="14">
        <v>3217.6</v>
      </c>
      <c r="K1001" s="14">
        <v>1193.35</v>
      </c>
      <c r="L1001" s="15">
        <v>7795582</v>
      </c>
      <c r="M1001" t="s" s="13">
        <v>1002</v>
      </c>
      <c r="N1001" s="15">
        <v>162561</v>
      </c>
      <c r="O1001" s="17" cm="1">
        <f t="array" ref="O1001">(H1001-H1000)/H1000</f>
        <v>0.00452156910668459</v>
      </c>
    </row>
    <row r="1002" ht="13.65" customHeight="1">
      <c r="A1002" s="18">
        <v>45709</v>
      </c>
      <c r="B1002" t="s" s="13">
        <v>22</v>
      </c>
      <c r="C1002" s="14">
        <v>1228.7</v>
      </c>
      <c r="D1002" s="14">
        <v>1240</v>
      </c>
      <c r="E1002" s="14">
        <v>1222.15</v>
      </c>
      <c r="F1002" s="14">
        <v>1233</v>
      </c>
      <c r="G1002" s="14">
        <v>1226.9</v>
      </c>
      <c r="H1002" s="14">
        <v>1228.15</v>
      </c>
      <c r="I1002" s="14">
        <v>1231.37</v>
      </c>
      <c r="J1002" s="14">
        <v>3217.6</v>
      </c>
      <c r="K1002" s="14">
        <v>1193.35</v>
      </c>
      <c r="L1002" s="15">
        <v>6904025</v>
      </c>
      <c r="M1002" t="s" s="13">
        <v>1003</v>
      </c>
      <c r="N1002" s="15">
        <v>213824</v>
      </c>
      <c r="O1002" s="17" cm="1">
        <f t="array" ref="O1002">(H1002-H1001)/H1001</f>
        <v>-0.00393349553933496</v>
      </c>
    </row>
    <row r="1003" ht="13.65" customHeight="1">
      <c r="A1003" s="18">
        <v>45712</v>
      </c>
      <c r="B1003" t="s" s="13">
        <v>22</v>
      </c>
      <c r="C1003" s="14">
        <v>1216.55</v>
      </c>
      <c r="D1003" s="14">
        <v>1223.25</v>
      </c>
      <c r="E1003" s="14">
        <v>1210.5</v>
      </c>
      <c r="F1003" s="14">
        <v>1228.15</v>
      </c>
      <c r="G1003" s="14">
        <v>1215</v>
      </c>
      <c r="H1003" s="14">
        <v>1214.55</v>
      </c>
      <c r="I1003" s="14">
        <v>1215.9</v>
      </c>
      <c r="J1003" s="14">
        <v>3217.6</v>
      </c>
      <c r="K1003" s="14">
        <v>1193.35</v>
      </c>
      <c r="L1003" s="15">
        <v>7172498</v>
      </c>
      <c r="M1003" t="s" s="13">
        <v>1004</v>
      </c>
      <c r="N1003" s="15">
        <v>200264</v>
      </c>
      <c r="O1003" s="17" cm="1">
        <f t="array" ref="O1003">(H1003-H1002)/H1002</f>
        <v>-0.0110735659325001</v>
      </c>
    </row>
    <row r="1004" ht="13.65" customHeight="1">
      <c r="A1004" s="18">
        <v>45713</v>
      </c>
      <c r="B1004" t="s" s="13">
        <v>22</v>
      </c>
      <c r="C1004" s="14">
        <v>1211</v>
      </c>
      <c r="D1004" s="14">
        <v>1221</v>
      </c>
      <c r="E1004" s="14">
        <v>1201.5</v>
      </c>
      <c r="F1004" s="14">
        <v>1214.55</v>
      </c>
      <c r="G1004" s="14">
        <v>1202</v>
      </c>
      <c r="H1004" s="14">
        <v>1204</v>
      </c>
      <c r="I1004" s="14">
        <v>1209.6</v>
      </c>
      <c r="J1004" s="14">
        <v>3217.6</v>
      </c>
      <c r="K1004" s="14">
        <v>1193.35</v>
      </c>
      <c r="L1004" s="15">
        <v>11552182</v>
      </c>
      <c r="M1004" t="s" s="13">
        <v>1005</v>
      </c>
      <c r="N1004" s="15">
        <v>213192</v>
      </c>
      <c r="O1004" s="17" cm="1">
        <f t="array" ref="O1004">(H1004-H1003)/H1003</f>
        <v>-0.00868634473673377</v>
      </c>
    </row>
    <row r="1005" ht="13.65" customHeight="1">
      <c r="A1005" s="18">
        <v>45715</v>
      </c>
      <c r="B1005" t="s" s="13">
        <v>22</v>
      </c>
      <c r="C1005" s="14">
        <v>1212.8</v>
      </c>
      <c r="D1005" s="14">
        <v>1215</v>
      </c>
      <c r="E1005" s="14">
        <v>1200.65</v>
      </c>
      <c r="F1005" s="14">
        <v>1204</v>
      </c>
      <c r="G1005" s="14">
        <v>1208</v>
      </c>
      <c r="H1005" s="14">
        <v>1207.1</v>
      </c>
      <c r="I1005" s="14">
        <v>1206.31</v>
      </c>
      <c r="J1005" s="14">
        <v>3217.6</v>
      </c>
      <c r="K1005" s="14">
        <v>1193.35</v>
      </c>
      <c r="L1005" s="15">
        <v>11509215</v>
      </c>
      <c r="M1005" t="s" s="13">
        <v>1006</v>
      </c>
      <c r="N1005" s="15">
        <v>236188</v>
      </c>
      <c r="O1005" s="17" cm="1">
        <f t="array" ref="O1005">(H1005-H1004)/H1004</f>
        <v>0.00257475083056478</v>
      </c>
    </row>
    <row r="1006" ht="13.65" customHeight="1">
      <c r="A1006" s="18">
        <v>45716</v>
      </c>
      <c r="B1006" t="s" s="13">
        <v>22</v>
      </c>
      <c r="C1006" s="14">
        <v>1202</v>
      </c>
      <c r="D1006" s="14">
        <v>1217.35</v>
      </c>
      <c r="E1006" s="14">
        <v>1193.3</v>
      </c>
      <c r="F1006" s="14">
        <v>1207.1</v>
      </c>
      <c r="G1006" s="14">
        <v>1198</v>
      </c>
      <c r="H1006" s="14">
        <v>1200.1</v>
      </c>
      <c r="I1006" s="14">
        <v>1205.62</v>
      </c>
      <c r="J1006" s="14">
        <v>3217.6</v>
      </c>
      <c r="K1006" s="14">
        <v>1193.3</v>
      </c>
      <c r="L1006" s="15">
        <v>23007298</v>
      </c>
      <c r="M1006" t="s" s="13">
        <v>1007</v>
      </c>
      <c r="N1006" s="15">
        <v>355378</v>
      </c>
      <c r="O1006" s="17" cm="1">
        <f t="array" ref="O1006">(H1006-H1005)/H1005</f>
        <v>-0.0057990224505012</v>
      </c>
    </row>
    <row r="1007" ht="13.65" customHeight="1">
      <c r="A1007" s="12">
        <v>45719</v>
      </c>
      <c r="B1007" t="s" s="13">
        <v>22</v>
      </c>
      <c r="C1007" s="14">
        <v>1204</v>
      </c>
      <c r="D1007" s="14">
        <v>1206.45</v>
      </c>
      <c r="E1007" s="14">
        <v>1156</v>
      </c>
      <c r="F1007" s="14">
        <v>1200.1</v>
      </c>
      <c r="G1007" s="14">
        <v>1174</v>
      </c>
      <c r="H1007" s="14">
        <v>1171.25</v>
      </c>
      <c r="I1007" s="14">
        <v>1168.57</v>
      </c>
      <c r="J1007" s="14">
        <v>3217.6</v>
      </c>
      <c r="K1007" s="14">
        <v>1156</v>
      </c>
      <c r="L1007" s="15">
        <v>17944938</v>
      </c>
      <c r="M1007" t="s" s="13">
        <v>1008</v>
      </c>
      <c r="N1007" s="15">
        <v>682013</v>
      </c>
      <c r="O1007" s="17" cm="1">
        <f t="array" ref="O1007">(H1007-H1006)/H1006</f>
        <v>-0.0240396633613866</v>
      </c>
    </row>
    <row r="1008" ht="13.65" customHeight="1">
      <c r="A1008" s="12">
        <v>45720</v>
      </c>
      <c r="B1008" t="s" s="13">
        <v>22</v>
      </c>
      <c r="C1008" s="14">
        <v>1162.2</v>
      </c>
      <c r="D1008" s="14">
        <v>1174</v>
      </c>
      <c r="E1008" s="14">
        <v>1159.55</v>
      </c>
      <c r="F1008" s="14">
        <v>1171.25</v>
      </c>
      <c r="G1008" s="14">
        <v>1160.45</v>
      </c>
      <c r="H1008" s="14">
        <v>1161.9</v>
      </c>
      <c r="I1008" s="14">
        <v>1164.92</v>
      </c>
      <c r="J1008" s="14">
        <v>3217.6</v>
      </c>
      <c r="K1008" s="14">
        <v>1156</v>
      </c>
      <c r="L1008" s="15">
        <v>11377373</v>
      </c>
      <c r="M1008" t="s" s="13">
        <v>1009</v>
      </c>
      <c r="N1008" s="15">
        <v>275459</v>
      </c>
      <c r="O1008" s="17" cm="1">
        <f t="array" ref="O1008">(H1008-H1007)/H1007</f>
        <v>-0.007982924226254001</v>
      </c>
    </row>
    <row r="1009" ht="13.65" customHeight="1">
      <c r="A1009" s="12">
        <v>45721</v>
      </c>
      <c r="B1009" t="s" s="13">
        <v>22</v>
      </c>
      <c r="C1009" s="14">
        <v>1161</v>
      </c>
      <c r="D1009" s="14">
        <v>1183</v>
      </c>
      <c r="E1009" s="14">
        <v>1157</v>
      </c>
      <c r="F1009" s="14">
        <v>1161.9</v>
      </c>
      <c r="G1009" s="14">
        <v>1177.15</v>
      </c>
      <c r="H1009" s="14">
        <v>1175.6</v>
      </c>
      <c r="I1009" s="14">
        <v>1173.4</v>
      </c>
      <c r="J1009" s="14">
        <v>3217.6</v>
      </c>
      <c r="K1009" s="14">
        <v>1156</v>
      </c>
      <c r="L1009" s="15">
        <v>8664095</v>
      </c>
      <c r="M1009" t="s" s="13">
        <v>1010</v>
      </c>
      <c r="N1009" s="15">
        <v>196774</v>
      </c>
      <c r="O1009" s="17" cm="1">
        <f t="array" ref="O1009">(H1009-H1008)/H1008</f>
        <v>0.0117910319304587</v>
      </c>
    </row>
    <row r="1010" ht="13.65" customHeight="1">
      <c r="A1010" s="12">
        <v>45722</v>
      </c>
      <c r="B1010" t="s" s="13">
        <v>22</v>
      </c>
      <c r="C1010" s="14">
        <v>1197</v>
      </c>
      <c r="D1010" s="14">
        <v>1213.95</v>
      </c>
      <c r="E1010" s="14">
        <v>1185.15</v>
      </c>
      <c r="F1010" s="14">
        <v>1175.6</v>
      </c>
      <c r="G1010" s="14">
        <v>1211.5</v>
      </c>
      <c r="H1010" s="14">
        <v>1209.6</v>
      </c>
      <c r="I1010" s="14">
        <v>1199.05</v>
      </c>
      <c r="J1010" s="14">
        <v>3217.6</v>
      </c>
      <c r="K1010" s="14">
        <v>1156</v>
      </c>
      <c r="L1010" s="15">
        <v>14468014</v>
      </c>
      <c r="M1010" t="s" s="13">
        <v>1011</v>
      </c>
      <c r="N1010" s="15">
        <v>250467</v>
      </c>
      <c r="O1010" s="17" cm="1">
        <f t="array" ref="O1010">(H1010-H1009)/H1009</f>
        <v>0.0289214018373596</v>
      </c>
    </row>
    <row r="1011" ht="13.65" customHeight="1">
      <c r="A1011" s="12">
        <v>45723</v>
      </c>
      <c r="B1011" t="s" s="13">
        <v>22</v>
      </c>
      <c r="C1011" s="14">
        <v>1216</v>
      </c>
      <c r="D1011" s="14">
        <v>1254.8</v>
      </c>
      <c r="E1011" s="14">
        <v>1212</v>
      </c>
      <c r="F1011" s="14">
        <v>1209.6</v>
      </c>
      <c r="G1011" s="14">
        <v>1246.4</v>
      </c>
      <c r="H1011" s="14">
        <v>1249.8</v>
      </c>
      <c r="I1011" s="14">
        <v>1243.95</v>
      </c>
      <c r="J1011" s="14">
        <v>3217.6</v>
      </c>
      <c r="K1011" s="14">
        <v>1156</v>
      </c>
      <c r="L1011" s="15">
        <v>16474965</v>
      </c>
      <c r="M1011" t="s" s="13">
        <v>1012</v>
      </c>
      <c r="N1011" s="15">
        <v>424924</v>
      </c>
      <c r="O1011" s="17" cm="1">
        <f t="array" ref="O1011">(H1011-H1010)/H1010</f>
        <v>0.033234126984127</v>
      </c>
    </row>
    <row r="1012" ht="13.65" customHeight="1">
      <c r="A1012" s="18">
        <v>45726</v>
      </c>
      <c r="B1012" t="s" s="13">
        <v>22</v>
      </c>
      <c r="C1012" s="14">
        <v>1245</v>
      </c>
      <c r="D1012" s="14">
        <v>1258</v>
      </c>
      <c r="E1012" s="14">
        <v>1235.4</v>
      </c>
      <c r="F1012" s="14">
        <v>1249.8</v>
      </c>
      <c r="G1012" s="14">
        <v>1237.7</v>
      </c>
      <c r="H1012" s="14">
        <v>1238.4</v>
      </c>
      <c r="I1012" s="14">
        <v>1245.85</v>
      </c>
      <c r="J1012" s="14">
        <v>3217.6</v>
      </c>
      <c r="K1012" s="14">
        <v>1156</v>
      </c>
      <c r="L1012" s="15">
        <v>11931051</v>
      </c>
      <c r="M1012" t="s" s="13">
        <v>1013</v>
      </c>
      <c r="N1012" s="15">
        <v>288299</v>
      </c>
      <c r="O1012" s="17" cm="1">
        <f t="array" ref="O1012">(H1012-H1011)/H1011</f>
        <v>-0.009121459433509361</v>
      </c>
    </row>
    <row r="1013" ht="13.65" customHeight="1">
      <c r="A1013" s="18">
        <v>45727</v>
      </c>
      <c r="B1013" t="s" s="13">
        <v>22</v>
      </c>
      <c r="C1013" s="14">
        <v>1240</v>
      </c>
      <c r="D1013" s="14">
        <v>1249.5</v>
      </c>
      <c r="E1013" s="14">
        <v>1229.75</v>
      </c>
      <c r="F1013" s="14">
        <v>1238.4</v>
      </c>
      <c r="G1013" s="14">
        <v>1247.25</v>
      </c>
      <c r="H1013" s="14">
        <v>1247.3</v>
      </c>
      <c r="I1013" s="14">
        <v>1241.71</v>
      </c>
      <c r="J1013" s="14">
        <v>3217.6</v>
      </c>
      <c r="K1013" s="14">
        <v>1156</v>
      </c>
      <c r="L1013" s="15">
        <v>10089838</v>
      </c>
      <c r="M1013" t="s" s="13">
        <v>1014</v>
      </c>
      <c r="N1013" s="15">
        <v>155065</v>
      </c>
      <c r="O1013" s="17" cm="1">
        <f t="array" ref="O1013">(H1013-H1012)/H1012</f>
        <v>0.00718669250645995</v>
      </c>
    </row>
    <row r="1014" ht="13.65" customHeight="1">
      <c r="A1014" s="18">
        <v>45728</v>
      </c>
      <c r="B1014" t="s" s="13">
        <v>22</v>
      </c>
      <c r="C1014" s="14">
        <v>1258</v>
      </c>
      <c r="D1014" s="14">
        <v>1263</v>
      </c>
      <c r="E1014" s="14">
        <v>1244</v>
      </c>
      <c r="F1014" s="14">
        <v>1247.3</v>
      </c>
      <c r="G1014" s="14">
        <v>1255.95</v>
      </c>
      <c r="H1014" s="14">
        <v>1257.05</v>
      </c>
      <c r="I1014" s="14">
        <v>1252.97</v>
      </c>
      <c r="J1014" s="14">
        <v>3217.6</v>
      </c>
      <c r="K1014" s="14">
        <v>1156</v>
      </c>
      <c r="L1014" s="15">
        <v>11977555</v>
      </c>
      <c r="M1014" t="s" s="13">
        <v>1015</v>
      </c>
      <c r="N1014" s="15">
        <v>161536</v>
      </c>
      <c r="O1014" s="17" cm="1">
        <f t="array" ref="O1014">(H1014-H1013)/H1013</f>
        <v>0.007816884470456189</v>
      </c>
    </row>
    <row r="1015" ht="13.65" customHeight="1">
      <c r="A1015" s="18">
        <v>45729</v>
      </c>
      <c r="B1015" t="s" s="13">
        <v>22</v>
      </c>
      <c r="C1015" s="14">
        <v>1260.05</v>
      </c>
      <c r="D1015" s="14">
        <v>1264.15</v>
      </c>
      <c r="E1015" s="14">
        <v>1243.85</v>
      </c>
      <c r="F1015" s="14">
        <v>1257.05</v>
      </c>
      <c r="G1015" s="14">
        <v>1246.65</v>
      </c>
      <c r="H1015" s="14">
        <v>1247.9</v>
      </c>
      <c r="I1015" s="14">
        <v>1254.23</v>
      </c>
      <c r="J1015" s="14">
        <v>3217.6</v>
      </c>
      <c r="K1015" s="14">
        <v>1156</v>
      </c>
      <c r="L1015" s="15">
        <v>9505270</v>
      </c>
      <c r="M1015" t="s" s="13">
        <v>1016</v>
      </c>
      <c r="N1015" s="15">
        <v>194588</v>
      </c>
      <c r="O1015" s="17" cm="1">
        <f t="array" ref="O1015">(H1015-H1014)/H1014</f>
        <v>-0.00727894674038423</v>
      </c>
    </row>
    <row r="1016" ht="13.65" customHeight="1">
      <c r="A1016" s="18">
        <v>45733</v>
      </c>
      <c r="B1016" t="s" s="13">
        <v>22</v>
      </c>
      <c r="C1016" s="14">
        <v>1242.15</v>
      </c>
      <c r="D1016" s="14">
        <v>1257.4</v>
      </c>
      <c r="E1016" s="14">
        <v>1233.1</v>
      </c>
      <c r="F1016" s="14">
        <v>1247.9</v>
      </c>
      <c r="G1016" s="14">
        <v>1241.55</v>
      </c>
      <c r="H1016" s="14">
        <v>1238.85</v>
      </c>
      <c r="I1016" s="14">
        <v>1239.76</v>
      </c>
      <c r="J1016" s="14">
        <v>3217.6</v>
      </c>
      <c r="K1016" s="14">
        <v>1156</v>
      </c>
      <c r="L1016" s="15">
        <v>16640952</v>
      </c>
      <c r="M1016" t="s" s="13">
        <v>1017</v>
      </c>
      <c r="N1016" s="15">
        <v>269824</v>
      </c>
      <c r="O1016" s="17" cm="1">
        <f t="array" ref="O1016">(H1016-H1015)/H1015</f>
        <v>-0.00725218366856319</v>
      </c>
    </row>
    <row r="1017" ht="13.65" customHeight="1">
      <c r="A1017" s="18">
        <v>45734</v>
      </c>
      <c r="B1017" t="s" s="13">
        <v>22</v>
      </c>
      <c r="C1017" s="14">
        <v>1244.7</v>
      </c>
      <c r="D1017" s="14">
        <v>1248.35</v>
      </c>
      <c r="E1017" s="14">
        <v>1235</v>
      </c>
      <c r="F1017" s="14">
        <v>1238.85</v>
      </c>
      <c r="G1017" s="14">
        <v>1239.95</v>
      </c>
      <c r="H1017" s="14">
        <v>1238.8</v>
      </c>
      <c r="I1017" s="14">
        <v>1238.98</v>
      </c>
      <c r="J1017" s="14">
        <v>3217.6</v>
      </c>
      <c r="K1017" s="14">
        <v>1156</v>
      </c>
      <c r="L1017" s="15">
        <v>15745877</v>
      </c>
      <c r="M1017" t="s" s="13">
        <v>1018</v>
      </c>
      <c r="N1017" s="15">
        <v>312315</v>
      </c>
      <c r="O1017" s="17" cm="1">
        <f t="array" ref="O1017">(H1017-H1016)/H1016</f>
        <v>-4.03600113008032e-05</v>
      </c>
    </row>
    <row r="1018" ht="13.65" customHeight="1">
      <c r="A1018" s="18">
        <v>45735</v>
      </c>
      <c r="B1018" t="s" s="13">
        <v>22</v>
      </c>
      <c r="C1018" s="14">
        <v>1241.05</v>
      </c>
      <c r="D1018" s="14">
        <v>1253.25</v>
      </c>
      <c r="E1018" s="14">
        <v>1238.8</v>
      </c>
      <c r="F1018" s="14">
        <v>1238.8</v>
      </c>
      <c r="G1018" s="14">
        <v>1248</v>
      </c>
      <c r="H1018" s="14">
        <v>1247.15</v>
      </c>
      <c r="I1018" s="14">
        <v>1247.22</v>
      </c>
      <c r="J1018" s="14">
        <v>3217.6</v>
      </c>
      <c r="K1018" s="14">
        <v>1156</v>
      </c>
      <c r="L1018" s="15">
        <v>16162399</v>
      </c>
      <c r="M1018" t="s" s="13">
        <v>1019</v>
      </c>
      <c r="N1018" s="15">
        <v>217782</v>
      </c>
      <c r="O1018" s="17" cm="1">
        <f t="array" ref="O1018">(H1018-H1017)/H1017</f>
        <v>0.0067403939296093</v>
      </c>
    </row>
    <row r="1019" ht="13.65" customHeight="1">
      <c r="A1019" s="18">
        <v>45736</v>
      </c>
      <c r="B1019" t="s" s="13">
        <v>22</v>
      </c>
      <c r="C1019" s="14">
        <v>1251.85</v>
      </c>
      <c r="D1019" s="14">
        <v>1273</v>
      </c>
      <c r="E1019" s="14">
        <v>1250.05</v>
      </c>
      <c r="F1019" s="14">
        <v>1247.15</v>
      </c>
      <c r="G1019" s="14">
        <v>1268.2</v>
      </c>
      <c r="H1019" s="14">
        <v>1269.15</v>
      </c>
      <c r="I1019" s="14">
        <v>1262.54</v>
      </c>
      <c r="J1019" s="14">
        <v>3217.6</v>
      </c>
      <c r="K1019" s="14">
        <v>1156</v>
      </c>
      <c r="L1019" s="15">
        <v>15971477</v>
      </c>
      <c r="M1019" t="s" s="13">
        <v>1020</v>
      </c>
      <c r="N1019" s="15">
        <v>219527</v>
      </c>
      <c r="O1019" s="17" cm="1">
        <f t="array" ref="O1019">(H1019-H1018)/H1018</f>
        <v>0.0176402197009181</v>
      </c>
    </row>
    <row r="1020" ht="13.65" customHeight="1">
      <c r="A1020" s="18">
        <v>45737</v>
      </c>
      <c r="B1020" t="s" s="13">
        <v>22</v>
      </c>
      <c r="C1020" s="14">
        <v>1275</v>
      </c>
      <c r="D1020" s="14">
        <v>1281</v>
      </c>
      <c r="E1020" s="14">
        <v>1270.1</v>
      </c>
      <c r="F1020" s="14">
        <v>1269.15</v>
      </c>
      <c r="G1020" s="14">
        <v>1277.5</v>
      </c>
      <c r="H1020" s="14">
        <v>1276.35</v>
      </c>
      <c r="I1020" s="14">
        <v>1276.34</v>
      </c>
      <c r="J1020" s="14">
        <v>3217.6</v>
      </c>
      <c r="K1020" s="14">
        <v>1156</v>
      </c>
      <c r="L1020" s="15">
        <v>21780769</v>
      </c>
      <c r="M1020" t="s" s="13">
        <v>1021</v>
      </c>
      <c r="N1020" s="15">
        <v>230001</v>
      </c>
      <c r="O1020" s="17" cm="1">
        <f t="array" ref="O1020">(H1020-H1019)/H1019</f>
        <v>0.00567308828743647</v>
      </c>
    </row>
    <row r="1021" ht="13.65" customHeight="1">
      <c r="A1021" s="18">
        <v>45740</v>
      </c>
      <c r="B1021" t="s" s="13">
        <v>22</v>
      </c>
      <c r="C1021" s="14">
        <v>1291</v>
      </c>
      <c r="D1021" s="14">
        <v>1306</v>
      </c>
      <c r="E1021" s="14">
        <v>1284.25</v>
      </c>
      <c r="F1021" s="14">
        <v>1276.35</v>
      </c>
      <c r="G1021" s="14">
        <v>1302.65</v>
      </c>
      <c r="H1021" s="14">
        <v>1302.1</v>
      </c>
      <c r="I1021" s="14">
        <v>1297.38</v>
      </c>
      <c r="J1021" s="14">
        <v>3217.6</v>
      </c>
      <c r="K1021" s="14">
        <v>1156</v>
      </c>
      <c r="L1021" s="15">
        <v>20299319</v>
      </c>
      <c r="M1021" t="s" s="13">
        <v>1022</v>
      </c>
      <c r="N1021" s="15">
        <v>347056</v>
      </c>
      <c r="O1021" s="17" cm="1">
        <f t="array" ref="O1021">(H1021-H1020)/H1020</f>
        <v>0.0201747169663494</v>
      </c>
    </row>
    <row r="1022" ht="13.65" customHeight="1">
      <c r="A1022" s="18">
        <v>45741</v>
      </c>
      <c r="B1022" t="s" s="13">
        <v>22</v>
      </c>
      <c r="C1022" s="14">
        <v>1307.7</v>
      </c>
      <c r="D1022" s="14">
        <v>1307.7</v>
      </c>
      <c r="E1022" s="14">
        <v>1282.6</v>
      </c>
      <c r="F1022" s="14">
        <v>1302.1</v>
      </c>
      <c r="G1022" s="14">
        <v>1285.25</v>
      </c>
      <c r="H1022" s="14">
        <v>1285.45</v>
      </c>
      <c r="I1022" s="14">
        <v>1290.63</v>
      </c>
      <c r="J1022" s="14">
        <v>3217.6</v>
      </c>
      <c r="K1022" s="14">
        <v>1156</v>
      </c>
      <c r="L1022" s="15">
        <v>13713899</v>
      </c>
      <c r="M1022" t="s" s="13">
        <v>1023</v>
      </c>
      <c r="N1022" s="15">
        <v>271251</v>
      </c>
      <c r="O1022" s="17" cm="1">
        <f t="array" ref="O1022">(H1022-H1021)/H1021</f>
        <v>-0.012787036325935</v>
      </c>
    </row>
    <row r="1023" ht="13.65" customHeight="1">
      <c r="A1023" s="18">
        <v>45742</v>
      </c>
      <c r="B1023" t="s" s="13">
        <v>22</v>
      </c>
      <c r="C1023" s="14">
        <v>1291</v>
      </c>
      <c r="D1023" s="14">
        <v>1293.8</v>
      </c>
      <c r="E1023" s="14">
        <v>1268.75</v>
      </c>
      <c r="F1023" s="14">
        <v>1285.45</v>
      </c>
      <c r="G1023" s="14">
        <v>1270.9</v>
      </c>
      <c r="H1023" s="14">
        <v>1273.05</v>
      </c>
      <c r="I1023" s="14">
        <v>1279.04</v>
      </c>
      <c r="J1023" s="14">
        <v>3217.6</v>
      </c>
      <c r="K1023" s="14">
        <v>1156</v>
      </c>
      <c r="L1023" s="15">
        <v>12074747</v>
      </c>
      <c r="M1023" t="s" s="13">
        <v>1024</v>
      </c>
      <c r="N1023" s="15">
        <v>292138</v>
      </c>
      <c r="O1023" s="17" cm="1">
        <f t="array" ref="O1023">(H1023-H1022)/H1022</f>
        <v>-0.009646427321171569</v>
      </c>
    </row>
    <row r="1024" ht="13.65" customHeight="1">
      <c r="A1024" s="18">
        <v>45743</v>
      </c>
      <c r="B1024" t="s" s="13">
        <v>22</v>
      </c>
      <c r="C1024" s="14">
        <v>1278.15</v>
      </c>
      <c r="D1024" s="14">
        <v>1285</v>
      </c>
      <c r="E1024" s="14">
        <v>1271.3</v>
      </c>
      <c r="F1024" s="14">
        <v>1273.05</v>
      </c>
      <c r="G1024" s="14">
        <v>1280</v>
      </c>
      <c r="H1024" s="14">
        <v>1278.2</v>
      </c>
      <c r="I1024" s="14">
        <v>1278.9</v>
      </c>
      <c r="J1024" s="14">
        <v>3217.6</v>
      </c>
      <c r="K1024" s="14">
        <v>1156</v>
      </c>
      <c r="L1024" s="15">
        <v>15028056</v>
      </c>
      <c r="M1024" t="s" s="13">
        <v>1025</v>
      </c>
      <c r="N1024" s="15">
        <v>224828</v>
      </c>
      <c r="O1024" s="17" cm="1">
        <f t="array" ref="O1024">(H1024-H1023)/H1023</f>
        <v>0.00404540277286831</v>
      </c>
    </row>
    <row r="1025" ht="13.65" customHeight="1">
      <c r="A1025" s="18">
        <v>45744</v>
      </c>
      <c r="B1025" t="s" s="13">
        <v>22</v>
      </c>
      <c r="C1025" s="14">
        <v>1280</v>
      </c>
      <c r="D1025" s="14">
        <v>1295.75</v>
      </c>
      <c r="E1025" s="14">
        <v>1269</v>
      </c>
      <c r="F1025" s="14">
        <v>1278.2</v>
      </c>
      <c r="G1025" s="14">
        <v>1274</v>
      </c>
      <c r="H1025" s="14">
        <v>1275.1</v>
      </c>
      <c r="I1025" s="14">
        <v>1278.15</v>
      </c>
      <c r="J1025" s="14">
        <v>3217.6</v>
      </c>
      <c r="K1025" s="14">
        <v>1156</v>
      </c>
      <c r="L1025" s="15">
        <v>18147129</v>
      </c>
      <c r="M1025" t="s" s="13">
        <v>1026</v>
      </c>
      <c r="N1025" s="15">
        <v>265113</v>
      </c>
      <c r="O1025" s="17" cm="1">
        <f t="array" ref="O1025">(H1025-H1024)/H1024</f>
        <v>-0.00242528555781568</v>
      </c>
    </row>
    <row r="1026" ht="13.65" customHeight="1">
      <c r="A1026" s="12">
        <v>45748</v>
      </c>
      <c r="B1026" t="s" s="13">
        <v>22</v>
      </c>
      <c r="C1026" s="14">
        <v>1264.6</v>
      </c>
      <c r="D1026" s="14">
        <v>1277.9</v>
      </c>
      <c r="E1026" s="14">
        <v>1249.3</v>
      </c>
      <c r="F1026" s="14">
        <v>1275.1</v>
      </c>
      <c r="G1026" s="14">
        <v>1254</v>
      </c>
      <c r="H1026" s="14">
        <v>1252.6</v>
      </c>
      <c r="I1026" s="14">
        <v>1260.72</v>
      </c>
      <c r="J1026" s="14">
        <v>3217.6</v>
      </c>
      <c r="K1026" s="14">
        <v>1156</v>
      </c>
      <c r="L1026" s="15">
        <v>12099648</v>
      </c>
      <c r="M1026" t="s" s="13">
        <v>1027</v>
      </c>
      <c r="N1026" s="15">
        <v>260862</v>
      </c>
      <c r="O1026" s="17" cm="1">
        <f t="array" ref="O1026">(H1026-H1025)/H1025</f>
        <v>-0.0176456748490314</v>
      </c>
    </row>
    <row r="1027" ht="13.65" customHeight="1">
      <c r="A1027" s="21"/>
      <c r="B1027" s="21"/>
      <c r="C1027" s="21"/>
      <c r="D1027" s="21"/>
      <c r="E1027" s="21"/>
      <c r="F1027" s="21"/>
      <c r="G1027" s="21"/>
      <c r="H1027" s="21"/>
      <c r="I1027" s="21"/>
      <c r="J1027" s="21"/>
      <c r="K1027" s="21"/>
      <c r="L1027" s="21"/>
      <c r="M1027" s="21"/>
      <c r="N1027" s="21"/>
      <c r="O1027" s="8"/>
    </row>
    <row r="1028" ht="13.65" customHeight="1">
      <c r="A1028" s="8"/>
      <c r="B1028" s="8"/>
      <c r="C1028" s="8"/>
      <c r="D1028" s="8"/>
      <c r="E1028" s="8"/>
      <c r="F1028" s="8"/>
      <c r="G1028" s="8"/>
      <c r="H1028" s="8"/>
      <c r="I1028" s="8"/>
      <c r="J1028" s="8"/>
      <c r="K1028" s="8"/>
      <c r="L1028" s="8"/>
      <c r="M1028" s="8"/>
      <c r="N1028" s="8"/>
      <c r="O1028" s="8"/>
    </row>
    <row r="1029" ht="13.65" customHeight="1">
      <c r="A1029" s="8"/>
      <c r="B1029" s="8"/>
      <c r="C1029" s="8"/>
      <c r="D1029" s="8"/>
      <c r="E1029" s="8"/>
      <c r="F1029" s="8"/>
      <c r="G1029" s="8"/>
      <c r="H1029" s="8"/>
      <c r="I1029" s="8"/>
      <c r="J1029" s="8"/>
      <c r="K1029" s="8"/>
      <c r="L1029" s="8"/>
      <c r="M1029" s="8"/>
      <c r="N1029" t="s" s="7">
        <v>1028</v>
      </c>
      <c r="O1029" s="22" cm="1">
        <f t="array" ref="O1029">AVERAGE(O777:O1026)</f>
        <v>-0.00260581236976179</v>
      </c>
    </row>
    <row r="1030" ht="13.65" customHeight="1">
      <c r="A1030" s="8"/>
      <c r="B1030" s="8"/>
      <c r="C1030" s="8"/>
      <c r="D1030" s="8"/>
      <c r="E1030" s="8"/>
      <c r="F1030" s="8"/>
      <c r="G1030" s="8"/>
      <c r="H1030" s="8"/>
      <c r="I1030" s="8"/>
      <c r="J1030" s="8"/>
      <c r="K1030" s="8"/>
      <c r="L1030" s="8"/>
      <c r="M1030" s="8"/>
      <c r="N1030" t="s" s="7">
        <v>273</v>
      </c>
      <c r="O1030" s="22">
        <v>0.0343</v>
      </c>
    </row>
    <row r="1031" ht="13.65" customHeight="1">
      <c r="A1031" s="8"/>
      <c r="B1031" s="8"/>
      <c r="C1031" s="8"/>
      <c r="D1031" s="8"/>
      <c r="E1031" s="8"/>
      <c r="F1031" s="8"/>
      <c r="G1031" s="8"/>
      <c r="H1031" s="8"/>
      <c r="I1031" s="8"/>
      <c r="J1031" s="8"/>
      <c r="K1031" s="8"/>
      <c r="L1031" s="8"/>
      <c r="M1031" s="8"/>
      <c r="N1031" t="s" s="7">
        <v>274</v>
      </c>
      <c r="O1031" s="23" cm="1">
        <f t="array" ref="O1031">AVERAGE(L777:L1026)</f>
        <v>9426582.124</v>
      </c>
    </row>
    <row r="1032" ht="13.65" customHeight="1">
      <c r="A1032" s="8"/>
      <c r="B1032" s="8"/>
      <c r="C1032" s="8"/>
      <c r="D1032" s="8"/>
      <c r="E1032" s="8"/>
      <c r="F1032" s="8"/>
      <c r="G1032" s="8"/>
      <c r="H1032" s="8"/>
      <c r="I1032" s="8"/>
      <c r="J1032" s="8"/>
      <c r="K1032" s="8"/>
      <c r="L1032" s="8"/>
      <c r="M1032" s="8"/>
      <c r="N1032" t="s" s="7">
        <v>275</v>
      </c>
      <c r="O1032" s="23" cm="1">
        <f t="array" ref="O1032">IF(H1026&gt;H777,1,IF(H1026&lt;H777,-1,0))</f>
        <v>-1</v>
      </c>
    </row>
    <row r="1033" ht="13.65" customHeight="1">
      <c r="A1033" s="8"/>
      <c r="B1033" s="8"/>
      <c r="C1033" s="8"/>
      <c r="D1033" s="8"/>
      <c r="E1033" s="8"/>
      <c r="F1033" s="8"/>
      <c r="G1033" s="8"/>
      <c r="H1033" s="8"/>
      <c r="I1033" s="8"/>
      <c r="J1033" s="8"/>
      <c r="K1033" s="8"/>
      <c r="L1033" s="8"/>
      <c r="M1033" s="8"/>
      <c r="N1033" t="s" s="7">
        <v>528</v>
      </c>
      <c r="O1033" s="22" cm="1">
        <f t="array" ref="O1033">(H1026-H777)/H777</f>
        <v>-0.578185246922934</v>
      </c>
    </row>
    <row r="1034" ht="13.65" customHeight="1">
      <c r="A1034" t="s" s="7">
        <v>1029</v>
      </c>
      <c r="B1034" s="8"/>
      <c r="C1034" s="8"/>
      <c r="D1034" s="8"/>
      <c r="E1034" s="8"/>
      <c r="F1034" s="8"/>
      <c r="G1034" s="8"/>
      <c r="H1034" s="8"/>
      <c r="I1034" s="8"/>
      <c r="J1034" s="8"/>
      <c r="K1034" s="8"/>
      <c r="L1034" s="8"/>
      <c r="M1034" s="8"/>
      <c r="N1034" s="8"/>
      <c r="O1034" s="8"/>
    </row>
    <row r="1035" ht="13.65" customHeight="1">
      <c r="A1035" s="9"/>
      <c r="B1035" s="9"/>
      <c r="C1035" s="9"/>
      <c r="D1035" s="9"/>
      <c r="E1035" s="9"/>
      <c r="F1035" s="9"/>
      <c r="G1035" s="9"/>
      <c r="H1035" s="9"/>
      <c r="I1035" s="9"/>
      <c r="J1035" s="9"/>
      <c r="K1035" s="9"/>
      <c r="L1035" s="9"/>
      <c r="M1035" s="9"/>
      <c r="N1035" s="9"/>
      <c r="O1035" s="8"/>
    </row>
    <row r="1036" ht="13.65" customHeight="1">
      <c r="A1036" t="s" s="10">
        <v>7</v>
      </c>
      <c r="B1036" t="s" s="10">
        <v>8</v>
      </c>
      <c r="C1036" t="s" s="10">
        <v>9</v>
      </c>
      <c r="D1036" t="s" s="10">
        <v>10</v>
      </c>
      <c r="E1036" t="s" s="10">
        <v>11</v>
      </c>
      <c r="F1036" t="s" s="10">
        <v>12</v>
      </c>
      <c r="G1036" t="s" s="10">
        <v>13</v>
      </c>
      <c r="H1036" t="s" s="10">
        <v>14</v>
      </c>
      <c r="I1036" t="s" s="10">
        <v>15</v>
      </c>
      <c r="J1036" t="s" s="10">
        <v>16</v>
      </c>
      <c r="K1036" t="s" s="10">
        <v>17</v>
      </c>
      <c r="L1036" t="s" s="10">
        <v>18</v>
      </c>
      <c r="M1036" t="s" s="10">
        <v>19</v>
      </c>
      <c r="N1036" t="s" s="10">
        <v>20</v>
      </c>
      <c r="O1036" t="s" s="11">
        <v>278</v>
      </c>
    </row>
    <row r="1037" ht="13.65" customHeight="1">
      <c r="A1037" s="12">
        <v>45748</v>
      </c>
      <c r="B1037" t="s" s="13">
        <v>22</v>
      </c>
      <c r="C1037" s="14">
        <v>1264.6</v>
      </c>
      <c r="D1037" s="14">
        <v>1277.9</v>
      </c>
      <c r="E1037" s="14">
        <v>1249.3</v>
      </c>
      <c r="F1037" s="14">
        <v>1275.1</v>
      </c>
      <c r="G1037" s="14">
        <v>1254</v>
      </c>
      <c r="H1037" s="14">
        <v>1252.6</v>
      </c>
      <c r="I1037" s="14">
        <v>1260.72</v>
      </c>
      <c r="J1037" s="14">
        <v>3217.6</v>
      </c>
      <c r="K1037" s="14">
        <v>1156</v>
      </c>
      <c r="L1037" s="15">
        <v>12099648</v>
      </c>
      <c r="M1037" t="s" s="13">
        <v>1027</v>
      </c>
      <c r="N1037" s="15">
        <v>260862</v>
      </c>
      <c r="O1037" s="16"/>
    </row>
    <row r="1038" ht="13.65" customHeight="1">
      <c r="A1038" s="12">
        <v>45749</v>
      </c>
      <c r="B1038" t="s" s="13">
        <v>22</v>
      </c>
      <c r="C1038" s="14">
        <v>1247.55</v>
      </c>
      <c r="D1038" s="14">
        <v>1255.55</v>
      </c>
      <c r="E1038" s="14">
        <v>1243.9</v>
      </c>
      <c r="F1038" s="14">
        <v>1252.6</v>
      </c>
      <c r="G1038" s="14">
        <v>1252</v>
      </c>
      <c r="H1038" s="14">
        <v>1251.15</v>
      </c>
      <c r="I1038" s="14">
        <v>1251.04</v>
      </c>
      <c r="J1038" s="14">
        <v>3217.6</v>
      </c>
      <c r="K1038" s="14">
        <v>1156</v>
      </c>
      <c r="L1038" s="15">
        <v>10142590</v>
      </c>
      <c r="M1038" t="s" s="13">
        <v>1030</v>
      </c>
      <c r="N1038" s="15">
        <v>177979</v>
      </c>
      <c r="O1038" s="17" cm="1">
        <f t="array" ref="O1038">(H1038-H1037)/H1037</f>
        <v>-0.00115759220820693</v>
      </c>
    </row>
    <row r="1039" ht="13.65" customHeight="1">
      <c r="A1039" s="12">
        <v>45750</v>
      </c>
      <c r="B1039" t="s" s="13">
        <v>22</v>
      </c>
      <c r="C1039" s="14">
        <v>1233.05</v>
      </c>
      <c r="D1039" s="14">
        <v>1251.8</v>
      </c>
      <c r="E1039" s="14">
        <v>1233.05</v>
      </c>
      <c r="F1039" s="14">
        <v>1251.15</v>
      </c>
      <c r="G1039" s="14">
        <v>1248.5</v>
      </c>
      <c r="H1039" s="14">
        <v>1248.7</v>
      </c>
      <c r="I1039" s="14">
        <v>1246.31</v>
      </c>
      <c r="J1039" s="14">
        <v>3217.6</v>
      </c>
      <c r="K1039" s="14">
        <v>1156</v>
      </c>
      <c r="L1039" s="15">
        <v>7434366</v>
      </c>
      <c r="M1039" t="s" s="13">
        <v>1031</v>
      </c>
      <c r="N1039" s="15">
        <v>146316</v>
      </c>
      <c r="O1039" s="17" cm="1">
        <f t="array" ref="O1039">(H1039-H1038)/H1038</f>
        <v>-0.00195819845741917</v>
      </c>
    </row>
    <row r="1040" ht="13.65" customHeight="1">
      <c r="A1040" s="12">
        <v>45751</v>
      </c>
      <c r="B1040" t="s" s="13">
        <v>22</v>
      </c>
      <c r="C1040" s="14">
        <v>1241.1</v>
      </c>
      <c r="D1040" s="14">
        <v>1245.45</v>
      </c>
      <c r="E1040" s="14">
        <v>1193.15</v>
      </c>
      <c r="F1040" s="14">
        <v>1248.7</v>
      </c>
      <c r="G1040" s="14">
        <v>1205.9</v>
      </c>
      <c r="H1040" s="14">
        <v>1204.7</v>
      </c>
      <c r="I1040" s="14">
        <v>1206.62</v>
      </c>
      <c r="J1040" s="14">
        <v>3217.6</v>
      </c>
      <c r="K1040" s="14">
        <v>1156</v>
      </c>
      <c r="L1040" s="15">
        <v>17908652</v>
      </c>
      <c r="M1040" t="s" s="13">
        <v>1032</v>
      </c>
      <c r="N1040" s="15">
        <v>542347</v>
      </c>
      <c r="O1040" s="17" cm="1">
        <f t="array" ref="O1040">(H1040-H1039)/H1039</f>
        <v>-0.0352366461119564</v>
      </c>
    </row>
    <row r="1041" ht="13.65" customHeight="1">
      <c r="A1041" s="12">
        <v>45754</v>
      </c>
      <c r="B1041" t="s" s="13">
        <v>22</v>
      </c>
      <c r="C1041" s="14">
        <v>1132.2</v>
      </c>
      <c r="D1041" s="14">
        <v>1171.25</v>
      </c>
      <c r="E1041" s="14">
        <v>1114.85</v>
      </c>
      <c r="F1041" s="14">
        <v>1204.7</v>
      </c>
      <c r="G1041" s="14">
        <v>1171.25</v>
      </c>
      <c r="H1041" s="14">
        <v>1165.7</v>
      </c>
      <c r="I1041" s="14">
        <v>1150.54</v>
      </c>
      <c r="J1041" s="14">
        <v>3217.6</v>
      </c>
      <c r="K1041" s="14">
        <v>1114.85</v>
      </c>
      <c r="L1041" s="15">
        <v>22156106</v>
      </c>
      <c r="M1041" t="s" s="13">
        <v>1033</v>
      </c>
      <c r="N1041" s="15">
        <v>677564</v>
      </c>
      <c r="O1041" s="17" cm="1">
        <f t="array" ref="O1041">(H1041-H1040)/H1040</f>
        <v>-0.0323732049472898</v>
      </c>
    </row>
    <row r="1042" ht="13.65" customHeight="1">
      <c r="A1042" s="12">
        <v>45755</v>
      </c>
      <c r="B1042" t="s" s="13">
        <v>22</v>
      </c>
      <c r="C1042" s="14">
        <v>1172</v>
      </c>
      <c r="D1042" s="14">
        <v>1196.6</v>
      </c>
      <c r="E1042" s="14">
        <v>1163.3</v>
      </c>
      <c r="F1042" s="14">
        <v>1165.7</v>
      </c>
      <c r="G1042" s="14">
        <v>1181.05</v>
      </c>
      <c r="H1042" s="14">
        <v>1182.2</v>
      </c>
      <c r="I1042" s="14">
        <v>1179.5</v>
      </c>
      <c r="J1042" s="14">
        <v>3217.6</v>
      </c>
      <c r="K1042" s="14">
        <v>1114.85</v>
      </c>
      <c r="L1042" s="15">
        <v>19555040</v>
      </c>
      <c r="M1042" t="s" s="13">
        <v>1034</v>
      </c>
      <c r="N1042" s="15">
        <v>314171</v>
      </c>
      <c r="O1042" s="17" cm="1">
        <f t="array" ref="O1042">(H1042-H1041)/H1041</f>
        <v>0.0141545852277601</v>
      </c>
    </row>
    <row r="1043" ht="13.65" customHeight="1">
      <c r="A1043" s="12">
        <v>45756</v>
      </c>
      <c r="B1043" t="s" s="13">
        <v>22</v>
      </c>
      <c r="C1043" s="14">
        <v>1169.5</v>
      </c>
      <c r="D1043" s="14">
        <v>1189.8</v>
      </c>
      <c r="E1043" s="14">
        <v>1168</v>
      </c>
      <c r="F1043" s="14">
        <v>1182.2</v>
      </c>
      <c r="G1043" s="14">
        <v>1187.5</v>
      </c>
      <c r="H1043" s="14">
        <v>1185.35</v>
      </c>
      <c r="I1043" s="14">
        <v>1183.08</v>
      </c>
      <c r="J1043" s="14">
        <v>3217.6</v>
      </c>
      <c r="K1043" s="14">
        <v>1114.85</v>
      </c>
      <c r="L1043" s="15">
        <v>10223104</v>
      </c>
      <c r="M1043" t="s" s="13">
        <v>1035</v>
      </c>
      <c r="N1043" s="15">
        <v>193325</v>
      </c>
      <c r="O1043" s="17" cm="1">
        <f t="array" ref="O1043">(H1043-H1042)/H1042</f>
        <v>0.00266452376924378</v>
      </c>
    </row>
    <row r="1044" ht="13.65" customHeight="1">
      <c r="A1044" s="18">
        <v>45758</v>
      </c>
      <c r="B1044" t="s" s="13">
        <v>22</v>
      </c>
      <c r="C1044" s="14">
        <v>1195.15</v>
      </c>
      <c r="D1044" s="14">
        <v>1222.65</v>
      </c>
      <c r="E1044" s="14">
        <v>1195.15</v>
      </c>
      <c r="F1044" s="14">
        <v>1185.35</v>
      </c>
      <c r="G1044" s="14">
        <v>1220</v>
      </c>
      <c r="H1044" s="14">
        <v>1218.95</v>
      </c>
      <c r="I1044" s="14">
        <v>1214.05</v>
      </c>
      <c r="J1044" s="14">
        <v>3217.6</v>
      </c>
      <c r="K1044" s="14">
        <v>1114.85</v>
      </c>
      <c r="L1044" s="15">
        <v>11224242</v>
      </c>
      <c r="M1044" t="s" s="13">
        <v>1036</v>
      </c>
      <c r="N1044" s="15">
        <v>187059</v>
      </c>
      <c r="O1044" s="17" cm="1">
        <f t="array" ref="O1044">(H1044-H1043)/H1043</f>
        <v>0.0283460581262918</v>
      </c>
    </row>
    <row r="1045" ht="13.65" customHeight="1">
      <c r="A1045" s="18">
        <v>45762</v>
      </c>
      <c r="B1045" t="s" s="13">
        <v>22</v>
      </c>
      <c r="C1045" s="14">
        <v>1251</v>
      </c>
      <c r="D1045" s="14">
        <v>1251</v>
      </c>
      <c r="E1045" s="14">
        <v>1237.1</v>
      </c>
      <c r="F1045" s="14">
        <v>1218.95</v>
      </c>
      <c r="G1045" s="14">
        <v>1239.6</v>
      </c>
      <c r="H1045" s="14">
        <v>1240.1</v>
      </c>
      <c r="I1045" s="14">
        <v>1242.83</v>
      </c>
      <c r="J1045" s="14">
        <v>3217.6</v>
      </c>
      <c r="K1045" s="14">
        <v>1114.85</v>
      </c>
      <c r="L1045" s="15">
        <v>13378535</v>
      </c>
      <c r="M1045" t="s" s="13">
        <v>1037</v>
      </c>
      <c r="N1045" s="15">
        <v>199888</v>
      </c>
      <c r="O1045" s="17" cm="1">
        <f t="array" ref="O1045">(H1045-H1044)/H1044</f>
        <v>0.0173509988104516</v>
      </c>
    </row>
    <row r="1046" ht="13.65" customHeight="1">
      <c r="A1046" s="18">
        <v>45763</v>
      </c>
      <c r="B1046" t="s" s="13">
        <v>22</v>
      </c>
      <c r="C1046" s="14">
        <v>1234.1</v>
      </c>
      <c r="D1046" s="14">
        <v>1240.9</v>
      </c>
      <c r="E1046" s="14">
        <v>1229</v>
      </c>
      <c r="F1046" s="14">
        <v>1240.1</v>
      </c>
      <c r="G1046" s="14">
        <v>1238</v>
      </c>
      <c r="H1046" s="14">
        <v>1239.3</v>
      </c>
      <c r="I1046" s="14">
        <v>1235.61</v>
      </c>
      <c r="J1046" s="14">
        <v>3217.6</v>
      </c>
      <c r="K1046" s="14">
        <v>1114.85</v>
      </c>
      <c r="L1046" s="15">
        <v>8248464</v>
      </c>
      <c r="M1046" t="s" s="13">
        <v>1038</v>
      </c>
      <c r="N1046" s="15">
        <v>164065</v>
      </c>
      <c r="O1046" s="17" cm="1">
        <f t="array" ref="O1046">(H1046-H1045)/H1045</f>
        <v>-0.000645109265381824</v>
      </c>
    </row>
    <row r="1047" ht="13.65" customHeight="1">
      <c r="A1047" s="18">
        <v>45764</v>
      </c>
      <c r="B1047" t="s" s="13">
        <v>22</v>
      </c>
      <c r="C1047" s="14">
        <v>1240.2</v>
      </c>
      <c r="D1047" s="14">
        <v>1280.2</v>
      </c>
      <c r="E1047" s="14">
        <v>1227.6</v>
      </c>
      <c r="F1047" s="14">
        <v>1239.3</v>
      </c>
      <c r="G1047" s="14">
        <v>1273</v>
      </c>
      <c r="H1047" s="14">
        <v>1274.5</v>
      </c>
      <c r="I1047" s="14">
        <v>1260.38</v>
      </c>
      <c r="J1047" s="14">
        <v>3217.6</v>
      </c>
      <c r="K1047" s="14">
        <v>1114.85</v>
      </c>
      <c r="L1047" s="15">
        <v>15398401</v>
      </c>
      <c r="M1047" t="s" s="13">
        <v>1039</v>
      </c>
      <c r="N1047" s="15">
        <v>321235</v>
      </c>
      <c r="O1047" s="17" cm="1">
        <f t="array" ref="O1047">(H1047-H1046)/H1046</f>
        <v>0.028403130799645</v>
      </c>
    </row>
    <row r="1048" ht="13.65" customHeight="1">
      <c r="A1048" s="18">
        <v>45768</v>
      </c>
      <c r="B1048" t="s" s="13">
        <v>22</v>
      </c>
      <c r="C1048" s="14">
        <v>1270</v>
      </c>
      <c r="D1048" s="14">
        <v>1300.9</v>
      </c>
      <c r="E1048" s="14">
        <v>1267</v>
      </c>
      <c r="F1048" s="14">
        <v>1274.5</v>
      </c>
      <c r="G1048" s="14">
        <v>1295.2</v>
      </c>
      <c r="H1048" s="14">
        <v>1295.5</v>
      </c>
      <c r="I1048" s="14">
        <v>1291.47</v>
      </c>
      <c r="J1048" s="14">
        <v>3217.6</v>
      </c>
      <c r="K1048" s="14">
        <v>1114.85</v>
      </c>
      <c r="L1048" s="15">
        <v>10429964</v>
      </c>
      <c r="M1048" t="s" s="13">
        <v>1040</v>
      </c>
      <c r="N1048" s="15">
        <v>257857</v>
      </c>
      <c r="O1048" s="17" cm="1">
        <f t="array" ref="O1048">(H1048-H1047)/H1047</f>
        <v>0.0164770498234602</v>
      </c>
    </row>
    <row r="1049" ht="13.65" customHeight="1">
      <c r="A1049" s="18">
        <v>45769</v>
      </c>
      <c r="B1049" t="s" s="13">
        <v>22</v>
      </c>
      <c r="C1049" s="14">
        <v>1300</v>
      </c>
      <c r="D1049" s="14">
        <v>1303.9</v>
      </c>
      <c r="E1049" s="14">
        <v>1286.3</v>
      </c>
      <c r="F1049" s="14">
        <v>1295.5</v>
      </c>
      <c r="G1049" s="14">
        <v>1289</v>
      </c>
      <c r="H1049" s="14">
        <v>1291.2</v>
      </c>
      <c r="I1049" s="14">
        <v>1295.99</v>
      </c>
      <c r="J1049" s="14">
        <v>3217.6</v>
      </c>
      <c r="K1049" s="14">
        <v>1114.85</v>
      </c>
      <c r="L1049" s="15">
        <v>13051707</v>
      </c>
      <c r="M1049" t="s" s="13">
        <v>1041</v>
      </c>
      <c r="N1049" s="15">
        <v>229331</v>
      </c>
      <c r="O1049" s="17" cm="1">
        <f t="array" ref="O1049">(H1049-H1048)/H1048</f>
        <v>-0.00331918178309533</v>
      </c>
    </row>
    <row r="1050" ht="13.65" customHeight="1">
      <c r="A1050" s="18">
        <v>45770</v>
      </c>
      <c r="B1050" t="s" s="13">
        <v>22</v>
      </c>
      <c r="C1050" s="14">
        <v>1297</v>
      </c>
      <c r="D1050" s="14">
        <v>1306</v>
      </c>
      <c r="E1050" s="14">
        <v>1285.4</v>
      </c>
      <c r="F1050" s="14">
        <v>1291.2</v>
      </c>
      <c r="G1050" s="14">
        <v>1297</v>
      </c>
      <c r="H1050" s="14">
        <v>1300</v>
      </c>
      <c r="I1050" s="14">
        <v>1297.08</v>
      </c>
      <c r="J1050" s="14">
        <v>3217.6</v>
      </c>
      <c r="K1050" s="14">
        <v>1114.85</v>
      </c>
      <c r="L1050" s="15">
        <v>10480888</v>
      </c>
      <c r="M1050" t="s" s="13">
        <v>1042</v>
      </c>
      <c r="N1050" s="15">
        <v>232149</v>
      </c>
      <c r="O1050" s="17" cm="1">
        <f t="array" ref="O1050">(H1050-H1049)/H1049</f>
        <v>0.00681536555142503</v>
      </c>
    </row>
    <row r="1051" ht="13.65" customHeight="1">
      <c r="A1051" s="18">
        <v>45771</v>
      </c>
      <c r="B1051" t="s" s="13">
        <v>22</v>
      </c>
      <c r="C1051" s="14">
        <v>1292.4</v>
      </c>
      <c r="D1051" s="14">
        <v>1304.5</v>
      </c>
      <c r="E1051" s="14">
        <v>1290.3</v>
      </c>
      <c r="F1051" s="14">
        <v>1300</v>
      </c>
      <c r="G1051" s="14">
        <v>1303.5</v>
      </c>
      <c r="H1051" s="14">
        <v>1301.6</v>
      </c>
      <c r="I1051" s="14">
        <v>1298.32</v>
      </c>
      <c r="J1051" s="14">
        <v>3217.6</v>
      </c>
      <c r="K1051" s="14">
        <v>1114.85</v>
      </c>
      <c r="L1051" s="15">
        <v>10468940</v>
      </c>
      <c r="M1051" t="s" s="13">
        <v>1043</v>
      </c>
      <c r="N1051" s="15">
        <v>181309</v>
      </c>
      <c r="O1051" s="17" cm="1">
        <f t="array" ref="O1051">(H1051-H1050)/H1050</f>
        <v>0.00123076923076923</v>
      </c>
    </row>
    <row r="1052" ht="13.65" customHeight="1">
      <c r="A1052" s="18">
        <v>45772</v>
      </c>
      <c r="B1052" t="s" s="13">
        <v>22</v>
      </c>
      <c r="C1052" s="14">
        <v>1303.5</v>
      </c>
      <c r="D1052" s="14">
        <v>1325.2</v>
      </c>
      <c r="E1052" s="14">
        <v>1288.1</v>
      </c>
      <c r="F1052" s="14">
        <v>1301.6</v>
      </c>
      <c r="G1052" s="14">
        <v>1301</v>
      </c>
      <c r="H1052" s="14">
        <v>1300.4</v>
      </c>
      <c r="I1052" s="14">
        <v>1303.3</v>
      </c>
      <c r="J1052" s="14">
        <v>3217.6</v>
      </c>
      <c r="K1052" s="14">
        <v>1114.85</v>
      </c>
      <c r="L1052" s="15">
        <v>14431012</v>
      </c>
      <c r="M1052" t="s" s="13">
        <v>1044</v>
      </c>
      <c r="N1052" s="15">
        <v>307093</v>
      </c>
      <c r="O1052" s="17" cm="1">
        <f t="array" ref="O1052">(H1052-H1051)/H1051</f>
        <v>-0.000921942224953903</v>
      </c>
    </row>
    <row r="1053" ht="13.65" customHeight="1">
      <c r="A1053" s="18">
        <v>45775</v>
      </c>
      <c r="B1053" t="s" s="13">
        <v>22</v>
      </c>
      <c r="C1053" s="14">
        <v>1340</v>
      </c>
      <c r="D1053" s="14">
        <v>1374.6</v>
      </c>
      <c r="E1053" s="14">
        <v>1320.2</v>
      </c>
      <c r="F1053" s="14">
        <v>1300.4</v>
      </c>
      <c r="G1053" s="14">
        <v>1366.3</v>
      </c>
      <c r="H1053" s="14">
        <v>1368.8</v>
      </c>
      <c r="I1053" s="14">
        <v>1355.02</v>
      </c>
      <c r="J1053" s="14">
        <v>3217.6</v>
      </c>
      <c r="K1053" s="14">
        <v>1114.85</v>
      </c>
      <c r="L1053" s="15">
        <v>31104496</v>
      </c>
      <c r="M1053" t="s" s="13">
        <v>1045</v>
      </c>
      <c r="N1053" s="15">
        <v>893347</v>
      </c>
      <c r="O1053" s="17" cm="1">
        <f t="array" ref="O1053">(H1053-H1052)/H1052</f>
        <v>0.0525992002460781</v>
      </c>
    </row>
    <row r="1054" ht="13.65" customHeight="1">
      <c r="A1054" s="18">
        <v>45776</v>
      </c>
      <c r="B1054" t="s" s="13">
        <v>22</v>
      </c>
      <c r="C1054" s="14">
        <v>1371</v>
      </c>
      <c r="D1054" s="14">
        <v>1410.9</v>
      </c>
      <c r="E1054" s="14">
        <v>1370</v>
      </c>
      <c r="F1054" s="14">
        <v>1368.8</v>
      </c>
      <c r="G1054" s="14">
        <v>1398.9</v>
      </c>
      <c r="H1054" s="14">
        <v>1399.7</v>
      </c>
      <c r="I1054" s="14">
        <v>1395.77</v>
      </c>
      <c r="J1054" s="14">
        <v>3217.6</v>
      </c>
      <c r="K1054" s="14">
        <v>1114.85</v>
      </c>
      <c r="L1054" s="15">
        <v>32538970</v>
      </c>
      <c r="M1054" t="s" s="13">
        <v>1046</v>
      </c>
      <c r="N1054" s="15">
        <v>680195</v>
      </c>
      <c r="O1054" s="17" cm="1">
        <f t="array" ref="O1054">(H1054-H1053)/H1053</f>
        <v>0.0225745178258328</v>
      </c>
    </row>
    <row r="1055" ht="13.65" customHeight="1">
      <c r="A1055" s="18">
        <v>45777</v>
      </c>
      <c r="B1055" t="s" s="13">
        <v>22</v>
      </c>
      <c r="C1055" s="14">
        <v>1402</v>
      </c>
      <c r="D1055" s="14">
        <v>1412.4</v>
      </c>
      <c r="E1055" s="14">
        <v>1369</v>
      </c>
      <c r="F1055" s="14">
        <v>1399.7</v>
      </c>
      <c r="G1055" s="14">
        <v>1395</v>
      </c>
      <c r="H1055" s="14">
        <v>1405</v>
      </c>
      <c r="I1055" s="14">
        <v>1404.87</v>
      </c>
      <c r="J1055" s="14">
        <v>3217.6</v>
      </c>
      <c r="K1055" s="14">
        <v>1114.85</v>
      </c>
      <c r="L1055" s="15">
        <v>25480745</v>
      </c>
      <c r="M1055" t="s" s="13">
        <v>1047</v>
      </c>
      <c r="N1055" s="15">
        <v>598769</v>
      </c>
      <c r="O1055" s="17" cm="1">
        <f t="array" ref="O1055">(H1055-H1054)/H1054</f>
        <v>0.00378652568407516</v>
      </c>
    </row>
    <row r="1056" ht="13.65" customHeight="1">
      <c r="A1056" s="19">
        <v>45779</v>
      </c>
      <c r="B1056" t="s" s="13">
        <v>22</v>
      </c>
      <c r="C1056" s="14">
        <v>1414</v>
      </c>
      <c r="D1056" s="14">
        <v>1426.7</v>
      </c>
      <c r="E1056" s="14">
        <v>1409.1</v>
      </c>
      <c r="F1056" s="14">
        <v>1405</v>
      </c>
      <c r="G1056" s="14">
        <v>1422.5</v>
      </c>
      <c r="H1056" s="14">
        <v>1422.4</v>
      </c>
      <c r="I1056" s="14">
        <v>1419.65</v>
      </c>
      <c r="J1056" s="14">
        <v>3217.6</v>
      </c>
      <c r="K1056" s="14">
        <v>1114.85</v>
      </c>
      <c r="L1056" s="15">
        <v>17535402</v>
      </c>
      <c r="M1056" t="s" s="13">
        <v>1048</v>
      </c>
      <c r="N1056" s="15">
        <v>378385</v>
      </c>
      <c r="O1056" s="17" cm="1">
        <f t="array" ref="O1056">(H1056-H1055)/H1055</f>
        <v>0.0123843416370107</v>
      </c>
    </row>
    <row r="1057" ht="13.65" customHeight="1">
      <c r="A1057" s="19">
        <v>45782</v>
      </c>
      <c r="B1057" t="s" s="13">
        <v>22</v>
      </c>
      <c r="C1057" s="14">
        <v>1431</v>
      </c>
      <c r="D1057" s="14">
        <v>1439.5</v>
      </c>
      <c r="E1057" s="14">
        <v>1426.9</v>
      </c>
      <c r="F1057" s="14">
        <v>1422.4</v>
      </c>
      <c r="G1057" s="14">
        <v>1430</v>
      </c>
      <c r="H1057" s="14">
        <v>1431.3</v>
      </c>
      <c r="I1057" s="14">
        <v>1432</v>
      </c>
      <c r="J1057" s="14">
        <v>3217.6</v>
      </c>
      <c r="K1057" s="14">
        <v>1114.85</v>
      </c>
      <c r="L1057" s="15">
        <v>12685649</v>
      </c>
      <c r="M1057" t="s" s="13">
        <v>1049</v>
      </c>
      <c r="N1057" s="15">
        <v>204503</v>
      </c>
      <c r="O1057" s="17" cm="1">
        <f t="array" ref="O1057">(H1057-H1056)/H1056</f>
        <v>0.0062570303712036</v>
      </c>
    </row>
    <row r="1058" ht="13.65" customHeight="1">
      <c r="A1058" s="19">
        <v>45783</v>
      </c>
      <c r="B1058" t="s" s="13">
        <v>22</v>
      </c>
      <c r="C1058" s="14">
        <v>1431</v>
      </c>
      <c r="D1058" s="14">
        <v>1432</v>
      </c>
      <c r="E1058" s="14">
        <v>1410.6</v>
      </c>
      <c r="F1058" s="14">
        <v>1431.3</v>
      </c>
      <c r="G1058" s="14">
        <v>1418</v>
      </c>
      <c r="H1058" s="14">
        <v>1420.9</v>
      </c>
      <c r="I1058" s="14">
        <v>1419.01</v>
      </c>
      <c r="J1058" s="14">
        <v>3217.6</v>
      </c>
      <c r="K1058" s="14">
        <v>1114.85</v>
      </c>
      <c r="L1058" s="15">
        <v>14084117</v>
      </c>
      <c r="M1058" t="s" s="13">
        <v>1050</v>
      </c>
      <c r="N1058" s="15">
        <v>226761</v>
      </c>
      <c r="O1058" s="17" cm="1">
        <f t="array" ref="O1058">(H1058-H1057)/H1057</f>
        <v>-0.0072661217075386</v>
      </c>
    </row>
    <row r="1059" ht="13.65" customHeight="1">
      <c r="A1059" s="19">
        <v>45784</v>
      </c>
      <c r="B1059" t="s" s="13">
        <v>22</v>
      </c>
      <c r="C1059" s="14">
        <v>1420.9</v>
      </c>
      <c r="D1059" s="14">
        <v>1424.4</v>
      </c>
      <c r="E1059" s="14">
        <v>1402.7</v>
      </c>
      <c r="F1059" s="14">
        <v>1420.9</v>
      </c>
      <c r="G1059" s="14">
        <v>1405.9</v>
      </c>
      <c r="H1059" s="14">
        <v>1406</v>
      </c>
      <c r="I1059" s="14">
        <v>1412.79</v>
      </c>
      <c r="J1059" s="14">
        <v>3217.6</v>
      </c>
      <c r="K1059" s="14">
        <v>1114.85</v>
      </c>
      <c r="L1059" s="15">
        <v>13440169</v>
      </c>
      <c r="M1059" t="s" s="13">
        <v>1051</v>
      </c>
      <c r="N1059" s="15">
        <v>222903</v>
      </c>
      <c r="O1059" s="17" cm="1">
        <f t="array" ref="O1059">(H1059-H1058)/H1058</f>
        <v>-0.0104863114927159</v>
      </c>
    </row>
    <row r="1060" ht="13.65" customHeight="1">
      <c r="A1060" s="19">
        <v>45785</v>
      </c>
      <c r="B1060" t="s" s="13">
        <v>22</v>
      </c>
      <c r="C1060" s="14">
        <v>1404.1</v>
      </c>
      <c r="D1060" s="14">
        <v>1420.8</v>
      </c>
      <c r="E1060" s="14">
        <v>1398</v>
      </c>
      <c r="F1060" s="14">
        <v>1406</v>
      </c>
      <c r="G1060" s="14">
        <v>1398</v>
      </c>
      <c r="H1060" s="14">
        <v>1407</v>
      </c>
      <c r="I1060" s="14">
        <v>1410.51</v>
      </c>
      <c r="J1060" s="14">
        <v>3217.6</v>
      </c>
      <c r="K1060" s="14">
        <v>1114.85</v>
      </c>
      <c r="L1060" s="15">
        <v>16106175</v>
      </c>
      <c r="M1060" t="s" s="13">
        <v>1052</v>
      </c>
      <c r="N1060" s="15">
        <v>231342</v>
      </c>
      <c r="O1060" s="17" cm="1">
        <f t="array" ref="O1060">(H1060-H1059)/H1059</f>
        <v>0.000711237553342817</v>
      </c>
    </row>
    <row r="1061" ht="13.65" customHeight="1">
      <c r="A1061" s="19">
        <v>45786</v>
      </c>
      <c r="B1061" t="s" s="13">
        <v>22</v>
      </c>
      <c r="C1061" s="14">
        <v>1385.5</v>
      </c>
      <c r="D1061" s="14">
        <v>1394.8</v>
      </c>
      <c r="E1061" s="14">
        <v>1374.5</v>
      </c>
      <c r="F1061" s="14">
        <v>1407</v>
      </c>
      <c r="G1061" s="14">
        <v>1379.5</v>
      </c>
      <c r="H1061" s="14">
        <v>1377.2</v>
      </c>
      <c r="I1061" s="14">
        <v>1382.39</v>
      </c>
      <c r="J1061" s="14">
        <v>3217.6</v>
      </c>
      <c r="K1061" s="14">
        <v>1114.85</v>
      </c>
      <c r="L1061" s="15">
        <v>13668904</v>
      </c>
      <c r="M1061" t="s" s="13">
        <v>1053</v>
      </c>
      <c r="N1061" s="15">
        <v>388013</v>
      </c>
      <c r="O1061" s="17" cm="1">
        <f t="array" ref="O1061">(H1061-H1060)/H1060</f>
        <v>-0.021179815209666</v>
      </c>
    </row>
    <row r="1062" ht="13.65" customHeight="1">
      <c r="A1062" s="20">
        <v>45789</v>
      </c>
      <c r="B1062" t="s" s="13">
        <v>22</v>
      </c>
      <c r="C1062" s="14">
        <v>1400</v>
      </c>
      <c r="D1062" s="14">
        <v>1439</v>
      </c>
      <c r="E1062" s="14">
        <v>1400</v>
      </c>
      <c r="F1062" s="14">
        <v>1377.2</v>
      </c>
      <c r="G1062" s="14">
        <v>1436.9</v>
      </c>
      <c r="H1062" s="14">
        <v>1436.5</v>
      </c>
      <c r="I1062" s="14">
        <v>1426.35</v>
      </c>
      <c r="J1062" s="14">
        <v>3217.6</v>
      </c>
      <c r="K1062" s="14">
        <v>1114.85</v>
      </c>
      <c r="L1062" s="15">
        <v>10674081</v>
      </c>
      <c r="M1062" t="s" s="13">
        <v>1054</v>
      </c>
      <c r="N1062" s="15">
        <v>310602</v>
      </c>
      <c r="O1062" s="17" cm="1">
        <f t="array" ref="O1062">(H1062-H1061)/H1061</f>
        <v>0.0430583793203602</v>
      </c>
    </row>
    <row r="1063" ht="13.65" customHeight="1">
      <c r="A1063" s="20">
        <v>45790</v>
      </c>
      <c r="B1063" t="s" s="13">
        <v>22</v>
      </c>
      <c r="C1063" s="14">
        <v>1433.5</v>
      </c>
      <c r="D1063" s="14">
        <v>1447.7</v>
      </c>
      <c r="E1063" s="14">
        <v>1412.4</v>
      </c>
      <c r="F1063" s="14">
        <v>1436.5</v>
      </c>
      <c r="G1063" s="14">
        <v>1416.5</v>
      </c>
      <c r="H1063" s="14">
        <v>1415.7</v>
      </c>
      <c r="I1063" s="14">
        <v>1423.23</v>
      </c>
      <c r="J1063" s="14">
        <v>3217.6</v>
      </c>
      <c r="K1063" s="14">
        <v>1114.85</v>
      </c>
      <c r="L1063" s="15">
        <v>11407896</v>
      </c>
      <c r="M1063" t="s" s="13">
        <v>1055</v>
      </c>
      <c r="N1063" s="15">
        <v>281992</v>
      </c>
      <c r="O1063" s="17" cm="1">
        <f t="array" ref="O1063">(H1063-H1062)/H1062</f>
        <v>-0.0144796380090498</v>
      </c>
    </row>
    <row r="1064" ht="13.65" customHeight="1">
      <c r="A1064" s="20">
        <v>45791</v>
      </c>
      <c r="B1064" t="s" s="13">
        <v>22</v>
      </c>
      <c r="C1064" s="14">
        <v>1420</v>
      </c>
      <c r="D1064" s="14">
        <v>1429.9</v>
      </c>
      <c r="E1064" s="14">
        <v>1415.5</v>
      </c>
      <c r="F1064" s="14">
        <v>1415.7</v>
      </c>
      <c r="G1064" s="14">
        <v>1425.2</v>
      </c>
      <c r="H1064" s="14">
        <v>1424.4</v>
      </c>
      <c r="I1064" s="14">
        <v>1423.31</v>
      </c>
      <c r="J1064" s="14">
        <v>3217.6</v>
      </c>
      <c r="K1064" s="14">
        <v>1114.85</v>
      </c>
      <c r="L1064" s="15">
        <v>5570160</v>
      </c>
      <c r="M1064" t="s" s="13">
        <v>1056</v>
      </c>
      <c r="N1064" s="15">
        <v>145014</v>
      </c>
      <c r="O1064" s="17" cm="1">
        <f t="array" ref="O1064">(H1064-H1063)/H1063</f>
        <v>0.00614536978173342</v>
      </c>
    </row>
    <row r="1065" ht="13.65" customHeight="1">
      <c r="A1065" s="20">
        <v>45792</v>
      </c>
      <c r="B1065" t="s" s="13">
        <v>22</v>
      </c>
      <c r="C1065" s="14">
        <v>1425</v>
      </c>
      <c r="D1065" s="14">
        <v>1461.4</v>
      </c>
      <c r="E1065" s="14">
        <v>1412.7</v>
      </c>
      <c r="F1065" s="14">
        <v>1424.4</v>
      </c>
      <c r="G1065" s="14">
        <v>1453</v>
      </c>
      <c r="H1065" s="14">
        <v>1454.2</v>
      </c>
      <c r="I1065" s="14">
        <v>1441.41</v>
      </c>
      <c r="J1065" s="14">
        <v>3217.6</v>
      </c>
      <c r="K1065" s="14">
        <v>1114.85</v>
      </c>
      <c r="L1065" s="15">
        <v>20177211</v>
      </c>
      <c r="M1065" t="s" s="13">
        <v>1057</v>
      </c>
      <c r="N1065" s="15">
        <v>314261</v>
      </c>
      <c r="O1065" s="17" cm="1">
        <f t="array" ref="O1065">(H1065-H1064)/H1064</f>
        <v>0.0209210895815782</v>
      </c>
    </row>
    <row r="1066" ht="13.65" customHeight="1">
      <c r="A1066" s="20">
        <v>45793</v>
      </c>
      <c r="B1066" t="s" s="13">
        <v>22</v>
      </c>
      <c r="C1066" s="14">
        <v>1453.2</v>
      </c>
      <c r="D1066" s="14">
        <v>1461</v>
      </c>
      <c r="E1066" s="14">
        <v>1447.3</v>
      </c>
      <c r="F1066" s="14">
        <v>1454.2</v>
      </c>
      <c r="G1066" s="14">
        <v>1454.8</v>
      </c>
      <c r="H1066" s="14">
        <v>1456.4</v>
      </c>
      <c r="I1066" s="14">
        <v>1455.16</v>
      </c>
      <c r="J1066" s="14">
        <v>3217.6</v>
      </c>
      <c r="K1066" s="14">
        <v>1114.85</v>
      </c>
      <c r="L1066" s="15">
        <v>9036695</v>
      </c>
      <c r="M1066" t="s" s="13">
        <v>1058</v>
      </c>
      <c r="N1066" s="15">
        <v>196322</v>
      </c>
      <c r="O1066" s="17" cm="1">
        <f t="array" ref="O1066">(H1066-H1065)/H1065</f>
        <v>0.00151285930408472</v>
      </c>
    </row>
    <row r="1067" ht="13.65" customHeight="1">
      <c r="A1067" s="20">
        <v>45796</v>
      </c>
      <c r="B1067" t="s" s="13">
        <v>22</v>
      </c>
      <c r="C1067" s="14">
        <v>1452.1</v>
      </c>
      <c r="D1067" s="14">
        <v>1454.6</v>
      </c>
      <c r="E1067" s="14">
        <v>1438.2</v>
      </c>
      <c r="F1067" s="14">
        <v>1456.4</v>
      </c>
      <c r="G1067" s="14">
        <v>1442.9</v>
      </c>
      <c r="H1067" s="14">
        <v>1440.8</v>
      </c>
      <c r="I1067" s="14">
        <v>1443.67</v>
      </c>
      <c r="J1067" s="14">
        <v>3217.6</v>
      </c>
      <c r="K1067" s="14">
        <v>1114.85</v>
      </c>
      <c r="L1067" s="15">
        <v>6195791</v>
      </c>
      <c r="M1067" t="s" s="13">
        <v>1059</v>
      </c>
      <c r="N1067" s="15">
        <v>144606</v>
      </c>
      <c r="O1067" s="17" cm="1">
        <f t="array" ref="O1067">(H1067-H1066)/H1066</f>
        <v>-0.010711343037627</v>
      </c>
    </row>
    <row r="1068" ht="13.65" customHeight="1">
      <c r="A1068" s="20">
        <v>45797</v>
      </c>
      <c r="B1068" t="s" s="13">
        <v>22</v>
      </c>
      <c r="C1068" s="14">
        <v>1438.2</v>
      </c>
      <c r="D1068" s="14">
        <v>1445</v>
      </c>
      <c r="E1068" s="14">
        <v>1421.8</v>
      </c>
      <c r="F1068" s="14">
        <v>1440.8</v>
      </c>
      <c r="G1068" s="14">
        <v>1424.5</v>
      </c>
      <c r="H1068" s="14">
        <v>1424.6</v>
      </c>
      <c r="I1068" s="14">
        <v>1429.91</v>
      </c>
      <c r="J1068" s="14">
        <v>3217.6</v>
      </c>
      <c r="K1068" s="14">
        <v>1114.85</v>
      </c>
      <c r="L1068" s="15">
        <v>11270560</v>
      </c>
      <c r="M1068" t="s" s="13">
        <v>1060</v>
      </c>
      <c r="N1068" s="15">
        <v>182531</v>
      </c>
      <c r="O1068" s="17" cm="1">
        <f t="array" ref="O1068">(H1068-H1067)/H1067</f>
        <v>-0.0112437534702943</v>
      </c>
    </row>
    <row r="1069" ht="13.65" customHeight="1">
      <c r="A1069" s="20">
        <v>45798</v>
      </c>
      <c r="B1069" t="s" s="13">
        <v>22</v>
      </c>
      <c r="C1069" s="14">
        <v>1423.9</v>
      </c>
      <c r="D1069" s="14">
        <v>1436.2</v>
      </c>
      <c r="E1069" s="14">
        <v>1418.1</v>
      </c>
      <c r="F1069" s="14">
        <v>1424.6</v>
      </c>
      <c r="G1069" s="14">
        <v>1428.2</v>
      </c>
      <c r="H1069" s="14">
        <v>1429.2</v>
      </c>
      <c r="I1069" s="14">
        <v>1427.75</v>
      </c>
      <c r="J1069" s="14">
        <v>3217.6</v>
      </c>
      <c r="K1069" s="14">
        <v>1114.85</v>
      </c>
      <c r="L1069" s="15">
        <v>6136364</v>
      </c>
      <c r="M1069" t="s" s="13">
        <v>1061</v>
      </c>
      <c r="N1069" s="15">
        <v>232529</v>
      </c>
      <c r="O1069" s="17" cm="1">
        <f t="array" ref="O1069">(H1069-H1068)/H1068</f>
        <v>0.00322897655482241</v>
      </c>
    </row>
    <row r="1070" ht="13.65" customHeight="1">
      <c r="A1070" s="20">
        <v>45799</v>
      </c>
      <c r="B1070" t="s" s="13">
        <v>22</v>
      </c>
      <c r="C1070" s="14">
        <v>1421.2</v>
      </c>
      <c r="D1070" s="14">
        <v>1423.8</v>
      </c>
      <c r="E1070" s="14">
        <v>1396.9</v>
      </c>
      <c r="F1070" s="14">
        <v>1429.2</v>
      </c>
      <c r="G1070" s="14">
        <v>1411.5</v>
      </c>
      <c r="H1070" s="14">
        <v>1409.4</v>
      </c>
      <c r="I1070" s="14">
        <v>1406.85</v>
      </c>
      <c r="J1070" s="14">
        <v>3217.6</v>
      </c>
      <c r="K1070" s="14">
        <v>1114.85</v>
      </c>
      <c r="L1070" s="15">
        <v>12134466</v>
      </c>
      <c r="M1070" t="s" s="13">
        <v>1062</v>
      </c>
      <c r="N1070" s="15">
        <v>228031</v>
      </c>
      <c r="O1070" s="17" cm="1">
        <f t="array" ref="O1070">(H1070-H1069)/H1069</f>
        <v>-0.0138539042821159</v>
      </c>
    </row>
    <row r="1071" ht="13.65" customHeight="1">
      <c r="A1071" s="20">
        <v>45800</v>
      </c>
      <c r="B1071" t="s" s="13">
        <v>22</v>
      </c>
      <c r="C1071" s="14">
        <v>1406.6</v>
      </c>
      <c r="D1071" s="14">
        <v>1433.8</v>
      </c>
      <c r="E1071" s="14">
        <v>1406.6</v>
      </c>
      <c r="F1071" s="14">
        <v>1409.4</v>
      </c>
      <c r="G1071" s="14">
        <v>1426</v>
      </c>
      <c r="H1071" s="14">
        <v>1426.8</v>
      </c>
      <c r="I1071" s="14">
        <v>1424.63</v>
      </c>
      <c r="J1071" s="14">
        <v>3217.6</v>
      </c>
      <c r="K1071" s="14">
        <v>1114.85</v>
      </c>
      <c r="L1071" s="15">
        <v>6474883</v>
      </c>
      <c r="M1071" t="s" s="13">
        <v>1063</v>
      </c>
      <c r="N1071" s="15">
        <v>135371</v>
      </c>
      <c r="O1071" s="17" cm="1">
        <f t="array" ref="O1071">(H1071-H1070)/H1070</f>
        <v>0.0123456790123457</v>
      </c>
    </row>
    <row r="1072" ht="13.65" customHeight="1">
      <c r="A1072" s="20">
        <v>45803</v>
      </c>
      <c r="B1072" t="s" s="13">
        <v>22</v>
      </c>
      <c r="C1072" s="14">
        <v>1432</v>
      </c>
      <c r="D1072" s="14">
        <v>1441</v>
      </c>
      <c r="E1072" s="14">
        <v>1425.1</v>
      </c>
      <c r="F1072" s="14">
        <v>1426.8</v>
      </c>
      <c r="G1072" s="14">
        <v>1435.9</v>
      </c>
      <c r="H1072" s="14">
        <v>1434.8</v>
      </c>
      <c r="I1072" s="14">
        <v>1437.16</v>
      </c>
      <c r="J1072" s="14">
        <v>3217.6</v>
      </c>
      <c r="K1072" s="14">
        <v>1114.85</v>
      </c>
      <c r="L1072" s="15">
        <v>4842944</v>
      </c>
      <c r="M1072" t="s" s="13">
        <v>1064</v>
      </c>
      <c r="N1072" s="15">
        <v>171837</v>
      </c>
      <c r="O1072" s="17" cm="1">
        <f t="array" ref="O1072">(H1072-H1071)/H1071</f>
        <v>0.00560695262125035</v>
      </c>
    </row>
    <row r="1073" ht="13.65" customHeight="1">
      <c r="A1073" s="20">
        <v>45804</v>
      </c>
      <c r="B1073" t="s" s="13">
        <v>22</v>
      </c>
      <c r="C1073" s="14">
        <v>1426.1</v>
      </c>
      <c r="D1073" s="14">
        <v>1437</v>
      </c>
      <c r="E1073" s="14">
        <v>1413.9</v>
      </c>
      <c r="F1073" s="14">
        <v>1434.8</v>
      </c>
      <c r="G1073" s="14">
        <v>1424.2</v>
      </c>
      <c r="H1073" s="14">
        <v>1422.1</v>
      </c>
      <c r="I1073" s="14">
        <v>1421.81</v>
      </c>
      <c r="J1073" s="14">
        <v>3217.6</v>
      </c>
      <c r="K1073" s="14">
        <v>1114.85</v>
      </c>
      <c r="L1073" s="15">
        <v>12640414</v>
      </c>
      <c r="M1073" t="s" s="13">
        <v>1065</v>
      </c>
      <c r="N1073" s="15">
        <v>211047</v>
      </c>
      <c r="O1073" s="17" cm="1">
        <f t="array" ref="O1073">(H1073-H1072)/H1072</f>
        <v>-0.00885140786172289</v>
      </c>
    </row>
    <row r="1074" ht="13.65" customHeight="1">
      <c r="A1074" s="20">
        <v>45805</v>
      </c>
      <c r="B1074" t="s" s="13">
        <v>22</v>
      </c>
      <c r="C1074" s="14">
        <v>1420.1</v>
      </c>
      <c r="D1074" s="14">
        <v>1422.6</v>
      </c>
      <c r="E1074" s="14">
        <v>1410.7</v>
      </c>
      <c r="F1074" s="14">
        <v>1422.1</v>
      </c>
      <c r="G1074" s="14">
        <v>1412.8</v>
      </c>
      <c r="H1074" s="14">
        <v>1412.9</v>
      </c>
      <c r="I1074" s="14">
        <v>1414.99</v>
      </c>
      <c r="J1074" s="14">
        <v>3217.6</v>
      </c>
      <c r="K1074" s="14">
        <v>1114.85</v>
      </c>
      <c r="L1074" s="15">
        <v>5944611</v>
      </c>
      <c r="M1074" t="s" s="13">
        <v>1066</v>
      </c>
      <c r="N1074" s="15">
        <v>169185</v>
      </c>
      <c r="O1074" s="17" cm="1">
        <f t="array" ref="O1074">(H1074-H1073)/H1073</f>
        <v>-0.00646930595598059</v>
      </c>
    </row>
    <row r="1075" ht="13.65" customHeight="1">
      <c r="A1075" s="20">
        <v>45806</v>
      </c>
      <c r="B1075" t="s" s="13">
        <v>22</v>
      </c>
      <c r="C1075" s="14">
        <v>1412.1</v>
      </c>
      <c r="D1075" s="14">
        <v>1420</v>
      </c>
      <c r="E1075" s="14">
        <v>1408.6</v>
      </c>
      <c r="F1075" s="14">
        <v>1412.9</v>
      </c>
      <c r="G1075" s="14">
        <v>1419.5</v>
      </c>
      <c r="H1075" s="14">
        <v>1417.8</v>
      </c>
      <c r="I1075" s="14">
        <v>1414.72</v>
      </c>
      <c r="J1075" s="14">
        <v>3217.6</v>
      </c>
      <c r="K1075" s="14">
        <v>1114.85</v>
      </c>
      <c r="L1075" s="15">
        <v>13771917</v>
      </c>
      <c r="M1075" t="s" s="13">
        <v>1067</v>
      </c>
      <c r="N1075" s="15">
        <v>265116</v>
      </c>
      <c r="O1075" s="17" cm="1">
        <f t="array" ref="O1075">(H1075-H1074)/H1074</f>
        <v>0.00346804444759006</v>
      </c>
    </row>
    <row r="1076" ht="13.65" customHeight="1">
      <c r="A1076" s="20">
        <v>45807</v>
      </c>
      <c r="B1076" t="s" s="13">
        <v>22</v>
      </c>
      <c r="C1076" s="14">
        <v>1418</v>
      </c>
      <c r="D1076" s="14">
        <v>1430.6</v>
      </c>
      <c r="E1076" s="14">
        <v>1409.7</v>
      </c>
      <c r="F1076" s="14">
        <v>1417.8</v>
      </c>
      <c r="G1076" s="14">
        <v>1417.9</v>
      </c>
      <c r="H1076" s="14">
        <v>1420.9</v>
      </c>
      <c r="I1076" s="14">
        <v>1419.89</v>
      </c>
      <c r="J1076" s="14">
        <v>3217.6</v>
      </c>
      <c r="K1076" s="14">
        <v>1114.85</v>
      </c>
      <c r="L1076" s="15">
        <v>13788484</v>
      </c>
      <c r="M1076" t="s" s="13">
        <v>1068</v>
      </c>
      <c r="N1076" s="15">
        <v>155127</v>
      </c>
      <c r="O1076" s="17" cm="1">
        <f t="array" ref="O1076">(H1076-H1075)/H1075</f>
        <v>0.00218648610523346</v>
      </c>
    </row>
    <row r="1077" ht="13.65" customHeight="1">
      <c r="A1077" s="12">
        <v>45810</v>
      </c>
      <c r="B1077" t="s" s="13">
        <v>22</v>
      </c>
      <c r="C1077" s="14">
        <v>1412.1</v>
      </c>
      <c r="D1077" s="14">
        <v>1417.5</v>
      </c>
      <c r="E1077" s="14">
        <v>1395.6</v>
      </c>
      <c r="F1077" s="14">
        <v>1420.9</v>
      </c>
      <c r="G1077" s="14">
        <v>1412.6</v>
      </c>
      <c r="H1077" s="14">
        <v>1413.7</v>
      </c>
      <c r="I1077" s="14">
        <v>1407.75</v>
      </c>
      <c r="J1077" s="14">
        <v>3217.6</v>
      </c>
      <c r="K1077" s="14">
        <v>1114.85</v>
      </c>
      <c r="L1077" s="15">
        <v>8098668</v>
      </c>
      <c r="M1077" t="s" s="13">
        <v>1069</v>
      </c>
      <c r="N1077" s="15">
        <v>189977</v>
      </c>
      <c r="O1077" s="17" cm="1">
        <f t="array" ref="O1077">(H1077-H1076)/H1076</f>
        <v>-0.00506721092265466</v>
      </c>
    </row>
    <row r="1078" ht="13.65" customHeight="1">
      <c r="A1078" s="12">
        <v>45811</v>
      </c>
      <c r="B1078" t="s" s="13">
        <v>22</v>
      </c>
      <c r="C1078" s="14">
        <v>1422.3</v>
      </c>
      <c r="D1078" s="14">
        <v>1426.5</v>
      </c>
      <c r="E1078" s="14">
        <v>1403.4</v>
      </c>
      <c r="F1078" s="14">
        <v>1413.7</v>
      </c>
      <c r="G1078" s="14">
        <v>1405.4</v>
      </c>
      <c r="H1078" s="14">
        <v>1405.5</v>
      </c>
      <c r="I1078" s="14">
        <v>1412.34</v>
      </c>
      <c r="J1078" s="14">
        <v>3217.6</v>
      </c>
      <c r="K1078" s="14">
        <v>1114.85</v>
      </c>
      <c r="L1078" s="15">
        <v>11252626</v>
      </c>
      <c r="M1078" t="s" s="13">
        <v>1070</v>
      </c>
      <c r="N1078" s="15">
        <v>230110</v>
      </c>
      <c r="O1078" s="17" cm="1">
        <f t="array" ref="O1078">(H1078-H1077)/H1077</f>
        <v>-0.00580038197637405</v>
      </c>
    </row>
    <row r="1079" ht="13.65" customHeight="1">
      <c r="A1079" s="12">
        <v>45812</v>
      </c>
      <c r="B1079" t="s" s="13">
        <v>22</v>
      </c>
      <c r="C1079" s="14">
        <v>1414.7</v>
      </c>
      <c r="D1079" s="14">
        <v>1425.7</v>
      </c>
      <c r="E1079" s="14">
        <v>1406.1</v>
      </c>
      <c r="F1079" s="14">
        <v>1405.5</v>
      </c>
      <c r="G1079" s="14">
        <v>1421</v>
      </c>
      <c r="H1079" s="14">
        <v>1423.5</v>
      </c>
      <c r="I1079" s="14">
        <v>1415.78</v>
      </c>
      <c r="J1079" s="14">
        <v>3217.6</v>
      </c>
      <c r="K1079" s="14">
        <v>1114.85</v>
      </c>
      <c r="L1079" s="15">
        <v>8126827</v>
      </c>
      <c r="M1079" t="s" s="13">
        <v>1071</v>
      </c>
      <c r="N1079" s="15">
        <v>152064</v>
      </c>
      <c r="O1079" s="17" cm="1">
        <f t="array" ref="O1079">(H1079-H1078)/H1078</f>
        <v>0.0128068303094984</v>
      </c>
    </row>
    <row r="1080" ht="13.65" customHeight="1">
      <c r="A1080" s="12">
        <v>45813</v>
      </c>
      <c r="B1080" t="s" s="13">
        <v>22</v>
      </c>
      <c r="C1080" s="14">
        <v>1428</v>
      </c>
      <c r="D1080" s="14">
        <v>1454.7</v>
      </c>
      <c r="E1080" s="14">
        <v>1423.6</v>
      </c>
      <c r="F1080" s="14">
        <v>1423.5</v>
      </c>
      <c r="G1080" s="14">
        <v>1442.7</v>
      </c>
      <c r="H1080" s="14">
        <v>1442.4</v>
      </c>
      <c r="I1080" s="14">
        <v>1442.72</v>
      </c>
      <c r="J1080" s="14">
        <v>3217.6</v>
      </c>
      <c r="K1080" s="14">
        <v>1114.85</v>
      </c>
      <c r="L1080" s="15">
        <v>13716817</v>
      </c>
      <c r="M1080" t="s" s="13">
        <v>1072</v>
      </c>
      <c r="N1080" s="15">
        <v>304069</v>
      </c>
      <c r="O1080" s="17" cm="1">
        <f t="array" ref="O1080">(H1080-H1079)/H1079</f>
        <v>0.013277133825079</v>
      </c>
    </row>
    <row r="1081" ht="13.65" customHeight="1">
      <c r="A1081" s="12">
        <v>45814</v>
      </c>
      <c r="B1081" t="s" s="13">
        <v>22</v>
      </c>
      <c r="C1081" s="14">
        <v>1441</v>
      </c>
      <c r="D1081" s="14">
        <v>1451.5</v>
      </c>
      <c r="E1081" s="14">
        <v>1437</v>
      </c>
      <c r="F1081" s="14">
        <v>1442.4</v>
      </c>
      <c r="G1081" s="14">
        <v>1443</v>
      </c>
      <c r="H1081" s="14">
        <v>1443.5</v>
      </c>
      <c r="I1081" s="14">
        <v>1444.22</v>
      </c>
      <c r="J1081" s="14">
        <v>3217.6</v>
      </c>
      <c r="K1081" s="14">
        <v>1114.85</v>
      </c>
      <c r="L1081" s="15">
        <v>8182161</v>
      </c>
      <c r="M1081" t="s" s="13">
        <v>1073</v>
      </c>
      <c r="N1081" s="15">
        <v>179734</v>
      </c>
      <c r="O1081" s="17" cm="1">
        <f t="array" ref="O1081">(H1081-H1080)/H1080</f>
        <v>0.000762617859123683</v>
      </c>
    </row>
    <row r="1082" ht="13.65" customHeight="1">
      <c r="A1082" s="12">
        <v>45817</v>
      </c>
      <c r="B1082" t="s" s="13">
        <v>22</v>
      </c>
      <c r="C1082" s="14">
        <v>1457</v>
      </c>
      <c r="D1082" s="14">
        <v>1457.5</v>
      </c>
      <c r="E1082" s="14">
        <v>1445.3</v>
      </c>
      <c r="F1082" s="14">
        <v>1443.5</v>
      </c>
      <c r="G1082" s="14">
        <v>1447.2</v>
      </c>
      <c r="H1082" s="14">
        <v>1448.8</v>
      </c>
      <c r="I1082" s="14">
        <v>1449.95</v>
      </c>
      <c r="J1082" s="14">
        <v>3217.6</v>
      </c>
      <c r="K1082" s="14">
        <v>1114.85</v>
      </c>
      <c r="L1082" s="15">
        <v>7885125</v>
      </c>
      <c r="M1082" t="s" s="13">
        <v>1074</v>
      </c>
      <c r="N1082" s="15">
        <v>159916</v>
      </c>
      <c r="O1082" s="17" cm="1">
        <f t="array" ref="O1082">(H1082-H1081)/H1081</f>
        <v>0.00367163145133356</v>
      </c>
    </row>
    <row r="1083" ht="13.65" customHeight="1">
      <c r="A1083" s="18">
        <v>45818</v>
      </c>
      <c r="B1083" t="s" s="13">
        <v>22</v>
      </c>
      <c r="C1083" s="14">
        <v>1450</v>
      </c>
      <c r="D1083" s="14">
        <v>1453.9</v>
      </c>
      <c r="E1083" s="14">
        <v>1436</v>
      </c>
      <c r="F1083" s="14">
        <v>1448.8</v>
      </c>
      <c r="G1083" s="14">
        <v>1437.3</v>
      </c>
      <c r="H1083" s="14">
        <v>1438.5</v>
      </c>
      <c r="I1083" s="14">
        <v>1442.59</v>
      </c>
      <c r="J1083" s="14">
        <v>3217.6</v>
      </c>
      <c r="K1083" s="14">
        <v>1114.85</v>
      </c>
      <c r="L1083" s="15">
        <v>7913181</v>
      </c>
      <c r="M1083" t="s" s="13">
        <v>1075</v>
      </c>
      <c r="N1083" s="15">
        <v>167203</v>
      </c>
      <c r="O1083" s="17" cm="1">
        <f t="array" ref="O1083">(H1083-H1082)/H1082</f>
        <v>-0.00710933186085036</v>
      </c>
    </row>
    <row r="1084" ht="13.65" customHeight="1">
      <c r="A1084" s="18">
        <v>45819</v>
      </c>
      <c r="B1084" t="s" s="13">
        <v>22</v>
      </c>
      <c r="C1084" s="14">
        <v>1445.8</v>
      </c>
      <c r="D1084" s="14">
        <v>1468.6</v>
      </c>
      <c r="E1084" s="14">
        <v>1443.1</v>
      </c>
      <c r="F1084" s="14">
        <v>1438.5</v>
      </c>
      <c r="G1084" s="14">
        <v>1448</v>
      </c>
      <c r="H1084" s="14">
        <v>1448.9</v>
      </c>
      <c r="I1084" s="14">
        <v>1456.11</v>
      </c>
      <c r="J1084" s="14">
        <v>3217.6</v>
      </c>
      <c r="K1084" s="14">
        <v>1114.85</v>
      </c>
      <c r="L1084" s="15">
        <v>8195700</v>
      </c>
      <c r="M1084" t="s" s="13">
        <v>1076</v>
      </c>
      <c r="N1084" s="15">
        <v>184593</v>
      </c>
      <c r="O1084" s="17" cm="1">
        <f t="array" ref="O1084">(H1084-H1083)/H1083</f>
        <v>0.00722975321515468</v>
      </c>
    </row>
    <row r="1085" ht="13.65" customHeight="1">
      <c r="A1085" s="18">
        <v>45820</v>
      </c>
      <c r="B1085" t="s" s="13">
        <v>22</v>
      </c>
      <c r="C1085" s="14">
        <v>1453.5</v>
      </c>
      <c r="D1085" s="14">
        <v>1457</v>
      </c>
      <c r="E1085" s="14">
        <v>1434.4</v>
      </c>
      <c r="F1085" s="14">
        <v>1448.9</v>
      </c>
      <c r="G1085" s="14">
        <v>1439.5</v>
      </c>
      <c r="H1085" s="14">
        <v>1441.6</v>
      </c>
      <c r="I1085" s="14">
        <v>1444.32</v>
      </c>
      <c r="J1085" s="14">
        <v>3217.6</v>
      </c>
      <c r="K1085" s="14">
        <v>1114.85</v>
      </c>
      <c r="L1085" s="15">
        <v>8828114</v>
      </c>
      <c r="M1085" t="s" s="13">
        <v>1077</v>
      </c>
      <c r="N1085" s="15">
        <v>190194</v>
      </c>
      <c r="O1085" s="17" cm="1">
        <f t="array" ref="O1085">(H1085-H1084)/H1084</f>
        <v>-0.00503830492097453</v>
      </c>
    </row>
    <row r="1086" ht="13.65" customHeight="1">
      <c r="A1086" s="18">
        <v>45821</v>
      </c>
      <c r="B1086" t="s" s="13">
        <v>22</v>
      </c>
      <c r="C1086" s="14">
        <v>1424</v>
      </c>
      <c r="D1086" s="14">
        <v>1435.5</v>
      </c>
      <c r="E1086" s="14">
        <v>1414.3</v>
      </c>
      <c r="F1086" s="14">
        <v>1441.6</v>
      </c>
      <c r="G1086" s="14">
        <v>1427.5</v>
      </c>
      <c r="H1086" s="14">
        <v>1427.9</v>
      </c>
      <c r="I1086" s="14">
        <v>1423.95</v>
      </c>
      <c r="J1086" s="14">
        <v>3217.6</v>
      </c>
      <c r="K1086" s="14">
        <v>1114.85</v>
      </c>
      <c r="L1086" s="15">
        <v>9757276</v>
      </c>
      <c r="M1086" t="s" s="13">
        <v>1078</v>
      </c>
      <c r="N1086" s="15">
        <v>202256</v>
      </c>
      <c r="O1086" s="17" cm="1">
        <f t="array" ref="O1086">(H1086-H1085)/H1085</f>
        <v>-0.009503329633740291</v>
      </c>
    </row>
    <row r="1087" ht="13.65" customHeight="1">
      <c r="A1087" s="18">
        <v>45824</v>
      </c>
      <c r="B1087" t="s" s="13">
        <v>22</v>
      </c>
      <c r="C1087" s="14">
        <v>1426.9</v>
      </c>
      <c r="D1087" s="14">
        <v>1442.4</v>
      </c>
      <c r="E1087" s="14">
        <v>1424.4</v>
      </c>
      <c r="F1087" s="14">
        <v>1427.9</v>
      </c>
      <c r="G1087" s="14">
        <v>1436.9</v>
      </c>
      <c r="H1087" s="14">
        <v>1437.8</v>
      </c>
      <c r="I1087" s="14">
        <v>1436.42</v>
      </c>
      <c r="J1087" s="14">
        <v>3217.6</v>
      </c>
      <c r="K1087" s="14">
        <v>1114.85</v>
      </c>
      <c r="L1087" s="15">
        <v>8458093</v>
      </c>
      <c r="M1087" t="s" s="13">
        <v>1079</v>
      </c>
      <c r="N1087" s="15">
        <v>213623</v>
      </c>
      <c r="O1087" s="17" cm="1">
        <f t="array" ref="O1087">(H1087-H1086)/H1086</f>
        <v>0.00693325863155683</v>
      </c>
    </row>
    <row r="1088" ht="13.65" customHeight="1">
      <c r="A1088" s="18">
        <v>45825</v>
      </c>
      <c r="B1088" t="s" s="13">
        <v>22</v>
      </c>
      <c r="C1088" s="14">
        <v>1448</v>
      </c>
      <c r="D1088" s="14">
        <v>1448</v>
      </c>
      <c r="E1088" s="14">
        <v>1425.8</v>
      </c>
      <c r="F1088" s="14">
        <v>1437.8</v>
      </c>
      <c r="G1088" s="14">
        <v>1430</v>
      </c>
      <c r="H1088" s="14">
        <v>1431.2</v>
      </c>
      <c r="I1088" s="14">
        <v>1432.15</v>
      </c>
      <c r="J1088" s="14">
        <v>3217.6</v>
      </c>
      <c r="K1088" s="14">
        <v>1114.85</v>
      </c>
      <c r="L1088" s="15">
        <v>10366599</v>
      </c>
      <c r="M1088" t="s" s="13">
        <v>1080</v>
      </c>
      <c r="N1088" s="15">
        <v>191173</v>
      </c>
      <c r="O1088" s="17" cm="1">
        <f t="array" ref="O1088">(H1088-H1087)/H1087</f>
        <v>-0.00459034636249826</v>
      </c>
    </row>
    <row r="1089" ht="13.65" customHeight="1">
      <c r="A1089" s="18">
        <v>45826</v>
      </c>
      <c r="B1089" t="s" s="13">
        <v>22</v>
      </c>
      <c r="C1089" s="14">
        <v>1430</v>
      </c>
      <c r="D1089" s="14">
        <v>1442.8</v>
      </c>
      <c r="E1089" s="14">
        <v>1425.7</v>
      </c>
      <c r="F1089" s="14">
        <v>1431.2</v>
      </c>
      <c r="G1089" s="14">
        <v>1429.7</v>
      </c>
      <c r="H1089" s="14">
        <v>1430.1</v>
      </c>
      <c r="I1089" s="14">
        <v>1431.31</v>
      </c>
      <c r="J1089" s="14">
        <v>3217.6</v>
      </c>
      <c r="K1089" s="14">
        <v>1114.85</v>
      </c>
      <c r="L1089" s="15">
        <v>6681735</v>
      </c>
      <c r="M1089" t="s" s="13">
        <v>1081</v>
      </c>
      <c r="N1089" s="15">
        <v>138211</v>
      </c>
      <c r="O1089" s="17" cm="1">
        <f t="array" ref="O1089">(H1089-H1088)/H1088</f>
        <v>-0.000768585802124092</v>
      </c>
    </row>
    <row r="1090" ht="13.65" customHeight="1">
      <c r="A1090" s="18">
        <v>45827</v>
      </c>
      <c r="B1090" t="s" s="13">
        <v>22</v>
      </c>
      <c r="C1090" s="14">
        <v>1430.1</v>
      </c>
      <c r="D1090" s="14">
        <v>1439.9</v>
      </c>
      <c r="E1090" s="14">
        <v>1425.7</v>
      </c>
      <c r="F1090" s="14">
        <v>1430.1</v>
      </c>
      <c r="G1090" s="14">
        <v>1428</v>
      </c>
      <c r="H1090" s="14">
        <v>1433.3</v>
      </c>
      <c r="I1090" s="14">
        <v>1433.8</v>
      </c>
      <c r="J1090" s="14">
        <v>3217.6</v>
      </c>
      <c r="K1090" s="14">
        <v>1114.85</v>
      </c>
      <c r="L1090" s="15">
        <v>10007230</v>
      </c>
      <c r="M1090" t="s" s="13">
        <v>1082</v>
      </c>
      <c r="N1090" s="15">
        <v>179473</v>
      </c>
      <c r="O1090" s="17" cm="1">
        <f t="array" ref="O1090">(H1090-H1089)/H1089</f>
        <v>0.00223760576183484</v>
      </c>
    </row>
    <row r="1091" ht="13.65" customHeight="1">
      <c r="A1091" s="18">
        <v>45828</v>
      </c>
      <c r="B1091" t="s" s="13">
        <v>22</v>
      </c>
      <c r="C1091" s="14">
        <v>1431</v>
      </c>
      <c r="D1091" s="14">
        <v>1471</v>
      </c>
      <c r="E1091" s="14">
        <v>1428.1</v>
      </c>
      <c r="F1091" s="14">
        <v>1433.3</v>
      </c>
      <c r="G1091" s="14">
        <v>1464.1</v>
      </c>
      <c r="H1091" s="14">
        <v>1466.2</v>
      </c>
      <c r="I1091" s="14">
        <v>1462.68</v>
      </c>
      <c r="J1091" s="14">
        <v>3217.6</v>
      </c>
      <c r="K1091" s="14">
        <v>1114.85</v>
      </c>
      <c r="L1091" s="15">
        <v>29010635</v>
      </c>
      <c r="M1091" t="s" s="13">
        <v>1083</v>
      </c>
      <c r="N1091" s="15">
        <v>276278</v>
      </c>
      <c r="O1091" s="17" cm="1">
        <f t="array" ref="O1091">(H1091-H1090)/H1090</f>
        <v>0.0229540221865625</v>
      </c>
    </row>
    <row r="1092" ht="13.65" customHeight="1">
      <c r="A1092" s="18">
        <v>45831</v>
      </c>
      <c r="B1092" t="s" s="13">
        <v>22</v>
      </c>
      <c r="C1092" s="14">
        <v>1453</v>
      </c>
      <c r="D1092" s="14">
        <v>1463.8</v>
      </c>
      <c r="E1092" s="14">
        <v>1442</v>
      </c>
      <c r="F1092" s="14">
        <v>1466.2</v>
      </c>
      <c r="G1092" s="14">
        <v>1456</v>
      </c>
      <c r="H1092" s="14">
        <v>1456.8</v>
      </c>
      <c r="I1092" s="14">
        <v>1453.48</v>
      </c>
      <c r="J1092" s="14">
        <v>3217.6</v>
      </c>
      <c r="K1092" s="14">
        <v>1114.85</v>
      </c>
      <c r="L1092" s="15">
        <v>5989078</v>
      </c>
      <c r="M1092" t="s" s="13">
        <v>1084</v>
      </c>
      <c r="N1092" s="15">
        <v>226309</v>
      </c>
      <c r="O1092" s="17" cm="1">
        <f t="array" ref="O1092">(H1092-H1091)/H1091</f>
        <v>-0.00641113081435002</v>
      </c>
    </row>
    <row r="1093" ht="13.65" customHeight="1">
      <c r="A1093" s="18">
        <v>45832</v>
      </c>
      <c r="B1093" t="s" s="13">
        <v>22</v>
      </c>
      <c r="C1093" s="14">
        <v>1465</v>
      </c>
      <c r="D1093" s="14">
        <v>1475</v>
      </c>
      <c r="E1093" s="14">
        <v>1443.1</v>
      </c>
      <c r="F1093" s="14">
        <v>1456.8</v>
      </c>
      <c r="G1093" s="14">
        <v>1456.8</v>
      </c>
      <c r="H1093" s="14">
        <v>1450.8</v>
      </c>
      <c r="I1093" s="14">
        <v>1456.68</v>
      </c>
      <c r="J1093" s="14">
        <v>3217.6</v>
      </c>
      <c r="K1093" s="14">
        <v>1114.85</v>
      </c>
      <c r="L1093" s="15">
        <v>16402744</v>
      </c>
      <c r="M1093" t="s" s="13">
        <v>1085</v>
      </c>
      <c r="N1093" s="15">
        <v>284313</v>
      </c>
      <c r="O1093" s="17" cm="1">
        <f t="array" ref="O1093">(H1093-H1092)/H1092</f>
        <v>-0.00411861614497529</v>
      </c>
    </row>
    <row r="1094" ht="13.65" customHeight="1">
      <c r="A1094" s="18">
        <v>45833</v>
      </c>
      <c r="B1094" t="s" s="13">
        <v>22</v>
      </c>
      <c r="C1094" s="14">
        <v>1464</v>
      </c>
      <c r="D1094" s="14">
        <v>1472.4</v>
      </c>
      <c r="E1094" s="14">
        <v>1460.5</v>
      </c>
      <c r="F1094" s="14">
        <v>1450.8</v>
      </c>
      <c r="G1094" s="14">
        <v>1467.6</v>
      </c>
      <c r="H1094" s="14">
        <v>1467.3</v>
      </c>
      <c r="I1094" s="14">
        <v>1467.46</v>
      </c>
      <c r="J1094" s="14">
        <v>3217.6</v>
      </c>
      <c r="K1094" s="14">
        <v>1114.85</v>
      </c>
      <c r="L1094" s="15">
        <v>7525851</v>
      </c>
      <c r="M1094" t="s" s="13">
        <v>1086</v>
      </c>
      <c r="N1094" s="15">
        <v>197720</v>
      </c>
      <c r="O1094" s="17" cm="1">
        <f t="array" ref="O1094">(H1094-H1093)/H1093</f>
        <v>0.011373035566584</v>
      </c>
    </row>
    <row r="1095" ht="13.65" customHeight="1">
      <c r="A1095" s="18">
        <v>45834</v>
      </c>
      <c r="B1095" t="s" s="13">
        <v>22</v>
      </c>
      <c r="C1095" s="14">
        <v>1469.1</v>
      </c>
      <c r="D1095" s="14">
        <v>1498.8</v>
      </c>
      <c r="E1095" s="14">
        <v>1465.1</v>
      </c>
      <c r="F1095" s="14">
        <v>1467.3</v>
      </c>
      <c r="G1095" s="14">
        <v>1495.3</v>
      </c>
      <c r="H1095" s="14">
        <v>1495.3</v>
      </c>
      <c r="I1095" s="14">
        <v>1488.16</v>
      </c>
      <c r="J1095" s="14">
        <v>3217.6</v>
      </c>
      <c r="K1095" s="14">
        <v>1114.85</v>
      </c>
      <c r="L1095" s="15">
        <v>14657893</v>
      </c>
      <c r="M1095" t="s" s="13">
        <v>1087</v>
      </c>
      <c r="N1095" s="15">
        <v>247215</v>
      </c>
      <c r="O1095" s="17" cm="1">
        <f t="array" ref="O1095">(H1095-H1094)/H1094</f>
        <v>0.0190826688475431</v>
      </c>
    </row>
    <row r="1096" ht="13.65" customHeight="1">
      <c r="A1096" s="18">
        <v>45835</v>
      </c>
      <c r="B1096" t="s" s="13">
        <v>22</v>
      </c>
      <c r="C1096" s="14">
        <v>1499.4</v>
      </c>
      <c r="D1096" s="14">
        <v>1522</v>
      </c>
      <c r="E1096" s="14">
        <v>1496.9</v>
      </c>
      <c r="F1096" s="14">
        <v>1495.3</v>
      </c>
      <c r="G1096" s="14">
        <v>1514</v>
      </c>
      <c r="H1096" s="14">
        <v>1515.4</v>
      </c>
      <c r="I1096" s="14">
        <v>1511.99</v>
      </c>
      <c r="J1096" s="14">
        <v>3217.6</v>
      </c>
      <c r="K1096" s="14">
        <v>1114.85</v>
      </c>
      <c r="L1096" s="15">
        <v>11117052</v>
      </c>
      <c r="M1096" t="s" s="13">
        <v>1088</v>
      </c>
      <c r="N1096" s="15">
        <v>269877</v>
      </c>
      <c r="O1096" s="17" cm="1">
        <f t="array" ref="O1096">(H1096-H1095)/H1095</f>
        <v>0.0134421186384003</v>
      </c>
    </row>
    <row r="1097" ht="13.65" customHeight="1">
      <c r="A1097" s="18">
        <v>45838</v>
      </c>
      <c r="B1097" t="s" s="13">
        <v>22</v>
      </c>
      <c r="C1097" s="14">
        <v>1513.8</v>
      </c>
      <c r="D1097" s="14">
        <v>1524.8</v>
      </c>
      <c r="E1097" s="14">
        <v>1496</v>
      </c>
      <c r="F1097" s="14">
        <v>1515.4</v>
      </c>
      <c r="G1097" s="14">
        <v>1499.9</v>
      </c>
      <c r="H1097" s="14">
        <v>1500.6</v>
      </c>
      <c r="I1097" s="14">
        <v>1509.28</v>
      </c>
      <c r="J1097" s="14">
        <v>3217.6</v>
      </c>
      <c r="K1097" s="14">
        <v>1114.85</v>
      </c>
      <c r="L1097" s="15">
        <v>8409527</v>
      </c>
      <c r="M1097" t="s" s="13">
        <v>1089</v>
      </c>
      <c r="N1097" s="15">
        <v>242195</v>
      </c>
      <c r="O1097" s="17" cm="1">
        <f t="array" ref="O1097">(H1097-H1096)/H1096</f>
        <v>-0.009766398310677051</v>
      </c>
    </row>
    <row r="1098" ht="13.65" customHeight="1">
      <c r="A1098" s="12">
        <v>45839</v>
      </c>
      <c r="B1098" t="s" s="13">
        <v>22</v>
      </c>
      <c r="C1098" s="14">
        <v>1500.6</v>
      </c>
      <c r="D1098" s="14">
        <v>1531.4</v>
      </c>
      <c r="E1098" s="14">
        <v>1500.1</v>
      </c>
      <c r="F1098" s="14">
        <v>1500.6</v>
      </c>
      <c r="G1098" s="14">
        <v>1526.8</v>
      </c>
      <c r="H1098" s="14">
        <v>1528.4</v>
      </c>
      <c r="I1098" s="14">
        <v>1522.95</v>
      </c>
      <c r="J1098" s="14">
        <v>3217.6</v>
      </c>
      <c r="K1098" s="14">
        <v>1114.85</v>
      </c>
      <c r="L1098" s="15">
        <v>10368523</v>
      </c>
      <c r="M1098" t="s" s="13">
        <v>1090</v>
      </c>
      <c r="N1098" s="15">
        <v>232573</v>
      </c>
      <c r="O1098" s="17" cm="1">
        <f t="array" ref="O1098">(H1098-H1097)/H1097</f>
        <v>0.0185259229641477</v>
      </c>
    </row>
    <row r="1099" ht="13.65" customHeight="1">
      <c r="A1099" s="12">
        <v>45840</v>
      </c>
      <c r="B1099" t="s" s="13">
        <v>22</v>
      </c>
      <c r="C1099" s="14">
        <v>1528.4</v>
      </c>
      <c r="D1099" s="14">
        <v>1530</v>
      </c>
      <c r="E1099" s="14">
        <v>1508.7</v>
      </c>
      <c r="F1099" s="14">
        <v>1528.4</v>
      </c>
      <c r="G1099" s="14">
        <v>1517.1</v>
      </c>
      <c r="H1099" s="14">
        <v>1518.8</v>
      </c>
      <c r="I1099" s="14">
        <v>1518.29</v>
      </c>
      <c r="J1099" s="14">
        <v>3217.6</v>
      </c>
      <c r="K1099" s="14">
        <v>1114.85</v>
      </c>
      <c r="L1099" s="15">
        <v>6361002</v>
      </c>
      <c r="M1099" t="s" s="13">
        <v>1091</v>
      </c>
      <c r="N1099" s="15">
        <v>183873</v>
      </c>
      <c r="O1099" s="17" cm="1">
        <f t="array" ref="O1099">(H1099-H1098)/H1098</f>
        <v>-0.00628107825176655</v>
      </c>
    </row>
    <row r="1100" ht="13.65" customHeight="1">
      <c r="A1100" s="12">
        <v>45841</v>
      </c>
      <c r="B1100" t="s" s="13">
        <v>22</v>
      </c>
      <c r="C1100" s="14">
        <v>1520.8</v>
      </c>
      <c r="D1100" s="14">
        <v>1531.9</v>
      </c>
      <c r="E1100" s="14">
        <v>1513</v>
      </c>
      <c r="F1100" s="14">
        <v>1518.8</v>
      </c>
      <c r="G1100" s="14">
        <v>1515</v>
      </c>
      <c r="H1100" s="14">
        <v>1517.8</v>
      </c>
      <c r="I1100" s="14">
        <v>1520.57</v>
      </c>
      <c r="J1100" s="14">
        <v>3217.6</v>
      </c>
      <c r="K1100" s="14">
        <v>1114.85</v>
      </c>
      <c r="L1100" s="15">
        <v>11283291</v>
      </c>
      <c r="M1100" t="s" s="13">
        <v>1092</v>
      </c>
      <c r="N1100" s="15">
        <v>258008</v>
      </c>
      <c r="O1100" s="17" cm="1">
        <f t="array" ref="O1100">(H1100-H1099)/H1099</f>
        <v>-0.000658414537792994</v>
      </c>
    </row>
    <row r="1101" ht="13.65" customHeight="1">
      <c r="A1101" s="12">
        <v>45842</v>
      </c>
      <c r="B1101" t="s" s="13">
        <v>22</v>
      </c>
      <c r="C1101" s="14">
        <v>1524</v>
      </c>
      <c r="D1101" s="14">
        <v>1530</v>
      </c>
      <c r="E1101" s="14">
        <v>1517.2</v>
      </c>
      <c r="F1101" s="14">
        <v>1517.8</v>
      </c>
      <c r="G1101" s="14">
        <v>1528.1</v>
      </c>
      <c r="H1101" s="14">
        <v>1527.3</v>
      </c>
      <c r="I1101" s="14">
        <v>1523.57</v>
      </c>
      <c r="J1101" s="14">
        <v>3217.6</v>
      </c>
      <c r="K1101" s="14">
        <v>1114.85</v>
      </c>
      <c r="L1101" s="15">
        <v>6603501</v>
      </c>
      <c r="M1101" t="s" s="13">
        <v>1093</v>
      </c>
      <c r="N1101" s="15">
        <v>167255</v>
      </c>
      <c r="O1101" s="17" cm="1">
        <f t="array" ref="O1101">(H1101-H1100)/H1100</f>
        <v>0.00625905916458031</v>
      </c>
    </row>
    <row r="1102" ht="13.65" customHeight="1">
      <c r="A1102" s="12">
        <v>45845</v>
      </c>
      <c r="B1102" t="s" s="13">
        <v>22</v>
      </c>
      <c r="C1102" s="14">
        <v>1526.6</v>
      </c>
      <c r="D1102" s="14">
        <v>1544.8</v>
      </c>
      <c r="E1102" s="14">
        <v>1525</v>
      </c>
      <c r="F1102" s="14">
        <v>1527.3</v>
      </c>
      <c r="G1102" s="14">
        <v>1540.5</v>
      </c>
      <c r="H1102" s="14">
        <v>1541.5</v>
      </c>
      <c r="I1102" s="14">
        <v>1539.06</v>
      </c>
      <c r="J1102" s="14">
        <v>3217.6</v>
      </c>
      <c r="K1102" s="14">
        <v>1114.85</v>
      </c>
      <c r="L1102" s="15">
        <v>7251074</v>
      </c>
      <c r="M1102" t="s" s="13">
        <v>1094</v>
      </c>
      <c r="N1102" s="15">
        <v>205134</v>
      </c>
      <c r="O1102" s="17" cm="1">
        <f t="array" ref="O1102">(H1102-H1101)/H1101</f>
        <v>0.009297453021672231</v>
      </c>
    </row>
    <row r="1103" ht="13.65" customHeight="1">
      <c r="A1103" s="12">
        <v>45846</v>
      </c>
      <c r="B1103" t="s" s="13">
        <v>22</v>
      </c>
      <c r="C1103" s="14">
        <v>1536</v>
      </c>
      <c r="D1103" s="14">
        <v>1544.9</v>
      </c>
      <c r="E1103" s="14">
        <v>1530.2</v>
      </c>
      <c r="F1103" s="14">
        <v>1541.5</v>
      </c>
      <c r="G1103" s="14">
        <v>1538</v>
      </c>
      <c r="H1103" s="14">
        <v>1537.6</v>
      </c>
      <c r="I1103" s="14">
        <v>1536.23</v>
      </c>
      <c r="J1103" s="14">
        <v>3217.6</v>
      </c>
      <c r="K1103" s="14">
        <v>1114.85</v>
      </c>
      <c r="L1103" s="15">
        <v>7171261</v>
      </c>
      <c r="M1103" t="s" s="13">
        <v>1095</v>
      </c>
      <c r="N1103" s="15">
        <v>191265</v>
      </c>
      <c r="O1103" s="17" cm="1">
        <f t="array" ref="O1103">(H1103-H1102)/H1102</f>
        <v>-0.0025300032435939</v>
      </c>
    </row>
    <row r="1104" ht="13.65" customHeight="1">
      <c r="A1104" s="12">
        <v>45847</v>
      </c>
      <c r="B1104" t="s" s="13">
        <v>22</v>
      </c>
      <c r="C1104" s="14">
        <v>1536.7</v>
      </c>
      <c r="D1104" s="14">
        <v>1551</v>
      </c>
      <c r="E1104" s="14">
        <v>1510.1</v>
      </c>
      <c r="F1104" s="14">
        <v>1537.6</v>
      </c>
      <c r="G1104" s="14">
        <v>1520.5</v>
      </c>
      <c r="H1104" s="14">
        <v>1519</v>
      </c>
      <c r="I1104" s="14">
        <v>1532.97</v>
      </c>
      <c r="J1104" s="14">
        <v>3217.6</v>
      </c>
      <c r="K1104" s="14">
        <v>1114.85</v>
      </c>
      <c r="L1104" s="15">
        <v>8870660</v>
      </c>
      <c r="M1104" t="s" s="13">
        <v>1096</v>
      </c>
      <c r="N1104" s="15">
        <v>254524</v>
      </c>
      <c r="O1104" s="17" cm="1">
        <f t="array" ref="O1104">(H1104-H1103)/H1103</f>
        <v>-0.0120967741935484</v>
      </c>
    </row>
    <row r="1105" ht="13.65" customHeight="1">
      <c r="A1105" s="18">
        <v>45848</v>
      </c>
      <c r="B1105" t="s" s="13">
        <v>22</v>
      </c>
      <c r="C1105" s="14">
        <v>1519.7</v>
      </c>
      <c r="D1105" s="14">
        <v>1524.7</v>
      </c>
      <c r="E1105" s="14">
        <v>1507.5</v>
      </c>
      <c r="F1105" s="14">
        <v>1519</v>
      </c>
      <c r="G1105" s="14">
        <v>1515.2</v>
      </c>
      <c r="H1105" s="14">
        <v>1517.2</v>
      </c>
      <c r="I1105" s="14">
        <v>1516.2</v>
      </c>
      <c r="J1105" s="14">
        <v>3217.6</v>
      </c>
      <c r="K1105" s="14">
        <v>1114.85</v>
      </c>
      <c r="L1105" s="15">
        <v>10047129</v>
      </c>
      <c r="M1105" t="s" s="13">
        <v>1097</v>
      </c>
      <c r="N1105" s="15">
        <v>289035</v>
      </c>
      <c r="O1105" s="17" cm="1">
        <f t="array" ref="O1105">(H1105-H1104)/H1104</f>
        <v>-0.00118499012508229</v>
      </c>
    </row>
    <row r="1106" ht="13.65" customHeight="1">
      <c r="A1106" s="18">
        <v>45849</v>
      </c>
      <c r="B1106" t="s" s="13">
        <v>22</v>
      </c>
      <c r="C1106" s="14">
        <v>1512</v>
      </c>
      <c r="D1106" s="14">
        <v>1515</v>
      </c>
      <c r="E1106" s="14">
        <v>1490.3</v>
      </c>
      <c r="F1106" s="14">
        <v>1517.2</v>
      </c>
      <c r="G1106" s="14">
        <v>1495</v>
      </c>
      <c r="H1106" s="14">
        <v>1495.2</v>
      </c>
      <c r="I1106" s="14">
        <v>1496.06</v>
      </c>
      <c r="J1106" s="14">
        <v>3217.6</v>
      </c>
      <c r="K1106" s="14">
        <v>1114.85</v>
      </c>
      <c r="L1106" s="15">
        <v>7234991</v>
      </c>
      <c r="M1106" t="s" s="13">
        <v>1098</v>
      </c>
      <c r="N1106" s="15">
        <v>178490</v>
      </c>
      <c r="O1106" s="17" cm="1">
        <f t="array" ref="O1106">(H1106-H1105)/H1105</f>
        <v>-0.0145003954653309</v>
      </c>
    </row>
    <row r="1107" ht="13.65" customHeight="1">
      <c r="A1107" s="18">
        <v>45852</v>
      </c>
      <c r="B1107" t="s" s="13">
        <v>22</v>
      </c>
      <c r="C1107" s="14">
        <v>1492.2</v>
      </c>
      <c r="D1107" s="14">
        <v>1500</v>
      </c>
      <c r="E1107" s="14">
        <v>1479.1</v>
      </c>
      <c r="F1107" s="14">
        <v>1495.2</v>
      </c>
      <c r="G1107" s="14">
        <v>1486.4</v>
      </c>
      <c r="H1107" s="14">
        <v>1483.7</v>
      </c>
      <c r="I1107" s="14">
        <v>1487.76</v>
      </c>
      <c r="J1107" s="14">
        <v>3211.7</v>
      </c>
      <c r="K1107" s="14">
        <v>1114.85</v>
      </c>
      <c r="L1107" s="15">
        <v>10311846</v>
      </c>
      <c r="M1107" t="s" s="13">
        <v>1099</v>
      </c>
      <c r="N1107" s="15">
        <v>186122</v>
      </c>
      <c r="O1107" s="17" cm="1">
        <f t="array" ref="O1107">(H1107-H1106)/H1106</f>
        <v>-0.00769127875869449</v>
      </c>
    </row>
    <row r="1108" ht="13.65" customHeight="1">
      <c r="A1108" s="18">
        <v>45853</v>
      </c>
      <c r="B1108" t="s" s="13">
        <v>22</v>
      </c>
      <c r="C1108" s="14">
        <v>1486.2</v>
      </c>
      <c r="D1108" s="14">
        <v>1496.5</v>
      </c>
      <c r="E1108" s="14">
        <v>1482.4</v>
      </c>
      <c r="F1108" s="14">
        <v>1483.7</v>
      </c>
      <c r="G1108" s="14">
        <v>1488.5</v>
      </c>
      <c r="H1108" s="14">
        <v>1485.4</v>
      </c>
      <c r="I1108" s="14">
        <v>1487.92</v>
      </c>
      <c r="J1108" s="14">
        <v>3211.7</v>
      </c>
      <c r="K1108" s="14">
        <v>1114.85</v>
      </c>
      <c r="L1108" s="15">
        <v>8132454</v>
      </c>
      <c r="M1108" t="s" s="13">
        <v>1100</v>
      </c>
      <c r="N1108" s="15">
        <v>173756</v>
      </c>
      <c r="O1108" s="17" cm="1">
        <f t="array" ref="O1108">(H1108-H1107)/H1107</f>
        <v>0.0011457841881782</v>
      </c>
    </row>
    <row r="1109" ht="13.65" customHeight="1">
      <c r="A1109" s="18">
        <v>45854</v>
      </c>
      <c r="B1109" t="s" s="13">
        <v>22</v>
      </c>
      <c r="C1109" s="14">
        <v>1473</v>
      </c>
      <c r="D1109" s="14">
        <v>1491</v>
      </c>
      <c r="E1109" s="14">
        <v>1471.5</v>
      </c>
      <c r="F1109" s="14">
        <v>1485.4</v>
      </c>
      <c r="G1109" s="14">
        <v>1486.2</v>
      </c>
      <c r="H1109" s="14">
        <v>1485.6</v>
      </c>
      <c r="I1109" s="14">
        <v>1481.43</v>
      </c>
      <c r="J1109" s="14">
        <v>3211.7</v>
      </c>
      <c r="K1109" s="14">
        <v>1114.85</v>
      </c>
      <c r="L1109" s="15">
        <v>10409983</v>
      </c>
      <c r="M1109" t="s" s="13">
        <v>1101</v>
      </c>
      <c r="N1109" s="15">
        <v>191598</v>
      </c>
      <c r="O1109" s="17" cm="1">
        <f t="array" ref="O1109">(H1109-H1108)/H1108</f>
        <v>0.000134643866971859</v>
      </c>
    </row>
    <row r="1110" ht="13.65" customHeight="1">
      <c r="A1110" s="18">
        <v>45855</v>
      </c>
      <c r="B1110" t="s" s="13">
        <v>22</v>
      </c>
      <c r="C1110" s="14">
        <v>1487.4</v>
      </c>
      <c r="D1110" s="14">
        <v>1489.6</v>
      </c>
      <c r="E1110" s="14">
        <v>1473.9</v>
      </c>
      <c r="F1110" s="14">
        <v>1485.6</v>
      </c>
      <c r="G1110" s="14">
        <v>1478.7</v>
      </c>
      <c r="H1110" s="14">
        <v>1476.4</v>
      </c>
      <c r="I1110" s="14">
        <v>1479.78</v>
      </c>
      <c r="J1110" s="14">
        <v>3211.7</v>
      </c>
      <c r="K1110" s="14">
        <v>1114.85</v>
      </c>
      <c r="L1110" s="15">
        <v>11854613</v>
      </c>
      <c r="M1110" t="s" s="13">
        <v>1102</v>
      </c>
      <c r="N1110" s="15">
        <v>189733</v>
      </c>
      <c r="O1110" s="17" cm="1">
        <f t="array" ref="O1110">(H1110-H1109)/H1109</f>
        <v>-0.00619278406031233</v>
      </c>
    </row>
    <row r="1111" ht="13.65" customHeight="1">
      <c r="A1111" s="18">
        <v>45856</v>
      </c>
      <c r="B1111" t="s" s="13">
        <v>22</v>
      </c>
      <c r="C1111" s="14">
        <v>1484.8</v>
      </c>
      <c r="D1111" s="14">
        <v>1484.8</v>
      </c>
      <c r="E1111" s="14">
        <v>1469.1</v>
      </c>
      <c r="F1111" s="14">
        <v>1476.4</v>
      </c>
      <c r="G1111" s="14">
        <v>1476</v>
      </c>
      <c r="H1111" s="14">
        <v>1476</v>
      </c>
      <c r="I1111" s="14">
        <v>1475.2</v>
      </c>
      <c r="J1111" s="14">
        <v>3211.7</v>
      </c>
      <c r="K1111" s="14">
        <v>1114.85</v>
      </c>
      <c r="L1111" s="15">
        <v>10296318</v>
      </c>
      <c r="M1111" t="s" s="13">
        <v>1103</v>
      </c>
      <c r="N1111" s="15">
        <v>222241</v>
      </c>
      <c r="O1111" s="17" cm="1">
        <f t="array" ref="O1111">(H1111-H1110)/H1110</f>
        <v>-0.000270929287455974</v>
      </c>
    </row>
    <row r="1112" ht="13.65" customHeight="1">
      <c r="A1112" s="18">
        <v>45859</v>
      </c>
      <c r="B1112" t="s" s="13">
        <v>22</v>
      </c>
      <c r="C1112" s="14">
        <v>1465</v>
      </c>
      <c r="D1112" s="14">
        <v>1476</v>
      </c>
      <c r="E1112" s="14">
        <v>1423.1</v>
      </c>
      <c r="F1112" s="14">
        <v>1476</v>
      </c>
      <c r="G1112" s="14">
        <v>1428.2</v>
      </c>
      <c r="H1112" s="14">
        <v>1428.6</v>
      </c>
      <c r="I1112" s="14">
        <v>1435.24</v>
      </c>
      <c r="J1112" s="14">
        <v>3079.45</v>
      </c>
      <c r="K1112" s="14">
        <v>1114.85</v>
      </c>
      <c r="L1112" s="15">
        <v>22442744</v>
      </c>
      <c r="M1112" t="s" s="13">
        <v>1104</v>
      </c>
      <c r="N1112" s="15">
        <v>630358</v>
      </c>
      <c r="O1112" s="17" cm="1">
        <f t="array" ref="O1112">(H1112-H1111)/H1111</f>
        <v>-0.0321138211382114</v>
      </c>
    </row>
    <row r="1113" ht="13.65" customHeight="1">
      <c r="A1113" s="18">
        <v>45860</v>
      </c>
      <c r="B1113" t="s" s="13">
        <v>22</v>
      </c>
      <c r="C1113" s="14">
        <v>1427.4</v>
      </c>
      <c r="D1113" s="14">
        <v>1431.9</v>
      </c>
      <c r="E1113" s="14">
        <v>1410.7</v>
      </c>
      <c r="F1113" s="14">
        <v>1428.6</v>
      </c>
      <c r="G1113" s="14">
        <v>1413.8</v>
      </c>
      <c r="H1113" s="14">
        <v>1412.8</v>
      </c>
      <c r="I1113" s="14">
        <v>1417.05</v>
      </c>
      <c r="J1113" s="14">
        <v>3079.45</v>
      </c>
      <c r="K1113" s="14">
        <v>1114.85</v>
      </c>
      <c r="L1113" s="15">
        <v>20396320</v>
      </c>
      <c r="M1113" t="s" s="13">
        <v>1105</v>
      </c>
      <c r="N1113" s="15">
        <v>504145</v>
      </c>
      <c r="O1113" s="17" cm="1">
        <f t="array" ref="O1113">(H1113-H1112)/H1112</f>
        <v>-0.0110597788044239</v>
      </c>
    </row>
    <row r="1114" ht="13.65" customHeight="1">
      <c r="A1114" s="18">
        <v>45861</v>
      </c>
      <c r="B1114" t="s" s="13">
        <v>22</v>
      </c>
      <c r="C1114" s="14">
        <v>1426</v>
      </c>
      <c r="D1114" s="14">
        <v>1426</v>
      </c>
      <c r="E1114" s="14">
        <v>1414.4</v>
      </c>
      <c r="F1114" s="14">
        <v>1412.8</v>
      </c>
      <c r="G1114" s="14">
        <v>1425</v>
      </c>
      <c r="H1114" s="14">
        <v>1424.6</v>
      </c>
      <c r="I1114" s="14">
        <v>1421.41</v>
      </c>
      <c r="J1114" s="14">
        <v>3079.45</v>
      </c>
      <c r="K1114" s="14">
        <v>1114.85</v>
      </c>
      <c r="L1114" s="15">
        <v>8354596</v>
      </c>
      <c r="M1114" t="s" s="13">
        <v>1106</v>
      </c>
      <c r="N1114" s="15">
        <v>225103</v>
      </c>
      <c r="O1114" s="17" cm="1">
        <f t="array" ref="O1114">(H1114-H1113)/H1113</f>
        <v>0.00835220838052095</v>
      </c>
    </row>
    <row r="1115" ht="13.65" customHeight="1">
      <c r="A1115" s="18">
        <v>45862</v>
      </c>
      <c r="B1115" t="s" s="13">
        <v>22</v>
      </c>
      <c r="C1115" s="14">
        <v>1419.2</v>
      </c>
      <c r="D1115" s="14">
        <v>1423</v>
      </c>
      <c r="E1115" s="14">
        <v>1396</v>
      </c>
      <c r="F1115" s="14">
        <v>1424.6</v>
      </c>
      <c r="G1115" s="14">
        <v>1402.8</v>
      </c>
      <c r="H1115" s="14">
        <v>1402.9</v>
      </c>
      <c r="I1115" s="14">
        <v>1407.06</v>
      </c>
      <c r="J1115" s="14">
        <v>3079.45</v>
      </c>
      <c r="K1115" s="14">
        <v>1114.85</v>
      </c>
      <c r="L1115" s="15">
        <v>14740507</v>
      </c>
      <c r="M1115" t="s" s="13">
        <v>1107</v>
      </c>
      <c r="N1115" s="15">
        <v>314670</v>
      </c>
      <c r="O1115" s="17" cm="1">
        <f t="array" ref="O1115">(H1115-H1114)/H1114</f>
        <v>-0.0152323459216622</v>
      </c>
    </row>
    <row r="1116" ht="13.65" customHeight="1">
      <c r="A1116" s="18">
        <v>45863</v>
      </c>
      <c r="B1116" t="s" s="13">
        <v>22</v>
      </c>
      <c r="C1116" s="14">
        <v>1398.9</v>
      </c>
      <c r="D1116" s="14">
        <v>1401</v>
      </c>
      <c r="E1116" s="14">
        <v>1384.1</v>
      </c>
      <c r="F1116" s="14">
        <v>1402.9</v>
      </c>
      <c r="G1116" s="14">
        <v>1392.4</v>
      </c>
      <c r="H1116" s="14">
        <v>1391.7</v>
      </c>
      <c r="I1116" s="14">
        <v>1394.22</v>
      </c>
      <c r="J1116" s="14">
        <v>3079.45</v>
      </c>
      <c r="K1116" s="14">
        <v>1114.85</v>
      </c>
      <c r="L1116" s="15">
        <v>11854722</v>
      </c>
      <c r="M1116" t="s" s="13">
        <v>1108</v>
      </c>
      <c r="N1116" s="15">
        <v>237018</v>
      </c>
      <c r="O1116" s="17" cm="1">
        <f t="array" ref="O1116">(H1116-H1115)/H1115</f>
        <v>-0.007983462827001211</v>
      </c>
    </row>
    <row r="1117" ht="13.65" customHeight="1">
      <c r="A1117" s="18">
        <v>45866</v>
      </c>
      <c r="B1117" t="s" s="13">
        <v>22</v>
      </c>
      <c r="C1117" s="14">
        <v>1392.3</v>
      </c>
      <c r="D1117" s="14">
        <v>1407.8</v>
      </c>
      <c r="E1117" s="14">
        <v>1385</v>
      </c>
      <c r="F1117" s="14">
        <v>1391.7</v>
      </c>
      <c r="G1117" s="14">
        <v>1387.1</v>
      </c>
      <c r="H1117" s="14">
        <v>1387.6</v>
      </c>
      <c r="I1117" s="14">
        <v>1394.17</v>
      </c>
      <c r="J1117" s="14">
        <v>3079.45</v>
      </c>
      <c r="K1117" s="14">
        <v>1114.85</v>
      </c>
      <c r="L1117" s="15">
        <v>7748361</v>
      </c>
      <c r="M1117" t="s" s="13">
        <v>1109</v>
      </c>
      <c r="N1117" s="15">
        <v>198421</v>
      </c>
      <c r="O1117" s="17" cm="1">
        <f t="array" ref="O1117">(H1117-H1116)/H1116</f>
        <v>-0.00294603722066537</v>
      </c>
    </row>
    <row r="1118" ht="13.65" customHeight="1">
      <c r="A1118" s="18">
        <v>45867</v>
      </c>
      <c r="B1118" t="s" s="13">
        <v>22</v>
      </c>
      <c r="C1118" s="14">
        <v>1383</v>
      </c>
      <c r="D1118" s="14">
        <v>1420.2</v>
      </c>
      <c r="E1118" s="14">
        <v>1383</v>
      </c>
      <c r="F1118" s="14">
        <v>1387.6</v>
      </c>
      <c r="G1118" s="14">
        <v>1416.6</v>
      </c>
      <c r="H1118" s="14">
        <v>1417.1</v>
      </c>
      <c r="I1118" s="14">
        <v>1402.99</v>
      </c>
      <c r="J1118" s="14">
        <v>3079.45</v>
      </c>
      <c r="K1118" s="14">
        <v>1114.85</v>
      </c>
      <c r="L1118" s="15">
        <v>10750072</v>
      </c>
      <c r="M1118" t="s" s="13">
        <v>1110</v>
      </c>
      <c r="N1118" s="15">
        <v>187813</v>
      </c>
      <c r="O1118" s="17" cm="1">
        <f t="array" ref="O1118">(H1118-H1117)/H1117</f>
        <v>0.0212597290285385</v>
      </c>
    </row>
    <row r="1119" ht="13.65" customHeight="1">
      <c r="A1119" s="18">
        <v>45868</v>
      </c>
      <c r="B1119" t="s" s="13">
        <v>22</v>
      </c>
      <c r="C1119" s="14">
        <v>1418.1</v>
      </c>
      <c r="D1119" s="14">
        <v>1423.3</v>
      </c>
      <c r="E1119" s="14">
        <v>1401.3</v>
      </c>
      <c r="F1119" s="14">
        <v>1417.1</v>
      </c>
      <c r="G1119" s="14">
        <v>1409.7</v>
      </c>
      <c r="H1119" s="14">
        <v>1410.1</v>
      </c>
      <c r="I1119" s="14">
        <v>1411.5</v>
      </c>
      <c r="J1119" s="14">
        <v>3079.45</v>
      </c>
      <c r="K1119" s="14">
        <v>1114.85</v>
      </c>
      <c r="L1119" s="15">
        <v>7209849</v>
      </c>
      <c r="M1119" t="s" s="13">
        <v>1111</v>
      </c>
      <c r="N1119" s="15">
        <v>167311</v>
      </c>
      <c r="O1119" s="17" cm="1">
        <f t="array" ref="O1119">(H1119-H1118)/H1118</f>
        <v>-0.00493966551407805</v>
      </c>
    </row>
    <row r="1120" ht="13.65" customHeight="1">
      <c r="A1120" s="18">
        <v>45869</v>
      </c>
      <c r="B1120" t="s" s="13">
        <v>22</v>
      </c>
      <c r="C1120" s="14">
        <v>1388.1</v>
      </c>
      <c r="D1120" s="14">
        <v>1402.6</v>
      </c>
      <c r="E1120" s="14">
        <v>1382.2</v>
      </c>
      <c r="F1120" s="14">
        <v>1410.1</v>
      </c>
      <c r="G1120" s="14">
        <v>1390</v>
      </c>
      <c r="H1120" s="14">
        <v>1390.2</v>
      </c>
      <c r="I1120" s="14">
        <v>1392.63</v>
      </c>
      <c r="J1120" s="14">
        <v>3079.45</v>
      </c>
      <c r="K1120" s="14">
        <v>1114.85</v>
      </c>
      <c r="L1120" s="15">
        <v>17065827</v>
      </c>
      <c r="M1120" t="s" s="13">
        <v>1112</v>
      </c>
      <c r="N1120" s="15">
        <v>373516</v>
      </c>
      <c r="O1120" s="17" cm="1">
        <f t="array" ref="O1120">(H1120-H1119)/H1119</f>
        <v>-0.0141124742926034</v>
      </c>
    </row>
    <row r="1121" ht="13.65" customHeight="1">
      <c r="A1121" s="12">
        <v>45870</v>
      </c>
      <c r="B1121" t="s" s="13">
        <v>22</v>
      </c>
      <c r="C1121" s="14">
        <v>1386.9</v>
      </c>
      <c r="D1121" s="14">
        <v>1405.9</v>
      </c>
      <c r="E1121" s="14">
        <v>1384.3</v>
      </c>
      <c r="F1121" s="14">
        <v>1390.2</v>
      </c>
      <c r="G1121" s="14">
        <v>1394.1</v>
      </c>
      <c r="H1121" s="14">
        <v>1393.7</v>
      </c>
      <c r="I1121" s="14">
        <v>1397.47</v>
      </c>
      <c r="J1121" s="14">
        <v>3079.45</v>
      </c>
      <c r="K1121" s="14">
        <v>1114.85</v>
      </c>
      <c r="L1121" s="15">
        <v>10321171</v>
      </c>
      <c r="M1121" t="s" s="13">
        <v>1113</v>
      </c>
      <c r="N1121" s="15">
        <v>208431</v>
      </c>
      <c r="O1121" s="17" cm="1">
        <f t="array" ref="O1121">(H1121-H1120)/H1120</f>
        <v>0.00251762336354481</v>
      </c>
    </row>
    <row r="1122" ht="13.65" customHeight="1">
      <c r="A1122" s="12">
        <v>45873</v>
      </c>
      <c r="B1122" t="s" s="13">
        <v>22</v>
      </c>
      <c r="C1122" s="14">
        <v>1395.1</v>
      </c>
      <c r="D1122" s="14">
        <v>1416.1</v>
      </c>
      <c r="E1122" s="14">
        <v>1391.7</v>
      </c>
      <c r="F1122" s="14">
        <v>1393.7</v>
      </c>
      <c r="G1122" s="14">
        <v>1410.2</v>
      </c>
      <c r="H1122" s="14">
        <v>1411.5</v>
      </c>
      <c r="I1122" s="14">
        <v>1410.61</v>
      </c>
      <c r="J1122" s="14">
        <v>3079.45</v>
      </c>
      <c r="K1122" s="14">
        <v>1114.85</v>
      </c>
      <c r="L1122" s="15">
        <v>6312820</v>
      </c>
      <c r="M1122" t="s" s="13">
        <v>1114</v>
      </c>
      <c r="N1122" s="15">
        <v>188246</v>
      </c>
      <c r="O1122" s="17" cm="1">
        <f t="array" ref="O1122">(H1122-H1121)/H1121</f>
        <v>0.0127717586281122</v>
      </c>
    </row>
    <row r="1123" ht="13.65" customHeight="1">
      <c r="A1123" s="12">
        <v>45874</v>
      </c>
      <c r="B1123" t="s" s="13">
        <v>22</v>
      </c>
      <c r="C1123" s="14">
        <v>1411</v>
      </c>
      <c r="D1123" s="14">
        <v>1411</v>
      </c>
      <c r="E1123" s="14">
        <v>1388.1</v>
      </c>
      <c r="F1123" s="14">
        <v>1411.5</v>
      </c>
      <c r="G1123" s="14">
        <v>1390</v>
      </c>
      <c r="H1123" s="14">
        <v>1391.7</v>
      </c>
      <c r="I1123" s="14">
        <v>1394.5</v>
      </c>
      <c r="J1123" s="14">
        <v>3079.45</v>
      </c>
      <c r="K1123" s="14">
        <v>1114.85</v>
      </c>
      <c r="L1123" s="15">
        <v>9315972</v>
      </c>
      <c r="M1123" t="s" s="13">
        <v>1115</v>
      </c>
      <c r="N1123" s="15">
        <v>238858</v>
      </c>
      <c r="O1123" s="17" cm="1">
        <f t="array" ref="O1123">(H1123-H1122)/H1122</f>
        <v>-0.0140276301806589</v>
      </c>
    </row>
    <row r="1124" ht="13.65" customHeight="1">
      <c r="A1124" s="12">
        <v>45875</v>
      </c>
      <c r="B1124" t="s" s="13">
        <v>22</v>
      </c>
      <c r="C1124" s="14">
        <v>1391.9</v>
      </c>
      <c r="D1124" s="14">
        <v>1395.9</v>
      </c>
      <c r="E1124" s="14">
        <v>1383.3</v>
      </c>
      <c r="F1124" s="14">
        <v>1391.7</v>
      </c>
      <c r="G1124" s="14">
        <v>1393</v>
      </c>
      <c r="H1124" s="14">
        <v>1392.8</v>
      </c>
      <c r="I1124" s="14">
        <v>1390.57</v>
      </c>
      <c r="J1124" s="14">
        <v>3079.45</v>
      </c>
      <c r="K1124" s="14">
        <v>1114.85</v>
      </c>
      <c r="L1124" s="15">
        <v>5834312</v>
      </c>
      <c r="M1124" t="s" s="13">
        <v>1116</v>
      </c>
      <c r="N1124" s="15">
        <v>156725</v>
      </c>
      <c r="O1124" s="17" cm="1">
        <f t="array" ref="O1124">(H1124-H1123)/H1123</f>
        <v>0.000790400229934612</v>
      </c>
    </row>
    <row r="1125" ht="13.65" customHeight="1">
      <c r="A1125" s="12">
        <v>45876</v>
      </c>
      <c r="B1125" t="s" s="13">
        <v>22</v>
      </c>
      <c r="C1125" s="14">
        <v>1387.7</v>
      </c>
      <c r="D1125" s="14">
        <v>1393.7</v>
      </c>
      <c r="E1125" s="14">
        <v>1366</v>
      </c>
      <c r="F1125" s="14">
        <v>1392.8</v>
      </c>
      <c r="G1125" s="14">
        <v>1391</v>
      </c>
      <c r="H1125" s="14">
        <v>1389.4</v>
      </c>
      <c r="I1125" s="14">
        <v>1381.52</v>
      </c>
      <c r="J1125" s="14">
        <v>3079.45</v>
      </c>
      <c r="K1125" s="14">
        <v>1114.85</v>
      </c>
      <c r="L1125" s="15">
        <v>9976705</v>
      </c>
      <c r="M1125" t="s" s="13">
        <v>1117</v>
      </c>
      <c r="N1125" s="15">
        <v>293767</v>
      </c>
      <c r="O1125" s="17" cm="1">
        <f t="array" ref="O1125">(H1125-H1124)/H1124</f>
        <v>-0.00244112578977599</v>
      </c>
    </row>
    <row r="1126" ht="13.65" customHeight="1">
      <c r="A1126" s="12">
        <v>45877</v>
      </c>
      <c r="B1126" t="s" s="13">
        <v>22</v>
      </c>
      <c r="C1126" s="14">
        <v>1385</v>
      </c>
      <c r="D1126" s="14">
        <v>1397.2</v>
      </c>
      <c r="E1126" s="14">
        <v>1365</v>
      </c>
      <c r="F1126" s="14">
        <v>1389.4</v>
      </c>
      <c r="G1126" s="14">
        <v>1366.2</v>
      </c>
      <c r="H1126" s="14">
        <v>1367.8</v>
      </c>
      <c r="I1126" s="14">
        <v>1374.93</v>
      </c>
      <c r="J1126" s="14">
        <v>3079.45</v>
      </c>
      <c r="K1126" s="14">
        <v>1114.85</v>
      </c>
      <c r="L1126" s="15">
        <v>8793606</v>
      </c>
      <c r="M1126" t="s" s="13">
        <v>1118</v>
      </c>
      <c r="N1126" s="15">
        <v>208137</v>
      </c>
      <c r="O1126" s="17" cm="1">
        <f t="array" ref="O1126">(H1126-H1125)/H1125</f>
        <v>-0.0155462789693393</v>
      </c>
    </row>
    <row r="1127" ht="13.65" customHeight="1">
      <c r="A1127" s="18">
        <v>45880</v>
      </c>
      <c r="B1127" t="s" s="13">
        <v>22</v>
      </c>
      <c r="C1127" s="14">
        <v>1370</v>
      </c>
      <c r="D1127" s="14">
        <v>1388</v>
      </c>
      <c r="E1127" s="14">
        <v>1361.2</v>
      </c>
      <c r="F1127" s="14">
        <v>1367.8</v>
      </c>
      <c r="G1127" s="14">
        <v>1384.6</v>
      </c>
      <c r="H1127" s="14">
        <v>1386.2</v>
      </c>
      <c r="I1127" s="14">
        <v>1375.78</v>
      </c>
      <c r="J1127" s="14">
        <v>3079.45</v>
      </c>
      <c r="K1127" s="14">
        <v>1114.85</v>
      </c>
      <c r="L1127" s="15">
        <v>9997486</v>
      </c>
      <c r="M1127" t="s" s="13">
        <v>1119</v>
      </c>
      <c r="N1127" s="15">
        <v>226304</v>
      </c>
      <c r="O1127" s="17" cm="1">
        <f t="array" ref="O1127">(H1127-H1126)/H1126</f>
        <v>0.0134522591022079</v>
      </c>
    </row>
    <row r="1128" ht="13.65" customHeight="1">
      <c r="A1128" s="18">
        <v>45881</v>
      </c>
      <c r="B1128" t="s" s="13">
        <v>22</v>
      </c>
      <c r="C1128" s="14">
        <v>1381.9</v>
      </c>
      <c r="D1128" s="14">
        <v>1401.9</v>
      </c>
      <c r="E1128" s="14">
        <v>1375.2</v>
      </c>
      <c r="F1128" s="14">
        <v>1386.2</v>
      </c>
      <c r="G1128" s="14">
        <v>1381</v>
      </c>
      <c r="H1128" s="14">
        <v>1380.4</v>
      </c>
      <c r="I1128" s="14">
        <v>1386.76</v>
      </c>
      <c r="J1128" s="14">
        <v>3079.45</v>
      </c>
      <c r="K1128" s="14">
        <v>1114.85</v>
      </c>
      <c r="L1128" s="15">
        <v>12244664</v>
      </c>
      <c r="M1128" t="s" s="13">
        <v>1120</v>
      </c>
      <c r="N1128" s="15">
        <v>179433</v>
      </c>
      <c r="O1128" s="17" cm="1">
        <f t="array" ref="O1128">(H1128-H1127)/H1127</f>
        <v>-0.00418410041841004</v>
      </c>
    </row>
    <row r="1129" ht="13.65" customHeight="1">
      <c r="A1129" s="18">
        <v>45882</v>
      </c>
      <c r="B1129" t="s" s="13">
        <v>22</v>
      </c>
      <c r="C1129" s="14">
        <v>1388</v>
      </c>
      <c r="D1129" s="14">
        <v>1391.8</v>
      </c>
      <c r="E1129" s="14">
        <v>1377.5</v>
      </c>
      <c r="F1129" s="14">
        <v>1380.4</v>
      </c>
      <c r="G1129" s="14">
        <v>1384</v>
      </c>
      <c r="H1129" s="14">
        <v>1382.6</v>
      </c>
      <c r="I1129" s="14">
        <v>1384.19</v>
      </c>
      <c r="J1129" s="14">
        <v>3079.45</v>
      </c>
      <c r="K1129" s="14">
        <v>1114.85</v>
      </c>
      <c r="L1129" s="15">
        <v>7457021</v>
      </c>
      <c r="M1129" t="s" s="13">
        <v>1121</v>
      </c>
      <c r="N1129" s="15">
        <v>208576</v>
      </c>
      <c r="O1129" s="17" cm="1">
        <f t="array" ref="O1129">(H1129-H1128)/H1128</f>
        <v>0.00159374094465372</v>
      </c>
    </row>
    <row r="1130" ht="13.65" customHeight="1">
      <c r="A1130" s="18">
        <v>45883</v>
      </c>
      <c r="B1130" t="s" s="13">
        <v>22</v>
      </c>
      <c r="C1130" s="14">
        <v>1377.3</v>
      </c>
      <c r="D1130" s="14">
        <v>1380.7</v>
      </c>
      <c r="E1130" s="14">
        <v>1370.1</v>
      </c>
      <c r="F1130" s="14">
        <v>1382.6</v>
      </c>
      <c r="G1130" s="14">
        <v>1372.9</v>
      </c>
      <c r="H1130" s="14">
        <v>1373.8</v>
      </c>
      <c r="I1130" s="14">
        <v>1375.17</v>
      </c>
      <c r="J1130" s="14">
        <v>3079.45</v>
      </c>
      <c r="K1130" s="14">
        <v>1114.85</v>
      </c>
      <c r="L1130" s="15">
        <v>7126128</v>
      </c>
      <c r="M1130" t="s" s="13">
        <v>1122</v>
      </c>
      <c r="N1130" s="15">
        <v>175588</v>
      </c>
      <c r="O1130" s="17" cm="1">
        <f t="array" ref="O1130">(H1130-H1129)/H1129</f>
        <v>-0.0063648199045277</v>
      </c>
    </row>
    <row r="1131" ht="13.65" customHeight="1">
      <c r="A1131" s="18">
        <v>45887</v>
      </c>
      <c r="B1131" t="s" s="13">
        <v>22</v>
      </c>
      <c r="C1131" s="14">
        <v>1390</v>
      </c>
      <c r="D1131" s="14">
        <v>1394.9</v>
      </c>
      <c r="E1131" s="14">
        <v>1377</v>
      </c>
      <c r="F1131" s="14">
        <v>1373.8</v>
      </c>
      <c r="G1131" s="14">
        <v>1382.9</v>
      </c>
      <c r="H1131" s="14">
        <v>1381.7</v>
      </c>
      <c r="I1131" s="14">
        <v>1384.21</v>
      </c>
      <c r="J1131" s="14">
        <v>3079.45</v>
      </c>
      <c r="K1131" s="14">
        <v>1114.85</v>
      </c>
      <c r="L1131" s="15">
        <v>11785109</v>
      </c>
      <c r="M1131" t="s" s="13">
        <v>1123</v>
      </c>
      <c r="N1131" s="15">
        <v>319844</v>
      </c>
      <c r="O1131" s="17" cm="1">
        <f t="array" ref="O1131">(H1131-H1130)/H1130</f>
        <v>0.00575047314019508</v>
      </c>
    </row>
    <row r="1132" ht="13.65" customHeight="1">
      <c r="A1132" s="18">
        <v>45888</v>
      </c>
      <c r="B1132" t="s" s="13">
        <v>22</v>
      </c>
      <c r="C1132" s="14">
        <v>1390</v>
      </c>
      <c r="D1132" s="14">
        <v>1421</v>
      </c>
      <c r="E1132" s="14">
        <v>1389.1</v>
      </c>
      <c r="F1132" s="14">
        <v>1381.7</v>
      </c>
      <c r="G1132" s="14">
        <v>1421</v>
      </c>
      <c r="H1132" s="14">
        <v>1420.1</v>
      </c>
      <c r="I1132" s="14">
        <v>1413.6</v>
      </c>
      <c r="J1132" s="14">
        <v>3079.45</v>
      </c>
      <c r="K1132" s="14">
        <v>1114.85</v>
      </c>
      <c r="L1132" s="15">
        <v>14384719</v>
      </c>
      <c r="M1132" t="s" s="13">
        <v>1124</v>
      </c>
      <c r="N1132" s="15">
        <v>288664</v>
      </c>
      <c r="O1132" s="17" cm="1">
        <f t="array" ref="O1132">(H1132-H1131)/H1131</f>
        <v>0.0277918506188029</v>
      </c>
    </row>
    <row r="1133" ht="13.65" customHeight="1">
      <c r="A1133" s="18">
        <v>45889</v>
      </c>
      <c r="B1133" t="s" s="13">
        <v>22</v>
      </c>
      <c r="C1133" s="14">
        <v>1413</v>
      </c>
      <c r="D1133" s="14">
        <v>1424.9</v>
      </c>
      <c r="E1133" s="14">
        <v>1410</v>
      </c>
      <c r="F1133" s="14">
        <v>1420.1</v>
      </c>
      <c r="G1133" s="14">
        <v>1412</v>
      </c>
      <c r="H1133" s="14">
        <v>1413</v>
      </c>
      <c r="I1133" s="14">
        <v>1418.58</v>
      </c>
      <c r="J1133" s="14">
        <v>3079.45</v>
      </c>
      <c r="K1133" s="14">
        <v>1114.85</v>
      </c>
      <c r="L1133" s="15">
        <v>8725641</v>
      </c>
      <c r="M1133" t="s" s="13">
        <v>1125</v>
      </c>
      <c r="N1133" s="15">
        <v>196554</v>
      </c>
      <c r="O1133" s="17" cm="1">
        <f t="array" ref="O1133">(H1133-H1132)/H1132</f>
        <v>-0.00499964791211886</v>
      </c>
    </row>
    <row r="1134" ht="13.65" customHeight="1">
      <c r="A1134" s="18">
        <v>45890</v>
      </c>
      <c r="B1134" t="s" s="13">
        <v>22</v>
      </c>
      <c r="C1134" s="14">
        <v>1425</v>
      </c>
      <c r="D1134" s="14">
        <v>1431.9</v>
      </c>
      <c r="E1134" s="14">
        <v>1420.3</v>
      </c>
      <c r="F1134" s="14">
        <v>1413</v>
      </c>
      <c r="G1134" s="14">
        <v>1424.3</v>
      </c>
      <c r="H1134" s="14">
        <v>1424.8</v>
      </c>
      <c r="I1134" s="14">
        <v>1427.55</v>
      </c>
      <c r="J1134" s="14">
        <v>3079.45</v>
      </c>
      <c r="K1134" s="14">
        <v>1114.85</v>
      </c>
      <c r="L1134" s="15">
        <v>11021323</v>
      </c>
      <c r="M1134" t="s" s="13">
        <v>1126</v>
      </c>
      <c r="N1134" s="15">
        <v>231863</v>
      </c>
      <c r="O1134" s="17" cm="1">
        <f t="array" ref="O1134">(H1134-H1133)/H1133</f>
        <v>0.008351026185421089</v>
      </c>
    </row>
    <row r="1135" ht="13.65" customHeight="1">
      <c r="A1135" s="18">
        <v>45891</v>
      </c>
      <c r="B1135" t="s" s="13">
        <v>22</v>
      </c>
      <c r="C1135" s="14">
        <v>1420</v>
      </c>
      <c r="D1135" s="14">
        <v>1423.4</v>
      </c>
      <c r="E1135" s="14">
        <v>1407.9</v>
      </c>
      <c r="F1135" s="14">
        <v>1424.8</v>
      </c>
      <c r="G1135" s="14">
        <v>1409.9</v>
      </c>
      <c r="H1135" s="14">
        <v>1409.2</v>
      </c>
      <c r="I1135" s="14">
        <v>1414</v>
      </c>
      <c r="J1135" s="14">
        <v>3079.45</v>
      </c>
      <c r="K1135" s="14">
        <v>1114.85</v>
      </c>
      <c r="L1135" s="15">
        <v>5818868</v>
      </c>
      <c r="M1135" t="s" s="13">
        <v>1127</v>
      </c>
      <c r="N1135" s="15">
        <v>137165</v>
      </c>
      <c r="O1135" s="17" cm="1">
        <f t="array" ref="O1135">(H1135-H1134)/H1134</f>
        <v>-0.0109489051094891</v>
      </c>
    </row>
    <row r="1136" ht="13.65" customHeight="1">
      <c r="A1136" s="18">
        <v>45894</v>
      </c>
      <c r="B1136" t="s" s="13">
        <v>22</v>
      </c>
      <c r="C1136" s="14">
        <v>1414.7</v>
      </c>
      <c r="D1136" s="14">
        <v>1419.5</v>
      </c>
      <c r="E1136" s="14">
        <v>1405.7</v>
      </c>
      <c r="F1136" s="14">
        <v>1409.2</v>
      </c>
      <c r="G1136" s="14">
        <v>1413.7</v>
      </c>
      <c r="H1136" s="14">
        <v>1412.6</v>
      </c>
      <c r="I1136" s="14">
        <v>1412.48</v>
      </c>
      <c r="J1136" s="14">
        <v>3079.45</v>
      </c>
      <c r="K1136" s="14">
        <v>1114.85</v>
      </c>
      <c r="L1136" s="15">
        <v>5979407</v>
      </c>
      <c r="M1136" t="s" s="13">
        <v>1128</v>
      </c>
      <c r="N1136" s="15">
        <v>184067</v>
      </c>
      <c r="O1136" s="17" cm="1">
        <f t="array" ref="O1136">(H1136-H1135)/H1135</f>
        <v>0.00241271643485666</v>
      </c>
    </row>
    <row r="1137" ht="13.65" customHeight="1">
      <c r="A1137" s="18">
        <v>45895</v>
      </c>
      <c r="B1137" t="s" s="13">
        <v>22</v>
      </c>
      <c r="C1137" s="14">
        <v>1408</v>
      </c>
      <c r="D1137" s="14">
        <v>1410</v>
      </c>
      <c r="E1137" s="14">
        <v>1381.6</v>
      </c>
      <c r="F1137" s="14">
        <v>1412.6</v>
      </c>
      <c r="G1137" s="14">
        <v>1383.8</v>
      </c>
      <c r="H1137" s="14">
        <v>1384.9</v>
      </c>
      <c r="I1137" s="14">
        <v>1390.78</v>
      </c>
      <c r="J1137" s="14">
        <v>3079.45</v>
      </c>
      <c r="K1137" s="14">
        <v>1114.85</v>
      </c>
      <c r="L1137" s="15">
        <v>12145259</v>
      </c>
      <c r="M1137" t="s" s="13">
        <v>1129</v>
      </c>
      <c r="N1137" s="15">
        <v>201578</v>
      </c>
      <c r="O1137" s="17" cm="1">
        <f t="array" ref="O1137">(H1137-H1136)/H1136</f>
        <v>-0.0196092312048705</v>
      </c>
    </row>
    <row r="1138" ht="13.65" customHeight="1">
      <c r="A1138" s="18">
        <v>45897</v>
      </c>
      <c r="B1138" t="s" s="13">
        <v>22</v>
      </c>
      <c r="C1138" s="14">
        <v>1389.9</v>
      </c>
      <c r="D1138" s="14">
        <v>1392.2</v>
      </c>
      <c r="E1138" s="14">
        <v>1366.5</v>
      </c>
      <c r="F1138" s="14">
        <v>1384.9</v>
      </c>
      <c r="G1138" s="14">
        <v>1390.9</v>
      </c>
      <c r="H1138" s="14">
        <v>1385.9</v>
      </c>
      <c r="I1138" s="14">
        <v>1380.78</v>
      </c>
      <c r="J1138" s="14">
        <v>3079.45</v>
      </c>
      <c r="K1138" s="14">
        <v>1114.85</v>
      </c>
      <c r="L1138" s="15">
        <v>13161813</v>
      </c>
      <c r="M1138" t="s" s="13">
        <v>1130</v>
      </c>
      <c r="N1138" s="15">
        <v>252423</v>
      </c>
      <c r="O1138" s="17" cm="1">
        <f t="array" ref="O1138">(H1138-H1137)/H1137</f>
        <v>0.000722073795941945</v>
      </c>
    </row>
    <row r="1139" ht="13.65" customHeight="1">
      <c r="A1139" s="18">
        <v>45898</v>
      </c>
      <c r="B1139" t="s" s="13">
        <v>22</v>
      </c>
      <c r="C1139" s="14">
        <v>1381.1</v>
      </c>
      <c r="D1139" s="14">
        <v>1403.5</v>
      </c>
      <c r="E1139" s="14">
        <v>1350</v>
      </c>
      <c r="F1139" s="14">
        <v>1385.9</v>
      </c>
      <c r="G1139" s="14">
        <v>1356</v>
      </c>
      <c r="H1139" s="14">
        <v>1357.2</v>
      </c>
      <c r="I1139" s="14">
        <v>1375.14</v>
      </c>
      <c r="J1139" s="14">
        <v>3079.45</v>
      </c>
      <c r="K1139" s="14">
        <v>1114.85</v>
      </c>
      <c r="L1139" s="15">
        <v>18758842</v>
      </c>
      <c r="M1139" t="s" s="13">
        <v>1131</v>
      </c>
      <c r="N1139" s="15">
        <v>348532</v>
      </c>
      <c r="O1139" s="17" cm="1">
        <f t="array" ref="O1139">(H1139-H1138)/H1138</f>
        <v>-0.0207085648315174</v>
      </c>
    </row>
    <row r="1140" ht="13.65" customHeight="1">
      <c r="A1140" s="12">
        <v>45901</v>
      </c>
      <c r="B1140" t="s" s="13">
        <v>22</v>
      </c>
      <c r="C1140" s="14">
        <v>1356</v>
      </c>
      <c r="D1140" s="14">
        <v>1363.2</v>
      </c>
      <c r="E1140" s="14">
        <v>1340.6</v>
      </c>
      <c r="F1140" s="14">
        <v>1357.2</v>
      </c>
      <c r="G1140" s="14">
        <v>1355</v>
      </c>
      <c r="H1140" s="14">
        <v>1353.9</v>
      </c>
      <c r="I1140" s="14">
        <v>1353.99</v>
      </c>
      <c r="J1140" s="14">
        <v>3066.95</v>
      </c>
      <c r="K1140" s="14">
        <v>1114.85</v>
      </c>
      <c r="L1140" s="15">
        <v>11232238</v>
      </c>
      <c r="M1140" t="s" s="13">
        <v>1132</v>
      </c>
      <c r="N1140" s="15">
        <v>249574</v>
      </c>
      <c r="O1140" s="17" cm="1">
        <f t="array" ref="O1140">(H1140-H1139)/H1139</f>
        <v>-0.0024314765694076</v>
      </c>
    </row>
    <row r="1141" ht="13.65" customHeight="1">
      <c r="A1141" s="12">
        <v>45902</v>
      </c>
      <c r="B1141" t="s" s="13">
        <v>22</v>
      </c>
      <c r="C1141" s="14">
        <v>1354.8</v>
      </c>
      <c r="D1141" s="14">
        <v>1384.5</v>
      </c>
      <c r="E1141" s="14">
        <v>1354.5</v>
      </c>
      <c r="F1141" s="14">
        <v>1353.9</v>
      </c>
      <c r="G1141" s="14">
        <v>1367.5</v>
      </c>
      <c r="H1141" s="14">
        <v>1366.5</v>
      </c>
      <c r="I1141" s="14">
        <v>1374.28</v>
      </c>
      <c r="J1141" s="14">
        <v>3066.95</v>
      </c>
      <c r="K1141" s="14">
        <v>1114.85</v>
      </c>
      <c r="L1141" s="15">
        <v>11517006</v>
      </c>
      <c r="M1141" t="s" s="13">
        <v>1133</v>
      </c>
      <c r="N1141" s="15">
        <v>235433</v>
      </c>
      <c r="O1141" s="17" cm="1">
        <f t="array" ref="O1141">(H1141-H1140)/H1140</f>
        <v>0.00930644803899845</v>
      </c>
    </row>
    <row r="1142" ht="13.65" customHeight="1">
      <c r="A1142" s="12">
        <v>45903</v>
      </c>
      <c r="B1142" t="s" s="13">
        <v>22</v>
      </c>
      <c r="C1142" s="14">
        <v>1369.7</v>
      </c>
      <c r="D1142" s="14">
        <v>1376.5</v>
      </c>
      <c r="E1142" s="14">
        <v>1360.5</v>
      </c>
      <c r="F1142" s="14">
        <v>1366.5</v>
      </c>
      <c r="G1142" s="14">
        <v>1372</v>
      </c>
      <c r="H1142" s="14">
        <v>1372.6</v>
      </c>
      <c r="I1142" s="14">
        <v>1368.85</v>
      </c>
      <c r="J1142" s="14">
        <v>3066.95</v>
      </c>
      <c r="K1142" s="14">
        <v>1114.85</v>
      </c>
      <c r="L1142" s="15">
        <v>7847563</v>
      </c>
      <c r="M1142" t="s" s="13">
        <v>1134</v>
      </c>
      <c r="N1142" s="15">
        <v>209277</v>
      </c>
      <c r="O1142" s="17" cm="1">
        <f t="array" ref="O1142">(H1142-H1141)/H1141</f>
        <v>0.00446395901939261</v>
      </c>
    </row>
    <row r="1143" ht="13.65" customHeight="1">
      <c r="A1143" s="12">
        <v>45904</v>
      </c>
      <c r="B1143" t="s" s="13">
        <v>22</v>
      </c>
      <c r="C1143" s="14">
        <v>1371.8</v>
      </c>
      <c r="D1143" s="14">
        <v>1374</v>
      </c>
      <c r="E1143" s="14">
        <v>1357.1</v>
      </c>
      <c r="F1143" s="14">
        <v>1372.6</v>
      </c>
      <c r="G1143" s="14">
        <v>1359.1</v>
      </c>
      <c r="H1143" s="14">
        <v>1359.3</v>
      </c>
      <c r="I1143" s="14">
        <v>1363.97</v>
      </c>
      <c r="J1143" s="14">
        <v>3066.95</v>
      </c>
      <c r="K1143" s="14">
        <v>1114.85</v>
      </c>
      <c r="L1143" s="15">
        <v>13223177</v>
      </c>
      <c r="M1143" t="s" s="13">
        <v>1135</v>
      </c>
      <c r="N1143" s="15">
        <v>200473</v>
      </c>
      <c r="O1143" s="17" cm="1">
        <f t="array" ref="O1143">(H1143-H1142)/H1142</f>
        <v>-0.00968964009908203</v>
      </c>
    </row>
    <row r="1144" ht="13.65" customHeight="1">
      <c r="A1144" s="12">
        <v>45905</v>
      </c>
      <c r="B1144" t="s" s="13">
        <v>22</v>
      </c>
      <c r="C1144" s="14">
        <v>1363</v>
      </c>
      <c r="D1144" s="14">
        <v>1381</v>
      </c>
      <c r="E1144" s="14">
        <v>1359.3</v>
      </c>
      <c r="F1144" s="14">
        <v>1359.3</v>
      </c>
      <c r="G1144" s="14">
        <v>1375.7</v>
      </c>
      <c r="H1144" s="14">
        <v>1375</v>
      </c>
      <c r="I1144" s="14">
        <v>1370.36</v>
      </c>
      <c r="J1144" s="14">
        <v>3066.95</v>
      </c>
      <c r="K1144" s="14">
        <v>1114.85</v>
      </c>
      <c r="L1144" s="15">
        <v>5777575</v>
      </c>
      <c r="M1144" t="s" s="13">
        <v>1136</v>
      </c>
      <c r="N1144" s="15">
        <v>142951</v>
      </c>
      <c r="O1144" s="17" cm="1">
        <f t="array" ref="O1144">(H1144-H1143)/H1143</f>
        <v>0.0115500625321857</v>
      </c>
    </row>
    <row r="1145" ht="13.65" customHeight="1">
      <c r="A1145" s="12">
        <v>45908</v>
      </c>
      <c r="B1145" t="s" s="13">
        <v>22</v>
      </c>
      <c r="C1145" s="14">
        <v>1380</v>
      </c>
      <c r="D1145" s="14">
        <v>1386</v>
      </c>
      <c r="E1145" s="14">
        <v>1372.4</v>
      </c>
      <c r="F1145" s="14">
        <v>1375</v>
      </c>
      <c r="G1145" s="14">
        <v>1378.9</v>
      </c>
      <c r="H1145" s="14">
        <v>1378.5</v>
      </c>
      <c r="I1145" s="14">
        <v>1379.43</v>
      </c>
      <c r="J1145" s="14">
        <v>3066.95</v>
      </c>
      <c r="K1145" s="14">
        <v>1114.85</v>
      </c>
      <c r="L1145" s="15">
        <v>6986720</v>
      </c>
      <c r="M1145" t="s" s="13">
        <v>1137</v>
      </c>
      <c r="N1145" s="15">
        <v>131052</v>
      </c>
      <c r="O1145" s="17" cm="1">
        <f t="array" ref="O1145">(H1145-H1144)/H1144</f>
        <v>0.00254545454545455</v>
      </c>
    </row>
    <row r="1146" ht="13.65" customHeight="1">
      <c r="A1146" s="12">
        <v>45909</v>
      </c>
      <c r="B1146" t="s" s="13">
        <v>22</v>
      </c>
      <c r="C1146" s="14">
        <v>1376.6</v>
      </c>
      <c r="D1146" s="14">
        <v>1381.2</v>
      </c>
      <c r="E1146" s="14">
        <v>1368.7</v>
      </c>
      <c r="F1146" s="14">
        <v>1378.5</v>
      </c>
      <c r="G1146" s="14">
        <v>1376.1</v>
      </c>
      <c r="H1146" s="14">
        <v>1376.2</v>
      </c>
      <c r="I1146" s="14">
        <v>1375.44</v>
      </c>
      <c r="J1146" s="14">
        <v>3066.95</v>
      </c>
      <c r="K1146" s="14">
        <v>1114.85</v>
      </c>
      <c r="L1146" s="15">
        <v>9754452</v>
      </c>
      <c r="M1146" t="s" s="13">
        <v>1138</v>
      </c>
      <c r="N1146" s="15">
        <v>209637</v>
      </c>
      <c r="O1146" s="17" cm="1">
        <f t="array" ref="O1146">(H1146-H1145)/H1145</f>
        <v>-0.00166848023213638</v>
      </c>
    </row>
    <row r="1147" ht="13.65" customHeight="1">
      <c r="A1147" s="18">
        <v>45910</v>
      </c>
      <c r="B1147" t="s" s="13">
        <v>22</v>
      </c>
      <c r="C1147" s="14">
        <v>1383.9</v>
      </c>
      <c r="D1147" s="14">
        <v>1388.5</v>
      </c>
      <c r="E1147" s="14">
        <v>1374.1</v>
      </c>
      <c r="F1147" s="14">
        <v>1376.2</v>
      </c>
      <c r="G1147" s="14">
        <v>1377.5</v>
      </c>
      <c r="H1147" s="14">
        <v>1377</v>
      </c>
      <c r="I1147" s="14">
        <v>1380.12</v>
      </c>
      <c r="J1147" s="14">
        <v>3066.95</v>
      </c>
      <c r="K1147" s="14">
        <v>1114.85</v>
      </c>
      <c r="L1147" s="15">
        <v>7790815</v>
      </c>
      <c r="M1147" t="s" s="13">
        <v>1139</v>
      </c>
      <c r="N1147" s="15">
        <v>222655</v>
      </c>
      <c r="O1147" s="17" cm="1">
        <f t="array" ref="O1147">(H1147-H1146)/H1146</f>
        <v>0.000581310855980235</v>
      </c>
    </row>
    <row r="1148" ht="13.65" customHeight="1">
      <c r="A1148" s="18">
        <v>45911</v>
      </c>
      <c r="B1148" t="s" s="13">
        <v>22</v>
      </c>
      <c r="C1148" s="14">
        <v>1376</v>
      </c>
      <c r="D1148" s="14">
        <v>1385.5</v>
      </c>
      <c r="E1148" s="14">
        <v>1375</v>
      </c>
      <c r="F1148" s="14">
        <v>1377</v>
      </c>
      <c r="G1148" s="14">
        <v>1382.1</v>
      </c>
      <c r="H1148" s="14">
        <v>1383.3</v>
      </c>
      <c r="I1148" s="14">
        <v>1382.49</v>
      </c>
      <c r="J1148" s="14">
        <v>3066.95</v>
      </c>
      <c r="K1148" s="14">
        <v>1114.85</v>
      </c>
      <c r="L1148" s="15">
        <v>9766072</v>
      </c>
      <c r="M1148" t="s" s="13">
        <v>1140</v>
      </c>
      <c r="N1148" s="15">
        <v>173431</v>
      </c>
      <c r="O1148" s="17" cm="1">
        <f t="array" ref="O1148">(H1148-H1147)/H1147</f>
        <v>0.00457516339869281</v>
      </c>
    </row>
    <row r="1149" ht="13.65" customHeight="1">
      <c r="A1149" s="18">
        <v>45912</v>
      </c>
      <c r="B1149" t="s" s="13">
        <v>22</v>
      </c>
      <c r="C1149" s="14">
        <v>1383.3</v>
      </c>
      <c r="D1149" s="14">
        <v>1396.3</v>
      </c>
      <c r="E1149" s="14">
        <v>1380.5</v>
      </c>
      <c r="F1149" s="14">
        <v>1383.3</v>
      </c>
      <c r="G1149" s="14">
        <v>1395</v>
      </c>
      <c r="H1149" s="14">
        <v>1395</v>
      </c>
      <c r="I1149" s="14">
        <v>1392.69</v>
      </c>
      <c r="J1149" s="14">
        <v>3066.95</v>
      </c>
      <c r="K1149" s="14">
        <v>1114.85</v>
      </c>
      <c r="L1149" s="15">
        <v>7403368</v>
      </c>
      <c r="M1149" t="s" s="13">
        <v>1141</v>
      </c>
      <c r="N1149" s="15">
        <v>156369</v>
      </c>
      <c r="O1149" s="17" cm="1">
        <f t="array" ref="O1149">(H1149-H1148)/H1148</f>
        <v>0.00845803513337671</v>
      </c>
    </row>
    <row r="1150" ht="13.65" customHeight="1">
      <c r="A1150" s="18">
        <v>45915</v>
      </c>
      <c r="B1150" t="s" s="13">
        <v>22</v>
      </c>
      <c r="C1150" s="14">
        <v>1393</v>
      </c>
      <c r="D1150" s="14">
        <v>1400.8</v>
      </c>
      <c r="E1150" s="14">
        <v>1388.6</v>
      </c>
      <c r="F1150" s="14">
        <v>1395</v>
      </c>
      <c r="G1150" s="14">
        <v>1399.3</v>
      </c>
      <c r="H1150" s="14">
        <v>1399.3</v>
      </c>
      <c r="I1150" s="14">
        <v>1395.97</v>
      </c>
      <c r="J1150" s="14">
        <v>3066.95</v>
      </c>
      <c r="K1150" s="14">
        <v>1114.85</v>
      </c>
      <c r="L1150" s="15">
        <v>5396697</v>
      </c>
      <c r="M1150" t="s" s="13">
        <v>1142</v>
      </c>
      <c r="N1150" s="15">
        <v>130728</v>
      </c>
      <c r="O1150" s="17" cm="1">
        <f t="array" ref="O1150">(H1150-H1149)/H1149</f>
        <v>0.00308243727598566</v>
      </c>
    </row>
    <row r="1151" ht="13.65" customHeight="1">
      <c r="A1151" s="18">
        <v>45916</v>
      </c>
      <c r="B1151" t="s" s="13">
        <v>22</v>
      </c>
      <c r="C1151" s="14">
        <v>1404.7</v>
      </c>
      <c r="D1151" s="14">
        <v>1408</v>
      </c>
      <c r="E1151" s="14">
        <v>1398.2</v>
      </c>
      <c r="F1151" s="14">
        <v>1399.3</v>
      </c>
      <c r="G1151" s="14">
        <v>1405.9</v>
      </c>
      <c r="H1151" s="14">
        <v>1405.3</v>
      </c>
      <c r="I1151" s="14">
        <v>1404</v>
      </c>
      <c r="J1151" s="14">
        <v>3066.95</v>
      </c>
      <c r="K1151" s="14">
        <v>1114.85</v>
      </c>
      <c r="L1151" s="15">
        <v>8686961</v>
      </c>
      <c r="M1151" t="s" s="13">
        <v>1143</v>
      </c>
      <c r="N1151" s="15">
        <v>170452</v>
      </c>
      <c r="O1151" s="17" cm="1">
        <f t="array" ref="O1151">(H1151-H1150)/H1150</f>
        <v>0.0042878582148217</v>
      </c>
    </row>
    <row r="1152" ht="13.65" customHeight="1">
      <c r="A1152" s="18">
        <v>45917</v>
      </c>
      <c r="B1152" t="s" s="13">
        <v>22</v>
      </c>
      <c r="C1152" s="14">
        <v>1407</v>
      </c>
      <c r="D1152" s="14">
        <v>1416.2</v>
      </c>
      <c r="E1152" s="14">
        <v>1406.9</v>
      </c>
      <c r="F1152" s="14">
        <v>1405.3</v>
      </c>
      <c r="G1152" s="14">
        <v>1413</v>
      </c>
      <c r="H1152" s="14">
        <v>1413.8</v>
      </c>
      <c r="I1152" s="14">
        <v>1412.05</v>
      </c>
      <c r="J1152" s="14">
        <v>3066.95</v>
      </c>
      <c r="K1152" s="14">
        <v>1114.85</v>
      </c>
      <c r="L1152" s="15">
        <v>7519417</v>
      </c>
      <c r="M1152" t="s" s="13">
        <v>1144</v>
      </c>
      <c r="N1152" s="15">
        <v>189638</v>
      </c>
      <c r="O1152" s="17" cm="1">
        <f t="array" ref="O1152">(H1152-H1151)/H1151</f>
        <v>0.00604853056286914</v>
      </c>
    </row>
    <row r="1153" ht="13.65" customHeight="1">
      <c r="A1153" s="18">
        <v>45918</v>
      </c>
      <c r="B1153" t="s" s="13">
        <v>22</v>
      </c>
      <c r="C1153" s="14">
        <v>1420.4</v>
      </c>
      <c r="D1153" s="14">
        <v>1422</v>
      </c>
      <c r="E1153" s="14">
        <v>1410.7</v>
      </c>
      <c r="F1153" s="14">
        <v>1413.8</v>
      </c>
      <c r="G1153" s="14">
        <v>1415</v>
      </c>
      <c r="H1153" s="14">
        <v>1415</v>
      </c>
      <c r="I1153" s="14">
        <v>1415.31</v>
      </c>
      <c r="J1153" s="14">
        <v>3066.95</v>
      </c>
      <c r="K1153" s="14">
        <v>1114.85</v>
      </c>
      <c r="L1153" s="15">
        <v>9332642</v>
      </c>
      <c r="M1153" t="s" s="13">
        <v>1145</v>
      </c>
      <c r="N1153" s="15">
        <v>182559</v>
      </c>
      <c r="O1153" s="17" cm="1">
        <f t="array" ref="O1153">(H1153-H1152)/H1152</f>
        <v>0.000848776347432452</v>
      </c>
    </row>
    <row r="1154" ht="13.65" customHeight="1">
      <c r="A1154" s="18">
        <v>45919</v>
      </c>
      <c r="B1154" t="s" s="13">
        <v>22</v>
      </c>
      <c r="C1154" s="14">
        <v>1414.9</v>
      </c>
      <c r="D1154" s="14">
        <v>1417</v>
      </c>
      <c r="E1154" s="14">
        <v>1403.6</v>
      </c>
      <c r="F1154" s="14">
        <v>1415</v>
      </c>
      <c r="G1154" s="14">
        <v>1407.6</v>
      </c>
      <c r="H1154" s="14">
        <v>1407.4</v>
      </c>
      <c r="I1154" s="14">
        <v>1408.43</v>
      </c>
      <c r="J1154" s="14">
        <v>3066.95</v>
      </c>
      <c r="K1154" s="14">
        <v>1114.85</v>
      </c>
      <c r="L1154" s="15">
        <v>13461373</v>
      </c>
      <c r="M1154" t="s" s="13">
        <v>1146</v>
      </c>
      <c r="N1154" s="15">
        <v>143644</v>
      </c>
      <c r="O1154" s="17" cm="1">
        <f t="array" ref="O1154">(H1154-H1153)/H1153</f>
        <v>-0.00537102473498233</v>
      </c>
    </row>
    <row r="1155" ht="13.65" customHeight="1">
      <c r="A1155" s="18">
        <v>45922</v>
      </c>
      <c r="B1155" t="s" s="13">
        <v>22</v>
      </c>
      <c r="C1155" s="14">
        <v>1403.9</v>
      </c>
      <c r="D1155" s="14">
        <v>1410.7</v>
      </c>
      <c r="E1155" s="14">
        <v>1388</v>
      </c>
      <c r="F1155" s="14">
        <v>1407.4</v>
      </c>
      <c r="G1155" s="14">
        <v>1390.9</v>
      </c>
      <c r="H1155" s="14">
        <v>1390.6</v>
      </c>
      <c r="I1155" s="14">
        <v>1400.91</v>
      </c>
      <c r="J1155" s="14">
        <v>3066.95</v>
      </c>
      <c r="K1155" s="14">
        <v>1114.85</v>
      </c>
      <c r="L1155" s="15">
        <v>7757970</v>
      </c>
      <c r="M1155" t="s" s="13">
        <v>1147</v>
      </c>
      <c r="N1155" s="15">
        <v>136991</v>
      </c>
      <c r="O1155" s="17" cm="1">
        <f t="array" ref="O1155">(H1155-H1154)/H1154</f>
        <v>-0.0119369049310786</v>
      </c>
    </row>
    <row r="1156" ht="13.65" customHeight="1">
      <c r="A1156" s="18">
        <v>45923</v>
      </c>
      <c r="B1156" t="s" s="13">
        <v>22</v>
      </c>
      <c r="C1156" s="14">
        <v>1391</v>
      </c>
      <c r="D1156" s="14">
        <v>1395</v>
      </c>
      <c r="E1156" s="14">
        <v>1376.8</v>
      </c>
      <c r="F1156" s="14">
        <v>1390.6</v>
      </c>
      <c r="G1156" s="14">
        <v>1390.5</v>
      </c>
      <c r="H1156" s="14">
        <v>1389.8</v>
      </c>
      <c r="I1156" s="14">
        <v>1387.57</v>
      </c>
      <c r="J1156" s="14">
        <v>3066.95</v>
      </c>
      <c r="K1156" s="14">
        <v>1114.85</v>
      </c>
      <c r="L1156" s="15">
        <v>14014702</v>
      </c>
      <c r="M1156" t="s" s="13">
        <v>1148</v>
      </c>
      <c r="N1156" s="15">
        <v>210931</v>
      </c>
      <c r="O1156" s="17" cm="1">
        <f t="array" ref="O1156">(H1156-H1155)/H1155</f>
        <v>-0.000575291241190853</v>
      </c>
    </row>
    <row r="1157" ht="13.65" customHeight="1">
      <c r="A1157" s="18">
        <v>45924</v>
      </c>
      <c r="B1157" t="s" s="13">
        <v>22</v>
      </c>
      <c r="C1157" s="14">
        <v>1385.3</v>
      </c>
      <c r="D1157" s="14">
        <v>1396</v>
      </c>
      <c r="E1157" s="14">
        <v>1380.4</v>
      </c>
      <c r="F1157" s="14">
        <v>1389.8</v>
      </c>
      <c r="G1157" s="14">
        <v>1381.1</v>
      </c>
      <c r="H1157" s="14">
        <v>1383</v>
      </c>
      <c r="I1157" s="14">
        <v>1387.32</v>
      </c>
      <c r="J1157" s="14">
        <v>3066.95</v>
      </c>
      <c r="K1157" s="14">
        <v>1114.85</v>
      </c>
      <c r="L1157" s="15">
        <v>5922759</v>
      </c>
      <c r="M1157" t="s" s="13">
        <v>1149</v>
      </c>
      <c r="N1157" s="15">
        <v>120399</v>
      </c>
      <c r="O1157" s="17" cm="1">
        <f t="array" ref="O1157">(H1157-H1156)/H1156</f>
        <v>-0.00489279032954382</v>
      </c>
    </row>
    <row r="1158" ht="13.65" customHeight="1">
      <c r="A1158" s="18">
        <v>45925</v>
      </c>
      <c r="B1158" t="s" s="13">
        <v>22</v>
      </c>
      <c r="C1158" s="14">
        <v>1381.3</v>
      </c>
      <c r="D1158" s="14">
        <v>1384.5</v>
      </c>
      <c r="E1158" s="14">
        <v>1369</v>
      </c>
      <c r="F1158" s="14">
        <v>1383</v>
      </c>
      <c r="G1158" s="14">
        <v>1374.8</v>
      </c>
      <c r="H1158" s="14">
        <v>1372.4</v>
      </c>
      <c r="I1158" s="14">
        <v>1375.53</v>
      </c>
      <c r="J1158" s="14">
        <v>3066.95</v>
      </c>
      <c r="K1158" s="14">
        <v>1114.85</v>
      </c>
      <c r="L1158" s="15">
        <v>11411143</v>
      </c>
      <c r="M1158" t="s" s="13">
        <v>1150</v>
      </c>
      <c r="N1158" s="15">
        <v>155102</v>
      </c>
      <c r="O1158" s="17" cm="1">
        <f t="array" ref="O1158">(H1158-H1157)/H1157</f>
        <v>-0.0076644974692697</v>
      </c>
    </row>
    <row r="1159" ht="13.65" customHeight="1">
      <c r="A1159" s="18">
        <v>45926</v>
      </c>
      <c r="B1159" t="s" s="13">
        <v>22</v>
      </c>
      <c r="C1159" s="14">
        <v>1372</v>
      </c>
      <c r="D1159" s="14">
        <v>1382.7</v>
      </c>
      <c r="E1159" s="14">
        <v>1366</v>
      </c>
      <c r="F1159" s="14">
        <v>1372.4</v>
      </c>
      <c r="G1159" s="14">
        <v>1379</v>
      </c>
      <c r="H1159" s="14">
        <v>1377.6</v>
      </c>
      <c r="I1159" s="14">
        <v>1376.37</v>
      </c>
      <c r="J1159" s="14">
        <v>3066.95</v>
      </c>
      <c r="K1159" s="14">
        <v>1114.85</v>
      </c>
      <c r="L1159" s="15">
        <v>9879109</v>
      </c>
      <c r="M1159" t="s" s="13">
        <v>1151</v>
      </c>
      <c r="N1159" s="15">
        <v>148644</v>
      </c>
      <c r="O1159" s="17" cm="1">
        <f t="array" ref="O1159">(H1159-H1158)/H1158</f>
        <v>0.00378898280384727</v>
      </c>
    </row>
    <row r="1160" ht="13.65" customHeight="1">
      <c r="A1160" s="18">
        <v>45929</v>
      </c>
      <c r="B1160" t="s" s="13">
        <v>22</v>
      </c>
      <c r="C1160" s="14">
        <v>1381.6</v>
      </c>
      <c r="D1160" s="14">
        <v>1389</v>
      </c>
      <c r="E1160" s="14">
        <v>1368</v>
      </c>
      <c r="F1160" s="14">
        <v>1377.6</v>
      </c>
      <c r="G1160" s="14">
        <v>1376</v>
      </c>
      <c r="H1160" s="14">
        <v>1372.8</v>
      </c>
      <c r="I1160" s="14">
        <v>1375.78</v>
      </c>
      <c r="J1160" s="14">
        <v>3049.95</v>
      </c>
      <c r="K1160" s="14">
        <v>1114.85</v>
      </c>
      <c r="L1160" s="15">
        <v>14231999</v>
      </c>
      <c r="M1160" t="s" s="13">
        <v>1152</v>
      </c>
      <c r="N1160" s="15">
        <v>213268</v>
      </c>
      <c r="O1160" s="17" cm="1">
        <f t="array" ref="O1160">(H1160-H1159)/H1159</f>
        <v>-0.00348432055749129</v>
      </c>
    </row>
    <row r="1161" ht="13.65" customHeight="1">
      <c r="A1161" s="18">
        <v>45930</v>
      </c>
      <c r="B1161" t="s" s="13">
        <v>22</v>
      </c>
      <c r="C1161" s="14">
        <v>1377.1</v>
      </c>
      <c r="D1161" s="14">
        <v>1377.1</v>
      </c>
      <c r="E1161" s="14">
        <v>1362.8</v>
      </c>
      <c r="F1161" s="14">
        <v>1372.8</v>
      </c>
      <c r="G1161" s="14">
        <v>1364</v>
      </c>
      <c r="H1161" s="14">
        <v>1364</v>
      </c>
      <c r="I1161" s="14">
        <v>1366.52</v>
      </c>
      <c r="J1161" s="14">
        <v>3049.95</v>
      </c>
      <c r="K1161" s="14">
        <v>1114.85</v>
      </c>
      <c r="L1161" s="15">
        <v>14604684</v>
      </c>
      <c r="M1161" t="s" s="13">
        <v>1153</v>
      </c>
      <c r="N1161" s="15">
        <v>223375</v>
      </c>
      <c r="O1161" s="17" cm="1">
        <f t="array" ref="O1161">(H1161-H1160)/H1160</f>
        <v>-0.00641025641025641</v>
      </c>
    </row>
    <row r="1162" ht="13.65" customHeight="1">
      <c r="A1162" s="12">
        <v>45931</v>
      </c>
      <c r="B1162" t="s" s="13">
        <v>22</v>
      </c>
      <c r="C1162" s="14">
        <v>1367</v>
      </c>
      <c r="D1162" s="14">
        <v>1378.6</v>
      </c>
      <c r="E1162" s="14">
        <v>1362.7</v>
      </c>
      <c r="F1162" s="14">
        <v>1364</v>
      </c>
      <c r="G1162" s="14">
        <v>1370</v>
      </c>
      <c r="H1162" s="14">
        <v>1368.7</v>
      </c>
      <c r="I1162" s="14">
        <v>1369.56</v>
      </c>
      <c r="J1162" s="14">
        <v>3049.95</v>
      </c>
      <c r="K1162" s="14">
        <v>1114.85</v>
      </c>
      <c r="L1162" s="15">
        <v>12045916</v>
      </c>
      <c r="M1162" t="s" s="13">
        <v>1154</v>
      </c>
      <c r="N1162" s="15">
        <v>258017</v>
      </c>
      <c r="O1162" s="17" cm="1">
        <f t="array" ref="O1162">(H1162-H1161)/H1161</f>
        <v>0.00344574780058651</v>
      </c>
    </row>
    <row r="1163" ht="13.65" customHeight="1">
      <c r="A1163" s="12">
        <v>45933</v>
      </c>
      <c r="B1163" t="s" s="13">
        <v>22</v>
      </c>
      <c r="C1163" s="14">
        <v>1363.2</v>
      </c>
      <c r="D1163" s="14">
        <v>1371.6</v>
      </c>
      <c r="E1163" s="14">
        <v>1356.9</v>
      </c>
      <c r="F1163" s="14">
        <v>1368.7</v>
      </c>
      <c r="G1163" s="14">
        <v>1363.3</v>
      </c>
      <c r="H1163" s="14">
        <v>1363.4</v>
      </c>
      <c r="I1163" s="14">
        <v>1362.13</v>
      </c>
      <c r="J1163" s="14">
        <v>3049.95</v>
      </c>
      <c r="K1163" s="14">
        <v>1114.85</v>
      </c>
      <c r="L1163" s="15">
        <v>12842347</v>
      </c>
      <c r="M1163" t="s" s="13">
        <v>1155</v>
      </c>
      <c r="N1163" s="15">
        <v>216161</v>
      </c>
      <c r="O1163" s="17" cm="1">
        <f t="array" ref="O1163">(H1163-H1162)/H1162</f>
        <v>-0.00387228757214875</v>
      </c>
    </row>
    <row r="1164" ht="13.65" customHeight="1">
      <c r="A1164" s="12">
        <v>45936</v>
      </c>
      <c r="B1164" t="s" s="13">
        <v>22</v>
      </c>
      <c r="C1164" s="14">
        <v>1360</v>
      </c>
      <c r="D1164" s="14">
        <v>1377.4</v>
      </c>
      <c r="E1164" s="14">
        <v>1359</v>
      </c>
      <c r="F1164" s="14">
        <v>1363.4</v>
      </c>
      <c r="G1164" s="14">
        <v>1374.9</v>
      </c>
      <c r="H1164" s="14">
        <v>1375</v>
      </c>
      <c r="I1164" s="14">
        <v>1367.85</v>
      </c>
      <c r="J1164" s="14">
        <v>2802</v>
      </c>
      <c r="K1164" s="14">
        <v>1114.85</v>
      </c>
      <c r="L1164" s="15">
        <v>12396580</v>
      </c>
      <c r="M1164" t="s" s="13">
        <v>1156</v>
      </c>
      <c r="N1164" s="15">
        <v>184550</v>
      </c>
      <c r="O1164" s="17" cm="1">
        <f t="array" ref="O1164">(H1164-H1163)/H1163</f>
        <v>0.008508141411177939</v>
      </c>
    </row>
    <row r="1165" ht="13.65" customHeight="1">
      <c r="A1165" s="12">
        <v>45937</v>
      </c>
      <c r="B1165" t="s" s="13">
        <v>22</v>
      </c>
      <c r="C1165" s="14">
        <v>1376</v>
      </c>
      <c r="D1165" s="14">
        <v>1395.9</v>
      </c>
      <c r="E1165" s="14">
        <v>1375.9</v>
      </c>
      <c r="F1165" s="14">
        <v>1375</v>
      </c>
      <c r="G1165" s="14">
        <v>1384.5</v>
      </c>
      <c r="H1165" s="14">
        <v>1384.8</v>
      </c>
      <c r="I1165" s="14">
        <v>1386.79</v>
      </c>
      <c r="J1165" s="14">
        <v>2802</v>
      </c>
      <c r="K1165" s="14">
        <v>1114.85</v>
      </c>
      <c r="L1165" s="15">
        <v>11244040</v>
      </c>
      <c r="M1165" t="s" s="13">
        <v>1157</v>
      </c>
      <c r="N1165" s="15">
        <v>196055</v>
      </c>
      <c r="O1165" s="17" cm="1">
        <f t="array" ref="O1165">(H1165-H1164)/H1164</f>
        <v>0.00712727272727273</v>
      </c>
    </row>
    <row r="1166" ht="13.65" customHeight="1">
      <c r="A1166" s="12">
        <v>45938</v>
      </c>
      <c r="B1166" t="s" s="13">
        <v>22</v>
      </c>
      <c r="C1166" s="14">
        <v>1384.8</v>
      </c>
      <c r="D1166" s="14">
        <v>1389</v>
      </c>
      <c r="E1166" s="14">
        <v>1364.5</v>
      </c>
      <c r="F1166" s="14">
        <v>1384.8</v>
      </c>
      <c r="G1166" s="14">
        <v>1367.3</v>
      </c>
      <c r="H1166" s="14">
        <v>1367.4</v>
      </c>
      <c r="I1166" s="14">
        <v>1371.62</v>
      </c>
      <c r="J1166" s="14">
        <v>2802</v>
      </c>
      <c r="K1166" s="14">
        <v>1114.85</v>
      </c>
      <c r="L1166" s="15">
        <v>8525081</v>
      </c>
      <c r="M1166" t="s" s="13">
        <v>1158</v>
      </c>
      <c r="N1166" s="15">
        <v>214245</v>
      </c>
      <c r="O1166" s="17" cm="1">
        <f t="array" ref="O1166">(H1166-H1165)/H1165</f>
        <v>-0.0125649913344887</v>
      </c>
    </row>
    <row r="1167" ht="13.65" customHeight="1">
      <c r="A1167" s="12">
        <v>45939</v>
      </c>
      <c r="B1167" t="s" s="13">
        <v>22</v>
      </c>
      <c r="C1167" s="14">
        <v>1374</v>
      </c>
      <c r="D1167" s="14">
        <v>1380</v>
      </c>
      <c r="E1167" s="14">
        <v>1369.1</v>
      </c>
      <c r="F1167" s="14">
        <v>1367.4</v>
      </c>
      <c r="G1167" s="14">
        <v>1376.5</v>
      </c>
      <c r="H1167" s="14">
        <v>1377.8</v>
      </c>
      <c r="I1167" s="14">
        <v>1376.25</v>
      </c>
      <c r="J1167" s="14">
        <v>2802</v>
      </c>
      <c r="K1167" s="14">
        <v>1114.85</v>
      </c>
      <c r="L1167" s="15">
        <v>8826633</v>
      </c>
      <c r="M1167" t="s" s="13">
        <v>1159</v>
      </c>
      <c r="N1167" s="15">
        <v>217890</v>
      </c>
      <c r="O1167" s="17" cm="1">
        <f t="array" ref="O1167">(H1167-H1166)/H1166</f>
        <v>0.00760567500365657</v>
      </c>
    </row>
    <row r="1168" ht="13.65" customHeight="1">
      <c r="A1168" s="18">
        <v>45940</v>
      </c>
      <c r="B1168" t="s" s="13">
        <v>22</v>
      </c>
      <c r="C1168" s="14">
        <v>1377.8</v>
      </c>
      <c r="D1168" s="14">
        <v>1388</v>
      </c>
      <c r="E1168" s="14">
        <v>1375.1</v>
      </c>
      <c r="F1168" s="14">
        <v>1377.8</v>
      </c>
      <c r="G1168" s="14">
        <v>1380.9</v>
      </c>
      <c r="H1168" s="14">
        <v>1381.7</v>
      </c>
      <c r="I1168" s="14">
        <v>1383.21</v>
      </c>
      <c r="J1168" s="14">
        <v>2802</v>
      </c>
      <c r="K1168" s="14">
        <v>1114.85</v>
      </c>
      <c r="L1168" s="15">
        <v>6373084</v>
      </c>
      <c r="M1168" t="s" s="13">
        <v>1160</v>
      </c>
      <c r="N1168" s="15">
        <v>193985</v>
      </c>
      <c r="O1168" s="17" cm="1">
        <f t="array" ref="O1168">(H1168-H1167)/H1167</f>
        <v>0.00283059950645957</v>
      </c>
    </row>
    <row r="1169" ht="13.65" customHeight="1">
      <c r="A1169" s="18">
        <v>45943</v>
      </c>
      <c r="B1169" t="s" s="13">
        <v>22</v>
      </c>
      <c r="C1169" s="14">
        <v>1376.9</v>
      </c>
      <c r="D1169" s="14">
        <v>1377.7</v>
      </c>
      <c r="E1169" s="14">
        <v>1367.8</v>
      </c>
      <c r="F1169" s="14">
        <v>1381.7</v>
      </c>
      <c r="G1169" s="14">
        <v>1376</v>
      </c>
      <c r="H1169" s="14">
        <v>1375</v>
      </c>
      <c r="I1169" s="14">
        <v>1372.7</v>
      </c>
      <c r="J1169" s="14">
        <v>2760.15</v>
      </c>
      <c r="K1169" s="14">
        <v>1114.85</v>
      </c>
      <c r="L1169" s="15">
        <v>7600682</v>
      </c>
      <c r="M1169" t="s" s="13">
        <v>1161</v>
      </c>
      <c r="N1169" s="15">
        <v>175585</v>
      </c>
      <c r="O1169" s="17" cm="1">
        <f t="array" ref="O1169">(H1169-H1168)/H1168</f>
        <v>-0.00484909893609322</v>
      </c>
    </row>
    <row r="1170" ht="13.65" customHeight="1">
      <c r="A1170" s="18">
        <v>45944</v>
      </c>
      <c r="B1170" t="s" s="13">
        <v>22</v>
      </c>
      <c r="C1170" s="14">
        <v>1380</v>
      </c>
      <c r="D1170" s="14">
        <v>1388</v>
      </c>
      <c r="E1170" s="14">
        <v>1370.1</v>
      </c>
      <c r="F1170" s="14">
        <v>1375</v>
      </c>
      <c r="G1170" s="14">
        <v>1374.9</v>
      </c>
      <c r="H1170" s="14">
        <v>1375.9</v>
      </c>
      <c r="I1170" s="14">
        <v>1377.47</v>
      </c>
      <c r="J1170" s="14">
        <v>2760.15</v>
      </c>
      <c r="K1170" s="14">
        <v>1114.85</v>
      </c>
      <c r="L1170" s="15">
        <v>9768174</v>
      </c>
      <c r="M1170" t="s" s="13">
        <v>1162</v>
      </c>
      <c r="N1170" s="15">
        <v>164937</v>
      </c>
      <c r="O1170" s="17" cm="1">
        <f t="array" ref="O1170">(H1170-H1169)/H1169</f>
        <v>0.000654545454545455</v>
      </c>
    </row>
    <row r="1171" ht="13.65" customHeight="1">
      <c r="A1171" s="18">
        <v>45945</v>
      </c>
      <c r="B1171" t="s" s="13">
        <v>22</v>
      </c>
      <c r="C1171" s="14">
        <v>1383</v>
      </c>
      <c r="D1171" s="14">
        <v>1384</v>
      </c>
      <c r="E1171" s="14">
        <v>1372.7</v>
      </c>
      <c r="F1171" s="14">
        <v>1375.9</v>
      </c>
      <c r="G1171" s="14">
        <v>1374.7</v>
      </c>
      <c r="H1171" s="14">
        <v>1374.3</v>
      </c>
      <c r="I1171" s="14">
        <v>1377.15</v>
      </c>
      <c r="J1171" s="14">
        <v>2760.15</v>
      </c>
      <c r="K1171" s="14">
        <v>1114.85</v>
      </c>
      <c r="L1171" s="15">
        <v>10882743</v>
      </c>
      <c r="M1171" t="s" s="13">
        <v>1163</v>
      </c>
      <c r="N1171" s="15">
        <v>239811</v>
      </c>
      <c r="O1171" s="17" cm="1">
        <f t="array" ref="O1171">(H1171-H1170)/H1170</f>
        <v>-0.00116287520895414</v>
      </c>
    </row>
    <row r="1172" ht="13.65" customHeight="1">
      <c r="A1172" s="18">
        <v>45946</v>
      </c>
      <c r="B1172" t="s" s="13">
        <v>22</v>
      </c>
      <c r="C1172" s="14">
        <v>1375.1</v>
      </c>
      <c r="D1172" s="14">
        <v>1400.5</v>
      </c>
      <c r="E1172" s="14">
        <v>1375</v>
      </c>
      <c r="F1172" s="14">
        <v>1374.3</v>
      </c>
      <c r="G1172" s="14">
        <v>1398.5</v>
      </c>
      <c r="H1172" s="14">
        <v>1398.3</v>
      </c>
      <c r="I1172" s="14">
        <v>1387.2</v>
      </c>
      <c r="J1172" s="14">
        <v>2760.15</v>
      </c>
      <c r="K1172" s="14">
        <v>1114.85</v>
      </c>
      <c r="L1172" s="15">
        <v>12315932</v>
      </c>
      <c r="M1172" t="s" s="13">
        <v>1164</v>
      </c>
      <c r="N1172" s="15">
        <v>287913</v>
      </c>
      <c r="O1172" s="17" cm="1">
        <f t="array" ref="O1172">(H1172-H1171)/H1171</f>
        <v>0.0174634359310194</v>
      </c>
    </row>
    <row r="1173" ht="13.65" customHeight="1">
      <c r="A1173" s="18">
        <v>45947</v>
      </c>
      <c r="B1173" t="s" s="13">
        <v>22</v>
      </c>
      <c r="C1173" s="14">
        <v>1401</v>
      </c>
      <c r="D1173" s="14">
        <v>1423.3</v>
      </c>
      <c r="E1173" s="14">
        <v>1399.1</v>
      </c>
      <c r="F1173" s="14">
        <v>1398.3</v>
      </c>
      <c r="G1173" s="14">
        <v>1419.1</v>
      </c>
      <c r="H1173" s="14">
        <v>1416.8</v>
      </c>
      <c r="I1173" s="14">
        <v>1413.78</v>
      </c>
      <c r="J1173" s="14">
        <v>2760.15</v>
      </c>
      <c r="K1173" s="14">
        <v>1114.85</v>
      </c>
      <c r="L1173" s="15">
        <v>19335561</v>
      </c>
      <c r="M1173" t="s" s="13">
        <v>1165</v>
      </c>
      <c r="N1173" s="15">
        <v>350761</v>
      </c>
      <c r="O1173" s="17" cm="1">
        <f t="array" ref="O1173">(H1173-H1172)/H1172</f>
        <v>0.0132303511406708</v>
      </c>
    </row>
    <row r="1174" ht="13.65" customHeight="1">
      <c r="A1174" s="18">
        <v>45950</v>
      </c>
      <c r="B1174" t="s" s="13">
        <v>22</v>
      </c>
      <c r="C1174" s="14">
        <v>1440</v>
      </c>
      <c r="D1174" s="14">
        <v>1473.8</v>
      </c>
      <c r="E1174" s="14">
        <v>1433.3</v>
      </c>
      <c r="F1174" s="14">
        <v>1416.8</v>
      </c>
      <c r="G1174" s="14">
        <v>1467.9</v>
      </c>
      <c r="H1174" s="14">
        <v>1466.8</v>
      </c>
      <c r="I1174" s="14">
        <v>1461.76</v>
      </c>
      <c r="J1174" s="14">
        <v>2752</v>
      </c>
      <c r="K1174" s="14">
        <v>1114.85</v>
      </c>
      <c r="L1174" s="15">
        <v>24721978</v>
      </c>
      <c r="M1174" t="s" s="13">
        <v>1166</v>
      </c>
      <c r="N1174" s="15">
        <v>512798</v>
      </c>
      <c r="O1174" s="17" cm="1">
        <f t="array" ref="O1174">(H1174-H1173)/H1173</f>
        <v>0.0352907961603614</v>
      </c>
    </row>
    <row r="1175" ht="13.65" customHeight="1">
      <c r="A1175" s="18">
        <v>45951</v>
      </c>
      <c r="B1175" t="s" s="13">
        <v>22</v>
      </c>
      <c r="C1175" s="14">
        <v>1468</v>
      </c>
      <c r="D1175" s="14">
        <v>1474</v>
      </c>
      <c r="E1175" s="14">
        <v>1460</v>
      </c>
      <c r="F1175" s="14">
        <v>1466.8</v>
      </c>
      <c r="G1175" s="14">
        <v>1461</v>
      </c>
      <c r="H1175" s="14">
        <v>1465.2</v>
      </c>
      <c r="I1175" s="14">
        <v>1467.87</v>
      </c>
      <c r="J1175" s="14">
        <v>2752</v>
      </c>
      <c r="K1175" s="14">
        <v>1114.85</v>
      </c>
      <c r="L1175" s="15">
        <v>2066169</v>
      </c>
      <c r="M1175" t="s" s="13">
        <v>1167</v>
      </c>
      <c r="N1175" s="15">
        <v>86819</v>
      </c>
      <c r="O1175" s="17" cm="1">
        <f t="array" ref="O1175">(H1175-H1174)/H1174</f>
        <v>-0.00109080992637033</v>
      </c>
    </row>
    <row r="1176" ht="13.65" customHeight="1">
      <c r="A1176" s="18">
        <v>45953</v>
      </c>
      <c r="B1176" t="s" s="13">
        <v>22</v>
      </c>
      <c r="C1176" s="14">
        <v>1475</v>
      </c>
      <c r="D1176" s="14">
        <v>1482.9</v>
      </c>
      <c r="E1176" s="14">
        <v>1444.6</v>
      </c>
      <c r="F1176" s="14">
        <v>1465.2</v>
      </c>
      <c r="G1176" s="14">
        <v>1448</v>
      </c>
      <c r="H1176" s="14">
        <v>1448.4</v>
      </c>
      <c r="I1176" s="14">
        <v>1464.71</v>
      </c>
      <c r="J1176" s="14">
        <v>2752</v>
      </c>
      <c r="K1176" s="14">
        <v>1114.85</v>
      </c>
      <c r="L1176" s="15">
        <v>18707090</v>
      </c>
      <c r="M1176" t="s" s="13">
        <v>1168</v>
      </c>
      <c r="N1176" s="15">
        <v>376220</v>
      </c>
      <c r="O1176" s="17" cm="1">
        <f t="array" ref="O1176">(H1176-H1175)/H1175</f>
        <v>-0.0114660114660115</v>
      </c>
    </row>
    <row r="1177" ht="13.65" customHeight="1">
      <c r="A1177" s="18">
        <v>45954</v>
      </c>
      <c r="B1177" t="s" s="13">
        <v>22</v>
      </c>
      <c r="C1177" s="14">
        <v>1450</v>
      </c>
      <c r="D1177" s="14">
        <v>1459.8</v>
      </c>
      <c r="E1177" s="14">
        <v>1441</v>
      </c>
      <c r="F1177" s="14">
        <v>1448.4</v>
      </c>
      <c r="G1177" s="14">
        <v>1451.1</v>
      </c>
      <c r="H1177" s="14">
        <v>1451.6</v>
      </c>
      <c r="I1177" s="14">
        <v>1450.25</v>
      </c>
      <c r="J1177" s="14">
        <v>2752</v>
      </c>
      <c r="K1177" s="14">
        <v>1114.85</v>
      </c>
      <c r="L1177" s="15">
        <v>9700837</v>
      </c>
      <c r="M1177" t="s" s="13">
        <v>1169</v>
      </c>
      <c r="N1177" s="15">
        <v>221258</v>
      </c>
      <c r="O1177" s="17" cm="1">
        <f t="array" ref="O1177">(H1177-H1176)/H1176</f>
        <v>0.00220933443800055</v>
      </c>
    </row>
    <row r="1178" ht="13.65" customHeight="1">
      <c r="A1178" s="18">
        <v>45957</v>
      </c>
      <c r="B1178" t="s" s="13">
        <v>22</v>
      </c>
      <c r="C1178" s="14">
        <v>1463</v>
      </c>
      <c r="D1178" s="14">
        <v>1485</v>
      </c>
      <c r="E1178" s="14">
        <v>1458</v>
      </c>
      <c r="F1178" s="14">
        <v>1451.6</v>
      </c>
      <c r="G1178" s="14">
        <v>1483.2</v>
      </c>
      <c r="H1178" s="14">
        <v>1484.1</v>
      </c>
      <c r="I1178" s="14">
        <v>1480.24</v>
      </c>
      <c r="J1178" s="14">
        <v>1551</v>
      </c>
      <c r="K1178" s="14">
        <v>1114.85</v>
      </c>
      <c r="L1178" s="15">
        <v>14113867</v>
      </c>
      <c r="M1178" t="s" s="13">
        <v>1170</v>
      </c>
      <c r="N1178" s="15">
        <v>274839</v>
      </c>
      <c r="O1178" s="17" cm="1">
        <f t="array" ref="O1178">(H1178-H1177)/H1177</f>
        <v>0.0223890879030036</v>
      </c>
    </row>
    <row r="1179" ht="13.65" customHeight="1">
      <c r="A1179" s="18">
        <v>45958</v>
      </c>
      <c r="B1179" t="s" s="13">
        <v>22</v>
      </c>
      <c r="C1179" s="14">
        <v>1484.1</v>
      </c>
      <c r="D1179" s="14">
        <v>1492</v>
      </c>
      <c r="E1179" s="14">
        <v>1477.6</v>
      </c>
      <c r="F1179" s="14">
        <v>1484.1</v>
      </c>
      <c r="G1179" s="14">
        <v>1489.7</v>
      </c>
      <c r="H1179" s="14">
        <v>1486.9</v>
      </c>
      <c r="I1179" s="14">
        <v>1484.96</v>
      </c>
      <c r="J1179" s="14">
        <v>1551</v>
      </c>
      <c r="K1179" s="14">
        <v>1114.85</v>
      </c>
      <c r="L1179" s="15">
        <v>17631577</v>
      </c>
      <c r="M1179" t="s" s="13">
        <v>1171</v>
      </c>
      <c r="N1179" s="15">
        <v>314894</v>
      </c>
      <c r="O1179" s="17" cm="1">
        <f t="array" ref="O1179">(H1179-H1178)/H1178</f>
        <v>0.00188666531904858</v>
      </c>
    </row>
    <row r="1180" ht="13.65" customHeight="1">
      <c r="A1180" s="18">
        <v>45959</v>
      </c>
      <c r="B1180" t="s" s="13">
        <v>22</v>
      </c>
      <c r="C1180" s="14">
        <v>1490</v>
      </c>
      <c r="D1180" s="14">
        <v>1508.3</v>
      </c>
      <c r="E1180" s="14">
        <v>1488.1</v>
      </c>
      <c r="F1180" s="14">
        <v>1486.9</v>
      </c>
      <c r="G1180" s="14">
        <v>1504</v>
      </c>
      <c r="H1180" s="14">
        <v>1504.2</v>
      </c>
      <c r="I1180" s="14">
        <v>1502.67</v>
      </c>
      <c r="J1180" s="14">
        <v>1551</v>
      </c>
      <c r="K1180" s="14">
        <v>1114.85</v>
      </c>
      <c r="L1180" s="15">
        <v>11884745</v>
      </c>
      <c r="M1180" t="s" s="13">
        <v>1172</v>
      </c>
      <c r="N1180" s="15">
        <v>219504</v>
      </c>
      <c r="O1180" s="17" cm="1">
        <f t="array" ref="O1180">(H1180-H1179)/H1179</f>
        <v>0.011634945187975</v>
      </c>
    </row>
    <row r="1181" ht="13.65" customHeight="1">
      <c r="A1181" s="18">
        <v>45960</v>
      </c>
      <c r="B1181" t="s" s="13">
        <v>22</v>
      </c>
      <c r="C1181" s="14">
        <v>1500</v>
      </c>
      <c r="D1181" s="14">
        <v>1503.1</v>
      </c>
      <c r="E1181" s="14">
        <v>1484</v>
      </c>
      <c r="F1181" s="14">
        <v>1504.2</v>
      </c>
      <c r="G1181" s="14">
        <v>1489.5</v>
      </c>
      <c r="H1181" s="14">
        <v>1488.5</v>
      </c>
      <c r="I1181" s="14">
        <v>1492.27</v>
      </c>
      <c r="J1181" s="14">
        <v>1551</v>
      </c>
      <c r="K1181" s="14">
        <v>1114.85</v>
      </c>
      <c r="L1181" s="15">
        <v>9318663</v>
      </c>
      <c r="M1181" t="s" s="13">
        <v>1173</v>
      </c>
      <c r="N1181" s="15">
        <v>276397</v>
      </c>
      <c r="O1181" s="17" cm="1">
        <f t="array" ref="O1181">(H1181-H1180)/H1180</f>
        <v>-0.0104374418295439</v>
      </c>
    </row>
    <row r="1182" ht="13.65" customHeight="1">
      <c r="A1182" s="18">
        <v>45961</v>
      </c>
      <c r="B1182" t="s" s="13">
        <v>22</v>
      </c>
      <c r="C1182" s="14">
        <v>1490.4</v>
      </c>
      <c r="D1182" s="14">
        <v>1497.5</v>
      </c>
      <c r="E1182" s="14">
        <v>1482.3</v>
      </c>
      <c r="F1182" s="14">
        <v>1488.5</v>
      </c>
      <c r="G1182" s="14">
        <v>1487</v>
      </c>
      <c r="H1182" s="14">
        <v>1486.4</v>
      </c>
      <c r="I1182" s="14">
        <v>1487.8</v>
      </c>
      <c r="J1182" s="14">
        <v>1551</v>
      </c>
      <c r="K1182" s="14">
        <v>1114.85</v>
      </c>
      <c r="L1182" s="15">
        <v>8758053</v>
      </c>
      <c r="M1182" t="s" s="13">
        <v>1174</v>
      </c>
      <c r="N1182" s="15">
        <v>206898</v>
      </c>
      <c r="O1182" s="17" cm="1">
        <f t="array" ref="O1182">(H1182-H1181)/H1181</f>
        <v>-0.00141081625797783</v>
      </c>
    </row>
    <row r="1183" ht="13.65" customHeight="1">
      <c r="A1183" s="12">
        <v>45964</v>
      </c>
      <c r="B1183" t="s" s="13">
        <v>22</v>
      </c>
      <c r="C1183" s="14">
        <v>1486</v>
      </c>
      <c r="D1183" s="14">
        <v>1495</v>
      </c>
      <c r="E1183" s="14">
        <v>1479.3</v>
      </c>
      <c r="F1183" s="14">
        <v>1486.4</v>
      </c>
      <c r="G1183" s="14">
        <v>1487.3</v>
      </c>
      <c r="H1183" s="14">
        <v>1484.7</v>
      </c>
      <c r="I1183" s="14">
        <v>1488.29</v>
      </c>
      <c r="J1183" s="14">
        <v>1551</v>
      </c>
      <c r="K1183" s="14">
        <v>1114.85</v>
      </c>
      <c r="L1183" s="15">
        <v>8452085</v>
      </c>
      <c r="M1183" t="s" s="13">
        <v>1175</v>
      </c>
      <c r="N1183" s="15">
        <v>245664</v>
      </c>
      <c r="O1183" s="17" cm="1">
        <f t="array" ref="O1183">(H1183-H1182)/H1182</f>
        <v>-0.00114370290635091</v>
      </c>
    </row>
    <row r="1184" ht="13.65" customHeight="1">
      <c r="A1184" s="12">
        <v>45965</v>
      </c>
      <c r="B1184" t="s" s="13">
        <v>22</v>
      </c>
      <c r="C1184" s="14">
        <v>1483.9</v>
      </c>
      <c r="D1184" s="14">
        <v>1492.8</v>
      </c>
      <c r="E1184" s="14">
        <v>1470.1</v>
      </c>
      <c r="F1184" s="14">
        <v>1484.7</v>
      </c>
      <c r="G1184" s="14">
        <v>1471.1</v>
      </c>
      <c r="H1184" s="14">
        <v>1473.1</v>
      </c>
      <c r="I1184" s="14">
        <v>1480.96</v>
      </c>
      <c r="J1184" s="14">
        <v>1551</v>
      </c>
      <c r="K1184" s="14">
        <v>1114.85</v>
      </c>
      <c r="L1184" s="15">
        <v>10007806</v>
      </c>
      <c r="M1184" t="s" s="13">
        <v>1176</v>
      </c>
      <c r="N1184" s="15">
        <v>218103</v>
      </c>
      <c r="O1184" s="17" cm="1">
        <f t="array" ref="O1184">(H1184-H1183)/H1183</f>
        <v>-0.00781302620057924</v>
      </c>
    </row>
    <row r="1185" ht="13.65" customHeight="1">
      <c r="A1185" s="12">
        <v>45967</v>
      </c>
      <c r="B1185" t="s" s="13">
        <v>22</v>
      </c>
      <c r="C1185" s="14">
        <v>1484</v>
      </c>
      <c r="D1185" s="14">
        <v>1501.6</v>
      </c>
      <c r="E1185" s="14">
        <v>1476.2</v>
      </c>
      <c r="F1185" s="14">
        <v>1473.1</v>
      </c>
      <c r="G1185" s="14">
        <v>1494.8</v>
      </c>
      <c r="H1185" s="14">
        <v>1496.1</v>
      </c>
      <c r="I1185" s="14">
        <v>1494.08</v>
      </c>
      <c r="J1185" s="14">
        <v>1551</v>
      </c>
      <c r="K1185" s="14">
        <v>1114.85</v>
      </c>
      <c r="L1185" s="15">
        <v>16772678</v>
      </c>
      <c r="M1185" t="s" s="13">
        <v>1177</v>
      </c>
      <c r="N1185" s="15">
        <v>269902</v>
      </c>
      <c r="O1185" s="17" cm="1">
        <f t="array" ref="O1185">(H1185-H1184)/H1184</f>
        <v>0.0156133324282126</v>
      </c>
    </row>
    <row r="1186" ht="13.65" customHeight="1">
      <c r="A1186" s="12">
        <v>45968</v>
      </c>
      <c r="B1186" t="s" s="13">
        <v>22</v>
      </c>
      <c r="C1186" s="14">
        <v>1494.6</v>
      </c>
      <c r="D1186" s="14">
        <v>1498.4</v>
      </c>
      <c r="E1186" s="14">
        <v>1475.9</v>
      </c>
      <c r="F1186" s="14">
        <v>1496.1</v>
      </c>
      <c r="G1186" s="14">
        <v>1480</v>
      </c>
      <c r="H1186" s="14">
        <v>1478</v>
      </c>
      <c r="I1186" s="14">
        <v>1486.71</v>
      </c>
      <c r="J1186" s="14">
        <v>1551</v>
      </c>
      <c r="K1186" s="14">
        <v>1114.85</v>
      </c>
      <c r="L1186" s="15">
        <v>7821765</v>
      </c>
      <c r="M1186" t="s" s="13">
        <v>1178</v>
      </c>
      <c r="N1186" s="15">
        <v>139608</v>
      </c>
      <c r="O1186" s="17" cm="1">
        <f t="array" ref="O1186">(H1186-H1185)/H1185</f>
        <v>-0.0120981217833033</v>
      </c>
    </row>
    <row r="1187" ht="13.65" customHeight="1">
      <c r="A1187" s="18">
        <v>45971</v>
      </c>
      <c r="B1187" t="s" s="13">
        <v>22</v>
      </c>
      <c r="C1187" s="14">
        <v>1477.9</v>
      </c>
      <c r="D1187" s="14">
        <v>1501</v>
      </c>
      <c r="E1187" s="14">
        <v>1475.5</v>
      </c>
      <c r="F1187" s="14">
        <v>1478</v>
      </c>
      <c r="G1187" s="14">
        <v>1490.1</v>
      </c>
      <c r="H1187" s="14">
        <v>1489.3</v>
      </c>
      <c r="I1187" s="14">
        <v>1492.69</v>
      </c>
      <c r="J1187" s="14">
        <v>1551</v>
      </c>
      <c r="K1187" s="14">
        <v>1114.85</v>
      </c>
      <c r="L1187" s="15">
        <v>7068438</v>
      </c>
      <c r="M1187" t="s" s="13">
        <v>1179</v>
      </c>
      <c r="N1187" s="15">
        <v>154602</v>
      </c>
      <c r="O1187" s="17" cm="1">
        <f t="array" ref="O1187">(H1187-H1186)/H1186</f>
        <v>0.00764546684709066</v>
      </c>
    </row>
    <row r="1188" ht="13.65" customHeight="1">
      <c r="A1188" s="18">
        <v>45972</v>
      </c>
      <c r="B1188" t="s" s="13">
        <v>22</v>
      </c>
      <c r="C1188" s="14">
        <v>1497</v>
      </c>
      <c r="D1188" s="14">
        <v>1498.8</v>
      </c>
      <c r="E1188" s="14">
        <v>1480.2</v>
      </c>
      <c r="F1188" s="14">
        <v>1489.3</v>
      </c>
      <c r="G1188" s="14">
        <v>1493.8</v>
      </c>
      <c r="H1188" s="14">
        <v>1493.4</v>
      </c>
      <c r="I1188" s="14">
        <v>1489.58</v>
      </c>
      <c r="J1188" s="14">
        <v>1551</v>
      </c>
      <c r="K1188" s="14">
        <v>1114.85</v>
      </c>
      <c r="L1188" s="15">
        <v>7127506</v>
      </c>
      <c r="M1188" t="s" s="13">
        <v>1180</v>
      </c>
      <c r="N1188" s="15">
        <v>149607</v>
      </c>
      <c r="O1188" s="17" cm="1">
        <f t="array" ref="O1188">(H1188-H1187)/H1187</f>
        <v>0.00275297119452092</v>
      </c>
    </row>
    <row r="1189" ht="13.65" customHeight="1">
      <c r="A1189" s="18">
        <v>45973</v>
      </c>
      <c r="B1189" t="s" s="13">
        <v>22</v>
      </c>
      <c r="C1189" s="14">
        <v>1505</v>
      </c>
      <c r="D1189" s="14">
        <v>1524.7</v>
      </c>
      <c r="E1189" s="14">
        <v>1500</v>
      </c>
      <c r="F1189" s="14">
        <v>1493.4</v>
      </c>
      <c r="G1189" s="14">
        <v>1511.8</v>
      </c>
      <c r="H1189" s="14">
        <v>1511.5</v>
      </c>
      <c r="I1189" s="14">
        <v>1515</v>
      </c>
      <c r="J1189" s="14">
        <v>1551</v>
      </c>
      <c r="K1189" s="14">
        <v>1114.85</v>
      </c>
      <c r="L1189" s="15">
        <v>12384459</v>
      </c>
      <c r="M1189" t="s" s="13">
        <v>1181</v>
      </c>
      <c r="N1189" s="15">
        <v>252417</v>
      </c>
      <c r="O1189" s="17" cm="1">
        <f t="array" ref="O1189">(H1189-H1188)/H1188</f>
        <v>0.0121199946430963</v>
      </c>
    </row>
    <row r="1190" ht="13.65" customHeight="1">
      <c r="A1190" s="18">
        <v>45974</v>
      </c>
      <c r="B1190" t="s" s="13">
        <v>22</v>
      </c>
      <c r="C1190" s="14">
        <v>1515</v>
      </c>
      <c r="D1190" s="14">
        <v>1522.1</v>
      </c>
      <c r="E1190" s="14">
        <v>1506.8</v>
      </c>
      <c r="F1190" s="14">
        <v>1511.5</v>
      </c>
      <c r="G1190" s="14">
        <v>1512.1</v>
      </c>
      <c r="H1190" s="14">
        <v>1510.9</v>
      </c>
      <c r="I1190" s="14">
        <v>1514.35</v>
      </c>
      <c r="J1190" s="14">
        <v>1551</v>
      </c>
      <c r="K1190" s="14">
        <v>1114.85</v>
      </c>
      <c r="L1190" s="15">
        <v>7196443</v>
      </c>
      <c r="M1190" t="s" s="13">
        <v>1182</v>
      </c>
      <c r="N1190" s="15">
        <v>209774</v>
      </c>
      <c r="O1190" s="17" cm="1">
        <f t="array" ref="O1190">(H1190-H1189)/H1189</f>
        <v>-0.000396956665564009</v>
      </c>
    </row>
    <row r="1191" ht="13.65" customHeight="1">
      <c r="A1191" s="18">
        <v>45975</v>
      </c>
      <c r="B1191" t="s" s="13">
        <v>22</v>
      </c>
      <c r="C1191" s="14">
        <v>1505.5</v>
      </c>
      <c r="D1191" s="14">
        <v>1520.9</v>
      </c>
      <c r="E1191" s="14">
        <v>1505.5</v>
      </c>
      <c r="F1191" s="14">
        <v>1510.9</v>
      </c>
      <c r="G1191" s="14">
        <v>1518.2</v>
      </c>
      <c r="H1191" s="14">
        <v>1518.9</v>
      </c>
      <c r="I1191" s="14">
        <v>1516.51</v>
      </c>
      <c r="J1191" s="14">
        <v>1551</v>
      </c>
      <c r="K1191" s="14">
        <v>1114.85</v>
      </c>
      <c r="L1191" s="15">
        <v>7682823</v>
      </c>
      <c r="M1191" t="s" s="13">
        <v>1183</v>
      </c>
      <c r="N1191" s="15">
        <v>194941</v>
      </c>
      <c r="O1191" s="17" cm="1">
        <f t="array" ref="O1191">(H1191-H1190)/H1190</f>
        <v>0.0052948573697796</v>
      </c>
    </row>
    <row r="1192" ht="13.65" customHeight="1">
      <c r="A1192" s="18">
        <v>45978</v>
      </c>
      <c r="B1192" t="s" s="13">
        <v>22</v>
      </c>
      <c r="C1192" s="14">
        <v>1520.9</v>
      </c>
      <c r="D1192" s="14">
        <v>1523.7</v>
      </c>
      <c r="E1192" s="14">
        <v>1511.5</v>
      </c>
      <c r="F1192" s="14">
        <v>1518.9</v>
      </c>
      <c r="G1192" s="14">
        <v>1518</v>
      </c>
      <c r="H1192" s="14">
        <v>1518.3</v>
      </c>
      <c r="I1192" s="14">
        <v>1516.89</v>
      </c>
      <c r="J1192" s="14">
        <v>1551</v>
      </c>
      <c r="K1192" s="14">
        <v>1114.85</v>
      </c>
      <c r="L1192" s="15">
        <v>5871416</v>
      </c>
      <c r="M1192" t="s" s="13">
        <v>1184</v>
      </c>
      <c r="N1192" s="15">
        <v>123473</v>
      </c>
      <c r="O1192" s="17" cm="1">
        <f t="array" ref="O1192">(H1192-H1191)/H1191</f>
        <v>-0.000395022713806044</v>
      </c>
    </row>
    <row r="1193" ht="13.65" customHeight="1">
      <c r="A1193" s="18">
        <v>45979</v>
      </c>
      <c r="B1193" t="s" s="13">
        <v>22</v>
      </c>
      <c r="C1193" s="14">
        <v>1521.7</v>
      </c>
      <c r="D1193" s="14">
        <v>1527.8</v>
      </c>
      <c r="E1193" s="14">
        <v>1510.5</v>
      </c>
      <c r="F1193" s="14">
        <v>1518.3</v>
      </c>
      <c r="G1193" s="14">
        <v>1520</v>
      </c>
      <c r="H1193" s="14">
        <v>1519.4</v>
      </c>
      <c r="I1193" s="14">
        <v>1520.18</v>
      </c>
      <c r="J1193" s="14">
        <v>1551</v>
      </c>
      <c r="K1193" s="14">
        <v>1114.85</v>
      </c>
      <c r="L1193" s="15">
        <v>11045042</v>
      </c>
      <c r="M1193" t="s" s="13">
        <v>1185</v>
      </c>
      <c r="N1193" s="15">
        <v>165850</v>
      </c>
      <c r="O1193" s="17" cm="1">
        <f t="array" ref="O1193">(H1193-H1192)/H1192</f>
        <v>0.00072449450042811</v>
      </c>
    </row>
    <row r="1194" ht="13.65" customHeight="1">
      <c r="A1194" s="18">
        <v>45980</v>
      </c>
      <c r="B1194" t="s" s="13">
        <v>22</v>
      </c>
      <c r="C1194" s="14">
        <v>1517.4</v>
      </c>
      <c r="D1194" s="14">
        <v>1522.3</v>
      </c>
      <c r="E1194" s="14">
        <v>1512</v>
      </c>
      <c r="F1194" s="14">
        <v>1519.4</v>
      </c>
      <c r="G1194" s="14">
        <v>1519</v>
      </c>
      <c r="H1194" s="14">
        <v>1518.9</v>
      </c>
      <c r="I1194" s="14">
        <v>1518.64</v>
      </c>
      <c r="J1194" s="14">
        <v>1551</v>
      </c>
      <c r="K1194" s="14">
        <v>1114.85</v>
      </c>
      <c r="L1194" s="15">
        <v>5692366</v>
      </c>
      <c r="M1194" t="s" s="13">
        <v>1186</v>
      </c>
      <c r="N1194" s="15">
        <v>131481</v>
      </c>
      <c r="O1194" s="17" cm="1">
        <f t="array" ref="O1194">(H1194-H1193)/H1193</f>
        <v>-0.000329077267342372</v>
      </c>
    </row>
    <row r="1195" ht="13.65" customHeight="1">
      <c r="A1195" s="18">
        <v>45981</v>
      </c>
      <c r="B1195" t="s" s="13">
        <v>22</v>
      </c>
      <c r="C1195" s="14">
        <v>1530</v>
      </c>
      <c r="D1195" s="14">
        <v>1550.9</v>
      </c>
      <c r="E1195" s="14">
        <v>1526.7</v>
      </c>
      <c r="F1195" s="14">
        <v>1518.9</v>
      </c>
      <c r="G1195" s="14">
        <v>1549.5</v>
      </c>
      <c r="H1195" s="14">
        <v>1549.1</v>
      </c>
      <c r="I1195" s="14">
        <v>1543.57</v>
      </c>
      <c r="J1195" s="14">
        <v>1551</v>
      </c>
      <c r="K1195" s="14">
        <v>1114.85</v>
      </c>
      <c r="L1195" s="15">
        <v>18171724</v>
      </c>
      <c r="M1195" t="s" s="13">
        <v>1187</v>
      </c>
      <c r="N1195" s="15">
        <v>246552</v>
      </c>
      <c r="O1195" s="17" cm="1">
        <f t="array" ref="O1195">(H1195-H1194)/H1194</f>
        <v>0.0198828099282375</v>
      </c>
    </row>
    <row r="1196" ht="13.65" customHeight="1">
      <c r="A1196" s="18">
        <v>45982</v>
      </c>
      <c r="B1196" t="s" s="13">
        <v>22</v>
      </c>
      <c r="C1196" s="14">
        <v>1541</v>
      </c>
      <c r="D1196" s="14">
        <v>1557.8</v>
      </c>
      <c r="E1196" s="14">
        <v>1540.1</v>
      </c>
      <c r="F1196" s="14">
        <v>1549.1</v>
      </c>
      <c r="G1196" s="14">
        <v>1543.7</v>
      </c>
      <c r="H1196" s="14">
        <v>1546.6</v>
      </c>
      <c r="I1196" s="14">
        <v>1549.35</v>
      </c>
      <c r="J1196" s="14">
        <v>1557.8</v>
      </c>
      <c r="K1196" s="14">
        <v>1114.85</v>
      </c>
      <c r="L1196" s="15">
        <v>9615271</v>
      </c>
      <c r="M1196" t="s" s="13">
        <v>1188</v>
      </c>
      <c r="N1196" s="15">
        <v>240250</v>
      </c>
      <c r="O1196" s="17" cm="1">
        <f t="array" ref="O1196">(H1196-H1195)/H1195</f>
        <v>-0.00161384029436447</v>
      </c>
    </row>
    <row r="1197" ht="13.65" customHeight="1">
      <c r="A1197" s="18">
        <v>45985</v>
      </c>
      <c r="B1197" t="s" s="13">
        <v>22</v>
      </c>
      <c r="C1197" s="14">
        <v>1550</v>
      </c>
      <c r="D1197" s="14">
        <v>1550</v>
      </c>
      <c r="E1197" s="14">
        <v>1531.8</v>
      </c>
      <c r="F1197" s="14">
        <v>1546.6</v>
      </c>
      <c r="G1197" s="14">
        <v>1534.9</v>
      </c>
      <c r="H1197" s="14">
        <v>1535.9</v>
      </c>
      <c r="I1197" s="14">
        <v>1537.26</v>
      </c>
      <c r="J1197" s="14">
        <v>1557.8</v>
      </c>
      <c r="K1197" s="14">
        <v>1114.85</v>
      </c>
      <c r="L1197" s="15">
        <v>18433951</v>
      </c>
      <c r="M1197" t="s" s="13">
        <v>1189</v>
      </c>
      <c r="N1197" s="15">
        <v>198313</v>
      </c>
      <c r="O1197" s="17" cm="1">
        <f t="array" ref="O1197">(H1197-H1196)/H1196</f>
        <v>-0.00691840165524376</v>
      </c>
    </row>
    <row r="1198" ht="13.65" customHeight="1">
      <c r="A1198" s="18">
        <v>45986</v>
      </c>
      <c r="B1198" t="s" s="13">
        <v>22</v>
      </c>
      <c r="C1198" s="14">
        <v>1535.9</v>
      </c>
      <c r="D1198" s="14">
        <v>1559.6</v>
      </c>
      <c r="E1198" s="14">
        <v>1525.1</v>
      </c>
      <c r="F1198" s="14">
        <v>1535.9</v>
      </c>
      <c r="G1198" s="14">
        <v>1540</v>
      </c>
      <c r="H1198" s="14">
        <v>1539.7</v>
      </c>
      <c r="I1198" s="14">
        <v>1546.34</v>
      </c>
      <c r="J1198" s="14">
        <v>1559.6</v>
      </c>
      <c r="K1198" s="14">
        <v>1114.85</v>
      </c>
      <c r="L1198" s="15">
        <v>15033482</v>
      </c>
      <c r="M1198" t="s" s="13">
        <v>1190</v>
      </c>
      <c r="N1198" s="15">
        <v>299805</v>
      </c>
      <c r="O1198" s="17" cm="1">
        <f t="array" ref="O1198">(H1198-H1197)/H1197</f>
        <v>0.00247411940881568</v>
      </c>
    </row>
    <row r="1199" ht="13.65" customHeight="1">
      <c r="A1199" s="18">
        <v>45987</v>
      </c>
      <c r="B1199" t="s" s="13">
        <v>22</v>
      </c>
      <c r="C1199" s="14">
        <v>1542.3</v>
      </c>
      <c r="D1199" s="14">
        <v>1571.6</v>
      </c>
      <c r="E1199" s="14">
        <v>1540.5</v>
      </c>
      <c r="F1199" s="14">
        <v>1539.7</v>
      </c>
      <c r="G1199" s="14">
        <v>1569.6</v>
      </c>
      <c r="H1199" s="14">
        <v>1569.9</v>
      </c>
      <c r="I1199" s="14">
        <v>1562.98</v>
      </c>
      <c r="J1199" s="14">
        <v>1571.6</v>
      </c>
      <c r="K1199" s="14">
        <v>1114.85</v>
      </c>
      <c r="L1199" s="15">
        <v>14054299</v>
      </c>
      <c r="M1199" t="s" s="13">
        <v>1191</v>
      </c>
      <c r="N1199" s="15">
        <v>285274</v>
      </c>
      <c r="O1199" s="17" cm="1">
        <f t="array" ref="O1199">(H1199-H1198)/H1198</f>
        <v>0.0196142105604988</v>
      </c>
    </row>
    <row r="1200" ht="13.65" customHeight="1">
      <c r="A1200" s="18">
        <v>45988</v>
      </c>
      <c r="B1200" t="s" s="13">
        <v>22</v>
      </c>
      <c r="C1200" s="14">
        <v>1575</v>
      </c>
      <c r="D1200" s="14">
        <v>1575.5</v>
      </c>
      <c r="E1200" s="14">
        <v>1556</v>
      </c>
      <c r="F1200" s="14">
        <v>1569.9</v>
      </c>
      <c r="G1200" s="14">
        <v>1564.8</v>
      </c>
      <c r="H1200" s="14">
        <v>1563.4</v>
      </c>
      <c r="I1200" s="14">
        <v>1563.68</v>
      </c>
      <c r="J1200" s="14">
        <v>1575.5</v>
      </c>
      <c r="K1200" s="14">
        <v>1114.85</v>
      </c>
      <c r="L1200" s="15">
        <v>9794643</v>
      </c>
      <c r="M1200" t="s" s="13">
        <v>1192</v>
      </c>
      <c r="N1200" s="15">
        <v>278929</v>
      </c>
      <c r="O1200" s="17" cm="1">
        <f t="array" ref="O1200">(H1200-H1199)/H1199</f>
        <v>-0.00414039110771387</v>
      </c>
    </row>
    <row r="1201" ht="13.65" customHeight="1">
      <c r="A1201" s="18">
        <v>45989</v>
      </c>
      <c r="B1201" t="s" s="13">
        <v>22</v>
      </c>
      <c r="C1201" s="14">
        <v>1568</v>
      </c>
      <c r="D1201" s="14">
        <v>1581.3</v>
      </c>
      <c r="E1201" s="14">
        <v>1563</v>
      </c>
      <c r="F1201" s="14">
        <v>1563.4</v>
      </c>
      <c r="G1201" s="14">
        <v>1569</v>
      </c>
      <c r="H1201" s="14">
        <v>1567.5</v>
      </c>
      <c r="I1201" s="14">
        <v>1571.94</v>
      </c>
      <c r="J1201" s="14">
        <v>1581.3</v>
      </c>
      <c r="K1201" s="14">
        <v>1114.85</v>
      </c>
      <c r="L1201" s="15">
        <v>8959508</v>
      </c>
      <c r="M1201" t="s" s="13">
        <v>1193</v>
      </c>
      <c r="N1201" s="15">
        <v>229373</v>
      </c>
      <c r="O1201" s="17" cm="1">
        <f t="array" ref="O1201">(H1201-H1200)/H1200</f>
        <v>0.00262248944607906</v>
      </c>
    </row>
    <row r="1202" ht="13.65" customHeight="1">
      <c r="A1202" s="12">
        <v>45992</v>
      </c>
      <c r="B1202" t="s" s="13">
        <v>22</v>
      </c>
      <c r="C1202" s="14">
        <v>1575</v>
      </c>
      <c r="D1202" s="14">
        <v>1577.5</v>
      </c>
      <c r="E1202" s="14">
        <v>1563.6</v>
      </c>
      <c r="F1202" s="14">
        <v>1567.5</v>
      </c>
      <c r="G1202" s="14">
        <v>1566.5</v>
      </c>
      <c r="H1202" s="14">
        <v>1566.1</v>
      </c>
      <c r="I1202" s="14">
        <v>1571.31</v>
      </c>
      <c r="J1202" s="14">
        <v>1581.3</v>
      </c>
      <c r="K1202" s="14">
        <v>1114.85</v>
      </c>
      <c r="L1202" s="15">
        <v>8920233</v>
      </c>
      <c r="M1202" t="s" s="13">
        <v>1194</v>
      </c>
      <c r="N1202" s="15">
        <v>292601</v>
      </c>
      <c r="O1202" s="17" cm="1">
        <f t="array" ref="O1202">(H1202-H1201)/H1201</f>
        <v>-0.000893141945773525</v>
      </c>
    </row>
    <row r="1203" ht="13.65" customHeight="1">
      <c r="A1203" s="12">
        <v>45993</v>
      </c>
      <c r="B1203" t="s" s="13">
        <v>22</v>
      </c>
      <c r="C1203" s="14">
        <v>1561.1</v>
      </c>
      <c r="D1203" s="14">
        <v>1567.5</v>
      </c>
      <c r="E1203" s="14">
        <v>1542</v>
      </c>
      <c r="F1203" s="14">
        <v>1566.1</v>
      </c>
      <c r="G1203" s="14">
        <v>1548.3</v>
      </c>
      <c r="H1203" s="14">
        <v>1546.3</v>
      </c>
      <c r="I1203" s="14">
        <v>1550.62</v>
      </c>
      <c r="J1203" s="14">
        <v>1581.3</v>
      </c>
      <c r="K1203" s="14">
        <v>1114.85</v>
      </c>
      <c r="L1203" s="15">
        <v>11389150</v>
      </c>
      <c r="M1203" t="s" s="13">
        <v>1195</v>
      </c>
      <c r="N1203" s="15">
        <v>323713</v>
      </c>
      <c r="O1203" s="17" cm="1">
        <f t="array" ref="O1203">(H1203-H1202)/H1202</f>
        <v>-0.0126428708256178</v>
      </c>
    </row>
    <row r="1204" ht="13.65" customHeight="1">
      <c r="A1204" s="12">
        <v>45994</v>
      </c>
      <c r="B1204" t="s" s="13">
        <v>22</v>
      </c>
      <c r="C1204" s="14">
        <v>1545.2</v>
      </c>
      <c r="D1204" s="14">
        <v>1552.4</v>
      </c>
      <c r="E1204" s="14">
        <v>1533</v>
      </c>
      <c r="F1204" s="14">
        <v>1546.3</v>
      </c>
      <c r="G1204" s="14">
        <v>1539.1</v>
      </c>
      <c r="H1204" s="14">
        <v>1538.8</v>
      </c>
      <c r="I1204" s="14">
        <v>1539.45</v>
      </c>
      <c r="J1204" s="14">
        <v>1581.3</v>
      </c>
      <c r="K1204" s="14">
        <v>1114.85</v>
      </c>
      <c r="L1204" s="15">
        <v>6090883</v>
      </c>
      <c r="M1204" t="s" s="13">
        <v>1196</v>
      </c>
      <c r="N1204" s="15">
        <v>156721</v>
      </c>
      <c r="O1204" s="17" cm="1">
        <f t="array" ref="O1204">(H1204-H1203)/H1203</f>
        <v>-0.00485028778374184</v>
      </c>
    </row>
    <row r="1205" ht="13.65" customHeight="1">
      <c r="A1205" s="12">
        <v>45995</v>
      </c>
      <c r="B1205" t="s" s="13">
        <v>22</v>
      </c>
      <c r="C1205" s="14">
        <v>1536</v>
      </c>
      <c r="D1205" s="14">
        <v>1560.5</v>
      </c>
      <c r="E1205" s="14">
        <v>1517.6</v>
      </c>
      <c r="F1205" s="14">
        <v>1538.8</v>
      </c>
      <c r="G1205" s="14">
        <v>1525.3</v>
      </c>
      <c r="H1205" s="14">
        <v>1535.6</v>
      </c>
      <c r="I1205" s="14">
        <v>1543.73</v>
      </c>
      <c r="J1205" s="14">
        <v>1581.3</v>
      </c>
      <c r="K1205" s="14">
        <v>1114.85</v>
      </c>
      <c r="L1205" s="15">
        <v>11867930</v>
      </c>
      <c r="M1205" t="s" s="13">
        <v>1197</v>
      </c>
      <c r="N1205" s="15">
        <v>203260</v>
      </c>
      <c r="O1205" s="17" cm="1">
        <f t="array" ref="O1205">(H1205-H1204)/H1204</f>
        <v>-0.00207954250064986</v>
      </c>
    </row>
    <row r="1206" ht="13.65" customHeight="1">
      <c r="A1206" s="12">
        <v>45996</v>
      </c>
      <c r="B1206" t="s" s="13">
        <v>22</v>
      </c>
      <c r="C1206" s="14">
        <v>1530.4</v>
      </c>
      <c r="D1206" s="14">
        <v>1545.8</v>
      </c>
      <c r="E1206" s="14">
        <v>1520.6</v>
      </c>
      <c r="F1206" s="14">
        <v>1535.6</v>
      </c>
      <c r="G1206" s="14">
        <v>1544.6</v>
      </c>
      <c r="H1206" s="14">
        <v>1540.6</v>
      </c>
      <c r="I1206" s="14">
        <v>1534.8</v>
      </c>
      <c r="J1206" s="14">
        <v>1581.3</v>
      </c>
      <c r="K1206" s="14">
        <v>1114.85</v>
      </c>
      <c r="L1206" s="15">
        <v>10183266</v>
      </c>
      <c r="M1206" t="s" s="13">
        <v>1198</v>
      </c>
      <c r="N1206" s="15">
        <v>181528</v>
      </c>
      <c r="O1206" s="17" cm="1">
        <f t="array" ref="O1206">(H1206-H1205)/H1205</f>
        <v>0.00325605626465225</v>
      </c>
    </row>
    <row r="1207" ht="13.65" customHeight="1">
      <c r="A1207" s="12">
        <v>45999</v>
      </c>
      <c r="B1207" t="s" s="13">
        <v>22</v>
      </c>
      <c r="C1207" s="14">
        <v>1539.2</v>
      </c>
      <c r="D1207" s="14">
        <v>1551</v>
      </c>
      <c r="E1207" s="14">
        <v>1535</v>
      </c>
      <c r="F1207" s="14">
        <v>1540.6</v>
      </c>
      <c r="G1207" s="14">
        <v>1539.9</v>
      </c>
      <c r="H1207" s="14">
        <v>1543</v>
      </c>
      <c r="I1207" s="14">
        <v>1540.71</v>
      </c>
      <c r="J1207" s="14">
        <v>1581.3</v>
      </c>
      <c r="K1207" s="14">
        <v>1114.85</v>
      </c>
      <c r="L1207" s="15">
        <v>11301491</v>
      </c>
      <c r="M1207" t="s" s="13">
        <v>1199</v>
      </c>
      <c r="N1207" s="15">
        <v>182756</v>
      </c>
      <c r="O1207" s="17" cm="1">
        <f t="array" ref="O1207">(H1207-H1206)/H1206</f>
        <v>0.00155783460989225</v>
      </c>
    </row>
    <row r="1208" ht="13.65" customHeight="1">
      <c r="A1208" s="12">
        <v>46000</v>
      </c>
      <c r="B1208" t="s" s="13">
        <v>22</v>
      </c>
      <c r="C1208" s="14">
        <v>1540.3</v>
      </c>
      <c r="D1208" s="14">
        <v>1542.5</v>
      </c>
      <c r="E1208" s="14">
        <v>1520.1</v>
      </c>
      <c r="F1208" s="14">
        <v>1543</v>
      </c>
      <c r="G1208" s="14">
        <v>1532.4</v>
      </c>
      <c r="H1208" s="14">
        <v>1529.4</v>
      </c>
      <c r="I1208" s="14">
        <v>1530</v>
      </c>
      <c r="J1208" s="14">
        <v>1581.3</v>
      </c>
      <c r="K1208" s="14">
        <v>1114.85</v>
      </c>
      <c r="L1208" s="15">
        <v>11503971</v>
      </c>
      <c r="M1208" t="s" s="13">
        <v>1200</v>
      </c>
      <c r="N1208" s="15">
        <v>205129</v>
      </c>
      <c r="O1208" s="17" cm="1">
        <f t="array" ref="O1208">(H1208-H1207)/H1207</f>
        <v>-0.00881399870382372</v>
      </c>
    </row>
    <row r="1209" ht="13.65" customHeight="1">
      <c r="A1209" s="18">
        <v>46001</v>
      </c>
      <c r="B1209" t="s" s="13">
        <v>22</v>
      </c>
      <c r="C1209" s="14">
        <v>1534</v>
      </c>
      <c r="D1209" s="14">
        <v>1547.5</v>
      </c>
      <c r="E1209" s="14">
        <v>1531.4</v>
      </c>
      <c r="F1209" s="14">
        <v>1529.4</v>
      </c>
      <c r="G1209" s="14">
        <v>1533.5</v>
      </c>
      <c r="H1209" s="14">
        <v>1536.9</v>
      </c>
      <c r="I1209" s="14">
        <v>1539.72</v>
      </c>
      <c r="J1209" s="14">
        <v>1581.3</v>
      </c>
      <c r="K1209" s="14">
        <v>1114.85</v>
      </c>
      <c r="L1209" s="15">
        <v>7991629</v>
      </c>
      <c r="M1209" t="s" s="13">
        <v>1201</v>
      </c>
      <c r="N1209" s="15">
        <v>202989</v>
      </c>
      <c r="O1209" s="17" cm="1">
        <f t="array" ref="O1209">(H1209-H1208)/H1208</f>
        <v>0.00490388387602982</v>
      </c>
    </row>
    <row r="1210" ht="13.65" customHeight="1">
      <c r="A1210" s="18">
        <v>46002</v>
      </c>
      <c r="B1210" t="s" s="13">
        <v>22</v>
      </c>
      <c r="C1210" s="14">
        <v>1536.9</v>
      </c>
      <c r="D1210" s="14">
        <v>1550</v>
      </c>
      <c r="E1210" s="14">
        <v>1524</v>
      </c>
      <c r="F1210" s="14">
        <v>1536.9</v>
      </c>
      <c r="G1210" s="14">
        <v>1543</v>
      </c>
      <c r="H1210" s="14">
        <v>1545</v>
      </c>
      <c r="I1210" s="14">
        <v>1540.61</v>
      </c>
      <c r="J1210" s="14">
        <v>1581.3</v>
      </c>
      <c r="K1210" s="14">
        <v>1114.85</v>
      </c>
      <c r="L1210" s="15">
        <v>4706197</v>
      </c>
      <c r="M1210" t="s" s="13">
        <v>1202</v>
      </c>
      <c r="N1210" s="15">
        <v>168155</v>
      </c>
      <c r="O1210" s="17" cm="1">
        <f t="array" ref="O1210">(H1210-H1209)/H1209</f>
        <v>0.00527034940464572</v>
      </c>
    </row>
    <row r="1211" ht="13.65" customHeight="1">
      <c r="A1211" s="18">
        <v>46003</v>
      </c>
      <c r="B1211" t="s" s="13">
        <v>22</v>
      </c>
      <c r="C1211" s="14">
        <v>1550.8</v>
      </c>
      <c r="D1211" s="14">
        <v>1559.8</v>
      </c>
      <c r="E1211" s="14">
        <v>1546.1</v>
      </c>
      <c r="F1211" s="14">
        <v>1545</v>
      </c>
      <c r="G1211" s="14">
        <v>1554.3</v>
      </c>
      <c r="H1211" s="14">
        <v>1556.5</v>
      </c>
      <c r="I1211" s="14">
        <v>1555.21</v>
      </c>
      <c r="J1211" s="14">
        <v>1581.3</v>
      </c>
      <c r="K1211" s="14">
        <v>1114.85</v>
      </c>
      <c r="L1211" s="15">
        <v>5106655</v>
      </c>
      <c r="M1211" t="s" s="13">
        <v>1203</v>
      </c>
      <c r="N1211" s="15">
        <v>139702</v>
      </c>
      <c r="O1211" s="17" cm="1">
        <f t="array" ref="O1211">(H1211-H1210)/H1210</f>
        <v>0.00744336569579288</v>
      </c>
    </row>
    <row r="1212" ht="13.65" customHeight="1">
      <c r="A1212" s="18">
        <v>46006</v>
      </c>
      <c r="B1212" t="s" s="13">
        <v>22</v>
      </c>
      <c r="C1212" s="14">
        <v>1551.2</v>
      </c>
      <c r="D1212" s="14">
        <v>1558.6</v>
      </c>
      <c r="E1212" s="14">
        <v>1546.5</v>
      </c>
      <c r="F1212" s="14">
        <v>1556.5</v>
      </c>
      <c r="G1212" s="14">
        <v>1557</v>
      </c>
      <c r="H1212" s="14">
        <v>1556.2</v>
      </c>
      <c r="I1212" s="14">
        <v>1553.69</v>
      </c>
      <c r="J1212" s="14">
        <v>1581.3</v>
      </c>
      <c r="K1212" s="14">
        <v>1114.85</v>
      </c>
      <c r="L1212" s="15">
        <v>5774543</v>
      </c>
      <c r="M1212" t="s" s="13">
        <v>1204</v>
      </c>
      <c r="N1212" s="15">
        <v>185872</v>
      </c>
      <c r="O1212" s="17" cm="1">
        <f t="array" ref="O1212">(H1212-H1211)/H1211</f>
        <v>-0.000192740122068744</v>
      </c>
    </row>
    <row r="1213" ht="13.65" customHeight="1">
      <c r="A1213" s="18">
        <v>46007</v>
      </c>
      <c r="B1213" t="s" s="13">
        <v>22</v>
      </c>
      <c r="C1213" s="14">
        <v>1545</v>
      </c>
      <c r="D1213" s="14">
        <v>1551.7</v>
      </c>
      <c r="E1213" s="14">
        <v>1538.8</v>
      </c>
      <c r="F1213" s="14">
        <v>1556.2</v>
      </c>
      <c r="G1213" s="14">
        <v>1540.7</v>
      </c>
      <c r="H1213" s="14">
        <v>1542.3</v>
      </c>
      <c r="I1213" s="14">
        <v>1544.3</v>
      </c>
      <c r="J1213" s="14">
        <v>1581.3</v>
      </c>
      <c r="K1213" s="14">
        <v>1114.85</v>
      </c>
      <c r="L1213" s="15">
        <v>11731856</v>
      </c>
      <c r="M1213" t="s" s="13">
        <v>1205</v>
      </c>
      <c r="N1213" s="15">
        <v>246980</v>
      </c>
      <c r="O1213" s="17" cm="1">
        <f t="array" ref="O1213">(H1213-H1212)/H1212</f>
        <v>-0.00893201387996401</v>
      </c>
    </row>
    <row r="1214" ht="13.65" customHeight="1">
      <c r="A1214" s="18">
        <v>46008</v>
      </c>
      <c r="B1214" t="s" s="13">
        <v>22</v>
      </c>
      <c r="C1214" s="14">
        <v>1550</v>
      </c>
      <c r="D1214" s="14">
        <v>1550</v>
      </c>
      <c r="E1214" s="14">
        <v>1539.3</v>
      </c>
      <c r="F1214" s="14">
        <v>1542.3</v>
      </c>
      <c r="G1214" s="14">
        <v>1545.1</v>
      </c>
      <c r="H1214" s="14">
        <v>1544.4</v>
      </c>
      <c r="I1214" s="14">
        <v>1544.14</v>
      </c>
      <c r="J1214" s="14">
        <v>1581.3</v>
      </c>
      <c r="K1214" s="14">
        <v>1114.85</v>
      </c>
      <c r="L1214" s="15">
        <v>7116649</v>
      </c>
      <c r="M1214" t="s" s="13">
        <v>1206</v>
      </c>
      <c r="N1214" s="15">
        <v>176852</v>
      </c>
      <c r="O1214" s="17" cm="1">
        <f t="array" ref="O1214">(H1214-H1213)/H1213</f>
        <v>0.00136160280101148</v>
      </c>
    </row>
    <row r="1215" ht="13.65" customHeight="1">
      <c r="A1215" s="18">
        <v>46009</v>
      </c>
      <c r="B1215" t="s" s="13">
        <v>22</v>
      </c>
      <c r="C1215" s="14">
        <v>1535.2</v>
      </c>
      <c r="D1215" s="14">
        <v>1551.5</v>
      </c>
      <c r="E1215" s="14">
        <v>1535.2</v>
      </c>
      <c r="F1215" s="14">
        <v>1544.4</v>
      </c>
      <c r="G1215" s="14">
        <v>1543.5</v>
      </c>
      <c r="H1215" s="14">
        <v>1544.4</v>
      </c>
      <c r="I1215" s="14">
        <v>1545.3</v>
      </c>
      <c r="J1215" s="14">
        <v>1581.3</v>
      </c>
      <c r="K1215" s="14">
        <v>1114.85</v>
      </c>
      <c r="L1215" s="15">
        <v>6580829</v>
      </c>
      <c r="M1215" t="s" s="13">
        <v>1207</v>
      </c>
      <c r="N1215" s="15">
        <v>175814</v>
      </c>
      <c r="O1215" s="17" cm="1">
        <f t="array" ref="O1215">(H1215-H1214)/H1214</f>
        <v>0</v>
      </c>
    </row>
    <row r="1216" ht="13.65" customHeight="1">
      <c r="A1216" s="18">
        <v>46010</v>
      </c>
      <c r="B1216" t="s" s="13">
        <v>22</v>
      </c>
      <c r="C1216" s="14">
        <v>1554.4</v>
      </c>
      <c r="D1216" s="14">
        <v>1574.2</v>
      </c>
      <c r="E1216" s="14">
        <v>1551</v>
      </c>
      <c r="F1216" s="14">
        <v>1544.4</v>
      </c>
      <c r="G1216" s="14">
        <v>1564.9</v>
      </c>
      <c r="H1216" s="14">
        <v>1565.1</v>
      </c>
      <c r="I1216" s="14">
        <v>1566.6</v>
      </c>
      <c r="J1216" s="14">
        <v>1581.3</v>
      </c>
      <c r="K1216" s="14">
        <v>1114.85</v>
      </c>
      <c r="L1216" s="15">
        <v>13937275</v>
      </c>
      <c r="M1216" t="s" s="13">
        <v>1208</v>
      </c>
      <c r="N1216" s="15">
        <v>279233</v>
      </c>
      <c r="O1216" s="17" cm="1">
        <f t="array" ref="O1216">(H1216-H1215)/H1215</f>
        <v>0.0134032634032634</v>
      </c>
    </row>
    <row r="1217" ht="13.65" customHeight="1">
      <c r="A1217" s="18">
        <v>46013</v>
      </c>
      <c r="B1217" t="s" s="13">
        <v>22</v>
      </c>
      <c r="C1217" s="14">
        <v>1573.5</v>
      </c>
      <c r="D1217" s="14">
        <v>1577.5</v>
      </c>
      <c r="E1217" s="14">
        <v>1565.3</v>
      </c>
      <c r="F1217" s="14">
        <v>1565.1</v>
      </c>
      <c r="G1217" s="14">
        <v>1577</v>
      </c>
      <c r="H1217" s="14">
        <v>1575.4</v>
      </c>
      <c r="I1217" s="14">
        <v>1571.96</v>
      </c>
      <c r="J1217" s="14">
        <v>1581.3</v>
      </c>
      <c r="K1217" s="14">
        <v>1114.85</v>
      </c>
      <c r="L1217" s="15">
        <v>10184852</v>
      </c>
      <c r="M1217" t="s" s="13">
        <v>1209</v>
      </c>
      <c r="N1217" s="15">
        <v>371017</v>
      </c>
      <c r="O1217" s="17" cm="1">
        <f t="array" ref="O1217">(H1217-H1216)/H1216</f>
        <v>0.00658104913424062</v>
      </c>
    </row>
    <row r="1218" ht="13.65" customHeight="1">
      <c r="A1218" s="18">
        <v>46014</v>
      </c>
      <c r="B1218" t="s" s="13">
        <v>22</v>
      </c>
      <c r="C1218" s="14">
        <v>1580.9</v>
      </c>
      <c r="D1218" s="14">
        <v>1580.9</v>
      </c>
      <c r="E1218" s="14">
        <v>1568.1</v>
      </c>
      <c r="F1218" s="14">
        <v>1575.4</v>
      </c>
      <c r="G1218" s="14">
        <v>1569</v>
      </c>
      <c r="H1218" s="14">
        <v>1570.7</v>
      </c>
      <c r="I1218" s="14">
        <v>1573.01</v>
      </c>
      <c r="J1218" s="14">
        <v>1581.3</v>
      </c>
      <c r="K1218" s="14">
        <v>1114.85</v>
      </c>
      <c r="L1218" s="15">
        <v>7506564</v>
      </c>
      <c r="M1218" t="s" s="13">
        <v>1210</v>
      </c>
      <c r="N1218" s="15">
        <v>179265</v>
      </c>
      <c r="O1218" s="17" cm="1">
        <f t="array" ref="O1218">(H1218-H1217)/H1217</f>
        <v>-0.00298336930303415</v>
      </c>
    </row>
    <row r="1219" ht="13.65" customHeight="1">
      <c r="A1219" s="18">
        <v>46015</v>
      </c>
      <c r="B1219" t="s" s="13">
        <v>22</v>
      </c>
      <c r="C1219" s="14">
        <v>1572.7</v>
      </c>
      <c r="D1219" s="14">
        <v>1575.7</v>
      </c>
      <c r="E1219" s="14">
        <v>1553.6</v>
      </c>
      <c r="F1219" s="14">
        <v>1570.7</v>
      </c>
      <c r="G1219" s="14">
        <v>1560.6</v>
      </c>
      <c r="H1219" s="14">
        <v>1558.2</v>
      </c>
      <c r="I1219" s="14">
        <v>1559.55</v>
      </c>
      <c r="J1219" s="14">
        <v>1581.3</v>
      </c>
      <c r="K1219" s="14">
        <v>1114.85</v>
      </c>
      <c r="L1219" s="15">
        <v>8815745</v>
      </c>
      <c r="M1219" t="s" s="13">
        <v>1211</v>
      </c>
      <c r="N1219" s="15">
        <v>243970</v>
      </c>
      <c r="O1219" s="17" cm="1">
        <f t="array" ref="O1219">(H1219-H1218)/H1218</f>
        <v>-0.007958235181766089</v>
      </c>
    </row>
    <row r="1220" ht="13.65" customHeight="1">
      <c r="A1220" s="18">
        <v>46017</v>
      </c>
      <c r="B1220" t="s" s="13">
        <v>22</v>
      </c>
      <c r="C1220" s="14">
        <v>1554.7</v>
      </c>
      <c r="D1220" s="14">
        <v>1561</v>
      </c>
      <c r="E1220" s="14">
        <v>1554.3</v>
      </c>
      <c r="F1220" s="14">
        <v>1558.2</v>
      </c>
      <c r="G1220" s="14">
        <v>1560</v>
      </c>
      <c r="H1220" s="14">
        <v>1559.2</v>
      </c>
      <c r="I1220" s="14">
        <v>1558.05</v>
      </c>
      <c r="J1220" s="14">
        <v>1581.3</v>
      </c>
      <c r="K1220" s="14">
        <v>1114.85</v>
      </c>
      <c r="L1220" s="15">
        <v>2311495</v>
      </c>
      <c r="M1220" t="s" s="13">
        <v>1212</v>
      </c>
      <c r="N1220" s="15">
        <v>81976</v>
      </c>
      <c r="O1220" s="17" cm="1">
        <f t="array" ref="O1220">(H1220-H1219)/H1219</f>
        <v>0.000641766140418432</v>
      </c>
    </row>
    <row r="1221" ht="13.65" customHeight="1">
      <c r="A1221" s="18">
        <v>46020</v>
      </c>
      <c r="B1221" t="s" s="13">
        <v>22</v>
      </c>
      <c r="C1221" s="14">
        <v>1554.9</v>
      </c>
      <c r="D1221" s="14">
        <v>1558.1</v>
      </c>
      <c r="E1221" s="14">
        <v>1543.6</v>
      </c>
      <c r="F1221" s="14">
        <v>1559.2</v>
      </c>
      <c r="G1221" s="14">
        <v>1546.7</v>
      </c>
      <c r="H1221" s="14">
        <v>1545.6</v>
      </c>
      <c r="I1221" s="14">
        <v>1547.8</v>
      </c>
      <c r="J1221" s="14">
        <v>1581.3</v>
      </c>
      <c r="K1221" s="14">
        <v>1114.85</v>
      </c>
      <c r="L1221" s="15">
        <v>5972105</v>
      </c>
      <c r="M1221" t="s" s="13">
        <v>1213</v>
      </c>
      <c r="N1221" s="15">
        <v>158162</v>
      </c>
      <c r="O1221" s="17" cm="1">
        <f t="array" ref="O1221">(H1221-H1220)/H1220</f>
        <v>-0.00872242175474602</v>
      </c>
    </row>
    <row r="1222" ht="13.65" customHeight="1">
      <c r="A1222" s="18">
        <v>46021</v>
      </c>
      <c r="B1222" t="s" s="13">
        <v>22</v>
      </c>
      <c r="C1222" s="14">
        <v>1547</v>
      </c>
      <c r="D1222" s="14">
        <v>1553.6</v>
      </c>
      <c r="E1222" s="14">
        <v>1537.8</v>
      </c>
      <c r="F1222" s="14">
        <v>1545.6</v>
      </c>
      <c r="G1222" s="14">
        <v>1541</v>
      </c>
      <c r="H1222" s="14">
        <v>1539.8</v>
      </c>
      <c r="I1222" s="14">
        <v>1543.21</v>
      </c>
      <c r="J1222" s="14">
        <v>1581.3</v>
      </c>
      <c r="K1222" s="14">
        <v>1114.85</v>
      </c>
      <c r="L1222" s="15">
        <v>8815884</v>
      </c>
      <c r="M1222" t="s" s="13">
        <v>1214</v>
      </c>
      <c r="N1222" s="15">
        <v>199428</v>
      </c>
      <c r="O1222" s="17" cm="1">
        <f t="array" ref="O1222">(H1222-H1221)/H1221</f>
        <v>-0.00375258799171843</v>
      </c>
    </row>
    <row r="1223" ht="13.65" customHeight="1">
      <c r="A1223" s="18">
        <v>46022</v>
      </c>
      <c r="B1223" t="s" s="13">
        <v>22</v>
      </c>
      <c r="C1223" s="14">
        <v>1541</v>
      </c>
      <c r="D1223" s="14">
        <v>1577</v>
      </c>
      <c r="E1223" s="14">
        <v>1541</v>
      </c>
      <c r="F1223" s="14">
        <v>1539.8</v>
      </c>
      <c r="G1223" s="14">
        <v>1569</v>
      </c>
      <c r="H1223" s="14">
        <v>1570.4</v>
      </c>
      <c r="I1223" s="14">
        <v>1566.86</v>
      </c>
      <c r="J1223" s="14">
        <v>1581.3</v>
      </c>
      <c r="K1223" s="14">
        <v>1114.85</v>
      </c>
      <c r="L1223" s="15">
        <v>5771830</v>
      </c>
      <c r="M1223" t="s" s="13">
        <v>1215</v>
      </c>
      <c r="N1223" s="15">
        <v>141792</v>
      </c>
      <c r="O1223" s="17" cm="1">
        <f t="array" ref="O1223">(H1223-H1222)/H1222</f>
        <v>0.0198727107416548</v>
      </c>
    </row>
    <row r="1224" ht="13.65" customHeight="1">
      <c r="A1224" s="12">
        <v>46023</v>
      </c>
      <c r="B1224" t="s" s="13">
        <v>22</v>
      </c>
      <c r="C1224" s="14">
        <v>1573.7</v>
      </c>
      <c r="D1224" s="14">
        <v>1592.5</v>
      </c>
      <c r="E1224" s="14">
        <v>1571.1</v>
      </c>
      <c r="F1224" s="14">
        <v>1570.4</v>
      </c>
      <c r="G1224" s="14">
        <v>1572.9</v>
      </c>
      <c r="H1224" s="14">
        <v>1575.6</v>
      </c>
      <c r="I1224" s="14">
        <v>1578.67</v>
      </c>
      <c r="J1224" s="14">
        <v>1592.5</v>
      </c>
      <c r="K1224" s="14">
        <v>1114.85</v>
      </c>
      <c r="L1224" s="15">
        <v>6408128</v>
      </c>
      <c r="M1224" t="s" s="13">
        <v>1216</v>
      </c>
      <c r="N1224" s="15">
        <v>134062</v>
      </c>
      <c r="O1224" s="17" cm="1">
        <f t="array" ref="O1224">(H1224-H1223)/H1223</f>
        <v>0.0033112582781457</v>
      </c>
    </row>
    <row r="1225" ht="13.65" customHeight="1">
      <c r="A1225" s="12">
        <v>46024</v>
      </c>
      <c r="B1225" t="s" s="13">
        <v>22</v>
      </c>
      <c r="C1225" s="14">
        <v>1580</v>
      </c>
      <c r="D1225" s="14">
        <v>1594.6</v>
      </c>
      <c r="E1225" s="14">
        <v>1578.2</v>
      </c>
      <c r="F1225" s="14">
        <v>1575.6</v>
      </c>
      <c r="G1225" s="14">
        <v>1593</v>
      </c>
      <c r="H1225" s="14">
        <v>1592.3</v>
      </c>
      <c r="I1225" s="14">
        <v>1589.16</v>
      </c>
      <c r="J1225" s="14">
        <v>1594.6</v>
      </c>
      <c r="K1225" s="14">
        <v>1114.85</v>
      </c>
      <c r="L1225" s="15">
        <v>6602230</v>
      </c>
      <c r="M1225" t="s" s="13">
        <v>1217</v>
      </c>
      <c r="N1225" s="15">
        <v>156023</v>
      </c>
      <c r="O1225" s="17" cm="1">
        <f t="array" ref="O1225">(H1225-H1224)/H1224</f>
        <v>0.0105991368367606</v>
      </c>
    </row>
    <row r="1226" ht="13.65" customHeight="1">
      <c r="A1226" s="12">
        <v>46027</v>
      </c>
      <c r="B1226" t="s" s="13">
        <v>22</v>
      </c>
      <c r="C1226" s="14">
        <v>1593</v>
      </c>
      <c r="D1226" s="14">
        <v>1611.8</v>
      </c>
      <c r="E1226" s="14">
        <v>1575.3</v>
      </c>
      <c r="F1226" s="14">
        <v>1592.3</v>
      </c>
      <c r="G1226" s="14">
        <v>1577</v>
      </c>
      <c r="H1226" s="14">
        <v>1578.1</v>
      </c>
      <c r="I1226" s="14">
        <v>1589.36</v>
      </c>
      <c r="J1226" s="14">
        <v>1611.8</v>
      </c>
      <c r="K1226" s="14">
        <v>1114.85</v>
      </c>
      <c r="L1226" s="15">
        <v>8704973</v>
      </c>
      <c r="M1226" t="s" s="13">
        <v>1218</v>
      </c>
      <c r="N1226" s="15">
        <v>227204</v>
      </c>
      <c r="O1226" s="17" cm="1">
        <f t="array" ref="O1226">(H1226-H1225)/H1225</f>
        <v>-0.008917917477862211</v>
      </c>
    </row>
    <row r="1227" ht="13.65" customHeight="1">
      <c r="A1227" s="12">
        <v>46028</v>
      </c>
      <c r="B1227" t="s" s="13">
        <v>22</v>
      </c>
      <c r="C1227" s="14">
        <v>1569</v>
      </c>
      <c r="D1227" s="14">
        <v>1569</v>
      </c>
      <c r="E1227" s="14">
        <v>1496.3</v>
      </c>
      <c r="F1227" s="14">
        <v>1578.1</v>
      </c>
      <c r="G1227" s="14">
        <v>1508.9</v>
      </c>
      <c r="H1227" s="14">
        <v>1507.6</v>
      </c>
      <c r="I1227" s="14">
        <v>1516.17</v>
      </c>
      <c r="J1227" s="14">
        <v>1611.8</v>
      </c>
      <c r="K1227" s="14">
        <v>1114.85</v>
      </c>
      <c r="L1227" s="15">
        <v>27417125</v>
      </c>
      <c r="M1227" t="s" s="13">
        <v>1219</v>
      </c>
      <c r="N1227" s="15">
        <v>583917</v>
      </c>
      <c r="O1227" s="17" cm="1">
        <f t="array" ref="O1227">(H1227-H1226)/H1226</f>
        <v>-0.0446739750332679</v>
      </c>
    </row>
    <row r="1228" ht="13.65" customHeight="1">
      <c r="A1228" s="12">
        <v>46029</v>
      </c>
      <c r="B1228" t="s" s="13">
        <v>22</v>
      </c>
      <c r="C1228" s="14">
        <v>1510</v>
      </c>
      <c r="D1228" s="14">
        <v>1520</v>
      </c>
      <c r="E1228" s="14">
        <v>1498</v>
      </c>
      <c r="F1228" s="14">
        <v>1507.6</v>
      </c>
      <c r="G1228" s="14">
        <v>1505.1</v>
      </c>
      <c r="H1228" s="14">
        <v>1504.2</v>
      </c>
      <c r="I1228" s="14">
        <v>1506.81</v>
      </c>
      <c r="J1228" s="14">
        <v>1611.8</v>
      </c>
      <c r="K1228" s="14">
        <v>1114.85</v>
      </c>
      <c r="L1228" s="15">
        <v>11199340</v>
      </c>
      <c r="M1228" t="s" s="13">
        <v>1220</v>
      </c>
      <c r="N1228" s="15">
        <v>302077</v>
      </c>
      <c r="O1228" s="17" cm="1">
        <f t="array" ref="O1228">(H1228-H1227)/H1227</f>
        <v>-0.00225524011674184</v>
      </c>
    </row>
    <row r="1229" ht="13.65" customHeight="1">
      <c r="A1229" s="12">
        <v>46030</v>
      </c>
      <c r="B1229" t="s" s="13">
        <v>22</v>
      </c>
      <c r="C1229" s="14">
        <v>1500</v>
      </c>
      <c r="D1229" s="14">
        <v>1503.9</v>
      </c>
      <c r="E1229" s="14">
        <v>1468.8</v>
      </c>
      <c r="F1229" s="14">
        <v>1504.2</v>
      </c>
      <c r="G1229" s="14">
        <v>1470.7</v>
      </c>
      <c r="H1229" s="14">
        <v>1470.6</v>
      </c>
      <c r="I1229" s="14">
        <v>1477.72</v>
      </c>
      <c r="J1229" s="14">
        <v>1611.8</v>
      </c>
      <c r="K1229" s="14">
        <v>1114.85</v>
      </c>
      <c r="L1229" s="15">
        <v>16518684</v>
      </c>
      <c r="M1229" t="s" s="13">
        <v>1221</v>
      </c>
      <c r="N1229" s="15">
        <v>443727</v>
      </c>
      <c r="O1229" s="17" cm="1">
        <f t="array" ref="O1229">(H1229-H1228)/H1228</f>
        <v>-0.0223374551256482</v>
      </c>
    </row>
    <row r="1230" ht="13.65" customHeight="1">
      <c r="A1230" s="12">
        <v>46031</v>
      </c>
      <c r="B1230" t="s" s="13">
        <v>22</v>
      </c>
      <c r="C1230" s="14">
        <v>1465</v>
      </c>
      <c r="D1230" s="14">
        <v>1479.9</v>
      </c>
      <c r="E1230" s="14">
        <v>1465</v>
      </c>
      <c r="F1230" s="14">
        <v>1470.6</v>
      </c>
      <c r="G1230" s="14">
        <v>1476</v>
      </c>
      <c r="H1230" s="14">
        <v>1475.3</v>
      </c>
      <c r="I1230" s="14">
        <v>1472.13</v>
      </c>
      <c r="J1230" s="14">
        <v>1611.8</v>
      </c>
      <c r="K1230" s="14">
        <v>1114.85</v>
      </c>
      <c r="L1230" s="15">
        <v>8335311</v>
      </c>
      <c r="M1230" t="s" s="13">
        <v>1222</v>
      </c>
      <c r="N1230" s="15">
        <v>237412</v>
      </c>
      <c r="O1230" s="17" cm="1">
        <f t="array" ref="O1230">(H1230-H1229)/H1229</f>
        <v>0.00319597443220454</v>
      </c>
    </row>
    <row r="1231" ht="13.65" customHeight="1">
      <c r="A1231" s="18">
        <v>46034</v>
      </c>
      <c r="B1231" t="s" s="13">
        <v>22</v>
      </c>
      <c r="C1231" s="14">
        <v>1475.3</v>
      </c>
      <c r="D1231" s="14">
        <v>1485.3</v>
      </c>
      <c r="E1231" s="14">
        <v>1451</v>
      </c>
      <c r="F1231" s="14">
        <v>1475.3</v>
      </c>
      <c r="G1231" s="14">
        <v>1484</v>
      </c>
      <c r="H1231" s="14">
        <v>1483.2</v>
      </c>
      <c r="I1231" s="14">
        <v>1469.79</v>
      </c>
      <c r="J1231" s="14">
        <v>1611.8</v>
      </c>
      <c r="K1231" s="14">
        <v>1114.85</v>
      </c>
      <c r="L1231" s="15">
        <v>8883745</v>
      </c>
      <c r="M1231" t="s" s="13">
        <v>1223</v>
      </c>
      <c r="N1231" s="15">
        <v>236827</v>
      </c>
      <c r="O1231" s="17" cm="1">
        <f t="array" ref="O1231">(H1231-H1230)/H1230</f>
        <v>0.00535484308276283</v>
      </c>
    </row>
    <row r="1232" ht="13.65" customHeight="1">
      <c r="A1232" s="18">
        <v>46035</v>
      </c>
      <c r="B1232" t="s" s="13">
        <v>22</v>
      </c>
      <c r="C1232" s="14">
        <v>1485</v>
      </c>
      <c r="D1232" s="14">
        <v>1485.8</v>
      </c>
      <c r="E1232" s="14">
        <v>1444.7</v>
      </c>
      <c r="F1232" s="14">
        <v>1483.2</v>
      </c>
      <c r="G1232" s="14">
        <v>1456.9</v>
      </c>
      <c r="H1232" s="14">
        <v>1452.8</v>
      </c>
      <c r="I1232" s="14">
        <v>1457.67</v>
      </c>
      <c r="J1232" s="14">
        <v>1611.8</v>
      </c>
      <c r="K1232" s="14">
        <v>1114.85</v>
      </c>
      <c r="L1232" s="15">
        <v>13499760</v>
      </c>
      <c r="M1232" t="s" s="13">
        <v>1224</v>
      </c>
      <c r="N1232" s="15">
        <v>289198</v>
      </c>
      <c r="O1232" s="17" cm="1">
        <f t="array" ref="O1232">(H1232-H1231)/H1231</f>
        <v>-0.0204962243797195</v>
      </c>
    </row>
    <row r="1233" ht="13.65" customHeight="1">
      <c r="A1233" s="18">
        <v>46036</v>
      </c>
      <c r="B1233" t="s" s="13">
        <v>22</v>
      </c>
      <c r="C1233" s="14">
        <v>1444</v>
      </c>
      <c r="D1233" s="14">
        <v>1467</v>
      </c>
      <c r="E1233" s="14">
        <v>1440.2</v>
      </c>
      <c r="F1233" s="14">
        <v>1452.8</v>
      </c>
      <c r="G1233" s="14">
        <v>1458.8</v>
      </c>
      <c r="H1233" s="14">
        <v>1458.8</v>
      </c>
      <c r="I1233" s="14">
        <v>1458.22</v>
      </c>
      <c r="J1233" s="14">
        <v>1611.8</v>
      </c>
      <c r="K1233" s="14">
        <v>1114.85</v>
      </c>
      <c r="L1233" s="15">
        <v>8321764</v>
      </c>
      <c r="M1233" t="s" s="13">
        <v>1225</v>
      </c>
      <c r="N1233" s="15">
        <v>167816</v>
      </c>
      <c r="O1233" s="17" cm="1">
        <f t="array" ref="O1233">(H1233-H1232)/H1232</f>
        <v>0.00412995594713656</v>
      </c>
    </row>
    <row r="1234" ht="13.65" customHeight="1">
      <c r="A1234" s="18">
        <v>46038</v>
      </c>
      <c r="B1234" t="s" s="13">
        <v>22</v>
      </c>
      <c r="C1234" s="14">
        <v>1458.8</v>
      </c>
      <c r="D1234" s="14">
        <v>1480</v>
      </c>
      <c r="E1234" s="14">
        <v>1455.1</v>
      </c>
      <c r="F1234" s="14">
        <v>1458.8</v>
      </c>
      <c r="G1234" s="14">
        <v>1461</v>
      </c>
      <c r="H1234" s="14">
        <v>1457.9</v>
      </c>
      <c r="I1234" s="14">
        <v>1464.15</v>
      </c>
      <c r="J1234" s="14">
        <v>1611.8</v>
      </c>
      <c r="K1234" s="14">
        <v>1114.85</v>
      </c>
      <c r="L1234" s="15">
        <v>17167161</v>
      </c>
      <c r="M1234" t="s" s="13">
        <v>1226</v>
      </c>
      <c r="N1234" s="15">
        <v>289037</v>
      </c>
      <c r="O1234" s="17" cm="1">
        <f t="array" ref="O1234">(H1234-H1233)/H1233</f>
        <v>-0.000616945434603784</v>
      </c>
    </row>
    <row r="1235" ht="13.65" customHeight="1">
      <c r="A1235" s="18">
        <v>46041</v>
      </c>
      <c r="B1235" t="s" s="13">
        <v>22</v>
      </c>
      <c r="C1235" s="14">
        <v>1450.6</v>
      </c>
      <c r="D1235" s="14">
        <v>1450.6</v>
      </c>
      <c r="E1235" s="14">
        <v>1403.3</v>
      </c>
      <c r="F1235" s="14">
        <v>1457.9</v>
      </c>
      <c r="G1235" s="14">
        <v>1413.2</v>
      </c>
      <c r="H1235" s="14">
        <v>1413.6</v>
      </c>
      <c r="I1235" s="14">
        <v>1415.36</v>
      </c>
      <c r="J1235" s="14">
        <v>1611.8</v>
      </c>
      <c r="K1235" s="14">
        <v>1114.85</v>
      </c>
      <c r="L1235" s="15">
        <v>20392765</v>
      </c>
      <c r="M1235" t="s" s="13">
        <v>1227</v>
      </c>
      <c r="N1235" s="15">
        <v>569720</v>
      </c>
      <c r="O1235" s="17" cm="1">
        <f t="array" ref="O1235">(H1235-H1234)/H1234</f>
        <v>-0.0303861718910762</v>
      </c>
    </row>
    <row r="1236" ht="13.65" customHeight="1">
      <c r="A1236" s="18">
        <v>46042</v>
      </c>
      <c r="B1236" t="s" s="13">
        <v>22</v>
      </c>
      <c r="C1236" s="14">
        <v>1410.7</v>
      </c>
      <c r="D1236" s="14">
        <v>1416</v>
      </c>
      <c r="E1236" s="14">
        <v>1390</v>
      </c>
      <c r="F1236" s="14">
        <v>1413.6</v>
      </c>
      <c r="G1236" s="14">
        <v>1392.4</v>
      </c>
      <c r="H1236" s="14">
        <v>1394</v>
      </c>
      <c r="I1236" s="14">
        <v>1401.05</v>
      </c>
      <c r="J1236" s="14">
        <v>1611.8</v>
      </c>
      <c r="K1236" s="14">
        <v>1114.85</v>
      </c>
      <c r="L1236" s="15">
        <v>13189498</v>
      </c>
      <c r="M1236" t="s" s="13">
        <v>1228</v>
      </c>
      <c r="N1236" s="15">
        <v>382470</v>
      </c>
      <c r="O1236" s="17" cm="1">
        <f t="array" ref="O1236">(H1236-H1235)/H1235</f>
        <v>-0.0138653084323713</v>
      </c>
    </row>
    <row r="1237" ht="13.65" customHeight="1">
      <c r="A1237" s="18">
        <v>46043</v>
      </c>
      <c r="B1237" t="s" s="13">
        <v>22</v>
      </c>
      <c r="C1237" s="14">
        <v>1389.5</v>
      </c>
      <c r="D1237" s="14">
        <v>1412.9</v>
      </c>
      <c r="E1237" s="14">
        <v>1373</v>
      </c>
      <c r="F1237" s="14">
        <v>1394</v>
      </c>
      <c r="G1237" s="14">
        <v>1407.5</v>
      </c>
      <c r="H1237" s="14">
        <v>1404.6</v>
      </c>
      <c r="I1237" s="14">
        <v>1399.14</v>
      </c>
      <c r="J1237" s="14">
        <v>1611.8</v>
      </c>
      <c r="K1237" s="14">
        <v>1114.85</v>
      </c>
      <c r="L1237" s="15">
        <v>17352720</v>
      </c>
      <c r="M1237" t="s" s="13">
        <v>1229</v>
      </c>
      <c r="N1237" s="15">
        <v>412452</v>
      </c>
      <c r="O1237" s="17" cm="1">
        <f t="array" ref="O1237">(H1237-H1236)/H1236</f>
        <v>0.00760401721664275</v>
      </c>
    </row>
    <row r="1238" ht="13.65" customHeight="1">
      <c r="A1238" s="18">
        <v>46044</v>
      </c>
      <c r="B1238" t="s" s="13">
        <v>22</v>
      </c>
      <c r="C1238" s="14">
        <v>1410.1</v>
      </c>
      <c r="D1238" s="14">
        <v>1419.5</v>
      </c>
      <c r="E1238" s="14">
        <v>1395</v>
      </c>
      <c r="F1238" s="14">
        <v>1404.6</v>
      </c>
      <c r="G1238" s="14">
        <v>1404.1</v>
      </c>
      <c r="H1238" s="14">
        <v>1402.5</v>
      </c>
      <c r="I1238" s="14">
        <v>1403.8</v>
      </c>
      <c r="J1238" s="14">
        <v>1611.8</v>
      </c>
      <c r="K1238" s="14">
        <v>1114.85</v>
      </c>
      <c r="L1238" s="15">
        <v>15721693</v>
      </c>
      <c r="M1238" t="s" s="13">
        <v>1230</v>
      </c>
      <c r="N1238" s="15">
        <v>391641</v>
      </c>
      <c r="O1238" s="17" cm="1">
        <f t="array" ref="O1238">(H1238-H1237)/H1237</f>
        <v>-0.00149508756941478</v>
      </c>
    </row>
    <row r="1239" ht="13.65" customHeight="1">
      <c r="A1239" s="18">
        <v>46045</v>
      </c>
      <c r="B1239" t="s" s="13">
        <v>22</v>
      </c>
      <c r="C1239" s="14">
        <v>1401.8</v>
      </c>
      <c r="D1239" s="14">
        <v>1407</v>
      </c>
      <c r="E1239" s="14">
        <v>1381</v>
      </c>
      <c r="F1239" s="14">
        <v>1402.5</v>
      </c>
      <c r="G1239" s="14">
        <v>1387</v>
      </c>
      <c r="H1239" s="14">
        <v>1386.1</v>
      </c>
      <c r="I1239" s="14">
        <v>1391.32</v>
      </c>
      <c r="J1239" s="14">
        <v>1611.8</v>
      </c>
      <c r="K1239" s="14">
        <v>1114.85</v>
      </c>
      <c r="L1239" s="15">
        <v>9837802</v>
      </c>
      <c r="M1239" t="s" s="13">
        <v>1231</v>
      </c>
      <c r="N1239" s="15">
        <v>263283</v>
      </c>
      <c r="O1239" s="17" cm="1">
        <f t="array" ref="O1239">(H1239-H1238)/H1238</f>
        <v>-0.0116934046345811</v>
      </c>
    </row>
    <row r="1240" ht="13.65" customHeight="1">
      <c r="A1240" s="18">
        <v>46049</v>
      </c>
      <c r="B1240" t="s" s="13">
        <v>22</v>
      </c>
      <c r="C1240" s="14">
        <v>1380</v>
      </c>
      <c r="D1240" s="14">
        <v>1391.6</v>
      </c>
      <c r="E1240" s="14">
        <v>1368</v>
      </c>
      <c r="F1240" s="14">
        <v>1386.1</v>
      </c>
      <c r="G1240" s="14">
        <v>1384</v>
      </c>
      <c r="H1240" s="14">
        <v>1380.5</v>
      </c>
      <c r="I1240" s="14">
        <v>1381.87</v>
      </c>
      <c r="J1240" s="14">
        <v>1611.8</v>
      </c>
      <c r="K1240" s="14">
        <v>1114.85</v>
      </c>
      <c r="L1240" s="15">
        <v>26302396</v>
      </c>
      <c r="M1240" t="s" s="13">
        <v>1232</v>
      </c>
      <c r="N1240" s="15">
        <v>337571</v>
      </c>
      <c r="O1240" s="17" cm="1">
        <f t="array" ref="O1240">(H1240-H1239)/H1239</f>
        <v>-0.00404011254599235</v>
      </c>
    </row>
    <row r="1241" ht="13.65" customHeight="1">
      <c r="A1241" s="18">
        <v>46050</v>
      </c>
      <c r="B1241" t="s" s="13">
        <v>22</v>
      </c>
      <c r="C1241" s="14">
        <v>1385</v>
      </c>
      <c r="D1241" s="14">
        <v>1409.9</v>
      </c>
      <c r="E1241" s="14">
        <v>1384.9</v>
      </c>
      <c r="F1241" s="14">
        <v>1380.5</v>
      </c>
      <c r="G1241" s="14">
        <v>1398.5</v>
      </c>
      <c r="H1241" s="14">
        <v>1396.7</v>
      </c>
      <c r="I1241" s="14">
        <v>1396.85</v>
      </c>
      <c r="J1241" s="14">
        <v>1611.8</v>
      </c>
      <c r="K1241" s="14">
        <v>1114.85</v>
      </c>
      <c r="L1241" s="15">
        <v>11121657</v>
      </c>
      <c r="M1241" t="s" s="13">
        <v>1233</v>
      </c>
      <c r="N1241" s="15">
        <v>209556</v>
      </c>
      <c r="O1241" s="17" cm="1">
        <f t="array" ref="O1241">(H1241-H1240)/H1240</f>
        <v>0.0117348786671496</v>
      </c>
    </row>
    <row r="1242" ht="13.65" customHeight="1">
      <c r="A1242" s="18">
        <v>46051</v>
      </c>
      <c r="B1242" t="s" s="13">
        <v>22</v>
      </c>
      <c r="C1242" s="14">
        <v>1402.9</v>
      </c>
      <c r="D1242" s="14">
        <v>1402.9</v>
      </c>
      <c r="E1242" s="14">
        <v>1384</v>
      </c>
      <c r="F1242" s="14">
        <v>1396.7</v>
      </c>
      <c r="G1242" s="14">
        <v>1386.9</v>
      </c>
      <c r="H1242" s="14">
        <v>1391</v>
      </c>
      <c r="I1242" s="14">
        <v>1393.55</v>
      </c>
      <c r="J1242" s="14">
        <v>1611.8</v>
      </c>
      <c r="K1242" s="14">
        <v>1114.85</v>
      </c>
      <c r="L1242" s="15">
        <v>20846683</v>
      </c>
      <c r="M1242" t="s" s="13">
        <v>1234</v>
      </c>
      <c r="N1242" s="15">
        <v>295986</v>
      </c>
      <c r="O1242" s="17" cm="1">
        <f t="array" ref="O1242">(H1242-H1241)/H1241</f>
        <v>-0.00408104818500752</v>
      </c>
    </row>
    <row r="1243" ht="13.65" customHeight="1">
      <c r="A1243" s="18">
        <v>46052</v>
      </c>
      <c r="B1243" t="s" s="13">
        <v>22</v>
      </c>
      <c r="C1243" s="14">
        <v>1382.6</v>
      </c>
      <c r="D1243" s="14">
        <v>1398</v>
      </c>
      <c r="E1243" s="14">
        <v>1378.5</v>
      </c>
      <c r="F1243" s="14">
        <v>1391</v>
      </c>
      <c r="G1243" s="14">
        <v>1397</v>
      </c>
      <c r="H1243" s="14">
        <v>1395.4</v>
      </c>
      <c r="I1243" s="14">
        <v>1391.25</v>
      </c>
      <c r="J1243" s="14">
        <v>1611.8</v>
      </c>
      <c r="K1243" s="14">
        <v>1114.85</v>
      </c>
      <c r="L1243" s="15">
        <v>11239835</v>
      </c>
      <c r="M1243" t="s" s="13">
        <v>1235</v>
      </c>
      <c r="N1243" s="15">
        <v>159638</v>
      </c>
      <c r="O1243" s="17" cm="1">
        <f t="array" ref="O1243">(H1243-H1242)/H1242</f>
        <v>0.00316319194823868</v>
      </c>
    </row>
    <row r="1244" ht="13.65" customHeight="1">
      <c r="A1244" s="12">
        <v>46054</v>
      </c>
      <c r="B1244" t="s" s="13">
        <v>22</v>
      </c>
      <c r="C1244" s="14">
        <v>1396</v>
      </c>
      <c r="D1244" s="14">
        <v>1411</v>
      </c>
      <c r="E1244" s="14">
        <v>1335</v>
      </c>
      <c r="F1244" s="14">
        <v>1395.4</v>
      </c>
      <c r="G1244" s="14">
        <v>1342.8</v>
      </c>
      <c r="H1244" s="14">
        <v>1347</v>
      </c>
      <c r="I1244" s="14">
        <v>1377.13</v>
      </c>
      <c r="J1244" s="14">
        <v>1611.8</v>
      </c>
      <c r="K1244" s="14">
        <v>1114.85</v>
      </c>
      <c r="L1244" s="15">
        <v>9714528</v>
      </c>
      <c r="M1244" t="s" s="13">
        <v>1236</v>
      </c>
      <c r="N1244" s="15">
        <v>236369</v>
      </c>
      <c r="O1244" s="17" cm="1">
        <f t="array" ref="O1244">(H1244-H1243)/H1243</f>
        <v>-0.0346853948688548</v>
      </c>
    </row>
    <row r="1245" ht="13.65" customHeight="1">
      <c r="A1245" s="12">
        <v>46055</v>
      </c>
      <c r="B1245" t="s" s="13">
        <v>22</v>
      </c>
      <c r="C1245" s="14">
        <v>1340</v>
      </c>
      <c r="D1245" s="14">
        <v>1392.9</v>
      </c>
      <c r="E1245" s="14">
        <v>1335.5</v>
      </c>
      <c r="F1245" s="14">
        <v>1347</v>
      </c>
      <c r="G1245" s="14">
        <v>1388</v>
      </c>
      <c r="H1245" s="14">
        <v>1390.4</v>
      </c>
      <c r="I1245" s="14">
        <v>1373.27</v>
      </c>
      <c r="J1245" s="14">
        <v>1611.8</v>
      </c>
      <c r="K1245" s="14">
        <v>1114.85</v>
      </c>
      <c r="L1245" s="15">
        <v>15711165</v>
      </c>
      <c r="M1245" t="s" s="13">
        <v>1237</v>
      </c>
      <c r="N1245" s="15">
        <v>379997</v>
      </c>
      <c r="O1245" s="17" cm="1">
        <f t="array" ref="O1245">(H1245-H1244)/H1244</f>
        <v>0.0322197475872309</v>
      </c>
    </row>
    <row r="1246" ht="13.65" customHeight="1">
      <c r="A1246" s="12">
        <v>46056</v>
      </c>
      <c r="B1246" t="s" s="13">
        <v>22</v>
      </c>
      <c r="C1246" s="14">
        <v>1473.9</v>
      </c>
      <c r="D1246" s="14">
        <v>1489.5</v>
      </c>
      <c r="E1246" s="14">
        <v>1430.2</v>
      </c>
      <c r="F1246" s="14">
        <v>1390.4</v>
      </c>
      <c r="G1246" s="14">
        <v>1438</v>
      </c>
      <c r="H1246" s="14">
        <v>1437.1</v>
      </c>
      <c r="I1246" s="14">
        <v>1445.7</v>
      </c>
      <c r="J1246" s="14">
        <v>1611.8</v>
      </c>
      <c r="K1246" s="14">
        <v>1114.85</v>
      </c>
      <c r="L1246" s="15">
        <v>25456171</v>
      </c>
      <c r="M1246" t="s" s="13">
        <v>1238</v>
      </c>
      <c r="N1246" s="15">
        <v>360494</v>
      </c>
      <c r="O1246" s="17" cm="1">
        <f t="array" ref="O1246">(H1246-H1245)/H1245</f>
        <v>0.0335874568469505</v>
      </c>
    </row>
    <row r="1247" ht="13.65" customHeight="1">
      <c r="A1247" s="12">
        <v>46057</v>
      </c>
      <c r="B1247" t="s" s="13">
        <v>22</v>
      </c>
      <c r="C1247" s="14">
        <v>1444</v>
      </c>
      <c r="D1247" s="14">
        <v>1464</v>
      </c>
      <c r="E1247" s="14">
        <v>1440.3</v>
      </c>
      <c r="F1247" s="14">
        <v>1437.1</v>
      </c>
      <c r="G1247" s="14">
        <v>1455.4</v>
      </c>
      <c r="H1247" s="14">
        <v>1456.8</v>
      </c>
      <c r="I1247" s="14">
        <v>1455.35</v>
      </c>
      <c r="J1247" s="14">
        <v>1611.8</v>
      </c>
      <c r="K1247" s="14">
        <v>1114.85</v>
      </c>
      <c r="L1247" s="15">
        <v>8333387</v>
      </c>
      <c r="M1247" t="s" s="13">
        <v>1239</v>
      </c>
      <c r="N1247" s="15">
        <v>189873</v>
      </c>
      <c r="O1247" s="17" cm="1">
        <f t="array" ref="O1247">(H1247-H1246)/H1246</f>
        <v>0.0137081622712407</v>
      </c>
    </row>
    <row r="1248" ht="13.65" customHeight="1">
      <c r="A1248" s="12">
        <v>46058</v>
      </c>
      <c r="B1248" t="s" s="13">
        <v>22</v>
      </c>
      <c r="C1248" s="14">
        <v>1457</v>
      </c>
      <c r="D1248" s="14">
        <v>1461.5</v>
      </c>
      <c r="E1248" s="14">
        <v>1439.5</v>
      </c>
      <c r="F1248" s="14">
        <v>1456.8</v>
      </c>
      <c r="G1248" s="14">
        <v>1441.9</v>
      </c>
      <c r="H1248" s="14">
        <v>1443.4</v>
      </c>
      <c r="I1248" s="14">
        <v>1444.91</v>
      </c>
      <c r="J1248" s="14">
        <v>1611.8</v>
      </c>
      <c r="K1248" s="14">
        <v>1114.85</v>
      </c>
      <c r="L1248" s="15">
        <v>11763658</v>
      </c>
      <c r="M1248" t="s" s="13">
        <v>1240</v>
      </c>
      <c r="N1248" s="15">
        <v>206465</v>
      </c>
      <c r="O1248" s="17" cm="1">
        <f t="array" ref="O1248">(H1248-H1247)/H1247</f>
        <v>-0.00919824272377814</v>
      </c>
    </row>
    <row r="1249" ht="13.65" customHeight="1">
      <c r="A1249" s="12">
        <v>46059</v>
      </c>
      <c r="B1249" t="s" s="13">
        <v>22</v>
      </c>
      <c r="C1249" s="14">
        <v>1441.5</v>
      </c>
      <c r="D1249" s="14">
        <v>1452.8</v>
      </c>
      <c r="E1249" s="14">
        <v>1433.5</v>
      </c>
      <c r="F1249" s="14">
        <v>1443.4</v>
      </c>
      <c r="G1249" s="14">
        <v>1451</v>
      </c>
      <c r="H1249" s="14">
        <v>1450.8</v>
      </c>
      <c r="I1249" s="14">
        <v>1442.78</v>
      </c>
      <c r="J1249" s="14">
        <v>1611.8</v>
      </c>
      <c r="K1249" s="14">
        <v>1114.85</v>
      </c>
      <c r="L1249" s="15">
        <v>8277304</v>
      </c>
      <c r="M1249" t="s" s="13">
        <v>1241</v>
      </c>
      <c r="N1249" s="15">
        <v>133331</v>
      </c>
      <c r="O1249" s="17" cm="1">
        <f t="array" ref="O1249">(H1249-H1248)/H1248</f>
        <v>0.0051267839822641</v>
      </c>
    </row>
    <row r="1250" ht="13.65" customHeight="1">
      <c r="A1250" s="12">
        <v>46062</v>
      </c>
      <c r="B1250" t="s" s="13">
        <v>22</v>
      </c>
      <c r="C1250" s="14">
        <v>1458</v>
      </c>
      <c r="D1250" s="14">
        <v>1465.9</v>
      </c>
      <c r="E1250" s="14">
        <v>1453</v>
      </c>
      <c r="F1250" s="14">
        <v>1450.8</v>
      </c>
      <c r="G1250" s="14">
        <v>1461.2</v>
      </c>
      <c r="H1250" s="14">
        <v>1461.6</v>
      </c>
      <c r="I1250" s="14">
        <v>1462.26</v>
      </c>
      <c r="J1250" s="14">
        <v>1611.8</v>
      </c>
      <c r="K1250" s="14">
        <v>1114.85</v>
      </c>
      <c r="L1250" s="15">
        <v>5775864</v>
      </c>
      <c r="M1250" t="s" s="13">
        <v>1242</v>
      </c>
      <c r="N1250" s="15">
        <v>127171</v>
      </c>
      <c r="O1250" s="17" cm="1">
        <f t="array" ref="O1250">(H1250-H1249)/H1249</f>
        <v>0.00744416873449132</v>
      </c>
    </row>
    <row r="1251" ht="13.65" customHeight="1">
      <c r="A1251" s="18">
        <v>46063</v>
      </c>
      <c r="B1251" t="s" s="13">
        <v>22</v>
      </c>
      <c r="C1251" s="14">
        <v>1471</v>
      </c>
      <c r="D1251" s="14">
        <v>1471</v>
      </c>
      <c r="E1251" s="14">
        <v>1452.2</v>
      </c>
      <c r="F1251" s="14">
        <v>1461.6</v>
      </c>
      <c r="G1251" s="14">
        <v>1456.2</v>
      </c>
      <c r="H1251" s="14">
        <v>1458.5</v>
      </c>
      <c r="I1251" s="14">
        <v>1459.23</v>
      </c>
      <c r="J1251" s="14">
        <v>1611.8</v>
      </c>
      <c r="K1251" s="14">
        <v>1114.85</v>
      </c>
      <c r="L1251" s="15">
        <v>10259630</v>
      </c>
      <c r="M1251" t="s" s="13">
        <v>1243</v>
      </c>
      <c r="N1251" s="15">
        <v>181163</v>
      </c>
      <c r="O1251" s="17" cm="1">
        <f t="array" ref="O1251">(H1251-H1250)/H1250</f>
        <v>-0.00212096332785988</v>
      </c>
    </row>
    <row r="1252" ht="13.65" customHeight="1">
      <c r="A1252" s="18">
        <v>46064</v>
      </c>
      <c r="B1252" t="s" s="13">
        <v>22</v>
      </c>
      <c r="C1252" s="14">
        <v>1459.6</v>
      </c>
      <c r="D1252" s="14">
        <v>1470</v>
      </c>
      <c r="E1252" s="14">
        <v>1453.6</v>
      </c>
      <c r="F1252" s="14">
        <v>1458.5</v>
      </c>
      <c r="G1252" s="14">
        <v>1469</v>
      </c>
      <c r="H1252" s="14">
        <v>1468.7</v>
      </c>
      <c r="I1252" s="14">
        <v>1465.14</v>
      </c>
      <c r="J1252" s="14">
        <v>1611.8</v>
      </c>
      <c r="K1252" s="14">
        <v>1114.85</v>
      </c>
      <c r="L1252" s="15">
        <v>7106877</v>
      </c>
      <c r="M1252" t="s" s="13">
        <v>1244</v>
      </c>
      <c r="N1252" s="15">
        <v>200342</v>
      </c>
      <c r="O1252" s="17" cm="1">
        <f t="array" ref="O1252">(H1252-H1251)/H1251</f>
        <v>0.00699348645869044</v>
      </c>
    </row>
    <row r="1253" ht="13.65" customHeight="1">
      <c r="A1253" s="18">
        <v>46065</v>
      </c>
      <c r="B1253" t="s" s="13">
        <v>22</v>
      </c>
      <c r="C1253" s="14">
        <v>1470</v>
      </c>
      <c r="D1253" s="14">
        <v>1473</v>
      </c>
      <c r="E1253" s="14">
        <v>1445.5</v>
      </c>
      <c r="F1253" s="14">
        <v>1468.7</v>
      </c>
      <c r="G1253" s="14">
        <v>1449.9</v>
      </c>
      <c r="H1253" s="14">
        <v>1448.9</v>
      </c>
      <c r="I1253" s="14">
        <v>1453.64</v>
      </c>
      <c r="J1253" s="14">
        <v>1611.8</v>
      </c>
      <c r="K1253" s="14">
        <v>1114.85</v>
      </c>
      <c r="L1253" s="15">
        <v>11135399</v>
      </c>
      <c r="M1253" t="s" s="13">
        <v>1245</v>
      </c>
      <c r="N1253" s="15">
        <v>195451</v>
      </c>
      <c r="O1253" s="17" cm="1">
        <f t="array" ref="O1253">(H1253-H1252)/H1252</f>
        <v>-0.0134813100020426</v>
      </c>
    </row>
    <row r="1254" ht="13.65" customHeight="1">
      <c r="A1254" s="18">
        <v>46066</v>
      </c>
      <c r="B1254" t="s" s="13">
        <v>22</v>
      </c>
      <c r="C1254" s="14">
        <v>1445.5</v>
      </c>
      <c r="D1254" s="14">
        <v>1450.7</v>
      </c>
      <c r="E1254" s="14">
        <v>1416.3</v>
      </c>
      <c r="F1254" s="14">
        <v>1448.9</v>
      </c>
      <c r="G1254" s="14">
        <v>1418.6</v>
      </c>
      <c r="H1254" s="14">
        <v>1419.6</v>
      </c>
      <c r="I1254" s="14">
        <v>1423.73</v>
      </c>
      <c r="J1254" s="14">
        <v>1611.8</v>
      </c>
      <c r="K1254" s="14">
        <v>1114.85</v>
      </c>
      <c r="L1254" s="15">
        <v>10755693</v>
      </c>
      <c r="M1254" t="s" s="13">
        <v>1246</v>
      </c>
      <c r="N1254" s="15">
        <v>182348</v>
      </c>
      <c r="O1254" s="17" cm="1">
        <f t="array" ref="O1254">(H1254-H1253)/H1253</f>
        <v>-0.0202222375595279</v>
      </c>
    </row>
    <row r="1255" ht="13.65" customHeight="1">
      <c r="A1255" s="18">
        <v>46069</v>
      </c>
      <c r="B1255" t="s" s="13">
        <v>22</v>
      </c>
      <c r="C1255" s="14">
        <v>1420.1</v>
      </c>
      <c r="D1255" s="14">
        <v>1439.6</v>
      </c>
      <c r="E1255" s="14">
        <v>1409.3</v>
      </c>
      <c r="F1255" s="14">
        <v>1419.6</v>
      </c>
      <c r="G1255" s="14">
        <v>1434.1</v>
      </c>
      <c r="H1255" s="14">
        <v>1437.1</v>
      </c>
      <c r="I1255" s="14">
        <v>1426.07</v>
      </c>
      <c r="J1255" s="14">
        <v>1611.8</v>
      </c>
      <c r="K1255" s="14">
        <v>1114.85</v>
      </c>
      <c r="L1255" s="15">
        <v>5896514</v>
      </c>
      <c r="M1255" t="s" s="13">
        <v>1247</v>
      </c>
      <c r="N1255" s="15">
        <v>160094</v>
      </c>
      <c r="O1255" s="17" cm="1">
        <f t="array" ref="O1255">(H1255-H1254)/H1254</f>
        <v>0.01232741617357</v>
      </c>
    </row>
    <row r="1256" ht="13.65" customHeight="1">
      <c r="A1256" s="18">
        <v>46070</v>
      </c>
      <c r="B1256" t="s" s="13">
        <v>22</v>
      </c>
      <c r="C1256" s="14">
        <v>1431.1</v>
      </c>
      <c r="D1256" s="14">
        <v>1431.8</v>
      </c>
      <c r="E1256" s="14">
        <v>1418.6</v>
      </c>
      <c r="F1256" s="14">
        <v>1437.1</v>
      </c>
      <c r="G1256" s="14">
        <v>1424.2</v>
      </c>
      <c r="H1256" s="14">
        <v>1423</v>
      </c>
      <c r="I1256" s="14">
        <v>1423.1</v>
      </c>
      <c r="J1256" s="14">
        <v>1611.8</v>
      </c>
      <c r="K1256" s="14">
        <v>1114.85</v>
      </c>
      <c r="L1256" s="15">
        <v>10731630</v>
      </c>
      <c r="M1256" t="s" s="13">
        <v>1248</v>
      </c>
      <c r="N1256" s="15">
        <v>189670</v>
      </c>
      <c r="O1256" s="17" cm="1">
        <f t="array" ref="O1256">(H1256-H1255)/H1255</f>
        <v>-0.009811425788045371</v>
      </c>
    </row>
    <row r="1257" ht="13.65" customHeight="1">
      <c r="A1257" s="18">
        <v>46071</v>
      </c>
      <c r="B1257" t="s" s="13">
        <v>22</v>
      </c>
      <c r="C1257" s="14">
        <v>1427</v>
      </c>
      <c r="D1257" s="14">
        <v>1442.1</v>
      </c>
      <c r="E1257" s="14">
        <v>1419.2</v>
      </c>
      <c r="F1257" s="14">
        <v>1423</v>
      </c>
      <c r="G1257" s="14">
        <v>1441</v>
      </c>
      <c r="H1257" s="14">
        <v>1441.3</v>
      </c>
      <c r="I1257" s="14">
        <v>1432.14</v>
      </c>
      <c r="J1257" s="14">
        <v>1611.8</v>
      </c>
      <c r="K1257" s="14">
        <v>1114.85</v>
      </c>
      <c r="L1257" s="15">
        <v>5521096</v>
      </c>
      <c r="M1257" t="s" s="13">
        <v>1249</v>
      </c>
      <c r="N1257" s="15">
        <v>121784</v>
      </c>
      <c r="O1257" s="17" cm="1">
        <f t="array" ref="O1257">(H1257-H1256)/H1256</f>
        <v>0.0128601546029515</v>
      </c>
    </row>
    <row r="1258" ht="13.65" customHeight="1">
      <c r="A1258" s="18">
        <v>46072</v>
      </c>
      <c r="B1258" t="s" s="13">
        <v>22</v>
      </c>
      <c r="C1258" s="14">
        <v>1443</v>
      </c>
      <c r="D1258" s="14">
        <v>1443</v>
      </c>
      <c r="E1258" s="14">
        <v>1400</v>
      </c>
      <c r="F1258" s="14">
        <v>1441.3</v>
      </c>
      <c r="G1258" s="14">
        <v>1407.2</v>
      </c>
      <c r="H1258" s="14">
        <v>1409.5</v>
      </c>
      <c r="I1258" s="14">
        <v>1415.94</v>
      </c>
      <c r="J1258" s="14">
        <v>1611.8</v>
      </c>
      <c r="K1258" s="14">
        <v>1114.85</v>
      </c>
      <c r="L1258" s="15">
        <v>11884664</v>
      </c>
      <c r="M1258" t="s" s="13">
        <v>1250</v>
      </c>
      <c r="N1258" s="15">
        <v>221944</v>
      </c>
      <c r="O1258" s="17" cm="1">
        <f t="array" ref="O1258">(H1258-H1257)/H1257</f>
        <v>-0.0220634149725942</v>
      </c>
    </row>
    <row r="1259" ht="13.65" customHeight="1">
      <c r="A1259" s="18">
        <v>46073</v>
      </c>
      <c r="B1259" t="s" s="13">
        <v>22</v>
      </c>
      <c r="C1259" s="14">
        <v>1409.5</v>
      </c>
      <c r="D1259" s="14">
        <v>1427.4</v>
      </c>
      <c r="E1259" s="14">
        <v>1406.1</v>
      </c>
      <c r="F1259" s="14">
        <v>1409.5</v>
      </c>
      <c r="G1259" s="14">
        <v>1419.1</v>
      </c>
      <c r="H1259" s="14">
        <v>1419.4</v>
      </c>
      <c r="I1259" s="14">
        <v>1420</v>
      </c>
      <c r="J1259" s="14">
        <v>1611.8</v>
      </c>
      <c r="K1259" s="14">
        <v>1114.85</v>
      </c>
      <c r="L1259" s="15">
        <v>8177670</v>
      </c>
      <c r="M1259" t="s" s="13">
        <v>1251</v>
      </c>
      <c r="N1259" s="15">
        <v>161489</v>
      </c>
      <c r="O1259" s="17" cm="1">
        <f t="array" ref="O1259">(H1259-H1258)/H1258</f>
        <v>0.00702376729336644</v>
      </c>
    </row>
    <row r="1260" ht="13.65" customHeight="1">
      <c r="A1260" s="18">
        <v>46076</v>
      </c>
      <c r="B1260" t="s" s="13">
        <v>22</v>
      </c>
      <c r="C1260" s="14">
        <v>1425</v>
      </c>
      <c r="D1260" s="14">
        <v>1434.9</v>
      </c>
      <c r="E1260" s="14">
        <v>1418.3</v>
      </c>
      <c r="F1260" s="14">
        <v>1419.4</v>
      </c>
      <c r="G1260" s="14">
        <v>1425</v>
      </c>
      <c r="H1260" s="14">
        <v>1428</v>
      </c>
      <c r="I1260" s="14">
        <v>1425.5</v>
      </c>
      <c r="J1260" s="14">
        <v>1611.8</v>
      </c>
      <c r="K1260" s="14">
        <v>1114.85</v>
      </c>
      <c r="L1260" s="15">
        <v>7758856</v>
      </c>
      <c r="M1260" t="s" s="13">
        <v>1252</v>
      </c>
      <c r="N1260" s="15">
        <v>140217</v>
      </c>
      <c r="O1260" s="17" cm="1">
        <f t="array" ref="O1260">(H1260-H1259)/H1259</f>
        <v>0.00605889812596872</v>
      </c>
    </row>
    <row r="1261" ht="13.65" customHeight="1">
      <c r="A1261" s="18">
        <v>46077</v>
      </c>
      <c r="B1261" t="s" s="13">
        <v>22</v>
      </c>
      <c r="C1261" s="14">
        <v>1425.3</v>
      </c>
      <c r="D1261" s="14">
        <v>1433.3</v>
      </c>
      <c r="E1261" s="14">
        <v>1415</v>
      </c>
      <c r="F1261" s="14">
        <v>1428</v>
      </c>
      <c r="G1261" s="14">
        <v>1431.1</v>
      </c>
      <c r="H1261" s="14">
        <v>1428.8</v>
      </c>
      <c r="I1261" s="14">
        <v>1424.96</v>
      </c>
      <c r="J1261" s="14">
        <v>1611.8</v>
      </c>
      <c r="K1261" s="14">
        <v>1114.85</v>
      </c>
      <c r="L1261" s="15">
        <v>12529409</v>
      </c>
      <c r="M1261" t="s" s="13">
        <v>1253</v>
      </c>
      <c r="N1261" s="15">
        <v>196324</v>
      </c>
      <c r="O1261" s="17" cm="1">
        <f t="array" ref="O1261">(H1261-H1260)/H1260</f>
        <v>0.000560224089635854</v>
      </c>
    </row>
    <row r="1262" ht="13.65" customHeight="1">
      <c r="A1262" s="18">
        <v>46078</v>
      </c>
      <c r="B1262" t="s" s="13">
        <v>22</v>
      </c>
      <c r="C1262" s="14">
        <v>1435</v>
      </c>
      <c r="D1262" s="14">
        <v>1440.5</v>
      </c>
      <c r="E1262" s="14">
        <v>1393.5</v>
      </c>
      <c r="F1262" s="14">
        <v>1428.8</v>
      </c>
      <c r="G1262" s="14">
        <v>1400.8</v>
      </c>
      <c r="H1262" s="14">
        <v>1398.5</v>
      </c>
      <c r="I1262" s="14">
        <v>1414.07</v>
      </c>
      <c r="J1262" s="14">
        <v>1611.8</v>
      </c>
      <c r="K1262" s="14">
        <v>1114.85</v>
      </c>
      <c r="L1262" s="15">
        <v>10728792</v>
      </c>
      <c r="M1262" t="s" s="13">
        <v>1254</v>
      </c>
      <c r="N1262" s="15">
        <v>204165</v>
      </c>
      <c r="O1262" s="17" cm="1">
        <f t="array" ref="O1262">(H1262-H1261)/H1261</f>
        <v>-0.0212066069428891</v>
      </c>
    </row>
    <row r="1263" ht="13.65" customHeight="1">
      <c r="A1263" s="18">
        <v>46079</v>
      </c>
      <c r="B1263" t="s" s="13">
        <v>22</v>
      </c>
      <c r="C1263" s="14">
        <v>1398.5</v>
      </c>
      <c r="D1263" s="14">
        <v>1412.9</v>
      </c>
      <c r="E1263" s="14">
        <v>1391.9</v>
      </c>
      <c r="F1263" s="14">
        <v>1398.5</v>
      </c>
      <c r="G1263" s="14">
        <v>1409</v>
      </c>
      <c r="H1263" s="14">
        <v>1406.8</v>
      </c>
      <c r="I1263" s="14">
        <v>1404.01</v>
      </c>
      <c r="J1263" s="14">
        <v>1611.8</v>
      </c>
      <c r="K1263" s="14">
        <v>1114.85</v>
      </c>
      <c r="L1263" s="15">
        <v>16683858</v>
      </c>
      <c r="M1263" t="s" s="13">
        <v>1255</v>
      </c>
      <c r="N1263" s="15">
        <v>242404</v>
      </c>
      <c r="O1263" s="17" cm="1">
        <f t="array" ref="O1263">(H1263-H1262)/H1262</f>
        <v>0.00593493028244548</v>
      </c>
    </row>
    <row r="1264" ht="13.65" customHeight="1">
      <c r="A1264" s="18">
        <v>46080</v>
      </c>
      <c r="B1264" t="s" s="13">
        <v>22</v>
      </c>
      <c r="C1264" s="14">
        <v>1398</v>
      </c>
      <c r="D1264" s="14">
        <v>1410.4</v>
      </c>
      <c r="E1264" s="14">
        <v>1388.1</v>
      </c>
      <c r="F1264" s="14">
        <v>1406.8</v>
      </c>
      <c r="G1264" s="14">
        <v>1394.9</v>
      </c>
      <c r="H1264" s="14">
        <v>1393.9</v>
      </c>
      <c r="I1264" s="14">
        <v>1397.46</v>
      </c>
      <c r="J1264" s="14">
        <v>1611.8</v>
      </c>
      <c r="K1264" s="14">
        <v>1114.85</v>
      </c>
      <c r="L1264" s="15">
        <v>12031440</v>
      </c>
      <c r="M1264" t="s" s="13">
        <v>1256</v>
      </c>
      <c r="N1264" s="15">
        <v>195405</v>
      </c>
      <c r="O1264" s="17" cm="1">
        <f t="array" ref="O1264">(H1264-H1263)/H1263</f>
        <v>-0.009169746943417691</v>
      </c>
    </row>
    <row r="1265" ht="13.65" customHeight="1">
      <c r="A1265" s="12">
        <v>46083</v>
      </c>
      <c r="B1265" t="s" s="13">
        <v>22</v>
      </c>
      <c r="C1265" s="14">
        <v>1375.5</v>
      </c>
      <c r="D1265" s="14">
        <v>1378.6</v>
      </c>
      <c r="E1265" s="14">
        <v>1341.5</v>
      </c>
      <c r="F1265" s="14">
        <v>1393.9</v>
      </c>
      <c r="G1265" s="14">
        <v>1360</v>
      </c>
      <c r="H1265" s="14">
        <v>1358</v>
      </c>
      <c r="I1265" s="14">
        <v>1358.19</v>
      </c>
      <c r="J1265" s="14">
        <v>1611.8</v>
      </c>
      <c r="K1265" s="14">
        <v>1114.85</v>
      </c>
      <c r="L1265" s="15">
        <v>23728722</v>
      </c>
      <c r="M1265" t="s" s="13">
        <v>1257</v>
      </c>
      <c r="N1265" s="15">
        <v>384813</v>
      </c>
      <c r="O1265" s="17" cm="1">
        <f t="array" ref="O1265">(H1265-H1264)/H1264</f>
        <v>-0.0257550756869216</v>
      </c>
    </row>
    <row r="1266" ht="13.65" customHeight="1">
      <c r="A1266" s="12">
        <v>46085</v>
      </c>
      <c r="B1266" t="s" s="13">
        <v>22</v>
      </c>
      <c r="C1266" s="14">
        <v>1330</v>
      </c>
      <c r="D1266" s="14">
        <v>1352.8</v>
      </c>
      <c r="E1266" s="14">
        <v>1307</v>
      </c>
      <c r="F1266" s="14">
        <v>1358</v>
      </c>
      <c r="G1266" s="14">
        <v>1345.2</v>
      </c>
      <c r="H1266" s="14">
        <v>1345</v>
      </c>
      <c r="I1266" s="14">
        <v>1334.6</v>
      </c>
      <c r="J1266" s="14">
        <v>1611.8</v>
      </c>
      <c r="K1266" s="14">
        <v>1114.85</v>
      </c>
      <c r="L1266" s="15">
        <v>32495007</v>
      </c>
      <c r="M1266" t="s" s="13">
        <v>1258</v>
      </c>
      <c r="N1266" s="15">
        <v>643399</v>
      </c>
      <c r="O1266" s="17" cm="1">
        <f t="array" ref="O1266">(H1266-H1265)/H1265</f>
        <v>-0.009572901325478649</v>
      </c>
    </row>
    <row r="1267" ht="13.65" customHeight="1">
      <c r="A1267" s="12">
        <v>46086</v>
      </c>
      <c r="B1267" t="s" s="13">
        <v>22</v>
      </c>
      <c r="C1267" s="14">
        <v>1353.1</v>
      </c>
      <c r="D1267" s="14">
        <v>1399</v>
      </c>
      <c r="E1267" s="14">
        <v>1353.1</v>
      </c>
      <c r="F1267" s="14">
        <v>1345</v>
      </c>
      <c r="G1267" s="14">
        <v>1386.4</v>
      </c>
      <c r="H1267" s="14">
        <v>1389.4</v>
      </c>
      <c r="I1267" s="14">
        <v>1383.03</v>
      </c>
      <c r="J1267" s="14">
        <v>1611.8</v>
      </c>
      <c r="K1267" s="14">
        <v>1114.85</v>
      </c>
      <c r="L1267" s="15">
        <v>25957532</v>
      </c>
      <c r="M1267" t="s" s="13">
        <v>1259</v>
      </c>
      <c r="N1267" s="15">
        <v>339169</v>
      </c>
      <c r="O1267" s="17" cm="1">
        <f t="array" ref="O1267">(H1267-H1266)/H1266</f>
        <v>0.0330111524163569</v>
      </c>
    </row>
    <row r="1268" ht="13.65" customHeight="1">
      <c r="A1268" s="12">
        <v>46087</v>
      </c>
      <c r="B1268" t="s" s="13">
        <v>22</v>
      </c>
      <c r="C1268" s="14">
        <v>1396.5</v>
      </c>
      <c r="D1268" s="14">
        <v>1424.3</v>
      </c>
      <c r="E1268" s="14">
        <v>1390.3</v>
      </c>
      <c r="F1268" s="14">
        <v>1389.4</v>
      </c>
      <c r="G1268" s="14">
        <v>1407</v>
      </c>
      <c r="H1268" s="14">
        <v>1404.8</v>
      </c>
      <c r="I1268" s="14">
        <v>1412.87</v>
      </c>
      <c r="J1268" s="14">
        <v>1611.8</v>
      </c>
      <c r="K1268" s="14">
        <v>1114.85</v>
      </c>
      <c r="L1268" s="15">
        <v>19311971</v>
      </c>
      <c r="M1268" t="s" s="13">
        <v>1260</v>
      </c>
      <c r="N1268" s="15">
        <v>291792</v>
      </c>
      <c r="O1268" s="17" cm="1">
        <f t="array" ref="O1268">(H1268-H1267)/H1267</f>
        <v>0.0110839211170289</v>
      </c>
    </row>
    <row r="1269" ht="13.65" customHeight="1">
      <c r="A1269" s="12">
        <v>46090</v>
      </c>
      <c r="B1269" t="s" s="13">
        <v>22</v>
      </c>
      <c r="C1269" s="14">
        <v>1375</v>
      </c>
      <c r="D1269" s="14">
        <v>1429.4</v>
      </c>
      <c r="E1269" s="14">
        <v>1370</v>
      </c>
      <c r="F1269" s="14">
        <v>1404.8</v>
      </c>
      <c r="G1269" s="14">
        <v>1418.6</v>
      </c>
      <c r="H1269" s="14">
        <v>1424</v>
      </c>
      <c r="I1269" s="14">
        <v>1404.08</v>
      </c>
      <c r="J1269" s="14">
        <v>1611.8</v>
      </c>
      <c r="K1269" s="14">
        <v>1114.85</v>
      </c>
      <c r="L1269" s="15">
        <v>24870822</v>
      </c>
      <c r="M1269" t="s" s="13">
        <v>1261</v>
      </c>
      <c r="N1269" s="15">
        <v>363998</v>
      </c>
      <c r="O1269" s="17" cm="1">
        <f t="array" ref="O1269">(H1269-H1268)/H1268</f>
        <v>0.0136674259681093</v>
      </c>
    </row>
    <row r="1270" ht="13.65" customHeight="1">
      <c r="A1270" s="18">
        <v>46091</v>
      </c>
      <c r="B1270" t="s" s="13">
        <v>22</v>
      </c>
      <c r="C1270" s="14">
        <v>1430.6</v>
      </c>
      <c r="D1270" s="14">
        <v>1431.5</v>
      </c>
      <c r="E1270" s="14">
        <v>1400.6</v>
      </c>
      <c r="F1270" s="14">
        <v>1424</v>
      </c>
      <c r="G1270" s="14">
        <v>1410.9</v>
      </c>
      <c r="H1270" s="14">
        <v>1408.8</v>
      </c>
      <c r="I1270" s="14">
        <v>1410.92</v>
      </c>
      <c r="J1270" s="14">
        <v>1611.8</v>
      </c>
      <c r="K1270" s="14">
        <v>1114.85</v>
      </c>
      <c r="L1270" s="15">
        <v>18071259</v>
      </c>
      <c r="M1270" t="s" s="13">
        <v>1262</v>
      </c>
      <c r="N1270" s="15">
        <v>266712</v>
      </c>
      <c r="O1270" s="17" cm="1">
        <f t="array" ref="O1270">(H1270-H1269)/H1269</f>
        <v>-0.0106741573033708</v>
      </c>
    </row>
    <row r="1271" ht="13.65" customHeight="1">
      <c r="A1271" s="18">
        <v>46092</v>
      </c>
      <c r="B1271" t="s" s="13">
        <v>22</v>
      </c>
      <c r="C1271" s="14">
        <v>1424.9</v>
      </c>
      <c r="D1271" s="14">
        <v>1434</v>
      </c>
      <c r="E1271" s="14">
        <v>1383.6</v>
      </c>
      <c r="F1271" s="14">
        <v>1408.8</v>
      </c>
      <c r="G1271" s="14">
        <v>1386.8</v>
      </c>
      <c r="H1271" s="14">
        <v>1390.2</v>
      </c>
      <c r="I1271" s="14">
        <v>1402.95</v>
      </c>
      <c r="J1271" s="14">
        <v>1611.8</v>
      </c>
      <c r="K1271" s="14">
        <v>1114.85</v>
      </c>
      <c r="L1271" s="15">
        <v>21848087</v>
      </c>
      <c r="M1271" t="s" s="13">
        <v>1263</v>
      </c>
      <c r="N1271" s="15">
        <v>358595</v>
      </c>
      <c r="O1271" s="17" cm="1">
        <f t="array" ref="O1271">(H1271-H1270)/H1270</f>
        <v>-0.0132027257240204</v>
      </c>
    </row>
    <row r="1272" ht="13.65" customHeight="1">
      <c r="A1272" s="18">
        <v>46093</v>
      </c>
      <c r="B1272" t="s" s="13">
        <v>22</v>
      </c>
      <c r="C1272" s="14">
        <v>1390</v>
      </c>
      <c r="D1272" s="14">
        <v>1410.9</v>
      </c>
      <c r="E1272" s="14">
        <v>1381.1</v>
      </c>
      <c r="F1272" s="14">
        <v>1390.2</v>
      </c>
      <c r="G1272" s="14">
        <v>1390</v>
      </c>
      <c r="H1272" s="14">
        <v>1392.2</v>
      </c>
      <c r="I1272" s="14">
        <v>1397.56</v>
      </c>
      <c r="J1272" s="14">
        <v>1611.8</v>
      </c>
      <c r="K1272" s="14">
        <v>1114.85</v>
      </c>
      <c r="L1272" s="15">
        <v>20939959</v>
      </c>
      <c r="M1272" t="s" s="13">
        <v>1264</v>
      </c>
      <c r="N1272" s="15">
        <v>370385</v>
      </c>
      <c r="O1272" s="17" cm="1">
        <f t="array" ref="O1272">(H1272-H1271)/H1271</f>
        <v>0.00143864192202561</v>
      </c>
    </row>
    <row r="1273" ht="13.65" customHeight="1">
      <c r="A1273" s="18">
        <v>46094</v>
      </c>
      <c r="B1273" t="s" s="13">
        <v>22</v>
      </c>
      <c r="C1273" s="14">
        <v>1385.2</v>
      </c>
      <c r="D1273" s="14">
        <v>1400.8</v>
      </c>
      <c r="E1273" s="14">
        <v>1378.4</v>
      </c>
      <c r="F1273" s="14">
        <v>1392.2</v>
      </c>
      <c r="G1273" s="14">
        <v>1382.1</v>
      </c>
      <c r="H1273" s="14">
        <v>1380.7</v>
      </c>
      <c r="I1273" s="14">
        <v>1388.25</v>
      </c>
      <c r="J1273" s="14">
        <v>1611.8</v>
      </c>
      <c r="K1273" s="14">
        <v>1114.85</v>
      </c>
      <c r="L1273" s="15">
        <v>17265090</v>
      </c>
      <c r="M1273" t="s" s="13">
        <v>1265</v>
      </c>
      <c r="N1273" s="15">
        <v>315335</v>
      </c>
      <c r="O1273" s="17" cm="1">
        <f t="array" ref="O1273">(H1273-H1272)/H1272</f>
        <v>-0.00826030742709381</v>
      </c>
    </row>
    <row r="1274" ht="13.65" customHeight="1">
      <c r="A1274" s="18">
        <v>46097</v>
      </c>
      <c r="B1274" t="s" s="13">
        <v>22</v>
      </c>
      <c r="C1274" s="14">
        <v>1380</v>
      </c>
      <c r="D1274" s="14">
        <v>1397.3</v>
      </c>
      <c r="E1274" s="14">
        <v>1363.5</v>
      </c>
      <c r="F1274" s="14">
        <v>1380.7</v>
      </c>
      <c r="G1274" s="14">
        <v>1394</v>
      </c>
      <c r="H1274" s="14">
        <v>1395.1</v>
      </c>
      <c r="I1274" s="14">
        <v>1384.52</v>
      </c>
      <c r="J1274" s="14">
        <v>1611.8</v>
      </c>
      <c r="K1274" s="14">
        <v>1114.85</v>
      </c>
      <c r="L1274" s="15">
        <v>22837802</v>
      </c>
      <c r="M1274" t="s" s="13">
        <v>1266</v>
      </c>
      <c r="N1274" s="15">
        <v>293132</v>
      </c>
      <c r="O1274" s="17" cm="1">
        <f t="array" ref="O1274">(H1274-H1273)/H1273</f>
        <v>0.0104294922865213</v>
      </c>
    </row>
    <row r="1275" ht="13.65" customHeight="1">
      <c r="A1275" s="18">
        <v>46098</v>
      </c>
      <c r="B1275" t="s" s="13">
        <v>22</v>
      </c>
      <c r="C1275" s="14">
        <v>1399</v>
      </c>
      <c r="D1275" s="14">
        <v>1405.9</v>
      </c>
      <c r="E1275" s="14">
        <v>1388.2</v>
      </c>
      <c r="F1275" s="14">
        <v>1395.1</v>
      </c>
      <c r="G1275" s="14">
        <v>1394.8</v>
      </c>
      <c r="H1275" s="14">
        <v>1397.6</v>
      </c>
      <c r="I1275" s="14">
        <v>1398.21</v>
      </c>
      <c r="J1275" s="14">
        <v>1611.8</v>
      </c>
      <c r="K1275" s="14">
        <v>1114.85</v>
      </c>
      <c r="L1275" s="15">
        <v>19007744</v>
      </c>
      <c r="M1275" t="s" s="13">
        <v>1267</v>
      </c>
      <c r="N1275" s="15">
        <v>273340</v>
      </c>
      <c r="O1275" s="17" cm="1">
        <f t="array" ref="O1275">(H1275-H1274)/H1274</f>
        <v>0.0017919862375457</v>
      </c>
    </row>
    <row r="1276" ht="13.65" customHeight="1">
      <c r="A1276" s="18">
        <v>46099</v>
      </c>
      <c r="B1276" t="s" s="13">
        <v>22</v>
      </c>
      <c r="C1276" s="14">
        <v>1397.2</v>
      </c>
      <c r="D1276" s="14">
        <v>1412.9</v>
      </c>
      <c r="E1276" s="14">
        <v>1397.2</v>
      </c>
      <c r="F1276" s="14">
        <v>1397.6</v>
      </c>
      <c r="G1276" s="14">
        <v>1407.2</v>
      </c>
      <c r="H1276" s="14">
        <v>1408.1</v>
      </c>
      <c r="I1276" s="14">
        <v>1408.59</v>
      </c>
      <c r="J1276" s="14">
        <v>1611.8</v>
      </c>
      <c r="K1276" s="14">
        <v>1114.85</v>
      </c>
      <c r="L1276" s="15">
        <v>9559327</v>
      </c>
      <c r="M1276" t="s" s="13">
        <v>1268</v>
      </c>
      <c r="N1276" s="15">
        <v>212371</v>
      </c>
      <c r="O1276" s="17" cm="1">
        <f t="array" ref="O1276">(H1276-H1275)/H1275</f>
        <v>0.00751287922152261</v>
      </c>
    </row>
    <row r="1277" ht="13.65" customHeight="1">
      <c r="A1277" s="18">
        <v>46100</v>
      </c>
      <c r="B1277" t="s" s="13">
        <v>22</v>
      </c>
      <c r="C1277" s="14">
        <v>1388</v>
      </c>
      <c r="D1277" s="14">
        <v>1415.7</v>
      </c>
      <c r="E1277" s="14">
        <v>1376.1</v>
      </c>
      <c r="F1277" s="14">
        <v>1408.1</v>
      </c>
      <c r="G1277" s="14">
        <v>1392</v>
      </c>
      <c r="H1277" s="14">
        <v>1384.8</v>
      </c>
      <c r="I1277" s="14">
        <v>1394.72</v>
      </c>
      <c r="J1277" s="14">
        <v>1611.8</v>
      </c>
      <c r="K1277" s="14">
        <v>1114.85</v>
      </c>
      <c r="L1277" s="15">
        <v>16498373</v>
      </c>
      <c r="M1277" t="s" s="13">
        <v>1269</v>
      </c>
      <c r="N1277" s="15">
        <v>305792</v>
      </c>
      <c r="O1277" s="17" cm="1">
        <f t="array" ref="O1277">(H1277-H1276)/H1276</f>
        <v>-0.016547120232938</v>
      </c>
    </row>
    <row r="1278" ht="13.65" customHeight="1">
      <c r="A1278" s="18">
        <v>46101</v>
      </c>
      <c r="B1278" t="s" s="13">
        <v>22</v>
      </c>
      <c r="C1278" s="14">
        <v>1398</v>
      </c>
      <c r="D1278" s="14">
        <v>1430</v>
      </c>
      <c r="E1278" s="14">
        <v>1396.1</v>
      </c>
      <c r="F1278" s="14">
        <v>1384.8</v>
      </c>
      <c r="G1278" s="14">
        <v>1413.6</v>
      </c>
      <c r="H1278" s="14">
        <v>1414.4</v>
      </c>
      <c r="I1278" s="14">
        <v>1418.94</v>
      </c>
      <c r="J1278" s="14">
        <v>1611.8</v>
      </c>
      <c r="K1278" s="14">
        <v>1114.85</v>
      </c>
      <c r="L1278" s="15">
        <v>22994918</v>
      </c>
      <c r="M1278" t="s" s="13">
        <v>1270</v>
      </c>
      <c r="N1278" s="15">
        <v>315139</v>
      </c>
      <c r="O1278" s="17" cm="1">
        <f t="array" ref="O1278">(H1278-H1277)/H1277</f>
        <v>0.0213749277874061</v>
      </c>
    </row>
    <row r="1279" ht="13.65" customHeight="1">
      <c r="A1279" s="18">
        <v>46104</v>
      </c>
      <c r="B1279" t="s" s="13">
        <v>22</v>
      </c>
      <c r="C1279" s="14">
        <v>1400</v>
      </c>
      <c r="D1279" s="14">
        <v>1415.6</v>
      </c>
      <c r="E1279" s="14">
        <v>1391</v>
      </c>
      <c r="F1279" s="14">
        <v>1414.4</v>
      </c>
      <c r="G1279" s="14">
        <v>1404</v>
      </c>
      <c r="H1279" s="14">
        <v>1407.8</v>
      </c>
      <c r="I1279" s="14">
        <v>1404.46</v>
      </c>
      <c r="J1279" s="14">
        <v>1611.8</v>
      </c>
      <c r="K1279" s="14">
        <v>1114.85</v>
      </c>
      <c r="L1279" s="15">
        <v>18979554</v>
      </c>
      <c r="M1279" t="s" s="13">
        <v>1271</v>
      </c>
      <c r="N1279" s="15">
        <v>385355</v>
      </c>
      <c r="O1279" s="17" cm="1">
        <f t="array" ref="O1279">(H1279-H1278)/H1278</f>
        <v>-0.00466628959276018</v>
      </c>
    </row>
    <row r="1280" ht="13.65" customHeight="1">
      <c r="A1280" s="18">
        <v>46105</v>
      </c>
      <c r="B1280" t="s" s="13">
        <v>22</v>
      </c>
      <c r="C1280" s="14">
        <v>1420</v>
      </c>
      <c r="D1280" s="14">
        <v>1422.4</v>
      </c>
      <c r="E1280" s="14">
        <v>1406.6</v>
      </c>
      <c r="F1280" s="14">
        <v>1407.8</v>
      </c>
      <c r="G1280" s="14">
        <v>1414</v>
      </c>
      <c r="H1280" s="14">
        <v>1411.8</v>
      </c>
      <c r="I1280" s="14">
        <v>1413.2</v>
      </c>
      <c r="J1280" s="14">
        <v>1611.8</v>
      </c>
      <c r="K1280" s="14">
        <v>1114.85</v>
      </c>
      <c r="L1280" s="15">
        <v>18620893</v>
      </c>
      <c r="M1280" t="s" s="13">
        <v>1272</v>
      </c>
      <c r="N1280" s="15">
        <v>304313</v>
      </c>
      <c r="O1280" s="17" cm="1">
        <f t="array" ref="O1280">(H1280-H1279)/H1279</f>
        <v>0.00284131268646115</v>
      </c>
    </row>
    <row r="1281" ht="13.65" customHeight="1">
      <c r="A1281" s="18">
        <v>46106</v>
      </c>
      <c r="B1281" t="s" s="13">
        <v>22</v>
      </c>
      <c r="C1281" s="14">
        <v>1420</v>
      </c>
      <c r="D1281" s="14">
        <v>1430.5</v>
      </c>
      <c r="E1281" s="14">
        <v>1408.4</v>
      </c>
      <c r="F1281" s="14">
        <v>1411.8</v>
      </c>
      <c r="G1281" s="14">
        <v>1413.8</v>
      </c>
      <c r="H1281" s="14">
        <v>1413.1</v>
      </c>
      <c r="I1281" s="14">
        <v>1418.75</v>
      </c>
      <c r="J1281" s="14">
        <v>1611.8</v>
      </c>
      <c r="K1281" s="14">
        <v>1114.85</v>
      </c>
      <c r="L1281" s="15">
        <v>19041331</v>
      </c>
      <c r="M1281" t="s" s="13">
        <v>1273</v>
      </c>
      <c r="N1281" s="15">
        <v>313024</v>
      </c>
      <c r="O1281" s="17" cm="1">
        <f t="array" ref="O1281">(H1281-H1280)/H1280</f>
        <v>0.000920810313075506</v>
      </c>
    </row>
    <row r="1282" ht="13.65" customHeight="1">
      <c r="A1282" s="18">
        <v>46108</v>
      </c>
      <c r="B1282" t="s" s="13">
        <v>22</v>
      </c>
      <c r="C1282" s="14">
        <v>1401</v>
      </c>
      <c r="D1282" s="14">
        <v>1404.7</v>
      </c>
      <c r="E1282" s="14">
        <v>1345</v>
      </c>
      <c r="F1282" s="14">
        <v>1413.1</v>
      </c>
      <c r="G1282" s="14">
        <v>1348</v>
      </c>
      <c r="H1282" s="14">
        <v>1348.1</v>
      </c>
      <c r="I1282" s="14">
        <v>1359.97</v>
      </c>
      <c r="J1282" s="14">
        <v>1611.8</v>
      </c>
      <c r="K1282" s="14">
        <v>1114.85</v>
      </c>
      <c r="L1282" s="15">
        <v>23266517</v>
      </c>
      <c r="M1282" t="s" s="13">
        <v>1274</v>
      </c>
      <c r="N1282" s="15">
        <v>546051</v>
      </c>
      <c r="O1282" s="17" cm="1">
        <f t="array" ref="O1282">(H1282-H1281)/H1281</f>
        <v>-0.0459981600735971</v>
      </c>
    </row>
    <row r="1283" ht="13.65" customHeight="1">
      <c r="A1283" s="18">
        <v>46111</v>
      </c>
      <c r="B1283" t="s" s="13">
        <v>22</v>
      </c>
      <c r="C1283" s="14">
        <v>1335</v>
      </c>
      <c r="D1283" s="14">
        <v>1365</v>
      </c>
      <c r="E1283" s="14">
        <v>1334.1</v>
      </c>
      <c r="F1283" s="14">
        <v>1348.1</v>
      </c>
      <c r="G1283" s="14">
        <v>1348.3</v>
      </c>
      <c r="H1283" s="14">
        <v>1343.9</v>
      </c>
      <c r="I1283" s="14">
        <v>1347.25</v>
      </c>
      <c r="J1283" s="14">
        <v>1611.8</v>
      </c>
      <c r="K1283" s="14">
        <v>1114.85</v>
      </c>
      <c r="L1283" s="15">
        <v>24393861</v>
      </c>
      <c r="M1283" t="s" s="13">
        <v>1275</v>
      </c>
      <c r="N1283" s="15">
        <v>426526</v>
      </c>
      <c r="O1283" s="17" cm="1">
        <f t="array" ref="O1283">(H1283-H1282)/H1282</f>
        <v>-0.00311549588309473</v>
      </c>
    </row>
    <row r="1284" ht="13.65" customHeight="1">
      <c r="A1284" s="12">
        <v>46113</v>
      </c>
      <c r="B1284" t="s" s="13">
        <v>22</v>
      </c>
      <c r="C1284" s="14">
        <v>1384.2</v>
      </c>
      <c r="D1284" s="14">
        <v>1384.4</v>
      </c>
      <c r="E1284" s="14">
        <v>1362.9</v>
      </c>
      <c r="F1284" s="14">
        <v>1343.9</v>
      </c>
      <c r="G1284" s="14">
        <v>1369.5</v>
      </c>
      <c r="H1284" s="14">
        <v>1369.2</v>
      </c>
      <c r="I1284" s="14">
        <v>1372.02</v>
      </c>
      <c r="J1284" s="14">
        <v>1611.8</v>
      </c>
      <c r="K1284" s="14">
        <v>1114.85</v>
      </c>
      <c r="L1284" s="15">
        <v>14404619</v>
      </c>
      <c r="M1284" t="s" s="13">
        <v>1276</v>
      </c>
      <c r="N1284" s="15">
        <v>241179</v>
      </c>
      <c r="O1284" s="17" cm="1">
        <f t="array" ref="O1284">(H1284-H1283)/H1283</f>
        <v>0.01882580549148</v>
      </c>
    </row>
    <row r="1285" ht="13.65" customHeight="1">
      <c r="A1285" s="21"/>
      <c r="B1285" s="21"/>
      <c r="C1285" s="21"/>
      <c r="D1285" s="21"/>
      <c r="E1285" s="21"/>
      <c r="F1285" s="21"/>
      <c r="G1285" s="21"/>
      <c r="H1285" s="21"/>
      <c r="I1285" s="21"/>
      <c r="J1285" s="21"/>
      <c r="K1285" s="21"/>
      <c r="L1285" s="21"/>
      <c r="M1285" s="21"/>
      <c r="N1285" s="21"/>
      <c r="O1285" s="8"/>
    </row>
    <row r="1286" ht="13.65" customHeight="1">
      <c r="A1286" s="8"/>
      <c r="B1286" s="8"/>
      <c r="C1286" s="8"/>
      <c r="D1286" s="8"/>
      <c r="E1286" s="8"/>
      <c r="F1286" s="8"/>
      <c r="G1286" s="8"/>
      <c r="H1286" s="8"/>
      <c r="I1286" s="8"/>
      <c r="J1286" s="8"/>
      <c r="K1286" s="8"/>
      <c r="L1286" s="8"/>
      <c r="M1286" s="8"/>
      <c r="N1286" t="s" s="7">
        <v>1277</v>
      </c>
      <c r="O1286" s="22" cm="1">
        <f t="array" ref="O1286">AVERAGE(O1037:O1284)</f>
        <v>0.000447792471733447</v>
      </c>
    </row>
    <row r="1287" ht="13.65" customHeight="1">
      <c r="A1287" s="8"/>
      <c r="B1287" s="8"/>
      <c r="C1287" s="8"/>
      <c r="D1287" s="8"/>
      <c r="E1287" s="8"/>
      <c r="F1287" s="8"/>
      <c r="G1287" s="8"/>
      <c r="H1287" s="8"/>
      <c r="I1287" s="8"/>
      <c r="J1287" s="8"/>
      <c r="K1287" s="8"/>
      <c r="L1287" s="8"/>
      <c r="M1287" s="8"/>
      <c r="N1287" t="s" s="7">
        <v>273</v>
      </c>
      <c r="O1287" s="22">
        <v>0.0131</v>
      </c>
    </row>
    <row r="1288" ht="13.65" customHeight="1">
      <c r="A1288" s="8"/>
      <c r="B1288" s="8"/>
      <c r="C1288" s="8"/>
      <c r="D1288" s="8"/>
      <c r="E1288" s="8"/>
      <c r="F1288" s="8"/>
      <c r="G1288" s="8"/>
      <c r="H1288" s="8"/>
      <c r="I1288" s="8"/>
      <c r="J1288" s="8"/>
      <c r="K1288" s="8"/>
      <c r="L1288" s="8"/>
      <c r="M1288" s="8"/>
      <c r="N1288" t="s" s="7">
        <v>274</v>
      </c>
      <c r="O1288" s="23" cm="1">
        <f t="array" ref="O1288">AVERAGE(L1037:L1284)</f>
        <v>11921699.1895161</v>
      </c>
    </row>
    <row r="1289" ht="13.65" customHeight="1">
      <c r="A1289" s="8"/>
      <c r="B1289" s="8"/>
      <c r="C1289" s="8"/>
      <c r="D1289" s="8"/>
      <c r="E1289" s="8"/>
      <c r="F1289" s="8"/>
      <c r="G1289" s="8"/>
      <c r="H1289" s="8"/>
      <c r="I1289" s="8"/>
      <c r="J1289" s="8"/>
      <c r="K1289" s="8"/>
      <c r="L1289" s="8"/>
      <c r="M1289" s="8"/>
      <c r="N1289" t="s" s="7">
        <v>275</v>
      </c>
      <c r="O1289" s="23" cm="1">
        <f t="array" ref="O1289">IF(H1284&gt;H1037,1,IF(H1284&lt;H1037,-1,0))</f>
        <v>1</v>
      </c>
    </row>
    <row r="1290" ht="13.65" customHeight="1">
      <c r="A1290" s="8"/>
      <c r="B1290" s="8"/>
      <c r="C1290" s="8"/>
      <c r="D1290" s="8"/>
      <c r="E1290" s="8"/>
      <c r="F1290" s="8"/>
      <c r="G1290" s="8"/>
      <c r="H1290" s="8"/>
      <c r="I1290" s="8"/>
      <c r="J1290" s="8"/>
      <c r="K1290" s="8"/>
      <c r="L1290" s="8"/>
      <c r="M1290" s="8"/>
      <c r="N1290" t="s" s="7">
        <v>528</v>
      </c>
      <c r="O1290" s="22" cm="1">
        <f t="array" ref="O1290">(H1284-H1037)/H1037</f>
        <v>0.0930863803289159</v>
      </c>
    </row>
    <row r="1291" ht="13.65" customHeight="1">
      <c r="A1291" s="8"/>
      <c r="B1291" s="8"/>
      <c r="C1291" s="8"/>
      <c r="D1291" s="8"/>
      <c r="E1291" s="8"/>
      <c r="F1291" s="8"/>
      <c r="G1291" s="8"/>
      <c r="H1291" s="8"/>
      <c r="I1291" s="8"/>
      <c r="J1291" s="8"/>
      <c r="K1291" s="8"/>
      <c r="L1291" s="8"/>
      <c r="M1291" s="8"/>
      <c r="N1291" s="8"/>
      <c r="O1291" s="8"/>
    </row>
    <row r="1292" ht="13.65" customHeight="1">
      <c r="A1292" s="8"/>
      <c r="B1292" s="8"/>
      <c r="C1292" s="8"/>
      <c r="D1292" s="8"/>
      <c r="E1292" s="8"/>
      <c r="F1292" s="8"/>
      <c r="G1292" s="8"/>
      <c r="H1292" s="8"/>
      <c r="I1292" s="8"/>
      <c r="J1292" s="8"/>
      <c r="K1292" s="8"/>
      <c r="L1292" s="8"/>
      <c r="M1292" s="8"/>
      <c r="N1292" s="8"/>
      <c r="O1292" s="8"/>
    </row>
    <row r="1293" ht="13.65" customHeight="1">
      <c r="A1293" s="8"/>
      <c r="B1293" s="8"/>
      <c r="C1293" s="8"/>
      <c r="D1293" s="8"/>
      <c r="E1293" s="8"/>
      <c r="F1293" s="8"/>
      <c r="G1293" s="8"/>
      <c r="H1293" s="8"/>
      <c r="I1293" s="8"/>
      <c r="J1293" s="8"/>
      <c r="K1293" s="8"/>
      <c r="L1293" s="8"/>
      <c r="M1293" s="8"/>
      <c r="N1293" s="8"/>
      <c r="O1293" s="8"/>
    </row>
    <row r="1294" ht="13.65" customHeight="1">
      <c r="A1294" s="8"/>
      <c r="B1294" s="8"/>
      <c r="C1294" s="8"/>
      <c r="D1294" s="8"/>
      <c r="E1294" s="8"/>
      <c r="F1294" s="8"/>
      <c r="G1294" s="8"/>
      <c r="H1294" s="8"/>
      <c r="I1294" s="8"/>
      <c r="J1294" s="8"/>
      <c r="K1294" s="8"/>
      <c r="L1294" s="8"/>
      <c r="M1294" s="8"/>
      <c r="N1294" s="8"/>
      <c r="O1294" s="8"/>
    </row>
    <row r="1295" ht="13.65" customHeight="1">
      <c r="A1295" s="8"/>
      <c r="B1295" s="8"/>
      <c r="C1295" s="8"/>
      <c r="D1295" s="8"/>
      <c r="E1295" s="8"/>
      <c r="F1295" s="8"/>
      <c r="G1295" s="8"/>
      <c r="H1295" s="8"/>
      <c r="I1295" s="8"/>
      <c r="J1295" s="8"/>
      <c r="K1295" s="8"/>
      <c r="L1295" s="8"/>
      <c r="M1295" s="8"/>
      <c r="N1295" s="8"/>
      <c r="O1295" s="8"/>
    </row>
    <row r="1296" ht="13.65" customHeight="1">
      <c r="A1296" s="8"/>
      <c r="B1296" s="8"/>
      <c r="C1296" s="8"/>
      <c r="D1296" s="8"/>
      <c r="E1296" s="8"/>
      <c r="F1296" s="8"/>
      <c r="G1296" s="8"/>
      <c r="H1296" s="8"/>
      <c r="I1296" s="8"/>
      <c r="J1296" s="8"/>
      <c r="K1296" s="8"/>
      <c r="L1296" s="8"/>
      <c r="M1296" s="8"/>
      <c r="N1296" s="8"/>
      <c r="O1296" s="8"/>
    </row>
    <row r="1297" ht="13.65" customHeight="1">
      <c r="A1297" s="8"/>
      <c r="B1297" s="8"/>
      <c r="C1297" s="8"/>
      <c r="D1297" s="8"/>
      <c r="E1297" s="8"/>
      <c r="F1297" s="8"/>
      <c r="G1297" s="8"/>
      <c r="H1297" s="8"/>
      <c r="I1297" s="8"/>
      <c r="J1297" s="8"/>
      <c r="K1297" s="8"/>
      <c r="L1297" s="8"/>
      <c r="M1297" s="8"/>
      <c r="N1297" s="8"/>
      <c r="O1297" s="8"/>
    </row>
    <row r="1298" ht="13.65" customHeight="1">
      <c r="A1298" s="8"/>
      <c r="B1298" s="8"/>
      <c r="C1298" s="8"/>
      <c r="D1298" s="8"/>
      <c r="E1298" s="8"/>
      <c r="F1298" s="8"/>
      <c r="G1298" s="8"/>
      <c r="H1298" s="8"/>
      <c r="I1298" s="8"/>
      <c r="J1298" s="8"/>
      <c r="K1298" s="8"/>
      <c r="L1298" s="8"/>
      <c r="M1298" s="8"/>
      <c r="N1298" s="8"/>
      <c r="O1298" s="8"/>
    </row>
    <row r="1299" ht="13.65" customHeight="1">
      <c r="A1299" s="8"/>
      <c r="B1299" s="8"/>
      <c r="C1299" s="8"/>
      <c r="D1299" s="8"/>
      <c r="E1299" s="8"/>
      <c r="F1299" s="8"/>
      <c r="G1299" s="8"/>
      <c r="H1299" s="8"/>
      <c r="I1299" s="8"/>
      <c r="J1299" s="8"/>
      <c r="K1299" s="8"/>
      <c r="L1299" s="8"/>
      <c r="M1299" s="8"/>
      <c r="N1299" s="8"/>
      <c r="O1299" s="8"/>
    </row>
    <row r="1300" ht="13.65" customHeight="1">
      <c r="A1300" s="8"/>
      <c r="B1300" s="8"/>
      <c r="C1300" s="8"/>
      <c r="D1300" s="8"/>
      <c r="E1300" s="8"/>
      <c r="F1300" s="8"/>
      <c r="G1300" s="8"/>
      <c r="H1300" s="8"/>
      <c r="I1300" s="8"/>
      <c r="J1300" s="8"/>
      <c r="K1300" s="8"/>
      <c r="L1300" s="8"/>
      <c r="M1300" s="8"/>
      <c r="N1300" s="8"/>
      <c r="O1300" s="8"/>
    </row>
    <row r="1301" ht="13.65" customHeight="1">
      <c r="A1301" s="8"/>
      <c r="B1301" s="8"/>
      <c r="C1301" s="8"/>
      <c r="D1301" s="8"/>
      <c r="E1301" s="8"/>
      <c r="F1301" s="8"/>
      <c r="G1301" s="8"/>
      <c r="H1301" s="8"/>
      <c r="I1301" s="8"/>
      <c r="J1301" s="8"/>
      <c r="K1301" s="8"/>
      <c r="L1301" s="8"/>
      <c r="M1301" s="8"/>
      <c r="N1301" s="8"/>
      <c r="O1301" s="8"/>
    </row>
    <row r="1302" ht="13.65" customHeight="1">
      <c r="A1302" s="8"/>
      <c r="B1302" s="8"/>
      <c r="C1302" s="8"/>
      <c r="D1302" s="8"/>
      <c r="E1302" s="8"/>
      <c r="F1302" s="8"/>
      <c r="G1302" s="8"/>
      <c r="H1302" s="8"/>
      <c r="I1302" s="8"/>
      <c r="J1302" s="8"/>
      <c r="K1302" s="8"/>
      <c r="L1302" s="8"/>
      <c r="M1302" s="8"/>
      <c r="N1302" s="8"/>
      <c r="O1302" s="8"/>
    </row>
    <row r="1303" ht="13.65" customHeight="1">
      <c r="A1303" s="8"/>
      <c r="B1303" s="8"/>
      <c r="C1303" s="8"/>
      <c r="D1303" s="8"/>
      <c r="E1303" s="8"/>
      <c r="F1303" s="8"/>
      <c r="G1303" s="8"/>
      <c r="H1303" s="8"/>
      <c r="I1303" s="8"/>
      <c r="J1303" s="8"/>
      <c r="K1303" s="8"/>
      <c r="L1303" s="8"/>
      <c r="M1303" s="8"/>
      <c r="N1303" s="8"/>
      <c r="O1303" s="8"/>
    </row>
    <row r="1304" ht="13.65" customHeight="1">
      <c r="A1304" s="8"/>
      <c r="B1304" s="8"/>
      <c r="C1304" s="8"/>
      <c r="D1304" s="8"/>
      <c r="E1304" s="8"/>
      <c r="F1304" s="8"/>
      <c r="G1304" s="8"/>
      <c r="H1304" s="8"/>
      <c r="I1304" s="8"/>
      <c r="J1304" s="8"/>
      <c r="K1304" s="8"/>
      <c r="L1304" s="8"/>
      <c r="M1304" s="8"/>
      <c r="N1304" s="8"/>
      <c r="O1304" s="8"/>
    </row>
    <row r="1305" ht="13.65" customHeight="1">
      <c r="A1305" s="8"/>
      <c r="B1305" s="8"/>
      <c r="C1305" s="8"/>
      <c r="D1305" s="8"/>
      <c r="E1305" s="8"/>
      <c r="F1305" s="8"/>
      <c r="G1305" s="8"/>
      <c r="H1305" s="8"/>
      <c r="I1305" s="8"/>
      <c r="J1305" s="8"/>
      <c r="K1305" s="8"/>
      <c r="L1305" s="8"/>
      <c r="M1305" s="8"/>
      <c r="N1305" s="8"/>
      <c r="O1305" s="8"/>
    </row>
    <row r="1306" ht="13.65" customHeight="1">
      <c r="A1306" s="8"/>
      <c r="B1306" s="8"/>
      <c r="C1306" s="8"/>
      <c r="D1306" s="8"/>
      <c r="E1306" s="8"/>
      <c r="F1306" s="8"/>
      <c r="G1306" s="8"/>
      <c r="H1306" s="8"/>
      <c r="I1306" s="8"/>
      <c r="J1306" s="8"/>
      <c r="K1306" s="8"/>
      <c r="L1306" s="8"/>
      <c r="M1306" s="8"/>
      <c r="N1306" s="8"/>
      <c r="O1306" s="8"/>
    </row>
    <row r="1307" ht="13.65" customHeight="1">
      <c r="A1307" s="8"/>
      <c r="B1307" s="8"/>
      <c r="C1307" s="8"/>
      <c r="D1307" s="8"/>
      <c r="E1307" s="8"/>
      <c r="F1307" s="8"/>
      <c r="G1307" s="8"/>
      <c r="H1307" s="8"/>
      <c r="I1307" s="8"/>
      <c r="J1307" s="8"/>
      <c r="K1307" s="8"/>
      <c r="L1307" s="8"/>
      <c r="M1307" s="8"/>
      <c r="N1307" s="8"/>
      <c r="O1307" s="8"/>
    </row>
    <row r="1308" ht="13.65" customHeight="1">
      <c r="A1308" s="8"/>
      <c r="B1308" s="8"/>
      <c r="C1308" s="8"/>
      <c r="D1308" s="8"/>
      <c r="E1308" s="8"/>
      <c r="F1308" s="8"/>
      <c r="G1308" s="8"/>
      <c r="H1308" s="8"/>
      <c r="I1308" s="8"/>
      <c r="J1308" s="8"/>
      <c r="K1308" s="8"/>
      <c r="L1308" s="8"/>
      <c r="M1308" s="8"/>
      <c r="N1308" s="8"/>
      <c r="O1308" s="8"/>
    </row>
    <row r="1309" ht="13.65" customHeight="1">
      <c r="A1309" s="8"/>
      <c r="B1309" s="8"/>
      <c r="C1309" s="8"/>
      <c r="D1309" s="8"/>
      <c r="E1309" s="8"/>
      <c r="F1309" s="8"/>
      <c r="G1309" s="8"/>
      <c r="H1309" s="8"/>
      <c r="I1309" s="8"/>
      <c r="J1309" s="8"/>
      <c r="K1309" s="8"/>
      <c r="L1309" s="8"/>
      <c r="M1309" s="8"/>
      <c r="N1309" s="8"/>
      <c r="O1309" s="8"/>
    </row>
    <row r="1310" ht="13.65" customHeight="1">
      <c r="A1310" s="8"/>
      <c r="B1310" s="8"/>
      <c r="C1310" s="8"/>
      <c r="D1310" s="8"/>
      <c r="E1310" s="8"/>
      <c r="F1310" s="8"/>
      <c r="G1310" s="8"/>
      <c r="H1310" s="8"/>
      <c r="I1310" s="8"/>
      <c r="J1310" s="8"/>
      <c r="K1310" s="8"/>
      <c r="L1310" s="8"/>
      <c r="M1310" s="8"/>
      <c r="N1310" s="8"/>
      <c r="O1310" s="8"/>
    </row>
    <row r="1311" ht="13.65" customHeight="1">
      <c r="A1311" s="8"/>
      <c r="B1311" s="8"/>
      <c r="C1311" s="8"/>
      <c r="D1311" s="8"/>
      <c r="E1311" s="8"/>
      <c r="F1311" s="8"/>
      <c r="G1311" s="8"/>
      <c r="H1311" s="8"/>
      <c r="I1311" s="8"/>
      <c r="J1311" s="8"/>
      <c r="K1311" s="8"/>
      <c r="L1311" s="8"/>
      <c r="M1311" s="8"/>
      <c r="N1311" s="8"/>
      <c r="O1311" s="8"/>
    </row>
    <row r="1312" ht="13.65" customHeight="1">
      <c r="A1312" s="8"/>
      <c r="B1312" s="8"/>
      <c r="C1312" s="8"/>
      <c r="D1312" s="8"/>
      <c r="E1312" s="8"/>
      <c r="F1312" s="8"/>
      <c r="G1312" s="8"/>
      <c r="H1312" s="8"/>
      <c r="I1312" s="8"/>
      <c r="J1312" s="8"/>
      <c r="K1312" s="8"/>
      <c r="L1312" s="8"/>
      <c r="M1312" s="8"/>
      <c r="N1312" s="8"/>
      <c r="O1312" s="8"/>
    </row>
    <row r="1313" ht="13.65" customHeight="1">
      <c r="A1313" s="8"/>
      <c r="B1313" s="8"/>
      <c r="C1313" s="8"/>
      <c r="D1313" s="8"/>
      <c r="E1313" s="8"/>
      <c r="F1313" s="8"/>
      <c r="G1313" s="8"/>
      <c r="H1313" s="8"/>
      <c r="I1313" s="8"/>
      <c r="J1313" s="8"/>
      <c r="K1313" s="8"/>
      <c r="L1313" s="8"/>
      <c r="M1313" s="8"/>
      <c r="N1313" s="8"/>
      <c r="O1313" s="8"/>
    </row>
    <row r="1314" ht="13.65" customHeight="1">
      <c r="A1314" s="8"/>
      <c r="B1314" s="8"/>
      <c r="C1314" s="8"/>
      <c r="D1314" s="8"/>
      <c r="E1314" s="8"/>
      <c r="F1314" s="8"/>
      <c r="G1314" s="8"/>
      <c r="H1314" s="8"/>
      <c r="I1314" s="8"/>
      <c r="J1314" s="8"/>
      <c r="K1314" s="8"/>
      <c r="L1314" s="8"/>
      <c r="M1314" s="8"/>
      <c r="N1314" s="8"/>
      <c r="O1314" s="8"/>
    </row>
    <row r="1315" ht="13.65" customHeight="1">
      <c r="A1315" s="8"/>
      <c r="B1315" s="8"/>
      <c r="C1315" s="8"/>
      <c r="D1315" s="8"/>
      <c r="E1315" s="8"/>
      <c r="F1315" s="8"/>
      <c r="G1315" s="8"/>
      <c r="H1315" s="8"/>
      <c r="I1315" s="8"/>
      <c r="J1315" s="8"/>
      <c r="K1315" s="8"/>
      <c r="L1315" s="8"/>
      <c r="M1315" s="8"/>
      <c r="N1315" s="8"/>
      <c r="O1315" s="8"/>
    </row>
    <row r="1316" ht="13.65" customHeight="1">
      <c r="A1316" s="8"/>
      <c r="B1316" s="8"/>
      <c r="C1316" s="8"/>
      <c r="D1316" s="8"/>
      <c r="E1316" s="8"/>
      <c r="F1316" s="8"/>
      <c r="G1316" s="8"/>
      <c r="H1316" s="8"/>
      <c r="I1316" s="8"/>
      <c r="J1316" s="8"/>
      <c r="K1316" s="8"/>
      <c r="L1316" s="8"/>
      <c r="M1316" s="8"/>
      <c r="N1316" s="8"/>
      <c r="O1316" s="8"/>
    </row>
    <row r="1317" ht="13.65" customHeight="1">
      <c r="A1317" s="8"/>
      <c r="B1317" s="8"/>
      <c r="C1317" s="8"/>
      <c r="D1317" s="8"/>
      <c r="E1317" s="8"/>
      <c r="F1317" s="8"/>
      <c r="G1317" s="8"/>
      <c r="H1317" s="8"/>
      <c r="I1317" s="8"/>
      <c r="J1317" s="8"/>
      <c r="K1317" s="8"/>
      <c r="L1317" s="8"/>
      <c r="M1317" s="8"/>
      <c r="N1317" s="8"/>
      <c r="O1317" s="8"/>
    </row>
    <row r="1318" ht="13.65" customHeight="1">
      <c r="A1318" s="8"/>
      <c r="B1318" s="8"/>
      <c r="C1318" s="8"/>
      <c r="D1318" s="8"/>
      <c r="E1318" s="8"/>
      <c r="F1318" s="8"/>
      <c r="G1318" s="8"/>
      <c r="H1318" s="8"/>
      <c r="I1318" s="8"/>
      <c r="J1318" s="8"/>
      <c r="K1318" s="8"/>
      <c r="L1318" s="8"/>
      <c r="M1318" s="8"/>
      <c r="N1318" s="8"/>
      <c r="O1318" s="8"/>
    </row>
    <row r="1319" ht="13.65" customHeight="1">
      <c r="A1319" s="8"/>
      <c r="B1319" s="8"/>
      <c r="C1319" s="8"/>
      <c r="D1319" s="8"/>
      <c r="E1319" s="8"/>
      <c r="F1319" s="8"/>
      <c r="G1319" s="8"/>
      <c r="H1319" s="8"/>
      <c r="I1319" s="8"/>
      <c r="J1319" s="8"/>
      <c r="K1319" s="8"/>
      <c r="L1319" s="8"/>
      <c r="M1319" s="8"/>
      <c r="N1319" s="8"/>
      <c r="O1319" s="8"/>
    </row>
    <row r="1320" ht="13.65" customHeight="1">
      <c r="A1320" s="8"/>
      <c r="B1320" s="8"/>
      <c r="C1320" s="8"/>
      <c r="D1320" s="8"/>
      <c r="E1320" s="8"/>
      <c r="F1320" s="8"/>
      <c r="G1320" s="8"/>
      <c r="H1320" s="8"/>
      <c r="I1320" s="8"/>
      <c r="J1320" s="8"/>
      <c r="K1320" s="8"/>
      <c r="L1320" s="8"/>
      <c r="M1320" s="8"/>
      <c r="N1320" s="8"/>
      <c r="O1320" s="8"/>
    </row>
    <row r="1321" ht="13.65" customHeight="1">
      <c r="A1321" s="8"/>
      <c r="B1321" s="8"/>
      <c r="C1321" s="8"/>
      <c r="D1321" s="8"/>
      <c r="E1321" s="8"/>
      <c r="F1321" s="8"/>
      <c r="G1321" s="8"/>
      <c r="H1321" s="8"/>
      <c r="I1321" s="8"/>
      <c r="J1321" s="8"/>
      <c r="K1321" s="8"/>
      <c r="L1321" s="8"/>
      <c r="M1321" s="8"/>
      <c r="N1321" s="8"/>
      <c r="O1321" s="8"/>
    </row>
    <row r="1322" ht="13.65" customHeight="1">
      <c r="A1322" s="8"/>
      <c r="B1322" s="8"/>
      <c r="C1322" s="8"/>
      <c r="D1322" s="8"/>
      <c r="E1322" s="8"/>
      <c r="F1322" s="8"/>
      <c r="G1322" s="8"/>
      <c r="H1322" s="8"/>
      <c r="I1322" s="8"/>
      <c r="J1322" s="8"/>
      <c r="K1322" s="8"/>
      <c r="L1322" s="8"/>
      <c r="M1322" s="8"/>
      <c r="N1322" s="8"/>
      <c r="O1322" s="8"/>
    </row>
    <row r="1323" ht="13.65" customHeight="1">
      <c r="A1323" s="8"/>
      <c r="B1323" s="8"/>
      <c r="C1323" s="8"/>
      <c r="D1323" s="8"/>
      <c r="E1323" s="8"/>
      <c r="F1323" s="8"/>
      <c r="G1323" s="8"/>
      <c r="H1323" s="8"/>
      <c r="I1323" s="8"/>
      <c r="J1323" s="8"/>
      <c r="K1323" s="8"/>
      <c r="L1323" s="8"/>
      <c r="M1323" s="8"/>
      <c r="N1323" s="8"/>
      <c r="O1323" s="8"/>
    </row>
    <row r="1324" ht="13.65" customHeight="1">
      <c r="A1324" s="8"/>
      <c r="B1324" s="8"/>
      <c r="C1324" s="8"/>
      <c r="D1324" s="8"/>
      <c r="E1324" s="8"/>
      <c r="F1324" s="8"/>
      <c r="G1324" s="8"/>
      <c r="H1324" s="8"/>
      <c r="I1324" s="8"/>
      <c r="J1324" s="8"/>
      <c r="K1324" s="8"/>
      <c r="L1324" s="8"/>
      <c r="M1324" s="8"/>
      <c r="N1324" s="8"/>
      <c r="O1324" s="8"/>
    </row>
    <row r="1325" ht="13.65" customHeight="1">
      <c r="A1325" s="8"/>
      <c r="B1325" s="8"/>
      <c r="C1325" s="8"/>
      <c r="D1325" s="8"/>
      <c r="E1325" s="8"/>
      <c r="F1325" s="8"/>
      <c r="G1325" s="8"/>
      <c r="H1325" s="8"/>
      <c r="I1325" s="8"/>
      <c r="J1325" s="8"/>
      <c r="K1325" s="8"/>
      <c r="L1325" s="8"/>
      <c r="M1325" s="8"/>
      <c r="N1325" s="8"/>
      <c r="O1325" s="8"/>
    </row>
    <row r="1326" ht="13.65" customHeight="1">
      <c r="A1326" s="8"/>
      <c r="B1326" s="8"/>
      <c r="C1326" s="8"/>
      <c r="D1326" s="8"/>
      <c r="E1326" s="8"/>
      <c r="F1326" s="8"/>
      <c r="G1326" s="8"/>
      <c r="H1326" s="8"/>
      <c r="I1326" s="8"/>
      <c r="J1326" s="8"/>
      <c r="K1326" s="8"/>
      <c r="L1326" s="8"/>
      <c r="M1326" s="8"/>
      <c r="N1326" s="8"/>
      <c r="O1326" s="8"/>
    </row>
    <row r="1327" ht="13.65" customHeight="1">
      <c r="A1327" s="8"/>
      <c r="B1327" s="8"/>
      <c r="C1327" s="8"/>
      <c r="D1327" s="8"/>
      <c r="E1327" s="8"/>
      <c r="F1327" s="8"/>
      <c r="G1327" s="8"/>
      <c r="H1327" s="8"/>
      <c r="I1327" s="8"/>
      <c r="J1327" s="8"/>
      <c r="K1327" s="8"/>
      <c r="L1327" s="8"/>
      <c r="M1327" s="8"/>
      <c r="N1327" s="8"/>
      <c r="O1327" s="8"/>
    </row>
    <row r="1328" ht="13.65" customHeight="1">
      <c r="A1328" s="8"/>
      <c r="B1328" s="8"/>
      <c r="C1328" s="8"/>
      <c r="D1328" s="8"/>
      <c r="E1328" s="8"/>
      <c r="F1328" s="8"/>
      <c r="G1328" s="8"/>
      <c r="H1328" s="8"/>
      <c r="I1328" s="8"/>
      <c r="J1328" s="8"/>
      <c r="K1328" s="8"/>
      <c r="L1328" s="8"/>
      <c r="M1328" s="8"/>
      <c r="N1328" s="8"/>
      <c r="O1328" s="8"/>
    </row>
    <row r="1329" ht="13.65" customHeight="1">
      <c r="A1329" s="8"/>
      <c r="B1329" s="8"/>
      <c r="C1329" s="8"/>
      <c r="D1329" s="8"/>
      <c r="E1329" s="8"/>
      <c r="F1329" s="8"/>
      <c r="G1329" s="8"/>
      <c r="H1329" s="8"/>
      <c r="I1329" s="8"/>
      <c r="J1329" s="8"/>
      <c r="K1329" s="8"/>
      <c r="L1329" s="8"/>
      <c r="M1329" s="8"/>
      <c r="N1329" s="8"/>
      <c r="O1329" s="8"/>
    </row>
    <row r="1330" ht="13.65" customHeight="1">
      <c r="A1330" s="8"/>
      <c r="B1330" s="8"/>
      <c r="C1330" s="8"/>
      <c r="D1330" s="8"/>
      <c r="E1330" s="8"/>
      <c r="F1330" s="8"/>
      <c r="G1330" s="8"/>
      <c r="H1330" s="8"/>
      <c r="I1330" s="8"/>
      <c r="J1330" s="8"/>
      <c r="K1330" s="8"/>
      <c r="L1330" s="8"/>
      <c r="M1330" s="8"/>
      <c r="N1330" s="8"/>
      <c r="O1330" s="8"/>
    </row>
    <row r="1331" ht="13.65" customHeight="1">
      <c r="A1331" s="8"/>
      <c r="B1331" s="8"/>
      <c r="C1331" s="8"/>
      <c r="D1331" s="8"/>
      <c r="E1331" s="8"/>
      <c r="F1331" s="8"/>
      <c r="G1331" s="8"/>
      <c r="H1331" s="8"/>
      <c r="I1331" s="8"/>
      <c r="J1331" s="8"/>
      <c r="K1331" s="8"/>
      <c r="L1331" s="8"/>
      <c r="M1331" s="8"/>
      <c r="N1331" s="8"/>
      <c r="O1331" s="8"/>
    </row>
    <row r="1332" ht="13.65" customHeight="1">
      <c r="A1332" s="8"/>
      <c r="B1332" s="8"/>
      <c r="C1332" s="8"/>
      <c r="D1332" s="8"/>
      <c r="E1332" s="8"/>
      <c r="F1332" s="8"/>
      <c r="G1332" s="8"/>
      <c r="H1332" s="8"/>
      <c r="I1332" s="8"/>
      <c r="J1332" s="8"/>
      <c r="K1332" s="8"/>
      <c r="L1332" s="8"/>
      <c r="M1332" s="8"/>
      <c r="N1332" s="8"/>
      <c r="O1332" s="8"/>
    </row>
    <row r="1333" ht="13.65" customHeight="1">
      <c r="A1333" s="8"/>
      <c r="B1333" s="8"/>
      <c r="C1333" s="8"/>
      <c r="D1333" s="8"/>
      <c r="E1333" s="8"/>
      <c r="F1333" s="8"/>
      <c r="G1333" s="8"/>
      <c r="H1333" s="8"/>
      <c r="I1333" s="8"/>
      <c r="J1333" s="8"/>
      <c r="K1333" s="8"/>
      <c r="L1333" s="8"/>
      <c r="M1333" s="8"/>
      <c r="N1333" s="8"/>
      <c r="O1333" s="8"/>
    </row>
    <row r="1334" ht="13.65" customHeight="1">
      <c r="A1334" s="8"/>
      <c r="B1334" s="8"/>
      <c r="C1334" s="8"/>
      <c r="D1334" s="8"/>
      <c r="E1334" s="8"/>
      <c r="F1334" s="8"/>
      <c r="G1334" s="8"/>
      <c r="H1334" s="8"/>
      <c r="I1334" s="8"/>
      <c r="J1334" s="8"/>
      <c r="K1334" s="8"/>
      <c r="L1334" s="8"/>
      <c r="M1334" s="8"/>
      <c r="N1334" s="8"/>
      <c r="O1334" s="8"/>
    </row>
    <row r="1335" ht="13.65" customHeight="1">
      <c r="A1335" s="8"/>
      <c r="B1335" s="8"/>
      <c r="C1335" s="8"/>
      <c r="D1335" s="8"/>
      <c r="E1335" s="8"/>
      <c r="F1335" s="8"/>
      <c r="G1335" s="8"/>
      <c r="H1335" s="8"/>
      <c r="I1335" s="8"/>
      <c r="J1335" s="8"/>
      <c r="K1335" s="8"/>
      <c r="L1335" s="8"/>
      <c r="M1335" s="8"/>
      <c r="N1335" s="8"/>
      <c r="O1335" s="8"/>
    </row>
    <row r="1336" ht="13.65" customHeight="1">
      <c r="A1336" s="8"/>
      <c r="B1336" s="8"/>
      <c r="C1336" s="8"/>
      <c r="D1336" s="8"/>
      <c r="E1336" s="8"/>
      <c r="F1336" s="8"/>
      <c r="G1336" s="8"/>
      <c r="H1336" s="8"/>
      <c r="I1336" s="8"/>
      <c r="J1336" s="8"/>
      <c r="K1336" s="8"/>
      <c r="L1336" s="8"/>
      <c r="M1336" s="8"/>
      <c r="N1336" s="8"/>
      <c r="O1336" s="8"/>
    </row>
    <row r="1337" ht="13.65" customHeight="1">
      <c r="A1337" s="8"/>
      <c r="B1337" s="8"/>
      <c r="C1337" s="8"/>
      <c r="D1337" s="8"/>
      <c r="E1337" s="8"/>
      <c r="F1337" s="8"/>
      <c r="G1337" s="8"/>
      <c r="H1337" s="8"/>
      <c r="I1337" s="8"/>
      <c r="J1337" s="8"/>
      <c r="K1337" s="8"/>
      <c r="L1337" s="8"/>
      <c r="M1337" s="8"/>
      <c r="N1337" s="8"/>
      <c r="O1337" s="8"/>
    </row>
    <row r="1338" ht="13.65" customHeight="1">
      <c r="A1338" s="8"/>
      <c r="B1338" s="8"/>
      <c r="C1338" s="8"/>
      <c r="D1338" s="8"/>
      <c r="E1338" s="8"/>
      <c r="F1338" s="8"/>
      <c r="G1338" s="8"/>
      <c r="H1338" s="8"/>
      <c r="I1338" s="8"/>
      <c r="J1338" s="8"/>
      <c r="K1338" s="8"/>
      <c r="L1338" s="8"/>
      <c r="M1338" s="8"/>
      <c r="N1338" s="8"/>
      <c r="O1338" s="8"/>
    </row>
    <row r="1339" ht="13.65" customHeight="1">
      <c r="A1339" s="8"/>
      <c r="B1339" s="8"/>
      <c r="C1339" s="8"/>
      <c r="D1339" s="8"/>
      <c r="E1339" s="8"/>
      <c r="F1339" s="8"/>
      <c r="G1339" s="8"/>
      <c r="H1339" s="8"/>
      <c r="I1339" s="8"/>
      <c r="J1339" s="8"/>
      <c r="K1339" s="8"/>
      <c r="L1339" s="8"/>
      <c r="M1339" s="8"/>
      <c r="N1339" s="8"/>
      <c r="O1339" s="8"/>
    </row>
    <row r="1340" ht="13.65" customHeight="1">
      <c r="A1340" s="8"/>
      <c r="B1340" s="8"/>
      <c r="C1340" s="8"/>
      <c r="D1340" s="8"/>
      <c r="E1340" s="8"/>
      <c r="F1340" s="8"/>
      <c r="G1340" s="8"/>
      <c r="H1340" s="8"/>
      <c r="I1340" s="8"/>
      <c r="J1340" s="8"/>
      <c r="K1340" s="8"/>
      <c r="L1340" s="8"/>
      <c r="M1340" s="8"/>
      <c r="N1340" s="8"/>
      <c r="O1340" s="8"/>
    </row>
    <row r="1341" ht="13.65" customHeight="1">
      <c r="A1341" s="8"/>
      <c r="B1341" s="8"/>
      <c r="C1341" s="8"/>
      <c r="D1341" s="8"/>
      <c r="E1341" s="8"/>
      <c r="F1341" s="8"/>
      <c r="G1341" s="8"/>
      <c r="H1341" s="8"/>
      <c r="I1341" s="8"/>
      <c r="J1341" s="8"/>
      <c r="K1341" s="8"/>
      <c r="L1341" s="8"/>
      <c r="M1341" s="8"/>
      <c r="N1341" s="8"/>
      <c r="O1341" s="8"/>
    </row>
    <row r="1342" ht="13.65" customHeight="1">
      <c r="A1342" s="8"/>
      <c r="B1342" s="8"/>
      <c r="C1342" s="8"/>
      <c r="D1342" s="8"/>
      <c r="E1342" s="8"/>
      <c r="F1342" s="8"/>
      <c r="G1342" s="8"/>
      <c r="H1342" s="8"/>
      <c r="I1342" s="8"/>
      <c r="J1342" s="8"/>
      <c r="K1342" s="8"/>
      <c r="L1342" s="8"/>
      <c r="M1342" s="8"/>
      <c r="N1342" s="8"/>
      <c r="O1342" s="8"/>
    </row>
    <row r="1343" ht="13.65" customHeight="1">
      <c r="A1343" s="8"/>
      <c r="B1343" s="8"/>
      <c r="C1343" s="8"/>
      <c r="D1343" s="8"/>
      <c r="E1343" s="8"/>
      <c r="F1343" s="8"/>
      <c r="G1343" s="8"/>
      <c r="H1343" s="8"/>
      <c r="I1343" s="8"/>
      <c r="J1343" s="8"/>
      <c r="K1343" s="8"/>
      <c r="L1343" s="8"/>
      <c r="M1343" s="8"/>
      <c r="N1343" s="8"/>
      <c r="O1343" s="8"/>
    </row>
    <row r="1344" ht="13.65" customHeight="1">
      <c r="A1344" s="8"/>
      <c r="B1344" s="8"/>
      <c r="C1344" s="8"/>
      <c r="D1344" s="8"/>
      <c r="E1344" s="8"/>
      <c r="F1344" s="8"/>
      <c r="G1344" s="8"/>
      <c r="H1344" s="8"/>
      <c r="I1344" s="8"/>
      <c r="J1344" s="8"/>
      <c r="K1344" s="8"/>
      <c r="L1344" s="8"/>
      <c r="M1344" s="8"/>
      <c r="N1344" s="8"/>
      <c r="O1344" s="8"/>
    </row>
    <row r="1345" ht="13.65" customHeight="1">
      <c r="A1345" s="8"/>
      <c r="B1345" s="8"/>
      <c r="C1345" s="8"/>
      <c r="D1345" s="8"/>
      <c r="E1345" s="8"/>
      <c r="F1345" s="8"/>
      <c r="G1345" s="8"/>
      <c r="H1345" s="8"/>
      <c r="I1345" s="8"/>
      <c r="J1345" s="8"/>
      <c r="K1345" s="8"/>
      <c r="L1345" s="8"/>
      <c r="M1345" s="8"/>
      <c r="N1345" s="8"/>
      <c r="O1345" s="8"/>
    </row>
    <row r="1346" ht="13.65" customHeight="1">
      <c r="A1346" s="8"/>
      <c r="B1346" s="8"/>
      <c r="C1346" s="8"/>
      <c r="D1346" s="8"/>
      <c r="E1346" s="8"/>
      <c r="F1346" s="8"/>
      <c r="G1346" s="8"/>
      <c r="H1346" s="8"/>
      <c r="I1346" s="8"/>
      <c r="J1346" s="8"/>
      <c r="K1346" s="8"/>
      <c r="L1346" s="8"/>
      <c r="M1346" s="8"/>
      <c r="N1346" s="8"/>
      <c r="O1346" s="8"/>
    </row>
    <row r="1347" ht="13.65" customHeight="1">
      <c r="A1347" s="8"/>
      <c r="B1347" s="8"/>
      <c r="C1347" s="8"/>
      <c r="D1347" s="8"/>
      <c r="E1347" s="8"/>
      <c r="F1347" s="8"/>
      <c r="G1347" s="8"/>
      <c r="H1347" s="8"/>
      <c r="I1347" s="8"/>
      <c r="J1347" s="8"/>
      <c r="K1347" s="8"/>
      <c r="L1347" s="8"/>
      <c r="M1347" s="8"/>
      <c r="N1347" s="8"/>
      <c r="O1347" s="8"/>
    </row>
    <row r="1348" ht="13.65" customHeight="1">
      <c r="A1348" s="8"/>
      <c r="B1348" s="8"/>
      <c r="C1348" s="8"/>
      <c r="D1348" s="8"/>
      <c r="E1348" s="8"/>
      <c r="F1348" s="8"/>
      <c r="G1348" s="8"/>
      <c r="H1348" s="8"/>
      <c r="I1348" s="8"/>
      <c r="J1348" s="8"/>
      <c r="K1348" s="8"/>
      <c r="L1348" s="8"/>
      <c r="M1348" s="8"/>
      <c r="N1348" s="8"/>
      <c r="O1348" s="8"/>
    </row>
    <row r="1349" ht="13.65" customHeight="1">
      <c r="A1349" s="8"/>
      <c r="B1349" s="8"/>
      <c r="C1349" s="8"/>
      <c r="D1349" s="8"/>
      <c r="E1349" s="8"/>
      <c r="F1349" s="8"/>
      <c r="G1349" s="8"/>
      <c r="H1349" s="8"/>
      <c r="I1349" s="8"/>
      <c r="J1349" s="8"/>
      <c r="K1349" s="8"/>
      <c r="L1349" s="8"/>
      <c r="M1349" s="8"/>
      <c r="N1349" s="8"/>
      <c r="O1349" s="8"/>
    </row>
    <row r="1350" ht="13.65" customHeight="1">
      <c r="A1350" s="8"/>
      <c r="B1350" s="8"/>
      <c r="C1350" s="8"/>
      <c r="D1350" s="8"/>
      <c r="E1350" s="8"/>
      <c r="F1350" s="8"/>
      <c r="G1350" s="8"/>
      <c r="H1350" s="8"/>
      <c r="I1350" s="8"/>
      <c r="J1350" s="8"/>
      <c r="K1350" s="8"/>
      <c r="L1350" s="8"/>
      <c r="M1350" s="8"/>
      <c r="N1350" s="8"/>
      <c r="O1350" s="8"/>
    </row>
    <row r="1351" ht="13.65" customHeight="1">
      <c r="A1351" s="8"/>
      <c r="B1351" s="8"/>
      <c r="C1351" s="8"/>
      <c r="D1351" s="8"/>
      <c r="E1351" s="8"/>
      <c r="F1351" s="8"/>
      <c r="G1351" s="8"/>
      <c r="H1351" s="8"/>
      <c r="I1351" s="8"/>
      <c r="J1351" s="8"/>
      <c r="K1351" s="8"/>
      <c r="L1351" s="8"/>
      <c r="M1351" s="8"/>
      <c r="N1351" s="8"/>
      <c r="O1351" s="8"/>
    </row>
    <row r="1352" ht="13.65" customHeight="1">
      <c r="A1352" s="8"/>
      <c r="B1352" s="8"/>
      <c r="C1352" s="8"/>
      <c r="D1352" s="8"/>
      <c r="E1352" s="8"/>
      <c r="F1352" s="8"/>
      <c r="G1352" s="8"/>
      <c r="H1352" s="8"/>
      <c r="I1352" s="8"/>
      <c r="J1352" s="8"/>
      <c r="K1352" s="8"/>
      <c r="L1352" s="8"/>
      <c r="M1352" s="8"/>
      <c r="N1352" s="8"/>
      <c r="O1352" s="8"/>
    </row>
    <row r="1353" ht="13.65" customHeight="1">
      <c r="A1353" s="8"/>
      <c r="B1353" s="8"/>
      <c r="C1353" s="8"/>
      <c r="D1353" s="8"/>
      <c r="E1353" s="8"/>
      <c r="F1353" s="8"/>
      <c r="G1353" s="8"/>
      <c r="H1353" s="8"/>
      <c r="I1353" s="8"/>
      <c r="J1353" s="8"/>
      <c r="K1353" s="8"/>
      <c r="L1353" s="8"/>
      <c r="M1353" s="8"/>
      <c r="N1353" s="8"/>
      <c r="O1353" s="8"/>
    </row>
    <row r="1354" ht="13.65" customHeight="1">
      <c r="A1354" s="8"/>
      <c r="B1354" s="8"/>
      <c r="C1354" s="8"/>
      <c r="D1354" s="8"/>
      <c r="E1354" s="8"/>
      <c r="F1354" s="8"/>
      <c r="G1354" s="8"/>
      <c r="H1354" s="8"/>
      <c r="I1354" s="8"/>
      <c r="J1354" s="8"/>
      <c r="K1354" s="8"/>
      <c r="L1354" s="8"/>
      <c r="M1354" s="8"/>
      <c r="N1354" s="8"/>
      <c r="O1354" s="8"/>
    </row>
    <row r="1355" ht="13.65" customHeight="1">
      <c r="A1355" s="8"/>
      <c r="B1355" s="8"/>
      <c r="C1355" s="8"/>
      <c r="D1355" s="8"/>
      <c r="E1355" s="8"/>
      <c r="F1355" s="8"/>
      <c r="G1355" s="8"/>
      <c r="H1355" s="8"/>
      <c r="I1355" s="8"/>
      <c r="J1355" s="8"/>
      <c r="K1355" s="8"/>
      <c r="L1355" s="8"/>
      <c r="M1355" s="8"/>
      <c r="N1355" s="8"/>
      <c r="O1355" s="8"/>
    </row>
    <row r="1356" ht="13.65" customHeight="1">
      <c r="A1356" s="8"/>
      <c r="B1356" s="8"/>
      <c r="C1356" s="8"/>
      <c r="D1356" s="8"/>
      <c r="E1356" s="8"/>
      <c r="F1356" s="8"/>
      <c r="G1356" s="8"/>
      <c r="H1356" s="8"/>
      <c r="I1356" s="8"/>
      <c r="J1356" s="8"/>
      <c r="K1356" s="8"/>
      <c r="L1356" s="8"/>
      <c r="M1356" s="8"/>
      <c r="N1356" s="8"/>
      <c r="O1356" s="8"/>
    </row>
    <row r="1357" ht="13.65" customHeight="1">
      <c r="A1357" s="8"/>
      <c r="B1357" s="8"/>
      <c r="C1357" s="8"/>
      <c r="D1357" s="8"/>
      <c r="E1357" s="8"/>
      <c r="F1357" s="8"/>
      <c r="G1357" s="8"/>
      <c r="H1357" s="8"/>
      <c r="I1357" s="8"/>
      <c r="J1357" s="8"/>
      <c r="K1357" s="8"/>
      <c r="L1357" s="8"/>
      <c r="M1357" s="8"/>
      <c r="N1357" s="8"/>
      <c r="O1357" s="8"/>
    </row>
    <row r="1358" ht="13.65" customHeight="1">
      <c r="A1358" s="8"/>
      <c r="B1358" s="8"/>
      <c r="C1358" s="8"/>
      <c r="D1358" s="8"/>
      <c r="E1358" s="8"/>
      <c r="F1358" s="8"/>
      <c r="G1358" s="8"/>
      <c r="H1358" s="8"/>
      <c r="I1358" s="8"/>
      <c r="J1358" s="8"/>
      <c r="K1358" s="8"/>
      <c r="L1358" s="8"/>
      <c r="M1358" s="8"/>
      <c r="N1358" s="8"/>
      <c r="O1358" s="8"/>
    </row>
    <row r="1359" ht="13.65" customHeight="1">
      <c r="A1359" s="8"/>
      <c r="B1359" s="8"/>
      <c r="C1359" s="8"/>
      <c r="D1359" s="8"/>
      <c r="E1359" s="8"/>
      <c r="F1359" s="8"/>
      <c r="G1359" s="8"/>
      <c r="H1359" s="8"/>
      <c r="I1359" s="8"/>
      <c r="J1359" s="8"/>
      <c r="K1359" s="8"/>
      <c r="L1359" s="8"/>
      <c r="M1359" s="8"/>
      <c r="N1359" s="8"/>
      <c r="O1359" s="8"/>
    </row>
    <row r="1360" ht="13.65" customHeight="1">
      <c r="A1360" s="8"/>
      <c r="B1360" s="8"/>
      <c r="C1360" s="8"/>
      <c r="D1360" s="8"/>
      <c r="E1360" s="8"/>
      <c r="F1360" s="8"/>
      <c r="G1360" s="8"/>
      <c r="H1360" s="8"/>
      <c r="I1360" s="8"/>
      <c r="J1360" s="8"/>
      <c r="K1360" s="8"/>
      <c r="L1360" s="8"/>
      <c r="M1360" s="8"/>
      <c r="N1360" s="8"/>
      <c r="O1360" s="8"/>
    </row>
    <row r="1361" ht="13.65" customHeight="1">
      <c r="A1361" s="8"/>
      <c r="B1361" s="8"/>
      <c r="C1361" s="8"/>
      <c r="D1361" s="8"/>
      <c r="E1361" s="8"/>
      <c r="F1361" s="8"/>
      <c r="G1361" s="8"/>
      <c r="H1361" s="8"/>
      <c r="I1361" s="8"/>
      <c r="J1361" s="8"/>
      <c r="K1361" s="8"/>
      <c r="L1361" s="8"/>
      <c r="M1361" s="8"/>
      <c r="N1361" s="8"/>
      <c r="O1361" s="8"/>
    </row>
    <row r="1362" ht="13.65" customHeight="1">
      <c r="A1362" s="8"/>
      <c r="B1362" s="8"/>
      <c r="C1362" s="8"/>
      <c r="D1362" s="8"/>
      <c r="E1362" s="8"/>
      <c r="F1362" s="8"/>
      <c r="G1362" s="8"/>
      <c r="H1362" s="8"/>
      <c r="I1362" s="8"/>
      <c r="J1362" s="8"/>
      <c r="K1362" s="8"/>
      <c r="L1362" s="8"/>
      <c r="M1362" s="8"/>
      <c r="N1362" s="8"/>
      <c r="O1362" s="8"/>
    </row>
    <row r="1363" ht="13.65" customHeight="1">
      <c r="A1363" s="8"/>
      <c r="B1363" s="8"/>
      <c r="C1363" s="8"/>
      <c r="D1363" s="8"/>
      <c r="E1363" s="8"/>
      <c r="F1363" s="8"/>
      <c r="G1363" s="8"/>
      <c r="H1363" s="8"/>
      <c r="I1363" s="8"/>
      <c r="J1363" s="8"/>
      <c r="K1363" s="8"/>
      <c r="L1363" s="8"/>
      <c r="M1363" s="8"/>
      <c r="N1363" s="8"/>
      <c r="O1363" s="8"/>
    </row>
    <row r="1364" ht="13.65" customHeight="1">
      <c r="A1364" s="8"/>
      <c r="B1364" s="8"/>
      <c r="C1364" s="8"/>
      <c r="D1364" s="8"/>
      <c r="E1364" s="8"/>
      <c r="F1364" s="8"/>
      <c r="G1364" s="8"/>
      <c r="H1364" s="8"/>
      <c r="I1364" s="8"/>
      <c r="J1364" s="8"/>
      <c r="K1364" s="8"/>
      <c r="L1364" s="8"/>
      <c r="M1364" s="8"/>
      <c r="N1364" s="8"/>
      <c r="O1364" s="8"/>
    </row>
    <row r="1365" ht="13.65" customHeight="1">
      <c r="A1365" s="8"/>
      <c r="B1365" s="8"/>
      <c r="C1365" s="8"/>
      <c r="D1365" s="8"/>
      <c r="E1365" s="8"/>
      <c r="F1365" s="8"/>
      <c r="G1365" s="8"/>
      <c r="H1365" s="8"/>
      <c r="I1365" s="8"/>
      <c r="J1365" s="8"/>
      <c r="K1365" s="8"/>
      <c r="L1365" s="8"/>
      <c r="M1365" s="8"/>
      <c r="N1365" s="8"/>
      <c r="O1365" s="8"/>
    </row>
    <row r="1366" ht="13.65" customHeight="1">
      <c r="A1366" s="8"/>
      <c r="B1366" s="8"/>
      <c r="C1366" s="8"/>
      <c r="D1366" s="8"/>
      <c r="E1366" s="8"/>
      <c r="F1366" s="8"/>
      <c r="G1366" s="8"/>
      <c r="H1366" s="8"/>
      <c r="I1366" s="8"/>
      <c r="J1366" s="8"/>
      <c r="K1366" s="8"/>
      <c r="L1366" s="8"/>
      <c r="M1366" s="8"/>
      <c r="N1366" s="8"/>
      <c r="O1366" s="8"/>
    </row>
    <row r="1367" ht="13.65" customHeight="1">
      <c r="A1367" s="8"/>
      <c r="B1367" s="8"/>
      <c r="C1367" s="8"/>
      <c r="D1367" s="8"/>
      <c r="E1367" s="8"/>
      <c r="F1367" s="8"/>
      <c r="G1367" s="8"/>
      <c r="H1367" s="8"/>
      <c r="I1367" s="8"/>
      <c r="J1367" s="8"/>
      <c r="K1367" s="8"/>
      <c r="L1367" s="8"/>
      <c r="M1367" s="8"/>
      <c r="N1367" s="8"/>
      <c r="O1367" s="8"/>
    </row>
    <row r="1368" ht="13.65" customHeight="1">
      <c r="A1368" s="8"/>
      <c r="B1368" s="8"/>
      <c r="C1368" s="8"/>
      <c r="D1368" s="8"/>
      <c r="E1368" s="8"/>
      <c r="F1368" s="8"/>
      <c r="G1368" s="8"/>
      <c r="H1368" s="8"/>
      <c r="I1368" s="8"/>
      <c r="J1368" s="8"/>
      <c r="K1368" s="8"/>
      <c r="L1368" s="8"/>
      <c r="M1368" s="8"/>
      <c r="N1368" s="8"/>
      <c r="O1368" s="8"/>
    </row>
    <row r="1369" ht="13.65" customHeight="1">
      <c r="A1369" s="8"/>
      <c r="B1369" s="8"/>
      <c r="C1369" s="8"/>
      <c r="D1369" s="8"/>
      <c r="E1369" s="8"/>
      <c r="F1369" s="8"/>
      <c r="G1369" s="8"/>
      <c r="H1369" s="8"/>
      <c r="I1369" s="8"/>
      <c r="J1369" s="8"/>
      <c r="K1369" s="8"/>
      <c r="L1369" s="8"/>
      <c r="M1369" s="8"/>
      <c r="N1369" s="8"/>
      <c r="O1369" s="8"/>
    </row>
    <row r="1370" ht="13.65" customHeight="1">
      <c r="A1370" s="8"/>
      <c r="B1370" s="8"/>
      <c r="C1370" s="8"/>
      <c r="D1370" s="8"/>
      <c r="E1370" s="8"/>
      <c r="F1370" s="8"/>
      <c r="G1370" s="8"/>
      <c r="H1370" s="8"/>
      <c r="I1370" s="8"/>
      <c r="J1370" s="8"/>
      <c r="K1370" s="8"/>
      <c r="L1370" s="8"/>
      <c r="M1370" s="8"/>
      <c r="N1370" s="8"/>
      <c r="O1370" s="8"/>
    </row>
    <row r="1371" ht="13.65" customHeight="1">
      <c r="A1371" s="8"/>
      <c r="B1371" s="8"/>
      <c r="C1371" s="8"/>
      <c r="D1371" s="8"/>
      <c r="E1371" s="8"/>
      <c r="F1371" s="8"/>
      <c r="G1371" s="8"/>
      <c r="H1371" s="8"/>
      <c r="I1371" s="8"/>
      <c r="J1371" s="8"/>
      <c r="K1371" s="8"/>
      <c r="L1371" s="8"/>
      <c r="M1371" s="8"/>
      <c r="N1371" s="8"/>
      <c r="O1371" s="8"/>
    </row>
    <row r="1372" ht="13.65" customHeight="1">
      <c r="A1372" s="8"/>
      <c r="B1372" s="8"/>
      <c r="C1372" s="8"/>
      <c r="D1372" s="8"/>
      <c r="E1372" s="8"/>
      <c r="F1372" s="8"/>
      <c r="G1372" s="8"/>
      <c r="H1372" s="8"/>
      <c r="I1372" s="8"/>
      <c r="J1372" s="8"/>
      <c r="K1372" s="8"/>
      <c r="L1372" s="8"/>
      <c r="M1372" s="8"/>
      <c r="N1372" s="8"/>
      <c r="O1372" s="8"/>
    </row>
    <row r="1373" ht="13.65" customHeight="1">
      <c r="A1373" s="8"/>
      <c r="B1373" s="8"/>
      <c r="C1373" s="8"/>
      <c r="D1373" s="8"/>
      <c r="E1373" s="8"/>
      <c r="F1373" s="8"/>
      <c r="G1373" s="8"/>
      <c r="H1373" s="8"/>
      <c r="I1373" s="8"/>
      <c r="J1373" s="8"/>
      <c r="K1373" s="8"/>
      <c r="L1373" s="8"/>
      <c r="M1373" s="8"/>
      <c r="N1373" s="8"/>
      <c r="O1373" s="8"/>
    </row>
    <row r="1374" ht="13.65" customHeight="1">
      <c r="A1374" s="8"/>
      <c r="B1374" s="8"/>
      <c r="C1374" s="8"/>
      <c r="D1374" s="8"/>
      <c r="E1374" s="8"/>
      <c r="F1374" s="8"/>
      <c r="G1374" s="8"/>
      <c r="H1374" s="8"/>
      <c r="I1374" s="8"/>
      <c r="J1374" s="8"/>
      <c r="K1374" s="8"/>
      <c r="L1374" s="8"/>
      <c r="M1374" s="8"/>
      <c r="N1374" s="8"/>
      <c r="O1374" s="8"/>
    </row>
    <row r="1375" ht="13.65" customHeight="1">
      <c r="A1375" s="8"/>
      <c r="B1375" s="8"/>
      <c r="C1375" s="8"/>
      <c r="D1375" s="8"/>
      <c r="E1375" s="8"/>
      <c r="F1375" s="8"/>
      <c r="G1375" s="8"/>
      <c r="H1375" s="8"/>
      <c r="I1375" s="8"/>
      <c r="J1375" s="8"/>
      <c r="K1375" s="8"/>
      <c r="L1375" s="8"/>
      <c r="M1375" s="8"/>
      <c r="N1375" s="8"/>
      <c r="O1375" s="8"/>
    </row>
    <row r="1376" ht="13.65" customHeight="1">
      <c r="A1376" s="8"/>
      <c r="B1376" s="8"/>
      <c r="C1376" s="8"/>
      <c r="D1376" s="8"/>
      <c r="E1376" s="8"/>
      <c r="F1376" s="8"/>
      <c r="G1376" s="8"/>
      <c r="H1376" s="8"/>
      <c r="I1376" s="8"/>
      <c r="J1376" s="8"/>
      <c r="K1376" s="8"/>
      <c r="L1376" s="8"/>
      <c r="M1376" s="8"/>
      <c r="N1376" s="8"/>
      <c r="O1376" s="8"/>
    </row>
    <row r="1377" ht="13.65" customHeight="1">
      <c r="A1377" s="8"/>
      <c r="B1377" s="8"/>
      <c r="C1377" s="8"/>
      <c r="D1377" s="8"/>
      <c r="E1377" s="8"/>
      <c r="F1377" s="8"/>
      <c r="G1377" s="8"/>
      <c r="H1377" s="8"/>
      <c r="I1377" s="8"/>
      <c r="J1377" s="8"/>
      <c r="K1377" s="8"/>
      <c r="L1377" s="8"/>
      <c r="M1377" s="8"/>
      <c r="N1377" s="8"/>
      <c r="O1377" s="8"/>
    </row>
    <row r="1378" ht="13.65" customHeight="1">
      <c r="A1378" s="8"/>
      <c r="B1378" s="8"/>
      <c r="C1378" s="8"/>
      <c r="D1378" s="8"/>
      <c r="E1378" s="8"/>
      <c r="F1378" s="8"/>
      <c r="G1378" s="8"/>
      <c r="H1378" s="8"/>
      <c r="I1378" s="8"/>
      <c r="J1378" s="8"/>
      <c r="K1378" s="8"/>
      <c r="L1378" s="8"/>
      <c r="M1378" s="8"/>
      <c r="N1378" s="8"/>
      <c r="O1378" s="8"/>
    </row>
    <row r="1379" ht="13.65" customHeight="1">
      <c r="A1379" s="8"/>
      <c r="B1379" s="8"/>
      <c r="C1379" s="8"/>
      <c r="D1379" s="8"/>
      <c r="E1379" s="8"/>
      <c r="F1379" s="8"/>
      <c r="G1379" s="8"/>
      <c r="H1379" s="8"/>
      <c r="I1379" s="8"/>
      <c r="J1379" s="8"/>
      <c r="K1379" s="8"/>
      <c r="L1379" s="8"/>
      <c r="M1379" s="8"/>
      <c r="N1379" s="8"/>
      <c r="O1379" s="8"/>
    </row>
    <row r="1380" ht="13.65" customHeight="1">
      <c r="A1380" s="8"/>
      <c r="B1380" s="8"/>
      <c r="C1380" s="8"/>
      <c r="D1380" s="8"/>
      <c r="E1380" s="8"/>
      <c r="F1380" s="8"/>
      <c r="G1380" s="8"/>
      <c r="H1380" s="8"/>
      <c r="I1380" s="8"/>
      <c r="J1380" s="8"/>
      <c r="K1380" s="8"/>
      <c r="L1380" s="8"/>
      <c r="M1380" s="8"/>
      <c r="N1380" s="8"/>
      <c r="O1380" s="8"/>
    </row>
    <row r="1381" ht="13.65" customHeight="1">
      <c r="A1381" s="8"/>
      <c r="B1381" s="8"/>
      <c r="C1381" s="8"/>
      <c r="D1381" s="8"/>
      <c r="E1381" s="8"/>
      <c r="F1381" s="8"/>
      <c r="G1381" s="8"/>
      <c r="H1381" s="8"/>
      <c r="I1381" s="8"/>
      <c r="J1381" s="8"/>
      <c r="K1381" s="8"/>
      <c r="L1381" s="8"/>
      <c r="M1381" s="8"/>
      <c r="N1381" s="8"/>
      <c r="O1381" s="8"/>
    </row>
    <row r="1382" ht="13.65" customHeight="1">
      <c r="A1382" s="8"/>
      <c r="B1382" s="8"/>
      <c r="C1382" s="8"/>
      <c r="D1382" s="8"/>
      <c r="E1382" s="8"/>
      <c r="F1382" s="8"/>
      <c r="G1382" s="8"/>
      <c r="H1382" s="8"/>
      <c r="I1382" s="8"/>
      <c r="J1382" s="8"/>
      <c r="K1382" s="8"/>
      <c r="L1382" s="8"/>
      <c r="M1382" s="8"/>
      <c r="N1382" s="8"/>
      <c r="O1382" s="8"/>
    </row>
    <row r="1383" ht="13.65" customHeight="1">
      <c r="A1383" s="8"/>
      <c r="B1383" s="8"/>
      <c r="C1383" s="8"/>
      <c r="D1383" s="8"/>
      <c r="E1383" s="8"/>
      <c r="F1383" s="8"/>
      <c r="G1383" s="8"/>
      <c r="H1383" s="8"/>
      <c r="I1383" s="8"/>
      <c r="J1383" s="8"/>
      <c r="K1383" s="8"/>
      <c r="L1383" s="8"/>
      <c r="M1383" s="8"/>
      <c r="N1383" s="8"/>
      <c r="O1383" s="8"/>
    </row>
    <row r="1384" ht="13.65" customHeight="1">
      <c r="A1384" s="8"/>
      <c r="B1384" s="8"/>
      <c r="C1384" s="8"/>
      <c r="D1384" s="8"/>
      <c r="E1384" s="8"/>
      <c r="F1384" s="8"/>
      <c r="G1384" s="8"/>
      <c r="H1384" s="8"/>
      <c r="I1384" s="8"/>
      <c r="J1384" s="8"/>
      <c r="K1384" s="8"/>
      <c r="L1384" s="8"/>
      <c r="M1384" s="8"/>
      <c r="N1384" s="8"/>
      <c r="O1384" s="8"/>
    </row>
    <row r="1385" ht="13.65" customHeight="1">
      <c r="A1385" s="8"/>
      <c r="B1385" s="8"/>
      <c r="C1385" s="8"/>
      <c r="D1385" s="8"/>
      <c r="E1385" s="8"/>
      <c r="F1385" s="8"/>
      <c r="G1385" s="8"/>
      <c r="H1385" s="8"/>
      <c r="I1385" s="8"/>
      <c r="J1385" s="8"/>
      <c r="K1385" s="8"/>
      <c r="L1385" s="8"/>
      <c r="M1385" s="8"/>
      <c r="N1385" s="8"/>
      <c r="O1385" s="8"/>
    </row>
    <row r="1386" ht="13.65" customHeight="1">
      <c r="A1386" s="8"/>
      <c r="B1386" s="8"/>
      <c r="C1386" s="8"/>
      <c r="D1386" s="8"/>
      <c r="E1386" s="8"/>
      <c r="F1386" s="8"/>
      <c r="G1386" s="8"/>
      <c r="H1386" s="8"/>
      <c r="I1386" s="8"/>
      <c r="J1386" s="8"/>
      <c r="K1386" s="8"/>
      <c r="L1386" s="8"/>
      <c r="M1386" s="8"/>
      <c r="N1386" s="8"/>
      <c r="O1386" s="8"/>
    </row>
    <row r="1387" ht="13.65" customHeight="1">
      <c r="A1387" s="8"/>
      <c r="B1387" s="8"/>
      <c r="C1387" s="8"/>
      <c r="D1387" s="8"/>
      <c r="E1387" s="8"/>
      <c r="F1387" s="8"/>
      <c r="G1387" s="8"/>
      <c r="H1387" s="8"/>
      <c r="I1387" s="8"/>
      <c r="J1387" s="8"/>
      <c r="K1387" s="8"/>
      <c r="L1387" s="8"/>
      <c r="M1387" s="8"/>
      <c r="N1387" s="8"/>
      <c r="O1387" s="8"/>
    </row>
    <row r="1388" ht="13.65" customHeight="1">
      <c r="A1388" s="8"/>
      <c r="B1388" s="8"/>
      <c r="C1388" s="8"/>
      <c r="D1388" s="8"/>
      <c r="E1388" s="8"/>
      <c r="F1388" s="8"/>
      <c r="G1388" s="8"/>
      <c r="H1388" s="8"/>
      <c r="I1388" s="8"/>
      <c r="J1388" s="8"/>
      <c r="K1388" s="8"/>
      <c r="L1388" s="8"/>
      <c r="M1388" s="8"/>
      <c r="N1388" s="8"/>
      <c r="O1388" s="8"/>
    </row>
    <row r="1389" ht="13.65" customHeight="1">
      <c r="A1389" s="8"/>
      <c r="B1389" s="8"/>
      <c r="C1389" s="8"/>
      <c r="D1389" s="8"/>
      <c r="E1389" s="8"/>
      <c r="F1389" s="8"/>
      <c r="G1389" s="8"/>
      <c r="H1389" s="8"/>
      <c r="I1389" s="8"/>
      <c r="J1389" s="8"/>
      <c r="K1389" s="8"/>
      <c r="L1389" s="8"/>
      <c r="M1389" s="8"/>
      <c r="N1389" s="8"/>
      <c r="O1389" s="8"/>
    </row>
    <row r="1390" ht="13.65" customHeight="1">
      <c r="A1390" s="8"/>
      <c r="B1390" s="8"/>
      <c r="C1390" s="8"/>
      <c r="D1390" s="8"/>
      <c r="E1390" s="8"/>
      <c r="F1390" s="8"/>
      <c r="G1390" s="8"/>
      <c r="H1390" s="8"/>
      <c r="I1390" s="8"/>
      <c r="J1390" s="8"/>
      <c r="K1390" s="8"/>
      <c r="L1390" s="8"/>
      <c r="M1390" s="8"/>
      <c r="N1390" s="8"/>
      <c r="O1390" s="8"/>
    </row>
    <row r="1391" ht="13.65" customHeight="1">
      <c r="A1391" s="8"/>
      <c r="B1391" s="8"/>
      <c r="C1391" s="8"/>
      <c r="D1391" s="8"/>
      <c r="E1391" s="8"/>
      <c r="F1391" s="8"/>
      <c r="G1391" s="8"/>
      <c r="H1391" s="8"/>
      <c r="I1391" s="8"/>
      <c r="J1391" s="8"/>
      <c r="K1391" s="8"/>
      <c r="L1391" s="8"/>
      <c r="M1391" s="8"/>
      <c r="N1391" s="8"/>
      <c r="O1391" s="8"/>
    </row>
    <row r="1392" ht="13.65" customHeight="1">
      <c r="A1392" s="8"/>
      <c r="B1392" s="8"/>
      <c r="C1392" s="8"/>
      <c r="D1392" s="8"/>
      <c r="E1392" s="8"/>
      <c r="F1392" s="8"/>
      <c r="G1392" s="8"/>
      <c r="H1392" s="8"/>
      <c r="I1392" s="8"/>
      <c r="J1392" s="8"/>
      <c r="K1392" s="8"/>
      <c r="L1392" s="8"/>
      <c r="M1392" s="8"/>
      <c r="N1392" s="8"/>
      <c r="O1392" s="8"/>
    </row>
    <row r="1393" ht="13.65" customHeight="1">
      <c r="A1393" s="8"/>
      <c r="B1393" s="8"/>
      <c r="C1393" s="8"/>
      <c r="D1393" s="8"/>
      <c r="E1393" s="8"/>
      <c r="F1393" s="8"/>
      <c r="G1393" s="8"/>
      <c r="H1393" s="8"/>
      <c r="I1393" s="8"/>
      <c r="J1393" s="8"/>
      <c r="K1393" s="8"/>
      <c r="L1393" s="8"/>
      <c r="M1393" s="8"/>
      <c r="N1393" s="8"/>
      <c r="O1393" s="8"/>
    </row>
    <row r="1394" ht="13.65" customHeight="1">
      <c r="A1394" s="8"/>
      <c r="B1394" s="8"/>
      <c r="C1394" s="8"/>
      <c r="D1394" s="8"/>
      <c r="E1394" s="8"/>
      <c r="F1394" s="8"/>
      <c r="G1394" s="8"/>
      <c r="H1394" s="8"/>
      <c r="I1394" s="8"/>
      <c r="J1394" s="8"/>
      <c r="K1394" s="8"/>
      <c r="L1394" s="8"/>
      <c r="M1394" s="8"/>
      <c r="N1394" s="8"/>
      <c r="O1394" s="8"/>
    </row>
    <row r="1395" ht="13.65" customHeight="1">
      <c r="A1395" s="8"/>
      <c r="B1395" s="8"/>
      <c r="C1395" s="8"/>
      <c r="D1395" s="8"/>
      <c r="E1395" s="8"/>
      <c r="F1395" s="8"/>
      <c r="G1395" s="8"/>
      <c r="H1395" s="8"/>
      <c r="I1395" s="8"/>
      <c r="J1395" s="8"/>
      <c r="K1395" s="8"/>
      <c r="L1395" s="8"/>
      <c r="M1395" s="8"/>
      <c r="N1395" s="8"/>
      <c r="O1395" s="8"/>
    </row>
    <row r="1396" ht="13.65" customHeight="1">
      <c r="A1396" s="8"/>
      <c r="B1396" s="8"/>
      <c r="C1396" s="8"/>
      <c r="D1396" s="8"/>
      <c r="E1396" s="8"/>
      <c r="F1396" s="8"/>
      <c r="G1396" s="8"/>
      <c r="H1396" s="8"/>
      <c r="I1396" s="8"/>
      <c r="J1396" s="8"/>
      <c r="K1396" s="8"/>
      <c r="L1396" s="8"/>
      <c r="M1396" s="8"/>
      <c r="N1396" s="8"/>
      <c r="O1396" s="8"/>
    </row>
    <row r="1397" ht="13.65" customHeight="1">
      <c r="A1397" s="8"/>
      <c r="B1397" s="8"/>
      <c r="C1397" s="8"/>
      <c r="D1397" s="8"/>
      <c r="E1397" s="8"/>
      <c r="F1397" s="8"/>
      <c r="G1397" s="8"/>
      <c r="H1397" s="8"/>
      <c r="I1397" s="8"/>
      <c r="J1397" s="8"/>
      <c r="K1397" s="8"/>
      <c r="L1397" s="8"/>
      <c r="M1397" s="8"/>
      <c r="N1397" s="8"/>
      <c r="O1397" s="8"/>
    </row>
    <row r="1398" ht="13.65" customHeight="1">
      <c r="A1398" s="8"/>
      <c r="B1398" s="8"/>
      <c r="C1398" s="8"/>
      <c r="D1398" s="8"/>
      <c r="E1398" s="8"/>
      <c r="F1398" s="8"/>
      <c r="G1398" s="8"/>
      <c r="H1398" s="8"/>
      <c r="I1398" s="8"/>
      <c r="J1398" s="8"/>
      <c r="K1398" s="8"/>
      <c r="L1398" s="8"/>
      <c r="M1398" s="8"/>
      <c r="N1398" s="8"/>
      <c r="O1398" s="8"/>
    </row>
    <row r="1399" ht="13.65" customHeight="1">
      <c r="A1399" s="8"/>
      <c r="B1399" s="8"/>
      <c r="C1399" s="8"/>
      <c r="D1399" s="8"/>
      <c r="E1399" s="8"/>
      <c r="F1399" s="8"/>
      <c r="G1399" s="8"/>
      <c r="H1399" s="8"/>
      <c r="I1399" s="8"/>
      <c r="J1399" s="8"/>
      <c r="K1399" s="8"/>
      <c r="L1399" s="8"/>
      <c r="M1399" s="8"/>
      <c r="N1399" s="8"/>
      <c r="O1399" s="8"/>
    </row>
    <row r="1400" ht="13.65" customHeight="1">
      <c r="A1400" s="8"/>
      <c r="B1400" s="8"/>
      <c r="C1400" s="8"/>
      <c r="D1400" s="8"/>
      <c r="E1400" s="8"/>
      <c r="F1400" s="8"/>
      <c r="G1400" s="8"/>
      <c r="H1400" s="8"/>
      <c r="I1400" s="8"/>
      <c r="J1400" s="8"/>
      <c r="K1400" s="8"/>
      <c r="L1400" s="8"/>
      <c r="M1400" s="8"/>
      <c r="N1400" s="8"/>
      <c r="O1400" s="8"/>
    </row>
    <row r="1401" ht="13.65" customHeight="1">
      <c r="A1401" s="8"/>
      <c r="B1401" s="8"/>
      <c r="C1401" s="8"/>
      <c r="D1401" s="8"/>
      <c r="E1401" s="8"/>
      <c r="F1401" s="8"/>
      <c r="G1401" s="8"/>
      <c r="H1401" s="8"/>
      <c r="I1401" s="8"/>
      <c r="J1401" s="8"/>
      <c r="K1401" s="8"/>
      <c r="L1401" s="8"/>
      <c r="M1401" s="8"/>
      <c r="N1401" s="8"/>
      <c r="O1401" s="8"/>
    </row>
    <row r="1402" ht="13.65" customHeight="1">
      <c r="A1402" s="8"/>
      <c r="B1402" s="8"/>
      <c r="C1402" s="8"/>
      <c r="D1402" s="8"/>
      <c r="E1402" s="8"/>
      <c r="F1402" s="8"/>
      <c r="G1402" s="8"/>
      <c r="H1402" s="8"/>
      <c r="I1402" s="8"/>
      <c r="J1402" s="8"/>
      <c r="K1402" s="8"/>
      <c r="L1402" s="8"/>
      <c r="M1402" s="8"/>
      <c r="N1402" s="8"/>
      <c r="O1402" s="8"/>
    </row>
    <row r="1403" ht="13.65" customHeight="1">
      <c r="A1403" s="8"/>
      <c r="B1403" s="8"/>
      <c r="C1403" s="8"/>
      <c r="D1403" s="8"/>
      <c r="E1403" s="8"/>
      <c r="F1403" s="8"/>
      <c r="G1403" s="8"/>
      <c r="H1403" s="8"/>
      <c r="I1403" s="8"/>
      <c r="J1403" s="8"/>
      <c r="K1403" s="8"/>
      <c r="L1403" s="8"/>
      <c r="M1403" s="8"/>
      <c r="N1403" s="8"/>
      <c r="O1403" s="8"/>
    </row>
    <row r="1404" ht="13.65" customHeight="1">
      <c r="A1404" s="8"/>
      <c r="B1404" s="8"/>
      <c r="C1404" s="8"/>
      <c r="D1404" s="8"/>
      <c r="E1404" s="8"/>
      <c r="F1404" s="8"/>
      <c r="G1404" s="8"/>
      <c r="H1404" s="8"/>
      <c r="I1404" s="8"/>
      <c r="J1404" s="8"/>
      <c r="K1404" s="8"/>
      <c r="L1404" s="8"/>
      <c r="M1404" s="8"/>
      <c r="N1404" s="8"/>
      <c r="O1404" s="8"/>
    </row>
    <row r="1405" ht="13.65" customHeight="1">
      <c r="A1405" s="8"/>
      <c r="B1405" s="8"/>
      <c r="C1405" s="8"/>
      <c r="D1405" s="8"/>
      <c r="E1405" s="8"/>
      <c r="F1405" s="8"/>
      <c r="G1405" s="8"/>
      <c r="H1405" s="8"/>
      <c r="I1405" s="8"/>
      <c r="J1405" s="8"/>
      <c r="K1405" s="8"/>
      <c r="L1405" s="8"/>
      <c r="M1405" s="8"/>
      <c r="N1405" s="8"/>
      <c r="O1405" s="8"/>
    </row>
    <row r="1406" ht="13.65" customHeight="1">
      <c r="A1406" s="8"/>
      <c r="B1406" s="8"/>
      <c r="C1406" s="8"/>
      <c r="D1406" s="8"/>
      <c r="E1406" s="8"/>
      <c r="F1406" s="8"/>
      <c r="G1406" s="8"/>
      <c r="H1406" s="8"/>
      <c r="I1406" s="8"/>
      <c r="J1406" s="8"/>
      <c r="K1406" s="8"/>
      <c r="L1406" s="8"/>
      <c r="M1406" s="8"/>
      <c r="N1406" s="8"/>
      <c r="O1406" s="8"/>
    </row>
    <row r="1407" ht="13.65" customHeight="1">
      <c r="A1407" s="8"/>
      <c r="B1407" s="8"/>
      <c r="C1407" s="8"/>
      <c r="D1407" s="8"/>
      <c r="E1407" s="8"/>
      <c r="F1407" s="8"/>
      <c r="G1407" s="8"/>
      <c r="H1407" s="8"/>
      <c r="I1407" s="8"/>
      <c r="J1407" s="8"/>
      <c r="K1407" s="8"/>
      <c r="L1407" s="8"/>
      <c r="M1407" s="8"/>
      <c r="N1407" s="8"/>
      <c r="O1407" s="8"/>
    </row>
    <row r="1408" ht="13.65" customHeight="1">
      <c r="A1408" s="8"/>
      <c r="B1408" s="8"/>
      <c r="C1408" s="8"/>
      <c r="D1408" s="8"/>
      <c r="E1408" s="8"/>
      <c r="F1408" s="8"/>
      <c r="G1408" s="8"/>
      <c r="H1408" s="8"/>
      <c r="I1408" s="8"/>
      <c r="J1408" s="8"/>
      <c r="K1408" s="8"/>
      <c r="L1408" s="8"/>
      <c r="M1408" s="8"/>
      <c r="N1408" s="8"/>
      <c r="O1408" s="8"/>
    </row>
    <row r="1409" ht="13.65" customHeight="1">
      <c r="A1409" s="8"/>
      <c r="B1409" s="8"/>
      <c r="C1409" s="8"/>
      <c r="D1409" s="8"/>
      <c r="E1409" s="8"/>
      <c r="F1409" s="8"/>
      <c r="G1409" s="8"/>
      <c r="H1409" s="8"/>
      <c r="I1409" s="8"/>
      <c r="J1409" s="8"/>
      <c r="K1409" s="8"/>
      <c r="L1409" s="8"/>
      <c r="M1409" s="8"/>
      <c r="N1409" s="8"/>
      <c r="O1409" s="8"/>
    </row>
    <row r="1410" ht="13.65" customHeight="1">
      <c r="A1410" s="8"/>
      <c r="B1410" s="8"/>
      <c r="C1410" s="8"/>
      <c r="D1410" s="8"/>
      <c r="E1410" s="8"/>
      <c r="F1410" s="8"/>
      <c r="G1410" s="8"/>
      <c r="H1410" s="8"/>
      <c r="I1410" s="8"/>
      <c r="J1410" s="8"/>
      <c r="K1410" s="8"/>
      <c r="L1410" s="8"/>
      <c r="M1410" s="8"/>
      <c r="N1410" s="8"/>
      <c r="O1410" s="8"/>
    </row>
    <row r="1411" ht="13.65" customHeight="1">
      <c r="A1411" s="8"/>
      <c r="B1411" s="8"/>
      <c r="C1411" s="8"/>
      <c r="D1411" s="8"/>
      <c r="E1411" s="8"/>
      <c r="F1411" s="8"/>
      <c r="G1411" s="8"/>
      <c r="H1411" s="8"/>
      <c r="I1411" s="8"/>
      <c r="J1411" s="8"/>
      <c r="K1411" s="8"/>
      <c r="L1411" s="8"/>
      <c r="M1411" s="8"/>
      <c r="N1411" s="8"/>
      <c r="O1411" s="8"/>
    </row>
    <row r="1412" ht="13.65" customHeight="1">
      <c r="A1412" s="8"/>
      <c r="B1412" s="8"/>
      <c r="C1412" s="8"/>
      <c r="D1412" s="8"/>
      <c r="E1412" s="8"/>
      <c r="F1412" s="8"/>
      <c r="G1412" s="8"/>
      <c r="H1412" s="8"/>
      <c r="I1412" s="8"/>
      <c r="J1412" s="8"/>
      <c r="K1412" s="8"/>
      <c r="L1412" s="8"/>
      <c r="M1412" s="8"/>
      <c r="N1412" s="8"/>
      <c r="O1412" s="8"/>
    </row>
    <row r="1413" ht="13.65" customHeight="1">
      <c r="A1413" s="8"/>
      <c r="B1413" s="8"/>
      <c r="C1413" s="8"/>
      <c r="D1413" s="8"/>
      <c r="E1413" s="8"/>
      <c r="F1413" s="8"/>
      <c r="G1413" s="8"/>
      <c r="H1413" s="8"/>
      <c r="I1413" s="8"/>
      <c r="J1413" s="8"/>
      <c r="K1413" s="8"/>
      <c r="L1413" s="8"/>
      <c r="M1413" s="8"/>
      <c r="N1413" s="8"/>
      <c r="O1413" s="8"/>
    </row>
    <row r="1414" ht="13.65" customHeight="1">
      <c r="A1414" s="8"/>
      <c r="B1414" s="8"/>
      <c r="C1414" s="8"/>
      <c r="D1414" s="8"/>
      <c r="E1414" s="8"/>
      <c r="F1414" s="8"/>
      <c r="G1414" s="8"/>
      <c r="H1414" s="8"/>
      <c r="I1414" s="8"/>
      <c r="J1414" s="8"/>
      <c r="K1414" s="8"/>
      <c r="L1414" s="8"/>
      <c r="M1414" s="8"/>
      <c r="N1414" s="8"/>
      <c r="O1414" s="8"/>
    </row>
    <row r="1415" ht="13.65" customHeight="1">
      <c r="A1415" s="8"/>
      <c r="B1415" s="8"/>
      <c r="C1415" s="8"/>
      <c r="D1415" s="8"/>
      <c r="E1415" s="8"/>
      <c r="F1415" s="8"/>
      <c r="G1415" s="8"/>
      <c r="H1415" s="8"/>
      <c r="I1415" s="8"/>
      <c r="J1415" s="8"/>
      <c r="K1415" s="8"/>
      <c r="L1415" s="8"/>
      <c r="M1415" s="8"/>
      <c r="N1415" s="8"/>
      <c r="O1415" s="8"/>
    </row>
    <row r="1416" ht="13.65" customHeight="1">
      <c r="A1416" s="8"/>
      <c r="B1416" s="8"/>
      <c r="C1416" s="8"/>
      <c r="D1416" s="8"/>
      <c r="E1416" s="8"/>
      <c r="F1416" s="8"/>
      <c r="G1416" s="8"/>
      <c r="H1416" s="8"/>
      <c r="I1416" s="8"/>
      <c r="J1416" s="8"/>
      <c r="K1416" s="8"/>
      <c r="L1416" s="8"/>
      <c r="M1416" s="8"/>
      <c r="N1416" s="8"/>
      <c r="O1416" s="8"/>
    </row>
    <row r="1417" ht="13.65" customHeight="1">
      <c r="A1417" s="8"/>
      <c r="B1417" s="8"/>
      <c r="C1417" s="8"/>
      <c r="D1417" s="8"/>
      <c r="E1417" s="8"/>
      <c r="F1417" s="8"/>
      <c r="G1417" s="8"/>
      <c r="H1417" s="8"/>
      <c r="I1417" s="8"/>
      <c r="J1417" s="8"/>
      <c r="K1417" s="8"/>
      <c r="L1417" s="8"/>
      <c r="M1417" s="8"/>
      <c r="N1417" s="8"/>
      <c r="O1417" s="8"/>
    </row>
    <row r="1418" ht="13.65" customHeight="1">
      <c r="A1418" s="8"/>
      <c r="B1418" s="8"/>
      <c r="C1418" s="8"/>
      <c r="D1418" s="8"/>
      <c r="E1418" s="8"/>
      <c r="F1418" s="8"/>
      <c r="G1418" s="8"/>
      <c r="H1418" s="8"/>
      <c r="I1418" s="8"/>
      <c r="J1418" s="8"/>
      <c r="K1418" s="8"/>
      <c r="L1418" s="8"/>
      <c r="M1418" s="8"/>
      <c r="N1418" s="8"/>
      <c r="O1418" s="8"/>
    </row>
    <row r="1419" ht="13.65" customHeight="1">
      <c r="A1419" s="8"/>
      <c r="B1419" s="8"/>
      <c r="C1419" s="8"/>
      <c r="D1419" s="8"/>
      <c r="E1419" s="8"/>
      <c r="F1419" s="8"/>
      <c r="G1419" s="8"/>
      <c r="H1419" s="8"/>
      <c r="I1419" s="8"/>
      <c r="J1419" s="8"/>
      <c r="K1419" s="8"/>
      <c r="L1419" s="8"/>
      <c r="M1419" s="8"/>
      <c r="N1419" s="8"/>
      <c r="O1419" s="8"/>
    </row>
    <row r="1420" ht="13.65" customHeight="1">
      <c r="A1420" s="8"/>
      <c r="B1420" s="8"/>
      <c r="C1420" s="8"/>
      <c r="D1420" s="8"/>
      <c r="E1420" s="8"/>
      <c r="F1420" s="8"/>
      <c r="G1420" s="8"/>
      <c r="H1420" s="8"/>
      <c r="I1420" s="8"/>
      <c r="J1420" s="8"/>
      <c r="K1420" s="8"/>
      <c r="L1420" s="8"/>
      <c r="M1420" s="8"/>
      <c r="N1420" s="8"/>
      <c r="O1420" s="8"/>
    </row>
    <row r="1421" ht="13.65" customHeight="1">
      <c r="A1421" s="8"/>
      <c r="B1421" s="8"/>
      <c r="C1421" s="8"/>
      <c r="D1421" s="8"/>
      <c r="E1421" s="8"/>
      <c r="F1421" s="8"/>
      <c r="G1421" s="8"/>
      <c r="H1421" s="8"/>
      <c r="I1421" s="8"/>
      <c r="J1421" s="8"/>
      <c r="K1421" s="8"/>
      <c r="L1421" s="8"/>
      <c r="M1421" s="8"/>
      <c r="N1421" s="8"/>
      <c r="O1421" s="8"/>
    </row>
    <row r="1422" ht="13.65" customHeight="1">
      <c r="A1422" s="8"/>
      <c r="B1422" s="8"/>
      <c r="C1422" s="8"/>
      <c r="D1422" s="8"/>
      <c r="E1422" s="8"/>
      <c r="F1422" s="8"/>
      <c r="G1422" s="8"/>
      <c r="H1422" s="8"/>
      <c r="I1422" s="8"/>
      <c r="J1422" s="8"/>
      <c r="K1422" s="8"/>
      <c r="L1422" s="8"/>
      <c r="M1422" s="8"/>
      <c r="N1422" s="8"/>
      <c r="O1422" s="8"/>
    </row>
    <row r="1423" ht="13.65" customHeight="1">
      <c r="A1423" s="8"/>
      <c r="B1423" s="8"/>
      <c r="C1423" s="8"/>
      <c r="D1423" s="8"/>
      <c r="E1423" s="8"/>
      <c r="F1423" s="8"/>
      <c r="G1423" s="8"/>
      <c r="H1423" s="8"/>
      <c r="I1423" s="8"/>
      <c r="J1423" s="8"/>
      <c r="K1423" s="8"/>
      <c r="L1423" s="8"/>
      <c r="M1423" s="8"/>
      <c r="N1423" s="8"/>
      <c r="O1423" s="8"/>
    </row>
    <row r="1424" ht="13.65" customHeight="1">
      <c r="A1424" s="8"/>
      <c r="B1424" s="8"/>
      <c r="C1424" s="8"/>
      <c r="D1424" s="8"/>
      <c r="E1424" s="8"/>
      <c r="F1424" s="8"/>
      <c r="G1424" s="8"/>
      <c r="H1424" s="8"/>
      <c r="I1424" s="8"/>
      <c r="J1424" s="8"/>
      <c r="K1424" s="8"/>
      <c r="L1424" s="8"/>
      <c r="M1424" s="8"/>
      <c r="N1424" s="8"/>
      <c r="O1424" s="8"/>
    </row>
    <row r="1425" ht="13.65" customHeight="1">
      <c r="A1425" s="8"/>
      <c r="B1425" s="8"/>
      <c r="C1425" s="8"/>
      <c r="D1425" s="8"/>
      <c r="E1425" s="8"/>
      <c r="F1425" s="8"/>
      <c r="G1425" s="8"/>
      <c r="H1425" s="8"/>
      <c r="I1425" s="8"/>
      <c r="J1425" s="8"/>
      <c r="K1425" s="8"/>
      <c r="L1425" s="8"/>
      <c r="M1425" s="8"/>
      <c r="N1425" s="8"/>
      <c r="O1425" s="8"/>
    </row>
    <row r="1426" ht="13.65" customHeight="1">
      <c r="A1426" s="8"/>
      <c r="B1426" s="8"/>
      <c r="C1426" s="8"/>
      <c r="D1426" s="8"/>
      <c r="E1426" s="8"/>
      <c r="F1426" s="8"/>
      <c r="G1426" s="8"/>
      <c r="H1426" s="8"/>
      <c r="I1426" s="8"/>
      <c r="J1426" s="8"/>
      <c r="K1426" s="8"/>
      <c r="L1426" s="8"/>
      <c r="M1426" s="8"/>
      <c r="N1426" s="8"/>
      <c r="O1426" s="8"/>
    </row>
    <row r="1427" ht="13.65" customHeight="1">
      <c r="A1427" s="8"/>
      <c r="B1427" s="8"/>
      <c r="C1427" s="8"/>
      <c r="D1427" s="8"/>
      <c r="E1427" s="8"/>
      <c r="F1427" s="8"/>
      <c r="G1427" s="8"/>
      <c r="H1427" s="8"/>
      <c r="I1427" s="8"/>
      <c r="J1427" s="8"/>
      <c r="K1427" s="8"/>
      <c r="L1427" s="8"/>
      <c r="M1427" s="8"/>
      <c r="N1427" s="8"/>
      <c r="O1427" s="8"/>
    </row>
    <row r="1428" ht="13.65" customHeight="1">
      <c r="A1428" s="8"/>
      <c r="B1428" s="8"/>
      <c r="C1428" s="8"/>
      <c r="D1428" s="8"/>
      <c r="E1428" s="8"/>
      <c r="F1428" s="8"/>
      <c r="G1428" s="8"/>
      <c r="H1428" s="8"/>
      <c r="I1428" s="8"/>
      <c r="J1428" s="8"/>
      <c r="K1428" s="8"/>
      <c r="L1428" s="8"/>
      <c r="M1428" s="8"/>
      <c r="N1428" s="8"/>
      <c r="O1428" s="8"/>
    </row>
    <row r="1429" ht="13.65" customHeight="1">
      <c r="A1429" s="8"/>
      <c r="B1429" s="8"/>
      <c r="C1429" s="8"/>
      <c r="D1429" s="8"/>
      <c r="E1429" s="8"/>
      <c r="F1429" s="8"/>
      <c r="G1429" s="8"/>
      <c r="H1429" s="8"/>
      <c r="I1429" s="8"/>
      <c r="J1429" s="8"/>
      <c r="K1429" s="8"/>
      <c r="L1429" s="8"/>
      <c r="M1429" s="8"/>
      <c r="N1429" s="8"/>
      <c r="O1429" s="8"/>
    </row>
    <row r="1430" ht="13.65" customHeight="1">
      <c r="A1430" s="8"/>
      <c r="B1430" s="8"/>
      <c r="C1430" s="8"/>
      <c r="D1430" s="8"/>
      <c r="E1430" s="8"/>
      <c r="F1430" s="8"/>
      <c r="G1430" s="8"/>
      <c r="H1430" s="8"/>
      <c r="I1430" s="8"/>
      <c r="J1430" s="8"/>
      <c r="K1430" s="8"/>
      <c r="L1430" s="8"/>
      <c r="M1430" s="8"/>
      <c r="N1430" s="8"/>
      <c r="O1430" s="8"/>
    </row>
    <row r="1431" ht="13.65" customHeight="1">
      <c r="A1431" s="8"/>
      <c r="B1431" s="8"/>
      <c r="C1431" s="8"/>
      <c r="D1431" s="8"/>
      <c r="E1431" s="8"/>
      <c r="F1431" s="8"/>
      <c r="G1431" s="8"/>
      <c r="H1431" s="8"/>
      <c r="I1431" s="8"/>
      <c r="J1431" s="8"/>
      <c r="K1431" s="8"/>
      <c r="L1431" s="8"/>
      <c r="M1431" s="8"/>
      <c r="N1431" s="8"/>
      <c r="O1431" s="8"/>
    </row>
    <row r="1432" ht="13.65" customHeight="1">
      <c r="A1432" s="8"/>
      <c r="B1432" s="8"/>
      <c r="C1432" s="8"/>
      <c r="D1432" s="8"/>
      <c r="E1432" s="8"/>
      <c r="F1432" s="8"/>
      <c r="G1432" s="8"/>
      <c r="H1432" s="8"/>
      <c r="I1432" s="8"/>
      <c r="J1432" s="8"/>
      <c r="K1432" s="8"/>
      <c r="L1432" s="8"/>
      <c r="M1432" s="8"/>
      <c r="N1432" s="8"/>
      <c r="O1432" s="8"/>
    </row>
    <row r="1433" ht="13.65" customHeight="1">
      <c r="A1433" s="8"/>
      <c r="B1433" s="8"/>
      <c r="C1433" s="8"/>
      <c r="D1433" s="8"/>
      <c r="E1433" s="8"/>
      <c r="F1433" s="8"/>
      <c r="G1433" s="8"/>
      <c r="H1433" s="8"/>
      <c r="I1433" s="8"/>
      <c r="J1433" s="8"/>
      <c r="K1433" s="8"/>
      <c r="L1433" s="8"/>
      <c r="M1433" s="8"/>
      <c r="N1433" s="8"/>
      <c r="O1433" s="8"/>
    </row>
    <row r="1434" ht="13.65" customHeight="1">
      <c r="A1434" s="8"/>
      <c r="B1434" s="8"/>
      <c r="C1434" s="8"/>
      <c r="D1434" s="8"/>
      <c r="E1434" s="8"/>
      <c r="F1434" s="8"/>
      <c r="G1434" s="8"/>
      <c r="H1434" s="8"/>
      <c r="I1434" s="8"/>
      <c r="J1434" s="8"/>
      <c r="K1434" s="8"/>
      <c r="L1434" s="8"/>
      <c r="M1434" s="8"/>
      <c r="N1434" s="8"/>
      <c r="O1434" s="8"/>
    </row>
    <row r="1435" ht="13.65" customHeight="1">
      <c r="A1435" s="8"/>
      <c r="B1435" s="8"/>
      <c r="C1435" s="8"/>
      <c r="D1435" s="8"/>
      <c r="E1435" s="8"/>
      <c r="F1435" s="8"/>
      <c r="G1435" s="8"/>
      <c r="H1435" s="8"/>
      <c r="I1435" s="8"/>
      <c r="J1435" s="8"/>
      <c r="K1435" s="8"/>
      <c r="L1435" s="8"/>
      <c r="M1435" s="8"/>
      <c r="N1435" s="8"/>
      <c r="O1435" s="8"/>
    </row>
    <row r="1436" ht="13.65" customHeight="1">
      <c r="A1436" s="8"/>
      <c r="B1436" s="8"/>
      <c r="C1436" s="8"/>
      <c r="D1436" s="8"/>
      <c r="E1436" s="8"/>
      <c r="F1436" s="8"/>
      <c r="G1436" s="8"/>
      <c r="H1436" s="8"/>
      <c r="I1436" s="8"/>
      <c r="J1436" s="8"/>
      <c r="K1436" s="8"/>
      <c r="L1436" s="8"/>
      <c r="M1436" s="8"/>
      <c r="N1436" s="8"/>
      <c r="O1436" s="8"/>
    </row>
    <row r="1437" ht="13.65" customHeight="1">
      <c r="A1437" s="8"/>
      <c r="B1437" s="8"/>
      <c r="C1437" s="8"/>
      <c r="D1437" s="8"/>
      <c r="E1437" s="8"/>
      <c r="F1437" s="8"/>
      <c r="G1437" s="8"/>
      <c r="H1437" s="8"/>
      <c r="I1437" s="8"/>
      <c r="J1437" s="8"/>
      <c r="K1437" s="8"/>
      <c r="L1437" s="8"/>
      <c r="M1437" s="8"/>
      <c r="N1437" s="8"/>
      <c r="O1437" s="8"/>
    </row>
    <row r="1438" ht="13.65" customHeight="1">
      <c r="A1438" s="8"/>
      <c r="B1438" s="8"/>
      <c r="C1438" s="8"/>
      <c r="D1438" s="8"/>
      <c r="E1438" s="8"/>
      <c r="F1438" s="8"/>
      <c r="G1438" s="8"/>
      <c r="H1438" s="8"/>
      <c r="I1438" s="8"/>
      <c r="J1438" s="8"/>
      <c r="K1438" s="8"/>
      <c r="L1438" s="8"/>
      <c r="M1438" s="8"/>
      <c r="N1438" s="8"/>
      <c r="O1438" s="8"/>
    </row>
    <row r="1439" ht="13.65" customHeight="1">
      <c r="A1439" s="8"/>
      <c r="B1439" s="8"/>
      <c r="C1439" s="8"/>
      <c r="D1439" s="8"/>
      <c r="E1439" s="8"/>
      <c r="F1439" s="8"/>
      <c r="G1439" s="8"/>
      <c r="H1439" s="8"/>
      <c r="I1439" s="8"/>
      <c r="J1439" s="8"/>
      <c r="K1439" s="8"/>
      <c r="L1439" s="8"/>
      <c r="M1439" s="8"/>
      <c r="N1439" s="8"/>
      <c r="O1439" s="8"/>
    </row>
    <row r="1440" ht="13.65" customHeight="1">
      <c r="A1440" s="8"/>
      <c r="B1440" s="8"/>
      <c r="C1440" s="8"/>
      <c r="D1440" s="8"/>
      <c r="E1440" s="8"/>
      <c r="F1440" s="8"/>
      <c r="G1440" s="8"/>
      <c r="H1440" s="8"/>
      <c r="I1440" s="8"/>
      <c r="J1440" s="8"/>
      <c r="K1440" s="8"/>
      <c r="L1440" s="8"/>
      <c r="M1440" s="8"/>
      <c r="N1440" s="8"/>
      <c r="O1440" s="8"/>
    </row>
    <row r="1441" ht="13.65" customHeight="1">
      <c r="A1441" s="8"/>
      <c r="B1441" s="8"/>
      <c r="C1441" s="8"/>
      <c r="D1441" s="8"/>
      <c r="E1441" s="8"/>
      <c r="F1441" s="8"/>
      <c r="G1441" s="8"/>
      <c r="H1441" s="8"/>
      <c r="I1441" s="8"/>
      <c r="J1441" s="8"/>
      <c r="K1441" s="8"/>
      <c r="L1441" s="8"/>
      <c r="M1441" s="8"/>
      <c r="N1441" s="8"/>
      <c r="O1441" s="8"/>
    </row>
    <row r="1442" ht="13.65" customHeight="1">
      <c r="A1442" s="8"/>
      <c r="B1442" s="8"/>
      <c r="C1442" s="8"/>
      <c r="D1442" s="8"/>
      <c r="E1442" s="8"/>
      <c r="F1442" s="8"/>
      <c r="G1442" s="8"/>
      <c r="H1442" s="8"/>
      <c r="I1442" s="8"/>
      <c r="J1442" s="8"/>
      <c r="K1442" s="8"/>
      <c r="L1442" s="8"/>
      <c r="M1442" s="8"/>
      <c r="N1442" s="8"/>
      <c r="O1442" s="8"/>
    </row>
    <row r="1443" ht="13.65" customHeight="1">
      <c r="A1443" s="8"/>
      <c r="B1443" s="8"/>
      <c r="C1443" s="8"/>
      <c r="D1443" s="8"/>
      <c r="E1443" s="8"/>
      <c r="F1443" s="8"/>
      <c r="G1443" s="8"/>
      <c r="H1443" s="8"/>
      <c r="I1443" s="8"/>
      <c r="J1443" s="8"/>
      <c r="K1443" s="8"/>
      <c r="L1443" s="8"/>
      <c r="M1443" s="8"/>
      <c r="N1443" s="8"/>
      <c r="O1443" s="8"/>
    </row>
    <row r="1444" ht="13.65" customHeight="1">
      <c r="A1444" s="8"/>
      <c r="B1444" s="8"/>
      <c r="C1444" s="8"/>
      <c r="D1444" s="8"/>
      <c r="E1444" s="8"/>
      <c r="F1444" s="8"/>
      <c r="G1444" s="8"/>
      <c r="H1444" s="8"/>
      <c r="I1444" s="8"/>
      <c r="J1444" s="8"/>
      <c r="K1444" s="8"/>
      <c r="L1444" s="8"/>
      <c r="M1444" s="8"/>
      <c r="N1444" s="8"/>
      <c r="O1444" s="8"/>
    </row>
    <row r="1445" ht="13.65" customHeight="1">
      <c r="A1445" s="8"/>
      <c r="B1445" s="8"/>
      <c r="C1445" s="8"/>
      <c r="D1445" s="8"/>
      <c r="E1445" s="8"/>
      <c r="F1445" s="8"/>
      <c r="G1445" s="8"/>
      <c r="H1445" s="8"/>
      <c r="I1445" s="8"/>
      <c r="J1445" s="8"/>
      <c r="K1445" s="8"/>
      <c r="L1445" s="8"/>
      <c r="M1445" s="8"/>
      <c r="N1445" s="8"/>
      <c r="O1445" s="8"/>
    </row>
    <row r="1446" ht="13.65" customHeight="1">
      <c r="A1446" s="8"/>
      <c r="B1446" s="8"/>
      <c r="C1446" s="8"/>
      <c r="D1446" s="8"/>
      <c r="E1446" s="8"/>
      <c r="F1446" s="8"/>
      <c r="G1446" s="8"/>
      <c r="H1446" s="8"/>
      <c r="I1446" s="8"/>
      <c r="J1446" s="8"/>
      <c r="K1446" s="8"/>
      <c r="L1446" s="8"/>
      <c r="M1446" s="8"/>
      <c r="N1446" s="8"/>
      <c r="O1446" s="8"/>
    </row>
    <row r="1447" ht="13.65" customHeight="1">
      <c r="A1447" s="8"/>
      <c r="B1447" s="8"/>
      <c r="C1447" s="8"/>
      <c r="D1447" s="8"/>
      <c r="E1447" s="8"/>
      <c r="F1447" s="8"/>
      <c r="G1447" s="8"/>
      <c r="H1447" s="8"/>
      <c r="I1447" s="8"/>
      <c r="J1447" s="8"/>
      <c r="K1447" s="8"/>
      <c r="L1447" s="8"/>
      <c r="M1447" s="8"/>
      <c r="N1447" s="8"/>
      <c r="O1447" s="8"/>
    </row>
    <row r="1448" ht="13.65" customHeight="1">
      <c r="A1448" s="8"/>
      <c r="B1448" s="8"/>
      <c r="C1448" s="8"/>
      <c r="D1448" s="8"/>
      <c r="E1448" s="8"/>
      <c r="F1448" s="8"/>
      <c r="G1448" s="8"/>
      <c r="H1448" s="8"/>
      <c r="I1448" s="8"/>
      <c r="J1448" s="8"/>
      <c r="K1448" s="8"/>
      <c r="L1448" s="8"/>
      <c r="M1448" s="8"/>
      <c r="N1448" s="8"/>
      <c r="O1448" s="8"/>
    </row>
    <row r="1449" ht="13.65" customHeight="1">
      <c r="A1449" s="8"/>
      <c r="B1449" s="8"/>
      <c r="C1449" s="8"/>
      <c r="D1449" s="8"/>
      <c r="E1449" s="8"/>
      <c r="F1449" s="8"/>
      <c r="G1449" s="8"/>
      <c r="H1449" s="8"/>
      <c r="I1449" s="8"/>
      <c r="J1449" s="8"/>
      <c r="K1449" s="8"/>
      <c r="L1449" s="8"/>
      <c r="M1449" s="8"/>
      <c r="N1449" s="8"/>
      <c r="O1449" s="8"/>
    </row>
    <row r="1450" ht="13.65" customHeight="1">
      <c r="A1450" s="8"/>
      <c r="B1450" s="8"/>
      <c r="C1450" s="8"/>
      <c r="D1450" s="8"/>
      <c r="E1450" s="8"/>
      <c r="F1450" s="8"/>
      <c r="G1450" s="8"/>
      <c r="H1450" s="8"/>
      <c r="I1450" s="8"/>
      <c r="J1450" s="8"/>
      <c r="K1450" s="8"/>
      <c r="L1450" s="8"/>
      <c r="M1450" s="8"/>
      <c r="N1450" s="8"/>
      <c r="O1450" s="8"/>
    </row>
    <row r="1451" ht="13.65" customHeight="1">
      <c r="A1451" s="8"/>
      <c r="B1451" s="8"/>
      <c r="C1451" s="8"/>
      <c r="D1451" s="8"/>
      <c r="E1451" s="8"/>
      <c r="F1451" s="8"/>
      <c r="G1451" s="8"/>
      <c r="H1451" s="8"/>
      <c r="I1451" s="8"/>
      <c r="J1451" s="8"/>
      <c r="K1451" s="8"/>
      <c r="L1451" s="8"/>
      <c r="M1451" s="8"/>
      <c r="N1451" s="8"/>
      <c r="O1451" s="8"/>
    </row>
    <row r="1452" ht="13.65" customHeight="1">
      <c r="A1452" s="8"/>
      <c r="B1452" s="8"/>
      <c r="C1452" s="8"/>
      <c r="D1452" s="8"/>
      <c r="E1452" s="8"/>
      <c r="F1452" s="8"/>
      <c r="G1452" s="8"/>
      <c r="H1452" s="8"/>
      <c r="I1452" s="8"/>
      <c r="J1452" s="8"/>
      <c r="K1452" s="8"/>
      <c r="L1452" s="8"/>
      <c r="M1452" s="8"/>
      <c r="N1452" s="8"/>
      <c r="O1452" s="8"/>
    </row>
    <row r="1453" ht="13.65" customHeight="1">
      <c r="A1453" s="8"/>
      <c r="B1453" s="8"/>
      <c r="C1453" s="8"/>
      <c r="D1453" s="8"/>
      <c r="E1453" s="8"/>
      <c r="F1453" s="8"/>
      <c r="G1453" s="8"/>
      <c r="H1453" s="8"/>
      <c r="I1453" s="8"/>
      <c r="J1453" s="8"/>
      <c r="K1453" s="8"/>
      <c r="L1453" s="8"/>
      <c r="M1453" s="8"/>
      <c r="N1453" s="8"/>
      <c r="O1453" s="8"/>
    </row>
    <row r="1454" ht="13.65" customHeight="1">
      <c r="A1454" s="8"/>
      <c r="B1454" s="8"/>
      <c r="C1454" s="8"/>
      <c r="D1454" s="8"/>
      <c r="E1454" s="8"/>
      <c r="F1454" s="8"/>
      <c r="G1454" s="8"/>
      <c r="H1454" s="8"/>
      <c r="I1454" s="8"/>
      <c r="J1454" s="8"/>
      <c r="K1454" s="8"/>
      <c r="L1454" s="8"/>
      <c r="M1454" s="8"/>
      <c r="N1454" s="8"/>
      <c r="O1454" s="8"/>
    </row>
    <row r="1455" ht="13.65" customHeight="1">
      <c r="A1455" s="8"/>
      <c r="B1455" s="8"/>
      <c r="C1455" s="8"/>
      <c r="D1455" s="8"/>
      <c r="E1455" s="8"/>
      <c r="F1455" s="8"/>
      <c r="G1455" s="8"/>
      <c r="H1455" s="8"/>
      <c r="I1455" s="8"/>
      <c r="J1455" s="8"/>
      <c r="K1455" s="8"/>
      <c r="L1455" s="8"/>
      <c r="M1455" s="8"/>
      <c r="N1455" s="8"/>
      <c r="O1455" s="8"/>
    </row>
    <row r="1456" ht="13.65" customHeight="1">
      <c r="A1456" s="8"/>
      <c r="B1456" s="8"/>
      <c r="C1456" s="8"/>
      <c r="D1456" s="8"/>
      <c r="E1456" s="8"/>
      <c r="F1456" s="8"/>
      <c r="G1456" s="8"/>
      <c r="H1456" s="8"/>
      <c r="I1456" s="8"/>
      <c r="J1456" s="8"/>
      <c r="K1456" s="8"/>
      <c r="L1456" s="8"/>
      <c r="M1456" s="8"/>
      <c r="N1456" s="8"/>
      <c r="O1456" s="8"/>
    </row>
    <row r="1457" ht="13.65" customHeight="1">
      <c r="A1457" s="8"/>
      <c r="B1457" s="8"/>
      <c r="C1457" s="8"/>
      <c r="D1457" s="8"/>
      <c r="E1457" s="8"/>
      <c r="F1457" s="8"/>
      <c r="G1457" s="8"/>
      <c r="H1457" s="8"/>
      <c r="I1457" s="8"/>
      <c r="J1457" s="8"/>
      <c r="K1457" s="8"/>
      <c r="L1457" s="8"/>
      <c r="M1457" s="8"/>
      <c r="N1457" s="8"/>
      <c r="O1457" s="8"/>
    </row>
    <row r="1458" ht="13.65" customHeight="1">
      <c r="A1458" s="8"/>
      <c r="B1458" s="8"/>
      <c r="C1458" s="8"/>
      <c r="D1458" s="8"/>
      <c r="E1458" s="8"/>
      <c r="F1458" s="8"/>
      <c r="G1458" s="8"/>
      <c r="H1458" s="8"/>
      <c r="I1458" s="8"/>
      <c r="J1458" s="8"/>
      <c r="K1458" s="8"/>
      <c r="L1458" s="8"/>
      <c r="M1458" s="8"/>
      <c r="N1458" s="8"/>
      <c r="O1458" s="8"/>
    </row>
    <row r="1459" ht="13.65" customHeight="1">
      <c r="A1459" s="8"/>
      <c r="B1459" s="8"/>
      <c r="C1459" s="8"/>
      <c r="D1459" s="8"/>
      <c r="E1459" s="8"/>
      <c r="F1459" s="8"/>
      <c r="G1459" s="8"/>
      <c r="H1459" s="8"/>
      <c r="I1459" s="8"/>
      <c r="J1459" s="8"/>
      <c r="K1459" s="8"/>
      <c r="L1459" s="8"/>
      <c r="M1459" s="8"/>
      <c r="N1459" s="8"/>
      <c r="O1459" s="8"/>
    </row>
    <row r="1460" ht="13.65" customHeight="1">
      <c r="A1460" s="8"/>
      <c r="B1460" s="8"/>
      <c r="C1460" s="8"/>
      <c r="D1460" s="8"/>
      <c r="E1460" s="8"/>
      <c r="F1460" s="8"/>
      <c r="G1460" s="8"/>
      <c r="H1460" s="8"/>
      <c r="I1460" s="8"/>
      <c r="J1460" s="8"/>
      <c r="K1460" s="8"/>
      <c r="L1460" s="8"/>
      <c r="M1460" s="8"/>
      <c r="N1460" s="8"/>
      <c r="O1460" s="8"/>
    </row>
    <row r="1461" ht="13.65" customHeight="1">
      <c r="A1461" s="8"/>
      <c r="B1461" s="8"/>
      <c r="C1461" s="8"/>
      <c r="D1461" s="8"/>
      <c r="E1461" s="8"/>
      <c r="F1461" s="8"/>
      <c r="G1461" s="8"/>
      <c r="H1461" s="8"/>
      <c r="I1461" s="8"/>
      <c r="J1461" s="8"/>
      <c r="K1461" s="8"/>
      <c r="L1461" s="8"/>
      <c r="M1461" s="8"/>
      <c r="N1461" s="8"/>
      <c r="O1461" s="8"/>
    </row>
    <row r="1462" ht="13.65" customHeight="1">
      <c r="A1462" s="8"/>
      <c r="B1462" s="8"/>
      <c r="C1462" s="8"/>
      <c r="D1462" s="8"/>
      <c r="E1462" s="8"/>
      <c r="F1462" s="8"/>
      <c r="G1462" s="8"/>
      <c r="H1462" s="8"/>
      <c r="I1462" s="8"/>
      <c r="J1462" s="8"/>
      <c r="K1462" s="8"/>
      <c r="L1462" s="8"/>
      <c r="M1462" s="8"/>
      <c r="N1462" s="8"/>
      <c r="O1462" s="8"/>
    </row>
    <row r="1463" ht="13.65" customHeight="1">
      <c r="A1463" s="8"/>
      <c r="B1463" s="8"/>
      <c r="C1463" s="8"/>
      <c r="D1463" s="8"/>
      <c r="E1463" s="8"/>
      <c r="F1463" s="8"/>
      <c r="G1463" s="8"/>
      <c r="H1463" s="8"/>
      <c r="I1463" s="8"/>
      <c r="J1463" s="8"/>
      <c r="K1463" s="8"/>
      <c r="L1463" s="8"/>
      <c r="M1463" s="8"/>
      <c r="N1463" s="8"/>
      <c r="O1463" s="8"/>
    </row>
    <row r="1464" ht="13.65" customHeight="1">
      <c r="A1464" s="8"/>
      <c r="B1464" s="8"/>
      <c r="C1464" s="8"/>
      <c r="D1464" s="8"/>
      <c r="E1464" s="8"/>
      <c r="F1464" s="8"/>
      <c r="G1464" s="8"/>
      <c r="H1464" s="8"/>
      <c r="I1464" s="8"/>
      <c r="J1464" s="8"/>
      <c r="K1464" s="8"/>
      <c r="L1464" s="8"/>
      <c r="M1464" s="8"/>
      <c r="N1464" s="8"/>
      <c r="O1464" s="8"/>
    </row>
    <row r="1465" ht="13.65" customHeight="1">
      <c r="A1465" s="8"/>
      <c r="B1465" s="8"/>
      <c r="C1465" s="8"/>
      <c r="D1465" s="8"/>
      <c r="E1465" s="8"/>
      <c r="F1465" s="8"/>
      <c r="G1465" s="8"/>
      <c r="H1465" s="8"/>
      <c r="I1465" s="8"/>
      <c r="J1465" s="8"/>
      <c r="K1465" s="8"/>
      <c r="L1465" s="8"/>
      <c r="M1465" s="8"/>
      <c r="N1465" s="8"/>
      <c r="O1465" s="8"/>
    </row>
    <row r="1466" ht="13.65" customHeight="1">
      <c r="A1466" s="8"/>
      <c r="B1466" s="8"/>
      <c r="C1466" s="8"/>
      <c r="D1466" s="8"/>
      <c r="E1466" s="8"/>
      <c r="F1466" s="8"/>
      <c r="G1466" s="8"/>
      <c r="H1466" s="8"/>
      <c r="I1466" s="8"/>
      <c r="J1466" s="8"/>
      <c r="K1466" s="8"/>
      <c r="L1466" s="8"/>
      <c r="M1466" s="8"/>
      <c r="N1466" s="8"/>
      <c r="O1466" s="8"/>
    </row>
    <row r="1467" ht="13.65" customHeight="1">
      <c r="A1467" s="8"/>
      <c r="B1467" s="8"/>
      <c r="C1467" s="8"/>
      <c r="D1467" s="8"/>
      <c r="E1467" s="8"/>
      <c r="F1467" s="8"/>
      <c r="G1467" s="8"/>
      <c r="H1467" s="8"/>
      <c r="I1467" s="8"/>
      <c r="J1467" s="8"/>
      <c r="K1467" s="8"/>
      <c r="L1467" s="8"/>
      <c r="M1467" s="8"/>
      <c r="N1467" s="8"/>
      <c r="O1467" s="8"/>
    </row>
    <row r="1468" ht="13.65" customHeight="1">
      <c r="A1468" s="8"/>
      <c r="B1468" s="8"/>
      <c r="C1468" s="8"/>
      <c r="D1468" s="8"/>
      <c r="E1468" s="8"/>
      <c r="F1468" s="8"/>
      <c r="G1468" s="8"/>
      <c r="H1468" s="8"/>
      <c r="I1468" s="8"/>
      <c r="J1468" s="8"/>
      <c r="K1468" s="8"/>
      <c r="L1468" s="8"/>
      <c r="M1468" s="8"/>
      <c r="N1468" s="8"/>
      <c r="O1468" s="8"/>
    </row>
    <row r="1469" ht="13.65" customHeight="1">
      <c r="A1469" s="8"/>
      <c r="B1469" s="8"/>
      <c r="C1469" s="8"/>
      <c r="D1469" s="8"/>
      <c r="E1469" s="8"/>
      <c r="F1469" s="8"/>
      <c r="G1469" s="8"/>
      <c r="H1469" s="8"/>
      <c r="I1469" s="8"/>
      <c r="J1469" s="8"/>
      <c r="K1469" s="8"/>
      <c r="L1469" s="8"/>
      <c r="M1469" s="8"/>
      <c r="N1469" s="8"/>
      <c r="O1469" s="8"/>
    </row>
    <row r="1470" ht="13.65" customHeight="1">
      <c r="A1470" s="8"/>
      <c r="B1470" s="8"/>
      <c r="C1470" s="8"/>
      <c r="D1470" s="8"/>
      <c r="E1470" s="8"/>
      <c r="F1470" s="8"/>
      <c r="G1470" s="8"/>
      <c r="H1470" s="8"/>
      <c r="I1470" s="8"/>
      <c r="J1470" s="8"/>
      <c r="K1470" s="8"/>
      <c r="L1470" s="8"/>
      <c r="M1470" s="8"/>
      <c r="N1470" s="8"/>
      <c r="O1470" s="8"/>
    </row>
    <row r="1471" ht="13.65" customHeight="1">
      <c r="A1471" s="8"/>
      <c r="B1471" s="8"/>
      <c r="C1471" s="8"/>
      <c r="D1471" s="8"/>
      <c r="E1471" s="8"/>
      <c r="F1471" s="8"/>
      <c r="G1471" s="8"/>
      <c r="H1471" s="8"/>
      <c r="I1471" s="8"/>
      <c r="J1471" s="8"/>
      <c r="K1471" s="8"/>
      <c r="L1471" s="8"/>
      <c r="M1471" s="8"/>
      <c r="N1471" s="8"/>
      <c r="O1471" s="8"/>
    </row>
    <row r="1472" ht="13.65" customHeight="1">
      <c r="A1472" s="8"/>
      <c r="B1472" s="8"/>
      <c r="C1472" s="8"/>
      <c r="D1472" s="8"/>
      <c r="E1472" s="8"/>
      <c r="F1472" s="8"/>
      <c r="G1472" s="8"/>
      <c r="H1472" s="8"/>
      <c r="I1472" s="8"/>
      <c r="J1472" s="8"/>
      <c r="K1472" s="8"/>
      <c r="L1472" s="8"/>
      <c r="M1472" s="8"/>
      <c r="N1472" s="8"/>
      <c r="O1472" s="8"/>
    </row>
    <row r="1473" ht="13.65" customHeight="1">
      <c r="A1473" s="8"/>
      <c r="B1473" s="8"/>
      <c r="C1473" s="8"/>
      <c r="D1473" s="8"/>
      <c r="E1473" s="8"/>
      <c r="F1473" s="8"/>
      <c r="G1473" s="8"/>
      <c r="H1473" s="8"/>
      <c r="I1473" s="8"/>
      <c r="J1473" s="8"/>
      <c r="K1473" s="8"/>
      <c r="L1473" s="8"/>
      <c r="M1473" s="8"/>
      <c r="N1473" s="8"/>
      <c r="O1473" s="8"/>
    </row>
    <row r="1474" ht="13.65" customHeight="1">
      <c r="A1474" s="8"/>
      <c r="B1474" s="8"/>
      <c r="C1474" s="8"/>
      <c r="D1474" s="8"/>
      <c r="E1474" s="8"/>
      <c r="F1474" s="8"/>
      <c r="G1474" s="8"/>
      <c r="H1474" s="8"/>
      <c r="I1474" s="8"/>
      <c r="J1474" s="8"/>
      <c r="K1474" s="8"/>
      <c r="L1474" s="8"/>
      <c r="M1474" s="8"/>
      <c r="N1474" s="8"/>
      <c r="O1474" s="8"/>
    </row>
    <row r="1475" ht="13.65" customHeight="1">
      <c r="A1475" s="8"/>
      <c r="B1475" s="8"/>
      <c r="C1475" s="8"/>
      <c r="D1475" s="8"/>
      <c r="E1475" s="8"/>
      <c r="F1475" s="8"/>
      <c r="G1475" s="8"/>
      <c r="H1475" s="8"/>
      <c r="I1475" s="8"/>
      <c r="J1475" s="8"/>
      <c r="K1475" s="8"/>
      <c r="L1475" s="8"/>
      <c r="M1475" s="8"/>
      <c r="N1475" s="8"/>
      <c r="O1475" s="8"/>
    </row>
    <row r="1476" ht="13.65" customHeight="1">
      <c r="A1476" s="8"/>
      <c r="B1476" s="8"/>
      <c r="C1476" s="8"/>
      <c r="D1476" s="8"/>
      <c r="E1476" s="8"/>
      <c r="F1476" s="8"/>
      <c r="G1476" s="8"/>
      <c r="H1476" s="8"/>
      <c r="I1476" s="8"/>
      <c r="J1476" s="8"/>
      <c r="K1476" s="8"/>
      <c r="L1476" s="8"/>
      <c r="M1476" s="8"/>
      <c r="N1476" s="8"/>
      <c r="O1476" s="8"/>
    </row>
    <row r="1477" ht="13.65" customHeight="1">
      <c r="A1477" s="8"/>
      <c r="B1477" s="8"/>
      <c r="C1477" s="8"/>
      <c r="D1477" s="8"/>
      <c r="E1477" s="8"/>
      <c r="F1477" s="8"/>
      <c r="G1477" s="8"/>
      <c r="H1477" s="8"/>
      <c r="I1477" s="8"/>
      <c r="J1477" s="8"/>
      <c r="K1477" s="8"/>
      <c r="L1477" s="8"/>
      <c r="M1477" s="8"/>
      <c r="N1477" s="8"/>
      <c r="O1477" s="8"/>
    </row>
    <row r="1478" ht="13.65" customHeight="1">
      <c r="A1478" s="8"/>
      <c r="B1478" s="8"/>
      <c r="C1478" s="8"/>
      <c r="D1478" s="8"/>
      <c r="E1478" s="8"/>
      <c r="F1478" s="8"/>
      <c r="G1478" s="8"/>
      <c r="H1478" s="8"/>
      <c r="I1478" s="8"/>
      <c r="J1478" s="8"/>
      <c r="K1478" s="8"/>
      <c r="L1478" s="8"/>
      <c r="M1478" s="8"/>
      <c r="N1478" s="8"/>
      <c r="O1478" s="8"/>
    </row>
    <row r="1479" ht="13.65" customHeight="1">
      <c r="A1479" s="8"/>
      <c r="B1479" s="8"/>
      <c r="C1479" s="8"/>
      <c r="D1479" s="8"/>
      <c r="E1479" s="8"/>
      <c r="F1479" s="8"/>
      <c r="G1479" s="8"/>
      <c r="H1479" s="8"/>
      <c r="I1479" s="8"/>
      <c r="J1479" s="8"/>
      <c r="K1479" s="8"/>
      <c r="L1479" s="8"/>
      <c r="M1479" s="8"/>
      <c r="N1479" s="8"/>
      <c r="O1479" s="8"/>
    </row>
    <row r="1480" ht="13.65" customHeight="1">
      <c r="A1480" s="8"/>
      <c r="B1480" s="8"/>
      <c r="C1480" s="8"/>
      <c r="D1480" s="8"/>
      <c r="E1480" s="8"/>
      <c r="F1480" s="8"/>
      <c r="G1480" s="8"/>
      <c r="H1480" s="8"/>
      <c r="I1480" s="8"/>
      <c r="J1480" s="8"/>
      <c r="K1480" s="8"/>
      <c r="L1480" s="8"/>
      <c r="M1480" s="8"/>
      <c r="N1480" s="8"/>
      <c r="O1480" s="8"/>
    </row>
    <row r="1481" ht="13.65" customHeight="1">
      <c r="A1481" s="8"/>
      <c r="B1481" s="8"/>
      <c r="C1481" s="8"/>
      <c r="D1481" s="8"/>
      <c r="E1481" s="8"/>
      <c r="F1481" s="8"/>
      <c r="G1481" s="8"/>
      <c r="H1481" s="8"/>
      <c r="I1481" s="8"/>
      <c r="J1481" s="8"/>
      <c r="K1481" s="8"/>
      <c r="L1481" s="8"/>
      <c r="M1481" s="8"/>
      <c r="N1481" s="8"/>
      <c r="O1481" s="8"/>
    </row>
    <row r="1482" ht="13.65" customHeight="1">
      <c r="A1482" s="8"/>
      <c r="B1482" s="8"/>
      <c r="C1482" s="8"/>
      <c r="D1482" s="8"/>
      <c r="E1482" s="8"/>
      <c r="F1482" s="8"/>
      <c r="G1482" s="8"/>
      <c r="H1482" s="8"/>
      <c r="I1482" s="8"/>
      <c r="J1482" s="8"/>
      <c r="K1482" s="8"/>
      <c r="L1482" s="8"/>
      <c r="M1482" s="8"/>
      <c r="N1482" s="8"/>
      <c r="O1482" s="8"/>
    </row>
    <row r="1483" ht="13.65" customHeight="1">
      <c r="A1483" s="8"/>
      <c r="B1483" s="8"/>
      <c r="C1483" s="8"/>
      <c r="D1483" s="8"/>
      <c r="E1483" s="8"/>
      <c r="F1483" s="8"/>
      <c r="G1483" s="8"/>
      <c r="H1483" s="8"/>
      <c r="I1483" s="8"/>
      <c r="J1483" s="8"/>
      <c r="K1483" s="8"/>
      <c r="L1483" s="8"/>
      <c r="M1483" s="8"/>
      <c r="N1483" s="8"/>
      <c r="O1483" s="8"/>
    </row>
    <row r="1484" ht="13.65" customHeight="1">
      <c r="A1484" s="8"/>
      <c r="B1484" s="8"/>
      <c r="C1484" s="8"/>
      <c r="D1484" s="8"/>
      <c r="E1484" s="8"/>
      <c r="F1484" s="8"/>
      <c r="G1484" s="8"/>
      <c r="H1484" s="8"/>
      <c r="I1484" s="8"/>
      <c r="J1484" s="8"/>
      <c r="K1484" s="8"/>
      <c r="L1484" s="8"/>
      <c r="M1484" s="8"/>
      <c r="N1484" s="8"/>
      <c r="O1484" s="8"/>
    </row>
    <row r="1485" ht="13.65" customHeight="1">
      <c r="A1485" s="8"/>
      <c r="B1485" s="8"/>
      <c r="C1485" s="8"/>
      <c r="D1485" s="8"/>
      <c r="E1485" s="8"/>
      <c r="F1485" s="8"/>
      <c r="G1485" s="8"/>
      <c r="H1485" s="8"/>
      <c r="I1485" s="8"/>
      <c r="J1485" s="8"/>
      <c r="K1485" s="8"/>
      <c r="L1485" s="8"/>
      <c r="M1485" s="8"/>
      <c r="N1485" s="8"/>
      <c r="O1485" s="8"/>
    </row>
    <row r="1486" ht="13.65" customHeight="1">
      <c r="A1486" s="8"/>
      <c r="B1486" s="8"/>
      <c r="C1486" s="8"/>
      <c r="D1486" s="8"/>
      <c r="E1486" s="8"/>
      <c r="F1486" s="8"/>
      <c r="G1486" s="8"/>
      <c r="H1486" s="8"/>
      <c r="I1486" s="8"/>
      <c r="J1486" s="8"/>
      <c r="K1486" s="8"/>
      <c r="L1486" s="8"/>
      <c r="M1486" s="8"/>
      <c r="N1486" s="8"/>
      <c r="O1486" s="8"/>
    </row>
    <row r="1487" ht="13.65" customHeight="1">
      <c r="A1487" s="8"/>
      <c r="B1487" s="8"/>
      <c r="C1487" s="8"/>
      <c r="D1487" s="8"/>
      <c r="E1487" s="8"/>
      <c r="F1487" s="8"/>
      <c r="G1487" s="8"/>
      <c r="H1487" s="8"/>
      <c r="I1487" s="8"/>
      <c r="J1487" s="8"/>
      <c r="K1487" s="8"/>
      <c r="L1487" s="8"/>
      <c r="M1487" s="8"/>
      <c r="N1487" s="8"/>
      <c r="O1487" s="8"/>
    </row>
    <row r="1488" ht="13.65" customHeight="1">
      <c r="A1488" s="8"/>
      <c r="B1488" s="8"/>
      <c r="C1488" s="8"/>
      <c r="D1488" s="8"/>
      <c r="E1488" s="8"/>
      <c r="F1488" s="8"/>
      <c r="G1488" s="8"/>
      <c r="H1488" s="8"/>
      <c r="I1488" s="8"/>
      <c r="J1488" s="8"/>
      <c r="K1488" s="8"/>
      <c r="L1488" s="8"/>
      <c r="M1488" s="8"/>
      <c r="N1488" s="8"/>
      <c r="O1488" s="8"/>
    </row>
    <row r="1489" ht="13.65" customHeight="1">
      <c r="A1489" s="8"/>
      <c r="B1489" s="8"/>
      <c r="C1489" s="8"/>
      <c r="D1489" s="8"/>
      <c r="E1489" s="8"/>
      <c r="F1489" s="8"/>
      <c r="G1489" s="8"/>
      <c r="H1489" s="8"/>
      <c r="I1489" s="8"/>
      <c r="J1489" s="8"/>
      <c r="K1489" s="8"/>
      <c r="L1489" s="8"/>
      <c r="M1489" s="8"/>
      <c r="N1489" s="8"/>
      <c r="O1489" s="8"/>
    </row>
    <row r="1490" ht="13.65" customHeight="1">
      <c r="A1490" s="8"/>
      <c r="B1490" s="8"/>
      <c r="C1490" s="8"/>
      <c r="D1490" s="8"/>
      <c r="E1490" s="8"/>
      <c r="F1490" s="8"/>
      <c r="G1490" s="8"/>
      <c r="H1490" s="8"/>
      <c r="I1490" s="8"/>
      <c r="J1490" s="8"/>
      <c r="K1490" s="8"/>
      <c r="L1490" s="8"/>
      <c r="M1490" s="8"/>
      <c r="N1490" s="8"/>
      <c r="O1490" s="8"/>
    </row>
    <row r="1491" ht="13.65" customHeight="1">
      <c r="A1491" s="8"/>
      <c r="B1491" s="8"/>
      <c r="C1491" s="8"/>
      <c r="D1491" s="8"/>
      <c r="E1491" s="8"/>
      <c r="F1491" s="8"/>
      <c r="G1491" s="8"/>
      <c r="H1491" s="8"/>
      <c r="I1491" s="8"/>
      <c r="J1491" s="8"/>
      <c r="K1491" s="8"/>
      <c r="L1491" s="8"/>
      <c r="M1491" s="8"/>
      <c r="N1491" s="8"/>
      <c r="O1491" s="8"/>
    </row>
    <row r="1492" ht="13.65" customHeight="1">
      <c r="A1492" s="8"/>
      <c r="B1492" s="8"/>
      <c r="C1492" s="8"/>
      <c r="D1492" s="8"/>
      <c r="E1492" s="8"/>
      <c r="F1492" s="8"/>
      <c r="G1492" s="8"/>
      <c r="H1492" s="8"/>
      <c r="I1492" s="8"/>
      <c r="J1492" s="8"/>
      <c r="K1492" s="8"/>
      <c r="L1492" s="8"/>
      <c r="M1492" s="8"/>
      <c r="N1492" s="8"/>
      <c r="O1492" s="8"/>
    </row>
    <row r="1493" ht="13.65" customHeight="1">
      <c r="A1493" s="8"/>
      <c r="B1493" s="8"/>
      <c r="C1493" s="8"/>
      <c r="D1493" s="8"/>
      <c r="E1493" s="8"/>
      <c r="F1493" s="8"/>
      <c r="G1493" s="8"/>
      <c r="H1493" s="8"/>
      <c r="I1493" s="8"/>
      <c r="J1493" s="8"/>
      <c r="K1493" s="8"/>
      <c r="L1493" s="8"/>
      <c r="M1493" s="8"/>
      <c r="N1493" s="8"/>
      <c r="O1493" s="8"/>
    </row>
    <row r="1494" ht="13.65" customHeight="1">
      <c r="A1494" s="8"/>
      <c r="B1494" s="8"/>
      <c r="C1494" s="8"/>
      <c r="D1494" s="8"/>
      <c r="E1494" s="8"/>
      <c r="F1494" s="8"/>
      <c r="G1494" s="8"/>
      <c r="H1494" s="8"/>
      <c r="I1494" s="8"/>
      <c r="J1494" s="8"/>
      <c r="K1494" s="8"/>
      <c r="L1494" s="8"/>
      <c r="M1494" s="8"/>
      <c r="N1494" s="8"/>
      <c r="O1494" s="8"/>
    </row>
    <row r="1495" ht="13.65" customHeight="1">
      <c r="A1495" s="8"/>
      <c r="B1495" s="8"/>
      <c r="C1495" s="8"/>
      <c r="D1495" s="8"/>
      <c r="E1495" s="8"/>
      <c r="F1495" s="8"/>
      <c r="G1495" s="8"/>
      <c r="H1495" s="8"/>
      <c r="I1495" s="8"/>
      <c r="J1495" s="8"/>
      <c r="K1495" s="8"/>
      <c r="L1495" s="8"/>
      <c r="M1495" s="8"/>
      <c r="N1495" s="8"/>
      <c r="O1495" s="8"/>
    </row>
    <row r="1496" ht="13.65" customHeight="1">
      <c r="A1496" s="8"/>
      <c r="B1496" s="8"/>
      <c r="C1496" s="8"/>
      <c r="D1496" s="8"/>
      <c r="E1496" s="8"/>
      <c r="F1496" s="8"/>
      <c r="G1496" s="8"/>
      <c r="H1496" s="8"/>
      <c r="I1496" s="8"/>
      <c r="J1496" s="8"/>
      <c r="K1496" s="8"/>
      <c r="L1496" s="8"/>
      <c r="M1496" s="8"/>
      <c r="N1496" s="8"/>
      <c r="O1496" s="8"/>
    </row>
    <row r="1497" ht="13.65" customHeight="1">
      <c r="A1497" s="8"/>
      <c r="B1497" s="8"/>
      <c r="C1497" s="8"/>
      <c r="D1497" s="8"/>
      <c r="E1497" s="8"/>
      <c r="F1497" s="8"/>
      <c r="G1497" s="8"/>
      <c r="H1497" s="8"/>
      <c r="I1497" s="8"/>
      <c r="J1497" s="8"/>
      <c r="K1497" s="8"/>
      <c r="L1497" s="8"/>
      <c r="M1497" s="8"/>
      <c r="N1497" s="8"/>
      <c r="O1497" s="8"/>
    </row>
    <row r="1498" ht="13.65" customHeight="1">
      <c r="A1498" s="8"/>
      <c r="B1498" s="8"/>
      <c r="C1498" s="8"/>
      <c r="D1498" s="8"/>
      <c r="E1498" s="8"/>
      <c r="F1498" s="8"/>
      <c r="G1498" s="8"/>
      <c r="H1498" s="8"/>
      <c r="I1498" s="8"/>
      <c r="J1498" s="8"/>
      <c r="K1498" s="8"/>
      <c r="L1498" s="8"/>
      <c r="M1498" s="8"/>
      <c r="N1498" s="8"/>
      <c r="O1498" s="8"/>
    </row>
    <row r="1499" ht="13.65" customHeight="1">
      <c r="A1499" s="8"/>
      <c r="B1499" s="8"/>
      <c r="C1499" s="8"/>
      <c r="D1499" s="8"/>
      <c r="E1499" s="8"/>
      <c r="F1499" s="8"/>
      <c r="G1499" s="8"/>
      <c r="H1499" s="8"/>
      <c r="I1499" s="8"/>
      <c r="J1499" s="8"/>
      <c r="K1499" s="8"/>
      <c r="L1499" s="8"/>
      <c r="M1499" s="8"/>
      <c r="N1499" s="8"/>
      <c r="O1499" s="8"/>
    </row>
    <row r="1500" ht="13.65" customHeight="1">
      <c r="A1500" s="8"/>
      <c r="B1500" s="8"/>
      <c r="C1500" s="8"/>
      <c r="D1500" s="8"/>
      <c r="E1500" s="8"/>
      <c r="F1500" s="8"/>
      <c r="G1500" s="8"/>
      <c r="H1500" s="8"/>
      <c r="I1500" s="8"/>
      <c r="J1500" s="8"/>
      <c r="K1500" s="8"/>
      <c r="L1500" s="8"/>
      <c r="M1500" s="8"/>
      <c r="N1500" s="8"/>
      <c r="O1500" s="8"/>
    </row>
    <row r="1501" ht="13.65" customHeight="1">
      <c r="A1501" s="8"/>
      <c r="B1501" s="8"/>
      <c r="C1501" s="8"/>
      <c r="D1501" s="8"/>
      <c r="E1501" s="8"/>
      <c r="F1501" s="8"/>
      <c r="G1501" s="8"/>
      <c r="H1501" s="8"/>
      <c r="I1501" s="8"/>
      <c r="J1501" s="8"/>
      <c r="K1501" s="8"/>
      <c r="L1501" s="8"/>
      <c r="M1501" s="8"/>
      <c r="N1501" s="8"/>
      <c r="O1501" s="8"/>
    </row>
    <row r="1502" ht="13.65" customHeight="1">
      <c r="A1502" s="8"/>
      <c r="B1502" s="8"/>
      <c r="C1502" s="8"/>
      <c r="D1502" s="8"/>
      <c r="E1502" s="8"/>
      <c r="F1502" s="8"/>
      <c r="G1502" s="8"/>
      <c r="H1502" s="8"/>
      <c r="I1502" s="8"/>
      <c r="J1502" s="8"/>
      <c r="K1502" s="8"/>
      <c r="L1502" s="8"/>
      <c r="M1502" s="8"/>
      <c r="N1502" s="8"/>
      <c r="O1502" s="8"/>
    </row>
    <row r="1503" ht="13.65" customHeight="1">
      <c r="A1503" s="8"/>
      <c r="B1503" s="8"/>
      <c r="C1503" s="8"/>
      <c r="D1503" s="8"/>
      <c r="E1503" s="8"/>
      <c r="F1503" s="8"/>
      <c r="G1503" s="8"/>
      <c r="H1503" s="8"/>
      <c r="I1503" s="8"/>
      <c r="J1503" s="8"/>
      <c r="K1503" s="8"/>
      <c r="L1503" s="8"/>
      <c r="M1503" s="8"/>
      <c r="N1503" s="8"/>
      <c r="O1503" s="8"/>
    </row>
    <row r="1504" ht="13.65" customHeight="1">
      <c r="A1504" s="8"/>
      <c r="B1504" s="8"/>
      <c r="C1504" s="8"/>
      <c r="D1504" s="8"/>
      <c r="E1504" s="8"/>
      <c r="F1504" s="8"/>
      <c r="G1504" s="8"/>
      <c r="H1504" s="8"/>
      <c r="I1504" s="8"/>
      <c r="J1504" s="8"/>
      <c r="K1504" s="8"/>
      <c r="L1504" s="8"/>
      <c r="M1504" s="8"/>
      <c r="N1504" s="8"/>
      <c r="O1504" s="8"/>
    </row>
    <row r="1505" ht="13.65" customHeight="1">
      <c r="A1505" s="8"/>
      <c r="B1505" s="8"/>
      <c r="C1505" s="8"/>
      <c r="D1505" s="8"/>
      <c r="E1505" s="8"/>
      <c r="F1505" s="8"/>
      <c r="G1505" s="8"/>
      <c r="H1505" s="8"/>
      <c r="I1505" s="8"/>
      <c r="J1505" s="8"/>
      <c r="K1505" s="8"/>
      <c r="L1505" s="8"/>
      <c r="M1505" s="8"/>
      <c r="N1505" s="8"/>
      <c r="O1505" s="8"/>
    </row>
    <row r="1506" ht="13.65" customHeight="1">
      <c r="A1506" s="8"/>
      <c r="B1506" s="8"/>
      <c r="C1506" s="8"/>
      <c r="D1506" s="8"/>
      <c r="E1506" s="8"/>
      <c r="F1506" s="8"/>
      <c r="G1506" s="8"/>
      <c r="H1506" s="8"/>
      <c r="I1506" s="8"/>
      <c r="J1506" s="8"/>
      <c r="K1506" s="8"/>
      <c r="L1506" s="8"/>
      <c r="M1506" s="8"/>
      <c r="N1506" s="8"/>
      <c r="O1506" s="8"/>
    </row>
    <row r="1507" ht="13.65" customHeight="1">
      <c r="A1507" s="8"/>
      <c r="B1507" s="8"/>
      <c r="C1507" s="8"/>
      <c r="D1507" s="8"/>
      <c r="E1507" s="8"/>
      <c r="F1507" s="8"/>
      <c r="G1507" s="8"/>
      <c r="H1507" s="8"/>
      <c r="I1507" s="8"/>
      <c r="J1507" s="8"/>
      <c r="K1507" s="8"/>
      <c r="L1507" s="8"/>
      <c r="M1507" s="8"/>
      <c r="N1507" s="8"/>
      <c r="O1507" s="8"/>
    </row>
    <row r="1508" ht="13.65" customHeight="1">
      <c r="A1508" s="8"/>
      <c r="B1508" s="8"/>
      <c r="C1508" s="8"/>
      <c r="D1508" s="8"/>
      <c r="E1508" s="8"/>
      <c r="F1508" s="8"/>
      <c r="G1508" s="8"/>
      <c r="H1508" s="8"/>
      <c r="I1508" s="8"/>
      <c r="J1508" s="8"/>
      <c r="K1508" s="8"/>
      <c r="L1508" s="8"/>
      <c r="M1508" s="8"/>
      <c r="N1508" s="8"/>
      <c r="O1508" s="8"/>
    </row>
    <row r="1509" ht="13.65" customHeight="1">
      <c r="A1509" s="8"/>
      <c r="B1509" s="8"/>
      <c r="C1509" s="8"/>
      <c r="D1509" s="8"/>
      <c r="E1509" s="8"/>
      <c r="F1509" s="8"/>
      <c r="G1509" s="8"/>
      <c r="H1509" s="8"/>
      <c r="I1509" s="8"/>
      <c r="J1509" s="8"/>
      <c r="K1509" s="8"/>
      <c r="L1509" s="8"/>
      <c r="M1509" s="8"/>
      <c r="N1509" s="8"/>
      <c r="O1509" s="8"/>
    </row>
    <row r="1510" ht="13.65" customHeight="1">
      <c r="A1510" s="8"/>
      <c r="B1510" s="8"/>
      <c r="C1510" s="8"/>
      <c r="D1510" s="8"/>
      <c r="E1510" s="8"/>
      <c r="F1510" s="8"/>
      <c r="G1510" s="8"/>
      <c r="H1510" s="8"/>
      <c r="I1510" s="8"/>
      <c r="J1510" s="8"/>
      <c r="K1510" s="8"/>
      <c r="L1510" s="8"/>
      <c r="M1510" s="8"/>
      <c r="N1510" s="8"/>
      <c r="O1510" s="8"/>
    </row>
    <row r="1511" ht="13.65" customHeight="1">
      <c r="A1511" s="8"/>
      <c r="B1511" s="8"/>
      <c r="C1511" s="8"/>
      <c r="D1511" s="8"/>
      <c r="E1511" s="8"/>
      <c r="F1511" s="8"/>
      <c r="G1511" s="8"/>
      <c r="H1511" s="8"/>
      <c r="I1511" s="8"/>
      <c r="J1511" s="8"/>
      <c r="K1511" s="8"/>
      <c r="L1511" s="8"/>
      <c r="M1511" s="8"/>
      <c r="N1511" s="8"/>
      <c r="O1511" s="8"/>
    </row>
    <row r="1512" ht="13.65" customHeight="1">
      <c r="A1512" s="8"/>
      <c r="B1512" s="8"/>
      <c r="C1512" s="8"/>
      <c r="D1512" s="8"/>
      <c r="E1512" s="8"/>
      <c r="F1512" s="8"/>
      <c r="G1512" s="8"/>
      <c r="H1512" s="8"/>
      <c r="I1512" s="8"/>
      <c r="J1512" s="8"/>
      <c r="K1512" s="8"/>
      <c r="L1512" s="8"/>
      <c r="M1512" s="8"/>
      <c r="N1512" s="8"/>
      <c r="O1512" s="8"/>
    </row>
    <row r="1513" ht="13.65" customHeight="1">
      <c r="A1513" s="8"/>
      <c r="B1513" s="8"/>
      <c r="C1513" s="8"/>
      <c r="D1513" s="8"/>
      <c r="E1513" s="8"/>
      <c r="F1513" s="8"/>
      <c r="G1513" s="8"/>
      <c r="H1513" s="8"/>
      <c r="I1513" s="8"/>
      <c r="J1513" s="8"/>
      <c r="K1513" s="8"/>
      <c r="L1513" s="8"/>
      <c r="M1513" s="8"/>
      <c r="N1513" s="8"/>
      <c r="O1513" s="8"/>
    </row>
    <row r="1514" ht="13.65" customHeight="1">
      <c r="A1514" s="8"/>
      <c r="B1514" s="8"/>
      <c r="C1514" s="8"/>
      <c r="D1514" s="8"/>
      <c r="E1514" s="8"/>
      <c r="F1514" s="8"/>
      <c r="G1514" s="8"/>
      <c r="H1514" s="8"/>
      <c r="I1514" s="8"/>
      <c r="J1514" s="8"/>
      <c r="K1514" s="8"/>
      <c r="L1514" s="8"/>
      <c r="M1514" s="8"/>
      <c r="N1514" s="8"/>
      <c r="O1514" s="8"/>
    </row>
    <row r="1515" ht="13.65" customHeight="1">
      <c r="A1515" s="8"/>
      <c r="B1515" s="8"/>
      <c r="C1515" s="8"/>
      <c r="D1515" s="8"/>
      <c r="E1515" s="8"/>
      <c r="F1515" s="8"/>
      <c r="G1515" s="8"/>
      <c r="H1515" s="8"/>
      <c r="I1515" s="8"/>
      <c r="J1515" s="8"/>
      <c r="K1515" s="8"/>
      <c r="L1515" s="8"/>
      <c r="M1515" s="8"/>
      <c r="N1515" s="8"/>
      <c r="O1515" s="8"/>
    </row>
    <row r="1516" ht="13.65" customHeight="1">
      <c r="A1516" s="8"/>
      <c r="B1516" s="8"/>
      <c r="C1516" s="8"/>
      <c r="D1516" s="8"/>
      <c r="E1516" s="8"/>
      <c r="F1516" s="8"/>
      <c r="G1516" s="8"/>
      <c r="H1516" s="8"/>
      <c r="I1516" s="8"/>
      <c r="J1516" s="8"/>
      <c r="K1516" s="8"/>
      <c r="L1516" s="8"/>
      <c r="M1516" s="8"/>
      <c r="N1516" s="8"/>
      <c r="O1516" s="8"/>
    </row>
    <row r="1517" ht="13.65" customHeight="1">
      <c r="A1517" s="8"/>
      <c r="B1517" s="8"/>
      <c r="C1517" s="8"/>
      <c r="D1517" s="8"/>
      <c r="E1517" s="8"/>
      <c r="F1517" s="8"/>
      <c r="G1517" s="8"/>
      <c r="H1517" s="8"/>
      <c r="I1517" s="8"/>
      <c r="J1517" s="8"/>
      <c r="K1517" s="8"/>
      <c r="L1517" s="8"/>
      <c r="M1517" s="8"/>
      <c r="N1517" s="8"/>
      <c r="O1517" s="8"/>
    </row>
    <row r="1518" ht="13.65" customHeight="1">
      <c r="A1518" s="8"/>
      <c r="B1518" s="8"/>
      <c r="C1518" s="8"/>
      <c r="D1518" s="8"/>
      <c r="E1518" s="8"/>
      <c r="F1518" s="8"/>
      <c r="G1518" s="8"/>
      <c r="H1518" s="8"/>
      <c r="I1518" s="8"/>
      <c r="J1518" s="8"/>
      <c r="K1518" s="8"/>
      <c r="L1518" s="8"/>
      <c r="M1518" s="8"/>
      <c r="N1518" s="8"/>
      <c r="O1518" s="8"/>
    </row>
    <row r="1519" ht="13.65" customHeight="1">
      <c r="A1519" s="8"/>
      <c r="B1519" s="8"/>
      <c r="C1519" s="8"/>
      <c r="D1519" s="8"/>
      <c r="E1519" s="8"/>
      <c r="F1519" s="8"/>
      <c r="G1519" s="8"/>
      <c r="H1519" s="8"/>
      <c r="I1519" s="8"/>
      <c r="J1519" s="8"/>
      <c r="K1519" s="8"/>
      <c r="L1519" s="8"/>
      <c r="M1519" s="8"/>
      <c r="N1519" s="8"/>
      <c r="O1519" s="8"/>
    </row>
    <row r="1520" ht="13.65" customHeight="1">
      <c r="A1520" s="8"/>
      <c r="B1520" s="8"/>
      <c r="C1520" s="8"/>
      <c r="D1520" s="8"/>
      <c r="E1520" s="8"/>
      <c r="F1520" s="8"/>
      <c r="G1520" s="8"/>
      <c r="H1520" s="8"/>
      <c r="I1520" s="8"/>
      <c r="J1520" s="8"/>
      <c r="K1520" s="8"/>
      <c r="L1520" s="8"/>
      <c r="M1520" s="8"/>
      <c r="N1520" s="8"/>
      <c r="O1520" s="8"/>
    </row>
    <row r="1521" ht="13.65" customHeight="1">
      <c r="A1521" s="8"/>
      <c r="B1521" s="8"/>
      <c r="C1521" s="8"/>
      <c r="D1521" s="8"/>
      <c r="E1521" s="8"/>
      <c r="F1521" s="8"/>
      <c r="G1521" s="8"/>
      <c r="H1521" s="8"/>
      <c r="I1521" s="8"/>
      <c r="J1521" s="8"/>
      <c r="K1521" s="8"/>
      <c r="L1521" s="8"/>
      <c r="M1521" s="8"/>
      <c r="N1521" s="8"/>
      <c r="O1521" s="8"/>
    </row>
    <row r="1522" ht="13.65" customHeight="1">
      <c r="A1522" s="8"/>
      <c r="B1522" s="8"/>
      <c r="C1522" s="8"/>
      <c r="D1522" s="8"/>
      <c r="E1522" s="8"/>
      <c r="F1522" s="8"/>
      <c r="G1522" s="8"/>
      <c r="H1522" s="8"/>
      <c r="I1522" s="8"/>
      <c r="J1522" s="8"/>
      <c r="K1522" s="8"/>
      <c r="L1522" s="8"/>
      <c r="M1522" s="8"/>
      <c r="N1522" s="8"/>
      <c r="O1522" s="8"/>
    </row>
    <row r="1523" ht="13.65" customHeight="1">
      <c r="A1523" s="8"/>
      <c r="B1523" s="8"/>
      <c r="C1523" s="8"/>
      <c r="D1523" s="8"/>
      <c r="E1523" s="8"/>
      <c r="F1523" s="8"/>
      <c r="G1523" s="8"/>
      <c r="H1523" s="8"/>
      <c r="I1523" s="8"/>
      <c r="J1523" s="8"/>
      <c r="K1523" s="8"/>
      <c r="L1523" s="8"/>
      <c r="M1523" s="8"/>
      <c r="N1523" s="8"/>
      <c r="O1523" s="8"/>
    </row>
    <row r="1524" ht="13.65" customHeight="1">
      <c r="A1524" s="8"/>
      <c r="B1524" s="8"/>
      <c r="C1524" s="8"/>
      <c r="D1524" s="8"/>
      <c r="E1524" s="8"/>
      <c r="F1524" s="8"/>
      <c r="G1524" s="8"/>
      <c r="H1524" s="8"/>
      <c r="I1524" s="8"/>
      <c r="J1524" s="8"/>
      <c r="K1524" s="8"/>
      <c r="L1524" s="8"/>
      <c r="M1524" s="8"/>
      <c r="N1524" s="8"/>
      <c r="O1524" s="8"/>
    </row>
    <row r="1525" ht="13.65" customHeight="1">
      <c r="A1525" s="8"/>
      <c r="B1525" s="8"/>
      <c r="C1525" s="8"/>
      <c r="D1525" s="8"/>
      <c r="E1525" s="8"/>
      <c r="F1525" s="8"/>
      <c r="G1525" s="8"/>
      <c r="H1525" s="8"/>
      <c r="I1525" s="8"/>
      <c r="J1525" s="8"/>
      <c r="K1525" s="8"/>
      <c r="L1525" s="8"/>
      <c r="M1525" s="8"/>
      <c r="N1525" s="8"/>
      <c r="O1525" s="8"/>
    </row>
    <row r="1526" ht="13.65" customHeight="1">
      <c r="A1526" s="8"/>
      <c r="B1526" s="8"/>
      <c r="C1526" s="8"/>
      <c r="D1526" s="8"/>
      <c r="E1526" s="8"/>
      <c r="F1526" s="8"/>
      <c r="G1526" s="8"/>
      <c r="H1526" s="8"/>
      <c r="I1526" s="8"/>
      <c r="J1526" s="8"/>
      <c r="K1526" s="8"/>
      <c r="L1526" s="8"/>
      <c r="M1526" s="8"/>
      <c r="N1526" s="8"/>
      <c r="O1526" s="8"/>
    </row>
    <row r="1527" ht="13.65" customHeight="1">
      <c r="A1527" s="8"/>
      <c r="B1527" s="8"/>
      <c r="C1527" s="8"/>
      <c r="D1527" s="8"/>
      <c r="E1527" s="8"/>
      <c r="F1527" s="8"/>
      <c r="G1527" s="8"/>
      <c r="H1527" s="8"/>
      <c r="I1527" s="8"/>
      <c r="J1527" s="8"/>
      <c r="K1527" s="8"/>
      <c r="L1527" s="8"/>
      <c r="M1527" s="8"/>
      <c r="N1527" s="8"/>
      <c r="O1527" s="8"/>
    </row>
    <row r="1528" ht="13.65" customHeight="1">
      <c r="A1528" s="8"/>
      <c r="B1528" s="8"/>
      <c r="C1528" s="8"/>
      <c r="D1528" s="8"/>
      <c r="E1528" s="8"/>
      <c r="F1528" s="8"/>
      <c r="G1528" s="8"/>
      <c r="H1528" s="8"/>
      <c r="I1528" s="8"/>
      <c r="J1528" s="8"/>
      <c r="K1528" s="8"/>
      <c r="L1528" s="8"/>
      <c r="M1528" s="8"/>
      <c r="N1528" s="8"/>
      <c r="O1528" s="8"/>
    </row>
    <row r="1529" ht="13.65" customHeight="1">
      <c r="A1529" s="8"/>
      <c r="B1529" s="8"/>
      <c r="C1529" s="8"/>
      <c r="D1529" s="8"/>
      <c r="E1529" s="8"/>
      <c r="F1529" s="8"/>
      <c r="G1529" s="8"/>
      <c r="H1529" s="8"/>
      <c r="I1529" s="8"/>
      <c r="J1529" s="8"/>
      <c r="K1529" s="8"/>
      <c r="L1529" s="8"/>
      <c r="M1529" s="8"/>
      <c r="N1529" s="8"/>
      <c r="O1529" s="8"/>
    </row>
    <row r="1530" ht="13.65" customHeight="1">
      <c r="A1530" s="8"/>
      <c r="B1530" s="8"/>
      <c r="C1530" s="8"/>
      <c r="D1530" s="8"/>
      <c r="E1530" s="8"/>
      <c r="F1530" s="8"/>
      <c r="G1530" s="8"/>
      <c r="H1530" s="8"/>
      <c r="I1530" s="8"/>
      <c r="J1530" s="8"/>
      <c r="K1530" s="8"/>
      <c r="L1530" s="8"/>
      <c r="M1530" s="8"/>
      <c r="N1530" s="8"/>
      <c r="O1530" s="8"/>
    </row>
    <row r="1531" ht="13.65" customHeight="1">
      <c r="A1531" s="8"/>
      <c r="B1531" s="8"/>
      <c r="C1531" s="8"/>
      <c r="D1531" s="8"/>
      <c r="E1531" s="8"/>
      <c r="F1531" s="8"/>
      <c r="G1531" s="8"/>
      <c r="H1531" s="8"/>
      <c r="I1531" s="8"/>
      <c r="J1531" s="8"/>
      <c r="K1531" s="8"/>
      <c r="L1531" s="8"/>
      <c r="M1531" s="8"/>
      <c r="N1531" s="8"/>
      <c r="O1531" s="8"/>
    </row>
    <row r="1532" ht="13.65" customHeight="1">
      <c r="A1532" s="8"/>
      <c r="B1532" s="8"/>
      <c r="C1532" s="8"/>
      <c r="D1532" s="8"/>
      <c r="E1532" s="8"/>
      <c r="F1532" s="8"/>
      <c r="G1532" s="8"/>
      <c r="H1532" s="8"/>
      <c r="I1532" s="8"/>
      <c r="J1532" s="8"/>
      <c r="K1532" s="8"/>
      <c r="L1532" s="8"/>
      <c r="M1532" s="8"/>
      <c r="N1532" s="8"/>
      <c r="O1532" s="8"/>
    </row>
    <row r="1533" ht="13.65" customHeight="1">
      <c r="A1533" s="8"/>
      <c r="B1533" s="8"/>
      <c r="C1533" s="8"/>
      <c r="D1533" s="8"/>
      <c r="E1533" s="8"/>
      <c r="F1533" s="8"/>
      <c r="G1533" s="8"/>
      <c r="H1533" s="8"/>
      <c r="I1533" s="8"/>
      <c r="J1533" s="8"/>
      <c r="K1533" s="8"/>
      <c r="L1533" s="8"/>
      <c r="M1533" s="8"/>
      <c r="N1533" s="8"/>
      <c r="O1533" s="8"/>
    </row>
    <row r="1534" ht="13.65" customHeight="1">
      <c r="A1534" s="8"/>
      <c r="B1534" s="8"/>
      <c r="C1534" s="8"/>
      <c r="D1534" s="8"/>
      <c r="E1534" s="8"/>
      <c r="F1534" s="8"/>
      <c r="G1534" s="8"/>
      <c r="H1534" s="8"/>
      <c r="I1534" s="8"/>
      <c r="J1534" s="8"/>
      <c r="K1534" s="8"/>
      <c r="L1534" s="8"/>
      <c r="M1534" s="8"/>
      <c r="N1534" s="8"/>
      <c r="O1534" s="8"/>
    </row>
    <row r="1535" ht="13.65" customHeight="1">
      <c r="A1535" s="8"/>
      <c r="B1535" s="8"/>
      <c r="C1535" s="8"/>
      <c r="D1535" s="8"/>
      <c r="E1535" s="8"/>
      <c r="F1535" s="8"/>
      <c r="G1535" s="8"/>
      <c r="H1535" s="8"/>
      <c r="I1535" s="8"/>
      <c r="J1535" s="8"/>
      <c r="K1535" s="8"/>
      <c r="L1535" s="8"/>
      <c r="M1535" s="8"/>
      <c r="N1535" s="8"/>
      <c r="O1535" s="8"/>
    </row>
    <row r="1536" ht="13.65" customHeight="1">
      <c r="A1536" s="8"/>
      <c r="B1536" s="8"/>
      <c r="C1536" s="8"/>
      <c r="D1536" s="8"/>
      <c r="E1536" s="8"/>
      <c r="F1536" s="8"/>
      <c r="G1536" s="8"/>
      <c r="H1536" s="8"/>
      <c r="I1536" s="8"/>
      <c r="J1536" s="8"/>
      <c r="K1536" s="8"/>
      <c r="L1536" s="8"/>
      <c r="M1536" s="8"/>
      <c r="N1536" s="8"/>
      <c r="O1536" s="8"/>
    </row>
    <row r="1537" ht="13.65" customHeight="1">
      <c r="A1537" s="8"/>
      <c r="B1537" s="8"/>
      <c r="C1537" s="8"/>
      <c r="D1537" s="8"/>
      <c r="E1537" s="8"/>
      <c r="F1537" s="8"/>
      <c r="G1537" s="8"/>
      <c r="H1537" s="8"/>
      <c r="I1537" s="8"/>
      <c r="J1537" s="8"/>
      <c r="K1537" s="8"/>
      <c r="L1537" s="8"/>
      <c r="M1537" s="8"/>
      <c r="N1537" s="8"/>
      <c r="O1537" s="8"/>
    </row>
    <row r="1538" ht="13.65" customHeight="1">
      <c r="A1538" s="8"/>
      <c r="B1538" s="8"/>
      <c r="C1538" s="8"/>
      <c r="D1538" s="8"/>
      <c r="E1538" s="8"/>
      <c r="F1538" s="8"/>
      <c r="G1538" s="8"/>
      <c r="H1538" s="8"/>
      <c r="I1538" s="8"/>
      <c r="J1538" s="8"/>
      <c r="K1538" s="8"/>
      <c r="L1538" s="8"/>
      <c r="M1538" s="8"/>
      <c r="N1538" s="8"/>
      <c r="O1538" s="8"/>
    </row>
    <row r="1539" ht="13.65" customHeight="1">
      <c r="A1539" s="8"/>
      <c r="B1539" s="8"/>
      <c r="C1539" s="8"/>
      <c r="D1539" s="8"/>
      <c r="E1539" s="8"/>
      <c r="F1539" s="8"/>
      <c r="G1539" s="8"/>
      <c r="H1539" s="8"/>
      <c r="I1539" s="8"/>
      <c r="J1539" s="8"/>
      <c r="K1539" s="8"/>
      <c r="L1539" s="8"/>
      <c r="M1539" s="8"/>
      <c r="N1539" s="8"/>
      <c r="O1539" s="8"/>
    </row>
    <row r="1540" ht="13.65" customHeight="1">
      <c r="A1540" s="8"/>
      <c r="B1540" s="8"/>
      <c r="C1540" s="8"/>
      <c r="D1540" s="8"/>
      <c r="E1540" s="8"/>
      <c r="F1540" s="8"/>
      <c r="G1540" s="8"/>
      <c r="H1540" s="8"/>
      <c r="I1540" s="8"/>
      <c r="J1540" s="8"/>
      <c r="K1540" s="8"/>
      <c r="L1540" s="8"/>
      <c r="M1540" s="8"/>
      <c r="N1540" s="8"/>
      <c r="O1540" s="8"/>
    </row>
    <row r="1541" ht="13.65" customHeight="1">
      <c r="A1541" s="8"/>
      <c r="B1541" s="8"/>
      <c r="C1541" s="8"/>
      <c r="D1541" s="8"/>
      <c r="E1541" s="8"/>
      <c r="F1541" s="8"/>
      <c r="G1541" s="8"/>
      <c r="H1541" s="8"/>
      <c r="I1541" s="8"/>
      <c r="J1541" s="8"/>
      <c r="K1541" s="8"/>
      <c r="L1541" s="8"/>
      <c r="M1541" s="8"/>
      <c r="N1541" s="8"/>
      <c r="O1541" s="8"/>
    </row>
    <row r="1542" ht="13.65" customHeight="1">
      <c r="A1542" s="8"/>
      <c r="B1542" s="8"/>
      <c r="C1542" s="8"/>
      <c r="D1542" s="8"/>
      <c r="E1542" s="8"/>
      <c r="F1542" s="8"/>
      <c r="G1542" s="8"/>
      <c r="H1542" s="8"/>
      <c r="I1542" s="8"/>
      <c r="J1542" s="8"/>
      <c r="K1542" s="8"/>
      <c r="L1542" s="8"/>
      <c r="M1542" s="8"/>
      <c r="N1542" s="8"/>
      <c r="O1542" s="8"/>
    </row>
    <row r="1543" ht="13.65" customHeight="1">
      <c r="A1543" s="8"/>
      <c r="B1543" s="8"/>
      <c r="C1543" s="8"/>
      <c r="D1543" s="8"/>
      <c r="E1543" s="8"/>
      <c r="F1543" s="8"/>
      <c r="G1543" s="8"/>
      <c r="H1543" s="8"/>
      <c r="I1543" s="8"/>
      <c r="J1543" s="8"/>
      <c r="K1543" s="8"/>
      <c r="L1543" s="8"/>
      <c r="M1543" s="8"/>
      <c r="N1543" s="8"/>
      <c r="O1543" s="8"/>
    </row>
    <row r="1544" ht="13.65" customHeight="1">
      <c r="A1544" s="8"/>
      <c r="B1544" s="8"/>
      <c r="C1544" s="8"/>
      <c r="D1544" s="8"/>
      <c r="E1544" s="8"/>
      <c r="F1544" s="8"/>
      <c r="G1544" s="8"/>
      <c r="H1544" s="8"/>
      <c r="I1544" s="8"/>
      <c r="J1544" s="8"/>
      <c r="K1544" s="8"/>
      <c r="L1544" s="8"/>
      <c r="M1544" s="8"/>
      <c r="N1544" s="8"/>
      <c r="O1544" s="8"/>
    </row>
    <row r="1545" ht="13.65" customHeight="1">
      <c r="A1545" s="8"/>
      <c r="B1545" s="8"/>
      <c r="C1545" s="8"/>
      <c r="D1545" s="8"/>
      <c r="E1545" s="8"/>
      <c r="F1545" s="8"/>
      <c r="G1545" s="8"/>
      <c r="H1545" s="8"/>
      <c r="I1545" s="8"/>
      <c r="J1545" s="8"/>
      <c r="K1545" s="8"/>
      <c r="L1545" s="8"/>
      <c r="M1545" s="8"/>
      <c r="N1545" s="8"/>
      <c r="O1545" s="8"/>
    </row>
    <row r="1546" ht="13.65" customHeight="1">
      <c r="A1546" s="8"/>
      <c r="B1546" s="8"/>
      <c r="C1546" s="8"/>
      <c r="D1546" s="8"/>
      <c r="E1546" s="8"/>
      <c r="F1546" s="8"/>
      <c r="G1546" s="8"/>
      <c r="H1546" s="8"/>
      <c r="I1546" s="8"/>
      <c r="J1546" s="8"/>
      <c r="K1546" s="8"/>
      <c r="L1546" s="8"/>
      <c r="M1546" s="8"/>
      <c r="N1546" s="8"/>
      <c r="O1546" s="8"/>
    </row>
    <row r="1547" ht="13.65" customHeight="1">
      <c r="A1547" s="8"/>
      <c r="B1547" s="8"/>
      <c r="C1547" s="8"/>
      <c r="D1547" s="8"/>
      <c r="E1547" s="8"/>
      <c r="F1547" s="8"/>
      <c r="G1547" s="8"/>
      <c r="H1547" s="8"/>
      <c r="I1547" s="8"/>
      <c r="J1547" s="8"/>
      <c r="K1547" s="8"/>
      <c r="L1547" s="8"/>
      <c r="M1547" s="8"/>
      <c r="N1547" s="8"/>
      <c r="O1547" s="8"/>
    </row>
    <row r="1548" ht="13.65" customHeight="1">
      <c r="A1548" s="8"/>
      <c r="B1548" s="8"/>
      <c r="C1548" s="8"/>
      <c r="D1548" s="8"/>
      <c r="E1548" s="8"/>
      <c r="F1548" s="8"/>
      <c r="G1548" s="8"/>
      <c r="H1548" s="8"/>
      <c r="I1548" s="8"/>
      <c r="J1548" s="8"/>
      <c r="K1548" s="8"/>
      <c r="L1548" s="8"/>
      <c r="M1548" s="8"/>
      <c r="N1548" s="8"/>
      <c r="O1548" s="8"/>
    </row>
    <row r="1549" ht="13.65" customHeight="1">
      <c r="A1549" s="8"/>
      <c r="B1549" s="8"/>
      <c r="C1549" s="8"/>
      <c r="D1549" s="8"/>
      <c r="E1549" s="8"/>
      <c r="F1549" s="8"/>
      <c r="G1549" s="8"/>
      <c r="H1549" s="8"/>
      <c r="I1549" s="8"/>
      <c r="J1549" s="8"/>
      <c r="K1549" s="8"/>
      <c r="L1549" s="8"/>
      <c r="M1549" s="8"/>
      <c r="N1549" s="8"/>
      <c r="O1549" s="8"/>
    </row>
    <row r="1550" ht="13.65" customHeight="1">
      <c r="A1550" s="8"/>
      <c r="B1550" s="8"/>
      <c r="C1550" s="8"/>
      <c r="D1550" s="8"/>
      <c r="E1550" s="8"/>
      <c r="F1550" s="8"/>
      <c r="G1550" s="8"/>
      <c r="H1550" s="8"/>
      <c r="I1550" s="8"/>
      <c r="J1550" s="8"/>
      <c r="K1550" s="8"/>
      <c r="L1550" s="8"/>
      <c r="M1550" s="8"/>
      <c r="N1550" s="8"/>
      <c r="O1550" s="8"/>
    </row>
    <row r="1551" ht="13.65" customHeight="1">
      <c r="A1551" s="8"/>
      <c r="B1551" s="8"/>
      <c r="C1551" s="8"/>
      <c r="D1551" s="8"/>
      <c r="E1551" s="8"/>
      <c r="F1551" s="8"/>
      <c r="G1551" s="8"/>
      <c r="H1551" s="8"/>
      <c r="I1551" s="8"/>
      <c r="J1551" s="8"/>
      <c r="K1551" s="8"/>
      <c r="L1551" s="8"/>
      <c r="M1551" s="8"/>
      <c r="N1551" s="8"/>
      <c r="O1551" s="8"/>
    </row>
    <row r="1552" ht="13.65" customHeight="1">
      <c r="A1552" s="8"/>
      <c r="B1552" s="8"/>
      <c r="C1552" s="8"/>
      <c r="D1552" s="8"/>
      <c r="E1552" s="8"/>
      <c r="F1552" s="8"/>
      <c r="G1552" s="8"/>
      <c r="H1552" s="8"/>
      <c r="I1552" s="8"/>
      <c r="J1552" s="8"/>
      <c r="K1552" s="8"/>
      <c r="L1552" s="8"/>
      <c r="M1552" s="8"/>
      <c r="N1552" s="8"/>
      <c r="O1552" s="8"/>
    </row>
    <row r="1553" ht="13.65" customHeight="1">
      <c r="A1553" s="8"/>
      <c r="B1553" s="8"/>
      <c r="C1553" s="8"/>
      <c r="D1553" s="8"/>
      <c r="E1553" s="8"/>
      <c r="F1553" s="8"/>
      <c r="G1553" s="8"/>
      <c r="H1553" s="8"/>
      <c r="I1553" s="8"/>
      <c r="J1553" s="8"/>
      <c r="K1553" s="8"/>
      <c r="L1553" s="8"/>
      <c r="M1553" s="8"/>
      <c r="N1553" s="8"/>
      <c r="O1553" s="8"/>
    </row>
    <row r="1554" ht="13.65" customHeight="1">
      <c r="A1554" s="8"/>
      <c r="B1554" s="8"/>
      <c r="C1554" s="8"/>
      <c r="D1554" s="8"/>
      <c r="E1554" s="8"/>
      <c r="F1554" s="8"/>
      <c r="G1554" s="8"/>
      <c r="H1554" s="8"/>
      <c r="I1554" s="8"/>
      <c r="J1554" s="8"/>
      <c r="K1554" s="8"/>
      <c r="L1554" s="8"/>
      <c r="M1554" s="8"/>
      <c r="N1554" s="8"/>
      <c r="O1554" s="8"/>
    </row>
    <row r="1555" ht="13.65" customHeight="1">
      <c r="A1555" s="8"/>
      <c r="B1555" s="8"/>
      <c r="C1555" s="8"/>
      <c r="D1555" s="8"/>
      <c r="E1555" s="8"/>
      <c r="F1555" s="8"/>
      <c r="G1555" s="8"/>
      <c r="H1555" s="8"/>
      <c r="I1555" s="8"/>
      <c r="J1555" s="8"/>
      <c r="K1555" s="8"/>
      <c r="L1555" s="8"/>
      <c r="M1555" s="8"/>
      <c r="N1555" s="8"/>
      <c r="O1555" s="8"/>
    </row>
    <row r="1556" ht="13.65" customHeight="1">
      <c r="A1556" s="8"/>
      <c r="B1556" s="8"/>
      <c r="C1556" s="8"/>
      <c r="D1556" s="8"/>
      <c r="E1556" s="8"/>
      <c r="F1556" s="8"/>
      <c r="G1556" s="8"/>
      <c r="H1556" s="8"/>
      <c r="I1556" s="8"/>
      <c r="J1556" s="8"/>
      <c r="K1556" s="8"/>
      <c r="L1556" s="8"/>
      <c r="M1556" s="8"/>
      <c r="N1556" s="8"/>
      <c r="O1556" s="8"/>
    </row>
    <row r="1557" ht="13.65" customHeight="1">
      <c r="A1557" s="8"/>
      <c r="B1557" s="8"/>
      <c r="C1557" s="8"/>
      <c r="D1557" s="8"/>
      <c r="E1557" s="8"/>
      <c r="F1557" s="8"/>
      <c r="G1557" s="8"/>
      <c r="H1557" s="8"/>
      <c r="I1557" s="8"/>
      <c r="J1557" s="8"/>
      <c r="K1557" s="8"/>
      <c r="L1557" s="8"/>
      <c r="M1557" s="8"/>
      <c r="N1557" s="8"/>
      <c r="O1557" s="8"/>
    </row>
    <row r="1558" ht="13.65" customHeight="1">
      <c r="A1558" s="8"/>
      <c r="B1558" s="8"/>
      <c r="C1558" s="8"/>
      <c r="D1558" s="8"/>
      <c r="E1558" s="8"/>
      <c r="F1558" s="8"/>
      <c r="G1558" s="8"/>
      <c r="H1558" s="8"/>
      <c r="I1558" s="8"/>
      <c r="J1558" s="8"/>
      <c r="K1558" s="8"/>
      <c r="L1558" s="8"/>
      <c r="M1558" s="8"/>
      <c r="N1558" s="8"/>
      <c r="O1558" s="8"/>
    </row>
    <row r="1559" ht="13.65" customHeight="1">
      <c r="A1559" s="8"/>
      <c r="B1559" s="8"/>
      <c r="C1559" s="8"/>
      <c r="D1559" s="8"/>
      <c r="E1559" s="8"/>
      <c r="F1559" s="8"/>
      <c r="G1559" s="8"/>
      <c r="H1559" s="8"/>
      <c r="I1559" s="8"/>
      <c r="J1559" s="8"/>
      <c r="K1559" s="8"/>
      <c r="L1559" s="8"/>
      <c r="M1559" s="8"/>
      <c r="N1559" s="8"/>
      <c r="O1559" s="8"/>
    </row>
    <row r="1560" ht="13.65" customHeight="1">
      <c r="A1560" s="8"/>
      <c r="B1560" s="8"/>
      <c r="C1560" s="8"/>
      <c r="D1560" s="8"/>
      <c r="E1560" s="8"/>
      <c r="F1560" s="8"/>
      <c r="G1560" s="8"/>
      <c r="H1560" s="8"/>
      <c r="I1560" s="8"/>
      <c r="J1560" s="8"/>
      <c r="K1560" s="8"/>
      <c r="L1560" s="8"/>
      <c r="M1560" s="8"/>
      <c r="N1560" s="8"/>
      <c r="O1560" s="8"/>
    </row>
    <row r="1561" ht="13.65" customHeight="1">
      <c r="A1561" s="8"/>
      <c r="B1561" s="8"/>
      <c r="C1561" s="8"/>
      <c r="D1561" s="8"/>
      <c r="E1561" s="8"/>
      <c r="F1561" s="8"/>
      <c r="G1561" s="8"/>
      <c r="H1561" s="8"/>
      <c r="I1561" s="8"/>
      <c r="J1561" s="8"/>
      <c r="K1561" s="8"/>
      <c r="L1561" s="8"/>
      <c r="M1561" s="8"/>
      <c r="N1561" s="8"/>
      <c r="O1561" s="8"/>
    </row>
    <row r="1562" ht="13.65" customHeight="1">
      <c r="A1562" s="8"/>
      <c r="B1562" s="8"/>
      <c r="C1562" s="8"/>
      <c r="D1562" s="8"/>
      <c r="E1562" s="8"/>
      <c r="F1562" s="8"/>
      <c r="G1562" s="8"/>
      <c r="H1562" s="8"/>
      <c r="I1562" s="8"/>
      <c r="J1562" s="8"/>
      <c r="K1562" s="8"/>
      <c r="L1562" s="8"/>
      <c r="M1562" s="8"/>
      <c r="N1562" s="8"/>
      <c r="O1562" s="8"/>
    </row>
    <row r="1563" ht="13.65" customHeight="1">
      <c r="A1563" s="8"/>
      <c r="B1563" s="8"/>
      <c r="C1563" s="8"/>
      <c r="D1563" s="8"/>
      <c r="E1563" s="8"/>
      <c r="F1563" s="8"/>
      <c r="G1563" s="8"/>
      <c r="H1563" s="8"/>
      <c r="I1563" s="8"/>
      <c r="J1563" s="8"/>
      <c r="K1563" s="8"/>
      <c r="L1563" s="8"/>
      <c r="M1563" s="8"/>
      <c r="N1563" s="8"/>
      <c r="O1563" s="8"/>
    </row>
    <row r="1564" ht="13.65" customHeight="1">
      <c r="A1564" s="8"/>
      <c r="B1564" s="8"/>
      <c r="C1564" s="8"/>
      <c r="D1564" s="8"/>
      <c r="E1564" s="8"/>
      <c r="F1564" s="8"/>
      <c r="G1564" s="8"/>
      <c r="H1564" s="8"/>
      <c r="I1564" s="8"/>
      <c r="J1564" s="8"/>
      <c r="K1564" s="8"/>
      <c r="L1564" s="8"/>
      <c r="M1564" s="8"/>
      <c r="N1564" s="8"/>
      <c r="O1564" s="8"/>
    </row>
    <row r="1565" ht="13.65" customHeight="1">
      <c r="A1565" s="8"/>
      <c r="B1565" s="8"/>
      <c r="C1565" s="8"/>
      <c r="D1565" s="8"/>
      <c r="E1565" s="8"/>
      <c r="F1565" s="8"/>
      <c r="G1565" s="8"/>
      <c r="H1565" s="8"/>
      <c r="I1565" s="8"/>
      <c r="J1565" s="8"/>
      <c r="K1565" s="8"/>
      <c r="L1565" s="8"/>
      <c r="M1565" s="8"/>
      <c r="N1565" s="8"/>
      <c r="O1565" s="8"/>
    </row>
    <row r="1566" ht="13.65" customHeight="1">
      <c r="A1566" s="8"/>
      <c r="B1566" s="8"/>
      <c r="C1566" s="8"/>
      <c r="D1566" s="8"/>
      <c r="E1566" s="8"/>
      <c r="F1566" s="8"/>
      <c r="G1566" s="8"/>
      <c r="H1566" s="8"/>
      <c r="I1566" s="8"/>
      <c r="J1566" s="8"/>
      <c r="K1566" s="8"/>
      <c r="L1566" s="8"/>
      <c r="M1566" s="8"/>
      <c r="N1566" s="8"/>
      <c r="O1566" s="8"/>
    </row>
    <row r="1567" ht="13.65" customHeight="1">
      <c r="A1567" s="8"/>
      <c r="B1567" s="8"/>
      <c r="C1567" s="8"/>
      <c r="D1567" s="8"/>
      <c r="E1567" s="8"/>
      <c r="F1567" s="8"/>
      <c r="G1567" s="8"/>
      <c r="H1567" s="8"/>
      <c r="I1567" s="8"/>
      <c r="J1567" s="8"/>
      <c r="K1567" s="8"/>
      <c r="L1567" s="8"/>
      <c r="M1567" s="8"/>
      <c r="N1567" s="8"/>
      <c r="O1567" s="8"/>
    </row>
    <row r="1568" ht="13.65" customHeight="1">
      <c r="A1568" s="8"/>
      <c r="B1568" s="8"/>
      <c r="C1568" s="8"/>
      <c r="D1568" s="8"/>
      <c r="E1568" s="8"/>
      <c r="F1568" s="8"/>
      <c r="G1568" s="8"/>
      <c r="H1568" s="8"/>
      <c r="I1568" s="8"/>
      <c r="J1568" s="8"/>
      <c r="K1568" s="8"/>
      <c r="L1568" s="8"/>
      <c r="M1568" s="8"/>
      <c r="N1568" s="8"/>
      <c r="O1568" s="8"/>
    </row>
    <row r="1569" ht="13.65" customHeight="1">
      <c r="A1569" s="8"/>
      <c r="B1569" s="8"/>
      <c r="C1569" s="8"/>
      <c r="D1569" s="8"/>
      <c r="E1569" s="8"/>
      <c r="F1569" s="8"/>
      <c r="G1569" s="8"/>
      <c r="H1569" s="8"/>
      <c r="I1569" s="8"/>
      <c r="J1569" s="8"/>
      <c r="K1569" s="8"/>
      <c r="L1569" s="8"/>
      <c r="M1569" s="8"/>
      <c r="N1569" s="8"/>
      <c r="O1569" s="8"/>
    </row>
    <row r="1570" ht="13.65" customHeight="1">
      <c r="A1570" s="8"/>
      <c r="B1570" s="8"/>
      <c r="C1570" s="8"/>
      <c r="D1570" s="8"/>
      <c r="E1570" s="8"/>
      <c r="F1570" s="8"/>
      <c r="G1570" s="8"/>
      <c r="H1570" s="8"/>
      <c r="I1570" s="8"/>
      <c r="J1570" s="8"/>
      <c r="K1570" s="8"/>
      <c r="L1570" s="8"/>
      <c r="M1570" s="8"/>
      <c r="N1570" s="8"/>
      <c r="O1570" s="8"/>
    </row>
    <row r="1571" ht="13.65" customHeight="1">
      <c r="A1571" s="8"/>
      <c r="B1571" s="8"/>
      <c r="C1571" s="8"/>
      <c r="D1571" s="8"/>
      <c r="E1571" s="8"/>
      <c r="F1571" s="8"/>
      <c r="G1571" s="8"/>
      <c r="H1571" s="8"/>
      <c r="I1571" s="8"/>
      <c r="J1571" s="8"/>
      <c r="K1571" s="8"/>
      <c r="L1571" s="8"/>
      <c r="M1571" s="8"/>
      <c r="N1571" s="8"/>
      <c r="O1571" s="8"/>
    </row>
    <row r="1572" ht="13.65" customHeight="1">
      <c r="A1572" s="8"/>
      <c r="B1572" s="8"/>
      <c r="C1572" s="8"/>
      <c r="D1572" s="8"/>
      <c r="E1572" s="8"/>
      <c r="F1572" s="8"/>
      <c r="G1572" s="8"/>
      <c r="H1572" s="8"/>
      <c r="I1572" s="8"/>
      <c r="J1572" s="8"/>
      <c r="K1572" s="8"/>
      <c r="L1572" s="8"/>
      <c r="M1572" s="8"/>
      <c r="N1572" s="8"/>
      <c r="O1572" s="8"/>
    </row>
    <row r="1573" ht="13.65" customHeight="1">
      <c r="A1573" s="8"/>
      <c r="B1573" s="8"/>
      <c r="C1573" s="8"/>
      <c r="D1573" s="8"/>
      <c r="E1573" s="8"/>
      <c r="F1573" s="8"/>
      <c r="G1573" s="8"/>
      <c r="H1573" s="8"/>
      <c r="I1573" s="8"/>
      <c r="J1573" s="8"/>
      <c r="K1573" s="8"/>
      <c r="L1573" s="8"/>
      <c r="M1573" s="8"/>
      <c r="N1573" s="8"/>
      <c r="O1573" s="8"/>
    </row>
    <row r="1574" ht="13.65" customHeight="1">
      <c r="A1574" s="8"/>
      <c r="B1574" s="8"/>
      <c r="C1574" s="8"/>
      <c r="D1574" s="8"/>
      <c r="E1574" s="8"/>
      <c r="F1574" s="8"/>
      <c r="G1574" s="8"/>
      <c r="H1574" s="8"/>
      <c r="I1574" s="8"/>
      <c r="J1574" s="8"/>
      <c r="K1574" s="8"/>
      <c r="L1574" s="8"/>
      <c r="M1574" s="8"/>
      <c r="N1574" s="8"/>
      <c r="O1574" s="8"/>
    </row>
    <row r="1575" ht="13.65" customHeight="1">
      <c r="A1575" s="8"/>
      <c r="B1575" s="8"/>
      <c r="C1575" s="8"/>
      <c r="D1575" s="8"/>
      <c r="E1575" s="8"/>
      <c r="F1575" s="8"/>
      <c r="G1575" s="8"/>
      <c r="H1575" s="8"/>
      <c r="I1575" s="8"/>
      <c r="J1575" s="8"/>
      <c r="K1575" s="8"/>
      <c r="L1575" s="8"/>
      <c r="M1575" s="8"/>
      <c r="N1575" s="8"/>
      <c r="O1575" s="8"/>
    </row>
    <row r="1576" ht="13.65" customHeight="1">
      <c r="A1576" s="8"/>
      <c r="B1576" s="8"/>
      <c r="C1576" s="8"/>
      <c r="D1576" s="8"/>
      <c r="E1576" s="8"/>
      <c r="F1576" s="8"/>
      <c r="G1576" s="8"/>
      <c r="H1576" s="8"/>
      <c r="I1576" s="8"/>
      <c r="J1576" s="8"/>
      <c r="K1576" s="8"/>
      <c r="L1576" s="8"/>
      <c r="M1576" s="8"/>
      <c r="N1576" s="8"/>
      <c r="O1576" s="8"/>
    </row>
    <row r="1577" ht="13.65" customHeight="1">
      <c r="A1577" s="8"/>
      <c r="B1577" s="8"/>
      <c r="C1577" s="8"/>
      <c r="D1577" s="8"/>
      <c r="E1577" s="8"/>
      <c r="F1577" s="8"/>
      <c r="G1577" s="8"/>
      <c r="H1577" s="8"/>
      <c r="I1577" s="8"/>
      <c r="J1577" s="8"/>
      <c r="K1577" s="8"/>
      <c r="L1577" s="8"/>
      <c r="M1577" s="8"/>
      <c r="N1577" s="8"/>
      <c r="O1577" s="8"/>
    </row>
    <row r="1578" ht="13.65" customHeight="1">
      <c r="A1578" s="8"/>
      <c r="B1578" s="8"/>
      <c r="C1578" s="8"/>
      <c r="D1578" s="8"/>
      <c r="E1578" s="8"/>
      <c r="F1578" s="8"/>
      <c r="G1578" s="8"/>
      <c r="H1578" s="8"/>
      <c r="I1578" s="8"/>
      <c r="J1578" s="8"/>
      <c r="K1578" s="8"/>
      <c r="L1578" s="8"/>
      <c r="M1578" s="8"/>
      <c r="N1578" s="8"/>
      <c r="O1578" s="8"/>
    </row>
    <row r="1579" ht="13.65" customHeight="1">
      <c r="A1579" s="8"/>
      <c r="B1579" s="8"/>
      <c r="C1579" s="8"/>
      <c r="D1579" s="8"/>
      <c r="E1579" s="8"/>
      <c r="F1579" s="8"/>
      <c r="G1579" s="8"/>
      <c r="H1579" s="8"/>
      <c r="I1579" s="8"/>
      <c r="J1579" s="8"/>
      <c r="K1579" s="8"/>
      <c r="L1579" s="8"/>
      <c r="M1579" s="8"/>
      <c r="N1579" s="8"/>
      <c r="O1579" s="8"/>
    </row>
    <row r="1580" ht="13.65" customHeight="1">
      <c r="A1580" s="8"/>
      <c r="B1580" s="8"/>
      <c r="C1580" s="8"/>
      <c r="D1580" s="8"/>
      <c r="E1580" s="8"/>
      <c r="F1580" s="8"/>
      <c r="G1580" s="8"/>
      <c r="H1580" s="8"/>
      <c r="I1580" s="8"/>
      <c r="J1580" s="8"/>
      <c r="K1580" s="8"/>
      <c r="L1580" s="8"/>
      <c r="M1580" s="8"/>
      <c r="N1580" s="8"/>
      <c r="O1580" s="8"/>
    </row>
    <row r="1581" ht="13.65" customHeight="1">
      <c r="A1581" s="8"/>
      <c r="B1581" s="8"/>
      <c r="C1581" s="8"/>
      <c r="D1581" s="8"/>
      <c r="E1581" s="8"/>
      <c r="F1581" s="8"/>
      <c r="G1581" s="8"/>
      <c r="H1581" s="8"/>
      <c r="I1581" s="8"/>
      <c r="J1581" s="8"/>
      <c r="K1581" s="8"/>
      <c r="L1581" s="8"/>
      <c r="M1581" s="8"/>
      <c r="N1581" s="8"/>
      <c r="O1581" s="8"/>
    </row>
    <row r="1582" ht="13.65" customHeight="1">
      <c r="A1582" s="8"/>
      <c r="B1582" s="8"/>
      <c r="C1582" s="8"/>
      <c r="D1582" s="8"/>
      <c r="E1582" s="8"/>
      <c r="F1582" s="8"/>
      <c r="G1582" s="8"/>
      <c r="H1582" s="8"/>
      <c r="I1582" s="8"/>
      <c r="J1582" s="8"/>
      <c r="K1582" s="8"/>
      <c r="L1582" s="8"/>
      <c r="M1582" s="8"/>
      <c r="N1582" s="8"/>
      <c r="O1582" s="8"/>
    </row>
    <row r="1583" ht="13.65" customHeight="1">
      <c r="A1583" s="8"/>
      <c r="B1583" s="8"/>
      <c r="C1583" s="8"/>
      <c r="D1583" s="8"/>
      <c r="E1583" s="8"/>
      <c r="F1583" s="8"/>
      <c r="G1583" s="8"/>
      <c r="H1583" s="8"/>
      <c r="I1583" s="8"/>
      <c r="J1583" s="8"/>
      <c r="K1583" s="8"/>
      <c r="L1583" s="8"/>
      <c r="M1583" s="8"/>
      <c r="N1583" s="8"/>
      <c r="O1583" s="8"/>
    </row>
    <row r="1584" ht="13.65" customHeight="1">
      <c r="A1584" s="8"/>
      <c r="B1584" s="8"/>
      <c r="C1584" s="8"/>
      <c r="D1584" s="8"/>
      <c r="E1584" s="8"/>
      <c r="F1584" s="8"/>
      <c r="G1584" s="8"/>
      <c r="H1584" s="8"/>
      <c r="I1584" s="8"/>
      <c r="J1584" s="8"/>
      <c r="K1584" s="8"/>
      <c r="L1584" s="8"/>
      <c r="M1584" s="8"/>
      <c r="N1584" s="8"/>
      <c r="O1584" s="8"/>
    </row>
    <row r="1585" ht="13.65" customHeight="1">
      <c r="A1585" s="8"/>
      <c r="B1585" s="8"/>
      <c r="C1585" s="8"/>
      <c r="D1585" s="8"/>
      <c r="E1585" s="8"/>
      <c r="F1585" s="8"/>
      <c r="G1585" s="8"/>
      <c r="H1585" s="8"/>
      <c r="I1585" s="8"/>
      <c r="J1585" s="8"/>
      <c r="K1585" s="8"/>
      <c r="L1585" s="8"/>
      <c r="M1585" s="8"/>
      <c r="N1585" s="8"/>
      <c r="O1585" s="8"/>
    </row>
    <row r="1586" ht="13.65" customHeight="1">
      <c r="A1586" s="8"/>
      <c r="B1586" s="8"/>
      <c r="C1586" s="8"/>
      <c r="D1586" s="8"/>
      <c r="E1586" s="8"/>
      <c r="F1586" s="8"/>
      <c r="G1586" s="8"/>
      <c r="H1586" s="8"/>
      <c r="I1586" s="8"/>
      <c r="J1586" s="8"/>
      <c r="K1586" s="8"/>
      <c r="L1586" s="8"/>
      <c r="M1586" s="8"/>
      <c r="N1586" s="8"/>
      <c r="O1586" s="8"/>
    </row>
    <row r="1587" ht="13.65" customHeight="1">
      <c r="A1587" s="8"/>
      <c r="B1587" s="8"/>
      <c r="C1587" s="8"/>
      <c r="D1587" s="8"/>
      <c r="E1587" s="8"/>
      <c r="F1587" s="8"/>
      <c r="G1587" s="8"/>
      <c r="H1587" s="8"/>
      <c r="I1587" s="8"/>
      <c r="J1587" s="8"/>
      <c r="K1587" s="8"/>
      <c r="L1587" s="8"/>
      <c r="M1587" s="8"/>
      <c r="N1587" s="8"/>
      <c r="O1587" s="8"/>
    </row>
    <row r="1588" ht="13.65" customHeight="1">
      <c r="A1588" s="8"/>
      <c r="B1588" s="8"/>
      <c r="C1588" s="8"/>
      <c r="D1588" s="8"/>
      <c r="E1588" s="8"/>
      <c r="F1588" s="8"/>
      <c r="G1588" s="8"/>
      <c r="H1588" s="8"/>
      <c r="I1588" s="8"/>
      <c r="J1588" s="8"/>
      <c r="K1588" s="8"/>
      <c r="L1588" s="8"/>
      <c r="M1588" s="8"/>
      <c r="N1588" s="8"/>
      <c r="O1588" s="8"/>
    </row>
    <row r="1589" ht="13.65" customHeight="1">
      <c r="A1589" s="8"/>
      <c r="B1589" s="8"/>
      <c r="C1589" s="8"/>
      <c r="D1589" s="8"/>
      <c r="E1589" s="8"/>
      <c r="F1589" s="8"/>
      <c r="G1589" s="8"/>
      <c r="H1589" s="8"/>
      <c r="I1589" s="8"/>
      <c r="J1589" s="8"/>
      <c r="K1589" s="8"/>
      <c r="L1589" s="8"/>
      <c r="M1589" s="8"/>
      <c r="N1589" s="8"/>
      <c r="O1589" s="8"/>
    </row>
    <row r="1590" ht="13.65" customHeight="1">
      <c r="A1590" s="8"/>
      <c r="B1590" s="8"/>
      <c r="C1590" s="8"/>
      <c r="D1590" s="8"/>
      <c r="E1590" s="8"/>
      <c r="F1590" s="8"/>
      <c r="G1590" s="8"/>
      <c r="H1590" s="8"/>
      <c r="I1590" s="8"/>
      <c r="J1590" s="8"/>
      <c r="K1590" s="8"/>
      <c r="L1590" s="8"/>
      <c r="M1590" s="8"/>
      <c r="N1590" s="8"/>
      <c r="O1590" s="8"/>
    </row>
    <row r="1591" ht="13.65" customHeight="1">
      <c r="A1591" s="8"/>
      <c r="B1591" s="8"/>
      <c r="C1591" s="8"/>
      <c r="D1591" s="8"/>
      <c r="E1591" s="8"/>
      <c r="F1591" s="8"/>
      <c r="G1591" s="8"/>
      <c r="H1591" s="8"/>
      <c r="I1591" s="8"/>
      <c r="J1591" s="8"/>
      <c r="K1591" s="8"/>
      <c r="L1591" s="8"/>
      <c r="M1591" s="8"/>
      <c r="N1591" s="8"/>
      <c r="O1591" s="8"/>
    </row>
    <row r="1592" ht="13.65" customHeight="1">
      <c r="A1592" s="8"/>
      <c r="B1592" s="8"/>
      <c r="C1592" s="8"/>
      <c r="D1592" s="8"/>
      <c r="E1592" s="8"/>
      <c r="F1592" s="8"/>
      <c r="G1592" s="8"/>
      <c r="H1592" s="8"/>
      <c r="I1592" s="8"/>
      <c r="J1592" s="8"/>
      <c r="K1592" s="8"/>
      <c r="L1592" s="8"/>
      <c r="M1592" s="8"/>
      <c r="N1592" s="8"/>
      <c r="O1592" s="8"/>
    </row>
    <row r="1593" ht="13.65" customHeight="1">
      <c r="A1593" s="8"/>
      <c r="B1593" s="8"/>
      <c r="C1593" s="8"/>
      <c r="D1593" s="8"/>
      <c r="E1593" s="8"/>
      <c r="F1593" s="8"/>
      <c r="G1593" s="8"/>
      <c r="H1593" s="8"/>
      <c r="I1593" s="8"/>
      <c r="J1593" s="8"/>
      <c r="K1593" s="8"/>
      <c r="L1593" s="8"/>
      <c r="M1593" s="8"/>
      <c r="N1593" s="8"/>
      <c r="O1593" s="8"/>
    </row>
    <row r="1594" ht="13.65" customHeight="1">
      <c r="A1594" s="8"/>
      <c r="B1594" s="8"/>
      <c r="C1594" s="8"/>
      <c r="D1594" s="8"/>
      <c r="E1594" s="8"/>
      <c r="F1594" s="8"/>
      <c r="G1594" s="8"/>
      <c r="H1594" s="8"/>
      <c r="I1594" s="8"/>
      <c r="J1594" s="8"/>
      <c r="K1594" s="8"/>
      <c r="L1594" s="8"/>
      <c r="M1594" s="8"/>
      <c r="N1594" s="8"/>
      <c r="O1594" s="8"/>
    </row>
    <row r="1595" ht="13.65" customHeight="1">
      <c r="A1595" s="8"/>
      <c r="B1595" s="8"/>
      <c r="C1595" s="8"/>
      <c r="D1595" s="8"/>
      <c r="E1595" s="8"/>
      <c r="F1595" s="8"/>
      <c r="G1595" s="8"/>
      <c r="H1595" s="8"/>
      <c r="I1595" s="8"/>
      <c r="J1595" s="8"/>
      <c r="K1595" s="8"/>
      <c r="L1595" s="8"/>
      <c r="M1595" s="8"/>
      <c r="N1595" s="8"/>
      <c r="O1595" s="8"/>
    </row>
    <row r="1596" ht="13.65" customHeight="1">
      <c r="A1596" s="8"/>
      <c r="B1596" s="8"/>
      <c r="C1596" s="8"/>
      <c r="D1596" s="8"/>
      <c r="E1596" s="8"/>
      <c r="F1596" s="8"/>
      <c r="G1596" s="8"/>
      <c r="H1596" s="8"/>
      <c r="I1596" s="8"/>
      <c r="J1596" s="8"/>
      <c r="K1596" s="8"/>
      <c r="L1596" s="8"/>
      <c r="M1596" s="8"/>
      <c r="N1596" s="8"/>
      <c r="O1596" s="8"/>
    </row>
    <row r="1597" ht="13.65" customHeight="1">
      <c r="A1597" s="8"/>
      <c r="B1597" s="8"/>
      <c r="C1597" s="8"/>
      <c r="D1597" s="8"/>
      <c r="E1597" s="8"/>
      <c r="F1597" s="8"/>
      <c r="G1597" s="8"/>
      <c r="H1597" s="8"/>
      <c r="I1597" s="8"/>
      <c r="J1597" s="8"/>
      <c r="K1597" s="8"/>
      <c r="L1597" s="8"/>
      <c r="M1597" s="8"/>
      <c r="N1597" s="8"/>
      <c r="O1597" s="8"/>
    </row>
    <row r="1598" ht="13.65" customHeight="1">
      <c r="A1598" s="8"/>
      <c r="B1598" s="8"/>
      <c r="C1598" s="8"/>
      <c r="D1598" s="8"/>
      <c r="E1598" s="8"/>
      <c r="F1598" s="8"/>
      <c r="G1598" s="8"/>
      <c r="H1598" s="8"/>
      <c r="I1598" s="8"/>
      <c r="J1598" s="8"/>
      <c r="K1598" s="8"/>
      <c r="L1598" s="8"/>
      <c r="M1598" s="8"/>
      <c r="N1598" s="8"/>
      <c r="O1598" s="8"/>
    </row>
    <row r="1599" ht="13.65" customHeight="1">
      <c r="A1599" s="8"/>
      <c r="B1599" s="8"/>
      <c r="C1599" s="8"/>
      <c r="D1599" s="8"/>
      <c r="E1599" s="8"/>
      <c r="F1599" s="8"/>
      <c r="G1599" s="8"/>
      <c r="H1599" s="8"/>
      <c r="I1599" s="8"/>
      <c r="J1599" s="8"/>
      <c r="K1599" s="8"/>
      <c r="L1599" s="8"/>
      <c r="M1599" s="8"/>
      <c r="N1599" s="8"/>
      <c r="O1599" s="8"/>
    </row>
    <row r="1600" ht="13.65" customHeight="1">
      <c r="A1600" s="8"/>
      <c r="B1600" s="8"/>
      <c r="C1600" s="8"/>
      <c r="D1600" s="8"/>
      <c r="E1600" s="8"/>
      <c r="F1600" s="8"/>
      <c r="G1600" s="8"/>
      <c r="H1600" s="8"/>
      <c r="I1600" s="8"/>
      <c r="J1600" s="8"/>
      <c r="K1600" s="8"/>
      <c r="L1600" s="8"/>
      <c r="M1600" s="8"/>
      <c r="N1600" s="8"/>
      <c r="O1600" s="8"/>
    </row>
    <row r="1601" ht="13.65" customHeight="1">
      <c r="A1601" s="8"/>
      <c r="B1601" s="8"/>
      <c r="C1601" s="8"/>
      <c r="D1601" s="8"/>
      <c r="E1601" s="8"/>
      <c r="F1601" s="8"/>
      <c r="G1601" s="8"/>
      <c r="H1601" s="8"/>
      <c r="I1601" s="8"/>
      <c r="J1601" s="8"/>
      <c r="K1601" s="8"/>
      <c r="L1601" s="8"/>
      <c r="M1601" s="8"/>
      <c r="N1601" s="8"/>
      <c r="O1601" s="8"/>
    </row>
    <row r="1602" ht="13.65" customHeight="1">
      <c r="A1602" s="8"/>
      <c r="B1602" s="8"/>
      <c r="C1602" s="8"/>
      <c r="D1602" s="8"/>
      <c r="E1602" s="8"/>
      <c r="F1602" s="8"/>
      <c r="G1602" s="8"/>
      <c r="H1602" s="8"/>
      <c r="I1602" s="8"/>
      <c r="J1602" s="8"/>
      <c r="K1602" s="8"/>
      <c r="L1602" s="8"/>
      <c r="M1602" s="8"/>
      <c r="N1602" s="8"/>
      <c r="O1602" s="8"/>
    </row>
    <row r="1603" ht="13.65" customHeight="1">
      <c r="A1603" s="8"/>
      <c r="B1603" s="8"/>
      <c r="C1603" s="8"/>
      <c r="D1603" s="8"/>
      <c r="E1603" s="8"/>
      <c r="F1603" s="8"/>
      <c r="G1603" s="8"/>
      <c r="H1603" s="8"/>
      <c r="I1603" s="8"/>
      <c r="J1603" s="8"/>
      <c r="K1603" s="8"/>
      <c r="L1603" s="8"/>
      <c r="M1603" s="8"/>
      <c r="N1603" s="8"/>
      <c r="O1603" s="8"/>
    </row>
    <row r="1604" ht="13.65" customHeight="1">
      <c r="A1604" s="8"/>
      <c r="B1604" s="8"/>
      <c r="C1604" s="8"/>
      <c r="D1604" s="8"/>
      <c r="E1604" s="8"/>
      <c r="F1604" s="8"/>
      <c r="G1604" s="8"/>
      <c r="H1604" s="8"/>
      <c r="I1604" s="8"/>
      <c r="J1604" s="8"/>
      <c r="K1604" s="8"/>
      <c r="L1604" s="8"/>
      <c r="M1604" s="8"/>
      <c r="N1604" s="8"/>
      <c r="O1604" s="8"/>
    </row>
    <row r="1605" ht="13.65" customHeight="1">
      <c r="A1605" s="8"/>
      <c r="B1605" s="8"/>
      <c r="C1605" s="8"/>
      <c r="D1605" s="8"/>
      <c r="E1605" s="8"/>
      <c r="F1605" s="8"/>
      <c r="G1605" s="8"/>
      <c r="H1605" s="8"/>
      <c r="I1605" s="8"/>
      <c r="J1605" s="8"/>
      <c r="K1605" s="8"/>
      <c r="L1605" s="8"/>
      <c r="M1605" s="8"/>
      <c r="N1605" s="8"/>
      <c r="O1605" s="8"/>
    </row>
    <row r="1606" ht="13.65" customHeight="1">
      <c r="A1606" s="8"/>
      <c r="B1606" s="8"/>
      <c r="C1606" s="8"/>
      <c r="D1606" s="8"/>
      <c r="E1606" s="8"/>
      <c r="F1606" s="8"/>
      <c r="G1606" s="8"/>
      <c r="H1606" s="8"/>
      <c r="I1606" s="8"/>
      <c r="J1606" s="8"/>
      <c r="K1606" s="8"/>
      <c r="L1606" s="8"/>
      <c r="M1606" s="8"/>
      <c r="N1606" s="8"/>
      <c r="O1606" s="8"/>
    </row>
    <row r="1607" ht="13.65" customHeight="1">
      <c r="A1607" s="8"/>
      <c r="B1607" s="8"/>
      <c r="C1607" s="8"/>
      <c r="D1607" s="8"/>
      <c r="E1607" s="8"/>
      <c r="F1607" s="8"/>
      <c r="G1607" s="8"/>
      <c r="H1607" s="8"/>
      <c r="I1607" s="8"/>
      <c r="J1607" s="8"/>
      <c r="K1607" s="8"/>
      <c r="L1607" s="8"/>
      <c r="M1607" s="8"/>
      <c r="N1607" s="8"/>
      <c r="O1607" s="8"/>
    </row>
    <row r="1608" ht="13.65" customHeight="1">
      <c r="A1608" s="8"/>
      <c r="B1608" s="8"/>
      <c r="C1608" s="8"/>
      <c r="D1608" s="8"/>
      <c r="E1608" s="8"/>
      <c r="F1608" s="8"/>
      <c r="G1608" s="8"/>
      <c r="H1608" s="8"/>
      <c r="I1608" s="8"/>
      <c r="J1608" s="8"/>
      <c r="K1608" s="8"/>
      <c r="L1608" s="8"/>
      <c r="M1608" s="8"/>
      <c r="N1608" s="8"/>
      <c r="O1608" s="8"/>
    </row>
    <row r="1609" ht="13.65" customHeight="1">
      <c r="A1609" s="8"/>
      <c r="B1609" s="8"/>
      <c r="C1609" s="8"/>
      <c r="D1609" s="8"/>
      <c r="E1609" s="8"/>
      <c r="F1609" s="8"/>
      <c r="G1609" s="8"/>
      <c r="H1609" s="8"/>
      <c r="I1609" s="8"/>
      <c r="J1609" s="8"/>
      <c r="K1609" s="8"/>
      <c r="L1609" s="8"/>
      <c r="M1609" s="8"/>
      <c r="N1609" s="8"/>
      <c r="O1609" s="8"/>
    </row>
    <row r="1610" ht="13.65" customHeight="1">
      <c r="A1610" s="8"/>
      <c r="B1610" s="8"/>
      <c r="C1610" s="8"/>
      <c r="D1610" s="8"/>
      <c r="E1610" s="8"/>
      <c r="F1610" s="8"/>
      <c r="G1610" s="8"/>
      <c r="H1610" s="8"/>
      <c r="I1610" s="8"/>
      <c r="J1610" s="8"/>
      <c r="K1610" s="8"/>
      <c r="L1610" s="8"/>
      <c r="M1610" s="8"/>
      <c r="N1610" s="8"/>
      <c r="O1610" s="8"/>
    </row>
    <row r="1611" ht="13.65" customHeight="1">
      <c r="A1611" s="8"/>
      <c r="B1611" s="8"/>
      <c r="C1611" s="8"/>
      <c r="D1611" s="8"/>
      <c r="E1611" s="8"/>
      <c r="F1611" s="8"/>
      <c r="G1611" s="8"/>
      <c r="H1611" s="8"/>
      <c r="I1611" s="8"/>
      <c r="J1611" s="8"/>
      <c r="K1611" s="8"/>
      <c r="L1611" s="8"/>
      <c r="M1611" s="8"/>
      <c r="N1611" s="8"/>
      <c r="O1611" s="8"/>
    </row>
    <row r="1612" ht="13.65" customHeight="1">
      <c r="A1612" s="8"/>
      <c r="B1612" s="8"/>
      <c r="C1612" s="8"/>
      <c r="D1612" s="8"/>
      <c r="E1612" s="8"/>
      <c r="F1612" s="8"/>
      <c r="G1612" s="8"/>
      <c r="H1612" s="8"/>
      <c r="I1612" s="8"/>
      <c r="J1612" s="8"/>
      <c r="K1612" s="8"/>
      <c r="L1612" s="8"/>
      <c r="M1612" s="8"/>
      <c r="N1612" s="8"/>
      <c r="O1612" s="8"/>
    </row>
    <row r="1613" ht="13.65" customHeight="1">
      <c r="A1613" s="8"/>
      <c r="B1613" s="8"/>
      <c r="C1613" s="8"/>
      <c r="D1613" s="8"/>
      <c r="E1613" s="8"/>
      <c r="F1613" s="8"/>
      <c r="G1613" s="8"/>
      <c r="H1613" s="8"/>
      <c r="I1613" s="8"/>
      <c r="J1613" s="8"/>
      <c r="K1613" s="8"/>
      <c r="L1613" s="8"/>
      <c r="M1613" s="8"/>
      <c r="N1613" s="8"/>
      <c r="O1613" s="8"/>
    </row>
    <row r="1614" ht="13.65" customHeight="1">
      <c r="A1614" s="8"/>
      <c r="B1614" s="8"/>
      <c r="C1614" s="8"/>
      <c r="D1614" s="8"/>
      <c r="E1614" s="8"/>
      <c r="F1614" s="8"/>
      <c r="G1614" s="8"/>
      <c r="H1614" s="8"/>
      <c r="I1614" s="8"/>
      <c r="J1614" s="8"/>
      <c r="K1614" s="8"/>
      <c r="L1614" s="8"/>
      <c r="M1614" s="8"/>
      <c r="N1614" s="8"/>
      <c r="O1614" s="8"/>
    </row>
    <row r="1615" ht="13.65" customHeight="1">
      <c r="A1615" s="8"/>
      <c r="B1615" s="8"/>
      <c r="C1615" s="8"/>
      <c r="D1615" s="8"/>
      <c r="E1615" s="8"/>
      <c r="F1615" s="8"/>
      <c r="G1615" s="8"/>
      <c r="H1615" s="8"/>
      <c r="I1615" s="8"/>
      <c r="J1615" s="8"/>
      <c r="K1615" s="8"/>
      <c r="L1615" s="8"/>
      <c r="M1615" s="8"/>
      <c r="N1615" s="8"/>
      <c r="O1615" s="8"/>
    </row>
    <row r="1616" ht="13.65" customHeight="1">
      <c r="A1616" s="8"/>
      <c r="B1616" s="8"/>
      <c r="C1616" s="8"/>
      <c r="D1616" s="8"/>
      <c r="E1616" s="8"/>
      <c r="F1616" s="8"/>
      <c r="G1616" s="8"/>
      <c r="H1616" s="8"/>
      <c r="I1616" s="8"/>
      <c r="J1616" s="8"/>
      <c r="K1616" s="8"/>
      <c r="L1616" s="8"/>
      <c r="M1616" s="8"/>
      <c r="N1616" s="8"/>
      <c r="O1616" s="8"/>
    </row>
    <row r="1617" ht="13.65" customHeight="1">
      <c r="A1617" s="8"/>
      <c r="B1617" s="8"/>
      <c r="C1617" s="8"/>
      <c r="D1617" s="8"/>
      <c r="E1617" s="8"/>
      <c r="F1617" s="8"/>
      <c r="G1617" s="8"/>
      <c r="H1617" s="8"/>
      <c r="I1617" s="8"/>
      <c r="J1617" s="8"/>
      <c r="K1617" s="8"/>
      <c r="L1617" s="8"/>
      <c r="M1617" s="8"/>
      <c r="N1617" s="8"/>
      <c r="O1617" s="8"/>
    </row>
    <row r="1618" ht="13.65" customHeight="1">
      <c r="A1618" s="8"/>
      <c r="B1618" s="8"/>
      <c r="C1618" s="8"/>
      <c r="D1618" s="8"/>
      <c r="E1618" s="8"/>
      <c r="F1618" s="8"/>
      <c r="G1618" s="8"/>
      <c r="H1618" s="8"/>
      <c r="I1618" s="8"/>
      <c r="J1618" s="8"/>
      <c r="K1618" s="8"/>
      <c r="L1618" s="8"/>
      <c r="M1618" s="8"/>
      <c r="N1618" s="8"/>
      <c r="O1618" s="8"/>
    </row>
    <row r="1619" ht="13.65" customHeight="1">
      <c r="A1619" s="8"/>
      <c r="B1619" s="8"/>
      <c r="C1619" s="8"/>
      <c r="D1619" s="8"/>
      <c r="E1619" s="8"/>
      <c r="F1619" s="8"/>
      <c r="G1619" s="8"/>
      <c r="H1619" s="8"/>
      <c r="I1619" s="8"/>
      <c r="J1619" s="8"/>
      <c r="K1619" s="8"/>
      <c r="L1619" s="8"/>
      <c r="M1619" s="8"/>
      <c r="N1619" s="8"/>
      <c r="O1619" s="8"/>
    </row>
    <row r="1620" ht="13.65" customHeight="1">
      <c r="A1620" s="8"/>
      <c r="B1620" s="8"/>
      <c r="C1620" s="8"/>
      <c r="D1620" s="8"/>
      <c r="E1620" s="8"/>
      <c r="F1620" s="8"/>
      <c r="G1620" s="8"/>
      <c r="H1620" s="8"/>
      <c r="I1620" s="8"/>
      <c r="J1620" s="8"/>
      <c r="K1620" s="8"/>
      <c r="L1620" s="8"/>
      <c r="M1620" s="8"/>
      <c r="N1620" s="8"/>
      <c r="O1620" s="8"/>
    </row>
    <row r="1621" ht="13.65" customHeight="1">
      <c r="A1621" s="8"/>
      <c r="B1621" s="8"/>
      <c r="C1621" s="8"/>
      <c r="D1621" s="8"/>
      <c r="E1621" s="8"/>
      <c r="F1621" s="8"/>
      <c r="G1621" s="8"/>
      <c r="H1621" s="8"/>
      <c r="I1621" s="8"/>
      <c r="J1621" s="8"/>
      <c r="K1621" s="8"/>
      <c r="L1621" s="8"/>
      <c r="M1621" s="8"/>
      <c r="N1621" s="8"/>
      <c r="O1621" s="8"/>
    </row>
    <row r="1622" ht="13.65" customHeight="1">
      <c r="A1622" s="8"/>
      <c r="B1622" s="8"/>
      <c r="C1622" s="8"/>
      <c r="D1622" s="8"/>
      <c r="E1622" s="8"/>
      <c r="F1622" s="8"/>
      <c r="G1622" s="8"/>
      <c r="H1622" s="8"/>
      <c r="I1622" s="8"/>
      <c r="J1622" s="8"/>
      <c r="K1622" s="8"/>
      <c r="L1622" s="8"/>
      <c r="M1622" s="8"/>
      <c r="N1622" s="8"/>
      <c r="O1622" s="8"/>
    </row>
    <row r="1623" ht="13.65" customHeight="1">
      <c r="A1623" s="8"/>
      <c r="B1623" s="8"/>
      <c r="C1623" s="8"/>
      <c r="D1623" s="8"/>
      <c r="E1623" s="8"/>
      <c r="F1623" s="8"/>
      <c r="G1623" s="8"/>
      <c r="H1623" s="8"/>
      <c r="I1623" s="8"/>
      <c r="J1623" s="8"/>
      <c r="K1623" s="8"/>
      <c r="L1623" s="8"/>
      <c r="M1623" s="8"/>
      <c r="N1623" s="8"/>
      <c r="O1623" s="8"/>
    </row>
    <row r="1624" ht="13.65" customHeight="1">
      <c r="A1624" s="8"/>
      <c r="B1624" s="8"/>
      <c r="C1624" s="8"/>
      <c r="D1624" s="8"/>
      <c r="E1624" s="8"/>
      <c r="F1624" s="8"/>
      <c r="G1624" s="8"/>
      <c r="H1624" s="8"/>
      <c r="I1624" s="8"/>
      <c r="J1624" s="8"/>
      <c r="K1624" s="8"/>
      <c r="L1624" s="8"/>
      <c r="M1624" s="8"/>
      <c r="N1624" s="8"/>
      <c r="O1624" s="8"/>
    </row>
    <row r="1625" ht="13.65" customHeight="1">
      <c r="A1625" s="8"/>
      <c r="B1625" s="8"/>
      <c r="C1625" s="8"/>
      <c r="D1625" s="8"/>
      <c r="E1625" s="8"/>
      <c r="F1625" s="8"/>
      <c r="G1625" s="8"/>
      <c r="H1625" s="8"/>
      <c r="I1625" s="8"/>
      <c r="J1625" s="8"/>
      <c r="K1625" s="8"/>
      <c r="L1625" s="8"/>
      <c r="M1625" s="8"/>
      <c r="N1625" s="8"/>
      <c r="O1625" s="8"/>
    </row>
    <row r="1626" ht="13.65" customHeight="1">
      <c r="A1626" s="8"/>
      <c r="B1626" s="8"/>
      <c r="C1626" s="8"/>
      <c r="D1626" s="8"/>
      <c r="E1626" s="8"/>
      <c r="F1626" s="8"/>
      <c r="G1626" s="8"/>
      <c r="H1626" s="8"/>
      <c r="I1626" s="8"/>
      <c r="J1626" s="8"/>
      <c r="K1626" s="8"/>
      <c r="L1626" s="8"/>
      <c r="M1626" s="8"/>
      <c r="N1626" s="8"/>
      <c r="O1626" s="8"/>
    </row>
    <row r="1627" ht="13.65" customHeight="1">
      <c r="A1627" s="8"/>
      <c r="B1627" s="8"/>
      <c r="C1627" s="8"/>
      <c r="D1627" s="8"/>
      <c r="E1627" s="8"/>
      <c r="F1627" s="8"/>
      <c r="G1627" s="8"/>
      <c r="H1627" s="8"/>
      <c r="I1627" s="8"/>
      <c r="J1627" s="8"/>
      <c r="K1627" s="8"/>
      <c r="L1627" s="8"/>
      <c r="M1627" s="8"/>
      <c r="N1627" s="8"/>
      <c r="O1627" s="8"/>
    </row>
    <row r="1628" ht="13.65" customHeight="1">
      <c r="A1628" s="8"/>
      <c r="B1628" s="8"/>
      <c r="C1628" s="8"/>
      <c r="D1628" s="8"/>
      <c r="E1628" s="8"/>
      <c r="F1628" s="8"/>
      <c r="G1628" s="8"/>
      <c r="H1628" s="8"/>
      <c r="I1628" s="8"/>
      <c r="J1628" s="8"/>
      <c r="K1628" s="8"/>
      <c r="L1628" s="8"/>
      <c r="M1628" s="8"/>
      <c r="N1628" s="8"/>
      <c r="O1628" s="8"/>
    </row>
    <row r="1629" ht="13.65" customHeight="1">
      <c r="A1629" s="8"/>
      <c r="B1629" s="8"/>
      <c r="C1629" s="8"/>
      <c r="D1629" s="8"/>
      <c r="E1629" s="8"/>
      <c r="F1629" s="8"/>
      <c r="G1629" s="8"/>
      <c r="H1629" s="8"/>
      <c r="I1629" s="8"/>
      <c r="J1629" s="8"/>
      <c r="K1629" s="8"/>
      <c r="L1629" s="8"/>
      <c r="M1629" s="8"/>
      <c r="N1629" s="8"/>
      <c r="O1629" s="8"/>
    </row>
    <row r="1630" ht="13.65" customHeight="1">
      <c r="A1630" s="8"/>
      <c r="B1630" s="8"/>
      <c r="C1630" s="8"/>
      <c r="D1630" s="8"/>
      <c r="E1630" s="8"/>
      <c r="F1630" s="8"/>
      <c r="G1630" s="8"/>
      <c r="H1630" s="8"/>
      <c r="I1630" s="8"/>
      <c r="J1630" s="8"/>
      <c r="K1630" s="8"/>
      <c r="L1630" s="8"/>
      <c r="M1630" s="8"/>
      <c r="N1630" s="8"/>
      <c r="O1630" s="8"/>
    </row>
    <row r="1631" ht="13.65" customHeight="1">
      <c r="A1631" s="8"/>
      <c r="B1631" s="8"/>
      <c r="C1631" s="8"/>
      <c r="D1631" s="8"/>
      <c r="E1631" s="8"/>
      <c r="F1631" s="8"/>
      <c r="G1631" s="8"/>
      <c r="H1631" s="8"/>
      <c r="I1631" s="8"/>
      <c r="J1631" s="8"/>
      <c r="K1631" s="8"/>
      <c r="L1631" s="8"/>
      <c r="M1631" s="8"/>
      <c r="N1631" s="8"/>
      <c r="O1631" s="8"/>
    </row>
    <row r="1632" ht="13.65" customHeight="1">
      <c r="A1632" s="8"/>
      <c r="B1632" s="8"/>
      <c r="C1632" s="8"/>
      <c r="D1632" s="8"/>
      <c r="E1632" s="8"/>
      <c r="F1632" s="8"/>
      <c r="G1632" s="8"/>
      <c r="H1632" s="8"/>
      <c r="I1632" s="8"/>
      <c r="J1632" s="8"/>
      <c r="K1632" s="8"/>
      <c r="L1632" s="8"/>
      <c r="M1632" s="8"/>
      <c r="N1632" s="8"/>
      <c r="O1632" s="8"/>
    </row>
    <row r="1633" ht="13.65" customHeight="1">
      <c r="A1633" s="8"/>
      <c r="B1633" s="8"/>
      <c r="C1633" s="8"/>
      <c r="D1633" s="8"/>
      <c r="E1633" s="8"/>
      <c r="F1633" s="8"/>
      <c r="G1633" s="8"/>
      <c r="H1633" s="8"/>
      <c r="I1633" s="8"/>
      <c r="J1633" s="8"/>
      <c r="K1633" s="8"/>
      <c r="L1633" s="8"/>
      <c r="M1633" s="8"/>
      <c r="N1633" s="8"/>
      <c r="O1633" s="8"/>
    </row>
    <row r="1634" ht="13.65" customHeight="1">
      <c r="A1634" s="8"/>
      <c r="B1634" s="8"/>
      <c r="C1634" s="8"/>
      <c r="D1634" s="8"/>
      <c r="E1634" s="8"/>
      <c r="F1634" s="8"/>
      <c r="G1634" s="8"/>
      <c r="H1634" s="8"/>
      <c r="I1634" s="8"/>
      <c r="J1634" s="8"/>
      <c r="K1634" s="8"/>
      <c r="L1634" s="8"/>
      <c r="M1634" s="8"/>
      <c r="N1634" s="8"/>
      <c r="O1634" s="8"/>
    </row>
    <row r="1635" ht="13.65" customHeight="1">
      <c r="A1635" s="8"/>
      <c r="B1635" s="8"/>
      <c r="C1635" s="8"/>
      <c r="D1635" s="8"/>
      <c r="E1635" s="8"/>
      <c r="F1635" s="8"/>
      <c r="G1635" s="8"/>
      <c r="H1635" s="8"/>
      <c r="I1635" s="8"/>
      <c r="J1635" s="8"/>
      <c r="K1635" s="8"/>
      <c r="L1635" s="8"/>
      <c r="M1635" s="8"/>
      <c r="N1635" s="8"/>
      <c r="O1635" s="8"/>
    </row>
    <row r="1636" ht="13.65" customHeight="1">
      <c r="A1636" s="8"/>
      <c r="B1636" s="8"/>
      <c r="C1636" s="8"/>
      <c r="D1636" s="8"/>
      <c r="E1636" s="8"/>
      <c r="F1636" s="8"/>
      <c r="G1636" s="8"/>
      <c r="H1636" s="8"/>
      <c r="I1636" s="8"/>
      <c r="J1636" s="8"/>
      <c r="K1636" s="8"/>
      <c r="L1636" s="8"/>
      <c r="M1636" s="8"/>
      <c r="N1636" s="8"/>
      <c r="O1636" s="8"/>
    </row>
    <row r="1637" ht="13.65" customHeight="1">
      <c r="A1637" s="8"/>
      <c r="B1637" s="8"/>
      <c r="C1637" s="8"/>
      <c r="D1637" s="8"/>
      <c r="E1637" s="8"/>
      <c r="F1637" s="8"/>
      <c r="G1637" s="8"/>
      <c r="H1637" s="8"/>
      <c r="I1637" s="8"/>
      <c r="J1637" s="8"/>
      <c r="K1637" s="8"/>
      <c r="L1637" s="8"/>
      <c r="M1637" s="8"/>
      <c r="N1637" s="8"/>
      <c r="O1637" s="8"/>
    </row>
    <row r="1638" ht="13.65" customHeight="1">
      <c r="A1638" s="8"/>
      <c r="B1638" s="8"/>
      <c r="C1638" s="8"/>
      <c r="D1638" s="8"/>
      <c r="E1638" s="8"/>
      <c r="F1638" s="8"/>
      <c r="G1638" s="8"/>
      <c r="H1638" s="8"/>
      <c r="I1638" s="8"/>
      <c r="J1638" s="8"/>
      <c r="K1638" s="8"/>
      <c r="L1638" s="8"/>
      <c r="M1638" s="8"/>
      <c r="N1638" s="8"/>
      <c r="O1638" s="8"/>
    </row>
    <row r="1639" ht="13.65" customHeight="1">
      <c r="A1639" s="8"/>
      <c r="B1639" s="8"/>
      <c r="C1639" s="8"/>
      <c r="D1639" s="8"/>
      <c r="E1639" s="8"/>
      <c r="F1639" s="8"/>
      <c r="G1639" s="8"/>
      <c r="H1639" s="8"/>
      <c r="I1639" s="8"/>
      <c r="J1639" s="8"/>
      <c r="K1639" s="8"/>
      <c r="L1639" s="8"/>
      <c r="M1639" s="8"/>
      <c r="N1639" s="8"/>
      <c r="O1639" s="8"/>
    </row>
    <row r="1640" ht="13.65" customHeight="1">
      <c r="A1640" s="8"/>
      <c r="B1640" s="8"/>
      <c r="C1640" s="8"/>
      <c r="D1640" s="8"/>
      <c r="E1640" s="8"/>
      <c r="F1640" s="8"/>
      <c r="G1640" s="8"/>
      <c r="H1640" s="8"/>
      <c r="I1640" s="8"/>
      <c r="J1640" s="8"/>
      <c r="K1640" s="8"/>
      <c r="L1640" s="8"/>
      <c r="M1640" s="8"/>
      <c r="N1640" s="8"/>
      <c r="O1640" s="8"/>
    </row>
    <row r="1641" ht="13.65" customHeight="1">
      <c r="A1641" s="8"/>
      <c r="B1641" s="8"/>
      <c r="C1641" s="8"/>
      <c r="D1641" s="8"/>
      <c r="E1641" s="8"/>
      <c r="F1641" s="8"/>
      <c r="G1641" s="8"/>
      <c r="H1641" s="8"/>
      <c r="I1641" s="8"/>
      <c r="J1641" s="8"/>
      <c r="K1641" s="8"/>
      <c r="L1641" s="8"/>
      <c r="M1641" s="8"/>
      <c r="N1641" s="8"/>
      <c r="O1641" s="8"/>
    </row>
    <row r="1642" ht="13.65" customHeight="1">
      <c r="A1642" s="8"/>
      <c r="B1642" s="8"/>
      <c r="C1642" s="8"/>
      <c r="D1642" s="8"/>
      <c r="E1642" s="8"/>
      <c r="F1642" s="8"/>
      <c r="G1642" s="8"/>
      <c r="H1642" s="8"/>
      <c r="I1642" s="8"/>
      <c r="J1642" s="8"/>
      <c r="K1642" s="8"/>
      <c r="L1642" s="8"/>
      <c r="M1642" s="8"/>
      <c r="N1642" s="8"/>
      <c r="O1642" s="8"/>
    </row>
    <row r="1643" ht="13.65" customHeight="1">
      <c r="A1643" s="8"/>
      <c r="B1643" s="8"/>
      <c r="C1643" s="8"/>
      <c r="D1643" s="8"/>
      <c r="E1643" s="8"/>
      <c r="F1643" s="8"/>
      <c r="G1643" s="8"/>
      <c r="H1643" s="8"/>
      <c r="I1643" s="8"/>
      <c r="J1643" s="8"/>
      <c r="K1643" s="8"/>
      <c r="L1643" s="8"/>
      <c r="M1643" s="8"/>
      <c r="N1643" s="8"/>
      <c r="O1643" s="8"/>
    </row>
    <row r="1644" ht="13.65" customHeight="1">
      <c r="A1644" s="8"/>
      <c r="B1644" s="8"/>
      <c r="C1644" s="8"/>
      <c r="D1644" s="8"/>
      <c r="E1644" s="8"/>
      <c r="F1644" s="8"/>
      <c r="G1644" s="8"/>
      <c r="H1644" s="8"/>
      <c r="I1644" s="8"/>
      <c r="J1644" s="8"/>
      <c r="K1644" s="8"/>
      <c r="L1644" s="8"/>
      <c r="M1644" s="8"/>
      <c r="N1644" s="8"/>
      <c r="O1644" s="8"/>
    </row>
    <row r="1645" ht="13.65" customHeight="1">
      <c r="A1645" s="8"/>
      <c r="B1645" s="8"/>
      <c r="C1645" s="8"/>
      <c r="D1645" s="8"/>
      <c r="E1645" s="8"/>
      <c r="F1645" s="8"/>
      <c r="G1645" s="8"/>
      <c r="H1645" s="8"/>
      <c r="I1645" s="8"/>
      <c r="J1645" s="8"/>
      <c r="K1645" s="8"/>
      <c r="L1645" s="8"/>
      <c r="M1645" s="8"/>
      <c r="N1645" s="8"/>
      <c r="O1645" s="8"/>
    </row>
    <row r="1646" ht="13.65" customHeight="1">
      <c r="A1646" s="8"/>
      <c r="B1646" s="8"/>
      <c r="C1646" s="8"/>
      <c r="D1646" s="8"/>
      <c r="E1646" s="8"/>
      <c r="F1646" s="8"/>
      <c r="G1646" s="8"/>
      <c r="H1646" s="8"/>
      <c r="I1646" s="8"/>
      <c r="J1646" s="8"/>
      <c r="K1646" s="8"/>
      <c r="L1646" s="8"/>
      <c r="M1646" s="8"/>
      <c r="N1646" s="8"/>
      <c r="O1646" s="8"/>
    </row>
    <row r="1647" ht="13.65" customHeight="1">
      <c r="A1647" s="8"/>
      <c r="B1647" s="8"/>
      <c r="C1647" s="8"/>
      <c r="D1647" s="8"/>
      <c r="E1647" s="8"/>
      <c r="F1647" s="8"/>
      <c r="G1647" s="8"/>
      <c r="H1647" s="8"/>
      <c r="I1647" s="8"/>
      <c r="J1647" s="8"/>
      <c r="K1647" s="8"/>
      <c r="L1647" s="8"/>
      <c r="M1647" s="8"/>
      <c r="N1647" s="8"/>
      <c r="O1647" s="8"/>
    </row>
    <row r="1648" ht="13.65" customHeight="1">
      <c r="A1648" s="8"/>
      <c r="B1648" s="8"/>
      <c r="C1648" s="8"/>
      <c r="D1648" s="8"/>
      <c r="E1648" s="8"/>
      <c r="F1648" s="8"/>
      <c r="G1648" s="8"/>
      <c r="H1648" s="8"/>
      <c r="I1648" s="8"/>
      <c r="J1648" s="8"/>
      <c r="K1648" s="8"/>
      <c r="L1648" s="8"/>
      <c r="M1648" s="8"/>
      <c r="N1648" s="8"/>
      <c r="O1648" s="8"/>
    </row>
    <row r="1649" ht="13.65" customHeight="1">
      <c r="A1649" s="8"/>
      <c r="B1649" s="8"/>
      <c r="C1649" s="8"/>
      <c r="D1649" s="8"/>
      <c r="E1649" s="8"/>
      <c r="F1649" s="8"/>
      <c r="G1649" s="8"/>
      <c r="H1649" s="8"/>
      <c r="I1649" s="8"/>
      <c r="J1649" s="8"/>
      <c r="K1649" s="8"/>
      <c r="L1649" s="8"/>
      <c r="M1649" s="8"/>
      <c r="N1649" s="8"/>
      <c r="O1649" s="8"/>
    </row>
    <row r="1650" ht="13.65" customHeight="1">
      <c r="A1650" s="8"/>
      <c r="B1650" s="8"/>
      <c r="C1650" s="8"/>
      <c r="D1650" s="8"/>
      <c r="E1650" s="8"/>
      <c r="F1650" s="8"/>
      <c r="G1650" s="8"/>
      <c r="H1650" s="8"/>
      <c r="I1650" s="8"/>
      <c r="J1650" s="8"/>
      <c r="K1650" s="8"/>
      <c r="L1650" s="8"/>
      <c r="M1650" s="8"/>
      <c r="N1650" s="8"/>
      <c r="O1650" s="8"/>
    </row>
    <row r="1651" ht="13.65" customHeight="1">
      <c r="A1651" s="8"/>
      <c r="B1651" s="8"/>
      <c r="C1651" s="8"/>
      <c r="D1651" s="8"/>
      <c r="E1651" s="8"/>
      <c r="F1651" s="8"/>
      <c r="G1651" s="8"/>
      <c r="H1651" s="8"/>
      <c r="I1651" s="8"/>
      <c r="J1651" s="8"/>
      <c r="K1651" s="8"/>
      <c r="L1651" s="8"/>
      <c r="M1651" s="8"/>
      <c r="N1651" s="8"/>
      <c r="O1651" s="8"/>
    </row>
    <row r="1652" ht="13.65" customHeight="1">
      <c r="A1652" s="8"/>
      <c r="B1652" s="8"/>
      <c r="C1652" s="8"/>
      <c r="D1652" s="8"/>
      <c r="E1652" s="8"/>
      <c r="F1652" s="8"/>
      <c r="G1652" s="8"/>
      <c r="H1652" s="8"/>
      <c r="I1652" s="8"/>
      <c r="J1652" s="8"/>
      <c r="K1652" s="8"/>
      <c r="L1652" s="8"/>
      <c r="M1652" s="8"/>
      <c r="N1652" s="8"/>
      <c r="O1652" s="8"/>
    </row>
    <row r="1653" ht="13.65" customHeight="1">
      <c r="A1653" s="8"/>
      <c r="B1653" s="8"/>
      <c r="C1653" s="8"/>
      <c r="D1653" s="8"/>
      <c r="E1653" s="8"/>
      <c r="F1653" s="8"/>
      <c r="G1653" s="8"/>
      <c r="H1653" s="8"/>
      <c r="I1653" s="8"/>
      <c r="J1653" s="8"/>
      <c r="K1653" s="8"/>
      <c r="L1653" s="8"/>
      <c r="M1653" s="8"/>
      <c r="N1653" s="8"/>
      <c r="O1653" s="8"/>
    </row>
    <row r="1654" ht="13.65" customHeight="1">
      <c r="A1654" s="8"/>
      <c r="B1654" s="8"/>
      <c r="C1654" s="8"/>
      <c r="D1654" s="8"/>
      <c r="E1654" s="8"/>
      <c r="F1654" s="8"/>
      <c r="G1654" s="8"/>
      <c r="H1654" s="8"/>
      <c r="I1654" s="8"/>
      <c r="J1654" s="8"/>
      <c r="K1654" s="8"/>
      <c r="L1654" s="8"/>
      <c r="M1654" s="8"/>
      <c r="N1654" s="8"/>
      <c r="O1654" s="8"/>
    </row>
    <row r="1655" ht="13.65" customHeight="1">
      <c r="A1655" s="8"/>
      <c r="B1655" s="8"/>
      <c r="C1655" s="8"/>
      <c r="D1655" s="8"/>
      <c r="E1655" s="8"/>
      <c r="F1655" s="8"/>
      <c r="G1655" s="8"/>
      <c r="H1655" s="8"/>
      <c r="I1655" s="8"/>
      <c r="J1655" s="8"/>
      <c r="K1655" s="8"/>
      <c r="L1655" s="8"/>
      <c r="M1655" s="8"/>
      <c r="N1655" s="8"/>
      <c r="O1655" s="8"/>
    </row>
    <row r="1656" ht="13.65" customHeight="1">
      <c r="A1656" s="8"/>
      <c r="B1656" s="8"/>
      <c r="C1656" s="8"/>
      <c r="D1656" s="8"/>
      <c r="E1656" s="8"/>
      <c r="F1656" s="8"/>
      <c r="G1656" s="8"/>
      <c r="H1656" s="8"/>
      <c r="I1656" s="8"/>
      <c r="J1656" s="8"/>
      <c r="K1656" s="8"/>
      <c r="L1656" s="8"/>
      <c r="M1656" s="8"/>
      <c r="N1656" s="8"/>
      <c r="O1656" s="8"/>
    </row>
    <row r="1657" ht="13.65" customHeight="1">
      <c r="A1657" s="8"/>
      <c r="B1657" s="8"/>
      <c r="C1657" s="8"/>
      <c r="D1657" s="8"/>
      <c r="E1657" s="8"/>
      <c r="F1657" s="8"/>
      <c r="G1657" s="8"/>
      <c r="H1657" s="8"/>
      <c r="I1657" s="8"/>
      <c r="J1657" s="8"/>
      <c r="K1657" s="8"/>
      <c r="L1657" s="8"/>
      <c r="M1657" s="8"/>
      <c r="N1657" s="8"/>
      <c r="O1657" s="8"/>
    </row>
    <row r="1658" ht="13.65" customHeight="1">
      <c r="A1658" s="8"/>
      <c r="B1658" s="8"/>
      <c r="C1658" s="8"/>
      <c r="D1658" s="8"/>
      <c r="E1658" s="8"/>
      <c r="F1658" s="8"/>
      <c r="G1658" s="8"/>
      <c r="H1658" s="8"/>
      <c r="I1658" s="8"/>
      <c r="J1658" s="8"/>
      <c r="K1658" s="8"/>
      <c r="L1658" s="8"/>
      <c r="M1658" s="8"/>
      <c r="N1658" s="8"/>
      <c r="O1658" s="8"/>
    </row>
    <row r="1659" ht="13.65" customHeight="1">
      <c r="A1659" s="8"/>
      <c r="B1659" s="8"/>
      <c r="C1659" s="8"/>
      <c r="D1659" s="8"/>
      <c r="E1659" s="8"/>
      <c r="F1659" s="8"/>
      <c r="G1659" s="8"/>
      <c r="H1659" s="8"/>
      <c r="I1659" s="8"/>
      <c r="J1659" s="8"/>
      <c r="K1659" s="8"/>
      <c r="L1659" s="8"/>
      <c r="M1659" s="8"/>
      <c r="N1659" s="8"/>
      <c r="O1659" s="8"/>
    </row>
    <row r="1660" ht="13.65" customHeight="1">
      <c r="A1660" s="8"/>
      <c r="B1660" s="8"/>
      <c r="C1660" s="8"/>
      <c r="D1660" s="8"/>
      <c r="E1660" s="8"/>
      <c r="F1660" s="8"/>
      <c r="G1660" s="8"/>
      <c r="H1660" s="8"/>
      <c r="I1660" s="8"/>
      <c r="J1660" s="8"/>
      <c r="K1660" s="8"/>
      <c r="L1660" s="8"/>
      <c r="M1660" s="8"/>
      <c r="N1660" s="8"/>
      <c r="O1660" s="8"/>
    </row>
    <row r="1661" ht="13.65" customHeight="1">
      <c r="A1661" s="8"/>
      <c r="B1661" s="8"/>
      <c r="C1661" s="8"/>
      <c r="D1661" s="8"/>
      <c r="E1661" s="8"/>
      <c r="F1661" s="8"/>
      <c r="G1661" s="8"/>
      <c r="H1661" s="8"/>
      <c r="I1661" s="8"/>
      <c r="J1661" s="8"/>
      <c r="K1661" s="8"/>
      <c r="L1661" s="8"/>
      <c r="M1661" s="8"/>
      <c r="N1661" s="8"/>
      <c r="O1661" s="8"/>
    </row>
    <row r="1662" ht="13.65" customHeight="1">
      <c r="A1662" s="8"/>
      <c r="B1662" s="8"/>
      <c r="C1662" s="8"/>
      <c r="D1662" s="8"/>
      <c r="E1662" s="8"/>
      <c r="F1662" s="8"/>
      <c r="G1662" s="8"/>
      <c r="H1662" s="8"/>
      <c r="I1662" s="8"/>
      <c r="J1662" s="8"/>
      <c r="K1662" s="8"/>
      <c r="L1662" s="8"/>
      <c r="M1662" s="8"/>
      <c r="N1662" s="8"/>
      <c r="O1662" s="8"/>
    </row>
    <row r="1663" ht="13.65" customHeight="1">
      <c r="A1663" s="8"/>
      <c r="B1663" s="8"/>
      <c r="C1663" s="8"/>
      <c r="D1663" s="8"/>
      <c r="E1663" s="8"/>
      <c r="F1663" s="8"/>
      <c r="G1663" s="8"/>
      <c r="H1663" s="8"/>
      <c r="I1663" s="8"/>
      <c r="J1663" s="8"/>
      <c r="K1663" s="8"/>
      <c r="L1663" s="8"/>
      <c r="M1663" s="8"/>
      <c r="N1663" s="8"/>
      <c r="O1663" s="8"/>
    </row>
    <row r="1664" ht="13.65" customHeight="1">
      <c r="A1664" s="8"/>
      <c r="B1664" s="8"/>
      <c r="C1664" s="8"/>
      <c r="D1664" s="8"/>
      <c r="E1664" s="8"/>
      <c r="F1664" s="8"/>
      <c r="G1664" s="8"/>
      <c r="H1664" s="8"/>
      <c r="I1664" s="8"/>
      <c r="J1664" s="8"/>
      <c r="K1664" s="8"/>
      <c r="L1664" s="8"/>
      <c r="M1664" s="8"/>
      <c r="N1664" s="8"/>
      <c r="O1664" s="8"/>
    </row>
    <row r="1665" ht="13.65" customHeight="1">
      <c r="A1665" s="8"/>
      <c r="B1665" s="8"/>
      <c r="C1665" s="8"/>
      <c r="D1665" s="8"/>
      <c r="E1665" s="8"/>
      <c r="F1665" s="8"/>
      <c r="G1665" s="8"/>
      <c r="H1665" s="8"/>
      <c r="I1665" s="8"/>
      <c r="J1665" s="8"/>
      <c r="K1665" s="8"/>
      <c r="L1665" s="8"/>
      <c r="M1665" s="8"/>
      <c r="N1665" s="8"/>
      <c r="O1665" s="8"/>
    </row>
    <row r="1666" ht="13.65" customHeight="1">
      <c r="A1666" s="8"/>
      <c r="B1666" s="8"/>
      <c r="C1666" s="8"/>
      <c r="D1666" s="8"/>
      <c r="E1666" s="8"/>
      <c r="F1666" s="8"/>
      <c r="G1666" s="8"/>
      <c r="H1666" s="8"/>
      <c r="I1666" s="8"/>
      <c r="J1666" s="8"/>
      <c r="K1666" s="8"/>
      <c r="L1666" s="8"/>
      <c r="M1666" s="8"/>
      <c r="N1666" s="8"/>
      <c r="O1666" s="8"/>
    </row>
    <row r="1667" ht="13.65" customHeight="1">
      <c r="A1667" s="8"/>
      <c r="B1667" s="8"/>
      <c r="C1667" s="8"/>
      <c r="D1667" s="8"/>
      <c r="E1667" s="8"/>
      <c r="F1667" s="8"/>
      <c r="G1667" s="8"/>
      <c r="H1667" s="8"/>
      <c r="I1667" s="8"/>
      <c r="J1667" s="8"/>
      <c r="K1667" s="8"/>
      <c r="L1667" s="8"/>
      <c r="M1667" s="8"/>
      <c r="N1667" s="8"/>
      <c r="O1667" s="8"/>
    </row>
    <row r="1668" ht="13.65" customHeight="1">
      <c r="A1668" s="8"/>
      <c r="B1668" s="8"/>
      <c r="C1668" s="8"/>
      <c r="D1668" s="8"/>
      <c r="E1668" s="8"/>
      <c r="F1668" s="8"/>
      <c r="G1668" s="8"/>
      <c r="H1668" s="8"/>
      <c r="I1668" s="8"/>
      <c r="J1668" s="8"/>
      <c r="K1668" s="8"/>
      <c r="L1668" s="8"/>
      <c r="M1668" s="8"/>
      <c r="N1668" s="8"/>
      <c r="O1668" s="8"/>
    </row>
    <row r="1669" ht="13.65" customHeight="1">
      <c r="A1669" s="8"/>
      <c r="B1669" s="8"/>
      <c r="C1669" s="8"/>
      <c r="D1669" s="8"/>
      <c r="E1669" s="8"/>
      <c r="F1669" s="8"/>
      <c r="G1669" s="8"/>
      <c r="H1669" s="8"/>
      <c r="I1669" s="8"/>
      <c r="J1669" s="8"/>
      <c r="K1669" s="8"/>
      <c r="L1669" s="8"/>
      <c r="M1669" s="8"/>
      <c r="N1669" s="8"/>
      <c r="O1669" s="8"/>
    </row>
    <row r="1670" ht="13.65" customHeight="1">
      <c r="A1670" s="8"/>
      <c r="B1670" s="8"/>
      <c r="C1670" s="8"/>
      <c r="D1670" s="8"/>
      <c r="E1670" s="8"/>
      <c r="F1670" s="8"/>
      <c r="G1670" s="8"/>
      <c r="H1670" s="8"/>
      <c r="I1670" s="8"/>
      <c r="J1670" s="8"/>
      <c r="K1670" s="8"/>
      <c r="L1670" s="8"/>
      <c r="M1670" s="8"/>
      <c r="N1670" s="8"/>
      <c r="O1670" s="8"/>
    </row>
    <row r="1671" ht="13.65" customHeight="1">
      <c r="A1671" s="8"/>
      <c r="B1671" s="8"/>
      <c r="C1671" s="8"/>
      <c r="D1671" s="8"/>
      <c r="E1671" s="8"/>
      <c r="F1671" s="8"/>
      <c r="G1671" s="8"/>
      <c r="H1671" s="8"/>
      <c r="I1671" s="8"/>
      <c r="J1671" s="8"/>
      <c r="K1671" s="8"/>
      <c r="L1671" s="8"/>
      <c r="M1671" s="8"/>
      <c r="N1671" s="8"/>
      <c r="O1671" s="8"/>
    </row>
    <row r="1672" ht="13.65" customHeight="1">
      <c r="A1672" s="8"/>
      <c r="B1672" s="8"/>
      <c r="C1672" s="8"/>
      <c r="D1672" s="8"/>
      <c r="E1672" s="8"/>
      <c r="F1672" s="8"/>
      <c r="G1672" s="8"/>
      <c r="H1672" s="8"/>
      <c r="I1672" s="8"/>
      <c r="J1672" s="8"/>
      <c r="K1672" s="8"/>
      <c r="L1672" s="8"/>
      <c r="M1672" s="8"/>
      <c r="N1672" s="8"/>
      <c r="O1672" s="8"/>
    </row>
    <row r="1673" ht="13.65" customHeight="1">
      <c r="A1673" s="8"/>
      <c r="B1673" s="8"/>
      <c r="C1673" s="8"/>
      <c r="D1673" s="8"/>
      <c r="E1673" s="8"/>
      <c r="F1673" s="8"/>
      <c r="G1673" s="8"/>
      <c r="H1673" s="8"/>
      <c r="I1673" s="8"/>
      <c r="J1673" s="8"/>
      <c r="K1673" s="8"/>
      <c r="L1673" s="8"/>
      <c r="M1673" s="8"/>
      <c r="N1673" s="8"/>
      <c r="O1673" s="8"/>
    </row>
    <row r="1674" ht="13.65" customHeight="1">
      <c r="A1674" s="8"/>
      <c r="B1674" s="8"/>
      <c r="C1674" s="8"/>
      <c r="D1674" s="8"/>
      <c r="E1674" s="8"/>
      <c r="F1674" s="8"/>
      <c r="G1674" s="8"/>
      <c r="H1674" s="8"/>
      <c r="I1674" s="8"/>
      <c r="J1674" s="8"/>
      <c r="K1674" s="8"/>
      <c r="L1674" s="8"/>
      <c r="M1674" s="8"/>
      <c r="N1674" s="8"/>
      <c r="O1674" s="8"/>
    </row>
    <row r="1675" ht="13.65" customHeight="1">
      <c r="A1675" s="8"/>
      <c r="B1675" s="8"/>
      <c r="C1675" s="8"/>
      <c r="D1675" s="8"/>
      <c r="E1675" s="8"/>
      <c r="F1675" s="8"/>
      <c r="G1675" s="8"/>
      <c r="H1675" s="8"/>
      <c r="I1675" s="8"/>
      <c r="J1675" s="8"/>
      <c r="K1675" s="8"/>
      <c r="L1675" s="8"/>
      <c r="M1675" s="8"/>
      <c r="N1675" s="8"/>
      <c r="O1675" s="8"/>
    </row>
    <row r="1676" ht="13.65" customHeight="1">
      <c r="A1676" s="8"/>
      <c r="B1676" s="8"/>
      <c r="C1676" s="8"/>
      <c r="D1676" s="8"/>
      <c r="E1676" s="8"/>
      <c r="F1676" s="8"/>
      <c r="G1676" s="8"/>
      <c r="H1676" s="8"/>
      <c r="I1676" s="8"/>
      <c r="J1676" s="8"/>
      <c r="K1676" s="8"/>
      <c r="L1676" s="8"/>
      <c r="M1676" s="8"/>
      <c r="N1676" s="8"/>
      <c r="O1676" s="8"/>
    </row>
    <row r="1677" ht="13.65" customHeight="1">
      <c r="A1677" s="8"/>
      <c r="B1677" s="8"/>
      <c r="C1677" s="8"/>
      <c r="D1677" s="8"/>
      <c r="E1677" s="8"/>
      <c r="F1677" s="8"/>
      <c r="G1677" s="8"/>
      <c r="H1677" s="8"/>
      <c r="I1677" s="8"/>
      <c r="J1677" s="8"/>
      <c r="K1677" s="8"/>
      <c r="L1677" s="8"/>
      <c r="M1677" s="8"/>
      <c r="N1677" s="8"/>
      <c r="O1677" s="8"/>
    </row>
    <row r="1678" ht="13.65" customHeight="1">
      <c r="A1678" s="8"/>
      <c r="B1678" s="8"/>
      <c r="C1678" s="8"/>
      <c r="D1678" s="8"/>
      <c r="E1678" s="8"/>
      <c r="F1678" s="8"/>
      <c r="G1678" s="8"/>
      <c r="H1678" s="8"/>
      <c r="I1678" s="8"/>
      <c r="J1678" s="8"/>
      <c r="K1678" s="8"/>
      <c r="L1678" s="8"/>
      <c r="M1678" s="8"/>
      <c r="N1678" s="8"/>
      <c r="O1678" s="8"/>
    </row>
    <row r="1679" ht="13.65" customHeight="1">
      <c r="A1679" s="8"/>
      <c r="B1679" s="8"/>
      <c r="C1679" s="8"/>
      <c r="D1679" s="8"/>
      <c r="E1679" s="8"/>
      <c r="F1679" s="8"/>
      <c r="G1679" s="8"/>
      <c r="H1679" s="8"/>
      <c r="I1679" s="8"/>
      <c r="J1679" s="8"/>
      <c r="K1679" s="8"/>
      <c r="L1679" s="8"/>
      <c r="M1679" s="8"/>
      <c r="N1679" s="8"/>
      <c r="O1679" s="8"/>
    </row>
    <row r="1680" ht="13.65" customHeight="1">
      <c r="A1680" s="8"/>
      <c r="B1680" s="8"/>
      <c r="C1680" s="8"/>
      <c r="D1680" s="8"/>
      <c r="E1680" s="8"/>
      <c r="F1680" s="8"/>
      <c r="G1680" s="8"/>
      <c r="H1680" s="8"/>
      <c r="I1680" s="8"/>
      <c r="J1680" s="8"/>
      <c r="K1680" s="8"/>
      <c r="L1680" s="8"/>
      <c r="M1680" s="8"/>
      <c r="N1680" s="8"/>
      <c r="O1680" s="8"/>
    </row>
    <row r="1681" ht="13.65" customHeight="1">
      <c r="A1681" s="8"/>
      <c r="B1681" s="8"/>
      <c r="C1681" s="8"/>
      <c r="D1681" s="8"/>
      <c r="E1681" s="8"/>
      <c r="F1681" s="8"/>
      <c r="G1681" s="8"/>
      <c r="H1681" s="8"/>
      <c r="I1681" s="8"/>
      <c r="J1681" s="8"/>
      <c r="K1681" s="8"/>
      <c r="L1681" s="8"/>
      <c r="M1681" s="8"/>
      <c r="N1681" s="8"/>
      <c r="O1681" s="8"/>
    </row>
    <row r="1682" ht="13.65" customHeight="1">
      <c r="A1682" s="8"/>
      <c r="B1682" s="8"/>
      <c r="C1682" s="8"/>
      <c r="D1682" s="8"/>
      <c r="E1682" s="8"/>
      <c r="F1682" s="8"/>
      <c r="G1682" s="8"/>
      <c r="H1682" s="8"/>
      <c r="I1682" s="8"/>
      <c r="J1682" s="8"/>
      <c r="K1682" s="8"/>
      <c r="L1682" s="8"/>
      <c r="M1682" s="8"/>
      <c r="N1682" s="8"/>
      <c r="O1682" s="8"/>
    </row>
    <row r="1683" ht="13.65" customHeight="1">
      <c r="A1683" s="8"/>
      <c r="B1683" s="8"/>
      <c r="C1683" s="8"/>
      <c r="D1683" s="8"/>
      <c r="E1683" s="8"/>
      <c r="F1683" s="8"/>
      <c r="G1683" s="8"/>
      <c r="H1683" s="8"/>
      <c r="I1683" s="8"/>
      <c r="J1683" s="8"/>
      <c r="K1683" s="8"/>
      <c r="L1683" s="8"/>
      <c r="M1683" s="8"/>
      <c r="N1683" s="8"/>
      <c r="O1683" s="8"/>
    </row>
    <row r="1684" ht="13.65" customHeight="1">
      <c r="A1684" s="8"/>
      <c r="B1684" s="8"/>
      <c r="C1684" s="8"/>
      <c r="D1684" s="8"/>
      <c r="E1684" s="8"/>
      <c r="F1684" s="8"/>
      <c r="G1684" s="8"/>
      <c r="H1684" s="8"/>
      <c r="I1684" s="8"/>
      <c r="J1684" s="8"/>
      <c r="K1684" s="8"/>
      <c r="L1684" s="8"/>
      <c r="M1684" s="8"/>
      <c r="N1684" s="8"/>
      <c r="O1684" s="8"/>
    </row>
    <row r="1685" ht="13.65" customHeight="1">
      <c r="A1685" s="8"/>
      <c r="B1685" s="8"/>
      <c r="C1685" s="8"/>
      <c r="D1685" s="8"/>
      <c r="E1685" s="8"/>
      <c r="F1685" s="8"/>
      <c r="G1685" s="8"/>
      <c r="H1685" s="8"/>
      <c r="I1685" s="8"/>
      <c r="J1685" s="8"/>
      <c r="K1685" s="8"/>
      <c r="L1685" s="8"/>
      <c r="M1685" s="8"/>
      <c r="N1685" s="8"/>
      <c r="O1685" s="8"/>
    </row>
    <row r="1686" ht="13.65" customHeight="1">
      <c r="A1686" s="8"/>
      <c r="B1686" s="8"/>
      <c r="C1686" s="8"/>
      <c r="D1686" s="8"/>
      <c r="E1686" s="8"/>
      <c r="F1686" s="8"/>
      <c r="G1686" s="8"/>
      <c r="H1686" s="8"/>
      <c r="I1686" s="8"/>
      <c r="J1686" s="8"/>
      <c r="K1686" s="8"/>
      <c r="L1686" s="8"/>
      <c r="M1686" s="8"/>
      <c r="N1686" s="8"/>
      <c r="O1686" s="8"/>
    </row>
    <row r="1687" ht="13.65" customHeight="1">
      <c r="A1687" s="8"/>
      <c r="B1687" s="8"/>
      <c r="C1687" s="8"/>
      <c r="D1687" s="8"/>
      <c r="E1687" s="8"/>
      <c r="F1687" s="8"/>
      <c r="G1687" s="8"/>
      <c r="H1687" s="8"/>
      <c r="I1687" s="8"/>
      <c r="J1687" s="8"/>
      <c r="K1687" s="8"/>
      <c r="L1687" s="8"/>
      <c r="M1687" s="8"/>
      <c r="N1687" s="8"/>
      <c r="O1687" s="8"/>
    </row>
    <row r="1688" ht="13.65" customHeight="1">
      <c r="A1688" s="8"/>
      <c r="B1688" s="8"/>
      <c r="C1688" s="8"/>
      <c r="D1688" s="8"/>
      <c r="E1688" s="8"/>
      <c r="F1688" s="8"/>
      <c r="G1688" s="8"/>
      <c r="H1688" s="8"/>
      <c r="I1688" s="8"/>
      <c r="J1688" s="8"/>
      <c r="K1688" s="8"/>
      <c r="L1688" s="8"/>
      <c r="M1688" s="8"/>
      <c r="N1688" s="8"/>
      <c r="O1688" s="8"/>
    </row>
    <row r="1689" ht="13.65" customHeight="1">
      <c r="A1689" s="8"/>
      <c r="B1689" s="8"/>
      <c r="C1689" s="8"/>
      <c r="D1689" s="8"/>
      <c r="E1689" s="8"/>
      <c r="F1689" s="8"/>
      <c r="G1689" s="8"/>
      <c r="H1689" s="8"/>
      <c r="I1689" s="8"/>
      <c r="J1689" s="8"/>
      <c r="K1689" s="8"/>
      <c r="L1689" s="8"/>
      <c r="M1689" s="8"/>
      <c r="N1689" s="8"/>
      <c r="O1689" s="8"/>
    </row>
    <row r="1690" ht="13.65" customHeight="1">
      <c r="A1690" s="8"/>
      <c r="B1690" s="8"/>
      <c r="C1690" s="8"/>
      <c r="D1690" s="8"/>
      <c r="E1690" s="8"/>
      <c r="F1690" s="8"/>
      <c r="G1690" s="8"/>
      <c r="H1690" s="8"/>
      <c r="I1690" s="8"/>
      <c r="J1690" s="8"/>
      <c r="K1690" s="8"/>
      <c r="L1690" s="8"/>
      <c r="M1690" s="8"/>
      <c r="N1690" s="8"/>
      <c r="O1690" s="8"/>
    </row>
    <row r="1691" ht="13.65" customHeight="1">
      <c r="A1691" s="8"/>
      <c r="B1691" s="8"/>
      <c r="C1691" s="8"/>
      <c r="D1691" s="8"/>
      <c r="E1691" s="8"/>
      <c r="F1691" s="8"/>
      <c r="G1691" s="8"/>
      <c r="H1691" s="8"/>
      <c r="I1691" s="8"/>
      <c r="J1691" s="8"/>
      <c r="K1691" s="8"/>
      <c r="L1691" s="8"/>
      <c r="M1691" s="8"/>
      <c r="N1691" s="8"/>
      <c r="O1691" s="8"/>
    </row>
    <row r="1692" ht="13.65" customHeight="1">
      <c r="A1692" s="8"/>
      <c r="B1692" s="8"/>
      <c r="C1692" s="8"/>
      <c r="D1692" s="8"/>
      <c r="E1692" s="8"/>
      <c r="F1692" s="8"/>
      <c r="G1692" s="8"/>
      <c r="H1692" s="8"/>
      <c r="I1692" s="8"/>
      <c r="J1692" s="8"/>
      <c r="K1692" s="8"/>
      <c r="L1692" s="8"/>
      <c r="M1692" s="8"/>
      <c r="N1692" s="8"/>
      <c r="O1692" s="8"/>
    </row>
    <row r="1693" ht="13.65" customHeight="1">
      <c r="A1693" s="8"/>
      <c r="B1693" s="8"/>
      <c r="C1693" s="8"/>
      <c r="D1693" s="8"/>
      <c r="E1693" s="8"/>
      <c r="F1693" s="8"/>
      <c r="G1693" s="8"/>
      <c r="H1693" s="8"/>
      <c r="I1693" s="8"/>
      <c r="J1693" s="8"/>
      <c r="K1693" s="8"/>
      <c r="L1693" s="8"/>
      <c r="M1693" s="8"/>
      <c r="N1693" s="8"/>
      <c r="O1693" s="8"/>
    </row>
    <row r="1694" ht="13.65" customHeight="1">
      <c r="A1694" s="8"/>
      <c r="B1694" s="8"/>
      <c r="C1694" s="8"/>
      <c r="D1694" s="8"/>
      <c r="E1694" s="8"/>
      <c r="F1694" s="8"/>
      <c r="G1694" s="8"/>
      <c r="H1694" s="8"/>
      <c r="I1694" s="8"/>
      <c r="J1694" s="8"/>
      <c r="K1694" s="8"/>
      <c r="L1694" s="8"/>
      <c r="M1694" s="8"/>
      <c r="N1694" s="8"/>
      <c r="O1694" s="8"/>
    </row>
    <row r="1695" ht="13.65" customHeight="1">
      <c r="A1695" s="8"/>
      <c r="B1695" s="8"/>
      <c r="C1695" s="8"/>
      <c r="D1695" s="8"/>
      <c r="E1695" s="8"/>
      <c r="F1695" s="8"/>
      <c r="G1695" s="8"/>
      <c r="H1695" s="8"/>
      <c r="I1695" s="8"/>
      <c r="J1695" s="8"/>
      <c r="K1695" s="8"/>
      <c r="L1695" s="8"/>
      <c r="M1695" s="8"/>
      <c r="N1695" s="8"/>
      <c r="O1695" s="8"/>
    </row>
    <row r="1696" ht="13.65" customHeight="1">
      <c r="A1696" s="8"/>
      <c r="B1696" s="8"/>
      <c r="C1696" s="8"/>
      <c r="D1696" s="8"/>
      <c r="E1696" s="8"/>
      <c r="F1696" s="8"/>
      <c r="G1696" s="8"/>
      <c r="H1696" s="8"/>
      <c r="I1696" s="8"/>
      <c r="J1696" s="8"/>
      <c r="K1696" s="8"/>
      <c r="L1696" s="8"/>
      <c r="M1696" s="8"/>
      <c r="N1696" s="8"/>
      <c r="O1696" s="8"/>
    </row>
    <row r="1697" ht="13.65" customHeight="1">
      <c r="A1697" s="8"/>
      <c r="B1697" s="8"/>
      <c r="C1697" s="8"/>
      <c r="D1697" s="8"/>
      <c r="E1697" s="8"/>
      <c r="F1697" s="8"/>
      <c r="G1697" s="8"/>
      <c r="H1697" s="8"/>
      <c r="I1697" s="8"/>
      <c r="J1697" s="8"/>
      <c r="K1697" s="8"/>
      <c r="L1697" s="8"/>
      <c r="M1697" s="8"/>
      <c r="N1697" s="8"/>
      <c r="O1697" s="8"/>
    </row>
    <row r="1698" ht="13.65" customHeight="1">
      <c r="A1698" s="8"/>
      <c r="B1698" s="8"/>
      <c r="C1698" s="8"/>
      <c r="D1698" s="8"/>
      <c r="E1698" s="8"/>
      <c r="F1698" s="8"/>
      <c r="G1698" s="8"/>
      <c r="H1698" s="8"/>
      <c r="I1698" s="8"/>
      <c r="J1698" s="8"/>
      <c r="K1698" s="8"/>
      <c r="L1698" s="8"/>
      <c r="M1698" s="8"/>
      <c r="N1698" s="8"/>
      <c r="O1698" s="8"/>
    </row>
    <row r="1699" ht="13.65" customHeight="1">
      <c r="A1699" s="8"/>
      <c r="B1699" s="8"/>
      <c r="C1699" s="8"/>
      <c r="D1699" s="8"/>
      <c r="E1699" s="8"/>
      <c r="F1699" s="8"/>
      <c r="G1699" s="8"/>
      <c r="H1699" s="8"/>
      <c r="I1699" s="8"/>
      <c r="J1699" s="8"/>
      <c r="K1699" s="8"/>
      <c r="L1699" s="8"/>
      <c r="M1699" s="8"/>
      <c r="N1699" s="8"/>
      <c r="O1699" s="8"/>
    </row>
    <row r="1700" ht="13.65" customHeight="1">
      <c r="A1700" s="8"/>
      <c r="B1700" s="8"/>
      <c r="C1700" s="8"/>
      <c r="D1700" s="8"/>
      <c r="E1700" s="8"/>
      <c r="F1700" s="8"/>
      <c r="G1700" s="8"/>
      <c r="H1700" s="8"/>
      <c r="I1700" s="8"/>
      <c r="J1700" s="8"/>
      <c r="K1700" s="8"/>
      <c r="L1700" s="8"/>
      <c r="M1700" s="8"/>
      <c r="N1700" s="8"/>
      <c r="O1700" s="8"/>
    </row>
    <row r="1701" ht="13.65" customHeight="1">
      <c r="A1701" s="8"/>
      <c r="B1701" s="8"/>
      <c r="C1701" s="8"/>
      <c r="D1701" s="8"/>
      <c r="E1701" s="8"/>
      <c r="F1701" s="8"/>
      <c r="G1701" s="8"/>
      <c r="H1701" s="8"/>
      <c r="I1701" s="8"/>
      <c r="J1701" s="8"/>
      <c r="K1701" s="8"/>
      <c r="L1701" s="8"/>
      <c r="M1701" s="8"/>
      <c r="N1701" s="8"/>
      <c r="O1701" s="8"/>
    </row>
    <row r="1702" ht="13.65" customHeight="1">
      <c r="A1702" s="8"/>
      <c r="B1702" s="8"/>
      <c r="C1702" s="8"/>
      <c r="D1702" s="8"/>
      <c r="E1702" s="8"/>
      <c r="F1702" s="8"/>
      <c r="G1702" s="8"/>
      <c r="H1702" s="8"/>
      <c r="I1702" s="8"/>
      <c r="J1702" s="8"/>
      <c r="K1702" s="8"/>
      <c r="L1702" s="8"/>
      <c r="M1702" s="8"/>
      <c r="N1702" s="8"/>
      <c r="O1702" s="8"/>
    </row>
    <row r="1703" ht="13.65" customHeight="1">
      <c r="A1703" s="8"/>
      <c r="B1703" s="8"/>
      <c r="C1703" s="8"/>
      <c r="D1703" s="8"/>
      <c r="E1703" s="8"/>
      <c r="F1703" s="8"/>
      <c r="G1703" s="8"/>
      <c r="H1703" s="8"/>
      <c r="I1703" s="8"/>
      <c r="J1703" s="8"/>
      <c r="K1703" s="8"/>
      <c r="L1703" s="8"/>
      <c r="M1703" s="8"/>
      <c r="N1703" s="8"/>
      <c r="O1703" s="8"/>
    </row>
    <row r="1704" ht="13.65" customHeight="1">
      <c r="A1704" s="8"/>
      <c r="B1704" s="8"/>
      <c r="C1704" s="8"/>
      <c r="D1704" s="8"/>
      <c r="E1704" s="8"/>
      <c r="F1704" s="8"/>
      <c r="G1704" s="8"/>
      <c r="H1704" s="8"/>
      <c r="I1704" s="8"/>
      <c r="J1704" s="8"/>
      <c r="K1704" s="8"/>
      <c r="L1704" s="8"/>
      <c r="M1704" s="8"/>
      <c r="N1704" s="8"/>
      <c r="O1704" s="8"/>
    </row>
    <row r="1705" ht="13.65" customHeight="1">
      <c r="A1705" s="8"/>
      <c r="B1705" s="8"/>
      <c r="C1705" s="8"/>
      <c r="D1705" s="8"/>
      <c r="E1705" s="8"/>
      <c r="F1705" s="8"/>
      <c r="G1705" s="8"/>
      <c r="H1705" s="8"/>
      <c r="I1705" s="8"/>
      <c r="J1705" s="8"/>
      <c r="K1705" s="8"/>
      <c r="L1705" s="8"/>
      <c r="M1705" s="8"/>
      <c r="N1705" s="8"/>
      <c r="O1705" s="8"/>
    </row>
    <row r="1706" ht="13.65" customHeight="1">
      <c r="A1706" s="8"/>
      <c r="B1706" s="8"/>
      <c r="C1706" s="8"/>
      <c r="D1706" s="8"/>
      <c r="E1706" s="8"/>
      <c r="F1706" s="8"/>
      <c r="G1706" s="8"/>
      <c r="H1706" s="8"/>
      <c r="I1706" s="8"/>
      <c r="J1706" s="8"/>
      <c r="K1706" s="8"/>
      <c r="L1706" s="8"/>
      <c r="M1706" s="8"/>
      <c r="N1706" s="8"/>
      <c r="O1706" s="8"/>
    </row>
    <row r="1707" ht="13.65" customHeight="1">
      <c r="A1707" s="8"/>
      <c r="B1707" s="8"/>
      <c r="C1707" s="8"/>
      <c r="D1707" s="8"/>
      <c r="E1707" s="8"/>
      <c r="F1707" s="8"/>
      <c r="G1707" s="8"/>
      <c r="H1707" s="8"/>
      <c r="I1707" s="8"/>
      <c r="J1707" s="8"/>
      <c r="K1707" s="8"/>
      <c r="L1707" s="8"/>
      <c r="M1707" s="8"/>
      <c r="N1707" s="8"/>
      <c r="O1707" s="8"/>
    </row>
    <row r="1708" ht="13.65" customHeight="1">
      <c r="A1708" s="8"/>
      <c r="B1708" s="8"/>
      <c r="C1708" s="8"/>
      <c r="D1708" s="8"/>
      <c r="E1708" s="8"/>
      <c r="F1708" s="8"/>
      <c r="G1708" s="8"/>
      <c r="H1708" s="8"/>
      <c r="I1708" s="8"/>
      <c r="J1708" s="8"/>
      <c r="K1708" s="8"/>
      <c r="L1708" s="8"/>
      <c r="M1708" s="8"/>
      <c r="N1708" s="8"/>
      <c r="O1708" s="8"/>
    </row>
    <row r="1709" ht="13.65" customHeight="1">
      <c r="A1709" s="8"/>
      <c r="B1709" s="8"/>
      <c r="C1709" s="8"/>
      <c r="D1709" s="8"/>
      <c r="E1709" s="8"/>
      <c r="F1709" s="8"/>
      <c r="G1709" s="8"/>
      <c r="H1709" s="8"/>
      <c r="I1709" s="8"/>
      <c r="J1709" s="8"/>
      <c r="K1709" s="8"/>
      <c r="L1709" s="8"/>
      <c r="M1709" s="8"/>
      <c r="N1709" s="8"/>
      <c r="O1709" s="8"/>
    </row>
    <row r="1710" ht="13.65" customHeight="1">
      <c r="A1710" s="8"/>
      <c r="B1710" s="8"/>
      <c r="C1710" s="8"/>
      <c r="D1710" s="8"/>
      <c r="E1710" s="8"/>
      <c r="F1710" s="8"/>
      <c r="G1710" s="8"/>
      <c r="H1710" s="8"/>
      <c r="I1710" s="8"/>
      <c r="J1710" s="8"/>
      <c r="K1710" s="8"/>
      <c r="L1710" s="8"/>
      <c r="M1710" s="8"/>
      <c r="N1710" s="8"/>
      <c r="O1710" s="8"/>
    </row>
    <row r="1711" ht="13.65" customHeight="1">
      <c r="A1711" s="8"/>
      <c r="B1711" s="8"/>
      <c r="C1711" s="8"/>
      <c r="D1711" s="8"/>
      <c r="E1711" s="8"/>
      <c r="F1711" s="8"/>
      <c r="G1711" s="8"/>
      <c r="H1711" s="8"/>
      <c r="I1711" s="8"/>
      <c r="J1711" s="8"/>
      <c r="K1711" s="8"/>
      <c r="L1711" s="8"/>
      <c r="M1711" s="8"/>
      <c r="N1711" s="8"/>
      <c r="O1711" s="8"/>
    </row>
    <row r="1712" ht="13.65" customHeight="1">
      <c r="A1712" s="8"/>
      <c r="B1712" s="8"/>
      <c r="C1712" s="8"/>
      <c r="D1712" s="8"/>
      <c r="E1712" s="8"/>
      <c r="F1712" s="8"/>
      <c r="G1712" s="8"/>
      <c r="H1712" s="8"/>
      <c r="I1712" s="8"/>
      <c r="J1712" s="8"/>
      <c r="K1712" s="8"/>
      <c r="L1712" s="8"/>
      <c r="M1712" s="8"/>
      <c r="N1712" s="8"/>
      <c r="O1712" s="8"/>
    </row>
    <row r="1713" ht="13.65" customHeight="1">
      <c r="A1713" s="8"/>
      <c r="B1713" s="8"/>
      <c r="C1713" s="8"/>
      <c r="D1713" s="8"/>
      <c r="E1713" s="8"/>
      <c r="F1713" s="8"/>
      <c r="G1713" s="8"/>
      <c r="H1713" s="8"/>
      <c r="I1713" s="8"/>
      <c r="J1713" s="8"/>
      <c r="K1713" s="8"/>
      <c r="L1713" s="8"/>
      <c r="M1713" s="8"/>
      <c r="N1713" s="8"/>
      <c r="O1713" s="8"/>
    </row>
    <row r="1714" ht="13.65" customHeight="1">
      <c r="A1714" s="8"/>
      <c r="B1714" s="8"/>
      <c r="C1714" s="8"/>
      <c r="D1714" s="8"/>
      <c r="E1714" s="8"/>
      <c r="F1714" s="8"/>
      <c r="G1714" s="8"/>
      <c r="H1714" s="8"/>
      <c r="I1714" s="8"/>
      <c r="J1714" s="8"/>
      <c r="K1714" s="8"/>
      <c r="L1714" s="8"/>
      <c r="M1714" s="8"/>
      <c r="N1714" s="8"/>
      <c r="O1714" s="8"/>
    </row>
    <row r="1715" ht="13.65" customHeight="1">
      <c r="A1715" s="8"/>
      <c r="B1715" s="8"/>
      <c r="C1715" s="8"/>
      <c r="D1715" s="8"/>
      <c r="E1715" s="8"/>
      <c r="F1715" s="8"/>
      <c r="G1715" s="8"/>
      <c r="H1715" s="8"/>
      <c r="I1715" s="8"/>
      <c r="J1715" s="8"/>
      <c r="K1715" s="8"/>
      <c r="L1715" s="8"/>
      <c r="M1715" s="8"/>
      <c r="N1715" s="8"/>
      <c r="O1715" s="8"/>
    </row>
    <row r="1716" ht="13.65" customHeight="1">
      <c r="A1716" s="8"/>
      <c r="B1716" s="8"/>
      <c r="C1716" s="8"/>
      <c r="D1716" s="8"/>
      <c r="E1716" s="8"/>
      <c r="F1716" s="8"/>
      <c r="G1716" s="8"/>
      <c r="H1716" s="8"/>
      <c r="I1716" s="8"/>
      <c r="J1716" s="8"/>
      <c r="K1716" s="8"/>
      <c r="L1716" s="8"/>
      <c r="M1716" s="8"/>
      <c r="N1716" s="8"/>
      <c r="O1716" s="8"/>
    </row>
    <row r="1717" ht="13.65" customHeight="1">
      <c r="A1717" s="8"/>
      <c r="B1717" s="8"/>
      <c r="C1717" s="8"/>
      <c r="D1717" s="8"/>
      <c r="E1717" s="8"/>
      <c r="F1717" s="8"/>
      <c r="G1717" s="8"/>
      <c r="H1717" s="8"/>
      <c r="I1717" s="8"/>
      <c r="J1717" s="8"/>
      <c r="K1717" s="8"/>
      <c r="L1717" s="8"/>
      <c r="M1717" s="8"/>
      <c r="N1717" s="8"/>
      <c r="O1717" s="8"/>
    </row>
    <row r="1718" ht="13.65" customHeight="1">
      <c r="A1718" s="8"/>
      <c r="B1718" s="8"/>
      <c r="C1718" s="8"/>
      <c r="D1718" s="8"/>
      <c r="E1718" s="8"/>
      <c r="F1718" s="8"/>
      <c r="G1718" s="8"/>
      <c r="H1718" s="8"/>
      <c r="I1718" s="8"/>
      <c r="J1718" s="8"/>
      <c r="K1718" s="8"/>
      <c r="L1718" s="8"/>
      <c r="M1718" s="8"/>
      <c r="N1718" s="8"/>
      <c r="O1718" s="8"/>
    </row>
    <row r="1719" ht="13.65" customHeight="1">
      <c r="A1719" s="8"/>
      <c r="B1719" s="8"/>
      <c r="C1719" s="8"/>
      <c r="D1719" s="8"/>
      <c r="E1719" s="8"/>
      <c r="F1719" s="8"/>
      <c r="G1719" s="8"/>
      <c r="H1719" s="8"/>
      <c r="I1719" s="8"/>
      <c r="J1719" s="8"/>
      <c r="K1719" s="8"/>
      <c r="L1719" s="8"/>
      <c r="M1719" s="8"/>
      <c r="N1719" s="8"/>
      <c r="O1719" s="8"/>
    </row>
    <row r="1720" ht="13.65" customHeight="1">
      <c r="A1720" s="8"/>
      <c r="B1720" s="8"/>
      <c r="C1720" s="8"/>
      <c r="D1720" s="8"/>
      <c r="E1720" s="8"/>
      <c r="F1720" s="8"/>
      <c r="G1720" s="8"/>
      <c r="H1720" s="8"/>
      <c r="I1720" s="8"/>
      <c r="J1720" s="8"/>
      <c r="K1720" s="8"/>
      <c r="L1720" s="8"/>
      <c r="M1720" s="8"/>
      <c r="N1720" s="8"/>
      <c r="O1720" s="8"/>
    </row>
    <row r="1721" ht="13.65" customHeight="1">
      <c r="A1721" s="8"/>
      <c r="B1721" s="8"/>
      <c r="C1721" s="8"/>
      <c r="D1721" s="8"/>
      <c r="E1721" s="8"/>
      <c r="F1721" s="8"/>
      <c r="G1721" s="8"/>
      <c r="H1721" s="8"/>
      <c r="I1721" s="8"/>
      <c r="J1721" s="8"/>
      <c r="K1721" s="8"/>
      <c r="L1721" s="8"/>
      <c r="M1721" s="8"/>
      <c r="N1721" s="8"/>
      <c r="O1721" s="8"/>
    </row>
    <row r="1722" ht="13.65" customHeight="1">
      <c r="A1722" s="8"/>
      <c r="B1722" s="8"/>
      <c r="C1722" s="8"/>
      <c r="D1722" s="8"/>
      <c r="E1722" s="8"/>
      <c r="F1722" s="8"/>
      <c r="G1722" s="8"/>
      <c r="H1722" s="8"/>
      <c r="I1722" s="8"/>
      <c r="J1722" s="8"/>
      <c r="K1722" s="8"/>
      <c r="L1722" s="8"/>
      <c r="M1722" s="8"/>
      <c r="N1722" s="8"/>
      <c r="O1722" s="8"/>
    </row>
    <row r="1723" ht="13.65" customHeight="1">
      <c r="A1723" s="8"/>
      <c r="B1723" s="8"/>
      <c r="C1723" s="8"/>
      <c r="D1723" s="8"/>
      <c r="E1723" s="8"/>
      <c r="F1723" s="8"/>
      <c r="G1723" s="8"/>
      <c r="H1723" s="8"/>
      <c r="I1723" s="8"/>
      <c r="J1723" s="8"/>
      <c r="K1723" s="8"/>
      <c r="L1723" s="8"/>
      <c r="M1723" s="8"/>
      <c r="N1723" s="8"/>
      <c r="O1723" s="8"/>
    </row>
    <row r="1724" ht="13.65" customHeight="1">
      <c r="A1724" s="8"/>
      <c r="B1724" s="8"/>
      <c r="C1724" s="8"/>
      <c r="D1724" s="8"/>
      <c r="E1724" s="8"/>
      <c r="F1724" s="8"/>
      <c r="G1724" s="8"/>
      <c r="H1724" s="8"/>
      <c r="I1724" s="8"/>
      <c r="J1724" s="8"/>
      <c r="K1724" s="8"/>
      <c r="L1724" s="8"/>
      <c r="M1724" s="8"/>
      <c r="N1724" s="8"/>
      <c r="O1724" s="8"/>
    </row>
    <row r="1725" ht="13.65" customHeight="1">
      <c r="A1725" s="8"/>
      <c r="B1725" s="8"/>
      <c r="C1725" s="8"/>
      <c r="D1725" s="8"/>
      <c r="E1725" s="8"/>
      <c r="F1725" s="8"/>
      <c r="G1725" s="8"/>
      <c r="H1725" s="8"/>
      <c r="I1725" s="8"/>
      <c r="J1725" s="8"/>
      <c r="K1725" s="8"/>
      <c r="L1725" s="8"/>
      <c r="M1725" s="8"/>
      <c r="N1725" s="8"/>
      <c r="O1725" s="8"/>
    </row>
    <row r="1726" ht="13.65" customHeight="1">
      <c r="A1726" s="8"/>
      <c r="B1726" s="8"/>
      <c r="C1726" s="8"/>
      <c r="D1726" s="8"/>
      <c r="E1726" s="8"/>
      <c r="F1726" s="8"/>
      <c r="G1726" s="8"/>
      <c r="H1726" s="8"/>
      <c r="I1726" s="8"/>
      <c r="J1726" s="8"/>
      <c r="K1726" s="8"/>
      <c r="L1726" s="8"/>
      <c r="M1726" s="8"/>
      <c r="N1726" s="8"/>
      <c r="O1726" s="8"/>
    </row>
    <row r="1727" ht="13.65" customHeight="1">
      <c r="A1727" s="8"/>
      <c r="B1727" s="8"/>
      <c r="C1727" s="8"/>
      <c r="D1727" s="8"/>
      <c r="E1727" s="8"/>
      <c r="F1727" s="8"/>
      <c r="G1727" s="8"/>
      <c r="H1727" s="8"/>
      <c r="I1727" s="8"/>
      <c r="J1727" s="8"/>
      <c r="K1727" s="8"/>
      <c r="L1727" s="8"/>
      <c r="M1727" s="8"/>
      <c r="N1727" s="8"/>
      <c r="O1727" s="8"/>
    </row>
    <row r="1728" ht="13.65" customHeight="1">
      <c r="A1728" s="8"/>
      <c r="B1728" s="8"/>
      <c r="C1728" s="8"/>
      <c r="D1728" s="8"/>
      <c r="E1728" s="8"/>
      <c r="F1728" s="8"/>
      <c r="G1728" s="8"/>
      <c r="H1728" s="8"/>
      <c r="I1728" s="8"/>
      <c r="J1728" s="8"/>
      <c r="K1728" s="8"/>
      <c r="L1728" s="8"/>
      <c r="M1728" s="8"/>
      <c r="N1728" s="8"/>
      <c r="O1728" s="8"/>
    </row>
    <row r="1729" ht="13.65" customHeight="1">
      <c r="A1729" s="8"/>
      <c r="B1729" s="8"/>
      <c r="C1729" s="8"/>
      <c r="D1729" s="8"/>
      <c r="E1729" s="8"/>
      <c r="F1729" s="8"/>
      <c r="G1729" s="8"/>
      <c r="H1729" s="8"/>
      <c r="I1729" s="8"/>
      <c r="J1729" s="8"/>
      <c r="K1729" s="8"/>
      <c r="L1729" s="8"/>
      <c r="M1729" s="8"/>
      <c r="N1729" s="8"/>
      <c r="O1729" s="8"/>
    </row>
    <row r="1730" ht="13.65" customHeight="1">
      <c r="A1730" s="8"/>
      <c r="B1730" s="8"/>
      <c r="C1730" s="8"/>
      <c r="D1730" s="8"/>
      <c r="E1730" s="8"/>
      <c r="F1730" s="8"/>
      <c r="G1730" s="8"/>
      <c r="H1730" s="8"/>
      <c r="I1730" s="8"/>
      <c r="J1730" s="8"/>
      <c r="K1730" s="8"/>
      <c r="L1730" s="8"/>
      <c r="M1730" s="8"/>
      <c r="N1730" s="8"/>
      <c r="O1730" s="8"/>
    </row>
    <row r="1731" ht="13.65" customHeight="1">
      <c r="A1731" s="8"/>
      <c r="B1731" s="8"/>
      <c r="C1731" s="8"/>
      <c r="D1731" s="8"/>
      <c r="E1731" s="8"/>
      <c r="F1731" s="8"/>
      <c r="G1731" s="8"/>
      <c r="H1731" s="8"/>
      <c r="I1731" s="8"/>
      <c r="J1731" s="8"/>
      <c r="K1731" s="8"/>
      <c r="L1731" s="8"/>
      <c r="M1731" s="8"/>
      <c r="N1731" s="8"/>
      <c r="O1731" s="8"/>
    </row>
    <row r="1732" ht="13.65" customHeight="1">
      <c r="A1732" s="8"/>
      <c r="B1732" s="8"/>
      <c r="C1732" s="8"/>
      <c r="D1732" s="8"/>
      <c r="E1732" s="8"/>
      <c r="F1732" s="8"/>
      <c r="G1732" s="8"/>
      <c r="H1732" s="8"/>
      <c r="I1732" s="8"/>
      <c r="J1732" s="8"/>
      <c r="K1732" s="8"/>
      <c r="L1732" s="8"/>
      <c r="M1732" s="8"/>
      <c r="N1732" s="8"/>
      <c r="O1732" s="8"/>
    </row>
    <row r="1733" ht="13.65" customHeight="1">
      <c r="A1733" s="8"/>
      <c r="B1733" s="8"/>
      <c r="C1733" s="8"/>
      <c r="D1733" s="8"/>
      <c r="E1733" s="8"/>
      <c r="F1733" s="8"/>
      <c r="G1733" s="8"/>
      <c r="H1733" s="8"/>
      <c r="I1733" s="8"/>
      <c r="J1733" s="8"/>
      <c r="K1733" s="8"/>
      <c r="L1733" s="8"/>
      <c r="M1733" s="8"/>
      <c r="N1733" s="8"/>
      <c r="O1733" s="8"/>
    </row>
    <row r="1734" ht="13.65" customHeight="1">
      <c r="A1734" s="8"/>
      <c r="B1734" s="8"/>
      <c r="C1734" s="8"/>
      <c r="D1734" s="8"/>
      <c r="E1734" s="8"/>
      <c r="F1734" s="8"/>
      <c r="G1734" s="8"/>
      <c r="H1734" s="8"/>
      <c r="I1734" s="8"/>
      <c r="J1734" s="8"/>
      <c r="K1734" s="8"/>
      <c r="L1734" s="8"/>
      <c r="M1734" s="8"/>
      <c r="N1734" s="8"/>
      <c r="O1734" s="8"/>
    </row>
    <row r="1735" ht="13.65" customHeight="1">
      <c r="A1735" s="8"/>
      <c r="B1735" s="8"/>
      <c r="C1735" s="8"/>
      <c r="D1735" s="8"/>
      <c r="E1735" s="8"/>
      <c r="F1735" s="8"/>
      <c r="G1735" s="8"/>
      <c r="H1735" s="8"/>
      <c r="I1735" s="8"/>
      <c r="J1735" s="8"/>
      <c r="K1735" s="8"/>
      <c r="L1735" s="8"/>
      <c r="M1735" s="8"/>
      <c r="N1735" s="8"/>
      <c r="O1735" s="8"/>
    </row>
    <row r="1736" ht="13.65" customHeight="1">
      <c r="A1736" s="8"/>
      <c r="B1736" s="8"/>
      <c r="C1736" s="8"/>
      <c r="D1736" s="8"/>
      <c r="E1736" s="8"/>
      <c r="F1736" s="8"/>
      <c r="G1736" s="8"/>
      <c r="H1736" s="8"/>
      <c r="I1736" s="8"/>
      <c r="J1736" s="8"/>
      <c r="K1736" s="8"/>
      <c r="L1736" s="8"/>
      <c r="M1736" s="8"/>
      <c r="N1736" s="8"/>
      <c r="O1736" s="8"/>
    </row>
    <row r="1737" ht="13.65" customHeight="1">
      <c r="A1737" s="8"/>
      <c r="B1737" s="8"/>
      <c r="C1737" s="8"/>
      <c r="D1737" s="8"/>
      <c r="E1737" s="8"/>
      <c r="F1737" s="8"/>
      <c r="G1737" s="8"/>
      <c r="H1737" s="8"/>
      <c r="I1737" s="8"/>
      <c r="J1737" s="8"/>
      <c r="K1737" s="8"/>
      <c r="L1737" s="8"/>
      <c r="M1737" s="8"/>
      <c r="N1737" s="8"/>
      <c r="O1737" s="8"/>
    </row>
    <row r="1738" ht="13.65" customHeight="1">
      <c r="A1738" s="8"/>
      <c r="B1738" s="8"/>
      <c r="C1738" s="8"/>
      <c r="D1738" s="8"/>
      <c r="E1738" s="8"/>
      <c r="F1738" s="8"/>
      <c r="G1738" s="8"/>
      <c r="H1738" s="8"/>
      <c r="I1738" s="8"/>
      <c r="J1738" s="8"/>
      <c r="K1738" s="8"/>
      <c r="L1738" s="8"/>
      <c r="M1738" s="8"/>
      <c r="N1738" s="8"/>
      <c r="O1738" s="8"/>
    </row>
    <row r="1739" ht="13.65" customHeight="1">
      <c r="A1739" s="8"/>
      <c r="B1739" s="8"/>
      <c r="C1739" s="8"/>
      <c r="D1739" s="8"/>
      <c r="E1739" s="8"/>
      <c r="F1739" s="8"/>
      <c r="G1739" s="8"/>
      <c r="H1739" s="8"/>
      <c r="I1739" s="8"/>
      <c r="J1739" s="8"/>
      <c r="K1739" s="8"/>
      <c r="L1739" s="8"/>
      <c r="M1739" s="8"/>
      <c r="N1739" s="8"/>
      <c r="O1739" s="8"/>
    </row>
    <row r="1740" ht="13.65" customHeight="1">
      <c r="A1740" s="8"/>
      <c r="B1740" s="8"/>
      <c r="C1740" s="8"/>
      <c r="D1740" s="8"/>
      <c r="E1740" s="8"/>
      <c r="F1740" s="8"/>
      <c r="G1740" s="8"/>
      <c r="H1740" s="8"/>
      <c r="I1740" s="8"/>
      <c r="J1740" s="8"/>
      <c r="K1740" s="8"/>
      <c r="L1740" s="8"/>
      <c r="M1740" s="8"/>
      <c r="N1740" s="8"/>
      <c r="O1740" s="8"/>
    </row>
    <row r="1741" ht="13.65" customHeight="1">
      <c r="A1741" s="8"/>
      <c r="B1741" s="8"/>
      <c r="C1741" s="8"/>
      <c r="D1741" s="8"/>
      <c r="E1741" s="8"/>
      <c r="F1741" s="8"/>
      <c r="G1741" s="8"/>
      <c r="H1741" s="8"/>
      <c r="I1741" s="8"/>
      <c r="J1741" s="8"/>
      <c r="K1741" s="8"/>
      <c r="L1741" s="8"/>
      <c r="M1741" s="8"/>
      <c r="N1741" s="8"/>
      <c r="O1741" s="8"/>
    </row>
    <row r="1742" ht="13.65" customHeight="1">
      <c r="A1742" s="8"/>
      <c r="B1742" s="8"/>
      <c r="C1742" s="8"/>
      <c r="D1742" s="8"/>
      <c r="E1742" s="8"/>
      <c r="F1742" s="8"/>
      <c r="G1742" s="8"/>
      <c r="H1742" s="8"/>
      <c r="I1742" s="8"/>
      <c r="J1742" s="8"/>
      <c r="K1742" s="8"/>
      <c r="L1742" s="8"/>
      <c r="M1742" s="8"/>
      <c r="N1742" s="8"/>
      <c r="O1742" s="8"/>
    </row>
    <row r="1743" ht="13.65" customHeight="1">
      <c r="A1743" s="8"/>
      <c r="B1743" s="8"/>
      <c r="C1743" s="8"/>
      <c r="D1743" s="8"/>
      <c r="E1743" s="8"/>
      <c r="F1743" s="8"/>
      <c r="G1743" s="8"/>
      <c r="H1743" s="8"/>
      <c r="I1743" s="8"/>
      <c r="J1743" s="8"/>
      <c r="K1743" s="8"/>
      <c r="L1743" s="8"/>
      <c r="M1743" s="8"/>
      <c r="N1743" s="8"/>
      <c r="O1743" s="8"/>
    </row>
    <row r="1744" ht="13.65" customHeight="1">
      <c r="A1744" s="8"/>
      <c r="B1744" s="8"/>
      <c r="C1744" s="8"/>
      <c r="D1744" s="8"/>
      <c r="E1744" s="8"/>
      <c r="F1744" s="8"/>
      <c r="G1744" s="8"/>
      <c r="H1744" s="8"/>
      <c r="I1744" s="8"/>
      <c r="J1744" s="8"/>
      <c r="K1744" s="8"/>
      <c r="L1744" s="8"/>
      <c r="M1744" s="8"/>
      <c r="N1744" s="8"/>
      <c r="O1744" s="8"/>
    </row>
    <row r="1745" ht="13.65" customHeight="1">
      <c r="A1745" s="8"/>
      <c r="B1745" s="8"/>
      <c r="C1745" s="8"/>
      <c r="D1745" s="8"/>
      <c r="E1745" s="8"/>
      <c r="F1745" s="8"/>
      <c r="G1745" s="8"/>
      <c r="H1745" s="8"/>
      <c r="I1745" s="8"/>
      <c r="J1745" s="8"/>
      <c r="K1745" s="8"/>
      <c r="L1745" s="8"/>
      <c r="M1745" s="8"/>
      <c r="N1745" s="8"/>
      <c r="O1745" s="8"/>
    </row>
    <row r="1746" ht="13.65" customHeight="1">
      <c r="A1746" s="8"/>
      <c r="B1746" s="8"/>
      <c r="C1746" s="8"/>
      <c r="D1746" s="8"/>
      <c r="E1746" s="8"/>
      <c r="F1746" s="8"/>
      <c r="G1746" s="8"/>
      <c r="H1746" s="8"/>
      <c r="I1746" s="8"/>
      <c r="J1746" s="8"/>
      <c r="K1746" s="8"/>
      <c r="L1746" s="8"/>
      <c r="M1746" s="8"/>
      <c r="N1746" s="8"/>
      <c r="O1746" s="8"/>
    </row>
    <row r="1747" ht="13.65" customHeight="1">
      <c r="A1747" s="8"/>
      <c r="B1747" s="8"/>
      <c r="C1747" s="8"/>
      <c r="D1747" s="8"/>
      <c r="E1747" s="8"/>
      <c r="F1747" s="8"/>
      <c r="G1747" s="8"/>
      <c r="H1747" s="8"/>
      <c r="I1747" s="8"/>
      <c r="J1747" s="8"/>
      <c r="K1747" s="8"/>
      <c r="L1747" s="8"/>
      <c r="M1747" s="8"/>
      <c r="N1747" s="8"/>
      <c r="O1747" s="8"/>
    </row>
    <row r="1748" ht="13.65" customHeight="1">
      <c r="A1748" s="8"/>
      <c r="B1748" s="8"/>
      <c r="C1748" s="8"/>
      <c r="D1748" s="8"/>
      <c r="E1748" s="8"/>
      <c r="F1748" s="8"/>
      <c r="G1748" s="8"/>
      <c r="H1748" s="8"/>
      <c r="I1748" s="8"/>
      <c r="J1748" s="8"/>
      <c r="K1748" s="8"/>
      <c r="L1748" s="8"/>
      <c r="M1748" s="8"/>
      <c r="N1748" s="8"/>
      <c r="O1748" s="8"/>
    </row>
    <row r="1749" ht="13.65" customHeight="1">
      <c r="A1749" s="8"/>
      <c r="B1749" s="8"/>
      <c r="C1749" s="8"/>
      <c r="D1749" s="8"/>
      <c r="E1749" s="8"/>
      <c r="F1749" s="8"/>
      <c r="G1749" s="8"/>
      <c r="H1749" s="8"/>
      <c r="I1749" s="8"/>
      <c r="J1749" s="8"/>
      <c r="K1749" s="8"/>
      <c r="L1749" s="8"/>
      <c r="M1749" s="8"/>
      <c r="N1749" s="8"/>
      <c r="O1749" s="8"/>
    </row>
    <row r="1750" ht="13.65" customHeight="1">
      <c r="A1750" s="8"/>
      <c r="B1750" s="8"/>
      <c r="C1750" s="8"/>
      <c r="D1750" s="8"/>
      <c r="E1750" s="8"/>
      <c r="F1750" s="8"/>
      <c r="G1750" s="8"/>
      <c r="H1750" s="8"/>
      <c r="I1750" s="8"/>
      <c r="J1750" s="8"/>
      <c r="K1750" s="8"/>
      <c r="L1750" s="8"/>
      <c r="M1750" s="8"/>
      <c r="N1750" s="8"/>
      <c r="O1750" s="8"/>
    </row>
    <row r="1751" ht="13.65" customHeight="1">
      <c r="A1751" s="8"/>
      <c r="B1751" s="8"/>
      <c r="C1751" s="8"/>
      <c r="D1751" s="8"/>
      <c r="E1751" s="8"/>
      <c r="F1751" s="8"/>
      <c r="G1751" s="8"/>
      <c r="H1751" s="8"/>
      <c r="I1751" s="8"/>
      <c r="J1751" s="8"/>
      <c r="K1751" s="8"/>
      <c r="L1751" s="8"/>
      <c r="M1751" s="8"/>
      <c r="N1751" s="8"/>
      <c r="O1751" s="8"/>
    </row>
    <row r="1752" ht="13.65" customHeight="1">
      <c r="A1752" s="8"/>
      <c r="B1752" s="8"/>
      <c r="C1752" s="8"/>
      <c r="D1752" s="8"/>
      <c r="E1752" s="8"/>
      <c r="F1752" s="8"/>
      <c r="G1752" s="8"/>
      <c r="H1752" s="8"/>
      <c r="I1752" s="8"/>
      <c r="J1752" s="8"/>
      <c r="K1752" s="8"/>
      <c r="L1752" s="8"/>
      <c r="M1752" s="8"/>
      <c r="N1752" s="8"/>
      <c r="O1752" s="8"/>
    </row>
    <row r="1753" ht="13.65" customHeight="1">
      <c r="A1753" s="8"/>
      <c r="B1753" s="8"/>
      <c r="C1753" s="8"/>
      <c r="D1753" s="8"/>
      <c r="E1753" s="8"/>
      <c r="F1753" s="8"/>
      <c r="G1753" s="8"/>
      <c r="H1753" s="8"/>
      <c r="I1753" s="8"/>
      <c r="J1753" s="8"/>
      <c r="K1753" s="8"/>
      <c r="L1753" s="8"/>
      <c r="M1753" s="8"/>
      <c r="N1753" s="8"/>
      <c r="O1753" s="8"/>
    </row>
    <row r="1754" ht="13.65" customHeight="1">
      <c r="A1754" s="8"/>
      <c r="B1754" s="8"/>
      <c r="C1754" s="8"/>
      <c r="D1754" s="8"/>
      <c r="E1754" s="8"/>
      <c r="F1754" s="8"/>
      <c r="G1754" s="8"/>
      <c r="H1754" s="8"/>
      <c r="I1754" s="8"/>
      <c r="J1754" s="8"/>
      <c r="K1754" s="8"/>
      <c r="L1754" s="8"/>
      <c r="M1754" s="8"/>
      <c r="N1754" s="8"/>
      <c r="O1754" s="8"/>
    </row>
    <row r="1755" ht="13.65" customHeight="1">
      <c r="A1755" s="8"/>
      <c r="B1755" s="8"/>
      <c r="C1755" s="8"/>
      <c r="D1755" s="8"/>
      <c r="E1755" s="8"/>
      <c r="F1755" s="8"/>
      <c r="G1755" s="8"/>
      <c r="H1755" s="8"/>
      <c r="I1755" s="8"/>
      <c r="J1755" s="8"/>
      <c r="K1755" s="8"/>
      <c r="L1755" s="8"/>
      <c r="M1755" s="8"/>
      <c r="N1755" s="8"/>
      <c r="O1755" s="8"/>
    </row>
    <row r="1756" ht="13.65" customHeight="1">
      <c r="A1756" s="8"/>
      <c r="B1756" s="8"/>
      <c r="C1756" s="8"/>
      <c r="D1756" s="8"/>
      <c r="E1756" s="8"/>
      <c r="F1756" s="8"/>
      <c r="G1756" s="8"/>
      <c r="H1756" s="8"/>
      <c r="I1756" s="8"/>
      <c r="J1756" s="8"/>
      <c r="K1756" s="8"/>
      <c r="L1756" s="8"/>
      <c r="M1756" s="8"/>
      <c r="N1756" s="8"/>
      <c r="O1756" s="8"/>
    </row>
    <row r="1757" ht="13.65" customHeight="1">
      <c r="A1757" s="8"/>
      <c r="B1757" s="8"/>
      <c r="C1757" s="8"/>
      <c r="D1757" s="8"/>
      <c r="E1757" s="8"/>
      <c r="F1757" s="8"/>
      <c r="G1757" s="8"/>
      <c r="H1757" s="8"/>
      <c r="I1757" s="8"/>
      <c r="J1757" s="8"/>
      <c r="K1757" s="8"/>
      <c r="L1757" s="8"/>
      <c r="M1757" s="8"/>
      <c r="N1757" s="8"/>
      <c r="O1757" s="8"/>
    </row>
    <row r="1758" ht="13.65" customHeight="1">
      <c r="A1758" s="8"/>
      <c r="B1758" s="8"/>
      <c r="C1758" s="8"/>
      <c r="D1758" s="8"/>
      <c r="E1758" s="8"/>
      <c r="F1758" s="8"/>
      <c r="G1758" s="8"/>
      <c r="H1758" s="8"/>
      <c r="I1758" s="8"/>
      <c r="J1758" s="8"/>
      <c r="K1758" s="8"/>
      <c r="L1758" s="8"/>
      <c r="M1758" s="8"/>
      <c r="N1758" s="8"/>
      <c r="O1758" s="8"/>
    </row>
    <row r="1759" ht="13.65" customHeight="1">
      <c r="A1759" s="8"/>
      <c r="B1759" s="8"/>
      <c r="C1759" s="8"/>
      <c r="D1759" s="8"/>
      <c r="E1759" s="8"/>
      <c r="F1759" s="8"/>
      <c r="G1759" s="8"/>
      <c r="H1759" s="8"/>
      <c r="I1759" s="8"/>
      <c r="J1759" s="8"/>
      <c r="K1759" s="8"/>
      <c r="L1759" s="8"/>
      <c r="M1759" s="8"/>
      <c r="N1759" s="8"/>
      <c r="O1759" s="8"/>
    </row>
    <row r="1760" ht="13.65" customHeight="1">
      <c r="A1760" s="8"/>
      <c r="B1760" s="8"/>
      <c r="C1760" s="8"/>
      <c r="D1760" s="8"/>
      <c r="E1760" s="8"/>
      <c r="F1760" s="8"/>
      <c r="G1760" s="8"/>
      <c r="H1760" s="8"/>
      <c r="I1760" s="8"/>
      <c r="J1760" s="8"/>
      <c r="K1760" s="8"/>
      <c r="L1760" s="8"/>
      <c r="M1760" s="8"/>
      <c r="N1760" s="8"/>
      <c r="O1760" s="8"/>
    </row>
    <row r="1761" ht="13.65" customHeight="1">
      <c r="A1761" s="8"/>
      <c r="B1761" s="8"/>
      <c r="C1761" s="8"/>
      <c r="D1761" s="8"/>
      <c r="E1761" s="8"/>
      <c r="F1761" s="8"/>
      <c r="G1761" s="8"/>
      <c r="H1761" s="8"/>
      <c r="I1761" s="8"/>
      <c r="J1761" s="8"/>
      <c r="K1761" s="8"/>
      <c r="L1761" s="8"/>
      <c r="M1761" s="8"/>
      <c r="N1761" s="8"/>
      <c r="O1761" s="8"/>
    </row>
    <row r="1762" ht="13.65" customHeight="1">
      <c r="A1762" s="8"/>
      <c r="B1762" s="8"/>
      <c r="C1762" s="8"/>
      <c r="D1762" s="8"/>
      <c r="E1762" s="8"/>
      <c r="F1762" s="8"/>
      <c r="G1762" s="8"/>
      <c r="H1762" s="8"/>
      <c r="I1762" s="8"/>
      <c r="J1762" s="8"/>
      <c r="K1762" s="8"/>
      <c r="L1762" s="8"/>
      <c r="M1762" s="8"/>
      <c r="N1762" s="8"/>
      <c r="O1762" s="8"/>
    </row>
    <row r="1763" ht="13.65" customHeight="1">
      <c r="A1763" s="8"/>
      <c r="B1763" s="8"/>
      <c r="C1763" s="8"/>
      <c r="D1763" s="8"/>
      <c r="E1763" s="8"/>
      <c r="F1763" s="8"/>
      <c r="G1763" s="8"/>
      <c r="H1763" s="8"/>
      <c r="I1763" s="8"/>
      <c r="J1763" s="8"/>
      <c r="K1763" s="8"/>
      <c r="L1763" s="8"/>
      <c r="M1763" s="8"/>
      <c r="N1763" s="8"/>
      <c r="O1763" s="8"/>
    </row>
    <row r="1764" ht="13.65" customHeight="1">
      <c r="A1764" s="8"/>
      <c r="B1764" s="8"/>
      <c r="C1764" s="8"/>
      <c r="D1764" s="8"/>
      <c r="E1764" s="8"/>
      <c r="F1764" s="8"/>
      <c r="G1764" s="8"/>
      <c r="H1764" s="8"/>
      <c r="I1764" s="8"/>
      <c r="J1764" s="8"/>
      <c r="K1764" s="8"/>
      <c r="L1764" s="8"/>
      <c r="M1764" s="8"/>
      <c r="N1764" s="8"/>
      <c r="O1764" s="8"/>
    </row>
    <row r="1765" ht="13.65" customHeight="1">
      <c r="A1765" s="8"/>
      <c r="B1765" s="8"/>
      <c r="C1765" s="8"/>
      <c r="D1765" s="8"/>
      <c r="E1765" s="8"/>
      <c r="F1765" s="8"/>
      <c r="G1765" s="8"/>
      <c r="H1765" s="8"/>
      <c r="I1765" s="8"/>
      <c r="J1765" s="8"/>
      <c r="K1765" s="8"/>
      <c r="L1765" s="8"/>
      <c r="M1765" s="8"/>
      <c r="N1765" s="8"/>
      <c r="O1765" s="8"/>
    </row>
    <row r="1766" ht="13.65" customHeight="1">
      <c r="A1766" s="8"/>
      <c r="B1766" s="8"/>
      <c r="C1766" s="8"/>
      <c r="D1766" s="8"/>
      <c r="E1766" s="8"/>
      <c r="F1766" s="8"/>
      <c r="G1766" s="8"/>
      <c r="H1766" s="8"/>
      <c r="I1766" s="8"/>
      <c r="J1766" s="8"/>
      <c r="K1766" s="8"/>
      <c r="L1766" s="8"/>
      <c r="M1766" s="8"/>
      <c r="N1766" s="8"/>
      <c r="O1766" s="8"/>
    </row>
    <row r="1767" ht="13.65" customHeight="1">
      <c r="A1767" s="8"/>
      <c r="B1767" s="8"/>
      <c r="C1767" s="8"/>
      <c r="D1767" s="8"/>
      <c r="E1767" s="8"/>
      <c r="F1767" s="8"/>
      <c r="G1767" s="8"/>
      <c r="H1767" s="8"/>
      <c r="I1767" s="8"/>
      <c r="J1767" s="8"/>
      <c r="K1767" s="8"/>
      <c r="L1767" s="8"/>
      <c r="M1767" s="8"/>
      <c r="N1767" s="8"/>
      <c r="O1767" s="8"/>
    </row>
    <row r="1768" ht="13.65" customHeight="1">
      <c r="A1768" s="8"/>
      <c r="B1768" s="8"/>
      <c r="C1768" s="8"/>
      <c r="D1768" s="8"/>
      <c r="E1768" s="8"/>
      <c r="F1768" s="8"/>
      <c r="G1768" s="8"/>
      <c r="H1768" s="8"/>
      <c r="I1768" s="8"/>
      <c r="J1768" s="8"/>
      <c r="K1768" s="8"/>
      <c r="L1768" s="8"/>
      <c r="M1768" s="8"/>
      <c r="N1768" s="8"/>
      <c r="O1768" s="8"/>
    </row>
    <row r="1769" ht="13.65" customHeight="1">
      <c r="A1769" s="8"/>
      <c r="B1769" s="8"/>
      <c r="C1769" s="8"/>
      <c r="D1769" s="8"/>
      <c r="E1769" s="8"/>
      <c r="F1769" s="8"/>
      <c r="G1769" s="8"/>
      <c r="H1769" s="8"/>
      <c r="I1769" s="8"/>
      <c r="J1769" s="8"/>
      <c r="K1769" s="8"/>
      <c r="L1769" s="8"/>
      <c r="M1769" s="8"/>
      <c r="N1769" s="8"/>
      <c r="O1769" s="8"/>
    </row>
    <row r="1770" ht="13.65" customHeight="1">
      <c r="A1770" s="8"/>
      <c r="B1770" s="8"/>
      <c r="C1770" s="8"/>
      <c r="D1770" s="8"/>
      <c r="E1770" s="8"/>
      <c r="F1770" s="8"/>
      <c r="G1770" s="8"/>
      <c r="H1770" s="8"/>
      <c r="I1770" s="8"/>
      <c r="J1770" s="8"/>
      <c r="K1770" s="8"/>
      <c r="L1770" s="8"/>
      <c r="M1770" s="8"/>
      <c r="N1770" s="8"/>
      <c r="O1770" s="8"/>
    </row>
    <row r="1771" ht="13.65" customHeight="1">
      <c r="A1771" s="8"/>
      <c r="B1771" s="8"/>
      <c r="C1771" s="8"/>
      <c r="D1771" s="8"/>
      <c r="E1771" s="8"/>
      <c r="F1771" s="8"/>
      <c r="G1771" s="8"/>
      <c r="H1771" s="8"/>
      <c r="I1771" s="8"/>
      <c r="J1771" s="8"/>
      <c r="K1771" s="8"/>
      <c r="L1771" s="8"/>
      <c r="M1771" s="8"/>
      <c r="N1771" s="8"/>
      <c r="O1771" s="8"/>
    </row>
    <row r="1772" ht="13.65" customHeight="1">
      <c r="A1772" s="8"/>
      <c r="B1772" s="8"/>
      <c r="C1772" s="8"/>
      <c r="D1772" s="8"/>
      <c r="E1772" s="8"/>
      <c r="F1772" s="8"/>
      <c r="G1772" s="8"/>
      <c r="H1772" s="8"/>
      <c r="I1772" s="8"/>
      <c r="J1772" s="8"/>
      <c r="K1772" s="8"/>
      <c r="L1772" s="8"/>
      <c r="M1772" s="8"/>
      <c r="N1772" s="8"/>
      <c r="O1772"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Q2055"/>
  <sheetViews>
    <sheetView workbookViewId="0" showGridLines="0" defaultGridColor="1"/>
  </sheetViews>
  <sheetFormatPr defaultColWidth="12.6667" defaultRowHeight="15.75" customHeight="1" outlineLevelRow="0" outlineLevelCol="0"/>
  <cols>
    <col min="1" max="17" width="12.6719" style="25" customWidth="1"/>
    <col min="18" max="16384" width="12.6719" style="25" customWidth="1"/>
  </cols>
  <sheetData>
    <row r="1" ht="13.65" customHeight="1">
      <c r="A1" t="s" s="7">
        <v>6</v>
      </c>
      <c r="B1" s="8"/>
      <c r="C1" s="8"/>
      <c r="D1" s="8"/>
      <c r="E1" s="8"/>
      <c r="F1" s="8"/>
      <c r="G1" s="8"/>
      <c r="H1" s="8"/>
      <c r="I1" s="8"/>
      <c r="J1" s="8"/>
      <c r="K1" s="8"/>
      <c r="L1" s="8"/>
      <c r="M1" s="8"/>
      <c r="N1" s="8"/>
      <c r="O1" s="8"/>
      <c r="P1" s="8"/>
      <c r="Q1" s="8"/>
    </row>
    <row r="2" ht="13.65" customHeight="1">
      <c r="A2" s="9"/>
      <c r="B2" s="9"/>
      <c r="C2" s="9"/>
      <c r="D2" s="9"/>
      <c r="E2" s="9"/>
      <c r="F2" s="9"/>
      <c r="G2" s="9"/>
      <c r="H2" s="9"/>
      <c r="I2" s="9"/>
      <c r="J2" s="9"/>
      <c r="K2" s="9"/>
      <c r="L2" s="9"/>
      <c r="M2" s="9"/>
      <c r="N2" s="9"/>
      <c r="O2" s="9"/>
      <c r="P2" s="8"/>
      <c r="Q2" s="9"/>
    </row>
    <row r="3" ht="13.65" customHeight="1">
      <c r="A3" t="s" s="10">
        <v>1279</v>
      </c>
      <c r="B3" t="s" s="10">
        <v>1280</v>
      </c>
      <c r="C3" t="s" s="10">
        <v>1281</v>
      </c>
      <c r="D3" t="s" s="10">
        <v>1282</v>
      </c>
      <c r="E3" t="s" s="10">
        <v>1283</v>
      </c>
      <c r="F3" t="s" s="10">
        <v>1284</v>
      </c>
      <c r="G3" t="s" s="10">
        <v>1285</v>
      </c>
      <c r="H3" t="s" s="10">
        <v>1286</v>
      </c>
      <c r="I3" t="s" s="10">
        <v>1287</v>
      </c>
      <c r="J3" t="s" s="10">
        <v>1288</v>
      </c>
      <c r="K3" t="s" s="10">
        <v>1289</v>
      </c>
      <c r="L3" t="s" s="10">
        <v>1290</v>
      </c>
      <c r="M3" t="s" s="10">
        <v>1291</v>
      </c>
      <c r="N3" t="s" s="10">
        <v>1292</v>
      </c>
      <c r="O3" t="s" s="10">
        <v>1293</v>
      </c>
      <c r="P3" t="s" s="26">
        <v>530</v>
      </c>
      <c r="Q3" t="s" s="10">
        <v>18</v>
      </c>
    </row>
    <row r="4" ht="13.65" customHeight="1">
      <c r="A4" t="s" s="27">
        <v>1294</v>
      </c>
      <c r="B4" t="s" s="13">
        <v>22</v>
      </c>
      <c r="C4" s="28">
        <v>44287</v>
      </c>
      <c r="D4" s="14">
        <v>1493.65</v>
      </c>
      <c r="E4" s="14">
        <v>1499.4</v>
      </c>
      <c r="F4" s="14">
        <v>1499.4</v>
      </c>
      <c r="G4" s="14">
        <v>1465</v>
      </c>
      <c r="H4" s="14">
        <v>1492.5</v>
      </c>
      <c r="I4" s="14">
        <v>1486.75</v>
      </c>
      <c r="J4" s="14">
        <v>1480.53</v>
      </c>
      <c r="K4" t="s" s="13">
        <v>1295</v>
      </c>
      <c r="L4" t="s" s="13">
        <v>1296</v>
      </c>
      <c r="M4" t="s" s="13">
        <v>1297</v>
      </c>
      <c r="N4" t="s" s="13">
        <v>1298</v>
      </c>
      <c r="O4" s="15">
        <v>53.53</v>
      </c>
      <c r="P4" s="29"/>
      <c r="Q4" s="15">
        <v>7284278</v>
      </c>
    </row>
    <row r="5" ht="13.65" customHeight="1">
      <c r="A5" t="s" s="27">
        <v>1294</v>
      </c>
      <c r="B5" t="s" s="13">
        <v>22</v>
      </c>
      <c r="C5" s="28">
        <v>44291</v>
      </c>
      <c r="D5" s="14">
        <v>1486.75</v>
      </c>
      <c r="E5" s="14">
        <v>1480</v>
      </c>
      <c r="F5" s="14">
        <v>1485</v>
      </c>
      <c r="G5" s="14">
        <v>1431</v>
      </c>
      <c r="H5" s="14">
        <v>1450.2</v>
      </c>
      <c r="I5" s="14">
        <v>1449.6</v>
      </c>
      <c r="J5" s="14">
        <v>1451.04</v>
      </c>
      <c r="K5" t="s" s="13">
        <v>1299</v>
      </c>
      <c r="L5" t="s" s="13">
        <v>1300</v>
      </c>
      <c r="M5" t="s" s="13">
        <v>1301</v>
      </c>
      <c r="N5" t="s" s="13">
        <v>1302</v>
      </c>
      <c r="O5" s="15">
        <v>35.91</v>
      </c>
      <c r="P5" s="30" cm="1">
        <f t="array" ref="P5">(I5-I4)/I4</f>
        <v>-0.0249873885992938</v>
      </c>
      <c r="Q5" s="15">
        <v>7147857</v>
      </c>
    </row>
    <row r="6" ht="13.65" customHeight="1">
      <c r="A6" t="s" s="27">
        <v>1294</v>
      </c>
      <c r="B6" t="s" s="13">
        <v>22</v>
      </c>
      <c r="C6" s="28">
        <v>44292</v>
      </c>
      <c r="D6" s="14">
        <v>1449.6</v>
      </c>
      <c r="E6" s="14">
        <v>1460</v>
      </c>
      <c r="F6" s="14">
        <v>1462.65</v>
      </c>
      <c r="G6" s="14">
        <v>1432.65</v>
      </c>
      <c r="H6" s="14">
        <v>1442</v>
      </c>
      <c r="I6" s="14">
        <v>1440.25</v>
      </c>
      <c r="J6" s="14">
        <v>1444.46</v>
      </c>
      <c r="K6" t="s" s="13">
        <v>1303</v>
      </c>
      <c r="L6" t="s" s="13">
        <v>1304</v>
      </c>
      <c r="M6" t="s" s="13">
        <v>1305</v>
      </c>
      <c r="N6" t="s" s="13">
        <v>1306</v>
      </c>
      <c r="O6" s="15">
        <v>33.17</v>
      </c>
      <c r="P6" s="30" cm="1">
        <f t="array" ref="P6">(I6-I5)/I5</f>
        <v>-0.00645005518763797</v>
      </c>
      <c r="Q6" s="15">
        <v>10054871</v>
      </c>
    </row>
    <row r="7" ht="13.65" customHeight="1">
      <c r="A7" t="s" s="27">
        <v>1294</v>
      </c>
      <c r="B7" t="s" s="13">
        <v>22</v>
      </c>
      <c r="C7" s="28">
        <v>44293</v>
      </c>
      <c r="D7" s="14">
        <v>1440.25</v>
      </c>
      <c r="E7" s="14">
        <v>1439.3</v>
      </c>
      <c r="F7" s="14">
        <v>1456.7</v>
      </c>
      <c r="G7" s="14">
        <v>1421.55</v>
      </c>
      <c r="H7" s="14">
        <v>1447.25</v>
      </c>
      <c r="I7" s="14">
        <v>1447.2</v>
      </c>
      <c r="J7" s="14">
        <v>1445.04</v>
      </c>
      <c r="K7" t="s" s="13">
        <v>1307</v>
      </c>
      <c r="L7" t="s" s="13">
        <v>1308</v>
      </c>
      <c r="M7" t="s" s="13">
        <v>1309</v>
      </c>
      <c r="N7" t="s" s="13">
        <v>1310</v>
      </c>
      <c r="O7" s="15">
        <v>59.27</v>
      </c>
      <c r="P7" s="30" cm="1">
        <f t="array" ref="P7">(I7-I6)/I6</f>
        <v>0.00482555111959729</v>
      </c>
      <c r="Q7" s="15">
        <v>6188724</v>
      </c>
    </row>
    <row r="8" ht="13.65" customHeight="1">
      <c r="A8" t="s" s="27">
        <v>1294</v>
      </c>
      <c r="B8" t="s" s="13">
        <v>22</v>
      </c>
      <c r="C8" s="28">
        <v>44294</v>
      </c>
      <c r="D8" s="14">
        <v>1447.2</v>
      </c>
      <c r="E8" s="14">
        <v>1453</v>
      </c>
      <c r="F8" s="14">
        <v>1460.9</v>
      </c>
      <c r="G8" s="14">
        <v>1430.5</v>
      </c>
      <c r="H8" s="14">
        <v>1434</v>
      </c>
      <c r="I8" s="14">
        <v>1432.8</v>
      </c>
      <c r="J8" s="14">
        <v>1445.54</v>
      </c>
      <c r="K8" t="s" s="13">
        <v>1311</v>
      </c>
      <c r="L8" t="s" s="13">
        <v>1312</v>
      </c>
      <c r="M8" t="s" s="13">
        <v>1313</v>
      </c>
      <c r="N8" t="s" s="13">
        <v>1314</v>
      </c>
      <c r="O8" s="15">
        <v>52.68</v>
      </c>
      <c r="P8" s="30" cm="1">
        <f t="array" ref="P8">(I8-I7)/I7</f>
        <v>-0.00995024875621891</v>
      </c>
      <c r="Q8" s="15">
        <v>7877443</v>
      </c>
    </row>
    <row r="9" ht="13.65" customHeight="1">
      <c r="A9" t="s" s="27">
        <v>1294</v>
      </c>
      <c r="B9" t="s" s="13">
        <v>22</v>
      </c>
      <c r="C9" s="28">
        <v>44295</v>
      </c>
      <c r="D9" s="14">
        <v>1432.8</v>
      </c>
      <c r="E9" s="14">
        <v>1426</v>
      </c>
      <c r="F9" s="14">
        <v>1432.8</v>
      </c>
      <c r="G9" s="14">
        <v>1415.1</v>
      </c>
      <c r="H9" s="14">
        <v>1423.5</v>
      </c>
      <c r="I9" s="14">
        <v>1421.75</v>
      </c>
      <c r="J9" s="14">
        <v>1422.88</v>
      </c>
      <c r="K9" t="s" s="13">
        <v>1315</v>
      </c>
      <c r="L9" t="s" s="13">
        <v>1316</v>
      </c>
      <c r="M9" t="s" s="13">
        <v>1317</v>
      </c>
      <c r="N9" t="s" s="13">
        <v>1318</v>
      </c>
      <c r="O9" s="15">
        <v>49.34</v>
      </c>
      <c r="P9" s="30" cm="1">
        <f t="array" ref="P9">(I9-I8)/I8</f>
        <v>-0.00771217197096594</v>
      </c>
      <c r="Q9" s="15">
        <v>8183231</v>
      </c>
    </row>
    <row r="10" ht="13.65" customHeight="1">
      <c r="A10" t="s" s="27">
        <v>1294</v>
      </c>
      <c r="B10" t="s" s="13">
        <v>22</v>
      </c>
      <c r="C10" s="31">
        <v>44298</v>
      </c>
      <c r="D10" s="14">
        <v>1421.75</v>
      </c>
      <c r="E10" s="14">
        <v>1393</v>
      </c>
      <c r="F10" s="14">
        <v>1399</v>
      </c>
      <c r="G10" s="14">
        <v>1353</v>
      </c>
      <c r="H10" s="14">
        <v>1375.2</v>
      </c>
      <c r="I10" s="14">
        <v>1367.05</v>
      </c>
      <c r="J10" s="14">
        <v>1374.47</v>
      </c>
      <c r="K10" t="s" s="13">
        <v>1319</v>
      </c>
      <c r="L10" t="s" s="13">
        <v>1320</v>
      </c>
      <c r="M10" t="s" s="13">
        <v>1321</v>
      </c>
      <c r="N10" t="s" s="13">
        <v>1322</v>
      </c>
      <c r="O10" s="15">
        <v>49.9</v>
      </c>
      <c r="P10" s="30" cm="1">
        <f t="array" ref="P10">(I10-I9)/I9</f>
        <v>-0.0384737119746791</v>
      </c>
      <c r="Q10" s="15">
        <v>10080022</v>
      </c>
    </row>
    <row r="11" ht="13.65" customHeight="1">
      <c r="A11" t="s" s="27">
        <v>1294</v>
      </c>
      <c r="B11" t="s" s="13">
        <v>1323</v>
      </c>
      <c r="C11" s="31">
        <v>44299</v>
      </c>
      <c r="D11" s="15">
        <v>901</v>
      </c>
      <c r="E11" s="14">
        <v>1370</v>
      </c>
      <c r="F11" s="14">
        <v>1370</v>
      </c>
      <c r="G11" s="14">
        <v>1370</v>
      </c>
      <c r="H11" s="14">
        <v>1370</v>
      </c>
      <c r="I11" s="14">
        <v>1370</v>
      </c>
      <c r="J11" s="14">
        <v>1370</v>
      </c>
      <c r="K11" t="s" s="13">
        <v>1324</v>
      </c>
      <c r="L11" t="s" s="13">
        <v>1325</v>
      </c>
      <c r="M11" s="15">
        <v>1</v>
      </c>
      <c r="N11" t="s" s="13">
        <v>1326</v>
      </c>
      <c r="O11" t="s" s="13">
        <v>1326</v>
      </c>
      <c r="P11" s="30" cm="1">
        <f t="array" ref="P11">(I11-I10)/I10</f>
        <v>0.00215793131194909</v>
      </c>
      <c r="Q11" s="15">
        <v>15594128</v>
      </c>
    </row>
    <row r="12" ht="13.65" customHeight="1">
      <c r="A12" t="s" s="27">
        <v>1294</v>
      </c>
      <c r="B12" t="s" s="13">
        <v>22</v>
      </c>
      <c r="C12" s="31">
        <v>44299</v>
      </c>
      <c r="D12" s="14">
        <v>1367.05</v>
      </c>
      <c r="E12" s="14">
        <v>1368</v>
      </c>
      <c r="F12" s="14">
        <v>1406.45</v>
      </c>
      <c r="G12" s="14">
        <v>1361</v>
      </c>
      <c r="H12" s="14">
        <v>1401</v>
      </c>
      <c r="I12" s="14">
        <v>1400.35</v>
      </c>
      <c r="J12" s="14">
        <v>1383.23</v>
      </c>
      <c r="K12" t="s" s="13">
        <v>1327</v>
      </c>
      <c r="L12" t="s" s="13">
        <v>1328</v>
      </c>
      <c r="M12" t="s" s="13">
        <v>1329</v>
      </c>
      <c r="N12" t="s" s="13">
        <v>1330</v>
      </c>
      <c r="O12" s="15">
        <v>51.28</v>
      </c>
      <c r="P12" s="30" cm="1">
        <f t="array" ref="P12">(I12-I11)/I11</f>
        <v>0.0221532846715328</v>
      </c>
      <c r="Q12" s="15">
        <v>5230907</v>
      </c>
    </row>
    <row r="13" ht="13.65" customHeight="1">
      <c r="A13" t="s" s="27">
        <v>1294</v>
      </c>
      <c r="B13" t="s" s="13">
        <v>22</v>
      </c>
      <c r="C13" s="31">
        <v>44301</v>
      </c>
      <c r="D13" s="14">
        <v>1400.35</v>
      </c>
      <c r="E13" s="14">
        <v>1405</v>
      </c>
      <c r="F13" s="14">
        <v>1436.7</v>
      </c>
      <c r="G13" s="14">
        <v>1391</v>
      </c>
      <c r="H13" s="14">
        <v>1434.25</v>
      </c>
      <c r="I13" s="14">
        <v>1430.1</v>
      </c>
      <c r="J13" s="14">
        <v>1410.25</v>
      </c>
      <c r="K13" t="s" s="13">
        <v>1331</v>
      </c>
      <c r="L13" t="s" s="13">
        <v>1332</v>
      </c>
      <c r="M13" t="s" s="13">
        <v>1333</v>
      </c>
      <c r="N13" t="s" s="13">
        <v>1334</v>
      </c>
      <c r="O13" s="15">
        <v>54.95</v>
      </c>
      <c r="P13" s="30" cm="1">
        <f t="array" ref="P13">(I13-I12)/I12</f>
        <v>0.0212446888277931</v>
      </c>
      <c r="Q13" s="15">
        <v>6128938</v>
      </c>
    </row>
    <row r="14" ht="13.65" customHeight="1">
      <c r="A14" t="s" s="27">
        <v>1294</v>
      </c>
      <c r="B14" t="s" s="13">
        <v>22</v>
      </c>
      <c r="C14" s="31">
        <v>44302</v>
      </c>
      <c r="D14" s="14">
        <v>1430.1</v>
      </c>
      <c r="E14" s="14">
        <v>1434.95</v>
      </c>
      <c r="F14" s="14">
        <v>1445</v>
      </c>
      <c r="G14" s="14">
        <v>1423.5</v>
      </c>
      <c r="H14" s="14">
        <v>1430.9</v>
      </c>
      <c r="I14" s="14">
        <v>1428.65</v>
      </c>
      <c r="J14" s="14">
        <v>1436.06</v>
      </c>
      <c r="K14" t="s" s="13">
        <v>1335</v>
      </c>
      <c r="L14" t="s" s="13">
        <v>1336</v>
      </c>
      <c r="M14" t="s" s="13">
        <v>1337</v>
      </c>
      <c r="N14" t="s" s="13">
        <v>1338</v>
      </c>
      <c r="O14" s="15">
        <v>49.26</v>
      </c>
      <c r="P14" s="30" cm="1">
        <f t="array" ref="P14">(I14-I13)/I13</f>
        <v>-0.00101391511083141</v>
      </c>
      <c r="Q14" s="15">
        <v>7411977</v>
      </c>
    </row>
    <row r="15" ht="13.65" customHeight="1">
      <c r="A15" t="s" s="27">
        <v>1294</v>
      </c>
      <c r="B15" t="s" s="13">
        <v>22</v>
      </c>
      <c r="C15" s="31">
        <v>44305</v>
      </c>
      <c r="D15" s="14">
        <v>1428.65</v>
      </c>
      <c r="E15" s="14">
        <v>1390</v>
      </c>
      <c r="F15" s="14">
        <v>1417.7</v>
      </c>
      <c r="G15" s="14">
        <v>1372.3</v>
      </c>
      <c r="H15" s="14">
        <v>1412.6</v>
      </c>
      <c r="I15" s="14">
        <v>1412.4</v>
      </c>
      <c r="J15" s="14">
        <v>1393.68</v>
      </c>
      <c r="K15" t="s" s="13">
        <v>1339</v>
      </c>
      <c r="L15" t="s" s="13">
        <v>1340</v>
      </c>
      <c r="M15" t="s" s="13">
        <v>1341</v>
      </c>
      <c r="N15" t="s" s="13">
        <v>1342</v>
      </c>
      <c r="O15" s="15">
        <v>45.26</v>
      </c>
      <c r="P15" s="30" cm="1">
        <f t="array" ref="P15">(I15-I14)/I14</f>
        <v>-0.0113743744094075</v>
      </c>
      <c r="Q15" s="15">
        <v>6682054</v>
      </c>
    </row>
    <row r="16" ht="13.65" customHeight="1">
      <c r="A16" t="s" s="27">
        <v>1294</v>
      </c>
      <c r="B16" t="s" s="13">
        <v>22</v>
      </c>
      <c r="C16" s="31">
        <v>44306</v>
      </c>
      <c r="D16" s="14">
        <v>1412.4</v>
      </c>
      <c r="E16" s="14">
        <v>1425</v>
      </c>
      <c r="F16" s="14">
        <v>1426.4</v>
      </c>
      <c r="G16" s="14">
        <v>1383.95</v>
      </c>
      <c r="H16" s="14">
        <v>1390.45</v>
      </c>
      <c r="I16" s="14">
        <v>1391.4</v>
      </c>
      <c r="J16" s="14">
        <v>1405.29</v>
      </c>
      <c r="K16" t="s" s="13">
        <v>1343</v>
      </c>
      <c r="L16" t="s" s="13">
        <v>1344</v>
      </c>
      <c r="M16" t="s" s="13">
        <v>1345</v>
      </c>
      <c r="N16" t="s" s="13">
        <v>1346</v>
      </c>
      <c r="O16" s="15">
        <v>55.61</v>
      </c>
      <c r="P16" s="30" cm="1">
        <f t="array" ref="P16">(I16-I15)/I15</f>
        <v>-0.0148683092608326</v>
      </c>
      <c r="Q16" s="15">
        <v>9433964</v>
      </c>
    </row>
    <row r="17" ht="13.65" customHeight="1">
      <c r="A17" t="s" s="27">
        <v>1294</v>
      </c>
      <c r="B17" t="s" s="13">
        <v>22</v>
      </c>
      <c r="C17" s="31">
        <v>44308</v>
      </c>
      <c r="D17" s="14">
        <v>1391.4</v>
      </c>
      <c r="E17" s="14">
        <v>1380</v>
      </c>
      <c r="F17" s="14">
        <v>1426.8</v>
      </c>
      <c r="G17" s="14">
        <v>1371.05</v>
      </c>
      <c r="H17" s="14">
        <v>1421</v>
      </c>
      <c r="I17" s="14">
        <v>1422.5</v>
      </c>
      <c r="J17" s="14">
        <v>1393.28</v>
      </c>
      <c r="K17" t="s" s="13">
        <v>1347</v>
      </c>
      <c r="L17" t="s" s="13">
        <v>1348</v>
      </c>
      <c r="M17" t="s" s="13">
        <v>1349</v>
      </c>
      <c r="N17" t="s" s="13">
        <v>1350</v>
      </c>
      <c r="O17" s="15">
        <v>50.26</v>
      </c>
      <c r="P17" s="30" cm="1">
        <f t="array" ref="P17">(I17-I16)/I16</f>
        <v>0.0223515883283024</v>
      </c>
      <c r="Q17" s="15">
        <v>12509063</v>
      </c>
    </row>
    <row r="18" ht="13.65" customHeight="1">
      <c r="A18" t="s" s="27">
        <v>1294</v>
      </c>
      <c r="B18" t="s" s="13">
        <v>22</v>
      </c>
      <c r="C18" s="31">
        <v>44309</v>
      </c>
      <c r="D18" s="14">
        <v>1422.5</v>
      </c>
      <c r="E18" s="14">
        <v>1409</v>
      </c>
      <c r="F18" s="14">
        <v>1434.6</v>
      </c>
      <c r="G18" s="14">
        <v>1400.2</v>
      </c>
      <c r="H18" s="14">
        <v>1414.95</v>
      </c>
      <c r="I18" s="14">
        <v>1414.15</v>
      </c>
      <c r="J18" s="14">
        <v>1418.34</v>
      </c>
      <c r="K18" t="s" s="13">
        <v>1351</v>
      </c>
      <c r="L18" t="s" s="13">
        <v>1352</v>
      </c>
      <c r="M18" t="s" s="13">
        <v>1353</v>
      </c>
      <c r="N18" t="s" s="13">
        <v>1354</v>
      </c>
      <c r="O18" s="15">
        <v>46.61</v>
      </c>
      <c r="P18" s="30" cm="1">
        <f t="array" ref="P18">(I18-I17)/I17</f>
        <v>-0.00586994727592267</v>
      </c>
      <c r="Q18" s="15">
        <v>7575390</v>
      </c>
    </row>
    <row r="19" ht="13.65" customHeight="1">
      <c r="A19" t="s" s="27">
        <v>1294</v>
      </c>
      <c r="B19" t="s" s="13">
        <v>22</v>
      </c>
      <c r="C19" s="31">
        <v>44312</v>
      </c>
      <c r="D19" s="14">
        <v>1414.15</v>
      </c>
      <c r="E19" s="14">
        <v>1413</v>
      </c>
      <c r="F19" s="14">
        <v>1429</v>
      </c>
      <c r="G19" s="14">
        <v>1402.75</v>
      </c>
      <c r="H19" s="14">
        <v>1407.55</v>
      </c>
      <c r="I19" s="14">
        <v>1404.8</v>
      </c>
      <c r="J19" s="14">
        <v>1413.19</v>
      </c>
      <c r="K19" t="s" s="13">
        <v>1355</v>
      </c>
      <c r="L19" t="s" s="13">
        <v>1356</v>
      </c>
      <c r="M19" t="s" s="13">
        <v>1357</v>
      </c>
      <c r="N19" t="s" s="13">
        <v>1358</v>
      </c>
      <c r="O19" s="15">
        <v>64.91</v>
      </c>
      <c r="P19" s="30" cm="1">
        <f t="array" ref="P19">(I19-I18)/I18</f>
        <v>-0.00661174557154474</v>
      </c>
      <c r="Q19" s="15">
        <v>11136603</v>
      </c>
    </row>
    <row r="20" ht="13.65" customHeight="1">
      <c r="A20" t="s" s="27">
        <v>1294</v>
      </c>
      <c r="B20" t="s" s="13">
        <v>22</v>
      </c>
      <c r="C20" s="31">
        <v>44313</v>
      </c>
      <c r="D20" s="14">
        <v>1404.8</v>
      </c>
      <c r="E20" s="14">
        <v>1407.25</v>
      </c>
      <c r="F20" s="14">
        <v>1442</v>
      </c>
      <c r="G20" s="14">
        <v>1404.8</v>
      </c>
      <c r="H20" s="14">
        <v>1435.05</v>
      </c>
      <c r="I20" s="14">
        <v>1438.7</v>
      </c>
      <c r="J20" s="14">
        <v>1430.4</v>
      </c>
      <c r="K20" t="s" s="13">
        <v>1359</v>
      </c>
      <c r="L20" t="s" s="13">
        <v>1360</v>
      </c>
      <c r="M20" t="s" s="13">
        <v>1361</v>
      </c>
      <c r="N20" t="s" s="13">
        <v>1362</v>
      </c>
      <c r="O20" s="15">
        <v>54.88</v>
      </c>
      <c r="P20" s="30" cm="1">
        <f t="array" ref="P20">(I20-I19)/I19</f>
        <v>0.0241315489749431</v>
      </c>
      <c r="Q20" s="15">
        <v>11567347</v>
      </c>
    </row>
    <row r="21" ht="13.65" customHeight="1">
      <c r="A21" t="s" s="27">
        <v>1294</v>
      </c>
      <c r="B21" t="s" s="13">
        <v>22</v>
      </c>
      <c r="C21" s="31">
        <v>44314</v>
      </c>
      <c r="D21" s="14">
        <v>1438.7</v>
      </c>
      <c r="E21" s="14">
        <v>1436.25</v>
      </c>
      <c r="F21" s="14">
        <v>1479</v>
      </c>
      <c r="G21" s="14">
        <v>1431</v>
      </c>
      <c r="H21" s="14">
        <v>1475</v>
      </c>
      <c r="I21" s="14">
        <v>1476.8</v>
      </c>
      <c r="J21" s="14">
        <v>1463.19</v>
      </c>
      <c r="K21" t="s" s="13">
        <v>1363</v>
      </c>
      <c r="L21" t="s" s="13">
        <v>1364</v>
      </c>
      <c r="M21" t="s" s="13">
        <v>1365</v>
      </c>
      <c r="N21" t="s" s="13">
        <v>1366</v>
      </c>
      <c r="O21" s="15">
        <v>59.71</v>
      </c>
      <c r="P21" s="30" cm="1">
        <f t="array" ref="P21">(I21-I20)/I20</f>
        <v>0.0264822409119344</v>
      </c>
      <c r="Q21" s="15">
        <v>19606246</v>
      </c>
    </row>
    <row r="22" ht="13.65" customHeight="1">
      <c r="A22" t="s" s="27">
        <v>1294</v>
      </c>
      <c r="B22" t="s" s="13">
        <v>22</v>
      </c>
      <c r="C22" s="31">
        <v>44315</v>
      </c>
      <c r="D22" s="14">
        <v>1476.8</v>
      </c>
      <c r="E22" s="14">
        <v>1486.2</v>
      </c>
      <c r="F22" s="14">
        <v>1503.65</v>
      </c>
      <c r="G22" s="14">
        <v>1461</v>
      </c>
      <c r="H22" s="14">
        <v>1471.65</v>
      </c>
      <c r="I22" s="14">
        <v>1472.5</v>
      </c>
      <c r="J22" s="14">
        <v>1481.15</v>
      </c>
      <c r="K22" t="s" s="13">
        <v>1367</v>
      </c>
      <c r="L22" t="s" s="13">
        <v>1368</v>
      </c>
      <c r="M22" t="s" s="13">
        <v>1369</v>
      </c>
      <c r="N22" t="s" s="13">
        <v>1370</v>
      </c>
      <c r="O22" s="15">
        <v>40.02</v>
      </c>
      <c r="P22" s="30" cm="1">
        <f t="array" ref="P22">(I22-I21)/I21</f>
        <v>-0.00291170097508126</v>
      </c>
      <c r="Q22" s="15">
        <v>13527229</v>
      </c>
    </row>
    <row r="23" ht="13.65" customHeight="1">
      <c r="A23" t="s" s="27">
        <v>1294</v>
      </c>
      <c r="B23" t="s" s="13">
        <v>22</v>
      </c>
      <c r="C23" s="31">
        <v>44316</v>
      </c>
      <c r="D23" s="14">
        <v>1472.5</v>
      </c>
      <c r="E23" s="14">
        <v>1445</v>
      </c>
      <c r="F23" s="14">
        <v>1453.8</v>
      </c>
      <c r="G23" s="14">
        <v>1407.5</v>
      </c>
      <c r="H23" s="14">
        <v>1412.9</v>
      </c>
      <c r="I23" s="14">
        <v>1412.3</v>
      </c>
      <c r="J23" s="14">
        <v>1421.13</v>
      </c>
      <c r="K23" t="s" s="13">
        <v>1371</v>
      </c>
      <c r="L23" t="s" s="13">
        <v>1372</v>
      </c>
      <c r="M23" t="s" s="13">
        <v>1373</v>
      </c>
      <c r="N23" t="s" s="13">
        <v>1374</v>
      </c>
      <c r="O23" s="15">
        <v>50.99</v>
      </c>
      <c r="P23" s="30" cm="1">
        <f t="array" ref="P23">(I23-I22)/I22</f>
        <v>-0.0408828522920204</v>
      </c>
      <c r="Q23" s="15">
        <v>10609682</v>
      </c>
    </row>
    <row r="24" ht="13.65" customHeight="1">
      <c r="A24" t="s" s="27">
        <v>1294</v>
      </c>
      <c r="B24" t="s" s="13">
        <v>22</v>
      </c>
      <c r="C24" s="32">
        <v>44319</v>
      </c>
      <c r="D24" s="14">
        <v>1412.3</v>
      </c>
      <c r="E24" s="14">
        <v>1393</v>
      </c>
      <c r="F24" s="14">
        <v>1421.9</v>
      </c>
      <c r="G24" s="14">
        <v>1377.3</v>
      </c>
      <c r="H24" s="14">
        <v>1419</v>
      </c>
      <c r="I24" s="14">
        <v>1414.45</v>
      </c>
      <c r="J24" s="14">
        <v>1398.07</v>
      </c>
      <c r="K24" t="s" s="13">
        <v>1375</v>
      </c>
      <c r="L24" t="s" s="13">
        <v>1376</v>
      </c>
      <c r="M24" t="s" s="13">
        <v>1377</v>
      </c>
      <c r="N24" t="s" s="13">
        <v>1378</v>
      </c>
      <c r="O24" s="15">
        <v>50.9</v>
      </c>
      <c r="P24" s="30" cm="1">
        <f t="array" ref="P24">(I24-I23)/I23</f>
        <v>0.00152233944629328</v>
      </c>
      <c r="Q24" s="15">
        <v>8763961</v>
      </c>
    </row>
    <row r="25" ht="13.65" customHeight="1">
      <c r="A25" t="s" s="27">
        <v>1294</v>
      </c>
      <c r="B25" t="s" s="13">
        <v>22</v>
      </c>
      <c r="C25" s="32">
        <v>44320</v>
      </c>
      <c r="D25" s="14">
        <v>1414.45</v>
      </c>
      <c r="E25" s="14">
        <v>1409.95</v>
      </c>
      <c r="F25" s="14">
        <v>1423</v>
      </c>
      <c r="G25" s="14">
        <v>1383.3</v>
      </c>
      <c r="H25" s="14">
        <v>1390.6</v>
      </c>
      <c r="I25" s="14">
        <v>1388.35</v>
      </c>
      <c r="J25" s="14">
        <v>1403.8</v>
      </c>
      <c r="K25" t="s" s="13">
        <v>1379</v>
      </c>
      <c r="L25" t="s" s="13">
        <v>1380</v>
      </c>
      <c r="M25" t="s" s="13">
        <v>1381</v>
      </c>
      <c r="N25" t="s" s="13">
        <v>1382</v>
      </c>
      <c r="O25" s="15">
        <v>41.47</v>
      </c>
      <c r="P25" s="30" cm="1">
        <f t="array" ref="P25">(I25-I24)/I24</f>
        <v>-0.0184524019937078</v>
      </c>
      <c r="Q25" s="15">
        <v>19252780</v>
      </c>
    </row>
    <row r="26" ht="13.65" customHeight="1">
      <c r="A26" t="s" s="27">
        <v>1294</v>
      </c>
      <c r="B26" t="s" s="13">
        <v>22</v>
      </c>
      <c r="C26" s="32">
        <v>44321</v>
      </c>
      <c r="D26" s="14">
        <v>1388.35</v>
      </c>
      <c r="E26" s="14">
        <v>1401</v>
      </c>
      <c r="F26" s="14">
        <v>1409.6</v>
      </c>
      <c r="G26" s="14">
        <v>1381.7</v>
      </c>
      <c r="H26" s="14">
        <v>1405.85</v>
      </c>
      <c r="I26" s="14">
        <v>1402.6</v>
      </c>
      <c r="J26" s="14">
        <v>1400.18</v>
      </c>
      <c r="K26" t="s" s="13">
        <v>1383</v>
      </c>
      <c r="L26" t="s" s="13">
        <v>1384</v>
      </c>
      <c r="M26" t="s" s="13">
        <v>1385</v>
      </c>
      <c r="N26" t="s" s="13">
        <v>1386</v>
      </c>
      <c r="O26" s="15">
        <v>40.16</v>
      </c>
      <c r="P26" s="30" cm="1">
        <f t="array" ref="P26">(I26-I25)/I25</f>
        <v>0.010263982425181</v>
      </c>
      <c r="Q26" s="15">
        <v>12440416</v>
      </c>
    </row>
    <row r="27" ht="13.65" customHeight="1">
      <c r="A27" t="s" s="27">
        <v>1294</v>
      </c>
      <c r="B27" t="s" s="13">
        <v>22</v>
      </c>
      <c r="C27" s="32">
        <v>44322</v>
      </c>
      <c r="D27" s="14">
        <v>1402.6</v>
      </c>
      <c r="E27" s="14">
        <v>1407.6</v>
      </c>
      <c r="F27" s="14">
        <v>1410.8</v>
      </c>
      <c r="G27" s="14">
        <v>1395</v>
      </c>
      <c r="H27" s="14">
        <v>1403.4</v>
      </c>
      <c r="I27" s="14">
        <v>1400.9</v>
      </c>
      <c r="J27" s="14">
        <v>1403.34</v>
      </c>
      <c r="K27" t="s" s="13">
        <v>1387</v>
      </c>
      <c r="L27" t="s" s="13">
        <v>1388</v>
      </c>
      <c r="M27" t="s" s="13">
        <v>1389</v>
      </c>
      <c r="N27" t="s" s="13">
        <v>1390</v>
      </c>
      <c r="O27" s="15">
        <v>44.89</v>
      </c>
      <c r="P27" s="30" cm="1">
        <f t="array" ref="P27">(I27-I26)/I26</f>
        <v>-0.00121203479252816</v>
      </c>
      <c r="Q27" s="15">
        <v>9159327</v>
      </c>
    </row>
    <row r="28" ht="13.65" customHeight="1">
      <c r="A28" t="s" s="27">
        <v>1294</v>
      </c>
      <c r="B28" t="s" s="13">
        <v>22</v>
      </c>
      <c r="C28" s="32">
        <v>44323</v>
      </c>
      <c r="D28" s="14">
        <v>1400.9</v>
      </c>
      <c r="E28" s="14">
        <v>1412.95</v>
      </c>
      <c r="F28" s="14">
        <v>1424.95</v>
      </c>
      <c r="G28" s="14">
        <v>1410.25</v>
      </c>
      <c r="H28" s="14">
        <v>1413.4</v>
      </c>
      <c r="I28" s="14">
        <v>1414.75</v>
      </c>
      <c r="J28" s="14">
        <v>1418.94</v>
      </c>
      <c r="K28" t="s" s="13">
        <v>1391</v>
      </c>
      <c r="L28" t="s" s="13">
        <v>1392</v>
      </c>
      <c r="M28" t="s" s="13">
        <v>1393</v>
      </c>
      <c r="N28" t="s" s="13">
        <v>1394</v>
      </c>
      <c r="O28" s="15">
        <v>47.5</v>
      </c>
      <c r="P28" s="30" cm="1">
        <f t="array" ref="P28">(I28-I27)/I27</f>
        <v>0.009886501534727679</v>
      </c>
      <c r="Q28" s="15">
        <v>11815383</v>
      </c>
    </row>
    <row r="29" ht="13.65" customHeight="1">
      <c r="A29" t="s" s="27">
        <v>1294</v>
      </c>
      <c r="B29" t="s" s="13">
        <v>22</v>
      </c>
      <c r="C29" s="33">
        <v>44326</v>
      </c>
      <c r="D29" s="14">
        <v>1414.75</v>
      </c>
      <c r="E29" s="14">
        <v>1427</v>
      </c>
      <c r="F29" s="14">
        <v>1430</v>
      </c>
      <c r="G29" s="14">
        <v>1412.8</v>
      </c>
      <c r="H29" s="14">
        <v>1423</v>
      </c>
      <c r="I29" s="14">
        <v>1419.85</v>
      </c>
      <c r="J29" s="14">
        <v>1419.86</v>
      </c>
      <c r="K29" t="s" s="13">
        <v>1395</v>
      </c>
      <c r="L29" t="s" s="13">
        <v>1396</v>
      </c>
      <c r="M29" t="s" s="13">
        <v>1397</v>
      </c>
      <c r="N29" t="s" s="13">
        <v>1398</v>
      </c>
      <c r="O29" s="15">
        <v>54</v>
      </c>
      <c r="P29" s="30" cm="1">
        <f t="array" ref="P29">(I29-I28)/I28</f>
        <v>0.00360487718678212</v>
      </c>
      <c r="Q29" s="15">
        <v>4514781</v>
      </c>
    </row>
    <row r="30" ht="13.65" customHeight="1">
      <c r="A30" t="s" s="27">
        <v>1294</v>
      </c>
      <c r="B30" t="s" s="13">
        <v>22</v>
      </c>
      <c r="C30" s="33">
        <v>44327</v>
      </c>
      <c r="D30" s="14">
        <v>1419.85</v>
      </c>
      <c r="E30" s="14">
        <v>1396</v>
      </c>
      <c r="F30" s="14">
        <v>1424.2</v>
      </c>
      <c r="G30" s="14">
        <v>1395.05</v>
      </c>
      <c r="H30" s="14">
        <v>1402.55</v>
      </c>
      <c r="I30" s="14">
        <v>1403.55</v>
      </c>
      <c r="J30" s="14">
        <v>1408.24</v>
      </c>
      <c r="K30" t="s" s="13">
        <v>1399</v>
      </c>
      <c r="L30" t="s" s="13">
        <v>1400</v>
      </c>
      <c r="M30" t="s" s="13">
        <v>1401</v>
      </c>
      <c r="N30" t="s" s="13">
        <v>1402</v>
      </c>
      <c r="O30" s="15">
        <v>59.78</v>
      </c>
      <c r="P30" s="30" cm="1">
        <f t="array" ref="P30">(I30-I29)/I29</f>
        <v>-0.0114800859245695</v>
      </c>
      <c r="Q30" s="15">
        <v>4768098</v>
      </c>
    </row>
    <row r="31" ht="13.65" customHeight="1">
      <c r="A31" t="s" s="27">
        <v>1294</v>
      </c>
      <c r="B31" t="s" s="13">
        <v>22</v>
      </c>
      <c r="C31" s="33">
        <v>44328</v>
      </c>
      <c r="D31" s="14">
        <v>1403.55</v>
      </c>
      <c r="E31" s="14">
        <v>1399.75</v>
      </c>
      <c r="F31" s="14">
        <v>1408.6</v>
      </c>
      <c r="G31" s="14">
        <v>1388.85</v>
      </c>
      <c r="H31" s="14">
        <v>1399.05</v>
      </c>
      <c r="I31" s="14">
        <v>1399.5</v>
      </c>
      <c r="J31" s="14">
        <v>1398.25</v>
      </c>
      <c r="K31" t="s" s="13">
        <v>1403</v>
      </c>
      <c r="L31" t="s" s="13">
        <v>1404</v>
      </c>
      <c r="M31" t="s" s="13">
        <v>1405</v>
      </c>
      <c r="N31" t="s" s="13">
        <v>1406</v>
      </c>
      <c r="O31" s="15">
        <v>57.1</v>
      </c>
      <c r="P31" s="30" cm="1">
        <f t="array" ref="P31">(I31-I30)/I30</f>
        <v>-0.00288554023725553</v>
      </c>
      <c r="Q31" s="15">
        <v>3734033</v>
      </c>
    </row>
    <row r="32" ht="13.65" customHeight="1">
      <c r="A32" t="s" s="27">
        <v>1294</v>
      </c>
      <c r="B32" t="s" s="13">
        <v>22</v>
      </c>
      <c r="C32" s="33">
        <v>44330</v>
      </c>
      <c r="D32" s="14">
        <v>1399.5</v>
      </c>
      <c r="E32" s="14">
        <v>1394.35</v>
      </c>
      <c r="F32" s="14">
        <v>1398.9</v>
      </c>
      <c r="G32" s="14">
        <v>1382.35</v>
      </c>
      <c r="H32" s="14">
        <v>1387.3</v>
      </c>
      <c r="I32" s="14">
        <v>1386.85</v>
      </c>
      <c r="J32" s="14">
        <v>1388.69</v>
      </c>
      <c r="K32" t="s" s="13">
        <v>1407</v>
      </c>
      <c r="L32" t="s" s="13">
        <v>1408</v>
      </c>
      <c r="M32" t="s" s="13">
        <v>1409</v>
      </c>
      <c r="N32" t="s" s="13">
        <v>1410</v>
      </c>
      <c r="O32" s="15">
        <v>54.29</v>
      </c>
      <c r="P32" s="30" cm="1">
        <f t="array" ref="P32">(I32-I31)/I31</f>
        <v>-0.009038942479456949</v>
      </c>
      <c r="Q32" s="15">
        <v>3898064</v>
      </c>
    </row>
    <row r="33" ht="13.65" customHeight="1">
      <c r="A33" t="s" s="27">
        <v>1294</v>
      </c>
      <c r="B33" t="s" s="13">
        <v>22</v>
      </c>
      <c r="C33" s="33">
        <v>44333</v>
      </c>
      <c r="D33" s="14">
        <v>1386.85</v>
      </c>
      <c r="E33" s="14">
        <v>1395.15</v>
      </c>
      <c r="F33" s="14">
        <v>1442.6</v>
      </c>
      <c r="G33" s="14">
        <v>1381.3</v>
      </c>
      <c r="H33" s="14">
        <v>1439</v>
      </c>
      <c r="I33" s="14">
        <v>1440.25</v>
      </c>
      <c r="J33" s="14">
        <v>1421.89</v>
      </c>
      <c r="K33" t="s" s="13">
        <v>1411</v>
      </c>
      <c r="L33" t="s" s="13">
        <v>1412</v>
      </c>
      <c r="M33" t="s" s="13">
        <v>1413</v>
      </c>
      <c r="N33" t="s" s="13">
        <v>1414</v>
      </c>
      <c r="O33" s="15">
        <v>52.84</v>
      </c>
      <c r="P33" s="30" cm="1">
        <f t="array" ref="P33">(I33-I32)/I32</f>
        <v>0.0385045246421747</v>
      </c>
      <c r="Q33" s="15">
        <v>3675604</v>
      </c>
    </row>
    <row r="34" ht="13.65" customHeight="1">
      <c r="A34" t="s" s="27">
        <v>1294</v>
      </c>
      <c r="B34" t="s" s="13">
        <v>22</v>
      </c>
      <c r="C34" s="33">
        <v>44334</v>
      </c>
      <c r="D34" s="14">
        <v>1440.25</v>
      </c>
      <c r="E34" s="14">
        <v>1458.95</v>
      </c>
      <c r="F34" s="14">
        <v>1482.75</v>
      </c>
      <c r="G34" s="14">
        <v>1455</v>
      </c>
      <c r="H34" s="14">
        <v>1478.15</v>
      </c>
      <c r="I34" s="14">
        <v>1476.7</v>
      </c>
      <c r="J34" s="14">
        <v>1473.08</v>
      </c>
      <c r="K34" t="s" s="13">
        <v>1415</v>
      </c>
      <c r="L34" t="s" s="13">
        <v>1416</v>
      </c>
      <c r="M34" t="s" s="13">
        <v>1417</v>
      </c>
      <c r="N34" t="s" s="13">
        <v>1418</v>
      </c>
      <c r="O34" s="15">
        <v>59.92</v>
      </c>
      <c r="P34" s="30" cm="1">
        <f t="array" ref="P34">(I34-I33)/I33</f>
        <v>0.025308106231557</v>
      </c>
      <c r="Q34" s="15">
        <v>5016132</v>
      </c>
    </row>
    <row r="35" ht="13.65" customHeight="1">
      <c r="A35" t="s" s="27">
        <v>1294</v>
      </c>
      <c r="B35" t="s" s="13">
        <v>22</v>
      </c>
      <c r="C35" s="33">
        <v>44335</v>
      </c>
      <c r="D35" s="14">
        <v>1476.7</v>
      </c>
      <c r="E35" s="14">
        <v>1470.2</v>
      </c>
      <c r="F35" s="14">
        <v>1478.85</v>
      </c>
      <c r="G35" s="14">
        <v>1452.55</v>
      </c>
      <c r="H35" s="14">
        <v>1459.1</v>
      </c>
      <c r="I35" s="14">
        <v>1458.2</v>
      </c>
      <c r="J35" s="14">
        <v>1463.16</v>
      </c>
      <c r="K35" t="s" s="13">
        <v>1419</v>
      </c>
      <c r="L35" t="s" s="13">
        <v>1420</v>
      </c>
      <c r="M35" t="s" s="13">
        <v>1421</v>
      </c>
      <c r="N35" t="s" s="13">
        <v>1422</v>
      </c>
      <c r="O35" s="15">
        <v>53.84</v>
      </c>
      <c r="P35" s="30" cm="1">
        <f t="array" ref="P35">(I35-I34)/I34</f>
        <v>-0.0125279339066838</v>
      </c>
      <c r="Q35" s="15">
        <v>6567533</v>
      </c>
    </row>
    <row r="36" ht="13.65" customHeight="1">
      <c r="A36" t="s" s="27">
        <v>1294</v>
      </c>
      <c r="B36" t="s" s="13">
        <v>22</v>
      </c>
      <c r="C36" s="33">
        <v>44336</v>
      </c>
      <c r="D36" s="14">
        <v>1458.2</v>
      </c>
      <c r="E36" s="14">
        <v>1458.35</v>
      </c>
      <c r="F36" s="14">
        <v>1465.9</v>
      </c>
      <c r="G36" s="14">
        <v>1428.5</v>
      </c>
      <c r="H36" s="14">
        <v>1435.3</v>
      </c>
      <c r="I36" s="14">
        <v>1432.8</v>
      </c>
      <c r="J36" s="14">
        <v>1447.31</v>
      </c>
      <c r="K36" t="s" s="13">
        <v>1423</v>
      </c>
      <c r="L36" t="s" s="13">
        <v>1424</v>
      </c>
      <c r="M36" t="s" s="13">
        <v>1425</v>
      </c>
      <c r="N36" t="s" s="13">
        <v>1426</v>
      </c>
      <c r="O36" s="15">
        <v>47.57</v>
      </c>
      <c r="P36" s="30" cm="1">
        <f t="array" ref="P36">(I36-I35)/I35</f>
        <v>-0.0174187354272391</v>
      </c>
      <c r="Q36" s="15">
        <v>7328310</v>
      </c>
    </row>
    <row r="37" ht="13.65" customHeight="1">
      <c r="A37" t="s" s="27">
        <v>1294</v>
      </c>
      <c r="B37" t="s" s="13">
        <v>22</v>
      </c>
      <c r="C37" s="33">
        <v>44337</v>
      </c>
      <c r="D37" s="14">
        <v>1432.8</v>
      </c>
      <c r="E37" s="14">
        <v>1443</v>
      </c>
      <c r="F37" s="14">
        <v>1501.9</v>
      </c>
      <c r="G37" s="14">
        <v>1443</v>
      </c>
      <c r="H37" s="14">
        <v>1501.3</v>
      </c>
      <c r="I37" s="14">
        <v>1497.3</v>
      </c>
      <c r="J37" s="14">
        <v>1477.34</v>
      </c>
      <c r="K37" t="s" s="13">
        <v>1427</v>
      </c>
      <c r="L37" t="s" s="13">
        <v>1428</v>
      </c>
      <c r="M37" t="s" s="13">
        <v>1429</v>
      </c>
      <c r="N37" t="s" s="13">
        <v>1430</v>
      </c>
      <c r="O37" s="15">
        <v>38.09</v>
      </c>
      <c r="P37" s="30" cm="1">
        <f t="array" ref="P37">(I37-I36)/I36</f>
        <v>0.0450167504187605</v>
      </c>
      <c r="Q37" s="15">
        <v>5355552</v>
      </c>
    </row>
    <row r="38" ht="13.65" customHeight="1">
      <c r="A38" t="s" s="27">
        <v>1294</v>
      </c>
      <c r="B38" t="s" s="13">
        <v>22</v>
      </c>
      <c r="C38" s="33">
        <v>44340</v>
      </c>
      <c r="D38" s="14">
        <v>1497.3</v>
      </c>
      <c r="E38" s="14">
        <v>1503.25</v>
      </c>
      <c r="F38" s="14">
        <v>1520.45</v>
      </c>
      <c r="G38" s="14">
        <v>1498.5</v>
      </c>
      <c r="H38" s="14">
        <v>1506</v>
      </c>
      <c r="I38" s="14">
        <v>1509.95</v>
      </c>
      <c r="J38" s="14">
        <v>1510.77</v>
      </c>
      <c r="K38" t="s" s="13">
        <v>1431</v>
      </c>
      <c r="L38" t="s" s="13">
        <v>1432</v>
      </c>
      <c r="M38" t="s" s="13">
        <v>1433</v>
      </c>
      <c r="N38" t="s" s="13">
        <v>1434</v>
      </c>
      <c r="O38" s="15">
        <v>43.18</v>
      </c>
      <c r="P38" s="30" cm="1">
        <f t="array" ref="P38">(I38-I37)/I37</f>
        <v>0.00844854070660522</v>
      </c>
      <c r="Q38" s="15">
        <v>7157265</v>
      </c>
    </row>
    <row r="39" ht="13.65" customHeight="1">
      <c r="A39" t="s" s="27">
        <v>1294</v>
      </c>
      <c r="B39" t="s" s="13">
        <v>22</v>
      </c>
      <c r="C39" s="33">
        <v>44341</v>
      </c>
      <c r="D39" s="14">
        <v>1509.95</v>
      </c>
      <c r="E39" s="14">
        <v>1510.5</v>
      </c>
      <c r="F39" s="14">
        <v>1513.75</v>
      </c>
      <c r="G39" s="14">
        <v>1470.5</v>
      </c>
      <c r="H39" s="14">
        <v>1481</v>
      </c>
      <c r="I39" s="14">
        <v>1478.95</v>
      </c>
      <c r="J39" s="14">
        <v>1483.97</v>
      </c>
      <c r="K39" t="s" s="13">
        <v>1435</v>
      </c>
      <c r="L39" t="s" s="13">
        <v>1436</v>
      </c>
      <c r="M39" t="s" s="13">
        <v>1437</v>
      </c>
      <c r="N39" t="s" s="13">
        <v>1438</v>
      </c>
      <c r="O39" s="15">
        <v>49.19</v>
      </c>
      <c r="P39" s="30" cm="1">
        <f t="array" ref="P39">(I39-I38)/I38</f>
        <v>-0.0205304811417597</v>
      </c>
      <c r="Q39" s="15">
        <v>5654171</v>
      </c>
    </row>
    <row r="40" ht="13.65" customHeight="1">
      <c r="A40" t="s" s="27">
        <v>1294</v>
      </c>
      <c r="B40" t="s" s="13">
        <v>22</v>
      </c>
      <c r="C40" s="33">
        <v>44342</v>
      </c>
      <c r="D40" s="14">
        <v>1478.95</v>
      </c>
      <c r="E40" s="14">
        <v>1480</v>
      </c>
      <c r="F40" s="14">
        <v>1487</v>
      </c>
      <c r="G40" s="14">
        <v>1470</v>
      </c>
      <c r="H40" s="14">
        <v>1477</v>
      </c>
      <c r="I40" s="14">
        <v>1477.05</v>
      </c>
      <c r="J40" s="14">
        <v>1478.66</v>
      </c>
      <c r="K40" t="s" s="13">
        <v>1439</v>
      </c>
      <c r="L40" t="s" s="13">
        <v>1440</v>
      </c>
      <c r="M40" t="s" s="13">
        <v>1441</v>
      </c>
      <c r="N40" t="s" s="13">
        <v>1442</v>
      </c>
      <c r="O40" s="15">
        <v>40.1</v>
      </c>
      <c r="P40" s="30" cm="1">
        <f t="array" ref="P40">(I40-I39)/I39</f>
        <v>-0.00128469522296224</v>
      </c>
      <c r="Q40" s="15">
        <v>6990565</v>
      </c>
    </row>
    <row r="41" ht="13.65" customHeight="1">
      <c r="A41" t="s" s="27">
        <v>1294</v>
      </c>
      <c r="B41" t="s" s="13">
        <v>22</v>
      </c>
      <c r="C41" s="33">
        <v>44343</v>
      </c>
      <c r="D41" s="14">
        <v>1477.05</v>
      </c>
      <c r="E41" s="14">
        <v>1473.1</v>
      </c>
      <c r="F41" s="14">
        <v>1489</v>
      </c>
      <c r="G41" s="14">
        <v>1462.45</v>
      </c>
      <c r="H41" s="14">
        <v>1483.8</v>
      </c>
      <c r="I41" s="14">
        <v>1482.65</v>
      </c>
      <c r="J41" s="14">
        <v>1471.96</v>
      </c>
      <c r="K41" t="s" s="13">
        <v>1443</v>
      </c>
      <c r="L41" t="s" s="13">
        <v>1444</v>
      </c>
      <c r="M41" t="s" s="13">
        <v>1445</v>
      </c>
      <c r="N41" t="s" s="13">
        <v>1446</v>
      </c>
      <c r="O41" s="15">
        <v>48.1</v>
      </c>
      <c r="P41" s="30" cm="1">
        <f t="array" ref="P41">(I41-I40)/I40</f>
        <v>0.00379134084831251</v>
      </c>
      <c r="Q41" s="15">
        <v>6134021</v>
      </c>
    </row>
    <row r="42" ht="13.65" customHeight="1">
      <c r="A42" t="s" s="27">
        <v>1294</v>
      </c>
      <c r="B42" t="s" s="13">
        <v>22</v>
      </c>
      <c r="C42" s="33">
        <v>44344</v>
      </c>
      <c r="D42" s="14">
        <v>1482.65</v>
      </c>
      <c r="E42" s="14">
        <v>1490.9</v>
      </c>
      <c r="F42" s="14">
        <v>1513</v>
      </c>
      <c r="G42" s="14">
        <v>1478.75</v>
      </c>
      <c r="H42" s="14">
        <v>1507.75</v>
      </c>
      <c r="I42" s="14">
        <v>1503.45</v>
      </c>
      <c r="J42" s="14">
        <v>1495.6</v>
      </c>
      <c r="K42" t="s" s="13">
        <v>1447</v>
      </c>
      <c r="L42" t="s" s="13">
        <v>1448</v>
      </c>
      <c r="M42" t="s" s="13">
        <v>1449</v>
      </c>
      <c r="N42" t="s" s="13">
        <v>1450</v>
      </c>
      <c r="O42" s="15">
        <v>59.67</v>
      </c>
      <c r="P42" s="30" cm="1">
        <f t="array" ref="P42">(I42-I41)/I41</f>
        <v>0.0140289346777729</v>
      </c>
      <c r="Q42" s="15">
        <v>5789979</v>
      </c>
    </row>
    <row r="43" ht="13.65" customHeight="1">
      <c r="A43" t="s" s="27">
        <v>1294</v>
      </c>
      <c r="B43" t="s" s="13">
        <v>22</v>
      </c>
      <c r="C43" s="33">
        <v>44347</v>
      </c>
      <c r="D43" s="14">
        <v>1503.45</v>
      </c>
      <c r="E43" s="14">
        <v>1500</v>
      </c>
      <c r="F43" s="14">
        <v>1519.5</v>
      </c>
      <c r="G43" s="14">
        <v>1487.5</v>
      </c>
      <c r="H43" s="14">
        <v>1513</v>
      </c>
      <c r="I43" s="14">
        <v>1515.85</v>
      </c>
      <c r="J43" s="14">
        <v>1507.21</v>
      </c>
      <c r="K43" t="s" s="13">
        <v>1451</v>
      </c>
      <c r="L43" t="s" s="13">
        <v>1452</v>
      </c>
      <c r="M43" t="s" s="13">
        <v>1453</v>
      </c>
      <c r="N43" t="s" s="13">
        <v>1454</v>
      </c>
      <c r="O43" s="15">
        <v>47.8</v>
      </c>
      <c r="P43" s="30" cm="1">
        <f t="array" ref="P43">(I43-I42)/I42</f>
        <v>0.008247696963650269</v>
      </c>
      <c r="Q43" s="15">
        <v>5282381</v>
      </c>
    </row>
    <row r="44" ht="13.65" customHeight="1">
      <c r="A44" t="s" s="27">
        <v>1294</v>
      </c>
      <c r="B44" t="s" s="13">
        <v>22</v>
      </c>
      <c r="C44" s="28">
        <v>44348</v>
      </c>
      <c r="D44" s="14">
        <v>1515.85</v>
      </c>
      <c r="E44" s="14">
        <v>1520.3</v>
      </c>
      <c r="F44" s="14">
        <v>1527</v>
      </c>
      <c r="G44" s="14">
        <v>1507.25</v>
      </c>
      <c r="H44" s="14">
        <v>1512.35</v>
      </c>
      <c r="I44" s="14">
        <v>1511.7</v>
      </c>
      <c r="J44" s="14">
        <v>1515.73</v>
      </c>
      <c r="K44" t="s" s="13">
        <v>1455</v>
      </c>
      <c r="L44" t="s" s="13">
        <v>1456</v>
      </c>
      <c r="M44" t="s" s="13">
        <v>1457</v>
      </c>
      <c r="N44" t="s" s="13">
        <v>1458</v>
      </c>
      <c r="O44" s="15">
        <v>49.09</v>
      </c>
      <c r="P44" s="30" cm="1">
        <f t="array" ref="P44">(I44-I43)/I43</f>
        <v>-0.0027377379028268</v>
      </c>
      <c r="Q44" s="15">
        <v>6984645</v>
      </c>
    </row>
    <row r="45" ht="13.65" customHeight="1">
      <c r="A45" t="s" s="27">
        <v>1294</v>
      </c>
      <c r="B45" t="s" s="13">
        <v>22</v>
      </c>
      <c r="C45" s="28">
        <v>44349</v>
      </c>
      <c r="D45" s="14">
        <v>1511.7</v>
      </c>
      <c r="E45" s="14">
        <v>1510</v>
      </c>
      <c r="F45" s="14">
        <v>1510.2</v>
      </c>
      <c r="G45" s="14">
        <v>1493</v>
      </c>
      <c r="H45" s="14">
        <v>1505.05</v>
      </c>
      <c r="I45" s="14">
        <v>1504</v>
      </c>
      <c r="J45" s="14">
        <v>1500.01</v>
      </c>
      <c r="K45" t="s" s="13">
        <v>1459</v>
      </c>
      <c r="L45" t="s" s="13">
        <v>1460</v>
      </c>
      <c r="M45" t="s" s="13">
        <v>1461</v>
      </c>
      <c r="N45" t="s" s="13">
        <v>1462</v>
      </c>
      <c r="O45" s="15">
        <v>57.64</v>
      </c>
      <c r="P45" s="30" cm="1">
        <f t="array" ref="P45">(I45-I44)/I44</f>
        <v>-0.00509360322815373</v>
      </c>
      <c r="Q45" s="15">
        <v>7369742</v>
      </c>
    </row>
    <row r="46" ht="13.65" customHeight="1">
      <c r="A46" t="s" s="27">
        <v>1294</v>
      </c>
      <c r="B46" t="s" s="13">
        <v>22</v>
      </c>
      <c r="C46" s="28">
        <v>44350</v>
      </c>
      <c r="D46" s="14">
        <v>1504</v>
      </c>
      <c r="E46" s="14">
        <v>1508</v>
      </c>
      <c r="F46" s="14">
        <v>1524.95</v>
      </c>
      <c r="G46" s="14">
        <v>1487.75</v>
      </c>
      <c r="H46" s="14">
        <v>1521.6</v>
      </c>
      <c r="I46" s="14">
        <v>1520.55</v>
      </c>
      <c r="J46" s="14">
        <v>1514.65</v>
      </c>
      <c r="K46" t="s" s="13">
        <v>1463</v>
      </c>
      <c r="L46" t="s" s="13">
        <v>1464</v>
      </c>
      <c r="M46" t="s" s="13">
        <v>1465</v>
      </c>
      <c r="N46" t="s" s="13">
        <v>1466</v>
      </c>
      <c r="O46" s="15">
        <v>41.56</v>
      </c>
      <c r="P46" s="30" cm="1">
        <f t="array" ref="P46">(I46-I45)/I45</f>
        <v>0.0110039893617021</v>
      </c>
      <c r="Q46" s="15">
        <v>6421273</v>
      </c>
    </row>
    <row r="47" ht="13.65" customHeight="1">
      <c r="A47" t="s" s="27">
        <v>1294</v>
      </c>
      <c r="B47" t="s" s="13">
        <v>22</v>
      </c>
      <c r="C47" s="28">
        <v>44351</v>
      </c>
      <c r="D47" s="14">
        <v>1520.55</v>
      </c>
      <c r="E47" s="14">
        <v>1516</v>
      </c>
      <c r="F47" s="14">
        <v>1520.65</v>
      </c>
      <c r="G47" s="14">
        <v>1499.2</v>
      </c>
      <c r="H47" s="14">
        <v>1503.65</v>
      </c>
      <c r="I47" s="14">
        <v>1500.95</v>
      </c>
      <c r="J47" s="14">
        <v>1507.74</v>
      </c>
      <c r="K47" t="s" s="13">
        <v>1467</v>
      </c>
      <c r="L47" t="s" s="13">
        <v>1468</v>
      </c>
      <c r="M47" t="s" s="13">
        <v>1469</v>
      </c>
      <c r="N47" t="s" s="13">
        <v>1470</v>
      </c>
      <c r="O47" s="15">
        <v>56.96</v>
      </c>
      <c r="P47" s="30" cm="1">
        <f t="array" ref="P47">(I47-I46)/I46</f>
        <v>-0.012890072671073</v>
      </c>
      <c r="Q47" s="15">
        <v>12462604</v>
      </c>
    </row>
    <row r="48" ht="13.65" customHeight="1">
      <c r="A48" t="s" s="27">
        <v>1294</v>
      </c>
      <c r="B48" t="s" s="13">
        <v>22</v>
      </c>
      <c r="C48" s="28">
        <v>44354</v>
      </c>
      <c r="D48" s="14">
        <v>1500.95</v>
      </c>
      <c r="E48" s="14">
        <v>1510</v>
      </c>
      <c r="F48" s="14">
        <v>1514</v>
      </c>
      <c r="G48" s="14">
        <v>1496</v>
      </c>
      <c r="H48" s="14">
        <v>1499.8</v>
      </c>
      <c r="I48" s="14">
        <v>1499.85</v>
      </c>
      <c r="J48" s="14">
        <v>1501.17</v>
      </c>
      <c r="K48" t="s" s="13">
        <v>1471</v>
      </c>
      <c r="L48" t="s" s="13">
        <v>1472</v>
      </c>
      <c r="M48" t="s" s="13">
        <v>1473</v>
      </c>
      <c r="N48" t="s" s="13">
        <v>1474</v>
      </c>
      <c r="O48" s="15">
        <v>58.87</v>
      </c>
      <c r="P48" s="30" cm="1">
        <f t="array" ref="P48">(I48-I47)/I47</f>
        <v>-0.000732869182850861</v>
      </c>
      <c r="Q48" s="15">
        <v>14308919</v>
      </c>
    </row>
    <row r="49" ht="13.65" customHeight="1">
      <c r="A49" t="s" s="27">
        <v>1294</v>
      </c>
      <c r="B49" t="s" s="13">
        <v>22</v>
      </c>
      <c r="C49" s="28">
        <v>44355</v>
      </c>
      <c r="D49" s="14">
        <v>1499.85</v>
      </c>
      <c r="E49" s="14">
        <v>1496.55</v>
      </c>
      <c r="F49" s="14">
        <v>1501.3</v>
      </c>
      <c r="G49" s="14">
        <v>1481.5</v>
      </c>
      <c r="H49" s="14">
        <v>1483</v>
      </c>
      <c r="I49" s="14">
        <v>1483.05</v>
      </c>
      <c r="J49" s="14">
        <v>1486.98</v>
      </c>
      <c r="K49" t="s" s="13">
        <v>1475</v>
      </c>
      <c r="L49" t="s" s="13">
        <v>1476</v>
      </c>
      <c r="M49" t="s" s="13">
        <v>1477</v>
      </c>
      <c r="N49" t="s" s="13">
        <v>1478</v>
      </c>
      <c r="O49" s="15">
        <v>69.15000000000001</v>
      </c>
      <c r="P49" s="30" cm="1">
        <f t="array" ref="P49">(I49-I48)/I48</f>
        <v>-0.0112011201120112</v>
      </c>
      <c r="Q49" s="15">
        <v>6797124</v>
      </c>
    </row>
    <row r="50" ht="13.65" customHeight="1">
      <c r="A50" t="s" s="27">
        <v>1294</v>
      </c>
      <c r="B50" t="s" s="13">
        <v>22</v>
      </c>
      <c r="C50" s="28">
        <v>44356</v>
      </c>
      <c r="D50" s="14">
        <v>1483.05</v>
      </c>
      <c r="E50" s="14">
        <v>1483.9</v>
      </c>
      <c r="F50" s="14">
        <v>1502</v>
      </c>
      <c r="G50" s="14">
        <v>1472.05</v>
      </c>
      <c r="H50" s="14">
        <v>1482</v>
      </c>
      <c r="I50" s="14">
        <v>1480.3</v>
      </c>
      <c r="J50" s="14">
        <v>1488.03</v>
      </c>
      <c r="K50" t="s" s="13">
        <v>1479</v>
      </c>
      <c r="L50" t="s" s="13">
        <v>1480</v>
      </c>
      <c r="M50" t="s" s="13">
        <v>1481</v>
      </c>
      <c r="N50" t="s" s="13">
        <v>1482</v>
      </c>
      <c r="O50" s="15">
        <v>46.71</v>
      </c>
      <c r="P50" s="30" cm="1">
        <f t="array" ref="P50">(I50-I49)/I49</f>
        <v>-0.00185428677387816</v>
      </c>
      <c r="Q50" s="15">
        <v>5934254</v>
      </c>
    </row>
    <row r="51" ht="13.65" customHeight="1">
      <c r="A51" t="s" s="27">
        <v>1294</v>
      </c>
      <c r="B51" t="s" s="13">
        <v>22</v>
      </c>
      <c r="C51" s="31">
        <v>44357</v>
      </c>
      <c r="D51" s="14">
        <v>1480.3</v>
      </c>
      <c r="E51" s="14">
        <v>1482.1</v>
      </c>
      <c r="F51" s="14">
        <v>1489</v>
      </c>
      <c r="G51" s="14">
        <v>1473.65</v>
      </c>
      <c r="H51" s="14">
        <v>1483</v>
      </c>
      <c r="I51" s="14">
        <v>1481.05</v>
      </c>
      <c r="J51" s="14">
        <v>1479.96</v>
      </c>
      <c r="K51" t="s" s="13">
        <v>1483</v>
      </c>
      <c r="L51" t="s" s="13">
        <v>1484</v>
      </c>
      <c r="M51" t="s" s="13">
        <v>1485</v>
      </c>
      <c r="N51" t="s" s="13">
        <v>1486</v>
      </c>
      <c r="O51" s="15">
        <v>60.69</v>
      </c>
      <c r="P51" s="30" cm="1">
        <f t="array" ref="P51">(I51-I50)/I50</f>
        <v>0.000506654056610147</v>
      </c>
      <c r="Q51" s="15">
        <v>5768847</v>
      </c>
    </row>
    <row r="52" ht="13.65" customHeight="1">
      <c r="A52" t="s" s="27">
        <v>1294</v>
      </c>
      <c r="B52" t="s" s="13">
        <v>22</v>
      </c>
      <c r="C52" s="31">
        <v>44358</v>
      </c>
      <c r="D52" s="14">
        <v>1481.05</v>
      </c>
      <c r="E52" s="14">
        <v>1491</v>
      </c>
      <c r="F52" s="14">
        <v>1496.55</v>
      </c>
      <c r="G52" s="14">
        <v>1481.05</v>
      </c>
      <c r="H52" s="14">
        <v>1487</v>
      </c>
      <c r="I52" s="14">
        <v>1486.35</v>
      </c>
      <c r="J52" s="14">
        <v>1487.68</v>
      </c>
      <c r="K52" t="s" s="13">
        <v>1487</v>
      </c>
      <c r="L52" t="s" s="13">
        <v>1488</v>
      </c>
      <c r="M52" t="s" s="13">
        <v>1489</v>
      </c>
      <c r="N52" t="s" s="13">
        <v>1490</v>
      </c>
      <c r="O52" s="15">
        <v>49.89</v>
      </c>
      <c r="P52" s="30" cm="1">
        <f t="array" ref="P52">(I52-I51)/I51</f>
        <v>0.00357854225043044</v>
      </c>
      <c r="Q52" s="15">
        <v>7598923</v>
      </c>
    </row>
    <row r="53" ht="13.65" customHeight="1">
      <c r="A53" t="s" s="27">
        <v>1294</v>
      </c>
      <c r="B53" t="s" s="13">
        <v>22</v>
      </c>
      <c r="C53" s="31">
        <v>44361</v>
      </c>
      <c r="D53" s="14">
        <v>1486.35</v>
      </c>
      <c r="E53" s="14">
        <v>1478.25</v>
      </c>
      <c r="F53" s="14">
        <v>1486</v>
      </c>
      <c r="G53" s="14">
        <v>1462.55</v>
      </c>
      <c r="H53" s="14">
        <v>1480</v>
      </c>
      <c r="I53" s="14">
        <v>1479.45</v>
      </c>
      <c r="J53" s="14">
        <v>1474.22</v>
      </c>
      <c r="K53" t="s" s="13">
        <v>1491</v>
      </c>
      <c r="L53" t="s" s="13">
        <v>1492</v>
      </c>
      <c r="M53" t="s" s="13">
        <v>1493</v>
      </c>
      <c r="N53" t="s" s="13">
        <v>1494</v>
      </c>
      <c r="O53" s="15">
        <v>53.16</v>
      </c>
      <c r="P53" s="30" cm="1">
        <f t="array" ref="P53">(I53-I52)/I52</f>
        <v>-0.00464224442426077</v>
      </c>
      <c r="Q53" s="15">
        <v>7158813</v>
      </c>
    </row>
    <row r="54" ht="13.65" customHeight="1">
      <c r="A54" t="s" s="27">
        <v>1294</v>
      </c>
      <c r="B54" t="s" s="13">
        <v>22</v>
      </c>
      <c r="C54" s="31">
        <v>44362</v>
      </c>
      <c r="D54" s="14">
        <v>1479.45</v>
      </c>
      <c r="E54" s="14">
        <v>1486</v>
      </c>
      <c r="F54" s="14">
        <v>1496</v>
      </c>
      <c r="G54" s="14">
        <v>1474.8</v>
      </c>
      <c r="H54" s="14">
        <v>1490.2</v>
      </c>
      <c r="I54" s="14">
        <v>1490.25</v>
      </c>
      <c r="J54" s="14">
        <v>1490.11</v>
      </c>
      <c r="K54" t="s" s="13">
        <v>1495</v>
      </c>
      <c r="L54" t="s" s="13">
        <v>1496</v>
      </c>
      <c r="M54" t="s" s="13">
        <v>1497</v>
      </c>
      <c r="N54" t="s" s="13">
        <v>1498</v>
      </c>
      <c r="O54" s="15">
        <v>47.54</v>
      </c>
      <c r="P54" s="30" cm="1">
        <f t="array" ref="P54">(I54-I53)/I53</f>
        <v>0.00730001013890297</v>
      </c>
      <c r="Q54" s="15">
        <v>6170576</v>
      </c>
    </row>
    <row r="55" ht="13.65" customHeight="1">
      <c r="A55" t="s" s="27">
        <v>1294</v>
      </c>
      <c r="B55" t="s" s="13">
        <v>22</v>
      </c>
      <c r="C55" s="31">
        <v>44363</v>
      </c>
      <c r="D55" s="14">
        <v>1490.25</v>
      </c>
      <c r="E55" s="14">
        <v>1488</v>
      </c>
      <c r="F55" s="14">
        <v>1494</v>
      </c>
      <c r="G55" s="14">
        <v>1478.1</v>
      </c>
      <c r="H55" s="14">
        <v>1485.8</v>
      </c>
      <c r="I55" s="14">
        <v>1484.6</v>
      </c>
      <c r="J55" s="14">
        <v>1484.76</v>
      </c>
      <c r="K55" t="s" s="13">
        <v>1499</v>
      </c>
      <c r="L55" t="s" s="13">
        <v>1500</v>
      </c>
      <c r="M55" t="s" s="13">
        <v>1501</v>
      </c>
      <c r="N55" t="s" s="13">
        <v>1502</v>
      </c>
      <c r="O55" s="15">
        <v>61.63</v>
      </c>
      <c r="P55" s="30" cm="1">
        <f t="array" ref="P55">(I55-I54)/I54</f>
        <v>-0.00379131018285523</v>
      </c>
      <c r="Q55" s="15">
        <v>11494686</v>
      </c>
    </row>
    <row r="56" ht="13.65" customHeight="1">
      <c r="A56" t="s" s="27">
        <v>1294</v>
      </c>
      <c r="B56" t="s" s="13">
        <v>22</v>
      </c>
      <c r="C56" s="31">
        <v>44364</v>
      </c>
      <c r="D56" s="14">
        <v>1484.6</v>
      </c>
      <c r="E56" s="14">
        <v>1466</v>
      </c>
      <c r="F56" s="14">
        <v>1478.75</v>
      </c>
      <c r="G56" s="14">
        <v>1460</v>
      </c>
      <c r="H56" s="14">
        <v>1462.1</v>
      </c>
      <c r="I56" s="14">
        <v>1466.1</v>
      </c>
      <c r="J56" s="14">
        <v>1471.04</v>
      </c>
      <c r="K56" t="s" s="13">
        <v>1503</v>
      </c>
      <c r="L56" t="s" s="13">
        <v>1504</v>
      </c>
      <c r="M56" t="s" s="13">
        <v>1505</v>
      </c>
      <c r="N56" t="s" s="13">
        <v>1506</v>
      </c>
      <c r="O56" s="15">
        <v>56.07</v>
      </c>
      <c r="P56" s="30" cm="1">
        <f t="array" ref="P56">(I56-I55)/I55</f>
        <v>-0.0124612690286946</v>
      </c>
      <c r="Q56" s="15">
        <v>5604484</v>
      </c>
    </row>
    <row r="57" ht="13.65" customHeight="1">
      <c r="A57" t="s" s="27">
        <v>1294</v>
      </c>
      <c r="B57" t="s" s="13">
        <v>22</v>
      </c>
      <c r="C57" s="31">
        <v>44365</v>
      </c>
      <c r="D57" s="14">
        <v>1466.1</v>
      </c>
      <c r="E57" s="14">
        <v>1469.5</v>
      </c>
      <c r="F57" s="14">
        <v>1490</v>
      </c>
      <c r="G57" s="14">
        <v>1455</v>
      </c>
      <c r="H57" s="14">
        <v>1488</v>
      </c>
      <c r="I57" s="14">
        <v>1479.8</v>
      </c>
      <c r="J57" s="14">
        <v>1470.56</v>
      </c>
      <c r="K57" t="s" s="13">
        <v>1507</v>
      </c>
      <c r="L57" t="s" s="13">
        <v>1508</v>
      </c>
      <c r="M57" t="s" s="13">
        <v>1509</v>
      </c>
      <c r="N57" t="s" s="13">
        <v>1510</v>
      </c>
      <c r="O57" s="15">
        <v>55.1</v>
      </c>
      <c r="P57" s="30" cm="1">
        <f t="array" ref="P57">(I57-I56)/I56</f>
        <v>0.00934451947343292</v>
      </c>
      <c r="Q57" s="15">
        <v>20981948</v>
      </c>
    </row>
    <row r="58" ht="13.65" customHeight="1">
      <c r="A58" t="s" s="27">
        <v>1294</v>
      </c>
      <c r="B58" t="s" s="13">
        <v>22</v>
      </c>
      <c r="C58" s="31">
        <v>44368</v>
      </c>
      <c r="D58" s="14">
        <v>1479.8</v>
      </c>
      <c r="E58" s="14">
        <v>1461.35</v>
      </c>
      <c r="F58" s="14">
        <v>1491.8</v>
      </c>
      <c r="G58" s="14">
        <v>1459</v>
      </c>
      <c r="H58" s="14">
        <v>1490.95</v>
      </c>
      <c r="I58" s="14">
        <v>1488.7</v>
      </c>
      <c r="J58" s="14">
        <v>1475.42</v>
      </c>
      <c r="K58" t="s" s="13">
        <v>1511</v>
      </c>
      <c r="L58" t="s" s="13">
        <v>1512</v>
      </c>
      <c r="M58" t="s" s="13">
        <v>1513</v>
      </c>
      <c r="N58" t="s" s="13">
        <v>1514</v>
      </c>
      <c r="O58" s="15">
        <v>48.89</v>
      </c>
      <c r="P58" s="30" cm="1">
        <f t="array" ref="P58">(I58-I57)/I57</f>
        <v>0.00601432626030545</v>
      </c>
      <c r="Q58" s="15">
        <v>10542765</v>
      </c>
    </row>
    <row r="59" ht="13.65" customHeight="1">
      <c r="A59" t="s" s="27">
        <v>1294</v>
      </c>
      <c r="B59" t="s" s="13">
        <v>22</v>
      </c>
      <c r="C59" s="31">
        <v>44369</v>
      </c>
      <c r="D59" s="14">
        <v>1488.7</v>
      </c>
      <c r="E59" s="14">
        <v>1497</v>
      </c>
      <c r="F59" s="14">
        <v>1508</v>
      </c>
      <c r="G59" s="14">
        <v>1480</v>
      </c>
      <c r="H59" s="14">
        <v>1481.85</v>
      </c>
      <c r="I59" s="14">
        <v>1483.8</v>
      </c>
      <c r="J59" s="14">
        <v>1496.02</v>
      </c>
      <c r="K59" t="s" s="13">
        <v>1515</v>
      </c>
      <c r="L59" t="s" s="13">
        <v>1516</v>
      </c>
      <c r="M59" t="s" s="13">
        <v>1517</v>
      </c>
      <c r="N59" t="s" s="13">
        <v>1518</v>
      </c>
      <c r="O59" s="15">
        <v>60.21</v>
      </c>
      <c r="P59" s="30" cm="1">
        <f t="array" ref="P59">(I59-I58)/I58</f>
        <v>-0.00329146234970108</v>
      </c>
      <c r="Q59" s="15">
        <v>4194599</v>
      </c>
    </row>
    <row r="60" ht="13.65" customHeight="1">
      <c r="A60" t="s" s="27">
        <v>1294</v>
      </c>
      <c r="B60" t="s" s="13">
        <v>22</v>
      </c>
      <c r="C60" s="31">
        <v>44370</v>
      </c>
      <c r="D60" s="14">
        <v>1483.8</v>
      </c>
      <c r="E60" s="14">
        <v>1490</v>
      </c>
      <c r="F60" s="14">
        <v>1497.8</v>
      </c>
      <c r="G60" s="14">
        <v>1478.6</v>
      </c>
      <c r="H60" s="14">
        <v>1487</v>
      </c>
      <c r="I60" s="14">
        <v>1485.5</v>
      </c>
      <c r="J60" s="14">
        <v>1487.18</v>
      </c>
      <c r="K60" t="s" s="13">
        <v>1519</v>
      </c>
      <c r="L60" t="s" s="13">
        <v>1520</v>
      </c>
      <c r="M60" t="s" s="13">
        <v>1521</v>
      </c>
      <c r="N60" t="s" s="13">
        <v>1522</v>
      </c>
      <c r="O60" s="15">
        <v>52.79</v>
      </c>
      <c r="P60" s="30" cm="1">
        <f t="array" ref="P60">(I60-I59)/I59</f>
        <v>0.00114570696859415</v>
      </c>
      <c r="Q60" s="15">
        <v>4428248</v>
      </c>
    </row>
    <row r="61" ht="13.65" customHeight="1">
      <c r="A61" t="s" s="27">
        <v>1294</v>
      </c>
      <c r="B61" t="s" s="13">
        <v>22</v>
      </c>
      <c r="C61" s="31">
        <v>44371</v>
      </c>
      <c r="D61" s="14">
        <v>1485.5</v>
      </c>
      <c r="E61" s="14">
        <v>1490</v>
      </c>
      <c r="F61" s="14">
        <v>1513.45</v>
      </c>
      <c r="G61" s="14">
        <v>1488</v>
      </c>
      <c r="H61" s="14">
        <v>1506.05</v>
      </c>
      <c r="I61" s="14">
        <v>1506.25</v>
      </c>
      <c r="J61" s="14">
        <v>1502.25</v>
      </c>
      <c r="K61" t="s" s="13">
        <v>1523</v>
      </c>
      <c r="L61" t="s" s="13">
        <v>1524</v>
      </c>
      <c r="M61" t="s" s="13">
        <v>1525</v>
      </c>
      <c r="N61" t="s" s="13">
        <v>1526</v>
      </c>
      <c r="O61" s="15">
        <v>59.75</v>
      </c>
      <c r="P61" s="30" cm="1">
        <f t="array" ref="P61">(I61-I60)/I60</f>
        <v>0.0139683608212723</v>
      </c>
      <c r="Q61" s="15">
        <v>5589692</v>
      </c>
    </row>
    <row r="62" ht="13.65" customHeight="1">
      <c r="A62" t="s" s="27">
        <v>1294</v>
      </c>
      <c r="B62" t="s" s="13">
        <v>22</v>
      </c>
      <c r="C62" s="31">
        <v>44372</v>
      </c>
      <c r="D62" s="14">
        <v>1506.25</v>
      </c>
      <c r="E62" s="14">
        <v>1511.1</v>
      </c>
      <c r="F62" s="14">
        <v>1522</v>
      </c>
      <c r="G62" s="14">
        <v>1507</v>
      </c>
      <c r="H62" s="14">
        <v>1513.75</v>
      </c>
      <c r="I62" s="14">
        <v>1515.1</v>
      </c>
      <c r="J62" s="14">
        <v>1515.21</v>
      </c>
      <c r="K62" t="s" s="13">
        <v>1527</v>
      </c>
      <c r="L62" t="s" s="13">
        <v>1528</v>
      </c>
      <c r="M62" t="s" s="13">
        <v>1529</v>
      </c>
      <c r="N62" t="s" s="13">
        <v>1530</v>
      </c>
      <c r="O62" s="15">
        <v>62.46</v>
      </c>
      <c r="P62" s="30" cm="1">
        <f t="array" ref="P62">(I62-I61)/I61</f>
        <v>0.00587551867219917</v>
      </c>
      <c r="Q62" s="15">
        <v>4814465</v>
      </c>
    </row>
    <row r="63" ht="13.65" customHeight="1">
      <c r="A63" t="s" s="27">
        <v>1294</v>
      </c>
      <c r="B63" t="s" s="13">
        <v>22</v>
      </c>
      <c r="C63" s="31">
        <v>44375</v>
      </c>
      <c r="D63" s="14">
        <v>1515.1</v>
      </c>
      <c r="E63" s="14">
        <v>1520</v>
      </c>
      <c r="F63" s="14">
        <v>1523</v>
      </c>
      <c r="G63" s="14">
        <v>1505</v>
      </c>
      <c r="H63" s="14">
        <v>1512</v>
      </c>
      <c r="I63" s="14">
        <v>1508.35</v>
      </c>
      <c r="J63" s="14">
        <v>1510.42</v>
      </c>
      <c r="K63" t="s" s="13">
        <v>1531</v>
      </c>
      <c r="L63" t="s" s="13">
        <v>1532</v>
      </c>
      <c r="M63" s="34">
        <v>97365</v>
      </c>
      <c r="N63" t="s" s="13">
        <v>1533</v>
      </c>
      <c r="O63" s="15">
        <v>65.14</v>
      </c>
      <c r="P63" s="30" cm="1">
        <f t="array" ref="P63">(I63-I62)/I62</f>
        <v>-0.00445515147515016</v>
      </c>
      <c r="Q63" s="15">
        <v>7166319</v>
      </c>
    </row>
    <row r="64" ht="13.65" customHeight="1">
      <c r="A64" t="s" s="27">
        <v>1294</v>
      </c>
      <c r="B64" t="s" s="13">
        <v>22</v>
      </c>
      <c r="C64" s="31">
        <v>44376</v>
      </c>
      <c r="D64" s="14">
        <v>1508.35</v>
      </c>
      <c r="E64" s="14">
        <v>1507</v>
      </c>
      <c r="F64" s="14">
        <v>1508.2</v>
      </c>
      <c r="G64" s="14">
        <v>1492.15</v>
      </c>
      <c r="H64" s="14">
        <v>1500.15</v>
      </c>
      <c r="I64" s="14">
        <v>1502.05</v>
      </c>
      <c r="J64" s="14">
        <v>1498.23</v>
      </c>
      <c r="K64" t="s" s="13">
        <v>1534</v>
      </c>
      <c r="L64" t="s" s="13">
        <v>1535</v>
      </c>
      <c r="M64" t="s" s="13">
        <v>1536</v>
      </c>
      <c r="N64" t="s" s="13">
        <v>1537</v>
      </c>
      <c r="O64" s="15">
        <v>74.69</v>
      </c>
      <c r="P64" s="30" cm="1">
        <f t="array" ref="P64">(I64-I63)/I63</f>
        <v>-0.00417674942818311</v>
      </c>
      <c r="Q64" s="15">
        <v>4428676</v>
      </c>
    </row>
    <row r="65" ht="13.65" customHeight="1">
      <c r="A65" t="s" s="27">
        <v>1294</v>
      </c>
      <c r="B65" t="s" s="13">
        <v>22</v>
      </c>
      <c r="C65" s="31">
        <v>44377</v>
      </c>
      <c r="D65" s="14">
        <v>1502.05</v>
      </c>
      <c r="E65" s="14">
        <v>1498</v>
      </c>
      <c r="F65" s="14">
        <v>1509</v>
      </c>
      <c r="G65" s="14">
        <v>1494.1</v>
      </c>
      <c r="H65" s="14">
        <v>1497</v>
      </c>
      <c r="I65" s="14">
        <v>1497.9</v>
      </c>
      <c r="J65" s="14">
        <v>1501.04</v>
      </c>
      <c r="K65" t="s" s="13">
        <v>1538</v>
      </c>
      <c r="L65" t="s" s="13">
        <v>1539</v>
      </c>
      <c r="M65" t="s" s="13">
        <v>1540</v>
      </c>
      <c r="N65" t="s" s="13">
        <v>1541</v>
      </c>
      <c r="O65" s="15">
        <v>68.19</v>
      </c>
      <c r="P65" s="30" cm="1">
        <f t="array" ref="P65">(I65-I64)/I64</f>
        <v>-0.00276289071602144</v>
      </c>
      <c r="Q65" s="15">
        <v>4534592</v>
      </c>
    </row>
    <row r="66" ht="13.65" customHeight="1">
      <c r="A66" t="s" s="27">
        <v>1294</v>
      </c>
      <c r="B66" t="s" s="13">
        <v>22</v>
      </c>
      <c r="C66" s="28">
        <v>44378</v>
      </c>
      <c r="D66" s="14">
        <v>1497.9</v>
      </c>
      <c r="E66" s="14">
        <v>1502</v>
      </c>
      <c r="F66" s="14">
        <v>1502</v>
      </c>
      <c r="G66" s="14">
        <v>1483</v>
      </c>
      <c r="H66" s="14">
        <v>1487.95</v>
      </c>
      <c r="I66" s="14">
        <v>1486.75</v>
      </c>
      <c r="J66" s="14">
        <v>1491.4</v>
      </c>
      <c r="K66" t="s" s="13">
        <v>1542</v>
      </c>
      <c r="L66" t="s" s="13">
        <v>1543</v>
      </c>
      <c r="M66" t="s" s="13">
        <v>1544</v>
      </c>
      <c r="N66" t="s" s="13">
        <v>1545</v>
      </c>
      <c r="O66" s="15">
        <v>62.79</v>
      </c>
      <c r="P66" s="30" cm="1">
        <f t="array" ref="P66">(I66-I65)/I65</f>
        <v>-0.007443754589759</v>
      </c>
      <c r="Q66" s="15">
        <v>3162868</v>
      </c>
    </row>
    <row r="67" ht="13.65" customHeight="1">
      <c r="A67" t="s" s="27">
        <v>1294</v>
      </c>
      <c r="B67" t="s" s="13">
        <v>22</v>
      </c>
      <c r="C67" s="28">
        <v>44379</v>
      </c>
      <c r="D67" s="14">
        <v>1486.75</v>
      </c>
      <c r="E67" s="14">
        <v>1485</v>
      </c>
      <c r="F67" s="14">
        <v>1489.25</v>
      </c>
      <c r="G67" s="14">
        <v>1477</v>
      </c>
      <c r="H67" s="14">
        <v>1482.5</v>
      </c>
      <c r="I67" s="14">
        <v>1480.4</v>
      </c>
      <c r="J67" s="14">
        <v>1482.69</v>
      </c>
      <c r="K67" t="s" s="13">
        <v>1546</v>
      </c>
      <c r="L67" t="s" s="13">
        <v>1547</v>
      </c>
      <c r="M67" t="s" s="13">
        <v>1548</v>
      </c>
      <c r="N67" t="s" s="13">
        <v>1549</v>
      </c>
      <c r="O67" s="15">
        <v>76.27</v>
      </c>
      <c r="P67" s="30" cm="1">
        <f t="array" ref="P67">(I67-I66)/I66</f>
        <v>-0.00427106103917942</v>
      </c>
      <c r="Q67" s="15">
        <v>3607959</v>
      </c>
    </row>
    <row r="68" ht="13.65" customHeight="1">
      <c r="A68" t="s" s="27">
        <v>1294</v>
      </c>
      <c r="B68" t="s" s="13">
        <v>22</v>
      </c>
      <c r="C68" s="28">
        <v>44382</v>
      </c>
      <c r="D68" s="14">
        <v>1480.4</v>
      </c>
      <c r="E68" s="14">
        <v>1489.95</v>
      </c>
      <c r="F68" s="14">
        <v>1504.5</v>
      </c>
      <c r="G68" s="14">
        <v>1484.55</v>
      </c>
      <c r="H68" s="14">
        <v>1496.6</v>
      </c>
      <c r="I68" s="14">
        <v>1495.45</v>
      </c>
      <c r="J68" s="14">
        <v>1497.63</v>
      </c>
      <c r="K68" t="s" s="13">
        <v>1550</v>
      </c>
      <c r="L68" t="s" s="13">
        <v>1551</v>
      </c>
      <c r="M68" t="s" s="13">
        <v>1552</v>
      </c>
      <c r="N68" t="s" s="13">
        <v>1553</v>
      </c>
      <c r="O68" s="15">
        <v>57.53</v>
      </c>
      <c r="P68" s="30" cm="1">
        <f t="array" ref="P68">(I68-I67)/I67</f>
        <v>0.0101661713050527</v>
      </c>
      <c r="Q68" s="15">
        <v>3834351</v>
      </c>
    </row>
    <row r="69" ht="13.65" customHeight="1">
      <c r="A69" t="s" s="27">
        <v>1294</v>
      </c>
      <c r="B69" t="s" s="13">
        <v>22</v>
      </c>
      <c r="C69" s="28">
        <v>44383</v>
      </c>
      <c r="D69" s="14">
        <v>1495.45</v>
      </c>
      <c r="E69" s="14">
        <v>1497</v>
      </c>
      <c r="F69" s="14">
        <v>1540</v>
      </c>
      <c r="G69" s="14">
        <v>1496</v>
      </c>
      <c r="H69" s="14">
        <v>1531.95</v>
      </c>
      <c r="I69" s="14">
        <v>1534.7</v>
      </c>
      <c r="J69" s="14">
        <v>1527.06</v>
      </c>
      <c r="K69" t="s" s="13">
        <v>1554</v>
      </c>
      <c r="L69" t="s" s="13">
        <v>1555</v>
      </c>
      <c r="M69" t="s" s="13">
        <v>1556</v>
      </c>
      <c r="N69" t="s" s="13">
        <v>1557</v>
      </c>
      <c r="O69" s="15">
        <v>50.34</v>
      </c>
      <c r="P69" s="30" cm="1">
        <f t="array" ref="P69">(I69-I68)/I68</f>
        <v>0.026246280383831</v>
      </c>
      <c r="Q69" s="15">
        <v>2725339</v>
      </c>
    </row>
    <row r="70" ht="13.65" customHeight="1">
      <c r="A70" t="s" s="27">
        <v>1294</v>
      </c>
      <c r="B70" t="s" s="13">
        <v>22</v>
      </c>
      <c r="C70" s="28">
        <v>44384</v>
      </c>
      <c r="D70" s="14">
        <v>1534.7</v>
      </c>
      <c r="E70" s="14">
        <v>1534</v>
      </c>
      <c r="F70" s="14">
        <v>1545.35</v>
      </c>
      <c r="G70" s="14">
        <v>1527.7</v>
      </c>
      <c r="H70" s="14">
        <v>1539.8</v>
      </c>
      <c r="I70" s="14">
        <v>1539.5</v>
      </c>
      <c r="J70" s="14">
        <v>1539.43</v>
      </c>
      <c r="K70" t="s" s="13">
        <v>1558</v>
      </c>
      <c r="L70" t="s" s="13">
        <v>1559</v>
      </c>
      <c r="M70" t="s" s="13">
        <v>1560</v>
      </c>
      <c r="N70" t="s" s="13">
        <v>1561</v>
      </c>
      <c r="O70" s="15">
        <v>63.46</v>
      </c>
      <c r="P70" s="30" cm="1">
        <f t="array" ref="P70">(I70-I69)/I69</f>
        <v>0.00312764709715254</v>
      </c>
      <c r="Q70" s="15">
        <v>2352549</v>
      </c>
    </row>
    <row r="71" ht="13.65" customHeight="1">
      <c r="A71" t="s" s="27">
        <v>1294</v>
      </c>
      <c r="B71" t="s" s="13">
        <v>22</v>
      </c>
      <c r="C71" s="28">
        <v>44385</v>
      </c>
      <c r="D71" s="14">
        <v>1539.5</v>
      </c>
      <c r="E71" s="14">
        <v>1525</v>
      </c>
      <c r="F71" s="14">
        <v>1537.7</v>
      </c>
      <c r="G71" s="14">
        <v>1513.45</v>
      </c>
      <c r="H71" s="14">
        <v>1521</v>
      </c>
      <c r="I71" s="14">
        <v>1520.45</v>
      </c>
      <c r="J71" s="14">
        <v>1526.35</v>
      </c>
      <c r="K71" t="s" s="13">
        <v>1562</v>
      </c>
      <c r="L71" t="s" s="13">
        <v>1563</v>
      </c>
      <c r="M71" t="s" s="13">
        <v>1564</v>
      </c>
      <c r="N71" t="s" s="13">
        <v>1565</v>
      </c>
      <c r="O71" s="15">
        <v>56.26</v>
      </c>
      <c r="P71" s="30" cm="1">
        <f t="array" ref="P71">(I71-I70)/I70</f>
        <v>-0.0123741474504709</v>
      </c>
      <c r="Q71" s="15">
        <v>2780512</v>
      </c>
    </row>
    <row r="72" ht="13.65" customHeight="1">
      <c r="A72" t="s" s="27">
        <v>1294</v>
      </c>
      <c r="B72" t="s" s="13">
        <v>22</v>
      </c>
      <c r="C72" s="28">
        <v>44386</v>
      </c>
      <c r="D72" s="14">
        <v>1520.45</v>
      </c>
      <c r="E72" s="14">
        <v>1512.55</v>
      </c>
      <c r="F72" s="14">
        <v>1516</v>
      </c>
      <c r="G72" s="14">
        <v>1497.5</v>
      </c>
      <c r="H72" s="14">
        <v>1504.4</v>
      </c>
      <c r="I72" s="14">
        <v>1502</v>
      </c>
      <c r="J72" s="14">
        <v>1505.44</v>
      </c>
      <c r="K72" t="s" s="13">
        <v>1566</v>
      </c>
      <c r="L72" t="s" s="13">
        <v>1567</v>
      </c>
      <c r="M72" t="s" s="13">
        <v>1568</v>
      </c>
      <c r="N72" t="s" s="13">
        <v>1569</v>
      </c>
      <c r="O72" s="15">
        <v>63.13</v>
      </c>
      <c r="P72" s="30" cm="1">
        <f t="array" ref="P72">(I72-I71)/I71</f>
        <v>-0.0121345654247098</v>
      </c>
      <c r="Q72" s="15">
        <v>4889583</v>
      </c>
    </row>
    <row r="73" ht="13.65" customHeight="1">
      <c r="A73" t="s" s="27">
        <v>1294</v>
      </c>
      <c r="B73" t="s" s="13">
        <v>22</v>
      </c>
      <c r="C73" s="31">
        <v>44389</v>
      </c>
      <c r="D73" s="14">
        <v>1502</v>
      </c>
      <c r="E73" s="14">
        <v>1502</v>
      </c>
      <c r="F73" s="14">
        <v>1502</v>
      </c>
      <c r="G73" s="14">
        <v>1484</v>
      </c>
      <c r="H73" s="14">
        <v>1487.3</v>
      </c>
      <c r="I73" s="14">
        <v>1487</v>
      </c>
      <c r="J73" s="14">
        <v>1492.97</v>
      </c>
      <c r="K73" t="s" s="13">
        <v>1570</v>
      </c>
      <c r="L73" t="s" s="13">
        <v>1571</v>
      </c>
      <c r="M73" t="s" s="13">
        <v>1572</v>
      </c>
      <c r="N73" t="s" s="13">
        <v>1573</v>
      </c>
      <c r="O73" s="15">
        <v>54.73</v>
      </c>
      <c r="P73" s="30" cm="1">
        <f t="array" ref="P73">(I73-I72)/I72</f>
        <v>-0.0099866844207723</v>
      </c>
      <c r="Q73" s="15">
        <v>4288742</v>
      </c>
    </row>
    <row r="74" ht="13.65" customHeight="1">
      <c r="A74" t="s" s="27">
        <v>1294</v>
      </c>
      <c r="B74" t="s" s="13">
        <v>22</v>
      </c>
      <c r="C74" s="31">
        <v>44390</v>
      </c>
      <c r="D74" s="14">
        <v>1487</v>
      </c>
      <c r="E74" s="14">
        <v>1496.1</v>
      </c>
      <c r="F74" s="14">
        <v>1506.1</v>
      </c>
      <c r="G74" s="14">
        <v>1484.1</v>
      </c>
      <c r="H74" s="14">
        <v>1500.4</v>
      </c>
      <c r="I74" s="14">
        <v>1501.85</v>
      </c>
      <c r="J74" s="14">
        <v>1493.95</v>
      </c>
      <c r="K74" t="s" s="13">
        <v>1574</v>
      </c>
      <c r="L74" t="s" s="13">
        <v>1575</v>
      </c>
      <c r="M74" t="s" s="13">
        <v>1576</v>
      </c>
      <c r="N74" t="s" s="13">
        <v>1577</v>
      </c>
      <c r="O74" s="15">
        <v>69.64</v>
      </c>
      <c r="P74" s="30" cm="1">
        <f t="array" ref="P74">(I74-I73)/I73</f>
        <v>0.00998655010087424</v>
      </c>
      <c r="Q74" s="15">
        <v>4559375</v>
      </c>
    </row>
    <row r="75" ht="13.65" customHeight="1">
      <c r="A75" t="s" s="27">
        <v>1294</v>
      </c>
      <c r="B75" t="s" s="13">
        <v>22</v>
      </c>
      <c r="C75" s="31">
        <v>44391</v>
      </c>
      <c r="D75" s="14">
        <v>1501.85</v>
      </c>
      <c r="E75" s="14">
        <v>1497.5</v>
      </c>
      <c r="F75" s="14">
        <v>1507.35</v>
      </c>
      <c r="G75" s="14">
        <v>1491.1</v>
      </c>
      <c r="H75" s="14">
        <v>1498</v>
      </c>
      <c r="I75" s="14">
        <v>1499.15</v>
      </c>
      <c r="J75" s="14">
        <v>1500.22</v>
      </c>
      <c r="K75" t="s" s="13">
        <v>1578</v>
      </c>
      <c r="L75" t="s" s="13">
        <v>1579</v>
      </c>
      <c r="M75" t="s" s="13">
        <v>1580</v>
      </c>
      <c r="N75" t="s" s="13">
        <v>1581</v>
      </c>
      <c r="O75" s="15">
        <v>61.38</v>
      </c>
      <c r="P75" s="30" cm="1">
        <f t="array" ref="P75">(I75-I74)/I74</f>
        <v>-0.00179778273462729</v>
      </c>
      <c r="Q75" s="15">
        <v>10578334</v>
      </c>
    </row>
    <row r="76" ht="13.65" customHeight="1">
      <c r="A76" t="s" s="27">
        <v>1294</v>
      </c>
      <c r="B76" t="s" s="13">
        <v>22</v>
      </c>
      <c r="C76" s="31">
        <v>44392</v>
      </c>
      <c r="D76" s="14">
        <v>1499.15</v>
      </c>
      <c r="E76" s="14">
        <v>1505</v>
      </c>
      <c r="F76" s="14">
        <v>1526.75</v>
      </c>
      <c r="G76" s="14">
        <v>1499.65</v>
      </c>
      <c r="H76" s="14">
        <v>1521</v>
      </c>
      <c r="I76" s="14">
        <v>1520.7</v>
      </c>
      <c r="J76" s="14">
        <v>1518.05</v>
      </c>
      <c r="K76" t="s" s="13">
        <v>1582</v>
      </c>
      <c r="L76" t="s" s="13">
        <v>1583</v>
      </c>
      <c r="M76" t="s" s="13">
        <v>1584</v>
      </c>
      <c r="N76" t="s" s="13">
        <v>1585</v>
      </c>
      <c r="O76" s="15">
        <v>55.53</v>
      </c>
      <c r="P76" s="30" cm="1">
        <f t="array" ref="P76">(I76-I75)/I75</f>
        <v>0.0143748123936898</v>
      </c>
      <c r="Q76" s="15">
        <v>7497384</v>
      </c>
    </row>
    <row r="77" ht="13.65" customHeight="1">
      <c r="A77" t="s" s="27">
        <v>1294</v>
      </c>
      <c r="B77" t="s" s="13">
        <v>22</v>
      </c>
      <c r="C77" s="31">
        <v>44393</v>
      </c>
      <c r="D77" s="14">
        <v>1520.7</v>
      </c>
      <c r="E77" s="14">
        <v>1527.95</v>
      </c>
      <c r="F77" s="14">
        <v>1529.95</v>
      </c>
      <c r="G77" s="14">
        <v>1518.8</v>
      </c>
      <c r="H77" s="14">
        <v>1522.3</v>
      </c>
      <c r="I77" s="14">
        <v>1522.35</v>
      </c>
      <c r="J77" s="14">
        <v>1524.21</v>
      </c>
      <c r="K77" t="s" s="13">
        <v>1586</v>
      </c>
      <c r="L77" t="s" s="13">
        <v>1587</v>
      </c>
      <c r="M77" s="34">
        <v>86273</v>
      </c>
      <c r="N77" t="s" s="13">
        <v>1588</v>
      </c>
      <c r="O77" s="15">
        <v>45.46</v>
      </c>
      <c r="P77" s="30" cm="1">
        <f t="array" ref="P77">(I77-I76)/I76</f>
        <v>0.00108502663247189</v>
      </c>
      <c r="Q77" s="15">
        <v>6605216</v>
      </c>
    </row>
    <row r="78" ht="13.65" customHeight="1">
      <c r="A78" t="s" s="27">
        <v>1294</v>
      </c>
      <c r="B78" t="s" s="13">
        <v>22</v>
      </c>
      <c r="C78" s="31">
        <v>44396</v>
      </c>
      <c r="D78" s="14">
        <v>1522.35</v>
      </c>
      <c r="E78" s="14">
        <v>1487</v>
      </c>
      <c r="F78" s="14">
        <v>1488.85</v>
      </c>
      <c r="G78" s="14">
        <v>1466</v>
      </c>
      <c r="H78" s="14">
        <v>1472.4</v>
      </c>
      <c r="I78" s="14">
        <v>1471</v>
      </c>
      <c r="J78" s="14">
        <v>1477.63</v>
      </c>
      <c r="K78" t="s" s="13">
        <v>1589</v>
      </c>
      <c r="L78" t="s" s="13">
        <v>1590</v>
      </c>
      <c r="M78" t="s" s="13">
        <v>1591</v>
      </c>
      <c r="N78" t="s" s="13">
        <v>1592</v>
      </c>
      <c r="O78" s="15">
        <v>52.78</v>
      </c>
      <c r="P78" s="30" cm="1">
        <f t="array" ref="P78">(I78-I77)/I77</f>
        <v>-0.033730745229415</v>
      </c>
      <c r="Q78" s="15">
        <v>5057574</v>
      </c>
    </row>
    <row r="79" ht="13.65" customHeight="1">
      <c r="A79" t="s" s="27">
        <v>1294</v>
      </c>
      <c r="B79" t="s" s="13">
        <v>1323</v>
      </c>
      <c r="C79" s="31">
        <v>44397</v>
      </c>
      <c r="D79" s="14">
        <v>1370</v>
      </c>
      <c r="E79" s="14">
        <v>1471</v>
      </c>
      <c r="F79" s="14">
        <v>1471</v>
      </c>
      <c r="G79" s="14">
        <v>1471</v>
      </c>
      <c r="H79" s="14">
        <v>1471</v>
      </c>
      <c r="I79" s="14">
        <v>1471</v>
      </c>
      <c r="J79" s="14">
        <v>1471</v>
      </c>
      <c r="K79" s="34">
        <v>80745</v>
      </c>
      <c r="L79" t="s" s="13">
        <v>1593</v>
      </c>
      <c r="M79" s="15">
        <v>1</v>
      </c>
      <c r="N79" t="s" s="13">
        <v>1326</v>
      </c>
      <c r="O79" t="s" s="13">
        <v>1326</v>
      </c>
      <c r="P79" s="30" cm="1">
        <f t="array" ref="P79">(I79-I78)/I78</f>
        <v>0</v>
      </c>
      <c r="Q79" s="15">
        <v>4595550</v>
      </c>
    </row>
    <row r="80" ht="13.65" customHeight="1">
      <c r="A80" t="s" s="27">
        <v>1294</v>
      </c>
      <c r="B80" t="s" s="13">
        <v>22</v>
      </c>
      <c r="C80" s="31">
        <v>44397</v>
      </c>
      <c r="D80" s="14">
        <v>1471</v>
      </c>
      <c r="E80" s="14">
        <v>1442</v>
      </c>
      <c r="F80" s="14">
        <v>1454</v>
      </c>
      <c r="G80" s="14">
        <v>1436.15</v>
      </c>
      <c r="H80" s="14">
        <v>1444</v>
      </c>
      <c r="I80" s="14">
        <v>1443.15</v>
      </c>
      <c r="J80" s="14">
        <v>1443.36</v>
      </c>
      <c r="K80" t="s" s="13">
        <v>1594</v>
      </c>
      <c r="L80" t="s" s="13">
        <v>1595</v>
      </c>
      <c r="M80" t="s" s="13">
        <v>1596</v>
      </c>
      <c r="N80" t="s" s="13">
        <v>1597</v>
      </c>
      <c r="O80" s="15">
        <v>70.89</v>
      </c>
      <c r="P80" s="30" cm="1">
        <f t="array" ref="P80">(I80-I79)/I79</f>
        <v>-0.0189326988443236</v>
      </c>
      <c r="Q80" s="15">
        <v>5161071</v>
      </c>
    </row>
    <row r="81" ht="13.65" customHeight="1">
      <c r="A81" t="s" s="27">
        <v>1294</v>
      </c>
      <c r="B81" t="s" s="13">
        <v>22</v>
      </c>
      <c r="C81" s="31">
        <v>44399</v>
      </c>
      <c r="D81" s="14">
        <v>1443.15</v>
      </c>
      <c r="E81" s="14">
        <v>1456.1</v>
      </c>
      <c r="F81" s="14">
        <v>1468.5</v>
      </c>
      <c r="G81" s="14">
        <v>1445</v>
      </c>
      <c r="H81" s="14">
        <v>1451.7</v>
      </c>
      <c r="I81" s="14">
        <v>1448.7</v>
      </c>
      <c r="J81" s="14">
        <v>1455.81</v>
      </c>
      <c r="K81" t="s" s="13">
        <v>1598</v>
      </c>
      <c r="L81" t="s" s="13">
        <v>1599</v>
      </c>
      <c r="M81" t="s" s="13">
        <v>1600</v>
      </c>
      <c r="N81" t="s" s="13">
        <v>1601</v>
      </c>
      <c r="O81" s="15">
        <v>57.98</v>
      </c>
      <c r="P81" s="30" cm="1">
        <f t="array" ref="P81">(I81-I80)/I80</f>
        <v>0.0038457540796175</v>
      </c>
      <c r="Q81" s="15">
        <v>3889692</v>
      </c>
    </row>
    <row r="82" ht="13.65" customHeight="1">
      <c r="A82" t="s" s="27">
        <v>1294</v>
      </c>
      <c r="B82" t="s" s="13">
        <v>22</v>
      </c>
      <c r="C82" s="31">
        <v>44400</v>
      </c>
      <c r="D82" s="14">
        <v>1448.7</v>
      </c>
      <c r="E82" s="14">
        <v>1451.5</v>
      </c>
      <c r="F82" s="14">
        <v>1457.45</v>
      </c>
      <c r="G82" s="14">
        <v>1435.3</v>
      </c>
      <c r="H82" s="14">
        <v>1443</v>
      </c>
      <c r="I82" s="14">
        <v>1442.75</v>
      </c>
      <c r="J82" s="14">
        <v>1445.22</v>
      </c>
      <c r="K82" t="s" s="13">
        <v>1602</v>
      </c>
      <c r="L82" t="s" s="13">
        <v>1603</v>
      </c>
      <c r="M82" t="s" s="13">
        <v>1604</v>
      </c>
      <c r="N82" t="s" s="13">
        <v>1605</v>
      </c>
      <c r="O82" s="15">
        <v>68.44</v>
      </c>
      <c r="P82" s="30" cm="1">
        <f t="array" ref="P82">(I82-I81)/I81</f>
        <v>-0.00410713053082074</v>
      </c>
      <c r="Q82" s="15">
        <v>5873872</v>
      </c>
    </row>
    <row r="83" ht="13.65" customHeight="1">
      <c r="A83" t="s" s="27">
        <v>1294</v>
      </c>
      <c r="B83" t="s" s="13">
        <v>22</v>
      </c>
      <c r="C83" s="31">
        <v>44403</v>
      </c>
      <c r="D83" s="14">
        <v>1442.75</v>
      </c>
      <c r="E83" s="14">
        <v>1430</v>
      </c>
      <c r="F83" s="14">
        <v>1444</v>
      </c>
      <c r="G83" s="14">
        <v>1428.1</v>
      </c>
      <c r="H83" s="14">
        <v>1434.5</v>
      </c>
      <c r="I83" s="14">
        <v>1434.55</v>
      </c>
      <c r="J83" s="14">
        <v>1434.93</v>
      </c>
      <c r="K83" t="s" s="13">
        <v>1606</v>
      </c>
      <c r="L83" t="s" s="13">
        <v>1607</v>
      </c>
      <c r="M83" t="s" s="13">
        <v>1608</v>
      </c>
      <c r="N83" t="s" s="13">
        <v>1609</v>
      </c>
      <c r="O83" s="15">
        <v>75.64</v>
      </c>
      <c r="P83" s="30" cm="1">
        <f t="array" ref="P83">(I83-I82)/I82</f>
        <v>-0.00568359036562121</v>
      </c>
      <c r="Q83" s="15">
        <v>7647767</v>
      </c>
    </row>
    <row r="84" ht="13.65" customHeight="1">
      <c r="A84" t="s" s="27">
        <v>1294</v>
      </c>
      <c r="B84" t="s" s="13">
        <v>22</v>
      </c>
      <c r="C84" s="31">
        <v>44404</v>
      </c>
      <c r="D84" s="14">
        <v>1434.55</v>
      </c>
      <c r="E84" s="14">
        <v>1436.1</v>
      </c>
      <c r="F84" s="14">
        <v>1449.9</v>
      </c>
      <c r="G84" s="14">
        <v>1436.1</v>
      </c>
      <c r="H84" s="14">
        <v>1441.5</v>
      </c>
      <c r="I84" s="14">
        <v>1439.75</v>
      </c>
      <c r="J84" s="14">
        <v>1443.44</v>
      </c>
      <c r="K84" t="s" s="13">
        <v>1610</v>
      </c>
      <c r="L84" t="s" s="13">
        <v>1611</v>
      </c>
      <c r="M84" t="s" s="13">
        <v>1612</v>
      </c>
      <c r="N84" t="s" s="13">
        <v>1613</v>
      </c>
      <c r="O84" s="15">
        <v>81.04000000000001</v>
      </c>
      <c r="P84" s="30" cm="1">
        <f t="array" ref="P84">(I84-I83)/I83</f>
        <v>0.00362483008608971</v>
      </c>
      <c r="Q84" s="15">
        <v>6213767</v>
      </c>
    </row>
    <row r="85" ht="13.65" customHeight="1">
      <c r="A85" t="s" s="27">
        <v>1294</v>
      </c>
      <c r="B85" t="s" s="13">
        <v>22</v>
      </c>
      <c r="C85" s="31">
        <v>44405</v>
      </c>
      <c r="D85" s="14">
        <v>1439.75</v>
      </c>
      <c r="E85" s="14">
        <v>1435.05</v>
      </c>
      <c r="F85" s="14">
        <v>1438.7</v>
      </c>
      <c r="G85" s="14">
        <v>1404</v>
      </c>
      <c r="H85" s="14">
        <v>1419.5</v>
      </c>
      <c r="I85" s="14">
        <v>1417.3</v>
      </c>
      <c r="J85" s="14">
        <v>1416.6</v>
      </c>
      <c r="K85" t="s" s="13">
        <v>1614</v>
      </c>
      <c r="L85" t="s" s="13">
        <v>1615</v>
      </c>
      <c r="M85" t="s" s="13">
        <v>1616</v>
      </c>
      <c r="N85" t="s" s="13">
        <v>1617</v>
      </c>
      <c r="O85" s="15">
        <v>74.43000000000001</v>
      </c>
      <c r="P85" s="30" cm="1">
        <f t="array" ref="P85">(I85-I84)/I84</f>
        <v>-0.0155929848932106</v>
      </c>
      <c r="Q85" s="15">
        <v>3514766</v>
      </c>
    </row>
    <row r="86" ht="13.65" customHeight="1">
      <c r="A86" t="s" s="27">
        <v>1294</v>
      </c>
      <c r="B86" t="s" s="13">
        <v>22</v>
      </c>
      <c r="C86" s="31">
        <v>44406</v>
      </c>
      <c r="D86" s="14">
        <v>1417.3</v>
      </c>
      <c r="E86" s="14">
        <v>1428.25</v>
      </c>
      <c r="F86" s="14">
        <v>1429.95</v>
      </c>
      <c r="G86" s="14">
        <v>1413.3</v>
      </c>
      <c r="H86" s="14">
        <v>1421.75</v>
      </c>
      <c r="I86" s="14">
        <v>1418.25</v>
      </c>
      <c r="J86" s="14">
        <v>1422.4</v>
      </c>
      <c r="K86" t="s" s="13">
        <v>1618</v>
      </c>
      <c r="L86" t="s" s="13">
        <v>1619</v>
      </c>
      <c r="M86" t="s" s="13">
        <v>1620</v>
      </c>
      <c r="N86" t="s" s="13">
        <v>1621</v>
      </c>
      <c r="O86" s="15">
        <v>70.95999999999999</v>
      </c>
      <c r="P86" s="30" cm="1">
        <f t="array" ref="P86">(I86-I85)/I85</f>
        <v>0.0006702885768715159</v>
      </c>
      <c r="Q86" s="15">
        <v>4062347</v>
      </c>
    </row>
    <row r="87" ht="13.65" customHeight="1">
      <c r="A87" t="s" s="27">
        <v>1294</v>
      </c>
      <c r="B87" t="s" s="13">
        <v>22</v>
      </c>
      <c r="C87" s="31">
        <v>44407</v>
      </c>
      <c r="D87" s="14">
        <v>1418.25</v>
      </c>
      <c r="E87" s="14">
        <v>1419</v>
      </c>
      <c r="F87" s="14">
        <v>1431.75</v>
      </c>
      <c r="G87" s="14">
        <v>1407.95</v>
      </c>
      <c r="H87" s="14">
        <v>1425</v>
      </c>
      <c r="I87" s="14">
        <v>1426.45</v>
      </c>
      <c r="J87" s="14">
        <v>1422.61</v>
      </c>
      <c r="K87" t="s" s="13">
        <v>1622</v>
      </c>
      <c r="L87" t="s" s="13">
        <v>1623</v>
      </c>
      <c r="M87" t="s" s="13">
        <v>1624</v>
      </c>
      <c r="N87" t="s" s="13">
        <v>1625</v>
      </c>
      <c r="O87" s="15">
        <v>68.37</v>
      </c>
      <c r="P87" s="30" cm="1">
        <f t="array" ref="P87">(I87-I86)/I86</f>
        <v>0.0057817733121805</v>
      </c>
      <c r="Q87" s="15">
        <v>5601555</v>
      </c>
    </row>
    <row r="88" ht="13.65" customHeight="1">
      <c r="A88" t="s" s="27">
        <v>1294</v>
      </c>
      <c r="B88" t="s" s="13">
        <v>22</v>
      </c>
      <c r="C88" s="28">
        <v>44410</v>
      </c>
      <c r="D88" s="14">
        <v>1426.45</v>
      </c>
      <c r="E88" s="14">
        <v>1435</v>
      </c>
      <c r="F88" s="14">
        <v>1435</v>
      </c>
      <c r="G88" s="14">
        <v>1416.25</v>
      </c>
      <c r="H88" s="14">
        <v>1423.8</v>
      </c>
      <c r="I88" s="14">
        <v>1422.65</v>
      </c>
      <c r="J88" s="14">
        <v>1425.88</v>
      </c>
      <c r="K88" t="s" s="13">
        <v>1626</v>
      </c>
      <c r="L88" t="s" s="13">
        <v>1627</v>
      </c>
      <c r="M88" t="s" s="13">
        <v>1628</v>
      </c>
      <c r="N88" t="s" s="13">
        <v>1629</v>
      </c>
      <c r="O88" s="15">
        <v>72.70999999999999</v>
      </c>
      <c r="P88" s="30" cm="1">
        <f t="array" ref="P88">(I88-I87)/I87</f>
        <v>-0.00266395597462231</v>
      </c>
      <c r="Q88" s="15">
        <v>4338817</v>
      </c>
    </row>
    <row r="89" ht="13.65" customHeight="1">
      <c r="A89" t="s" s="27">
        <v>1294</v>
      </c>
      <c r="B89" t="s" s="13">
        <v>22</v>
      </c>
      <c r="C89" s="28">
        <v>44411</v>
      </c>
      <c r="D89" s="14">
        <v>1422.65</v>
      </c>
      <c r="E89" s="14">
        <v>1410</v>
      </c>
      <c r="F89" s="14">
        <v>1439.9</v>
      </c>
      <c r="G89" s="14">
        <v>1410</v>
      </c>
      <c r="H89" s="14">
        <v>1434.1</v>
      </c>
      <c r="I89" s="14">
        <v>1434.7</v>
      </c>
      <c r="J89" s="14">
        <v>1428.31</v>
      </c>
      <c r="K89" t="s" s="13">
        <v>1630</v>
      </c>
      <c r="L89" t="s" s="13">
        <v>1631</v>
      </c>
      <c r="M89" t="s" s="13">
        <v>1632</v>
      </c>
      <c r="N89" t="s" s="13">
        <v>1633</v>
      </c>
      <c r="O89" s="15">
        <v>69.52</v>
      </c>
      <c r="P89" s="30" cm="1">
        <f t="array" ref="P89">(I89-I88)/I88</f>
        <v>0.008470108600147609</v>
      </c>
      <c r="Q89" s="15">
        <v>12610771</v>
      </c>
    </row>
    <row r="90" ht="13.65" customHeight="1">
      <c r="A90" t="s" s="27">
        <v>1294</v>
      </c>
      <c r="B90" t="s" s="13">
        <v>22</v>
      </c>
      <c r="C90" s="28">
        <v>44412</v>
      </c>
      <c r="D90" s="14">
        <v>1434.7</v>
      </c>
      <c r="E90" s="14">
        <v>1441</v>
      </c>
      <c r="F90" s="14">
        <v>1474.5</v>
      </c>
      <c r="G90" s="14">
        <v>1440</v>
      </c>
      <c r="H90" s="14">
        <v>1465.5</v>
      </c>
      <c r="I90" s="14">
        <v>1465.3</v>
      </c>
      <c r="J90" s="14">
        <v>1462.94</v>
      </c>
      <c r="K90" t="s" s="13">
        <v>1634</v>
      </c>
      <c r="L90" t="s" s="13">
        <v>1635</v>
      </c>
      <c r="M90" t="s" s="13">
        <v>1636</v>
      </c>
      <c r="N90" t="s" s="13">
        <v>1637</v>
      </c>
      <c r="O90" s="15">
        <v>60.46</v>
      </c>
      <c r="P90" s="30" cm="1">
        <f t="array" ref="P90">(I90-I89)/I89</f>
        <v>0.0213285007318603</v>
      </c>
      <c r="Q90" s="15">
        <v>6495498</v>
      </c>
    </row>
    <row r="91" ht="13.65" customHeight="1">
      <c r="A91" t="s" s="27">
        <v>1294</v>
      </c>
      <c r="B91" t="s" s="13">
        <v>22</v>
      </c>
      <c r="C91" s="28">
        <v>44413</v>
      </c>
      <c r="D91" s="14">
        <v>1465.3</v>
      </c>
      <c r="E91" s="14">
        <v>1467.1</v>
      </c>
      <c r="F91" s="14">
        <v>1507.05</v>
      </c>
      <c r="G91" s="14">
        <v>1457.4</v>
      </c>
      <c r="H91" s="14">
        <v>1483.8</v>
      </c>
      <c r="I91" s="14">
        <v>1484.85</v>
      </c>
      <c r="J91" s="14">
        <v>1483.26</v>
      </c>
      <c r="K91" t="s" s="13">
        <v>1638</v>
      </c>
      <c r="L91" t="s" s="13">
        <v>1639</v>
      </c>
      <c r="M91" t="s" s="13">
        <v>1640</v>
      </c>
      <c r="N91" t="s" s="13">
        <v>1641</v>
      </c>
      <c r="O91" s="15">
        <v>50.27</v>
      </c>
      <c r="P91" s="30" cm="1">
        <f t="array" ref="P91">(I91-I90)/I90</f>
        <v>0.0133419777519962</v>
      </c>
      <c r="Q91" s="15">
        <v>9312468</v>
      </c>
    </row>
    <row r="92" ht="13.65" customHeight="1">
      <c r="A92" t="s" s="27">
        <v>1294</v>
      </c>
      <c r="B92" t="s" s="13">
        <v>22</v>
      </c>
      <c r="C92" s="28">
        <v>44414</v>
      </c>
      <c r="D92" s="14">
        <v>1484.85</v>
      </c>
      <c r="E92" s="14">
        <v>1483.55</v>
      </c>
      <c r="F92" s="14">
        <v>1500</v>
      </c>
      <c r="G92" s="14">
        <v>1474</v>
      </c>
      <c r="H92" s="14">
        <v>1493.7</v>
      </c>
      <c r="I92" s="14">
        <v>1492.65</v>
      </c>
      <c r="J92" s="14">
        <v>1490.45</v>
      </c>
      <c r="K92" t="s" s="13">
        <v>1642</v>
      </c>
      <c r="L92" t="s" s="13">
        <v>1643</v>
      </c>
      <c r="M92" t="s" s="13">
        <v>1644</v>
      </c>
      <c r="N92" t="s" s="13">
        <v>1645</v>
      </c>
      <c r="O92" s="15">
        <v>61.51</v>
      </c>
      <c r="P92" s="30" cm="1">
        <f t="array" ref="P92">(I92-I91)/I91</f>
        <v>0.00525305586422871</v>
      </c>
      <c r="Q92" s="15">
        <v>5125826</v>
      </c>
    </row>
    <row r="93" ht="13.65" customHeight="1">
      <c r="A93" t="s" s="27">
        <v>1294</v>
      </c>
      <c r="B93" t="s" s="13">
        <v>22</v>
      </c>
      <c r="C93" s="28">
        <v>44417</v>
      </c>
      <c r="D93" s="14">
        <v>1492.65</v>
      </c>
      <c r="E93" s="14">
        <v>1492</v>
      </c>
      <c r="F93" s="14">
        <v>1507.35</v>
      </c>
      <c r="G93" s="14">
        <v>1476</v>
      </c>
      <c r="H93" s="14">
        <v>1501.85</v>
      </c>
      <c r="I93" s="14">
        <v>1503.9</v>
      </c>
      <c r="J93" s="14">
        <v>1501.46</v>
      </c>
      <c r="K93" t="s" s="13">
        <v>1646</v>
      </c>
      <c r="L93" t="s" s="13">
        <v>1647</v>
      </c>
      <c r="M93" t="s" s="13">
        <v>1648</v>
      </c>
      <c r="N93" t="s" s="13">
        <v>1649</v>
      </c>
      <c r="O93" s="15">
        <v>54.49</v>
      </c>
      <c r="P93" s="30" cm="1">
        <f t="array" ref="P93">(I93-I92)/I92</f>
        <v>0.00753693096171239</v>
      </c>
      <c r="Q93" s="15">
        <v>15401143</v>
      </c>
    </row>
    <row r="94" ht="13.65" customHeight="1">
      <c r="A94" t="s" s="27">
        <v>1294</v>
      </c>
      <c r="B94" t="s" s="13">
        <v>22</v>
      </c>
      <c r="C94" s="31">
        <v>44418</v>
      </c>
      <c r="D94" s="14">
        <v>1503.9</v>
      </c>
      <c r="E94" s="14">
        <v>1489</v>
      </c>
      <c r="F94" s="14">
        <v>1519.75</v>
      </c>
      <c r="G94" s="14">
        <v>1489</v>
      </c>
      <c r="H94" s="14">
        <v>1507.35</v>
      </c>
      <c r="I94" s="14">
        <v>1507.65</v>
      </c>
      <c r="J94" s="14">
        <v>1512.39</v>
      </c>
      <c r="K94" t="s" s="13">
        <v>1650</v>
      </c>
      <c r="L94" t="s" s="13">
        <v>1651</v>
      </c>
      <c r="M94" t="s" s="13">
        <v>1652</v>
      </c>
      <c r="N94" t="s" s="13">
        <v>1653</v>
      </c>
      <c r="O94" s="15">
        <v>60.87</v>
      </c>
      <c r="P94" s="30" cm="1">
        <f t="array" ref="P94">(I94-I93)/I93</f>
        <v>0.00249351685617395</v>
      </c>
      <c r="Q94" s="15">
        <v>5617607</v>
      </c>
    </row>
    <row r="95" ht="13.65" customHeight="1">
      <c r="A95" t="s" s="27">
        <v>1294</v>
      </c>
      <c r="B95" t="s" s="13">
        <v>22</v>
      </c>
      <c r="C95" s="31">
        <v>44419</v>
      </c>
      <c r="D95" s="14">
        <v>1507.65</v>
      </c>
      <c r="E95" s="14">
        <v>1514.9</v>
      </c>
      <c r="F95" s="14">
        <v>1518.85</v>
      </c>
      <c r="G95" s="14">
        <v>1491.05</v>
      </c>
      <c r="H95" s="14">
        <v>1494.5</v>
      </c>
      <c r="I95" s="14">
        <v>1494.95</v>
      </c>
      <c r="J95" s="14">
        <v>1501.47</v>
      </c>
      <c r="K95" t="s" s="13">
        <v>1654</v>
      </c>
      <c r="L95" t="s" s="13">
        <v>1655</v>
      </c>
      <c r="M95" t="s" s="13">
        <v>1656</v>
      </c>
      <c r="N95" t="s" s="13">
        <v>1657</v>
      </c>
      <c r="O95" s="15">
        <v>69.51000000000001</v>
      </c>
      <c r="P95" s="30" cm="1">
        <f t="array" ref="P95">(I95-I94)/I94</f>
        <v>-0.00842370576725367</v>
      </c>
      <c r="Q95" s="15">
        <v>7630636</v>
      </c>
    </row>
    <row r="96" ht="13.65" customHeight="1">
      <c r="A96" t="s" s="27">
        <v>1294</v>
      </c>
      <c r="B96" t="s" s="13">
        <v>22</v>
      </c>
      <c r="C96" s="31">
        <v>44420</v>
      </c>
      <c r="D96" s="14">
        <v>1494.95</v>
      </c>
      <c r="E96" s="14">
        <v>1497</v>
      </c>
      <c r="F96" s="14">
        <v>1507.6</v>
      </c>
      <c r="G96" s="14">
        <v>1489.3</v>
      </c>
      <c r="H96" s="14">
        <v>1504</v>
      </c>
      <c r="I96" s="14">
        <v>1501.4</v>
      </c>
      <c r="J96" s="14">
        <v>1498.68</v>
      </c>
      <c r="K96" t="s" s="13">
        <v>1658</v>
      </c>
      <c r="L96" t="s" s="13">
        <v>1659</v>
      </c>
      <c r="M96" t="s" s="13">
        <v>1660</v>
      </c>
      <c r="N96" t="s" s="13">
        <v>1661</v>
      </c>
      <c r="O96" s="15">
        <v>64.28</v>
      </c>
      <c r="P96" s="30" cm="1">
        <f t="array" ref="P96">(I96-I95)/I95</f>
        <v>0.00431452556941704</v>
      </c>
      <c r="Q96" s="15">
        <v>4576437</v>
      </c>
    </row>
    <row r="97" ht="13.65" customHeight="1">
      <c r="A97" t="s" s="27">
        <v>1294</v>
      </c>
      <c r="B97" t="s" s="13">
        <v>22</v>
      </c>
      <c r="C97" s="31">
        <v>44421</v>
      </c>
      <c r="D97" s="14">
        <v>1501.4</v>
      </c>
      <c r="E97" s="14">
        <v>1501.2</v>
      </c>
      <c r="F97" s="14">
        <v>1531</v>
      </c>
      <c r="G97" s="14">
        <v>1501</v>
      </c>
      <c r="H97" s="14">
        <v>1523.6</v>
      </c>
      <c r="I97" s="14">
        <v>1526.2</v>
      </c>
      <c r="J97" s="14">
        <v>1521.44</v>
      </c>
      <c r="K97" t="s" s="13">
        <v>1662</v>
      </c>
      <c r="L97" t="s" s="13">
        <v>1663</v>
      </c>
      <c r="M97" t="s" s="13">
        <v>1664</v>
      </c>
      <c r="N97" t="s" s="13">
        <v>1665</v>
      </c>
      <c r="O97" s="15">
        <v>69.36</v>
      </c>
      <c r="P97" s="30" cm="1">
        <f t="array" ref="P97">(I97-I96)/I96</f>
        <v>0.0165179166111629</v>
      </c>
      <c r="Q97" s="15">
        <v>3799439</v>
      </c>
    </row>
    <row r="98" ht="13.65" customHeight="1">
      <c r="A98" t="s" s="27">
        <v>1294</v>
      </c>
      <c r="B98" t="s" s="13">
        <v>22</v>
      </c>
      <c r="C98" s="31">
        <v>44424</v>
      </c>
      <c r="D98" s="14">
        <v>1526.2</v>
      </c>
      <c r="E98" s="14">
        <v>1526.15</v>
      </c>
      <c r="F98" s="14">
        <v>1535</v>
      </c>
      <c r="G98" s="14">
        <v>1521.45</v>
      </c>
      <c r="H98" s="14">
        <v>1529</v>
      </c>
      <c r="I98" s="14">
        <v>1530.6</v>
      </c>
      <c r="J98" s="14">
        <v>1529.96</v>
      </c>
      <c r="K98" t="s" s="13">
        <v>1666</v>
      </c>
      <c r="L98" t="s" s="13">
        <v>1667</v>
      </c>
      <c r="M98" t="s" s="13">
        <v>1668</v>
      </c>
      <c r="N98" t="s" s="13">
        <v>1669</v>
      </c>
      <c r="O98" s="15">
        <v>52.66</v>
      </c>
      <c r="P98" s="30" cm="1">
        <f t="array" ref="P98">(I98-I97)/I97</f>
        <v>0.00288297732931464</v>
      </c>
      <c r="Q98" s="15">
        <v>4122703</v>
      </c>
    </row>
    <row r="99" ht="13.65" customHeight="1">
      <c r="A99" t="s" s="27">
        <v>1294</v>
      </c>
      <c r="B99" t="s" s="13">
        <v>22</v>
      </c>
      <c r="C99" s="31">
        <v>44425</v>
      </c>
      <c r="D99" s="14">
        <v>1530.6</v>
      </c>
      <c r="E99" s="14">
        <v>1517.2</v>
      </c>
      <c r="F99" s="14">
        <v>1524</v>
      </c>
      <c r="G99" s="14">
        <v>1505.3</v>
      </c>
      <c r="H99" s="14">
        <v>1516</v>
      </c>
      <c r="I99" s="14">
        <v>1514.65</v>
      </c>
      <c r="J99" s="14">
        <v>1513.95</v>
      </c>
      <c r="K99" t="s" s="13">
        <v>1670</v>
      </c>
      <c r="L99" t="s" s="13">
        <v>1671</v>
      </c>
      <c r="M99" t="s" s="13">
        <v>1672</v>
      </c>
      <c r="N99" t="s" s="13">
        <v>1673</v>
      </c>
      <c r="O99" s="15">
        <v>63.33</v>
      </c>
      <c r="P99" s="30" cm="1">
        <f t="array" ref="P99">(I99-I98)/I98</f>
        <v>-0.0104207500326669</v>
      </c>
      <c r="Q99" s="15">
        <v>4766797</v>
      </c>
    </row>
    <row r="100" ht="13.65" customHeight="1">
      <c r="A100" t="s" s="27">
        <v>1294</v>
      </c>
      <c r="B100" t="s" s="13">
        <v>22</v>
      </c>
      <c r="C100" s="31">
        <v>44426</v>
      </c>
      <c r="D100" s="14">
        <v>1514.65</v>
      </c>
      <c r="E100" s="14">
        <v>1556.7</v>
      </c>
      <c r="F100" s="14">
        <v>1565.35</v>
      </c>
      <c r="G100" s="14">
        <v>1508.35</v>
      </c>
      <c r="H100" s="14">
        <v>1511.5</v>
      </c>
      <c r="I100" s="14">
        <v>1513</v>
      </c>
      <c r="J100" s="14">
        <v>1538.32</v>
      </c>
      <c r="K100" t="s" s="13">
        <v>1674</v>
      </c>
      <c r="L100" t="s" s="13">
        <v>1675</v>
      </c>
      <c r="M100" t="s" s="13">
        <v>1676</v>
      </c>
      <c r="N100" t="s" s="13">
        <v>1677</v>
      </c>
      <c r="O100" s="15">
        <v>35.11</v>
      </c>
      <c r="P100" s="30" cm="1">
        <f t="array" ref="P100">(I100-I99)/I99</f>
        <v>-0.00108936057835143</v>
      </c>
      <c r="Q100" s="15">
        <v>7457046</v>
      </c>
    </row>
    <row r="101" ht="13.65" customHeight="1">
      <c r="A101" t="s" s="27">
        <v>1294</v>
      </c>
      <c r="B101" t="s" s="13">
        <v>22</v>
      </c>
      <c r="C101" s="31">
        <v>44428</v>
      </c>
      <c r="D101" s="14">
        <v>1513</v>
      </c>
      <c r="E101" s="14">
        <v>1486.05</v>
      </c>
      <c r="F101" s="14">
        <v>1519.8</v>
      </c>
      <c r="G101" s="14">
        <v>1486.05</v>
      </c>
      <c r="H101" s="14">
        <v>1514.25</v>
      </c>
      <c r="I101" s="14">
        <v>1514.75</v>
      </c>
      <c r="J101" s="14">
        <v>1505.48</v>
      </c>
      <c r="K101" t="s" s="13">
        <v>1678</v>
      </c>
      <c r="L101" t="s" s="13">
        <v>1679</v>
      </c>
      <c r="M101" t="s" s="13">
        <v>1680</v>
      </c>
      <c r="N101" t="s" s="13">
        <v>1681</v>
      </c>
      <c r="O101" s="15">
        <v>53.84</v>
      </c>
      <c r="P101" s="30" cm="1">
        <f t="array" ref="P101">(I101-I100)/I100</f>
        <v>0.0011566424322538</v>
      </c>
      <c r="Q101" s="15">
        <v>3999702</v>
      </c>
    </row>
    <row r="102" ht="13.65" customHeight="1">
      <c r="A102" t="s" s="27">
        <v>1294</v>
      </c>
      <c r="B102" t="s" s="13">
        <v>22</v>
      </c>
      <c r="C102" s="31">
        <v>44431</v>
      </c>
      <c r="D102" s="14">
        <v>1514.75</v>
      </c>
      <c r="E102" s="14">
        <v>1529.85</v>
      </c>
      <c r="F102" s="14">
        <v>1533.15</v>
      </c>
      <c r="G102" s="14">
        <v>1508.65</v>
      </c>
      <c r="H102" s="14">
        <v>1522.9</v>
      </c>
      <c r="I102" s="14">
        <v>1524.6</v>
      </c>
      <c r="J102" s="14">
        <v>1521.21</v>
      </c>
      <c r="K102" t="s" s="13">
        <v>1682</v>
      </c>
      <c r="L102" t="s" s="13">
        <v>1683</v>
      </c>
      <c r="M102" t="s" s="13">
        <v>1684</v>
      </c>
      <c r="N102" t="s" s="13">
        <v>1685</v>
      </c>
      <c r="O102" s="15">
        <v>59.35</v>
      </c>
      <c r="P102" s="30" cm="1">
        <f t="array" ref="P102">(I102-I101)/I101</f>
        <v>0.00650272322165374</v>
      </c>
      <c r="Q102" s="15">
        <v>6857063</v>
      </c>
    </row>
    <row r="103" ht="13.65" customHeight="1">
      <c r="A103" t="s" s="27">
        <v>1294</v>
      </c>
      <c r="B103" t="s" s="13">
        <v>22</v>
      </c>
      <c r="C103" s="31">
        <v>44432</v>
      </c>
      <c r="D103" s="14">
        <v>1524.6</v>
      </c>
      <c r="E103" s="14">
        <v>1530</v>
      </c>
      <c r="F103" s="14">
        <v>1564.5</v>
      </c>
      <c r="G103" s="14">
        <v>1527.45</v>
      </c>
      <c r="H103" s="14">
        <v>1558</v>
      </c>
      <c r="I103" s="14">
        <v>1558.85</v>
      </c>
      <c r="J103" s="14">
        <v>1550.18</v>
      </c>
      <c r="K103" t="s" s="13">
        <v>1686</v>
      </c>
      <c r="L103" t="s" s="13">
        <v>1687</v>
      </c>
      <c r="M103" t="s" s="13">
        <v>1688</v>
      </c>
      <c r="N103" t="s" s="13">
        <v>1689</v>
      </c>
      <c r="O103" s="15">
        <v>66.67</v>
      </c>
      <c r="P103" s="30" cm="1">
        <f t="array" ref="P103">(I103-I102)/I102</f>
        <v>0.0224649088285452</v>
      </c>
      <c r="Q103" s="15">
        <v>6347738</v>
      </c>
    </row>
    <row r="104" ht="13.65" customHeight="1">
      <c r="A104" t="s" s="27">
        <v>1294</v>
      </c>
      <c r="B104" t="s" s="13">
        <v>22</v>
      </c>
      <c r="C104" s="31">
        <v>44433</v>
      </c>
      <c r="D104" s="14">
        <v>1558.85</v>
      </c>
      <c r="E104" s="14">
        <v>1552.1</v>
      </c>
      <c r="F104" s="14">
        <v>1564.8</v>
      </c>
      <c r="G104" s="14">
        <v>1548</v>
      </c>
      <c r="H104" s="14">
        <v>1555.25</v>
      </c>
      <c r="I104" s="14">
        <v>1557.4</v>
      </c>
      <c r="J104" s="14">
        <v>1556.63</v>
      </c>
      <c r="K104" t="s" s="13">
        <v>1690</v>
      </c>
      <c r="L104" t="s" s="13">
        <v>1691</v>
      </c>
      <c r="M104" t="s" s="13">
        <v>1692</v>
      </c>
      <c r="N104" t="s" s="13">
        <v>1693</v>
      </c>
      <c r="O104" s="15">
        <v>52.06</v>
      </c>
      <c r="P104" s="30" cm="1">
        <f t="array" ref="P104">(I104-I103)/I103</f>
        <v>-0.000930172883856689</v>
      </c>
      <c r="Q104" s="15">
        <v>9471790</v>
      </c>
    </row>
    <row r="105" ht="13.65" customHeight="1">
      <c r="A105" t="s" s="27">
        <v>1294</v>
      </c>
      <c r="B105" t="s" s="13">
        <v>22</v>
      </c>
      <c r="C105" s="31">
        <v>44434</v>
      </c>
      <c r="D105" s="14">
        <v>1557.4</v>
      </c>
      <c r="E105" s="14">
        <v>1550</v>
      </c>
      <c r="F105" s="14">
        <v>1571</v>
      </c>
      <c r="G105" s="14">
        <v>1543.45</v>
      </c>
      <c r="H105" s="14">
        <v>1555.1</v>
      </c>
      <c r="I105" s="14">
        <v>1554.8</v>
      </c>
      <c r="J105" s="14">
        <v>1559.33</v>
      </c>
      <c r="K105" t="s" s="13">
        <v>1694</v>
      </c>
      <c r="L105" t="s" s="13">
        <v>1695</v>
      </c>
      <c r="M105" t="s" s="13">
        <v>1696</v>
      </c>
      <c r="N105" t="s" s="13">
        <v>1697</v>
      </c>
      <c r="O105" s="15">
        <v>54.38</v>
      </c>
      <c r="P105" s="30" cm="1">
        <f t="array" ref="P105">(I105-I104)/I104</f>
        <v>-0.00166944908180301</v>
      </c>
      <c r="Q105" s="15">
        <v>548404</v>
      </c>
    </row>
    <row r="106" ht="13.65" customHeight="1">
      <c r="A106" t="s" s="27">
        <v>1294</v>
      </c>
      <c r="B106" t="s" s="13">
        <v>22</v>
      </c>
      <c r="C106" s="31">
        <v>44435</v>
      </c>
      <c r="D106" s="14">
        <v>1554.8</v>
      </c>
      <c r="E106" s="14">
        <v>1552</v>
      </c>
      <c r="F106" s="14">
        <v>1558.65</v>
      </c>
      <c r="G106" s="14">
        <v>1545.25</v>
      </c>
      <c r="H106" s="14">
        <v>1548.7</v>
      </c>
      <c r="I106" s="14">
        <v>1548.45</v>
      </c>
      <c r="J106" s="14">
        <v>1551.03</v>
      </c>
      <c r="K106" t="s" s="13">
        <v>1698</v>
      </c>
      <c r="L106" t="s" s="13">
        <v>1699</v>
      </c>
      <c r="M106" t="s" s="13">
        <v>1700</v>
      </c>
      <c r="N106" t="s" s="13">
        <v>1701</v>
      </c>
      <c r="O106" s="15">
        <v>53.05</v>
      </c>
      <c r="P106" s="30" cm="1">
        <f t="array" ref="P106">(I106-I105)/I105</f>
        <v>-0.00408412657576537</v>
      </c>
      <c r="Q106" s="15">
        <v>5103669</v>
      </c>
    </row>
    <row r="107" ht="13.65" customHeight="1">
      <c r="A107" t="s" s="27">
        <v>1294</v>
      </c>
      <c r="B107" t="s" s="13">
        <v>22</v>
      </c>
      <c r="C107" s="31">
        <v>44438</v>
      </c>
      <c r="D107" s="14">
        <v>1548.45</v>
      </c>
      <c r="E107" s="14">
        <v>1555.6</v>
      </c>
      <c r="F107" s="14">
        <v>1570</v>
      </c>
      <c r="G107" s="14">
        <v>1551.6</v>
      </c>
      <c r="H107" s="14">
        <v>1569</v>
      </c>
      <c r="I107" s="14">
        <v>1568.25</v>
      </c>
      <c r="J107" s="14">
        <v>1563.22</v>
      </c>
      <c r="K107" t="s" s="13">
        <v>1702</v>
      </c>
      <c r="L107" t="s" s="13">
        <v>1703</v>
      </c>
      <c r="M107" t="s" s="13">
        <v>1704</v>
      </c>
      <c r="N107" t="s" s="13">
        <v>1705</v>
      </c>
      <c r="O107" s="15">
        <v>60.62</v>
      </c>
      <c r="P107" s="30" cm="1">
        <f t="array" ref="P107">(I107-I106)/I106</f>
        <v>0.012786980528916</v>
      </c>
      <c r="Q107" s="15">
        <v>6618861</v>
      </c>
    </row>
    <row r="108" ht="13.65" customHeight="1">
      <c r="A108" t="s" s="27">
        <v>1294</v>
      </c>
      <c r="B108" t="s" s="13">
        <v>22</v>
      </c>
      <c r="C108" s="31">
        <v>44439</v>
      </c>
      <c r="D108" s="14">
        <v>1568.25</v>
      </c>
      <c r="E108" s="14">
        <v>1563.5</v>
      </c>
      <c r="F108" s="14">
        <v>1583.35</v>
      </c>
      <c r="G108" s="14">
        <v>1562.2</v>
      </c>
      <c r="H108" s="14">
        <v>1580.85</v>
      </c>
      <c r="I108" s="14">
        <v>1581.4</v>
      </c>
      <c r="J108" s="14">
        <v>1576.28</v>
      </c>
      <c r="K108" t="s" s="13">
        <v>1706</v>
      </c>
      <c r="L108" t="s" s="13">
        <v>1707</v>
      </c>
      <c r="M108" t="s" s="13">
        <v>1708</v>
      </c>
      <c r="N108" t="s" s="13">
        <v>1709</v>
      </c>
      <c r="O108" s="15">
        <v>63.09</v>
      </c>
      <c r="P108" s="30" cm="1">
        <f t="array" ref="P108">(I108-I107)/I107</f>
        <v>0.00838514267495616</v>
      </c>
      <c r="Q108" s="15">
        <v>4061160</v>
      </c>
    </row>
    <row r="109" ht="13.65" customHeight="1">
      <c r="A109" t="s" s="27">
        <v>1294</v>
      </c>
      <c r="B109" t="s" s="13">
        <v>22</v>
      </c>
      <c r="C109" s="28">
        <v>44440</v>
      </c>
      <c r="D109" s="14">
        <v>1581.4</v>
      </c>
      <c r="E109" s="14">
        <v>1575</v>
      </c>
      <c r="F109" s="14">
        <v>1598</v>
      </c>
      <c r="G109" s="14">
        <v>1574.5</v>
      </c>
      <c r="H109" s="14">
        <v>1575</v>
      </c>
      <c r="I109" s="14">
        <v>1579.1</v>
      </c>
      <c r="J109" s="14">
        <v>1586.67</v>
      </c>
      <c r="K109" t="s" s="13">
        <v>1710</v>
      </c>
      <c r="L109" t="s" s="13">
        <v>1711</v>
      </c>
      <c r="M109" t="s" s="13">
        <v>1712</v>
      </c>
      <c r="N109" t="s" s="13">
        <v>1713</v>
      </c>
      <c r="O109" s="15">
        <v>63.19</v>
      </c>
      <c r="P109" s="30" cm="1">
        <f t="array" ref="P109">(I109-I108)/I108</f>
        <v>-0.0014544074870368</v>
      </c>
      <c r="Q109" s="15">
        <v>6203437</v>
      </c>
    </row>
    <row r="110" ht="13.65" customHeight="1">
      <c r="A110" t="s" s="27">
        <v>1294</v>
      </c>
      <c r="B110" t="s" s="13">
        <v>22</v>
      </c>
      <c r="C110" s="28">
        <v>44441</v>
      </c>
      <c r="D110" s="14">
        <v>1579.1</v>
      </c>
      <c r="E110" s="14">
        <v>1574.1</v>
      </c>
      <c r="F110" s="14">
        <v>1592</v>
      </c>
      <c r="G110" s="14">
        <v>1571.25</v>
      </c>
      <c r="H110" s="14">
        <v>1589.7</v>
      </c>
      <c r="I110" s="14">
        <v>1589</v>
      </c>
      <c r="J110" s="14">
        <v>1583.1</v>
      </c>
      <c r="K110" t="s" s="13">
        <v>1714</v>
      </c>
      <c r="L110" t="s" s="13">
        <v>1715</v>
      </c>
      <c r="M110" t="s" s="13">
        <v>1716</v>
      </c>
      <c r="N110" t="s" s="13">
        <v>1717</v>
      </c>
      <c r="O110" s="15">
        <v>65.81999999999999</v>
      </c>
      <c r="P110" s="30" cm="1">
        <f t="array" ref="P110">(I110-I109)/I109</f>
        <v>0.006269393958584</v>
      </c>
      <c r="Q110" s="15">
        <v>8898875</v>
      </c>
    </row>
    <row r="111" ht="13.65" customHeight="1">
      <c r="A111" t="s" s="27">
        <v>1294</v>
      </c>
      <c r="B111" t="s" s="13">
        <v>22</v>
      </c>
      <c r="C111" s="28">
        <v>44442</v>
      </c>
      <c r="D111" s="14">
        <v>1589</v>
      </c>
      <c r="E111" s="14">
        <v>1586.1</v>
      </c>
      <c r="F111" s="14">
        <v>1598</v>
      </c>
      <c r="G111" s="14">
        <v>1568.3</v>
      </c>
      <c r="H111" s="14">
        <v>1576.55</v>
      </c>
      <c r="I111" s="14">
        <v>1576.05</v>
      </c>
      <c r="J111" s="14">
        <v>1582.31</v>
      </c>
      <c r="K111" t="s" s="13">
        <v>1718</v>
      </c>
      <c r="L111" t="s" s="13">
        <v>1719</v>
      </c>
      <c r="M111" t="s" s="13">
        <v>1720</v>
      </c>
      <c r="N111" t="s" s="13">
        <v>1721</v>
      </c>
      <c r="O111" s="15">
        <v>66.02</v>
      </c>
      <c r="P111" s="30" cm="1">
        <f t="array" ref="P111">(I111-I110)/I110</f>
        <v>-0.00814977973568282</v>
      </c>
      <c r="Q111" s="15">
        <v>6624821</v>
      </c>
    </row>
    <row r="112" ht="13.65" customHeight="1">
      <c r="A112" t="s" s="27">
        <v>1294</v>
      </c>
      <c r="B112" t="s" s="13">
        <v>22</v>
      </c>
      <c r="C112" s="28">
        <v>44445</v>
      </c>
      <c r="D112" s="14">
        <v>1576.05</v>
      </c>
      <c r="E112" s="14">
        <v>1579.95</v>
      </c>
      <c r="F112" s="14">
        <v>1580.95</v>
      </c>
      <c r="G112" s="14">
        <v>1561.95</v>
      </c>
      <c r="H112" s="14">
        <v>1565</v>
      </c>
      <c r="I112" s="14">
        <v>1565.7</v>
      </c>
      <c r="J112" s="14">
        <v>1569.45</v>
      </c>
      <c r="K112" t="s" s="13">
        <v>1722</v>
      </c>
      <c r="L112" t="s" s="13">
        <v>1723</v>
      </c>
      <c r="M112" t="s" s="13">
        <v>1724</v>
      </c>
      <c r="N112" t="s" s="13">
        <v>1725</v>
      </c>
      <c r="O112" s="15">
        <v>64.36</v>
      </c>
      <c r="P112" s="30" cm="1">
        <f t="array" ref="P112">(I112-I111)/I111</f>
        <v>-0.00656705053773675</v>
      </c>
      <c r="Q112" s="15">
        <v>6045328</v>
      </c>
    </row>
    <row r="113" ht="13.65" customHeight="1">
      <c r="A113" t="s" s="27">
        <v>1294</v>
      </c>
      <c r="B113" t="s" s="13">
        <v>22</v>
      </c>
      <c r="C113" s="28">
        <v>44446</v>
      </c>
      <c r="D113" s="14">
        <v>1565.7</v>
      </c>
      <c r="E113" s="14">
        <v>1562.5</v>
      </c>
      <c r="F113" s="14">
        <v>1582</v>
      </c>
      <c r="G113" s="14">
        <v>1555.2</v>
      </c>
      <c r="H113" s="14">
        <v>1570</v>
      </c>
      <c r="I113" s="14">
        <v>1569.25</v>
      </c>
      <c r="J113" s="14">
        <v>1569.81</v>
      </c>
      <c r="K113" t="s" s="13">
        <v>1726</v>
      </c>
      <c r="L113" t="s" s="13">
        <v>1727</v>
      </c>
      <c r="M113" t="s" s="13">
        <v>1728</v>
      </c>
      <c r="N113" t="s" s="13">
        <v>1729</v>
      </c>
      <c r="O113" s="15">
        <v>54.3</v>
      </c>
      <c r="P113" s="30" cm="1">
        <f t="array" ref="P113">(I113-I112)/I112</f>
        <v>0.00226735645398224</v>
      </c>
      <c r="Q113" s="15">
        <v>8213383</v>
      </c>
    </row>
    <row r="114" ht="13.65" customHeight="1">
      <c r="A114" t="s" s="27">
        <v>1294</v>
      </c>
      <c r="B114" t="s" s="13">
        <v>22</v>
      </c>
      <c r="C114" s="28">
        <v>44447</v>
      </c>
      <c r="D114" s="14">
        <v>1569.25</v>
      </c>
      <c r="E114" s="14">
        <v>1571.95</v>
      </c>
      <c r="F114" s="14">
        <v>1580.5</v>
      </c>
      <c r="G114" s="14">
        <v>1565.6</v>
      </c>
      <c r="H114" s="14">
        <v>1580</v>
      </c>
      <c r="I114" s="14">
        <v>1576.4</v>
      </c>
      <c r="J114" s="14">
        <v>1574.47</v>
      </c>
      <c r="K114" t="s" s="13">
        <v>1730</v>
      </c>
      <c r="L114" t="s" s="13">
        <v>1731</v>
      </c>
      <c r="M114" t="s" s="13">
        <v>1732</v>
      </c>
      <c r="N114" t="s" s="13">
        <v>1733</v>
      </c>
      <c r="O114" s="15">
        <v>59.64</v>
      </c>
      <c r="P114" s="30" cm="1">
        <f t="array" ref="P114">(I114-I113)/I113</f>
        <v>0.004556316711805</v>
      </c>
      <c r="Q114" s="15">
        <v>6087777</v>
      </c>
    </row>
    <row r="115" ht="13.65" customHeight="1">
      <c r="A115" t="s" s="27">
        <v>1294</v>
      </c>
      <c r="B115" t="s" s="13">
        <v>22</v>
      </c>
      <c r="C115" s="28">
        <v>44448</v>
      </c>
      <c r="D115" s="14">
        <v>1576.4</v>
      </c>
      <c r="E115" s="14">
        <v>1574</v>
      </c>
      <c r="F115" s="14">
        <v>1579.45</v>
      </c>
      <c r="G115" s="14">
        <v>1561</v>
      </c>
      <c r="H115" s="14">
        <v>1567</v>
      </c>
      <c r="I115" s="14">
        <v>1568.6</v>
      </c>
      <c r="J115" s="14">
        <v>1567.83</v>
      </c>
      <c r="K115" t="s" s="13">
        <v>1734</v>
      </c>
      <c r="L115" t="s" s="13">
        <v>1735</v>
      </c>
      <c r="M115" t="s" s="13">
        <v>1736</v>
      </c>
      <c r="N115" t="s" s="13">
        <v>1737</v>
      </c>
      <c r="O115" s="15">
        <v>64.68000000000001</v>
      </c>
      <c r="P115" s="30" cm="1">
        <f t="array" ref="P115">(I115-I114)/I114</f>
        <v>-0.00494798274549607</v>
      </c>
      <c r="Q115" s="15">
        <v>4869095</v>
      </c>
    </row>
    <row r="116" ht="13.65" customHeight="1">
      <c r="A116" t="s" s="27">
        <v>1294</v>
      </c>
      <c r="B116" t="s" s="13">
        <v>22</v>
      </c>
      <c r="C116" s="31">
        <v>44452</v>
      </c>
      <c r="D116" s="14">
        <v>1568.6</v>
      </c>
      <c r="E116" s="14">
        <v>1562</v>
      </c>
      <c r="F116" s="14">
        <v>1584</v>
      </c>
      <c r="G116" s="14">
        <v>1553.65</v>
      </c>
      <c r="H116" s="14">
        <v>1555.75</v>
      </c>
      <c r="I116" s="14">
        <v>1555.55</v>
      </c>
      <c r="J116" s="14">
        <v>1560.43</v>
      </c>
      <c r="K116" t="s" s="13">
        <v>1738</v>
      </c>
      <c r="L116" t="s" s="13">
        <v>1739</v>
      </c>
      <c r="M116" t="s" s="13">
        <v>1740</v>
      </c>
      <c r="N116" t="s" s="13">
        <v>1741</v>
      </c>
      <c r="O116" s="15">
        <v>74.89</v>
      </c>
      <c r="P116" s="30" cm="1">
        <f t="array" ref="P116">(I116-I115)/I115</f>
        <v>-0.00831952059161035</v>
      </c>
      <c r="Q116" s="15">
        <v>5454284</v>
      </c>
    </row>
    <row r="117" ht="13.65" customHeight="1">
      <c r="A117" t="s" s="27">
        <v>1294</v>
      </c>
      <c r="B117" t="s" s="13">
        <v>22</v>
      </c>
      <c r="C117" s="31">
        <v>44453</v>
      </c>
      <c r="D117" s="14">
        <v>1555.55</v>
      </c>
      <c r="E117" s="14">
        <v>1560</v>
      </c>
      <c r="F117" s="14">
        <v>1564.5</v>
      </c>
      <c r="G117" s="14">
        <v>1546.6</v>
      </c>
      <c r="H117" s="14">
        <v>1550</v>
      </c>
      <c r="I117" s="14">
        <v>1548.55</v>
      </c>
      <c r="J117" s="14">
        <v>1552.26</v>
      </c>
      <c r="K117" t="s" s="13">
        <v>1742</v>
      </c>
      <c r="L117" t="s" s="13">
        <v>1743</v>
      </c>
      <c r="M117" t="s" s="13">
        <v>1744</v>
      </c>
      <c r="N117" t="s" s="13">
        <v>1745</v>
      </c>
      <c r="O117" s="15">
        <v>76.81999999999999</v>
      </c>
      <c r="P117" s="30" cm="1">
        <f t="array" ref="P117">(I117-I116)/I116</f>
        <v>-0.00450001607148597</v>
      </c>
      <c r="Q117" s="15">
        <v>4493770</v>
      </c>
    </row>
    <row r="118" ht="13.65" customHeight="1">
      <c r="A118" t="s" s="27">
        <v>1294</v>
      </c>
      <c r="B118" t="s" s="13">
        <v>22</v>
      </c>
      <c r="C118" s="31">
        <v>44454</v>
      </c>
      <c r="D118" s="14">
        <v>1548.55</v>
      </c>
      <c r="E118" s="14">
        <v>1535</v>
      </c>
      <c r="F118" s="14">
        <v>1554.8</v>
      </c>
      <c r="G118" s="14">
        <v>1535</v>
      </c>
      <c r="H118" s="14">
        <v>1546.75</v>
      </c>
      <c r="I118" s="14">
        <v>1546.8</v>
      </c>
      <c r="J118" s="14">
        <v>1543.76</v>
      </c>
      <c r="K118" t="s" s="13">
        <v>1746</v>
      </c>
      <c r="L118" t="s" s="13">
        <v>1747</v>
      </c>
      <c r="M118" t="s" s="13">
        <v>1748</v>
      </c>
      <c r="N118" t="s" s="13">
        <v>1749</v>
      </c>
      <c r="O118" s="15">
        <v>73.13</v>
      </c>
      <c r="P118" s="30" cm="1">
        <f t="array" ref="P118">(I118-I117)/I117</f>
        <v>-0.00113008943850699</v>
      </c>
      <c r="Q118" s="15">
        <v>14428228</v>
      </c>
    </row>
    <row r="119" ht="13.65" customHeight="1">
      <c r="A119" t="s" s="27">
        <v>1294</v>
      </c>
      <c r="B119" t="s" s="13">
        <v>22</v>
      </c>
      <c r="C119" s="31">
        <v>44455</v>
      </c>
      <c r="D119" s="14">
        <v>1546.8</v>
      </c>
      <c r="E119" s="14">
        <v>1537.75</v>
      </c>
      <c r="F119" s="14">
        <v>1564.3</v>
      </c>
      <c r="G119" s="14">
        <v>1536.3</v>
      </c>
      <c r="H119" s="14">
        <v>1561</v>
      </c>
      <c r="I119" s="14">
        <v>1559.95</v>
      </c>
      <c r="J119" s="14">
        <v>1551.38</v>
      </c>
      <c r="K119" t="s" s="13">
        <v>1750</v>
      </c>
      <c r="L119" t="s" s="13">
        <v>1751</v>
      </c>
      <c r="M119" t="s" s="13">
        <v>1752</v>
      </c>
      <c r="N119" t="s" s="13">
        <v>1753</v>
      </c>
      <c r="O119" s="15">
        <v>48.32</v>
      </c>
      <c r="P119" s="30" cm="1">
        <f t="array" ref="P119">(I119-I118)/I118</f>
        <v>0.00850142229118179</v>
      </c>
      <c r="Q119" s="15">
        <v>7378644</v>
      </c>
    </row>
    <row r="120" ht="13.65" customHeight="1">
      <c r="A120" t="s" s="27">
        <v>1294</v>
      </c>
      <c r="B120" t="s" s="13">
        <v>22</v>
      </c>
      <c r="C120" s="31">
        <v>44456</v>
      </c>
      <c r="D120" s="14">
        <v>1559.95</v>
      </c>
      <c r="E120" s="14">
        <v>1569</v>
      </c>
      <c r="F120" s="14">
        <v>1589</v>
      </c>
      <c r="G120" s="14">
        <v>1559.2</v>
      </c>
      <c r="H120" s="14">
        <v>1585.55</v>
      </c>
      <c r="I120" s="14">
        <v>1582.15</v>
      </c>
      <c r="J120" s="14">
        <v>1576.23</v>
      </c>
      <c r="K120" t="s" s="13">
        <v>1754</v>
      </c>
      <c r="L120" t="s" s="13">
        <v>1755</v>
      </c>
      <c r="M120" t="s" s="13">
        <v>1756</v>
      </c>
      <c r="N120" t="s" s="13">
        <v>1757</v>
      </c>
      <c r="O120" s="15">
        <v>60.11</v>
      </c>
      <c r="P120" s="30" cm="1">
        <f t="array" ref="P120">(I120-I119)/I119</f>
        <v>0.0142312253597872</v>
      </c>
      <c r="Q120" s="15">
        <v>3112822</v>
      </c>
    </row>
    <row r="121" ht="13.65" customHeight="1">
      <c r="A121" t="s" s="27">
        <v>1294</v>
      </c>
      <c r="B121" t="s" s="13">
        <v>22</v>
      </c>
      <c r="C121" s="31">
        <v>44459</v>
      </c>
      <c r="D121" s="14">
        <v>1582.15</v>
      </c>
      <c r="E121" s="14">
        <v>1564</v>
      </c>
      <c r="F121" s="14">
        <v>1581.7</v>
      </c>
      <c r="G121" s="14">
        <v>1558</v>
      </c>
      <c r="H121" s="14">
        <v>1559.75</v>
      </c>
      <c r="I121" s="14">
        <v>1559.85</v>
      </c>
      <c r="J121" s="14">
        <v>1569.06</v>
      </c>
      <c r="K121" t="s" s="13">
        <v>1758</v>
      </c>
      <c r="L121" t="s" s="13">
        <v>1759</v>
      </c>
      <c r="M121" t="s" s="13">
        <v>1760</v>
      </c>
      <c r="N121" t="s" s="13">
        <v>1761</v>
      </c>
      <c r="O121" s="15">
        <v>59.64</v>
      </c>
      <c r="P121" s="30" cm="1">
        <f t="array" ref="P121">(I121-I120)/I120</f>
        <v>-0.0140947444932529</v>
      </c>
      <c r="Q121" s="15">
        <v>4088473</v>
      </c>
    </row>
    <row r="122" ht="13.65" customHeight="1">
      <c r="A122" t="s" s="27">
        <v>1294</v>
      </c>
      <c r="B122" t="s" s="13">
        <v>22</v>
      </c>
      <c r="C122" s="31">
        <v>44460</v>
      </c>
      <c r="D122" s="14">
        <v>1559.85</v>
      </c>
      <c r="E122" s="14">
        <v>1562</v>
      </c>
      <c r="F122" s="14">
        <v>1568.65</v>
      </c>
      <c r="G122" s="14">
        <v>1528.95</v>
      </c>
      <c r="H122" s="14">
        <v>1553.5</v>
      </c>
      <c r="I122" s="14">
        <v>1551.95</v>
      </c>
      <c r="J122" s="14">
        <v>1544.53</v>
      </c>
      <c r="K122" t="s" s="13">
        <v>1762</v>
      </c>
      <c r="L122" t="s" s="13">
        <v>1763</v>
      </c>
      <c r="M122" t="s" s="13">
        <v>1764</v>
      </c>
      <c r="N122" t="s" s="13">
        <v>1765</v>
      </c>
      <c r="O122" s="15">
        <v>62.85</v>
      </c>
      <c r="P122" s="30" cm="1">
        <f t="array" ref="P122">(I122-I121)/I121</f>
        <v>-0.0050645895438664</v>
      </c>
      <c r="Q122" s="15">
        <v>6540424</v>
      </c>
    </row>
    <row r="123" ht="13.65" customHeight="1">
      <c r="A123" t="s" s="27">
        <v>1294</v>
      </c>
      <c r="B123" t="s" s="13">
        <v>22</v>
      </c>
      <c r="C123" s="31">
        <v>44461</v>
      </c>
      <c r="D123" s="14">
        <v>1551.95</v>
      </c>
      <c r="E123" s="14">
        <v>1549</v>
      </c>
      <c r="F123" s="14">
        <v>1550.15</v>
      </c>
      <c r="G123" s="14">
        <v>1530</v>
      </c>
      <c r="H123" s="14">
        <v>1536.05</v>
      </c>
      <c r="I123" s="14">
        <v>1533.7</v>
      </c>
      <c r="J123" s="14">
        <v>1536.98</v>
      </c>
      <c r="K123" t="s" s="13">
        <v>1766</v>
      </c>
      <c r="L123" t="s" s="13">
        <v>1767</v>
      </c>
      <c r="M123" t="s" s="13">
        <v>1768</v>
      </c>
      <c r="N123" t="s" s="13">
        <v>1769</v>
      </c>
      <c r="O123" s="15">
        <v>57.51</v>
      </c>
      <c r="P123" s="30" cm="1">
        <f t="array" ref="P123">(I123-I122)/I122</f>
        <v>-0.011759399465189</v>
      </c>
      <c r="Q123" s="15">
        <v>3622781</v>
      </c>
    </row>
    <row r="124" ht="13.65" customHeight="1">
      <c r="A124" t="s" s="27">
        <v>1294</v>
      </c>
      <c r="B124" t="s" s="13">
        <v>22</v>
      </c>
      <c r="C124" s="31">
        <v>44462</v>
      </c>
      <c r="D124" s="14">
        <v>1533.7</v>
      </c>
      <c r="E124" s="14">
        <v>1542</v>
      </c>
      <c r="F124" s="14">
        <v>1572</v>
      </c>
      <c r="G124" s="14">
        <v>1542</v>
      </c>
      <c r="H124" s="14">
        <v>1571.6</v>
      </c>
      <c r="I124" s="14">
        <v>1570</v>
      </c>
      <c r="J124" s="14">
        <v>1561.26</v>
      </c>
      <c r="K124" t="s" s="13">
        <v>1770</v>
      </c>
      <c r="L124" t="s" s="13">
        <v>1771</v>
      </c>
      <c r="M124" t="s" s="13">
        <v>1772</v>
      </c>
      <c r="N124" t="s" s="13">
        <v>1773</v>
      </c>
      <c r="O124" s="15">
        <v>63.91</v>
      </c>
      <c r="P124" s="30" cm="1">
        <f t="array" ref="P124">(I124-I123)/I123</f>
        <v>0.0236682532437895</v>
      </c>
      <c r="Q124" s="15">
        <v>5632862</v>
      </c>
    </row>
    <row r="125" ht="13.65" customHeight="1">
      <c r="A125" t="s" s="27">
        <v>1294</v>
      </c>
      <c r="B125" t="s" s="13">
        <v>22</v>
      </c>
      <c r="C125" s="31">
        <v>44463</v>
      </c>
      <c r="D125" s="14">
        <v>1570</v>
      </c>
      <c r="E125" s="14">
        <v>1579</v>
      </c>
      <c r="F125" s="14">
        <v>1607.95</v>
      </c>
      <c r="G125" s="14">
        <v>1575</v>
      </c>
      <c r="H125" s="14">
        <v>1599.5</v>
      </c>
      <c r="I125" s="14">
        <v>1601.55</v>
      </c>
      <c r="J125" s="14">
        <v>1593.03</v>
      </c>
      <c r="K125" t="s" s="13">
        <v>1774</v>
      </c>
      <c r="L125" t="s" s="13">
        <v>1775</v>
      </c>
      <c r="M125" t="s" s="13">
        <v>1776</v>
      </c>
      <c r="N125" t="s" s="13">
        <v>1777</v>
      </c>
      <c r="O125" s="15">
        <v>59.71</v>
      </c>
      <c r="P125" s="30" cm="1">
        <f t="array" ref="P125">(I125-I124)/I124</f>
        <v>0.0200955414012739</v>
      </c>
      <c r="Q125" s="15">
        <v>9300415</v>
      </c>
    </row>
    <row r="126" ht="13.65" customHeight="1">
      <c r="A126" t="s" s="27">
        <v>1294</v>
      </c>
      <c r="B126" t="s" s="13">
        <v>22</v>
      </c>
      <c r="C126" s="31">
        <v>44466</v>
      </c>
      <c r="D126" s="14">
        <v>1601.55</v>
      </c>
      <c r="E126" s="14">
        <v>1615.7</v>
      </c>
      <c r="F126" s="14">
        <v>1635.5</v>
      </c>
      <c r="G126" s="14">
        <v>1608</v>
      </c>
      <c r="H126" s="14">
        <v>1625</v>
      </c>
      <c r="I126" s="14">
        <v>1625.1</v>
      </c>
      <c r="J126" s="14">
        <v>1626.52</v>
      </c>
      <c r="K126" t="s" s="13">
        <v>1778</v>
      </c>
      <c r="L126" t="s" s="13">
        <v>1779</v>
      </c>
      <c r="M126" t="s" s="13">
        <v>1780</v>
      </c>
      <c r="N126" t="s" s="13">
        <v>1781</v>
      </c>
      <c r="O126" s="15">
        <v>61.67</v>
      </c>
      <c r="P126" s="30" cm="1">
        <f t="array" ref="P126">(I126-I125)/I125</f>
        <v>0.0147045050107708</v>
      </c>
      <c r="Q126" s="15">
        <v>5128589</v>
      </c>
    </row>
    <row r="127" ht="13.65" customHeight="1">
      <c r="A127" t="s" s="27">
        <v>1294</v>
      </c>
      <c r="B127" t="s" s="13">
        <v>22</v>
      </c>
      <c r="C127" s="31">
        <v>44467</v>
      </c>
      <c r="D127" s="14">
        <v>1625.1</v>
      </c>
      <c r="E127" s="14">
        <v>1632</v>
      </c>
      <c r="F127" s="14">
        <v>1632</v>
      </c>
      <c r="G127" s="14">
        <v>1582</v>
      </c>
      <c r="H127" s="14">
        <v>1606.8</v>
      </c>
      <c r="I127" s="14">
        <v>1615.05</v>
      </c>
      <c r="J127" s="14">
        <v>1605.07</v>
      </c>
      <c r="K127" t="s" s="13">
        <v>1782</v>
      </c>
      <c r="L127" t="s" s="13">
        <v>1783</v>
      </c>
      <c r="M127" t="s" s="13">
        <v>1784</v>
      </c>
      <c r="N127" t="s" s="13">
        <v>1785</v>
      </c>
      <c r="O127" s="15">
        <v>54.37</v>
      </c>
      <c r="P127" s="30" cm="1">
        <f t="array" ref="P127">(I127-I126)/I126</f>
        <v>-0.006184234816319</v>
      </c>
      <c r="Q127" s="15">
        <v>3525514</v>
      </c>
    </row>
    <row r="128" ht="13.65" customHeight="1">
      <c r="A128" t="s" s="27">
        <v>1294</v>
      </c>
      <c r="B128" t="s" s="13">
        <v>22</v>
      </c>
      <c r="C128" s="31">
        <v>44468</v>
      </c>
      <c r="D128" s="14">
        <v>1615.05</v>
      </c>
      <c r="E128" s="14">
        <v>1597</v>
      </c>
      <c r="F128" s="14">
        <v>1606.6</v>
      </c>
      <c r="G128" s="14">
        <v>1585.15</v>
      </c>
      <c r="H128" s="14">
        <v>1594.85</v>
      </c>
      <c r="I128" s="14">
        <v>1593.85</v>
      </c>
      <c r="J128" s="14">
        <v>1595.02</v>
      </c>
      <c r="K128" t="s" s="13">
        <v>1786</v>
      </c>
      <c r="L128" t="s" s="13">
        <v>1787</v>
      </c>
      <c r="M128" t="s" s="13">
        <v>1788</v>
      </c>
      <c r="N128" t="s" s="13">
        <v>1789</v>
      </c>
      <c r="O128" s="15">
        <v>66.42</v>
      </c>
      <c r="P128" s="30" cm="1">
        <f t="array" ref="P128">(I128-I127)/I127</f>
        <v>-0.0131265285904461</v>
      </c>
      <c r="Q128" s="15">
        <v>5564298</v>
      </c>
    </row>
    <row r="129" ht="13.65" customHeight="1">
      <c r="A129" t="s" s="27">
        <v>1294</v>
      </c>
      <c r="B129" t="s" s="13">
        <v>22</v>
      </c>
      <c r="C129" s="31">
        <v>44469</v>
      </c>
      <c r="D129" s="14">
        <v>1593.85</v>
      </c>
      <c r="E129" s="14">
        <v>1586</v>
      </c>
      <c r="F129" s="14">
        <v>1606.35</v>
      </c>
      <c r="G129" s="14">
        <v>1583.1</v>
      </c>
      <c r="H129" s="14">
        <v>1592.85</v>
      </c>
      <c r="I129" s="14">
        <v>1594.95</v>
      </c>
      <c r="J129" s="14">
        <v>1594.87</v>
      </c>
      <c r="K129" t="s" s="13">
        <v>1790</v>
      </c>
      <c r="L129" t="s" s="13">
        <v>1791</v>
      </c>
      <c r="M129" t="s" s="13">
        <v>1792</v>
      </c>
      <c r="N129" t="s" s="13">
        <v>1793</v>
      </c>
      <c r="O129" s="15">
        <v>52.75</v>
      </c>
      <c r="P129" s="30" cm="1">
        <f t="array" ref="P129">(I129-I128)/I128</f>
        <v>0.00069015277472786</v>
      </c>
      <c r="Q129" s="15">
        <v>7987674</v>
      </c>
    </row>
    <row r="130" ht="13.65" customHeight="1">
      <c r="A130" t="s" s="27">
        <v>1294</v>
      </c>
      <c r="B130" t="s" s="13">
        <v>22</v>
      </c>
      <c r="C130" s="28">
        <v>44470</v>
      </c>
      <c r="D130" s="14">
        <v>1594.95</v>
      </c>
      <c r="E130" s="14">
        <v>1583</v>
      </c>
      <c r="F130" s="14">
        <v>1589</v>
      </c>
      <c r="G130" s="14">
        <v>1565.25</v>
      </c>
      <c r="H130" s="14">
        <v>1585.65</v>
      </c>
      <c r="I130" s="14">
        <v>1582.7</v>
      </c>
      <c r="J130" s="14">
        <v>1577.48</v>
      </c>
      <c r="K130" t="s" s="13">
        <v>1794</v>
      </c>
      <c r="L130" t="s" s="13">
        <v>1795</v>
      </c>
      <c r="M130" t="s" s="13">
        <v>1796</v>
      </c>
      <c r="N130" t="s" s="13">
        <v>1797</v>
      </c>
      <c r="O130" s="15">
        <v>69.41</v>
      </c>
      <c r="P130" s="30" cm="1">
        <f t="array" ref="P130">(I130-I129)/I129</f>
        <v>-0.00768049155145929</v>
      </c>
      <c r="Q130" s="15">
        <v>8131518</v>
      </c>
    </row>
    <row r="131" ht="13.65" customHeight="1">
      <c r="A131" t="s" s="27">
        <v>1294</v>
      </c>
      <c r="B131" t="s" s="13">
        <v>22</v>
      </c>
      <c r="C131" s="28">
        <v>44473</v>
      </c>
      <c r="D131" s="14">
        <v>1582.7</v>
      </c>
      <c r="E131" s="14">
        <v>1589</v>
      </c>
      <c r="F131" s="14">
        <v>1601.35</v>
      </c>
      <c r="G131" s="14">
        <v>1583.6</v>
      </c>
      <c r="H131" s="14">
        <v>1588</v>
      </c>
      <c r="I131" s="14">
        <v>1585.75</v>
      </c>
      <c r="J131" s="14">
        <v>1591.34</v>
      </c>
      <c r="K131" t="s" s="13">
        <v>1798</v>
      </c>
      <c r="L131" t="s" s="13">
        <v>1799</v>
      </c>
      <c r="M131" t="s" s="13">
        <v>1800</v>
      </c>
      <c r="N131" t="s" s="13">
        <v>1801</v>
      </c>
      <c r="O131" s="15">
        <v>63.54</v>
      </c>
      <c r="P131" s="30" cm="1">
        <f t="array" ref="P131">(I131-I130)/I130</f>
        <v>0.00192708662412333</v>
      </c>
      <c r="Q131" s="15">
        <v>6386895</v>
      </c>
    </row>
    <row r="132" ht="13.65" customHeight="1">
      <c r="A132" t="s" s="27">
        <v>1294</v>
      </c>
      <c r="B132" t="s" s="13">
        <v>22</v>
      </c>
      <c r="C132" s="28">
        <v>44474</v>
      </c>
      <c r="D132" s="14">
        <v>1585.75</v>
      </c>
      <c r="E132" s="14">
        <v>1592</v>
      </c>
      <c r="F132" s="14">
        <v>1597.5</v>
      </c>
      <c r="G132" s="14">
        <v>1576.25</v>
      </c>
      <c r="H132" s="14">
        <v>1593.8</v>
      </c>
      <c r="I132" s="14">
        <v>1595.45</v>
      </c>
      <c r="J132" s="14">
        <v>1589.01</v>
      </c>
      <c r="K132" t="s" s="13">
        <v>1802</v>
      </c>
      <c r="L132" t="s" s="13">
        <v>1803</v>
      </c>
      <c r="M132" t="s" s="13">
        <v>1804</v>
      </c>
      <c r="N132" t="s" s="13">
        <v>1805</v>
      </c>
      <c r="O132" s="15">
        <v>65.25</v>
      </c>
      <c r="P132" s="30" cm="1">
        <f t="array" ref="P132">(I132-I131)/I131</f>
        <v>0.006116979347312</v>
      </c>
      <c r="Q132" s="15">
        <v>8207731</v>
      </c>
    </row>
    <row r="133" ht="13.65" customHeight="1">
      <c r="A133" t="s" s="27">
        <v>1294</v>
      </c>
      <c r="B133" t="s" s="13">
        <v>22</v>
      </c>
      <c r="C133" s="28">
        <v>44475</v>
      </c>
      <c r="D133" s="14">
        <v>1595.45</v>
      </c>
      <c r="E133" s="14">
        <v>1596</v>
      </c>
      <c r="F133" s="14">
        <v>1626.85</v>
      </c>
      <c r="G133" s="14">
        <v>1587</v>
      </c>
      <c r="H133" s="14">
        <v>1613</v>
      </c>
      <c r="I133" s="14">
        <v>1614.9</v>
      </c>
      <c r="J133" s="14">
        <v>1614.91</v>
      </c>
      <c r="K133" t="s" s="13">
        <v>1806</v>
      </c>
      <c r="L133" t="s" s="13">
        <v>1807</v>
      </c>
      <c r="M133" t="s" s="13">
        <v>1808</v>
      </c>
      <c r="N133" t="s" s="13">
        <v>1809</v>
      </c>
      <c r="O133" s="15">
        <v>66.95</v>
      </c>
      <c r="P133" s="30" cm="1">
        <f t="array" ref="P133">(I133-I132)/I132</f>
        <v>0.0121909179228431</v>
      </c>
      <c r="Q133" s="15">
        <v>10403351</v>
      </c>
    </row>
    <row r="134" ht="13.65" customHeight="1">
      <c r="A134" t="s" s="27">
        <v>1294</v>
      </c>
      <c r="B134" t="s" s="13">
        <v>22</v>
      </c>
      <c r="C134" s="28">
        <v>44476</v>
      </c>
      <c r="D134" s="14">
        <v>1614.9</v>
      </c>
      <c r="E134" s="14">
        <v>1626.6</v>
      </c>
      <c r="F134" s="14">
        <v>1627.7</v>
      </c>
      <c r="G134" s="14">
        <v>1607</v>
      </c>
      <c r="H134" s="14">
        <v>1610.4</v>
      </c>
      <c r="I134" s="14">
        <v>1610.5</v>
      </c>
      <c r="J134" s="14">
        <v>1617.47</v>
      </c>
      <c r="K134" t="s" s="13">
        <v>1810</v>
      </c>
      <c r="L134" t="s" s="13">
        <v>1811</v>
      </c>
      <c r="M134" t="s" s="13">
        <v>1812</v>
      </c>
      <c r="N134" t="s" s="13">
        <v>1813</v>
      </c>
      <c r="O134" s="15">
        <v>61.43</v>
      </c>
      <c r="P134" s="30" cm="1">
        <f t="array" ref="P134">(I134-I133)/I133</f>
        <v>-0.00272462691188309</v>
      </c>
      <c r="Q134" s="15">
        <v>6832152</v>
      </c>
    </row>
    <row r="135" ht="13.65" customHeight="1">
      <c r="A135" t="s" s="27">
        <v>1294</v>
      </c>
      <c r="B135" t="s" s="13">
        <v>22</v>
      </c>
      <c r="C135" s="28">
        <v>44477</v>
      </c>
      <c r="D135" s="14">
        <v>1610.5</v>
      </c>
      <c r="E135" s="14">
        <v>1612</v>
      </c>
      <c r="F135" s="14">
        <v>1622</v>
      </c>
      <c r="G135" s="14">
        <v>1600.15</v>
      </c>
      <c r="H135" s="14">
        <v>1607</v>
      </c>
      <c r="I135" s="14">
        <v>1602.65</v>
      </c>
      <c r="J135" s="14">
        <v>1612.01</v>
      </c>
      <c r="K135" t="s" s="13">
        <v>1814</v>
      </c>
      <c r="L135" t="s" s="13">
        <v>1815</v>
      </c>
      <c r="M135" t="s" s="13">
        <v>1816</v>
      </c>
      <c r="N135" t="s" s="13">
        <v>1817</v>
      </c>
      <c r="O135" s="15">
        <v>63.44</v>
      </c>
      <c r="P135" s="30" cm="1">
        <f t="array" ref="P135">(I135-I134)/I134</f>
        <v>-0.00487426265135051</v>
      </c>
      <c r="Q135" s="15">
        <v>5291101</v>
      </c>
    </row>
    <row r="136" ht="13.65" customHeight="1">
      <c r="A136" t="s" s="27">
        <v>1294</v>
      </c>
      <c r="B136" t="s" s="13">
        <v>22</v>
      </c>
      <c r="C136" s="31">
        <v>44480</v>
      </c>
      <c r="D136" s="14">
        <v>1602.65</v>
      </c>
      <c r="E136" s="14">
        <v>1599.9</v>
      </c>
      <c r="F136" s="14">
        <v>1645</v>
      </c>
      <c r="G136" s="14">
        <v>1599</v>
      </c>
      <c r="H136" s="14">
        <v>1633.1</v>
      </c>
      <c r="I136" s="14">
        <v>1633.8</v>
      </c>
      <c r="J136" s="14">
        <v>1631.24</v>
      </c>
      <c r="K136" t="s" s="13">
        <v>1818</v>
      </c>
      <c r="L136" t="s" s="13">
        <v>1819</v>
      </c>
      <c r="M136" t="s" s="13">
        <v>1820</v>
      </c>
      <c r="N136" t="s" s="13">
        <v>1821</v>
      </c>
      <c r="O136" s="15">
        <v>65.56999999999999</v>
      </c>
      <c r="P136" s="30" cm="1">
        <f t="array" ref="P136">(I136-I135)/I135</f>
        <v>0.0194365582004805</v>
      </c>
      <c r="Q136" s="15">
        <v>7387498</v>
      </c>
    </row>
    <row r="137" ht="13.65" customHeight="1">
      <c r="A137" t="s" s="27">
        <v>1294</v>
      </c>
      <c r="B137" t="s" s="13">
        <v>22</v>
      </c>
      <c r="C137" s="31">
        <v>44481</v>
      </c>
      <c r="D137" s="14">
        <v>1633.8</v>
      </c>
      <c r="E137" s="14">
        <v>1625</v>
      </c>
      <c r="F137" s="14">
        <v>1641.55</v>
      </c>
      <c r="G137" s="14">
        <v>1625</v>
      </c>
      <c r="H137" s="14">
        <v>1630</v>
      </c>
      <c r="I137" s="14">
        <v>1629.6</v>
      </c>
      <c r="J137" s="14">
        <v>1632.78</v>
      </c>
      <c r="K137" t="s" s="13">
        <v>1822</v>
      </c>
      <c r="L137" t="s" s="13">
        <v>1823</v>
      </c>
      <c r="M137" t="s" s="13">
        <v>1824</v>
      </c>
      <c r="N137" t="s" s="13">
        <v>1825</v>
      </c>
      <c r="O137" s="15">
        <v>52.58</v>
      </c>
      <c r="P137" s="30" cm="1">
        <f t="array" ref="P137">(I137-I136)/I136</f>
        <v>-0.0025706940874036</v>
      </c>
      <c r="Q137" s="15">
        <v>4390805</v>
      </c>
    </row>
    <row r="138" ht="13.65" customHeight="1">
      <c r="A138" t="s" s="27">
        <v>1294</v>
      </c>
      <c r="B138" t="s" s="13">
        <v>22</v>
      </c>
      <c r="C138" s="31">
        <v>44482</v>
      </c>
      <c r="D138" s="14">
        <v>1629.6</v>
      </c>
      <c r="E138" s="14">
        <v>1637</v>
      </c>
      <c r="F138" s="14">
        <v>1648</v>
      </c>
      <c r="G138" s="14">
        <v>1630</v>
      </c>
      <c r="H138" s="14">
        <v>1637</v>
      </c>
      <c r="I138" s="14">
        <v>1639.4</v>
      </c>
      <c r="J138" s="14">
        <v>1638.14</v>
      </c>
      <c r="K138" t="s" s="13">
        <v>1826</v>
      </c>
      <c r="L138" t="s" s="13">
        <v>1827</v>
      </c>
      <c r="M138" t="s" s="13">
        <v>1828</v>
      </c>
      <c r="N138" t="s" s="13">
        <v>1829</v>
      </c>
      <c r="O138" s="15">
        <v>57.78</v>
      </c>
      <c r="P138" s="30" cm="1">
        <f t="array" ref="P138">(I138-I137)/I137</f>
        <v>0.00601374570446735</v>
      </c>
      <c r="Q138" s="15">
        <v>10249051</v>
      </c>
    </row>
    <row r="139" ht="13.65" customHeight="1">
      <c r="A139" t="s" s="27">
        <v>1294</v>
      </c>
      <c r="B139" t="s" s="13">
        <v>22</v>
      </c>
      <c r="C139" s="31">
        <v>44483</v>
      </c>
      <c r="D139" s="14">
        <v>1639.4</v>
      </c>
      <c r="E139" s="14">
        <v>1638</v>
      </c>
      <c r="F139" s="14">
        <v>1690</v>
      </c>
      <c r="G139" s="14">
        <v>1638</v>
      </c>
      <c r="H139" s="14">
        <v>1687</v>
      </c>
      <c r="I139" s="14">
        <v>1687.4</v>
      </c>
      <c r="J139" s="14">
        <v>1668.19</v>
      </c>
      <c r="K139" t="s" s="13">
        <v>1830</v>
      </c>
      <c r="L139" t="s" s="13">
        <v>1831</v>
      </c>
      <c r="M139" t="s" s="13">
        <v>1832</v>
      </c>
      <c r="N139" t="s" s="13">
        <v>1833</v>
      </c>
      <c r="O139" s="15">
        <v>51.98</v>
      </c>
      <c r="P139" s="30" cm="1">
        <f t="array" ref="P139">(I139-I138)/I138</f>
        <v>0.0292790045138465</v>
      </c>
      <c r="Q139" s="15">
        <v>5130275</v>
      </c>
    </row>
    <row r="140" ht="13.65" customHeight="1">
      <c r="A140" t="s" s="27">
        <v>1294</v>
      </c>
      <c r="B140" t="s" s="13">
        <v>22</v>
      </c>
      <c r="C140" s="31">
        <v>44487</v>
      </c>
      <c r="D140" s="14">
        <v>1687.4</v>
      </c>
      <c r="E140" s="14">
        <v>1705</v>
      </c>
      <c r="F140" s="14">
        <v>1725</v>
      </c>
      <c r="G140" s="14">
        <v>1667.05</v>
      </c>
      <c r="H140" s="14">
        <v>1674.5</v>
      </c>
      <c r="I140" s="14">
        <v>1670.3</v>
      </c>
      <c r="J140" s="14">
        <v>1690</v>
      </c>
      <c r="K140" t="s" s="13">
        <v>1834</v>
      </c>
      <c r="L140" t="s" s="13">
        <v>1835</v>
      </c>
      <c r="M140" t="s" s="13">
        <v>1836</v>
      </c>
      <c r="N140" t="s" s="13">
        <v>1837</v>
      </c>
      <c r="O140" s="15">
        <v>56.97</v>
      </c>
      <c r="P140" s="30" cm="1">
        <f t="array" ref="P140">(I140-I139)/I139</f>
        <v>-0.0101339338627474</v>
      </c>
      <c r="Q140" s="15">
        <v>7411499</v>
      </c>
    </row>
    <row r="141" ht="13.65" customHeight="1">
      <c r="A141" t="s" s="27">
        <v>1294</v>
      </c>
      <c r="B141" t="s" s="13">
        <v>22</v>
      </c>
      <c r="C141" s="31">
        <v>44488</v>
      </c>
      <c r="D141" s="14">
        <v>1670.3</v>
      </c>
      <c r="E141" s="14">
        <v>1675.45</v>
      </c>
      <c r="F141" s="14">
        <v>1692.45</v>
      </c>
      <c r="G141" s="14">
        <v>1671</v>
      </c>
      <c r="H141" s="14">
        <v>1687.6</v>
      </c>
      <c r="I141" s="14">
        <v>1688.7</v>
      </c>
      <c r="J141" s="14">
        <v>1685.37</v>
      </c>
      <c r="K141" t="s" s="13">
        <v>1838</v>
      </c>
      <c r="L141" t="s" s="13">
        <v>1839</v>
      </c>
      <c r="M141" t="s" s="13">
        <v>1840</v>
      </c>
      <c r="N141" t="s" s="13">
        <v>1841</v>
      </c>
      <c r="O141" s="15">
        <v>49.37</v>
      </c>
      <c r="P141" s="30" cm="1">
        <f t="array" ref="P141">(I141-I140)/I140</f>
        <v>0.0110159851523678</v>
      </c>
      <c r="Q141" s="15">
        <v>4879253</v>
      </c>
    </row>
    <row r="142" ht="13.65" customHeight="1">
      <c r="A142" t="s" s="27">
        <v>1294</v>
      </c>
      <c r="B142" t="s" s="13">
        <v>22</v>
      </c>
      <c r="C142" s="31">
        <v>44489</v>
      </c>
      <c r="D142" s="14">
        <v>1688.7</v>
      </c>
      <c r="E142" s="14">
        <v>1689.1</v>
      </c>
      <c r="F142" s="14">
        <v>1698.75</v>
      </c>
      <c r="G142" s="14">
        <v>1664.45</v>
      </c>
      <c r="H142" s="14">
        <v>1675.6</v>
      </c>
      <c r="I142" s="14">
        <v>1673.85</v>
      </c>
      <c r="J142" s="14">
        <v>1676.16</v>
      </c>
      <c r="K142" t="s" s="13">
        <v>1842</v>
      </c>
      <c r="L142" t="s" s="13">
        <v>1843</v>
      </c>
      <c r="M142" t="s" s="13">
        <v>1844</v>
      </c>
      <c r="N142" t="s" s="13">
        <v>1845</v>
      </c>
      <c r="O142" s="15">
        <v>64.56999999999999</v>
      </c>
      <c r="P142" s="30" cm="1">
        <f t="array" ref="P142">(I142-I141)/I141</f>
        <v>-0.00879374666903535</v>
      </c>
      <c r="Q142" s="15">
        <v>4479582</v>
      </c>
    </row>
    <row r="143" ht="13.65" customHeight="1">
      <c r="A143" t="s" s="27">
        <v>1294</v>
      </c>
      <c r="B143" t="s" s="13">
        <v>22</v>
      </c>
      <c r="C143" s="31">
        <v>44490</v>
      </c>
      <c r="D143" s="14">
        <v>1673.85</v>
      </c>
      <c r="E143" s="14">
        <v>1671.8</v>
      </c>
      <c r="F143" s="14">
        <v>1681.95</v>
      </c>
      <c r="G143" s="14">
        <v>1660.85</v>
      </c>
      <c r="H143" s="14">
        <v>1680</v>
      </c>
      <c r="I143" s="14">
        <v>1676.3</v>
      </c>
      <c r="J143" s="14">
        <v>1672.14</v>
      </c>
      <c r="K143" t="s" s="13">
        <v>1846</v>
      </c>
      <c r="L143" t="s" s="13">
        <v>1847</v>
      </c>
      <c r="M143" t="s" s="13">
        <v>1848</v>
      </c>
      <c r="N143" t="s" s="13">
        <v>1849</v>
      </c>
      <c r="O143" s="15">
        <v>60.1</v>
      </c>
      <c r="P143" s="30" cm="1">
        <f t="array" ref="P143">(I143-I142)/I142</f>
        <v>0.00146369148967948</v>
      </c>
      <c r="Q143" s="15">
        <v>4125474</v>
      </c>
    </row>
    <row r="144" ht="13.65" customHeight="1">
      <c r="A144" t="s" s="27">
        <v>1294</v>
      </c>
      <c r="B144" t="s" s="13">
        <v>22</v>
      </c>
      <c r="C144" s="31">
        <v>44491</v>
      </c>
      <c r="D144" s="14">
        <v>1676.3</v>
      </c>
      <c r="E144" s="14">
        <v>1680.1</v>
      </c>
      <c r="F144" s="14">
        <v>1708</v>
      </c>
      <c r="G144" s="14">
        <v>1670.75</v>
      </c>
      <c r="H144" s="14">
        <v>1683</v>
      </c>
      <c r="I144" s="14">
        <v>1680.75</v>
      </c>
      <c r="J144" s="14">
        <v>1692.82</v>
      </c>
      <c r="K144" t="s" s="13">
        <v>1850</v>
      </c>
      <c r="L144" t="s" s="13">
        <v>1851</v>
      </c>
      <c r="M144" t="s" s="13">
        <v>1852</v>
      </c>
      <c r="N144" t="s" s="13">
        <v>1853</v>
      </c>
      <c r="O144" s="15">
        <v>52.1</v>
      </c>
      <c r="P144" s="30" cm="1">
        <f t="array" ref="P144">(I144-I143)/I143</f>
        <v>0.00265465608781244</v>
      </c>
      <c r="Q144" s="15">
        <v>3362040</v>
      </c>
    </row>
    <row r="145" ht="13.65" customHeight="1">
      <c r="A145" t="s" s="27">
        <v>1294</v>
      </c>
      <c r="B145" t="s" s="13">
        <v>22</v>
      </c>
      <c r="C145" s="31">
        <v>44494</v>
      </c>
      <c r="D145" s="14">
        <v>1680.75</v>
      </c>
      <c r="E145" s="14">
        <v>1690</v>
      </c>
      <c r="F145" s="14">
        <v>1690</v>
      </c>
      <c r="G145" s="14">
        <v>1613.8</v>
      </c>
      <c r="H145" s="14">
        <v>1657.3</v>
      </c>
      <c r="I145" s="14">
        <v>1657</v>
      </c>
      <c r="J145" s="14">
        <v>1654.95</v>
      </c>
      <c r="K145" t="s" s="13">
        <v>1854</v>
      </c>
      <c r="L145" t="s" s="13">
        <v>1855</v>
      </c>
      <c r="M145" t="s" s="13">
        <v>1856</v>
      </c>
      <c r="N145" t="s" s="13">
        <v>1857</v>
      </c>
      <c r="O145" s="15">
        <v>48.78</v>
      </c>
      <c r="P145" s="30" cm="1">
        <f t="array" ref="P145">(I145-I144)/I144</f>
        <v>-0.0141305964599137</v>
      </c>
      <c r="Q145" s="15">
        <v>3622748</v>
      </c>
    </row>
    <row r="146" ht="13.65" customHeight="1">
      <c r="A146" t="s" s="27">
        <v>1294</v>
      </c>
      <c r="B146" t="s" s="13">
        <v>22</v>
      </c>
      <c r="C146" s="31">
        <v>44495</v>
      </c>
      <c r="D146" s="14">
        <v>1657</v>
      </c>
      <c r="E146" s="14">
        <v>1650</v>
      </c>
      <c r="F146" s="14">
        <v>1673.85</v>
      </c>
      <c r="G146" s="14">
        <v>1646.35</v>
      </c>
      <c r="H146" s="14">
        <v>1655.45</v>
      </c>
      <c r="I146" s="14">
        <v>1652.75</v>
      </c>
      <c r="J146" s="14">
        <v>1656.8</v>
      </c>
      <c r="K146" t="s" s="13">
        <v>1858</v>
      </c>
      <c r="L146" t="s" s="13">
        <v>1859</v>
      </c>
      <c r="M146" t="s" s="13">
        <v>1860</v>
      </c>
      <c r="N146" t="s" s="13">
        <v>1861</v>
      </c>
      <c r="O146" s="15">
        <v>71.04000000000001</v>
      </c>
      <c r="P146" s="30" cm="1">
        <f t="array" ref="P146">(I146-I145)/I145</f>
        <v>-0.00256487628243814</v>
      </c>
      <c r="Q146" s="15">
        <v>3938448</v>
      </c>
    </row>
    <row r="147" ht="13.65" customHeight="1">
      <c r="A147" t="s" s="27">
        <v>1294</v>
      </c>
      <c r="B147" t="s" s="13">
        <v>22</v>
      </c>
      <c r="C147" s="31">
        <v>44496</v>
      </c>
      <c r="D147" s="14">
        <v>1652.75</v>
      </c>
      <c r="E147" s="14">
        <v>1652.75</v>
      </c>
      <c r="F147" s="14">
        <v>1665.05</v>
      </c>
      <c r="G147" s="14">
        <v>1637.3</v>
      </c>
      <c r="H147" s="14">
        <v>1642.7</v>
      </c>
      <c r="I147" s="14">
        <v>1642.8</v>
      </c>
      <c r="J147" s="14">
        <v>1649.62</v>
      </c>
      <c r="K147" t="s" s="13">
        <v>1862</v>
      </c>
      <c r="L147" t="s" s="13">
        <v>1863</v>
      </c>
      <c r="M147" t="s" s="13">
        <v>1864</v>
      </c>
      <c r="N147" t="s" s="13">
        <v>1865</v>
      </c>
      <c r="O147" s="15">
        <v>73.2</v>
      </c>
      <c r="P147" s="30" cm="1">
        <f t="array" ref="P147">(I147-I146)/I146</f>
        <v>-0.00602026924822266</v>
      </c>
      <c r="Q147" s="15">
        <v>5367667</v>
      </c>
    </row>
    <row r="148" ht="13.65" customHeight="1">
      <c r="A148" t="s" s="27">
        <v>1294</v>
      </c>
      <c r="B148" t="s" s="13">
        <v>22</v>
      </c>
      <c r="C148" s="31">
        <v>44497</v>
      </c>
      <c r="D148" s="14">
        <v>1642.8</v>
      </c>
      <c r="E148" s="14">
        <v>1650</v>
      </c>
      <c r="F148" s="14">
        <v>1650</v>
      </c>
      <c r="G148" s="14">
        <v>1587.15</v>
      </c>
      <c r="H148" s="14">
        <v>1592.4</v>
      </c>
      <c r="I148" s="14">
        <v>1593.6</v>
      </c>
      <c r="J148" s="14">
        <v>1617.53</v>
      </c>
      <c r="K148" t="s" s="13">
        <v>1866</v>
      </c>
      <c r="L148" t="s" s="13">
        <v>1867</v>
      </c>
      <c r="M148" t="s" s="13">
        <v>1868</v>
      </c>
      <c r="N148" t="s" s="13">
        <v>1869</v>
      </c>
      <c r="O148" s="15">
        <v>59.8</v>
      </c>
      <c r="P148" s="30" cm="1">
        <f t="array" ref="P148">(I148-I147)/I147</f>
        <v>-0.0299488677867056</v>
      </c>
      <c r="Q148" s="15">
        <v>4809262</v>
      </c>
    </row>
    <row r="149" ht="13.65" customHeight="1">
      <c r="A149" t="s" s="27">
        <v>1294</v>
      </c>
      <c r="B149" t="s" s="13">
        <v>22</v>
      </c>
      <c r="C149" s="31">
        <v>44498</v>
      </c>
      <c r="D149" s="14">
        <v>1593.6</v>
      </c>
      <c r="E149" s="14">
        <v>1590</v>
      </c>
      <c r="F149" s="14">
        <v>1602</v>
      </c>
      <c r="G149" s="14">
        <v>1560</v>
      </c>
      <c r="H149" s="14">
        <v>1587.9</v>
      </c>
      <c r="I149" s="14">
        <v>1582.85</v>
      </c>
      <c r="J149" s="14">
        <v>1584.16</v>
      </c>
      <c r="K149" t="s" s="13">
        <v>1870</v>
      </c>
      <c r="L149" t="s" s="13">
        <v>1871</v>
      </c>
      <c r="M149" t="s" s="13">
        <v>1872</v>
      </c>
      <c r="N149" t="s" s="13">
        <v>1873</v>
      </c>
      <c r="O149" s="15">
        <v>56.57</v>
      </c>
      <c r="P149" s="30" cm="1">
        <f t="array" ref="P149">(I149-I148)/I148</f>
        <v>-0.00674573293172691</v>
      </c>
      <c r="Q149" s="15">
        <v>6211279</v>
      </c>
    </row>
    <row r="150" ht="13.65" customHeight="1">
      <c r="A150" t="s" s="27">
        <v>1294</v>
      </c>
      <c r="B150" t="s" s="13">
        <v>22</v>
      </c>
      <c r="C150" s="28">
        <v>44501</v>
      </c>
      <c r="D150" s="14">
        <v>1582.85</v>
      </c>
      <c r="E150" s="14">
        <v>1585</v>
      </c>
      <c r="F150" s="14">
        <v>1611</v>
      </c>
      <c r="G150" s="14">
        <v>1583.55</v>
      </c>
      <c r="H150" s="14">
        <v>1609</v>
      </c>
      <c r="I150" s="14">
        <v>1605.3</v>
      </c>
      <c r="J150" s="14">
        <v>1594.91</v>
      </c>
      <c r="K150" t="s" s="13">
        <v>1874</v>
      </c>
      <c r="L150" t="s" s="13">
        <v>1875</v>
      </c>
      <c r="M150" t="s" s="13">
        <v>1876</v>
      </c>
      <c r="N150" t="s" s="13">
        <v>1877</v>
      </c>
      <c r="O150" s="15">
        <v>53.84</v>
      </c>
      <c r="P150" s="30" cm="1">
        <f t="array" ref="P150">(I150-I149)/I149</f>
        <v>0.0141832770003475</v>
      </c>
      <c r="Q150" s="15">
        <v>6031288</v>
      </c>
    </row>
    <row r="151" ht="13.65" customHeight="1">
      <c r="A151" t="s" s="27">
        <v>1294</v>
      </c>
      <c r="B151" t="s" s="13">
        <v>22</v>
      </c>
      <c r="C151" s="28">
        <v>44502</v>
      </c>
      <c r="D151" s="14">
        <v>1605.3</v>
      </c>
      <c r="E151" s="14">
        <v>1606</v>
      </c>
      <c r="F151" s="14">
        <v>1622</v>
      </c>
      <c r="G151" s="14">
        <v>1600.05</v>
      </c>
      <c r="H151" s="14">
        <v>1605</v>
      </c>
      <c r="I151" s="14">
        <v>1606.75</v>
      </c>
      <c r="J151" s="14">
        <v>1610.07</v>
      </c>
      <c r="K151" t="s" s="13">
        <v>1878</v>
      </c>
      <c r="L151" t="s" s="13">
        <v>1879</v>
      </c>
      <c r="M151" t="s" s="13">
        <v>1880</v>
      </c>
      <c r="N151" t="s" s="13">
        <v>1881</v>
      </c>
      <c r="O151" s="15">
        <v>65.38</v>
      </c>
      <c r="P151" s="30" cm="1">
        <f t="array" ref="P151">(I151-I150)/I150</f>
        <v>0.000903257958014078</v>
      </c>
      <c r="Q151" s="15">
        <v>4524583</v>
      </c>
    </row>
    <row r="152" ht="13.65" customHeight="1">
      <c r="A152" t="s" s="27">
        <v>1294</v>
      </c>
      <c r="B152" t="s" s="13">
        <v>22</v>
      </c>
      <c r="C152" s="28">
        <v>44503</v>
      </c>
      <c r="D152" s="14">
        <v>1606.75</v>
      </c>
      <c r="E152" s="14">
        <v>1605.1</v>
      </c>
      <c r="F152" s="14">
        <v>1609.9</v>
      </c>
      <c r="G152" s="14">
        <v>1575.55</v>
      </c>
      <c r="H152" s="14">
        <v>1582</v>
      </c>
      <c r="I152" s="14">
        <v>1581.45</v>
      </c>
      <c r="J152" s="14">
        <v>1596.24</v>
      </c>
      <c r="K152" t="s" s="13">
        <v>1882</v>
      </c>
      <c r="L152" t="s" s="13">
        <v>1883</v>
      </c>
      <c r="M152" t="s" s="13">
        <v>1884</v>
      </c>
      <c r="N152" t="s" s="13">
        <v>1885</v>
      </c>
      <c r="O152" s="15">
        <v>59.04</v>
      </c>
      <c r="P152" s="30" cm="1">
        <f t="array" ref="P152">(I152-I151)/I151</f>
        <v>-0.015746071261864</v>
      </c>
      <c r="Q152" s="15">
        <v>3191069</v>
      </c>
    </row>
    <row r="153" ht="13.65" customHeight="1">
      <c r="A153" t="s" s="27">
        <v>1294</v>
      </c>
      <c r="B153" t="s" s="13">
        <v>22</v>
      </c>
      <c r="C153" s="28">
        <v>44504</v>
      </c>
      <c r="D153" s="14">
        <v>1581.45</v>
      </c>
      <c r="E153" s="14">
        <v>1595</v>
      </c>
      <c r="F153" s="14">
        <v>1597.85</v>
      </c>
      <c r="G153" s="14">
        <v>1590.1</v>
      </c>
      <c r="H153" s="14">
        <v>1595.2</v>
      </c>
      <c r="I153" s="14">
        <v>1593.95</v>
      </c>
      <c r="J153" s="14">
        <v>1594.17</v>
      </c>
      <c r="K153" t="s" s="13">
        <v>1886</v>
      </c>
      <c r="L153" t="s" s="13">
        <v>1887</v>
      </c>
      <c r="M153" s="34">
        <v>41400</v>
      </c>
      <c r="N153" t="s" s="13">
        <v>1888</v>
      </c>
      <c r="O153" s="15">
        <v>59.72</v>
      </c>
      <c r="P153" s="30" cm="1">
        <f t="array" ref="P153">(I153-I152)/I152</f>
        <v>0.007904138606974609</v>
      </c>
      <c r="Q153" s="15">
        <v>5559501</v>
      </c>
    </row>
    <row r="154" ht="13.65" customHeight="1">
      <c r="A154" t="s" s="27">
        <v>1294</v>
      </c>
      <c r="B154" t="s" s="13">
        <v>22</v>
      </c>
      <c r="C154" s="28">
        <v>44508</v>
      </c>
      <c r="D154" s="14">
        <v>1593.95</v>
      </c>
      <c r="E154" s="14">
        <v>1592.1</v>
      </c>
      <c r="F154" s="14">
        <v>1604.7</v>
      </c>
      <c r="G154" s="14">
        <v>1570.45</v>
      </c>
      <c r="H154" s="14">
        <v>1600</v>
      </c>
      <c r="I154" s="14">
        <v>1600.25</v>
      </c>
      <c r="J154" s="14">
        <v>1586.02</v>
      </c>
      <c r="K154" t="s" s="13">
        <v>1889</v>
      </c>
      <c r="L154" t="s" s="13">
        <v>1890</v>
      </c>
      <c r="M154" t="s" s="13">
        <v>1891</v>
      </c>
      <c r="N154" t="s" s="13">
        <v>1892</v>
      </c>
      <c r="O154" s="15">
        <v>78.29000000000001</v>
      </c>
      <c r="P154" s="30" cm="1">
        <f t="array" ref="P154">(I154-I153)/I153</f>
        <v>0.00395244518334954</v>
      </c>
      <c r="Q154" s="15">
        <v>3863987</v>
      </c>
    </row>
    <row r="155" ht="13.65" customHeight="1">
      <c r="A155" t="s" s="27">
        <v>1294</v>
      </c>
      <c r="B155" t="s" s="13">
        <v>22</v>
      </c>
      <c r="C155" s="28">
        <v>44509</v>
      </c>
      <c r="D155" s="14">
        <v>1600.25</v>
      </c>
      <c r="E155" s="14">
        <v>1594.6</v>
      </c>
      <c r="F155" s="14">
        <v>1594.6</v>
      </c>
      <c r="G155" s="14">
        <v>1569.05</v>
      </c>
      <c r="H155" s="14">
        <v>1573</v>
      </c>
      <c r="I155" s="14">
        <v>1572.25</v>
      </c>
      <c r="J155" s="14">
        <v>1576.98</v>
      </c>
      <c r="K155" t="s" s="13">
        <v>1893</v>
      </c>
      <c r="L155" t="s" s="13">
        <v>1894</v>
      </c>
      <c r="M155" t="s" s="13">
        <v>1895</v>
      </c>
      <c r="N155" t="s" s="13">
        <v>1896</v>
      </c>
      <c r="O155" s="15">
        <v>72.68000000000001</v>
      </c>
      <c r="P155" s="30" cm="1">
        <f t="array" ref="P155">(I155-I154)/I154</f>
        <v>-0.0174972660521793</v>
      </c>
      <c r="Q155" s="15">
        <v>9190657</v>
      </c>
    </row>
    <row r="156" ht="13.65" customHeight="1">
      <c r="A156" t="s" s="27">
        <v>1294</v>
      </c>
      <c r="B156" t="s" s="13">
        <v>22</v>
      </c>
      <c r="C156" s="31">
        <v>44510</v>
      </c>
      <c r="D156" s="14">
        <v>1572.25</v>
      </c>
      <c r="E156" s="14">
        <v>1568</v>
      </c>
      <c r="F156" s="14">
        <v>1569</v>
      </c>
      <c r="G156" s="14">
        <v>1550</v>
      </c>
      <c r="H156" s="14">
        <v>1555</v>
      </c>
      <c r="I156" s="14">
        <v>1555.25</v>
      </c>
      <c r="J156" s="14">
        <v>1556.97</v>
      </c>
      <c r="K156" t="s" s="13">
        <v>1897</v>
      </c>
      <c r="L156" t="s" s="13">
        <v>1898</v>
      </c>
      <c r="M156" t="s" s="13">
        <v>1899</v>
      </c>
      <c r="N156" t="s" s="13">
        <v>1900</v>
      </c>
      <c r="O156" s="15">
        <v>77.53</v>
      </c>
      <c r="P156" s="30" cm="1">
        <f t="array" ref="P156">(I156-I155)/I155</f>
        <v>-0.0108125298139609</v>
      </c>
      <c r="Q156" s="15">
        <v>5421527</v>
      </c>
    </row>
    <row r="157" ht="13.65" customHeight="1">
      <c r="A157" t="s" s="27">
        <v>1294</v>
      </c>
      <c r="B157" t="s" s="13">
        <v>22</v>
      </c>
      <c r="C157" s="31">
        <v>44511</v>
      </c>
      <c r="D157" s="14">
        <v>1555.25</v>
      </c>
      <c r="E157" s="14">
        <v>1550.05</v>
      </c>
      <c r="F157" s="14">
        <v>1554.9</v>
      </c>
      <c r="G157" s="14">
        <v>1535.6</v>
      </c>
      <c r="H157" s="14">
        <v>1549.6</v>
      </c>
      <c r="I157" s="14">
        <v>1548.3</v>
      </c>
      <c r="J157" s="14">
        <v>1543.95</v>
      </c>
      <c r="K157" t="s" s="13">
        <v>1901</v>
      </c>
      <c r="L157" t="s" s="13">
        <v>1902</v>
      </c>
      <c r="M157" t="s" s="13">
        <v>1903</v>
      </c>
      <c r="N157" t="s" s="13">
        <v>1904</v>
      </c>
      <c r="O157" s="15">
        <v>59</v>
      </c>
      <c r="P157" s="30" cm="1">
        <f t="array" ref="P157">(I157-I156)/I156</f>
        <v>-0.00446873493007555</v>
      </c>
      <c r="Q157" s="15">
        <v>6575203</v>
      </c>
    </row>
    <row r="158" ht="13.65" customHeight="1">
      <c r="A158" t="s" s="27">
        <v>1294</v>
      </c>
      <c r="B158" t="s" s="13">
        <v>22</v>
      </c>
      <c r="C158" s="31">
        <v>44512</v>
      </c>
      <c r="D158" s="14">
        <v>1548.3</v>
      </c>
      <c r="E158" s="14">
        <v>1550</v>
      </c>
      <c r="F158" s="14">
        <v>1559.05</v>
      </c>
      <c r="G158" s="14">
        <v>1545.05</v>
      </c>
      <c r="H158" s="14">
        <v>1554.45</v>
      </c>
      <c r="I158" s="14">
        <v>1553</v>
      </c>
      <c r="J158" s="14">
        <v>1551.65</v>
      </c>
      <c r="K158" t="s" s="13">
        <v>1905</v>
      </c>
      <c r="L158" t="s" s="13">
        <v>1906</v>
      </c>
      <c r="M158" t="s" s="13">
        <v>1907</v>
      </c>
      <c r="N158" t="s" s="13">
        <v>1908</v>
      </c>
      <c r="O158" s="15">
        <v>80.84999999999999</v>
      </c>
      <c r="P158" s="30" cm="1">
        <f t="array" ref="P158">(I158-I157)/I157</f>
        <v>0.00303558741845895</v>
      </c>
      <c r="Q158" s="15">
        <v>11492966</v>
      </c>
    </row>
    <row r="159" ht="13.65" customHeight="1">
      <c r="A159" t="s" s="27">
        <v>1294</v>
      </c>
      <c r="B159" t="s" s="13">
        <v>22</v>
      </c>
      <c r="C159" s="31">
        <v>44515</v>
      </c>
      <c r="D159" s="14">
        <v>1553</v>
      </c>
      <c r="E159" s="14">
        <v>1562.1</v>
      </c>
      <c r="F159" s="14">
        <v>1571.85</v>
      </c>
      <c r="G159" s="14">
        <v>1554.4</v>
      </c>
      <c r="H159" s="14">
        <v>1555</v>
      </c>
      <c r="I159" s="14">
        <v>1557.25</v>
      </c>
      <c r="J159" s="14">
        <v>1561.48</v>
      </c>
      <c r="K159" t="s" s="13">
        <v>1909</v>
      </c>
      <c r="L159" t="s" s="13">
        <v>1910</v>
      </c>
      <c r="M159" t="s" s="13">
        <v>1911</v>
      </c>
      <c r="N159" t="s" s="13">
        <v>1912</v>
      </c>
      <c r="O159" s="15">
        <v>70.25</v>
      </c>
      <c r="P159" s="30" cm="1">
        <f t="array" ref="P159">(I159-I158)/I158</f>
        <v>0.00273663876368319</v>
      </c>
      <c r="Q159" s="15">
        <v>4141333</v>
      </c>
    </row>
    <row r="160" ht="13.65" customHeight="1">
      <c r="A160" t="s" s="27">
        <v>1294</v>
      </c>
      <c r="B160" t="s" s="13">
        <v>22</v>
      </c>
      <c r="C160" s="31">
        <v>44516</v>
      </c>
      <c r="D160" s="14">
        <v>1557.25</v>
      </c>
      <c r="E160" s="14">
        <v>1555</v>
      </c>
      <c r="F160" s="14">
        <v>1557.2</v>
      </c>
      <c r="G160" s="14">
        <v>1541.6</v>
      </c>
      <c r="H160" s="14">
        <v>1547.55</v>
      </c>
      <c r="I160" s="14">
        <v>1548</v>
      </c>
      <c r="J160" s="14">
        <v>1548.02</v>
      </c>
      <c r="K160" t="s" s="13">
        <v>1913</v>
      </c>
      <c r="L160" t="s" s="13">
        <v>1914</v>
      </c>
      <c r="M160" t="s" s="13">
        <v>1915</v>
      </c>
      <c r="N160" t="s" s="13">
        <v>1916</v>
      </c>
      <c r="O160" s="15">
        <v>75.7</v>
      </c>
      <c r="P160" s="30" cm="1">
        <f t="array" ref="P160">(I160-I159)/I159</f>
        <v>-0.00593995825975277</v>
      </c>
      <c r="Q160" s="15">
        <v>3126389</v>
      </c>
    </row>
    <row r="161" ht="13.65" customHeight="1">
      <c r="A161" t="s" s="27">
        <v>1294</v>
      </c>
      <c r="B161" t="s" s="13">
        <v>22</v>
      </c>
      <c r="C161" s="31">
        <v>44517</v>
      </c>
      <c r="D161" s="14">
        <v>1548</v>
      </c>
      <c r="E161" s="14">
        <v>1536.9</v>
      </c>
      <c r="F161" s="14">
        <v>1544</v>
      </c>
      <c r="G161" s="14">
        <v>1528.5</v>
      </c>
      <c r="H161" s="14">
        <v>1531.2</v>
      </c>
      <c r="I161" s="14">
        <v>1530.8</v>
      </c>
      <c r="J161" s="14">
        <v>1535.47</v>
      </c>
      <c r="K161" t="s" s="13">
        <v>1917</v>
      </c>
      <c r="L161" t="s" s="13">
        <v>1918</v>
      </c>
      <c r="M161" t="s" s="13">
        <v>1919</v>
      </c>
      <c r="N161" t="s" s="13">
        <v>1920</v>
      </c>
      <c r="O161" s="15">
        <v>63.86</v>
      </c>
      <c r="P161" s="30" cm="1">
        <f t="array" ref="P161">(I161-I160)/I160</f>
        <v>-0.0111111111111111</v>
      </c>
      <c r="Q161" s="15">
        <v>8329214</v>
      </c>
    </row>
    <row r="162" ht="13.65" customHeight="1">
      <c r="A162" t="s" s="27">
        <v>1294</v>
      </c>
      <c r="B162" t="s" s="13">
        <v>22</v>
      </c>
      <c r="C162" s="31">
        <v>44518</v>
      </c>
      <c r="D162" s="14">
        <v>1530.8</v>
      </c>
      <c r="E162" s="14">
        <v>1526.05</v>
      </c>
      <c r="F162" s="14">
        <v>1543.5</v>
      </c>
      <c r="G162" s="14">
        <v>1525.25</v>
      </c>
      <c r="H162" s="14">
        <v>1538.5</v>
      </c>
      <c r="I162" s="14">
        <v>1539.4</v>
      </c>
      <c r="J162" s="14">
        <v>1536.6</v>
      </c>
      <c r="K162" t="s" s="13">
        <v>1921</v>
      </c>
      <c r="L162" t="s" s="13">
        <v>1922</v>
      </c>
      <c r="M162" t="s" s="13">
        <v>1923</v>
      </c>
      <c r="N162" t="s" s="13">
        <v>1924</v>
      </c>
      <c r="O162" s="15">
        <v>60.65</v>
      </c>
      <c r="P162" s="30" cm="1">
        <f t="array" ref="P162">(I162-I161)/I161</f>
        <v>0.00561797752808989</v>
      </c>
      <c r="Q162" s="15">
        <v>4298837</v>
      </c>
    </row>
    <row r="163" ht="13.65" customHeight="1">
      <c r="A163" t="s" s="27">
        <v>1294</v>
      </c>
      <c r="B163" t="s" s="13">
        <v>22</v>
      </c>
      <c r="C163" s="31">
        <v>44522</v>
      </c>
      <c r="D163" s="14">
        <v>1539.4</v>
      </c>
      <c r="E163" s="14">
        <v>1546</v>
      </c>
      <c r="F163" s="14">
        <v>1552.7</v>
      </c>
      <c r="G163" s="14">
        <v>1499.05</v>
      </c>
      <c r="H163" s="14">
        <v>1520.95</v>
      </c>
      <c r="I163" s="14">
        <v>1515.35</v>
      </c>
      <c r="J163" s="14">
        <v>1524.17</v>
      </c>
      <c r="K163" t="s" s="13">
        <v>1925</v>
      </c>
      <c r="L163" t="s" s="13">
        <v>1926</v>
      </c>
      <c r="M163" t="s" s="13">
        <v>1927</v>
      </c>
      <c r="N163" t="s" s="13">
        <v>1928</v>
      </c>
      <c r="O163" s="15">
        <v>67.91</v>
      </c>
      <c r="P163" s="30" cm="1">
        <f t="array" ref="P163">(I163-I162)/I162</f>
        <v>-0.0156229699883071</v>
      </c>
      <c r="Q163" s="15">
        <v>6292893</v>
      </c>
    </row>
    <row r="164" ht="13.65" customHeight="1">
      <c r="A164" t="s" s="27">
        <v>1294</v>
      </c>
      <c r="B164" t="s" s="13">
        <v>22</v>
      </c>
      <c r="C164" s="31">
        <v>44523</v>
      </c>
      <c r="D164" s="14">
        <v>1515.35</v>
      </c>
      <c r="E164" s="14">
        <v>1502</v>
      </c>
      <c r="F164" s="14">
        <v>1527.8</v>
      </c>
      <c r="G164" s="14">
        <v>1496.35</v>
      </c>
      <c r="H164" s="14">
        <v>1517</v>
      </c>
      <c r="I164" s="14">
        <v>1515.55</v>
      </c>
      <c r="J164" s="14">
        <v>1517.4</v>
      </c>
      <c r="K164" t="s" s="13">
        <v>1929</v>
      </c>
      <c r="L164" t="s" s="13">
        <v>1930</v>
      </c>
      <c r="M164" t="s" s="13">
        <v>1931</v>
      </c>
      <c r="N164" t="s" s="13">
        <v>1932</v>
      </c>
      <c r="O164" s="15">
        <v>61.07</v>
      </c>
      <c r="P164" s="30" cm="1">
        <f t="array" ref="P164">(I164-I163)/I163</f>
        <v>0.000131982710264955</v>
      </c>
      <c r="Q164" s="15">
        <v>7419173</v>
      </c>
    </row>
    <row r="165" ht="13.65" customHeight="1">
      <c r="A165" t="s" s="27">
        <v>1294</v>
      </c>
      <c r="B165" t="s" s="13">
        <v>22</v>
      </c>
      <c r="C165" s="31">
        <v>44524</v>
      </c>
      <c r="D165" s="14">
        <v>1515.55</v>
      </c>
      <c r="E165" s="14">
        <v>1524</v>
      </c>
      <c r="F165" s="14">
        <v>1536.35</v>
      </c>
      <c r="G165" s="14">
        <v>1514.05</v>
      </c>
      <c r="H165" s="14">
        <v>1516.95</v>
      </c>
      <c r="I165" s="14">
        <v>1518.05</v>
      </c>
      <c r="J165" s="14">
        <v>1524.49</v>
      </c>
      <c r="K165" t="s" s="13">
        <v>1933</v>
      </c>
      <c r="L165" t="s" s="13">
        <v>1934</v>
      </c>
      <c r="M165" t="s" s="13">
        <v>1935</v>
      </c>
      <c r="N165" t="s" s="13">
        <v>1936</v>
      </c>
      <c r="O165" s="15">
        <v>85.95999999999999</v>
      </c>
      <c r="P165" s="30" cm="1">
        <f t="array" ref="P165">(I165-I164)/I164</f>
        <v>0.00164956616409884</v>
      </c>
      <c r="Q165" s="15">
        <v>5499024</v>
      </c>
    </row>
    <row r="166" ht="13.65" customHeight="1">
      <c r="A166" t="s" s="27">
        <v>1294</v>
      </c>
      <c r="B166" t="s" s="13">
        <v>22</v>
      </c>
      <c r="C166" s="31">
        <v>44525</v>
      </c>
      <c r="D166" s="14">
        <v>1518.05</v>
      </c>
      <c r="E166" s="14">
        <v>1514.8</v>
      </c>
      <c r="F166" s="14">
        <v>1533.3</v>
      </c>
      <c r="G166" s="14">
        <v>1507</v>
      </c>
      <c r="H166" s="14">
        <v>1522.8</v>
      </c>
      <c r="I166" s="14">
        <v>1525.95</v>
      </c>
      <c r="J166" s="14">
        <v>1518.57</v>
      </c>
      <c r="K166" t="s" s="13">
        <v>1937</v>
      </c>
      <c r="L166" t="s" s="13">
        <v>1938</v>
      </c>
      <c r="M166" t="s" s="13">
        <v>1939</v>
      </c>
      <c r="N166" t="s" s="13">
        <v>1940</v>
      </c>
      <c r="O166" s="15">
        <v>67.3</v>
      </c>
      <c r="P166" s="30" cm="1">
        <f t="array" ref="P166">(I166-I165)/I165</f>
        <v>0.00520404466256052</v>
      </c>
      <c r="Q166" s="15">
        <v>6669635</v>
      </c>
    </row>
    <row r="167" ht="13.65" customHeight="1">
      <c r="A167" t="s" s="27">
        <v>1294</v>
      </c>
      <c r="B167" t="s" s="13">
        <v>22</v>
      </c>
      <c r="C167" s="31">
        <v>44526</v>
      </c>
      <c r="D167" s="14">
        <v>1525.95</v>
      </c>
      <c r="E167" s="14">
        <v>1500</v>
      </c>
      <c r="F167" s="14">
        <v>1506.7</v>
      </c>
      <c r="G167" s="14">
        <v>1485</v>
      </c>
      <c r="H167" s="14">
        <v>1489.5</v>
      </c>
      <c r="I167" s="14">
        <v>1489.9</v>
      </c>
      <c r="J167" s="14">
        <v>1497.04</v>
      </c>
      <c r="K167" t="s" s="13">
        <v>1941</v>
      </c>
      <c r="L167" t="s" s="13">
        <v>1942</v>
      </c>
      <c r="M167" t="s" s="13">
        <v>1943</v>
      </c>
      <c r="N167" t="s" s="13">
        <v>1944</v>
      </c>
      <c r="O167" s="15">
        <v>76.47</v>
      </c>
      <c r="P167" s="30" cm="1">
        <f t="array" ref="P167">(I167-I166)/I166</f>
        <v>-0.0236246272813657</v>
      </c>
      <c r="Q167" s="15">
        <v>9411204</v>
      </c>
    </row>
    <row r="168" ht="13.65" customHeight="1">
      <c r="A168" t="s" s="27">
        <v>1294</v>
      </c>
      <c r="B168" t="s" s="13">
        <v>22</v>
      </c>
      <c r="C168" s="31">
        <v>44529</v>
      </c>
      <c r="D168" s="14">
        <v>1489.9</v>
      </c>
      <c r="E168" s="14">
        <v>1494.8</v>
      </c>
      <c r="F168" s="14">
        <v>1507.65</v>
      </c>
      <c r="G168" s="14">
        <v>1462</v>
      </c>
      <c r="H168" s="14">
        <v>1499.05</v>
      </c>
      <c r="I168" s="14">
        <v>1501.25</v>
      </c>
      <c r="J168" s="14">
        <v>1489</v>
      </c>
      <c r="K168" t="s" s="13">
        <v>1945</v>
      </c>
      <c r="L168" t="s" s="13">
        <v>1946</v>
      </c>
      <c r="M168" t="s" s="13">
        <v>1947</v>
      </c>
      <c r="N168" t="s" s="13">
        <v>1948</v>
      </c>
      <c r="O168" s="15">
        <v>61.6</v>
      </c>
      <c r="P168" s="30" cm="1">
        <f t="array" ref="P168">(I168-I167)/I167</f>
        <v>0.00761796093697564</v>
      </c>
      <c r="Q168" s="15">
        <v>11026974</v>
      </c>
    </row>
    <row r="169" ht="13.65" customHeight="1">
      <c r="A169" t="s" s="27">
        <v>1294</v>
      </c>
      <c r="B169" t="s" s="13">
        <v>22</v>
      </c>
      <c r="C169" s="31">
        <v>44530</v>
      </c>
      <c r="D169" s="14">
        <v>1501.25</v>
      </c>
      <c r="E169" s="14">
        <v>1495</v>
      </c>
      <c r="F169" s="14">
        <v>1529</v>
      </c>
      <c r="G169" s="14">
        <v>1486.55</v>
      </c>
      <c r="H169" s="14">
        <v>1490.8</v>
      </c>
      <c r="I169" s="14">
        <v>1493.55</v>
      </c>
      <c r="J169" s="14">
        <v>1508.6</v>
      </c>
      <c r="K169" t="s" s="13">
        <v>1949</v>
      </c>
      <c r="L169" t="s" s="13">
        <v>1950</v>
      </c>
      <c r="M169" t="s" s="13">
        <v>1951</v>
      </c>
      <c r="N169" t="s" s="13">
        <v>1952</v>
      </c>
      <c r="O169" s="15">
        <v>72.45</v>
      </c>
      <c r="P169" s="30" cm="1">
        <f t="array" ref="P169">(I169-I168)/I168</f>
        <v>-0.00512905911740216</v>
      </c>
      <c r="Q169" s="15">
        <v>6016560</v>
      </c>
    </row>
    <row r="170" ht="13.65" customHeight="1">
      <c r="A170" t="s" s="27">
        <v>1294</v>
      </c>
      <c r="B170" t="s" s="13">
        <v>22</v>
      </c>
      <c r="C170" s="28">
        <v>44531</v>
      </c>
      <c r="D170" s="14">
        <v>1493.55</v>
      </c>
      <c r="E170" s="14">
        <v>1495</v>
      </c>
      <c r="F170" s="14">
        <v>1507.05</v>
      </c>
      <c r="G170" s="14">
        <v>1489.1</v>
      </c>
      <c r="H170" s="14">
        <v>1506.4</v>
      </c>
      <c r="I170" s="14">
        <v>1504.65</v>
      </c>
      <c r="J170" s="14">
        <v>1500.08</v>
      </c>
      <c r="K170" t="s" s="13">
        <v>1953</v>
      </c>
      <c r="L170" t="s" s="13">
        <v>1954</v>
      </c>
      <c r="M170" t="s" s="13">
        <v>1955</v>
      </c>
      <c r="N170" t="s" s="13">
        <v>1956</v>
      </c>
      <c r="O170" s="15">
        <v>59.99</v>
      </c>
      <c r="P170" s="30" cm="1">
        <f t="array" ref="P170">(I170-I169)/I169</f>
        <v>0.00743195741689264</v>
      </c>
      <c r="Q170" s="15">
        <v>6629393</v>
      </c>
    </row>
    <row r="171" ht="13.65" customHeight="1">
      <c r="A171" t="s" s="27">
        <v>1294</v>
      </c>
      <c r="B171" t="s" s="13">
        <v>22</v>
      </c>
      <c r="C171" s="28">
        <v>44532</v>
      </c>
      <c r="D171" s="14">
        <v>1504.65</v>
      </c>
      <c r="E171" s="14">
        <v>1504.5</v>
      </c>
      <c r="F171" s="14">
        <v>1528.8</v>
      </c>
      <c r="G171" s="14">
        <v>1500</v>
      </c>
      <c r="H171" s="14">
        <v>1526</v>
      </c>
      <c r="I171" s="14">
        <v>1525.75</v>
      </c>
      <c r="J171" s="14">
        <v>1519.11</v>
      </c>
      <c r="K171" t="s" s="13">
        <v>1957</v>
      </c>
      <c r="L171" t="s" s="13">
        <v>1958</v>
      </c>
      <c r="M171" t="s" s="13">
        <v>1959</v>
      </c>
      <c r="N171" t="s" s="13">
        <v>1960</v>
      </c>
      <c r="O171" s="15">
        <v>68.45999999999999</v>
      </c>
      <c r="P171" s="30" cm="1">
        <f t="array" ref="P171">(I171-I170)/I170</f>
        <v>0.0140231947629017</v>
      </c>
      <c r="Q171" s="15">
        <v>5827744</v>
      </c>
    </row>
    <row r="172" ht="13.65" customHeight="1">
      <c r="A172" t="s" s="27">
        <v>1294</v>
      </c>
      <c r="B172" t="s" s="13">
        <v>22</v>
      </c>
      <c r="C172" s="28">
        <v>44533</v>
      </c>
      <c r="D172" s="14">
        <v>1525.75</v>
      </c>
      <c r="E172" s="14">
        <v>1525.8</v>
      </c>
      <c r="F172" s="14">
        <v>1535.95</v>
      </c>
      <c r="G172" s="14">
        <v>1507.05</v>
      </c>
      <c r="H172" s="14">
        <v>1514</v>
      </c>
      <c r="I172" s="14">
        <v>1513.55</v>
      </c>
      <c r="J172" s="14">
        <v>1522.48</v>
      </c>
      <c r="K172" t="s" s="13">
        <v>1961</v>
      </c>
      <c r="L172" t="s" s="13">
        <v>1962</v>
      </c>
      <c r="M172" t="s" s="13">
        <v>1963</v>
      </c>
      <c r="N172" t="s" s="13">
        <v>1964</v>
      </c>
      <c r="O172" s="15">
        <v>67.01000000000001</v>
      </c>
      <c r="P172" s="30" cm="1">
        <f t="array" ref="P172">(I172-I171)/I171</f>
        <v>-0.007996067507783059</v>
      </c>
      <c r="Q172" s="15">
        <v>6851115</v>
      </c>
    </row>
    <row r="173" ht="13.65" customHeight="1">
      <c r="A173" t="s" s="27">
        <v>1294</v>
      </c>
      <c r="B173" t="s" s="13">
        <v>22</v>
      </c>
      <c r="C173" s="28">
        <v>44536</v>
      </c>
      <c r="D173" s="14">
        <v>1513.55</v>
      </c>
      <c r="E173" s="14">
        <v>1513</v>
      </c>
      <c r="F173" s="14">
        <v>1518.8</v>
      </c>
      <c r="G173" s="14">
        <v>1497.35</v>
      </c>
      <c r="H173" s="14">
        <v>1504.7</v>
      </c>
      <c r="I173" s="14">
        <v>1503.8</v>
      </c>
      <c r="J173" s="14">
        <v>1507.25</v>
      </c>
      <c r="K173" t="s" s="13">
        <v>1965</v>
      </c>
      <c r="L173" t="s" s="13">
        <v>1966</v>
      </c>
      <c r="M173" t="s" s="13">
        <v>1967</v>
      </c>
      <c r="N173" t="s" s="13">
        <v>1968</v>
      </c>
      <c r="O173" s="15">
        <v>53.21</v>
      </c>
      <c r="P173" s="30" cm="1">
        <f t="array" ref="P173">(I173-I172)/I172</f>
        <v>-0.00644180899210465</v>
      </c>
      <c r="Q173" s="15">
        <v>10335171</v>
      </c>
    </row>
    <row r="174" ht="13.65" customHeight="1">
      <c r="A174" t="s" s="27">
        <v>1294</v>
      </c>
      <c r="B174" t="s" s="13">
        <v>22</v>
      </c>
      <c r="C174" s="28">
        <v>44537</v>
      </c>
      <c r="D174" s="14">
        <v>1503.8</v>
      </c>
      <c r="E174" s="14">
        <v>1513.95</v>
      </c>
      <c r="F174" s="14">
        <v>1532</v>
      </c>
      <c r="G174" s="14">
        <v>1509.9</v>
      </c>
      <c r="H174" s="14">
        <v>1524.65</v>
      </c>
      <c r="I174" s="14">
        <v>1525.7</v>
      </c>
      <c r="J174" s="14">
        <v>1523.82</v>
      </c>
      <c r="K174" t="s" s="13">
        <v>1969</v>
      </c>
      <c r="L174" t="s" s="13">
        <v>1970</v>
      </c>
      <c r="M174" t="s" s="13">
        <v>1971</v>
      </c>
      <c r="N174" t="s" s="13">
        <v>1972</v>
      </c>
      <c r="O174" s="15">
        <v>69.73999999999999</v>
      </c>
      <c r="P174" s="30" cm="1">
        <f t="array" ref="P174">(I174-I173)/I173</f>
        <v>0.0145631067961165</v>
      </c>
      <c r="Q174" s="15">
        <v>11200715</v>
      </c>
    </row>
    <row r="175" ht="13.65" customHeight="1">
      <c r="A175" t="s" s="27">
        <v>1294</v>
      </c>
      <c r="B175" t="s" s="13">
        <v>22</v>
      </c>
      <c r="C175" s="28">
        <v>44538</v>
      </c>
      <c r="D175" s="14">
        <v>1525.7</v>
      </c>
      <c r="E175" s="14">
        <v>1536</v>
      </c>
      <c r="F175" s="14">
        <v>1555.05</v>
      </c>
      <c r="G175" s="14">
        <v>1534</v>
      </c>
      <c r="H175" s="14">
        <v>1553.5</v>
      </c>
      <c r="I175" s="14">
        <v>1553.8</v>
      </c>
      <c r="J175" s="14">
        <v>1545.2</v>
      </c>
      <c r="K175" t="s" s="13">
        <v>1973</v>
      </c>
      <c r="L175" t="s" s="13">
        <v>1974</v>
      </c>
      <c r="M175" t="s" s="13">
        <v>1975</v>
      </c>
      <c r="N175" t="s" s="13">
        <v>1976</v>
      </c>
      <c r="O175" s="15">
        <v>73.77</v>
      </c>
      <c r="P175" s="30" cm="1">
        <f t="array" ref="P175">(I175-I174)/I174</f>
        <v>0.0184177754473356</v>
      </c>
      <c r="Q175" s="15">
        <v>6583583</v>
      </c>
    </row>
    <row r="176" ht="13.65" customHeight="1">
      <c r="A176" t="s" s="27">
        <v>1294</v>
      </c>
      <c r="B176" t="s" s="13">
        <v>22</v>
      </c>
      <c r="C176" s="28">
        <v>44539</v>
      </c>
      <c r="D176" s="14">
        <v>1553.8</v>
      </c>
      <c r="E176" s="14">
        <v>1545.2</v>
      </c>
      <c r="F176" s="14">
        <v>1554.7</v>
      </c>
      <c r="G176" s="14">
        <v>1522</v>
      </c>
      <c r="H176" s="14">
        <v>1526</v>
      </c>
      <c r="I176" s="14">
        <v>1526.85</v>
      </c>
      <c r="J176" s="14">
        <v>1530.57</v>
      </c>
      <c r="K176" t="s" s="13">
        <v>1977</v>
      </c>
      <c r="L176" t="s" s="13">
        <v>1978</v>
      </c>
      <c r="M176" t="s" s="13">
        <v>1979</v>
      </c>
      <c r="N176" t="s" s="13">
        <v>1980</v>
      </c>
      <c r="O176" s="15">
        <v>66.40000000000001</v>
      </c>
      <c r="P176" s="30" cm="1">
        <f t="array" ref="P176">(I176-I175)/I175</f>
        <v>-0.0173445745913245</v>
      </c>
      <c r="Q176" s="15">
        <v>6563342</v>
      </c>
    </row>
    <row r="177" ht="13.65" customHeight="1">
      <c r="A177" t="s" s="27">
        <v>1294</v>
      </c>
      <c r="B177" t="s" s="13">
        <v>22</v>
      </c>
      <c r="C177" s="31">
        <v>44540</v>
      </c>
      <c r="D177" s="14">
        <v>1526.85</v>
      </c>
      <c r="E177" s="14">
        <v>1524.9</v>
      </c>
      <c r="F177" s="14">
        <v>1528</v>
      </c>
      <c r="G177" s="14">
        <v>1508.45</v>
      </c>
      <c r="H177" s="14">
        <v>1524</v>
      </c>
      <c r="I177" s="14">
        <v>1522.55</v>
      </c>
      <c r="J177" s="14">
        <v>1521.33</v>
      </c>
      <c r="K177" t="s" s="13">
        <v>1981</v>
      </c>
      <c r="L177" t="s" s="13">
        <v>1982</v>
      </c>
      <c r="M177" t="s" s="13">
        <v>1983</v>
      </c>
      <c r="N177" t="s" s="13">
        <v>1984</v>
      </c>
      <c r="O177" s="15">
        <v>64.36</v>
      </c>
      <c r="P177" s="30" cm="1">
        <f t="array" ref="P177">(I177-I176)/I176</f>
        <v>-0.00281625568981891</v>
      </c>
      <c r="Q177" s="15">
        <v>6603557</v>
      </c>
    </row>
    <row r="178" ht="13.65" customHeight="1">
      <c r="A178" t="s" s="27">
        <v>1294</v>
      </c>
      <c r="B178" t="s" s="13">
        <v>22</v>
      </c>
      <c r="C178" s="31">
        <v>44543</v>
      </c>
      <c r="D178" s="14">
        <v>1522.55</v>
      </c>
      <c r="E178" s="14">
        <v>1526</v>
      </c>
      <c r="F178" s="14">
        <v>1537.65</v>
      </c>
      <c r="G178" s="14">
        <v>1507.2</v>
      </c>
      <c r="H178" s="14">
        <v>1513.2</v>
      </c>
      <c r="I178" s="14">
        <v>1511.15</v>
      </c>
      <c r="J178" s="14">
        <v>1523.63</v>
      </c>
      <c r="K178" t="s" s="13">
        <v>1985</v>
      </c>
      <c r="L178" t="s" s="13">
        <v>1986</v>
      </c>
      <c r="M178" t="s" s="13">
        <v>1987</v>
      </c>
      <c r="N178" t="s" s="13">
        <v>1988</v>
      </c>
      <c r="O178" s="15">
        <v>58.38</v>
      </c>
      <c r="P178" s="30" cm="1">
        <f t="array" ref="P178">(I178-I177)/I177</f>
        <v>-0.00748743883616302</v>
      </c>
      <c r="Q178" s="15">
        <v>12087125</v>
      </c>
    </row>
    <row r="179" ht="13.65" customHeight="1">
      <c r="A179" t="s" s="27">
        <v>1294</v>
      </c>
      <c r="B179" t="s" s="13">
        <v>22</v>
      </c>
      <c r="C179" s="31">
        <v>44544</v>
      </c>
      <c r="D179" s="14">
        <v>1511.15</v>
      </c>
      <c r="E179" s="14">
        <v>1502.5</v>
      </c>
      <c r="F179" s="14">
        <v>1516</v>
      </c>
      <c r="G179" s="14">
        <v>1497.05</v>
      </c>
      <c r="H179" s="14">
        <v>1504</v>
      </c>
      <c r="I179" s="14">
        <v>1502.45</v>
      </c>
      <c r="J179" s="14">
        <v>1505.1</v>
      </c>
      <c r="K179" t="s" s="13">
        <v>1989</v>
      </c>
      <c r="L179" t="s" s="13">
        <v>1990</v>
      </c>
      <c r="M179" t="s" s="13">
        <v>1991</v>
      </c>
      <c r="N179" t="s" s="13">
        <v>1992</v>
      </c>
      <c r="O179" s="15">
        <v>60.49</v>
      </c>
      <c r="P179" s="30" cm="1">
        <f t="array" ref="P179">(I179-I178)/I178</f>
        <v>-0.00575720477781822</v>
      </c>
      <c r="Q179" s="15">
        <v>12555800</v>
      </c>
    </row>
    <row r="180" ht="13.65" customHeight="1">
      <c r="A180" t="s" s="27">
        <v>1294</v>
      </c>
      <c r="B180" t="s" s="13">
        <v>22</v>
      </c>
      <c r="C180" s="31">
        <v>44545</v>
      </c>
      <c r="D180" s="14">
        <v>1502.45</v>
      </c>
      <c r="E180" s="14">
        <v>1503</v>
      </c>
      <c r="F180" s="14">
        <v>1523.35</v>
      </c>
      <c r="G180" s="14">
        <v>1495.65</v>
      </c>
      <c r="H180" s="14">
        <v>1500</v>
      </c>
      <c r="I180" s="14">
        <v>1500</v>
      </c>
      <c r="J180" s="14">
        <v>1504.12</v>
      </c>
      <c r="K180" t="s" s="13">
        <v>1993</v>
      </c>
      <c r="L180" t="s" s="13">
        <v>1994</v>
      </c>
      <c r="M180" t="s" s="13">
        <v>1995</v>
      </c>
      <c r="N180" t="s" s="13">
        <v>1996</v>
      </c>
      <c r="O180" s="15">
        <v>63.42</v>
      </c>
      <c r="P180" s="30" cm="1">
        <f t="array" ref="P180">(I180-I179)/I179</f>
        <v>-0.00163066990582049</v>
      </c>
      <c r="Q180" s="15">
        <v>2585314</v>
      </c>
    </row>
    <row r="181" ht="13.65" customHeight="1">
      <c r="A181" t="s" s="27">
        <v>1294</v>
      </c>
      <c r="B181" t="s" s="13">
        <v>22</v>
      </c>
      <c r="C181" s="31">
        <v>44546</v>
      </c>
      <c r="D181" s="14">
        <v>1500</v>
      </c>
      <c r="E181" s="14">
        <v>1512.8</v>
      </c>
      <c r="F181" s="14">
        <v>1517</v>
      </c>
      <c r="G181" s="14">
        <v>1494</v>
      </c>
      <c r="H181" s="14">
        <v>1503.35</v>
      </c>
      <c r="I181" s="14">
        <v>1500.1</v>
      </c>
      <c r="J181" s="14">
        <v>1505.13</v>
      </c>
      <c r="K181" t="s" s="13">
        <v>1997</v>
      </c>
      <c r="L181" t="s" s="13">
        <v>1998</v>
      </c>
      <c r="M181" t="s" s="13">
        <v>1999</v>
      </c>
      <c r="N181" t="s" s="13">
        <v>2000</v>
      </c>
      <c r="O181" s="15">
        <v>65.51000000000001</v>
      </c>
      <c r="P181" s="30" cm="1">
        <f t="array" ref="P181">(I181-I180)/I180</f>
        <v>6.66666666666667e-05</v>
      </c>
      <c r="Q181" s="15">
        <v>5219401</v>
      </c>
    </row>
    <row r="182" ht="13.65" customHeight="1">
      <c r="A182" t="s" s="27">
        <v>1294</v>
      </c>
      <c r="B182" t="s" s="13">
        <v>22</v>
      </c>
      <c r="C182" s="31">
        <v>44547</v>
      </c>
      <c r="D182" s="14">
        <v>1500.1</v>
      </c>
      <c r="E182" s="14">
        <v>1497</v>
      </c>
      <c r="F182" s="14">
        <v>1506</v>
      </c>
      <c r="G182" s="14">
        <v>1467.7</v>
      </c>
      <c r="H182" s="14">
        <v>1476</v>
      </c>
      <c r="I182" s="14">
        <v>1473.05</v>
      </c>
      <c r="J182" s="14">
        <v>1479.06</v>
      </c>
      <c r="K182" t="s" s="13">
        <v>2001</v>
      </c>
      <c r="L182" t="s" s="13">
        <v>2002</v>
      </c>
      <c r="M182" t="s" s="13">
        <v>2003</v>
      </c>
      <c r="N182" t="s" s="13">
        <v>2004</v>
      </c>
      <c r="O182" s="15">
        <v>58.48</v>
      </c>
      <c r="P182" s="30" cm="1">
        <f t="array" ref="P182">(I182-I181)/I181</f>
        <v>-0.0180321311912539</v>
      </c>
      <c r="Q182" s="15">
        <v>4894247</v>
      </c>
    </row>
    <row r="183" ht="13.65" customHeight="1">
      <c r="A183" t="s" s="27">
        <v>1294</v>
      </c>
      <c r="B183" t="s" s="13">
        <v>22</v>
      </c>
      <c r="C183" s="31">
        <v>44550</v>
      </c>
      <c r="D183" s="14">
        <v>1473.05</v>
      </c>
      <c r="E183" s="14">
        <v>1452</v>
      </c>
      <c r="F183" s="14">
        <v>1458</v>
      </c>
      <c r="G183" s="14">
        <v>1414.1</v>
      </c>
      <c r="H183" s="14">
        <v>1424.5</v>
      </c>
      <c r="I183" s="14">
        <v>1425.65</v>
      </c>
      <c r="J183" s="14">
        <v>1426.64</v>
      </c>
      <c r="K183" t="s" s="13">
        <v>2005</v>
      </c>
      <c r="L183" t="s" s="13">
        <v>2006</v>
      </c>
      <c r="M183" t="s" s="13">
        <v>2007</v>
      </c>
      <c r="N183" t="s" s="13">
        <v>2008</v>
      </c>
      <c r="O183" s="15">
        <v>57.95</v>
      </c>
      <c r="P183" s="30" cm="1">
        <f t="array" ref="P183">(I183-I182)/I182</f>
        <v>-0.0321781338040121</v>
      </c>
      <c r="Q183" s="15">
        <v>9089071</v>
      </c>
    </row>
    <row r="184" ht="13.65" customHeight="1">
      <c r="A184" t="s" s="27">
        <v>1294</v>
      </c>
      <c r="B184" t="s" s="13">
        <v>22</v>
      </c>
      <c r="C184" s="31">
        <v>44551</v>
      </c>
      <c r="D184" s="14">
        <v>1425.65</v>
      </c>
      <c r="E184" s="14">
        <v>1439.5</v>
      </c>
      <c r="F184" s="14">
        <v>1450.75</v>
      </c>
      <c r="G184" s="14">
        <v>1430</v>
      </c>
      <c r="H184" s="14">
        <v>1444.65</v>
      </c>
      <c r="I184" s="14">
        <v>1441.8</v>
      </c>
      <c r="J184" s="14">
        <v>1441.88</v>
      </c>
      <c r="K184" t="s" s="13">
        <v>2009</v>
      </c>
      <c r="L184" t="s" s="13">
        <v>2010</v>
      </c>
      <c r="M184" t="s" s="13">
        <v>2011</v>
      </c>
      <c r="N184" t="s" s="13">
        <v>2012</v>
      </c>
      <c r="O184" s="15">
        <v>64.19</v>
      </c>
      <c r="P184" s="30" cm="1">
        <f t="array" ref="P184">(I184-I183)/I183</f>
        <v>0.0113281660996738</v>
      </c>
      <c r="Q184" s="15">
        <v>7229489</v>
      </c>
    </row>
    <row r="185" ht="13.65" customHeight="1">
      <c r="A185" t="s" s="27">
        <v>1294</v>
      </c>
      <c r="B185" t="s" s="13">
        <v>22</v>
      </c>
      <c r="C185" s="31">
        <v>44552</v>
      </c>
      <c r="D185" s="14">
        <v>1441.8</v>
      </c>
      <c r="E185" s="14">
        <v>1452.3</v>
      </c>
      <c r="F185" s="14">
        <v>1456</v>
      </c>
      <c r="G185" s="14">
        <v>1435.7</v>
      </c>
      <c r="H185" s="14">
        <v>1447.5</v>
      </c>
      <c r="I185" s="14">
        <v>1445.2</v>
      </c>
      <c r="J185" s="14">
        <v>1443.59</v>
      </c>
      <c r="K185" t="s" s="13">
        <v>2013</v>
      </c>
      <c r="L185" t="s" s="13">
        <v>2014</v>
      </c>
      <c r="M185" t="s" s="13">
        <v>2015</v>
      </c>
      <c r="N185" t="s" s="13">
        <v>2016</v>
      </c>
      <c r="O185" s="15">
        <v>61.13</v>
      </c>
      <c r="P185" s="30" cm="1">
        <f t="array" ref="P185">(I185-I184)/I184</f>
        <v>0.00235816340685255</v>
      </c>
      <c r="Q185" s="15">
        <v>5347921</v>
      </c>
    </row>
    <row r="186" ht="13.65" customHeight="1">
      <c r="A186" t="s" s="27">
        <v>1294</v>
      </c>
      <c r="B186" t="s" s="13">
        <v>22</v>
      </c>
      <c r="C186" s="31">
        <v>44553</v>
      </c>
      <c r="D186" s="14">
        <v>1445.2</v>
      </c>
      <c r="E186" s="14">
        <v>1453.25</v>
      </c>
      <c r="F186" s="14">
        <v>1457.8</v>
      </c>
      <c r="G186" s="14">
        <v>1436.85</v>
      </c>
      <c r="H186" s="14">
        <v>1438.7</v>
      </c>
      <c r="I186" s="14">
        <v>1444.1</v>
      </c>
      <c r="J186" s="14">
        <v>1449.12</v>
      </c>
      <c r="K186" t="s" s="13">
        <v>2017</v>
      </c>
      <c r="L186" t="s" s="13">
        <v>2018</v>
      </c>
      <c r="M186" t="s" s="13">
        <v>2019</v>
      </c>
      <c r="N186" t="s" s="13">
        <v>2020</v>
      </c>
      <c r="O186" s="15">
        <v>71.34999999999999</v>
      </c>
      <c r="P186" s="30" cm="1">
        <f t="array" ref="P186">(I186-I185)/I185</f>
        <v>-0.000761140326598395</v>
      </c>
      <c r="Q186" s="15">
        <v>4210461</v>
      </c>
    </row>
    <row r="187" ht="13.65" customHeight="1">
      <c r="A187" t="s" s="27">
        <v>1294</v>
      </c>
      <c r="B187" t="s" s="13">
        <v>22</v>
      </c>
      <c r="C187" s="31">
        <v>44554</v>
      </c>
      <c r="D187" s="14">
        <v>1444.1</v>
      </c>
      <c r="E187" s="14">
        <v>1445.5</v>
      </c>
      <c r="F187" s="14">
        <v>1452</v>
      </c>
      <c r="G187" s="14">
        <v>1428</v>
      </c>
      <c r="H187" s="14">
        <v>1439.45</v>
      </c>
      <c r="I187" s="14">
        <v>1438.9</v>
      </c>
      <c r="J187" s="14">
        <v>1438.31</v>
      </c>
      <c r="K187" t="s" s="13">
        <v>2021</v>
      </c>
      <c r="L187" t="s" s="13">
        <v>2022</v>
      </c>
      <c r="M187" t="s" s="13">
        <v>2023</v>
      </c>
      <c r="N187" t="s" s="13">
        <v>2024</v>
      </c>
      <c r="O187" s="15">
        <v>47.94</v>
      </c>
      <c r="P187" s="30" cm="1">
        <f t="array" ref="P187">(I187-I186)/I186</f>
        <v>-0.00360085866629735</v>
      </c>
      <c r="Q187" s="15">
        <v>4814595</v>
      </c>
    </row>
    <row r="188" ht="13.65" customHeight="1">
      <c r="A188" t="s" s="27">
        <v>1294</v>
      </c>
      <c r="B188" t="s" s="13">
        <v>22</v>
      </c>
      <c r="C188" s="31">
        <v>44557</v>
      </c>
      <c r="D188" s="14">
        <v>1438.9</v>
      </c>
      <c r="E188" s="14">
        <v>1428.9</v>
      </c>
      <c r="F188" s="14">
        <v>1454</v>
      </c>
      <c r="G188" s="14">
        <v>1422.15</v>
      </c>
      <c r="H188" s="14">
        <v>1453</v>
      </c>
      <c r="I188" s="14">
        <v>1450.8</v>
      </c>
      <c r="J188" s="14">
        <v>1440.89</v>
      </c>
      <c r="K188" t="s" s="13">
        <v>2025</v>
      </c>
      <c r="L188" t="s" s="13">
        <v>2026</v>
      </c>
      <c r="M188" t="s" s="13">
        <v>2027</v>
      </c>
      <c r="N188" t="s" s="13">
        <v>2028</v>
      </c>
      <c r="O188" s="15">
        <v>45.06</v>
      </c>
      <c r="P188" s="30" cm="1">
        <f t="array" ref="P188">(I188-I187)/I187</f>
        <v>0.00827020640767253</v>
      </c>
      <c r="Q188" s="15">
        <v>8834516</v>
      </c>
    </row>
    <row r="189" ht="13.65" customHeight="1">
      <c r="A189" t="s" s="27">
        <v>1294</v>
      </c>
      <c r="B189" t="s" s="13">
        <v>22</v>
      </c>
      <c r="C189" s="31">
        <v>44558</v>
      </c>
      <c r="D189" s="14">
        <v>1450.8</v>
      </c>
      <c r="E189" s="14">
        <v>1460.7</v>
      </c>
      <c r="F189" s="14">
        <v>1466.9</v>
      </c>
      <c r="G189" s="14">
        <v>1453.4</v>
      </c>
      <c r="H189" s="14">
        <v>1460.95</v>
      </c>
      <c r="I189" s="14">
        <v>1460.8</v>
      </c>
      <c r="J189" s="14">
        <v>1460.32</v>
      </c>
      <c r="K189" t="s" s="13">
        <v>2029</v>
      </c>
      <c r="L189" t="s" s="13">
        <v>2030</v>
      </c>
      <c r="M189" t="s" s="13">
        <v>2031</v>
      </c>
      <c r="N189" t="s" s="13">
        <v>2032</v>
      </c>
      <c r="O189" s="15">
        <v>56.4</v>
      </c>
      <c r="P189" s="30" cm="1">
        <f t="array" ref="P189">(I189-I188)/I188</f>
        <v>0.0068927488282327</v>
      </c>
      <c r="Q189" s="15">
        <v>3686941</v>
      </c>
    </row>
    <row r="190" ht="13.65" customHeight="1">
      <c r="A190" t="s" s="27">
        <v>1294</v>
      </c>
      <c r="B190" t="s" s="13">
        <v>22</v>
      </c>
      <c r="C190" s="31">
        <v>44559</v>
      </c>
      <c r="D190" s="14">
        <v>1460.8</v>
      </c>
      <c r="E190" s="14">
        <v>1456.05</v>
      </c>
      <c r="F190" s="14">
        <v>1461</v>
      </c>
      <c r="G190" s="14">
        <v>1447.4</v>
      </c>
      <c r="H190" s="14">
        <v>1451</v>
      </c>
      <c r="I190" s="14">
        <v>1453.85</v>
      </c>
      <c r="J190" s="14">
        <v>1455.12</v>
      </c>
      <c r="K190" t="s" s="13">
        <v>2033</v>
      </c>
      <c r="L190" t="s" s="13">
        <v>2034</v>
      </c>
      <c r="M190" t="s" s="13">
        <v>2035</v>
      </c>
      <c r="N190" t="s" s="13">
        <v>2036</v>
      </c>
      <c r="O190" s="15">
        <v>70.41</v>
      </c>
      <c r="P190" s="30" cm="1">
        <f t="array" ref="P190">(I190-I189)/I189</f>
        <v>-0.00475766703176342</v>
      </c>
      <c r="Q190" s="15">
        <v>7413518</v>
      </c>
    </row>
    <row r="191" ht="13.65" customHeight="1">
      <c r="A191" t="s" s="27">
        <v>1294</v>
      </c>
      <c r="B191" t="s" s="13">
        <v>22</v>
      </c>
      <c r="C191" s="31">
        <v>44560</v>
      </c>
      <c r="D191" s="14">
        <v>1453.85</v>
      </c>
      <c r="E191" s="14">
        <v>1458.5</v>
      </c>
      <c r="F191" s="14">
        <v>1466.85</v>
      </c>
      <c r="G191" s="14">
        <v>1445</v>
      </c>
      <c r="H191" s="14">
        <v>1464</v>
      </c>
      <c r="I191" s="14">
        <v>1461.5</v>
      </c>
      <c r="J191" s="14">
        <v>1459.33</v>
      </c>
      <c r="K191" t="s" s="13">
        <v>2037</v>
      </c>
      <c r="L191" t="s" s="13">
        <v>2038</v>
      </c>
      <c r="M191" s="34">
        <v>97583</v>
      </c>
      <c r="N191" t="s" s="13">
        <v>2039</v>
      </c>
      <c r="O191" s="15">
        <v>60.21</v>
      </c>
      <c r="P191" s="30" cm="1">
        <f t="array" ref="P191">(I191-I190)/I190</f>
        <v>0.00526189084155862</v>
      </c>
      <c r="Q191" s="15">
        <v>8455721</v>
      </c>
    </row>
    <row r="192" ht="13.65" customHeight="1">
      <c r="A192" t="s" s="27">
        <v>1294</v>
      </c>
      <c r="B192" t="s" s="13">
        <v>22</v>
      </c>
      <c r="C192" s="31">
        <v>44561</v>
      </c>
      <c r="D192" s="14">
        <v>1461.5</v>
      </c>
      <c r="E192" s="14">
        <v>1461.5</v>
      </c>
      <c r="F192" s="14">
        <v>1484.8</v>
      </c>
      <c r="G192" s="14">
        <v>1461.5</v>
      </c>
      <c r="H192" s="14">
        <v>1481</v>
      </c>
      <c r="I192" s="14">
        <v>1479.4</v>
      </c>
      <c r="J192" s="14">
        <v>1478.42</v>
      </c>
      <c r="K192" t="s" s="13">
        <v>2040</v>
      </c>
      <c r="L192" t="s" s="13">
        <v>2041</v>
      </c>
      <c r="M192" t="s" s="13">
        <v>2042</v>
      </c>
      <c r="N192" t="s" s="13">
        <v>2043</v>
      </c>
      <c r="O192" s="15">
        <v>70</v>
      </c>
      <c r="P192" s="30" cm="1">
        <f t="array" ref="P192">(I192-I191)/I191</f>
        <v>0.0122476907287034</v>
      </c>
      <c r="Q192" s="15">
        <v>4839511</v>
      </c>
    </row>
    <row r="193" ht="13.65" customHeight="1">
      <c r="A193" t="s" s="27">
        <v>1294</v>
      </c>
      <c r="B193" t="s" s="13">
        <v>22</v>
      </c>
      <c r="C193" s="28">
        <v>44564</v>
      </c>
      <c r="D193" s="14">
        <v>1479.4</v>
      </c>
      <c r="E193" s="14">
        <v>1485</v>
      </c>
      <c r="F193" s="14">
        <v>1523</v>
      </c>
      <c r="G193" s="14">
        <v>1480.5</v>
      </c>
      <c r="H193" s="14">
        <v>1519.8</v>
      </c>
      <c r="I193" s="14">
        <v>1519.65</v>
      </c>
      <c r="J193" s="14">
        <v>1507.81</v>
      </c>
      <c r="K193" t="s" s="13">
        <v>2044</v>
      </c>
      <c r="L193" t="s" s="13">
        <v>2045</v>
      </c>
      <c r="M193" t="s" s="13">
        <v>2046</v>
      </c>
      <c r="N193" t="s" s="13">
        <v>2047</v>
      </c>
      <c r="O193" s="15">
        <v>56.19</v>
      </c>
      <c r="P193" s="30" cm="1">
        <f t="array" ref="P193">(I193-I192)/I192</f>
        <v>0.0272069758010004</v>
      </c>
      <c r="Q193" s="15">
        <v>5485846</v>
      </c>
    </row>
    <row r="194" ht="13.65" customHeight="1">
      <c r="A194" t="s" s="27">
        <v>1294</v>
      </c>
      <c r="B194" t="s" s="13">
        <v>22</v>
      </c>
      <c r="C194" s="28">
        <v>44565</v>
      </c>
      <c r="D194" s="14">
        <v>1519.65</v>
      </c>
      <c r="E194" s="14">
        <v>1520</v>
      </c>
      <c r="F194" s="14">
        <v>1532.9</v>
      </c>
      <c r="G194" s="14">
        <v>1507.8</v>
      </c>
      <c r="H194" s="14">
        <v>1528.05</v>
      </c>
      <c r="I194" s="14">
        <v>1528.55</v>
      </c>
      <c r="J194" s="14">
        <v>1521.68</v>
      </c>
      <c r="K194" t="s" s="13">
        <v>2048</v>
      </c>
      <c r="L194" t="s" s="13">
        <v>2049</v>
      </c>
      <c r="M194" t="s" s="13">
        <v>2050</v>
      </c>
      <c r="N194" t="s" s="13">
        <v>2051</v>
      </c>
      <c r="O194" s="15">
        <v>51.72</v>
      </c>
      <c r="P194" s="30" cm="1">
        <f t="array" ref="P194">(I194-I193)/I193</f>
        <v>0.0058566117198039</v>
      </c>
      <c r="Q194" s="15">
        <v>4678393</v>
      </c>
    </row>
    <row r="195" ht="13.65" customHeight="1">
      <c r="A195" t="s" s="27">
        <v>1294</v>
      </c>
      <c r="B195" t="s" s="13">
        <v>22</v>
      </c>
      <c r="C195" s="28">
        <v>44566</v>
      </c>
      <c r="D195" s="14">
        <v>1528.55</v>
      </c>
      <c r="E195" s="14">
        <v>1536.8</v>
      </c>
      <c r="F195" s="14">
        <v>1572</v>
      </c>
      <c r="G195" s="14">
        <v>1528.1</v>
      </c>
      <c r="H195" s="14">
        <v>1562.1</v>
      </c>
      <c r="I195" s="14">
        <v>1564.85</v>
      </c>
      <c r="J195" s="14">
        <v>1554.91</v>
      </c>
      <c r="K195" t="s" s="13">
        <v>2052</v>
      </c>
      <c r="L195" t="s" s="13">
        <v>2053</v>
      </c>
      <c r="M195" t="s" s="13">
        <v>2054</v>
      </c>
      <c r="N195" t="s" s="13">
        <v>2055</v>
      </c>
      <c r="O195" s="15">
        <v>60.43</v>
      </c>
      <c r="P195" s="30" cm="1">
        <f t="array" ref="P195">(I195-I194)/I194</f>
        <v>0.0237479964672402</v>
      </c>
      <c r="Q195" s="15">
        <v>5191588</v>
      </c>
    </row>
    <row r="196" ht="13.65" customHeight="1">
      <c r="A196" t="s" s="27">
        <v>1294</v>
      </c>
      <c r="B196" t="s" s="13">
        <v>22</v>
      </c>
      <c r="C196" s="28">
        <v>44567</v>
      </c>
      <c r="D196" s="14">
        <v>1564.85</v>
      </c>
      <c r="E196" s="14">
        <v>1543</v>
      </c>
      <c r="F196" s="14">
        <v>1554.75</v>
      </c>
      <c r="G196" s="14">
        <v>1530.05</v>
      </c>
      <c r="H196" s="14">
        <v>1540</v>
      </c>
      <c r="I196" s="14">
        <v>1539.75</v>
      </c>
      <c r="J196" s="14">
        <v>1540.71</v>
      </c>
      <c r="K196" t="s" s="13">
        <v>2056</v>
      </c>
      <c r="L196" t="s" s="13">
        <v>2057</v>
      </c>
      <c r="M196" t="s" s="13">
        <v>2058</v>
      </c>
      <c r="N196" t="s" s="13">
        <v>2059</v>
      </c>
      <c r="O196" s="15">
        <v>54.23</v>
      </c>
      <c r="P196" s="30" cm="1">
        <f t="array" ref="P196">(I196-I195)/I195</f>
        <v>-0.0160398760264562</v>
      </c>
      <c r="Q196" s="15">
        <v>7392512</v>
      </c>
    </row>
    <row r="197" ht="13.65" customHeight="1">
      <c r="A197" t="s" s="27">
        <v>1294</v>
      </c>
      <c r="B197" t="s" s="13">
        <v>22</v>
      </c>
      <c r="C197" s="28">
        <v>44568</v>
      </c>
      <c r="D197" s="14">
        <v>1539.75</v>
      </c>
      <c r="E197" s="14">
        <v>1544</v>
      </c>
      <c r="F197" s="14">
        <v>1566.75</v>
      </c>
      <c r="G197" s="14">
        <v>1535.9</v>
      </c>
      <c r="H197" s="14">
        <v>1552.75</v>
      </c>
      <c r="I197" s="14">
        <v>1550.55</v>
      </c>
      <c r="J197" s="14">
        <v>1552.05</v>
      </c>
      <c r="K197" t="s" s="13">
        <v>2060</v>
      </c>
      <c r="L197" t="s" s="13">
        <v>2061</v>
      </c>
      <c r="M197" t="s" s="13">
        <v>2062</v>
      </c>
      <c r="N197" t="s" s="13">
        <v>2063</v>
      </c>
      <c r="O197" s="15">
        <v>59.37</v>
      </c>
      <c r="P197" s="30" cm="1">
        <f t="array" ref="P197">(I197-I196)/I196</f>
        <v>0.00701412566975158</v>
      </c>
      <c r="Q197" s="15">
        <v>3922434</v>
      </c>
    </row>
    <row r="198" ht="13.65" customHeight="1">
      <c r="A198" t="s" s="27">
        <v>1294</v>
      </c>
      <c r="B198" t="s" s="13">
        <v>22</v>
      </c>
      <c r="C198" s="31">
        <v>44571</v>
      </c>
      <c r="D198" s="14">
        <v>1550.55</v>
      </c>
      <c r="E198" s="14">
        <v>1558</v>
      </c>
      <c r="F198" s="14">
        <v>1572</v>
      </c>
      <c r="G198" s="14">
        <v>1545.5</v>
      </c>
      <c r="H198" s="14">
        <v>1561</v>
      </c>
      <c r="I198" s="14">
        <v>1559.15</v>
      </c>
      <c r="J198" s="14">
        <v>1556.89</v>
      </c>
      <c r="K198" t="s" s="13">
        <v>2064</v>
      </c>
      <c r="L198" t="s" s="13">
        <v>2065</v>
      </c>
      <c r="M198" t="s" s="13">
        <v>2066</v>
      </c>
      <c r="N198" t="s" s="13">
        <v>2067</v>
      </c>
      <c r="O198" s="15">
        <v>61.52</v>
      </c>
      <c r="P198" s="30" cm="1">
        <f t="array" ref="P198">(I198-I197)/I197</f>
        <v>0.00554641901260843</v>
      </c>
      <c r="Q198" s="15">
        <v>7183412</v>
      </c>
    </row>
    <row r="199" ht="13.65" customHeight="1">
      <c r="A199" t="s" s="27">
        <v>1294</v>
      </c>
      <c r="B199" t="s" s="13">
        <v>22</v>
      </c>
      <c r="C199" s="31">
        <v>44572</v>
      </c>
      <c r="D199" s="14">
        <v>1559.15</v>
      </c>
      <c r="E199" s="14">
        <v>1561.55</v>
      </c>
      <c r="F199" s="14">
        <v>1568.7</v>
      </c>
      <c r="G199" s="14">
        <v>1547.8</v>
      </c>
      <c r="H199" s="14">
        <v>1566</v>
      </c>
      <c r="I199" s="14">
        <v>1565.9</v>
      </c>
      <c r="J199" s="14">
        <v>1558.68</v>
      </c>
      <c r="K199" t="s" s="13">
        <v>2068</v>
      </c>
      <c r="L199" t="s" s="13">
        <v>2069</v>
      </c>
      <c r="M199" t="s" s="13">
        <v>2070</v>
      </c>
      <c r="N199" t="s" s="13">
        <v>2071</v>
      </c>
      <c r="O199" s="15">
        <v>64.19</v>
      </c>
      <c r="P199" s="30" cm="1">
        <f t="array" ref="P199">(I199-I198)/I198</f>
        <v>0.00432928198056633</v>
      </c>
      <c r="Q199" s="15">
        <v>3630236</v>
      </c>
    </row>
    <row r="200" ht="13.65" customHeight="1">
      <c r="A200" t="s" s="27">
        <v>1294</v>
      </c>
      <c r="B200" t="s" s="13">
        <v>22</v>
      </c>
      <c r="C200" s="31">
        <v>44573</v>
      </c>
      <c r="D200" s="14">
        <v>1565.9</v>
      </c>
      <c r="E200" s="14">
        <v>1568</v>
      </c>
      <c r="F200" s="14">
        <v>1576.65</v>
      </c>
      <c r="G200" s="14">
        <v>1552</v>
      </c>
      <c r="H200" s="14">
        <v>1556.15</v>
      </c>
      <c r="I200" s="14">
        <v>1556.65</v>
      </c>
      <c r="J200" s="14">
        <v>1564.75</v>
      </c>
      <c r="K200" t="s" s="13">
        <v>2072</v>
      </c>
      <c r="L200" t="s" s="13">
        <v>2073</v>
      </c>
      <c r="M200" t="s" s="13">
        <v>2074</v>
      </c>
      <c r="N200" t="s" s="13">
        <v>2075</v>
      </c>
      <c r="O200" s="15">
        <v>80.37</v>
      </c>
      <c r="P200" s="30" cm="1">
        <f t="array" ref="P200">(I200-I199)/I199</f>
        <v>-0.00590714605019478</v>
      </c>
      <c r="Q200" s="15">
        <v>5969030</v>
      </c>
    </row>
    <row r="201" ht="13.65" customHeight="1">
      <c r="A201" t="s" s="27">
        <v>1294</v>
      </c>
      <c r="B201" t="s" s="13">
        <v>22</v>
      </c>
      <c r="C201" s="31">
        <v>44574</v>
      </c>
      <c r="D201" s="14">
        <v>1556.65</v>
      </c>
      <c r="E201" s="14">
        <v>1555</v>
      </c>
      <c r="F201" s="14">
        <v>1555</v>
      </c>
      <c r="G201" s="14">
        <v>1520.4</v>
      </c>
      <c r="H201" s="14">
        <v>1529</v>
      </c>
      <c r="I201" s="14">
        <v>1528</v>
      </c>
      <c r="J201" s="14">
        <v>1532.69</v>
      </c>
      <c r="K201" t="s" s="13">
        <v>2076</v>
      </c>
      <c r="L201" t="s" s="13">
        <v>2077</v>
      </c>
      <c r="M201" t="s" s="13">
        <v>2078</v>
      </c>
      <c r="N201" t="s" s="13">
        <v>2079</v>
      </c>
      <c r="O201" s="15">
        <v>63.92</v>
      </c>
      <c r="P201" s="30" cm="1">
        <f t="array" ref="P201">(I201-I200)/I200</f>
        <v>-0.0184049079754601</v>
      </c>
      <c r="Q201" s="15">
        <v>4641901</v>
      </c>
    </row>
    <row r="202" ht="13.65" customHeight="1">
      <c r="A202" t="s" s="27">
        <v>1294</v>
      </c>
      <c r="B202" t="s" s="13">
        <v>22</v>
      </c>
      <c r="C202" s="31">
        <v>44575</v>
      </c>
      <c r="D202" s="14">
        <v>1528</v>
      </c>
      <c r="E202" s="14">
        <v>1530</v>
      </c>
      <c r="F202" s="14">
        <v>1548.7</v>
      </c>
      <c r="G202" s="14">
        <v>1519</v>
      </c>
      <c r="H202" s="14">
        <v>1543.8</v>
      </c>
      <c r="I202" s="14">
        <v>1545.15</v>
      </c>
      <c r="J202" s="14">
        <v>1535.22</v>
      </c>
      <c r="K202" t="s" s="13">
        <v>2080</v>
      </c>
      <c r="L202" t="s" s="13">
        <v>2081</v>
      </c>
      <c r="M202" t="s" s="13">
        <v>2082</v>
      </c>
      <c r="N202" t="s" s="13">
        <v>2083</v>
      </c>
      <c r="O202" s="15">
        <v>57.84</v>
      </c>
      <c r="P202" s="30" cm="1">
        <f t="array" ref="P202">(I202-I201)/I201</f>
        <v>0.0112238219895288</v>
      </c>
      <c r="Q202" s="15">
        <v>3851049</v>
      </c>
    </row>
    <row r="203" ht="13.65" customHeight="1">
      <c r="A203" t="s" s="27">
        <v>1294</v>
      </c>
      <c r="B203" t="s" s="13">
        <v>22</v>
      </c>
      <c r="C203" s="31">
        <v>44578</v>
      </c>
      <c r="D203" s="14">
        <v>1545.15</v>
      </c>
      <c r="E203" s="14">
        <v>1530</v>
      </c>
      <c r="F203" s="14">
        <v>1556</v>
      </c>
      <c r="G203" s="14">
        <v>1519.15</v>
      </c>
      <c r="H203" s="14">
        <v>1523.5</v>
      </c>
      <c r="I203" s="14">
        <v>1521.5</v>
      </c>
      <c r="J203" s="14">
        <v>1530.58</v>
      </c>
      <c r="K203" t="s" s="13">
        <v>2084</v>
      </c>
      <c r="L203" t="s" s="13">
        <v>2085</v>
      </c>
      <c r="M203" t="s" s="13">
        <v>2086</v>
      </c>
      <c r="N203" t="s" s="13">
        <v>2087</v>
      </c>
      <c r="O203" s="15">
        <v>61.59</v>
      </c>
      <c r="P203" s="30" cm="1">
        <f t="array" ref="P203">(I203-I202)/I202</f>
        <v>-0.0153059573504191</v>
      </c>
      <c r="Q203" s="15">
        <v>3784801</v>
      </c>
    </row>
    <row r="204" ht="13.65" customHeight="1">
      <c r="A204" t="s" s="27">
        <v>1294</v>
      </c>
      <c r="B204" t="s" s="13">
        <v>22</v>
      </c>
      <c r="C204" s="31">
        <v>44579</v>
      </c>
      <c r="D204" s="14">
        <v>1521.5</v>
      </c>
      <c r="E204" s="14">
        <v>1533</v>
      </c>
      <c r="F204" s="14">
        <v>1550.9</v>
      </c>
      <c r="G204" s="14">
        <v>1523</v>
      </c>
      <c r="H204" s="14">
        <v>1528.1</v>
      </c>
      <c r="I204" s="14">
        <v>1529.25</v>
      </c>
      <c r="J204" s="14">
        <v>1536.97</v>
      </c>
      <c r="K204" t="s" s="13">
        <v>2088</v>
      </c>
      <c r="L204" t="s" s="13">
        <v>2089</v>
      </c>
      <c r="M204" t="s" s="13">
        <v>2090</v>
      </c>
      <c r="N204" t="s" s="13">
        <v>2091</v>
      </c>
      <c r="O204" s="15">
        <v>42.81</v>
      </c>
      <c r="P204" s="30" cm="1">
        <f t="array" ref="P204">(I204-I203)/I203</f>
        <v>0.00509365757476175</v>
      </c>
      <c r="Q204" s="15">
        <v>4440982</v>
      </c>
    </row>
    <row r="205" ht="13.65" customHeight="1">
      <c r="A205" t="s" s="27">
        <v>1294</v>
      </c>
      <c r="B205" t="s" s="13">
        <v>22</v>
      </c>
      <c r="C205" s="31">
        <v>44580</v>
      </c>
      <c r="D205" s="14">
        <v>1529.25</v>
      </c>
      <c r="E205" s="14">
        <v>1534</v>
      </c>
      <c r="F205" s="14">
        <v>1539.75</v>
      </c>
      <c r="G205" s="14">
        <v>1513.35</v>
      </c>
      <c r="H205" s="14">
        <v>1519.1</v>
      </c>
      <c r="I205" s="14">
        <v>1518.45</v>
      </c>
      <c r="J205" s="14">
        <v>1525.22</v>
      </c>
      <c r="K205" t="s" s="13">
        <v>2092</v>
      </c>
      <c r="L205" t="s" s="13">
        <v>2093</v>
      </c>
      <c r="M205" t="s" s="13">
        <v>2094</v>
      </c>
      <c r="N205" t="s" s="13">
        <v>2095</v>
      </c>
      <c r="O205" s="15">
        <v>59.14</v>
      </c>
      <c r="P205" s="30" cm="1">
        <f t="array" ref="P205">(I205-I204)/I204</f>
        <v>-0.00706228543403629</v>
      </c>
      <c r="Q205" s="15">
        <v>3602987</v>
      </c>
    </row>
    <row r="206" ht="13.65" customHeight="1">
      <c r="A206" t="s" s="27">
        <v>1294</v>
      </c>
      <c r="B206" t="s" s="13">
        <v>22</v>
      </c>
      <c r="C206" s="31">
        <v>44581</v>
      </c>
      <c r="D206" s="14">
        <v>1518.45</v>
      </c>
      <c r="E206" s="14">
        <v>1528.45</v>
      </c>
      <c r="F206" s="14">
        <v>1528.5</v>
      </c>
      <c r="G206" s="14">
        <v>1500.1</v>
      </c>
      <c r="H206" s="14">
        <v>1512</v>
      </c>
      <c r="I206" s="14">
        <v>1509</v>
      </c>
      <c r="J206" s="14">
        <v>1512.74</v>
      </c>
      <c r="K206" t="s" s="13">
        <v>2096</v>
      </c>
      <c r="L206" t="s" s="13">
        <v>2097</v>
      </c>
      <c r="M206" t="s" s="13">
        <v>2098</v>
      </c>
      <c r="N206" t="s" s="13">
        <v>2099</v>
      </c>
      <c r="O206" s="15">
        <v>69.03</v>
      </c>
      <c r="P206" s="30" cm="1">
        <f t="array" ref="P206">(I206-I205)/I205</f>
        <v>-0.00622345154598439</v>
      </c>
      <c r="Q206" s="15">
        <v>5741770</v>
      </c>
    </row>
    <row r="207" ht="13.65" customHeight="1">
      <c r="A207" t="s" s="27">
        <v>1294</v>
      </c>
      <c r="B207" t="s" s="13">
        <v>22</v>
      </c>
      <c r="C207" s="31">
        <v>44582</v>
      </c>
      <c r="D207" s="14">
        <v>1509</v>
      </c>
      <c r="E207" s="14">
        <v>1500</v>
      </c>
      <c r="F207" s="14">
        <v>1529.8</v>
      </c>
      <c r="G207" s="14">
        <v>1485.6</v>
      </c>
      <c r="H207" s="14">
        <v>1527.7</v>
      </c>
      <c r="I207" s="14">
        <v>1521.6</v>
      </c>
      <c r="J207" s="14">
        <v>1509.69</v>
      </c>
      <c r="K207" t="s" s="13">
        <v>2100</v>
      </c>
      <c r="L207" t="s" s="13">
        <v>2101</v>
      </c>
      <c r="M207" t="s" s="13">
        <v>2102</v>
      </c>
      <c r="N207" t="s" s="13">
        <v>2103</v>
      </c>
      <c r="O207" s="15">
        <v>61.52</v>
      </c>
      <c r="P207" s="30" cm="1">
        <f t="array" ref="P207">(I207-I206)/I206</f>
        <v>0.00834990059642147</v>
      </c>
      <c r="Q207" s="15">
        <v>5111721</v>
      </c>
    </row>
    <row r="208" ht="13.65" customHeight="1">
      <c r="A208" t="s" s="27">
        <v>1294</v>
      </c>
      <c r="B208" t="s" s="13">
        <v>22</v>
      </c>
      <c r="C208" s="31">
        <v>44585</v>
      </c>
      <c r="D208" s="14">
        <v>1521.6</v>
      </c>
      <c r="E208" s="14">
        <v>1509.95</v>
      </c>
      <c r="F208" s="14">
        <v>1521.25</v>
      </c>
      <c r="G208" s="14">
        <v>1467.55</v>
      </c>
      <c r="H208" s="14">
        <v>1484.6</v>
      </c>
      <c r="I208" s="14">
        <v>1486.65</v>
      </c>
      <c r="J208" s="14">
        <v>1493.6</v>
      </c>
      <c r="K208" t="s" s="13">
        <v>2104</v>
      </c>
      <c r="L208" t="s" s="13">
        <v>2105</v>
      </c>
      <c r="M208" t="s" s="13">
        <v>2106</v>
      </c>
      <c r="N208" t="s" s="13">
        <v>2107</v>
      </c>
      <c r="O208" s="15">
        <v>59.78</v>
      </c>
      <c r="P208" s="30" cm="1">
        <f t="array" ref="P208">(I208-I207)/I207</f>
        <v>-0.0229692429022082</v>
      </c>
      <c r="Q208" s="15">
        <v>4936270</v>
      </c>
    </row>
    <row r="209" ht="13.65" customHeight="1">
      <c r="A209" t="s" s="27">
        <v>1294</v>
      </c>
      <c r="B209" t="s" s="13">
        <v>22</v>
      </c>
      <c r="C209" s="31">
        <v>44586</v>
      </c>
      <c r="D209" s="14">
        <v>1486.65</v>
      </c>
      <c r="E209" s="14">
        <v>1458.65</v>
      </c>
      <c r="F209" s="14">
        <v>1495</v>
      </c>
      <c r="G209" s="14">
        <v>1444</v>
      </c>
      <c r="H209" s="14">
        <v>1490.25</v>
      </c>
      <c r="I209" s="14">
        <v>1488.05</v>
      </c>
      <c r="J209" s="14">
        <v>1467.17</v>
      </c>
      <c r="K209" t="s" s="13">
        <v>2108</v>
      </c>
      <c r="L209" t="s" s="13">
        <v>2109</v>
      </c>
      <c r="M209" t="s" s="13">
        <v>2110</v>
      </c>
      <c r="N209" t="s" s="13">
        <v>2111</v>
      </c>
      <c r="O209" s="15">
        <v>51.77</v>
      </c>
      <c r="P209" s="30" cm="1">
        <f t="array" ref="P209">(I209-I208)/I208</f>
        <v>0.000941714593212928</v>
      </c>
      <c r="Q209" s="15">
        <v>4045834</v>
      </c>
    </row>
    <row r="210" ht="13.65" customHeight="1">
      <c r="A210" t="s" s="27">
        <v>1294</v>
      </c>
      <c r="B210" t="s" s="13">
        <v>22</v>
      </c>
      <c r="C210" s="31">
        <v>44588</v>
      </c>
      <c r="D210" s="14">
        <v>1488.05</v>
      </c>
      <c r="E210" s="14">
        <v>1450</v>
      </c>
      <c r="F210" s="14">
        <v>1485</v>
      </c>
      <c r="G210" s="14">
        <v>1435</v>
      </c>
      <c r="H210" s="14">
        <v>1482</v>
      </c>
      <c r="I210" s="14">
        <v>1474.95</v>
      </c>
      <c r="J210" s="14">
        <v>1454.91</v>
      </c>
      <c r="K210" t="s" s="13">
        <v>2112</v>
      </c>
      <c r="L210" t="s" s="13">
        <v>2113</v>
      </c>
      <c r="M210" t="s" s="13">
        <v>2114</v>
      </c>
      <c r="N210" t="s" s="13">
        <v>2115</v>
      </c>
      <c r="O210" s="15">
        <v>63.24</v>
      </c>
      <c r="P210" s="30" cm="1">
        <f t="array" ref="P210">(I210-I209)/I209</f>
        <v>-0.00880346762541581</v>
      </c>
      <c r="Q210" s="15">
        <v>4712238</v>
      </c>
    </row>
    <row r="211" ht="13.65" customHeight="1">
      <c r="A211" t="s" s="27">
        <v>1294</v>
      </c>
      <c r="B211" t="s" s="13">
        <v>22</v>
      </c>
      <c r="C211" s="31">
        <v>44589</v>
      </c>
      <c r="D211" s="14">
        <v>1474.95</v>
      </c>
      <c r="E211" s="14">
        <v>1477.5</v>
      </c>
      <c r="F211" s="14">
        <v>1486.7</v>
      </c>
      <c r="G211" s="14">
        <v>1460</v>
      </c>
      <c r="H211" s="14">
        <v>1463.25</v>
      </c>
      <c r="I211" s="14">
        <v>1463.25</v>
      </c>
      <c r="J211" s="14">
        <v>1475.5</v>
      </c>
      <c r="K211" t="s" s="13">
        <v>2116</v>
      </c>
      <c r="L211" t="s" s="13">
        <v>2117</v>
      </c>
      <c r="M211" t="s" s="13">
        <v>2118</v>
      </c>
      <c r="N211" t="s" s="13">
        <v>2119</v>
      </c>
      <c r="O211" s="15">
        <v>73.66</v>
      </c>
      <c r="P211" s="30" cm="1">
        <f t="array" ref="P211">(I211-I210)/I210</f>
        <v>-0.007932472287196179</v>
      </c>
      <c r="Q211" s="15">
        <v>5143630</v>
      </c>
    </row>
    <row r="212" ht="13.65" customHeight="1">
      <c r="A212" t="s" s="27">
        <v>1294</v>
      </c>
      <c r="B212" t="s" s="13">
        <v>22</v>
      </c>
      <c r="C212" s="31">
        <v>44592</v>
      </c>
      <c r="D212" s="14">
        <v>1463.25</v>
      </c>
      <c r="E212" s="14">
        <v>1472.75</v>
      </c>
      <c r="F212" s="14">
        <v>1491.55</v>
      </c>
      <c r="G212" s="14">
        <v>1466.8</v>
      </c>
      <c r="H212" s="14">
        <v>1484.55</v>
      </c>
      <c r="I212" s="14">
        <v>1485.7</v>
      </c>
      <c r="J212" s="14">
        <v>1479.18</v>
      </c>
      <c r="K212" t="s" s="13">
        <v>2120</v>
      </c>
      <c r="L212" t="s" s="13">
        <v>2121</v>
      </c>
      <c r="M212" t="s" s="13">
        <v>2122</v>
      </c>
      <c r="N212" t="s" s="13">
        <v>2123</v>
      </c>
      <c r="O212" s="15">
        <v>62</v>
      </c>
      <c r="P212" s="30" cm="1">
        <f t="array" ref="P212">(I212-I211)/I211</f>
        <v>0.0153425593712626</v>
      </c>
      <c r="Q212" s="15">
        <v>5312008</v>
      </c>
    </row>
    <row r="213" ht="13.65" customHeight="1">
      <c r="A213" t="s" s="27">
        <v>1294</v>
      </c>
      <c r="B213" t="s" s="13">
        <v>22</v>
      </c>
      <c r="C213" s="28">
        <v>44593</v>
      </c>
      <c r="D213" s="14">
        <v>1485.7</v>
      </c>
      <c r="E213" s="14">
        <v>1508.5</v>
      </c>
      <c r="F213" s="14">
        <v>1517</v>
      </c>
      <c r="G213" s="14">
        <v>1473.45</v>
      </c>
      <c r="H213" s="14">
        <v>1500</v>
      </c>
      <c r="I213" s="14">
        <v>1497</v>
      </c>
      <c r="J213" s="14">
        <v>1500.43</v>
      </c>
      <c r="K213" t="s" s="13">
        <v>2124</v>
      </c>
      <c r="L213" t="s" s="13">
        <v>2125</v>
      </c>
      <c r="M213" t="s" s="13">
        <v>2126</v>
      </c>
      <c r="N213" t="s" s="13">
        <v>2127</v>
      </c>
      <c r="O213" s="15">
        <v>48.51</v>
      </c>
      <c r="P213" s="30" cm="1">
        <f t="array" ref="P213">(I213-I212)/I212</f>
        <v>0.00760584236386888</v>
      </c>
      <c r="Q213" s="15">
        <v>5515081</v>
      </c>
    </row>
    <row r="214" ht="13.65" customHeight="1">
      <c r="A214" t="s" s="27">
        <v>1294</v>
      </c>
      <c r="B214" t="s" s="13">
        <v>22</v>
      </c>
      <c r="C214" s="28">
        <v>44594</v>
      </c>
      <c r="D214" s="14">
        <v>1497</v>
      </c>
      <c r="E214" s="14">
        <v>1511.95</v>
      </c>
      <c r="F214" s="14">
        <v>1535</v>
      </c>
      <c r="G214" s="14">
        <v>1505.6</v>
      </c>
      <c r="H214" s="14">
        <v>1535</v>
      </c>
      <c r="I214" s="14">
        <v>1531.2</v>
      </c>
      <c r="J214" s="14">
        <v>1526.26</v>
      </c>
      <c r="K214" t="s" s="13">
        <v>2128</v>
      </c>
      <c r="L214" t="s" s="13">
        <v>2129</v>
      </c>
      <c r="M214" t="s" s="13">
        <v>2130</v>
      </c>
      <c r="N214" t="s" s="13">
        <v>2131</v>
      </c>
      <c r="O214" s="15">
        <v>67.23</v>
      </c>
      <c r="P214" s="30" cm="1">
        <f t="array" ref="P214">(I214-I213)/I213</f>
        <v>0.0228456913827655</v>
      </c>
      <c r="Q214" s="15">
        <v>7830527</v>
      </c>
    </row>
    <row r="215" ht="13.65" customHeight="1">
      <c r="A215" t="s" s="27">
        <v>1294</v>
      </c>
      <c r="B215" t="s" s="13">
        <v>22</v>
      </c>
      <c r="C215" s="28">
        <v>44595</v>
      </c>
      <c r="D215" s="14">
        <v>1531.2</v>
      </c>
      <c r="E215" s="14">
        <v>1528.75</v>
      </c>
      <c r="F215" s="14">
        <v>1539.95</v>
      </c>
      <c r="G215" s="14">
        <v>1509</v>
      </c>
      <c r="H215" s="14">
        <v>1510.4</v>
      </c>
      <c r="I215" s="14">
        <v>1515.35</v>
      </c>
      <c r="J215" s="14">
        <v>1527.81</v>
      </c>
      <c r="K215" t="s" s="13">
        <v>2132</v>
      </c>
      <c r="L215" t="s" s="13">
        <v>2133</v>
      </c>
      <c r="M215" t="s" s="13">
        <v>2134</v>
      </c>
      <c r="N215" t="s" s="13">
        <v>2135</v>
      </c>
      <c r="O215" s="15">
        <v>67.16</v>
      </c>
      <c r="P215" s="30" cm="1">
        <f t="array" ref="P215">(I215-I214)/I214</f>
        <v>-0.0103513584117032</v>
      </c>
      <c r="Q215" s="15">
        <v>8875010</v>
      </c>
    </row>
    <row r="216" ht="13.65" customHeight="1">
      <c r="A216" t="s" s="27">
        <v>1294</v>
      </c>
      <c r="B216" t="s" s="13">
        <v>22</v>
      </c>
      <c r="C216" s="28">
        <v>44596</v>
      </c>
      <c r="D216" s="14">
        <v>1515.35</v>
      </c>
      <c r="E216" s="14">
        <v>1528.4</v>
      </c>
      <c r="F216" s="14">
        <v>1532.85</v>
      </c>
      <c r="G216" s="14">
        <v>1514.1</v>
      </c>
      <c r="H216" s="14">
        <v>1521.1</v>
      </c>
      <c r="I216" s="14">
        <v>1524</v>
      </c>
      <c r="J216" s="14">
        <v>1523.56</v>
      </c>
      <c r="K216" t="s" s="13">
        <v>2136</v>
      </c>
      <c r="L216" t="s" s="13">
        <v>2137</v>
      </c>
      <c r="M216" t="s" s="13">
        <v>2138</v>
      </c>
      <c r="N216" t="s" s="13">
        <v>2139</v>
      </c>
      <c r="O216" s="15">
        <v>68.52</v>
      </c>
      <c r="P216" s="30" cm="1">
        <f t="array" ref="P216">(I216-I215)/I215</f>
        <v>0.00570825221895932</v>
      </c>
      <c r="Q216" s="15">
        <v>10219748</v>
      </c>
    </row>
    <row r="217" ht="13.65" customHeight="1">
      <c r="A217" t="s" s="27">
        <v>1294</v>
      </c>
      <c r="B217" t="s" s="13">
        <v>22</v>
      </c>
      <c r="C217" s="28">
        <v>44599</v>
      </c>
      <c r="D217" s="14">
        <v>1524</v>
      </c>
      <c r="E217" s="14">
        <v>1512.1</v>
      </c>
      <c r="F217" s="14">
        <v>1519</v>
      </c>
      <c r="G217" s="14">
        <v>1460</v>
      </c>
      <c r="H217" s="14">
        <v>1471.05</v>
      </c>
      <c r="I217" s="14">
        <v>1468.15</v>
      </c>
      <c r="J217" s="14">
        <v>1478.57</v>
      </c>
      <c r="K217" t="s" s="13">
        <v>2140</v>
      </c>
      <c r="L217" t="s" s="13">
        <v>2141</v>
      </c>
      <c r="M217" t="s" s="13">
        <v>2142</v>
      </c>
      <c r="N217" t="s" s="13">
        <v>2143</v>
      </c>
      <c r="O217" s="15">
        <v>61.84</v>
      </c>
      <c r="P217" s="30" cm="1">
        <f t="array" ref="P217">(I217-I216)/I216</f>
        <v>-0.0366469816272966</v>
      </c>
      <c r="Q217" s="15">
        <v>6141995</v>
      </c>
    </row>
    <row r="218" ht="13.65" customHeight="1">
      <c r="A218" t="s" s="27">
        <v>1294</v>
      </c>
      <c r="B218" t="s" s="13">
        <v>22</v>
      </c>
      <c r="C218" s="28">
        <v>44600</v>
      </c>
      <c r="D218" s="14">
        <v>1468.15</v>
      </c>
      <c r="E218" s="14">
        <v>1476.4</v>
      </c>
      <c r="F218" s="14">
        <v>1478.45</v>
      </c>
      <c r="G218" s="14">
        <v>1444.55</v>
      </c>
      <c r="H218" s="14">
        <v>1458</v>
      </c>
      <c r="I218" s="14">
        <v>1461.85</v>
      </c>
      <c r="J218" s="14">
        <v>1459.69</v>
      </c>
      <c r="K218" t="s" s="13">
        <v>2144</v>
      </c>
      <c r="L218" t="s" s="13">
        <v>2145</v>
      </c>
      <c r="M218" t="s" s="13">
        <v>2146</v>
      </c>
      <c r="N218" t="s" s="13">
        <v>2147</v>
      </c>
      <c r="O218" s="15">
        <v>60.05</v>
      </c>
      <c r="P218" s="30" cm="1">
        <f t="array" ref="P218">(I218-I217)/I217</f>
        <v>-0.00429111466811974</v>
      </c>
      <c r="Q218" s="15">
        <v>9618487</v>
      </c>
    </row>
    <row r="219" ht="13.65" customHeight="1">
      <c r="A219" t="s" s="27">
        <v>1294</v>
      </c>
      <c r="B219" t="s" s="13">
        <v>22</v>
      </c>
      <c r="C219" s="28">
        <v>44601</v>
      </c>
      <c r="D219" s="14">
        <v>1461.85</v>
      </c>
      <c r="E219" s="14">
        <v>1474</v>
      </c>
      <c r="F219" s="14">
        <v>1499.7</v>
      </c>
      <c r="G219" s="14">
        <v>1467</v>
      </c>
      <c r="H219" s="14">
        <v>1498.4</v>
      </c>
      <c r="I219" s="14">
        <v>1497.6</v>
      </c>
      <c r="J219" s="14">
        <v>1487.26</v>
      </c>
      <c r="K219" t="s" s="13">
        <v>2148</v>
      </c>
      <c r="L219" t="s" s="13">
        <v>2149</v>
      </c>
      <c r="M219" t="s" s="13">
        <v>2150</v>
      </c>
      <c r="N219" t="s" s="13">
        <v>2151</v>
      </c>
      <c r="O219" s="15">
        <v>59.78</v>
      </c>
      <c r="P219" s="30" cm="1">
        <f t="array" ref="P219">(I219-I218)/I218</f>
        <v>0.0244553134726545</v>
      </c>
      <c r="Q219" s="15">
        <v>11073051</v>
      </c>
    </row>
    <row r="220" ht="13.65" customHeight="1">
      <c r="A220" t="s" s="27">
        <v>1294</v>
      </c>
      <c r="B220" t="s" s="13">
        <v>22</v>
      </c>
      <c r="C220" s="31">
        <v>44602</v>
      </c>
      <c r="D220" s="14">
        <v>1497.6</v>
      </c>
      <c r="E220" s="14">
        <v>1514</v>
      </c>
      <c r="F220" s="14">
        <v>1535.5</v>
      </c>
      <c r="G220" s="14">
        <v>1501.65</v>
      </c>
      <c r="H220" s="14">
        <v>1523.6</v>
      </c>
      <c r="I220" s="14">
        <v>1525.1</v>
      </c>
      <c r="J220" s="14">
        <v>1523.34</v>
      </c>
      <c r="K220" t="s" s="13">
        <v>2152</v>
      </c>
      <c r="L220" t="s" s="13">
        <v>2153</v>
      </c>
      <c r="M220" t="s" s="13">
        <v>2154</v>
      </c>
      <c r="N220" t="s" s="13">
        <v>2155</v>
      </c>
      <c r="O220" s="15">
        <v>64.51000000000001</v>
      </c>
      <c r="P220" s="30" cm="1">
        <f t="array" ref="P220">(I220-I219)/I219</f>
        <v>0.0183627136752137</v>
      </c>
      <c r="Q220" s="15">
        <v>9670823</v>
      </c>
    </row>
    <row r="221" ht="13.65" customHeight="1">
      <c r="A221" t="s" s="27">
        <v>1294</v>
      </c>
      <c r="B221" t="s" s="13">
        <v>22</v>
      </c>
      <c r="C221" s="31">
        <v>44603</v>
      </c>
      <c r="D221" s="14">
        <v>1525.1</v>
      </c>
      <c r="E221" s="14">
        <v>1500.25</v>
      </c>
      <c r="F221" s="14">
        <v>1525</v>
      </c>
      <c r="G221" s="14">
        <v>1499.5</v>
      </c>
      <c r="H221" s="14">
        <v>1516</v>
      </c>
      <c r="I221" s="14">
        <v>1518.85</v>
      </c>
      <c r="J221" s="14">
        <v>1514.35</v>
      </c>
      <c r="K221" t="s" s="13">
        <v>2156</v>
      </c>
      <c r="L221" t="s" s="13">
        <v>2157</v>
      </c>
      <c r="M221" t="s" s="13">
        <v>2158</v>
      </c>
      <c r="N221" t="s" s="13">
        <v>2159</v>
      </c>
      <c r="O221" s="15">
        <v>69.16</v>
      </c>
      <c r="P221" s="30" cm="1">
        <f t="array" ref="P221">(I221-I220)/I220</f>
        <v>-0.00409809192839814</v>
      </c>
      <c r="Q221" s="15">
        <v>5342092</v>
      </c>
    </row>
    <row r="222" ht="13.65" customHeight="1">
      <c r="A222" t="s" s="27">
        <v>1294</v>
      </c>
      <c r="B222" t="s" s="13">
        <v>22</v>
      </c>
      <c r="C222" s="31">
        <v>44606</v>
      </c>
      <c r="D222" s="14">
        <v>1518.85</v>
      </c>
      <c r="E222" s="14">
        <v>1490</v>
      </c>
      <c r="F222" s="14">
        <v>1499.45</v>
      </c>
      <c r="G222" s="14">
        <v>1469.3</v>
      </c>
      <c r="H222" s="14">
        <v>1472</v>
      </c>
      <c r="I222" s="14">
        <v>1473.7</v>
      </c>
      <c r="J222" s="14">
        <v>1479.38</v>
      </c>
      <c r="K222" t="s" s="13">
        <v>2160</v>
      </c>
      <c r="L222" t="s" s="13">
        <v>2161</v>
      </c>
      <c r="M222" t="s" s="13">
        <v>2162</v>
      </c>
      <c r="N222" t="s" s="13">
        <v>2163</v>
      </c>
      <c r="O222" s="15">
        <v>73.81</v>
      </c>
      <c r="P222" s="30" cm="1">
        <f t="array" ref="P222">(I222-I221)/I221</f>
        <v>-0.0297264377654146</v>
      </c>
      <c r="Q222" s="15">
        <v>5065458</v>
      </c>
    </row>
    <row r="223" ht="13.65" customHeight="1">
      <c r="A223" t="s" s="27">
        <v>1294</v>
      </c>
      <c r="B223" t="s" s="13">
        <v>22</v>
      </c>
      <c r="C223" s="31">
        <v>44607</v>
      </c>
      <c r="D223" s="14">
        <v>1473.7</v>
      </c>
      <c r="E223" s="14">
        <v>1476</v>
      </c>
      <c r="F223" s="14">
        <v>1524.9</v>
      </c>
      <c r="G223" s="14">
        <v>1473.05</v>
      </c>
      <c r="H223" s="14">
        <v>1519.45</v>
      </c>
      <c r="I223" s="14">
        <v>1517.8</v>
      </c>
      <c r="J223" s="14">
        <v>1499.93</v>
      </c>
      <c r="K223" t="s" s="13">
        <v>2164</v>
      </c>
      <c r="L223" t="s" s="13">
        <v>2165</v>
      </c>
      <c r="M223" t="s" s="13">
        <v>2166</v>
      </c>
      <c r="N223" t="s" s="13">
        <v>2167</v>
      </c>
      <c r="O223" s="15">
        <v>63.13</v>
      </c>
      <c r="P223" s="30" cm="1">
        <f t="array" ref="P223">(I223-I222)/I222</f>
        <v>0.0299246793784352</v>
      </c>
      <c r="Q223" s="15">
        <v>11082640</v>
      </c>
    </row>
    <row r="224" ht="13.65" customHeight="1">
      <c r="A224" t="s" s="27">
        <v>1294</v>
      </c>
      <c r="B224" t="s" s="13">
        <v>22</v>
      </c>
      <c r="C224" s="31">
        <v>44608</v>
      </c>
      <c r="D224" s="14">
        <v>1517.8</v>
      </c>
      <c r="E224" s="14">
        <v>1534.35</v>
      </c>
      <c r="F224" s="14">
        <v>1534.75</v>
      </c>
      <c r="G224" s="14">
        <v>1507</v>
      </c>
      <c r="H224" s="14">
        <v>1512.5</v>
      </c>
      <c r="I224" s="14">
        <v>1515.75</v>
      </c>
      <c r="J224" s="14">
        <v>1521.07</v>
      </c>
      <c r="K224" t="s" s="13">
        <v>2168</v>
      </c>
      <c r="L224" t="s" s="13">
        <v>2169</v>
      </c>
      <c r="M224" t="s" s="13">
        <v>2170</v>
      </c>
      <c r="N224" t="s" s="13">
        <v>2171</v>
      </c>
      <c r="O224" s="15">
        <v>58.31</v>
      </c>
      <c r="P224" s="30" cm="1">
        <f t="array" ref="P224">(I224-I223)/I223</f>
        <v>-0.00135063908288312</v>
      </c>
      <c r="Q224" s="15">
        <v>7560346</v>
      </c>
    </row>
    <row r="225" ht="13.65" customHeight="1">
      <c r="A225" t="s" s="27">
        <v>1294</v>
      </c>
      <c r="B225" t="s" s="13">
        <v>22</v>
      </c>
      <c r="C225" s="31">
        <v>44609</v>
      </c>
      <c r="D225" s="14">
        <v>1515.75</v>
      </c>
      <c r="E225" s="14">
        <v>1513.1</v>
      </c>
      <c r="F225" s="14">
        <v>1522</v>
      </c>
      <c r="G225" s="14">
        <v>1502</v>
      </c>
      <c r="H225" s="14">
        <v>1504.45</v>
      </c>
      <c r="I225" s="14">
        <v>1506.5</v>
      </c>
      <c r="J225" s="14">
        <v>1511.79</v>
      </c>
      <c r="K225" t="s" s="13">
        <v>2172</v>
      </c>
      <c r="L225" t="s" s="13">
        <v>2173</v>
      </c>
      <c r="M225" t="s" s="13">
        <v>2174</v>
      </c>
      <c r="N225" t="s" s="13">
        <v>2175</v>
      </c>
      <c r="O225" s="15">
        <v>48.62</v>
      </c>
      <c r="P225" s="30" cm="1">
        <f t="array" ref="P225">(I225-I224)/I224</f>
        <v>-0.00610258947715652</v>
      </c>
      <c r="Q225" s="15">
        <v>5302071</v>
      </c>
    </row>
    <row r="226" ht="13.65" customHeight="1">
      <c r="A226" t="s" s="27">
        <v>1294</v>
      </c>
      <c r="B226" t="s" s="13">
        <v>22</v>
      </c>
      <c r="C226" s="31">
        <v>44610</v>
      </c>
      <c r="D226" s="14">
        <v>1506.5</v>
      </c>
      <c r="E226" s="14">
        <v>1498.3</v>
      </c>
      <c r="F226" s="14">
        <v>1517</v>
      </c>
      <c r="G226" s="14">
        <v>1490.45</v>
      </c>
      <c r="H226" s="14">
        <v>1511</v>
      </c>
      <c r="I226" s="14">
        <v>1512.35</v>
      </c>
      <c r="J226" s="14">
        <v>1505.99</v>
      </c>
      <c r="K226" t="s" s="13">
        <v>2176</v>
      </c>
      <c r="L226" t="s" s="13">
        <v>2177</v>
      </c>
      <c r="M226" t="s" s="13">
        <v>2178</v>
      </c>
      <c r="N226" t="s" s="13">
        <v>2179</v>
      </c>
      <c r="O226" s="15">
        <v>56.99</v>
      </c>
      <c r="P226" s="30" cm="1">
        <f t="array" ref="P226">(I226-I225)/I225</f>
        <v>0.00388317291735811</v>
      </c>
      <c r="Q226" s="15">
        <v>6887463</v>
      </c>
    </row>
    <row r="227" ht="13.65" customHeight="1">
      <c r="A227" t="s" s="27">
        <v>1294</v>
      </c>
      <c r="B227" t="s" s="13">
        <v>22</v>
      </c>
      <c r="C227" s="31">
        <v>44613</v>
      </c>
      <c r="D227" s="14">
        <v>1512.35</v>
      </c>
      <c r="E227" s="14">
        <v>1504</v>
      </c>
      <c r="F227" s="14">
        <v>1530.7</v>
      </c>
      <c r="G227" s="14">
        <v>1495.55</v>
      </c>
      <c r="H227" s="14">
        <v>1523.45</v>
      </c>
      <c r="I227" s="14">
        <v>1522.1</v>
      </c>
      <c r="J227" s="14">
        <v>1518.53</v>
      </c>
      <c r="K227" t="s" s="13">
        <v>2180</v>
      </c>
      <c r="L227" t="s" s="13">
        <v>2181</v>
      </c>
      <c r="M227" t="s" s="13">
        <v>2182</v>
      </c>
      <c r="N227" t="s" s="13">
        <v>2183</v>
      </c>
      <c r="O227" s="15">
        <v>49.37</v>
      </c>
      <c r="P227" s="30" cm="1">
        <f t="array" ref="P227">(I227-I226)/I226</f>
        <v>0.00644692035573776</v>
      </c>
      <c r="Q227" s="15">
        <v>7259517</v>
      </c>
    </row>
    <row r="228" ht="13.65" customHeight="1">
      <c r="A228" t="s" s="27">
        <v>1294</v>
      </c>
      <c r="B228" t="s" s="13">
        <v>22</v>
      </c>
      <c r="C228" s="31">
        <v>44614</v>
      </c>
      <c r="D228" s="14">
        <v>1522.1</v>
      </c>
      <c r="E228" s="14">
        <v>1489.8</v>
      </c>
      <c r="F228" s="14">
        <v>1522.1</v>
      </c>
      <c r="G228" s="14">
        <v>1487.95</v>
      </c>
      <c r="H228" s="14">
        <v>1508</v>
      </c>
      <c r="I228" s="14">
        <v>1510.7</v>
      </c>
      <c r="J228" s="14">
        <v>1508.83</v>
      </c>
      <c r="K228" t="s" s="13">
        <v>2184</v>
      </c>
      <c r="L228" t="s" s="13">
        <v>2185</v>
      </c>
      <c r="M228" t="s" s="13">
        <v>2186</v>
      </c>
      <c r="N228" t="s" s="13">
        <v>2187</v>
      </c>
      <c r="O228" s="15">
        <v>49.55</v>
      </c>
      <c r="P228" s="30" cm="1">
        <f t="array" ref="P228">(I228-I227)/I227</f>
        <v>-0.00748965245384666</v>
      </c>
      <c r="Q228" s="15">
        <v>5530025</v>
      </c>
    </row>
    <row r="229" ht="13.65" customHeight="1">
      <c r="A229" t="s" s="27">
        <v>1294</v>
      </c>
      <c r="B229" t="s" s="13">
        <v>22</v>
      </c>
      <c r="C229" s="31">
        <v>44615</v>
      </c>
      <c r="D229" s="14">
        <v>1510.7</v>
      </c>
      <c r="E229" s="14">
        <v>1525.1</v>
      </c>
      <c r="F229" s="14">
        <v>1525.7</v>
      </c>
      <c r="G229" s="14">
        <v>1495.65</v>
      </c>
      <c r="H229" s="14">
        <v>1500</v>
      </c>
      <c r="I229" s="14">
        <v>1500.9</v>
      </c>
      <c r="J229" s="14">
        <v>1511.14</v>
      </c>
      <c r="K229" t="s" s="13">
        <v>2188</v>
      </c>
      <c r="L229" t="s" s="13">
        <v>2189</v>
      </c>
      <c r="M229" t="s" s="13">
        <v>2190</v>
      </c>
      <c r="N229" t="s" s="13">
        <v>2191</v>
      </c>
      <c r="O229" s="15">
        <v>64.18000000000001</v>
      </c>
      <c r="P229" s="30" cm="1">
        <f t="array" ref="P229">(I229-I228)/I228</f>
        <v>-0.00648705897928113</v>
      </c>
      <c r="Q229" s="15">
        <v>6024167</v>
      </c>
    </row>
    <row r="230" ht="13.65" customHeight="1">
      <c r="A230" t="s" s="27">
        <v>1294</v>
      </c>
      <c r="B230" t="s" s="13">
        <v>22</v>
      </c>
      <c r="C230" s="31">
        <v>44616</v>
      </c>
      <c r="D230" s="14">
        <v>1500.9</v>
      </c>
      <c r="E230" s="14">
        <v>1449.9</v>
      </c>
      <c r="F230" s="14">
        <v>1474.95</v>
      </c>
      <c r="G230" s="14">
        <v>1407.15</v>
      </c>
      <c r="H230" s="14">
        <v>1410.2</v>
      </c>
      <c r="I230" s="14">
        <v>1419.4</v>
      </c>
      <c r="J230" s="14">
        <v>1448.27</v>
      </c>
      <c r="K230" t="s" s="13">
        <v>2192</v>
      </c>
      <c r="L230" t="s" s="13">
        <v>2193</v>
      </c>
      <c r="M230" t="s" s="13">
        <v>2194</v>
      </c>
      <c r="N230" t="s" s="13">
        <v>2195</v>
      </c>
      <c r="O230" s="15">
        <v>60.59</v>
      </c>
      <c r="P230" s="30" cm="1">
        <f t="array" ref="P230">(I230-I229)/I229</f>
        <v>-0.0543007528816044</v>
      </c>
      <c r="Q230" s="15">
        <v>5738522</v>
      </c>
    </row>
    <row r="231" ht="13.65" customHeight="1">
      <c r="A231" t="s" s="27">
        <v>1294</v>
      </c>
      <c r="B231" t="s" s="13">
        <v>22</v>
      </c>
      <c r="C231" s="31">
        <v>44617</v>
      </c>
      <c r="D231" s="14">
        <v>1419.4</v>
      </c>
      <c r="E231" s="14">
        <v>1439.95</v>
      </c>
      <c r="F231" s="14">
        <v>1465.9</v>
      </c>
      <c r="G231" s="14">
        <v>1432.85</v>
      </c>
      <c r="H231" s="14">
        <v>1456.3</v>
      </c>
      <c r="I231" s="14">
        <v>1456.1</v>
      </c>
      <c r="J231" s="14">
        <v>1454.62</v>
      </c>
      <c r="K231" t="s" s="13">
        <v>2196</v>
      </c>
      <c r="L231" t="s" s="13">
        <v>2197</v>
      </c>
      <c r="M231" t="s" s="13">
        <v>2198</v>
      </c>
      <c r="N231" t="s" s="13">
        <v>2199</v>
      </c>
      <c r="O231" s="15">
        <v>68.31999999999999</v>
      </c>
      <c r="P231" s="30" cm="1">
        <f t="array" ref="P231">(I231-I230)/I230</f>
        <v>0.0258559954910526</v>
      </c>
      <c r="Q231" s="15">
        <v>7210806</v>
      </c>
    </row>
    <row r="232" ht="13.65" customHeight="1">
      <c r="A232" t="s" s="27">
        <v>1294</v>
      </c>
      <c r="B232" t="s" s="13">
        <v>22</v>
      </c>
      <c r="C232" s="31">
        <v>44620</v>
      </c>
      <c r="D232" s="14">
        <v>1456.1</v>
      </c>
      <c r="E232" s="14">
        <v>1426</v>
      </c>
      <c r="F232" s="14">
        <v>1438.55</v>
      </c>
      <c r="G232" s="14">
        <v>1414.05</v>
      </c>
      <c r="H232" s="14">
        <v>1428.8</v>
      </c>
      <c r="I232" s="14">
        <v>1426.25</v>
      </c>
      <c r="J232" s="14">
        <v>1424.95</v>
      </c>
      <c r="K232" t="s" s="13">
        <v>2200</v>
      </c>
      <c r="L232" t="s" s="13">
        <v>2201</v>
      </c>
      <c r="M232" t="s" s="13">
        <v>2202</v>
      </c>
      <c r="N232" t="s" s="13">
        <v>2203</v>
      </c>
      <c r="O232" s="15">
        <v>74.01000000000001</v>
      </c>
      <c r="P232" s="30" cm="1">
        <f t="array" ref="P232">(I232-I231)/I231</f>
        <v>-0.0204999656616991</v>
      </c>
      <c r="Q232" s="15">
        <v>10743164</v>
      </c>
    </row>
    <row r="233" ht="13.65" customHeight="1">
      <c r="A233" t="s" s="27">
        <v>1294</v>
      </c>
      <c r="B233" t="s" s="13">
        <v>22</v>
      </c>
      <c r="C233" s="28">
        <v>44622</v>
      </c>
      <c r="D233" s="14">
        <v>1426.25</v>
      </c>
      <c r="E233" s="14">
        <v>1386.5</v>
      </c>
      <c r="F233" s="14">
        <v>1398.4</v>
      </c>
      <c r="G233" s="14">
        <v>1354.4</v>
      </c>
      <c r="H233" s="14">
        <v>1378.55</v>
      </c>
      <c r="I233" s="14">
        <v>1374.25</v>
      </c>
      <c r="J233" s="14">
        <v>1372.96</v>
      </c>
      <c r="K233" t="s" s="13">
        <v>2204</v>
      </c>
      <c r="L233" t="s" s="13">
        <v>2205</v>
      </c>
      <c r="M233" t="s" s="13">
        <v>2206</v>
      </c>
      <c r="N233" t="s" s="13">
        <v>2207</v>
      </c>
      <c r="O233" s="15">
        <v>70.59999999999999</v>
      </c>
      <c r="P233" s="30" cm="1">
        <f t="array" ref="P233">(I233-I232)/I232</f>
        <v>-0.0364592462751972</v>
      </c>
      <c r="Q233" s="15">
        <v>11236850</v>
      </c>
    </row>
    <row r="234" ht="13.65" customHeight="1">
      <c r="A234" t="s" s="27">
        <v>1294</v>
      </c>
      <c r="B234" t="s" s="13">
        <v>22</v>
      </c>
      <c r="C234" s="28">
        <v>44623</v>
      </c>
      <c r="D234" s="14">
        <v>1374.25</v>
      </c>
      <c r="E234" s="14">
        <v>1381</v>
      </c>
      <c r="F234" s="14">
        <v>1392</v>
      </c>
      <c r="G234" s="14">
        <v>1362.9</v>
      </c>
      <c r="H234" s="14">
        <v>1373.35</v>
      </c>
      <c r="I234" s="14">
        <v>1371</v>
      </c>
      <c r="J234" s="14">
        <v>1377.34</v>
      </c>
      <c r="K234" t="s" s="13">
        <v>2208</v>
      </c>
      <c r="L234" t="s" s="13">
        <v>2209</v>
      </c>
      <c r="M234" t="s" s="13">
        <v>2210</v>
      </c>
      <c r="N234" t="s" s="13">
        <v>2211</v>
      </c>
      <c r="O234" s="15">
        <v>63.98</v>
      </c>
      <c r="P234" s="30" cm="1">
        <f t="array" ref="P234">(I234-I233)/I233</f>
        <v>-0.00236492632344915</v>
      </c>
      <c r="Q234" s="15">
        <v>17616451</v>
      </c>
    </row>
    <row r="235" ht="13.65" customHeight="1">
      <c r="A235" t="s" s="27">
        <v>1294</v>
      </c>
      <c r="B235" t="s" s="13">
        <v>22</v>
      </c>
      <c r="C235" s="28">
        <v>44624</v>
      </c>
      <c r="D235" s="14">
        <v>1371</v>
      </c>
      <c r="E235" s="14">
        <v>1360</v>
      </c>
      <c r="F235" s="14">
        <v>1386</v>
      </c>
      <c r="G235" s="14">
        <v>1336.9</v>
      </c>
      <c r="H235" s="14">
        <v>1364.95</v>
      </c>
      <c r="I235" s="14">
        <v>1366.5</v>
      </c>
      <c r="J235" s="14">
        <v>1359.66</v>
      </c>
      <c r="K235" t="s" s="13">
        <v>2212</v>
      </c>
      <c r="L235" t="s" s="13">
        <v>2213</v>
      </c>
      <c r="M235" t="s" s="13">
        <v>2214</v>
      </c>
      <c r="N235" t="s" s="13">
        <v>2215</v>
      </c>
      <c r="O235" s="15">
        <v>66.03</v>
      </c>
      <c r="P235" s="30" cm="1">
        <f t="array" ref="P235">(I235-I234)/I234</f>
        <v>-0.00328227571115974</v>
      </c>
      <c r="Q235" s="15">
        <v>12039276</v>
      </c>
    </row>
    <row r="236" ht="13.65" customHeight="1">
      <c r="A236" t="s" s="27">
        <v>1294</v>
      </c>
      <c r="B236" t="s" s="13">
        <v>22</v>
      </c>
      <c r="C236" s="28">
        <v>44627</v>
      </c>
      <c r="D236" s="14">
        <v>1366.5</v>
      </c>
      <c r="E236" s="14">
        <v>1318.5</v>
      </c>
      <c r="F236" s="14">
        <v>1332.35</v>
      </c>
      <c r="G236" s="14">
        <v>1297.05</v>
      </c>
      <c r="H236" s="14">
        <v>1326</v>
      </c>
      <c r="I236" s="14">
        <v>1324.8</v>
      </c>
      <c r="J236" s="14">
        <v>1314.7</v>
      </c>
      <c r="K236" t="s" s="13">
        <v>2216</v>
      </c>
      <c r="L236" t="s" s="13">
        <v>2217</v>
      </c>
      <c r="M236" t="s" s="13">
        <v>2218</v>
      </c>
      <c r="N236" t="s" s="13">
        <v>2219</v>
      </c>
      <c r="O236" s="15">
        <v>62.24</v>
      </c>
      <c r="P236" s="30" cm="1">
        <f t="array" ref="P236">(I236-I235)/I235</f>
        <v>-0.0305159165751921</v>
      </c>
      <c r="Q236" s="15">
        <v>12051970</v>
      </c>
    </row>
    <row r="237" ht="13.65" customHeight="1">
      <c r="A237" t="s" s="27">
        <v>1294</v>
      </c>
      <c r="B237" t="s" s="13">
        <v>22</v>
      </c>
      <c r="C237" s="28">
        <v>44628</v>
      </c>
      <c r="D237" s="14">
        <v>1324.8</v>
      </c>
      <c r="E237" s="14">
        <v>1302.2</v>
      </c>
      <c r="F237" s="14">
        <v>1334</v>
      </c>
      <c r="G237" s="14">
        <v>1292</v>
      </c>
      <c r="H237" s="14">
        <v>1333</v>
      </c>
      <c r="I237" s="14">
        <v>1327.8</v>
      </c>
      <c r="J237" s="14">
        <v>1305.18</v>
      </c>
      <c r="K237" t="s" s="13">
        <v>2220</v>
      </c>
      <c r="L237" t="s" s="13">
        <v>2221</v>
      </c>
      <c r="M237" t="s" s="13">
        <v>2222</v>
      </c>
      <c r="N237" t="s" s="13">
        <v>2223</v>
      </c>
      <c r="O237" s="15">
        <v>60.87</v>
      </c>
      <c r="P237" s="30" cm="1">
        <f t="array" ref="P237">(I237-I236)/I236</f>
        <v>0.00226449275362319</v>
      </c>
      <c r="Q237" s="15">
        <v>10296453</v>
      </c>
    </row>
    <row r="238" ht="13.65" customHeight="1">
      <c r="A238" t="s" s="27">
        <v>1294</v>
      </c>
      <c r="B238" t="s" s="13">
        <v>22</v>
      </c>
      <c r="C238" s="28">
        <v>44629</v>
      </c>
      <c r="D238" s="14">
        <v>1327.8</v>
      </c>
      <c r="E238" s="14">
        <v>1330</v>
      </c>
      <c r="F238" s="14">
        <v>1374.7</v>
      </c>
      <c r="G238" s="14">
        <v>1318.85</v>
      </c>
      <c r="H238" s="14">
        <v>1371.05</v>
      </c>
      <c r="I238" s="14">
        <v>1371.15</v>
      </c>
      <c r="J238" s="14">
        <v>1347.62</v>
      </c>
      <c r="K238" t="s" s="13">
        <v>2224</v>
      </c>
      <c r="L238" t="s" s="13">
        <v>2225</v>
      </c>
      <c r="M238" t="s" s="13">
        <v>2226</v>
      </c>
      <c r="N238" t="s" s="13">
        <v>2227</v>
      </c>
      <c r="O238" s="15">
        <v>64.48999999999999</v>
      </c>
      <c r="P238" s="30" cm="1">
        <f t="array" ref="P238">(I238-I237)/I237</f>
        <v>0.0326479891549932</v>
      </c>
      <c r="Q238" s="15">
        <v>15085476</v>
      </c>
    </row>
    <row r="239" ht="13.65" customHeight="1">
      <c r="A239" t="s" s="27">
        <v>1294</v>
      </c>
      <c r="B239" t="s" s="13">
        <v>22</v>
      </c>
      <c r="C239" s="31">
        <v>44630</v>
      </c>
      <c r="D239" s="14">
        <v>1371.15</v>
      </c>
      <c r="E239" s="14">
        <v>1427</v>
      </c>
      <c r="F239" s="14">
        <v>1427</v>
      </c>
      <c r="G239" s="14">
        <v>1380.25</v>
      </c>
      <c r="H239" s="14">
        <v>1388.9</v>
      </c>
      <c r="I239" s="14">
        <v>1392.7</v>
      </c>
      <c r="J239" s="14">
        <v>1404.82</v>
      </c>
      <c r="K239" t="s" s="13">
        <v>2228</v>
      </c>
      <c r="L239" t="s" s="13">
        <v>2229</v>
      </c>
      <c r="M239" t="s" s="13">
        <v>2230</v>
      </c>
      <c r="N239" t="s" s="13">
        <v>2231</v>
      </c>
      <c r="O239" s="15">
        <v>52.22</v>
      </c>
      <c r="P239" s="30" cm="1">
        <f t="array" ref="P239">(I239-I238)/I238</f>
        <v>0.0157167341282865</v>
      </c>
      <c r="Q239" s="15">
        <v>11356764</v>
      </c>
    </row>
    <row r="240" ht="13.65" customHeight="1">
      <c r="A240" t="s" s="27">
        <v>1294</v>
      </c>
      <c r="B240" t="s" s="13">
        <v>22</v>
      </c>
      <c r="C240" s="31">
        <v>44631</v>
      </c>
      <c r="D240" s="14">
        <v>1392.7</v>
      </c>
      <c r="E240" s="14">
        <v>1388</v>
      </c>
      <c r="F240" s="14">
        <v>1408.95</v>
      </c>
      <c r="G240" s="14">
        <v>1372.7</v>
      </c>
      <c r="H240" s="14">
        <v>1396</v>
      </c>
      <c r="I240" s="14">
        <v>1396.8</v>
      </c>
      <c r="J240" s="14">
        <v>1396.47</v>
      </c>
      <c r="K240" t="s" s="13">
        <v>2232</v>
      </c>
      <c r="L240" t="s" s="13">
        <v>2233</v>
      </c>
      <c r="M240" t="s" s="13">
        <v>2234</v>
      </c>
      <c r="N240" t="s" s="13">
        <v>2235</v>
      </c>
      <c r="O240" s="15">
        <v>58.54</v>
      </c>
      <c r="P240" s="30" cm="1">
        <f t="array" ref="P240">(I240-I239)/I239</f>
        <v>0.00294392187836576</v>
      </c>
      <c r="Q240" s="15">
        <v>19242656</v>
      </c>
    </row>
    <row r="241" ht="13.65" customHeight="1">
      <c r="A241" t="s" s="27">
        <v>1294</v>
      </c>
      <c r="B241" t="s" s="13">
        <v>22</v>
      </c>
      <c r="C241" s="31">
        <v>44634</v>
      </c>
      <c r="D241" s="14">
        <v>1396.8</v>
      </c>
      <c r="E241" s="14">
        <v>1415</v>
      </c>
      <c r="F241" s="14">
        <v>1450</v>
      </c>
      <c r="G241" s="14">
        <v>1415</v>
      </c>
      <c r="H241" s="14">
        <v>1442.25</v>
      </c>
      <c r="I241" s="14">
        <v>1442.55</v>
      </c>
      <c r="J241" s="14">
        <v>1433.68</v>
      </c>
      <c r="K241" t="s" s="13">
        <v>2236</v>
      </c>
      <c r="L241" t="s" s="13">
        <v>2237</v>
      </c>
      <c r="M241" t="s" s="13">
        <v>2238</v>
      </c>
      <c r="N241" t="s" s="13">
        <v>2239</v>
      </c>
      <c r="O241" s="15">
        <v>57.72</v>
      </c>
      <c r="P241" s="30" cm="1">
        <f t="array" ref="P241">(I241-I240)/I240</f>
        <v>0.0327534364261168</v>
      </c>
      <c r="Q241" s="15">
        <v>11593135</v>
      </c>
    </row>
    <row r="242" ht="13.65" customHeight="1">
      <c r="A242" t="s" s="27">
        <v>1294</v>
      </c>
      <c r="B242" t="s" s="13">
        <v>22</v>
      </c>
      <c r="C242" s="31">
        <v>44635</v>
      </c>
      <c r="D242" s="14">
        <v>1442.55</v>
      </c>
      <c r="E242" s="14">
        <v>1443.5</v>
      </c>
      <c r="F242" s="14">
        <v>1449.5</v>
      </c>
      <c r="G242" s="14">
        <v>1411.75</v>
      </c>
      <c r="H242" s="14">
        <v>1422</v>
      </c>
      <c r="I242" s="14">
        <v>1424</v>
      </c>
      <c r="J242" s="14">
        <v>1435.02</v>
      </c>
      <c r="K242" t="s" s="13">
        <v>2240</v>
      </c>
      <c r="L242" t="s" s="13">
        <v>2241</v>
      </c>
      <c r="M242" t="s" s="13">
        <v>2242</v>
      </c>
      <c r="N242" t="s" s="13">
        <v>2243</v>
      </c>
      <c r="O242" s="15">
        <v>63.87</v>
      </c>
      <c r="P242" s="30" cm="1">
        <f t="array" ref="P242">(I242-I241)/I241</f>
        <v>-0.0128591729922706</v>
      </c>
      <c r="Q242" s="15">
        <v>12034621</v>
      </c>
    </row>
    <row r="243" ht="13.65" customHeight="1">
      <c r="A243" t="s" s="27">
        <v>1294</v>
      </c>
      <c r="B243" t="s" s="13">
        <v>22</v>
      </c>
      <c r="C243" s="31">
        <v>44636</v>
      </c>
      <c r="D243" s="14">
        <v>1424</v>
      </c>
      <c r="E243" s="14">
        <v>1447</v>
      </c>
      <c r="F243" s="14">
        <v>1455</v>
      </c>
      <c r="G243" s="14">
        <v>1436.2</v>
      </c>
      <c r="H243" s="14">
        <v>1445.95</v>
      </c>
      <c r="I243" s="14">
        <v>1448.15</v>
      </c>
      <c r="J243" s="14">
        <v>1446.5</v>
      </c>
      <c r="K243" t="s" s="13">
        <v>2244</v>
      </c>
      <c r="L243" t="s" s="13">
        <v>2245</v>
      </c>
      <c r="M243" t="s" s="13">
        <v>2246</v>
      </c>
      <c r="N243" t="s" s="13">
        <v>2247</v>
      </c>
      <c r="O243" s="15">
        <v>66.04000000000001</v>
      </c>
      <c r="P243" s="30" cm="1">
        <f t="array" ref="P243">(I243-I242)/I242</f>
        <v>0.0169592696629213</v>
      </c>
      <c r="Q243" s="15">
        <v>7803263</v>
      </c>
    </row>
    <row r="244" ht="13.65" customHeight="1">
      <c r="A244" t="s" s="27">
        <v>1294</v>
      </c>
      <c r="B244" t="s" s="13">
        <v>22</v>
      </c>
      <c r="C244" s="31">
        <v>44637</v>
      </c>
      <c r="D244" s="14">
        <v>1448.15</v>
      </c>
      <c r="E244" s="14">
        <v>1472</v>
      </c>
      <c r="F244" s="14">
        <v>1489.8</v>
      </c>
      <c r="G244" s="14">
        <v>1470.55</v>
      </c>
      <c r="H244" s="14">
        <v>1477.95</v>
      </c>
      <c r="I244" s="14">
        <v>1480.05</v>
      </c>
      <c r="J244" s="14">
        <v>1482.21</v>
      </c>
      <c r="K244" t="s" s="13">
        <v>2248</v>
      </c>
      <c r="L244" t="s" s="13">
        <v>2249</v>
      </c>
      <c r="M244" t="s" s="13">
        <v>2250</v>
      </c>
      <c r="N244" t="s" s="13">
        <v>2251</v>
      </c>
      <c r="O244" s="15">
        <v>59.86</v>
      </c>
      <c r="P244" s="30" cm="1">
        <f t="array" ref="P244">(I244-I243)/I243</f>
        <v>0.0220281048233954</v>
      </c>
      <c r="Q244" s="15">
        <v>17222492</v>
      </c>
    </row>
    <row r="245" ht="13.65" customHeight="1">
      <c r="A245" t="s" s="27">
        <v>1294</v>
      </c>
      <c r="B245" t="s" s="13">
        <v>22</v>
      </c>
      <c r="C245" s="31">
        <v>44641</v>
      </c>
      <c r="D245" s="14">
        <v>1480.05</v>
      </c>
      <c r="E245" s="14">
        <v>1487</v>
      </c>
      <c r="F245" s="14">
        <v>1493.65</v>
      </c>
      <c r="G245" s="14">
        <v>1472.8</v>
      </c>
      <c r="H245" s="14">
        <v>1487.4</v>
      </c>
      <c r="I245" s="14">
        <v>1486.5</v>
      </c>
      <c r="J245" s="14">
        <v>1484.44</v>
      </c>
      <c r="K245" t="s" s="13">
        <v>2252</v>
      </c>
      <c r="L245" t="s" s="13">
        <v>2253</v>
      </c>
      <c r="M245" t="s" s="13">
        <v>2254</v>
      </c>
      <c r="N245" t="s" s="13">
        <v>2255</v>
      </c>
      <c r="O245" s="15">
        <v>66.22</v>
      </c>
      <c r="P245" s="30" cm="1">
        <f t="array" ref="P245">(I245-I244)/I244</f>
        <v>0.00435796087970001</v>
      </c>
      <c r="Q245" s="15">
        <v>9300341</v>
      </c>
    </row>
    <row r="246" ht="13.65" customHeight="1">
      <c r="A246" t="s" s="27">
        <v>1294</v>
      </c>
      <c r="B246" t="s" s="13">
        <v>22</v>
      </c>
      <c r="C246" s="31">
        <v>44642</v>
      </c>
      <c r="D246" s="14">
        <v>1486.5</v>
      </c>
      <c r="E246" s="14">
        <v>1481.3</v>
      </c>
      <c r="F246" s="14">
        <v>1498</v>
      </c>
      <c r="G246" s="14">
        <v>1457.2</v>
      </c>
      <c r="H246" s="14">
        <v>1496.8</v>
      </c>
      <c r="I246" s="14">
        <v>1494.15</v>
      </c>
      <c r="J246" s="14">
        <v>1478.67</v>
      </c>
      <c r="K246" t="s" s="13">
        <v>2256</v>
      </c>
      <c r="L246" t="s" s="13">
        <v>2257</v>
      </c>
      <c r="M246" t="s" s="13">
        <v>2258</v>
      </c>
      <c r="N246" t="s" s="13">
        <v>2259</v>
      </c>
      <c r="O246" s="15">
        <v>49.63</v>
      </c>
      <c r="P246" s="30" cm="1">
        <f t="array" ref="P246">(I246-I245)/I245</f>
        <v>0.00514631685166498</v>
      </c>
      <c r="Q246" s="15">
        <v>11274564</v>
      </c>
    </row>
    <row r="247" ht="13.65" customHeight="1">
      <c r="A247" t="s" s="27">
        <v>1294</v>
      </c>
      <c r="B247" t="s" s="13">
        <v>22</v>
      </c>
      <c r="C247" s="31">
        <v>44643</v>
      </c>
      <c r="D247" s="14">
        <v>1494.15</v>
      </c>
      <c r="E247" s="14">
        <v>1507</v>
      </c>
      <c r="F247" s="14">
        <v>1518.8</v>
      </c>
      <c r="G247" s="14">
        <v>1473.6</v>
      </c>
      <c r="H247" s="14">
        <v>1479.15</v>
      </c>
      <c r="I247" s="14">
        <v>1479.25</v>
      </c>
      <c r="J247" s="14">
        <v>1481.7</v>
      </c>
      <c r="K247" t="s" s="13">
        <v>2260</v>
      </c>
      <c r="L247" t="s" s="13">
        <v>2261</v>
      </c>
      <c r="M247" t="s" s="13">
        <v>2262</v>
      </c>
      <c r="N247" t="s" s="13">
        <v>2263</v>
      </c>
      <c r="O247" s="15">
        <v>80.91</v>
      </c>
      <c r="P247" s="30" cm="1">
        <f t="array" ref="P247">(I247-I246)/I246</f>
        <v>-0.009972225010875749</v>
      </c>
      <c r="Q247" s="15">
        <v>14078908</v>
      </c>
    </row>
    <row r="248" ht="13.65" customHeight="1">
      <c r="A248" t="s" s="27">
        <v>1294</v>
      </c>
      <c r="B248" t="s" s="13">
        <v>22</v>
      </c>
      <c r="C248" s="31">
        <v>44644</v>
      </c>
      <c r="D248" s="14">
        <v>1479.25</v>
      </c>
      <c r="E248" s="14">
        <v>1466</v>
      </c>
      <c r="F248" s="14">
        <v>1469.65</v>
      </c>
      <c r="G248" s="14">
        <v>1434.55</v>
      </c>
      <c r="H248" s="14">
        <v>1442.9</v>
      </c>
      <c r="I248" s="14">
        <v>1442.65</v>
      </c>
      <c r="J248" s="14">
        <v>1449.15</v>
      </c>
      <c r="K248" t="s" s="13">
        <v>2264</v>
      </c>
      <c r="L248" t="s" s="13">
        <v>2265</v>
      </c>
      <c r="M248" t="s" s="13">
        <v>2266</v>
      </c>
      <c r="N248" t="s" s="13">
        <v>2267</v>
      </c>
      <c r="O248" s="15">
        <v>56</v>
      </c>
      <c r="P248" s="30" cm="1">
        <f t="array" ref="P248">(I248-I247)/I247</f>
        <v>-0.0247422680412371</v>
      </c>
      <c r="Q248" s="15">
        <v>8806796</v>
      </c>
    </row>
    <row r="249" ht="13.65" customHeight="1">
      <c r="A249" t="s" s="27">
        <v>1294</v>
      </c>
      <c r="B249" t="s" s="13">
        <v>22</v>
      </c>
      <c r="C249" s="31">
        <v>44645</v>
      </c>
      <c r="D249" s="14">
        <v>1442.65</v>
      </c>
      <c r="E249" s="14">
        <v>1451</v>
      </c>
      <c r="F249" s="14">
        <v>1452</v>
      </c>
      <c r="G249" s="14">
        <v>1419</v>
      </c>
      <c r="H249" s="14">
        <v>1436.8</v>
      </c>
      <c r="I249" s="14">
        <v>1430.9</v>
      </c>
      <c r="J249" s="14">
        <v>1430.95</v>
      </c>
      <c r="K249" t="s" s="13">
        <v>2268</v>
      </c>
      <c r="L249" t="s" s="13">
        <v>2269</v>
      </c>
      <c r="M249" t="s" s="13">
        <v>2270</v>
      </c>
      <c r="N249" t="s" s="13">
        <v>2271</v>
      </c>
      <c r="O249" s="15">
        <v>63.67</v>
      </c>
      <c r="P249" s="30" cm="1">
        <f t="array" ref="P249">(I249-I248)/I248</f>
        <v>-0.00814473364988043</v>
      </c>
      <c r="Q249" s="15">
        <v>12544090</v>
      </c>
    </row>
    <row r="250" ht="13.65" customHeight="1">
      <c r="A250" t="s" s="27">
        <v>1294</v>
      </c>
      <c r="B250" t="s" s="13">
        <v>22</v>
      </c>
      <c r="C250" s="31">
        <v>44648</v>
      </c>
      <c r="D250" s="14">
        <v>1430.9</v>
      </c>
      <c r="E250" s="14">
        <v>1430.9</v>
      </c>
      <c r="F250" s="14">
        <v>1438</v>
      </c>
      <c r="G250" s="14">
        <v>1401.6</v>
      </c>
      <c r="H250" s="14">
        <v>1436</v>
      </c>
      <c r="I250" s="14">
        <v>1432.8</v>
      </c>
      <c r="J250" s="14">
        <v>1417.35</v>
      </c>
      <c r="K250" t="s" s="13">
        <v>2272</v>
      </c>
      <c r="L250" t="s" s="13">
        <v>2273</v>
      </c>
      <c r="M250" t="s" s="13">
        <v>2274</v>
      </c>
      <c r="N250" t="s" s="13">
        <v>2275</v>
      </c>
      <c r="O250" s="15">
        <v>59.15</v>
      </c>
      <c r="P250" s="30" cm="1">
        <f t="array" ref="P250">(I250-I249)/I249</f>
        <v>0.00132783562792648</v>
      </c>
      <c r="Q250" s="15">
        <v>7537867</v>
      </c>
    </row>
    <row r="251" ht="13.65" customHeight="1">
      <c r="A251" t="s" s="27">
        <v>1294</v>
      </c>
      <c r="B251" t="s" s="13">
        <v>22</v>
      </c>
      <c r="C251" s="31">
        <v>44649</v>
      </c>
      <c r="D251" s="14">
        <v>1432.8</v>
      </c>
      <c r="E251" s="14">
        <v>1441</v>
      </c>
      <c r="F251" s="14">
        <v>1460.25</v>
      </c>
      <c r="G251" s="14">
        <v>1430</v>
      </c>
      <c r="H251" s="14">
        <v>1458</v>
      </c>
      <c r="I251" s="14">
        <v>1451.8</v>
      </c>
      <c r="J251" s="14">
        <v>1442.08</v>
      </c>
      <c r="K251" t="s" s="13">
        <v>2276</v>
      </c>
      <c r="L251" t="s" s="13">
        <v>2277</v>
      </c>
      <c r="M251" t="s" s="13">
        <v>2278</v>
      </c>
      <c r="N251" t="s" s="13">
        <v>2279</v>
      </c>
      <c r="O251" s="15">
        <v>63.78</v>
      </c>
      <c r="P251" s="30" cm="1">
        <f t="array" ref="P251">(I251-I250)/I250</f>
        <v>0.0132607481853713</v>
      </c>
      <c r="Q251" s="15">
        <v>8003293</v>
      </c>
    </row>
    <row r="252" ht="13.65" customHeight="1">
      <c r="A252" t="s" s="27">
        <v>1294</v>
      </c>
      <c r="B252" t="s" s="13">
        <v>22</v>
      </c>
      <c r="C252" s="31">
        <v>44650</v>
      </c>
      <c r="D252" s="14">
        <v>1451.8</v>
      </c>
      <c r="E252" s="14">
        <v>1472</v>
      </c>
      <c r="F252" s="14">
        <v>1482.75</v>
      </c>
      <c r="G252" s="14">
        <v>1454.05</v>
      </c>
      <c r="H252" s="14">
        <v>1476</v>
      </c>
      <c r="I252" s="14">
        <v>1476.95</v>
      </c>
      <c r="J252" s="14">
        <v>1468.52</v>
      </c>
      <c r="K252" t="s" s="13">
        <v>2280</v>
      </c>
      <c r="L252" t="s" s="13">
        <v>2281</v>
      </c>
      <c r="M252" t="s" s="13">
        <v>2282</v>
      </c>
      <c r="N252" t="s" s="13">
        <v>2283</v>
      </c>
      <c r="O252" s="15">
        <v>70.51000000000001</v>
      </c>
      <c r="P252" s="30" cm="1">
        <f t="array" ref="P252">(I252-I251)/I251</f>
        <v>0.0173233227717316</v>
      </c>
      <c r="Q252" s="15">
        <v>17881881</v>
      </c>
    </row>
    <row r="253" ht="13.65" customHeight="1">
      <c r="A253" t="s" s="27">
        <v>1294</v>
      </c>
      <c r="B253" t="s" s="13">
        <v>22</v>
      </c>
      <c r="C253" s="31">
        <v>44651</v>
      </c>
      <c r="D253" s="14">
        <v>1476.95</v>
      </c>
      <c r="E253" s="14">
        <v>1471</v>
      </c>
      <c r="F253" s="14">
        <v>1484.7</v>
      </c>
      <c r="G253" s="14">
        <v>1465.9</v>
      </c>
      <c r="H253" s="14">
        <v>1470</v>
      </c>
      <c r="I253" s="14">
        <v>1470.35</v>
      </c>
      <c r="J253" s="14">
        <v>1473.98</v>
      </c>
      <c r="K253" t="s" s="13">
        <v>2284</v>
      </c>
      <c r="L253" t="s" s="13">
        <v>2285</v>
      </c>
      <c r="M253" t="s" s="13">
        <v>2286</v>
      </c>
      <c r="N253" t="s" s="13">
        <v>2287</v>
      </c>
      <c r="O253" s="15">
        <v>55.65</v>
      </c>
      <c r="P253" s="17" cm="1">
        <f t="array" ref="P253">(I253-I252)/I252</f>
        <v>-0.00446866853989641</v>
      </c>
      <c r="Q253" s="21"/>
    </row>
    <row r="254" ht="13.65" customHeight="1">
      <c r="A254" t="s" s="27">
        <v>1294</v>
      </c>
      <c r="B254" t="s" s="13">
        <v>22</v>
      </c>
      <c r="C254" s="28">
        <v>44652</v>
      </c>
      <c r="D254" s="14">
        <v>1470.35</v>
      </c>
      <c r="E254" s="14">
        <v>1476.4</v>
      </c>
      <c r="F254" s="14">
        <v>1510</v>
      </c>
      <c r="G254" s="14">
        <v>1470.3</v>
      </c>
      <c r="H254" s="14">
        <v>1507.5</v>
      </c>
      <c r="I254" s="14">
        <v>1506</v>
      </c>
      <c r="J254" s="14">
        <v>1494.73</v>
      </c>
      <c r="K254" t="s" s="13">
        <v>2288</v>
      </c>
      <c r="L254" t="s" s="13">
        <v>2289</v>
      </c>
      <c r="M254" t="s" s="13">
        <v>2290</v>
      </c>
      <c r="N254" t="s" s="13">
        <v>2291</v>
      </c>
      <c r="O254" s="15">
        <v>65.88</v>
      </c>
      <c r="P254" s="17" cm="1">
        <f t="array" ref="P254">(I254-I253)/I253</f>
        <v>0.0242459278403101</v>
      </c>
      <c r="Q254" s="8"/>
    </row>
    <row r="255" ht="13.65" customHeight="1">
      <c r="A255" s="21"/>
      <c r="B255" s="21"/>
      <c r="C255" s="21"/>
      <c r="D255" s="21"/>
      <c r="E255" s="21"/>
      <c r="F255" s="21"/>
      <c r="G255" s="21"/>
      <c r="H255" s="21"/>
      <c r="I255" s="21"/>
      <c r="J255" s="21"/>
      <c r="K255" s="21"/>
      <c r="L255" s="21"/>
      <c r="M255" s="21"/>
      <c r="N255" s="21"/>
      <c r="O255" s="21"/>
      <c r="P255" s="8"/>
      <c r="Q255" s="8"/>
    </row>
    <row r="256" ht="13.65" customHeight="1">
      <c r="A256" s="8"/>
      <c r="B256" s="8"/>
      <c r="C256" s="8"/>
      <c r="D256" s="8"/>
      <c r="E256" s="8"/>
      <c r="F256" s="8"/>
      <c r="G256" s="8"/>
      <c r="H256" s="8"/>
      <c r="I256" s="8"/>
      <c r="J256" s="8"/>
      <c r="K256" s="8"/>
      <c r="L256" s="8"/>
      <c r="M256" s="8"/>
      <c r="N256" s="8"/>
      <c r="O256" s="8"/>
      <c r="P256" s="8"/>
      <c r="Q256" s="8"/>
    </row>
    <row r="257" ht="13.65" customHeight="1">
      <c r="A257" s="8"/>
      <c r="B257" s="8"/>
      <c r="C257" s="8"/>
      <c r="D257" s="8"/>
      <c r="E257" s="8"/>
      <c r="F257" s="8"/>
      <c r="G257" s="8"/>
      <c r="H257" s="8"/>
      <c r="I257" s="8"/>
      <c r="J257" s="8"/>
      <c r="K257" s="8"/>
      <c r="L257" s="8"/>
      <c r="M257" s="8"/>
      <c r="N257" s="8"/>
      <c r="O257" t="s" s="7">
        <v>1028</v>
      </c>
      <c r="P257" s="22" cm="1">
        <f t="array" ref="P257">AVERAGE(P5:P254)</f>
        <v>0.000152966928034583</v>
      </c>
      <c r="Q257" s="8"/>
    </row>
    <row r="258" ht="13.65" customHeight="1">
      <c r="A258" s="8"/>
      <c r="B258" s="8"/>
      <c r="C258" s="8"/>
      <c r="D258" s="8"/>
      <c r="E258" s="8"/>
      <c r="F258" s="8"/>
      <c r="G258" s="8"/>
      <c r="H258" s="8"/>
      <c r="I258" s="8"/>
      <c r="J258" s="8"/>
      <c r="K258" s="8"/>
      <c r="L258" s="8"/>
      <c r="M258" s="8"/>
      <c r="N258" s="8"/>
      <c r="O258" t="s" s="7">
        <v>2292</v>
      </c>
      <c r="P258" s="22" cm="1">
        <f t="array" ref="P258">STDEV(P5:P254)</f>
        <v>0.0142627865455469</v>
      </c>
      <c r="Q258" s="8"/>
    </row>
    <row r="259" ht="13.65" customHeight="1">
      <c r="A259" s="8"/>
      <c r="B259" s="8"/>
      <c r="C259" s="8"/>
      <c r="D259" s="8"/>
      <c r="E259" s="8"/>
      <c r="F259" s="8"/>
      <c r="G259" s="8"/>
      <c r="H259" s="8"/>
      <c r="I259" s="8"/>
      <c r="J259" s="8"/>
      <c r="K259" s="8"/>
      <c r="L259" s="8"/>
      <c r="M259" s="8"/>
      <c r="N259" s="8"/>
      <c r="O259" t="s" s="7">
        <v>275</v>
      </c>
      <c r="P259" s="23" cm="1">
        <f t="array" ref="P259">IF(I254&gt;I4,1,IF(I254&lt;I4,-1,0))</f>
        <v>1</v>
      </c>
      <c r="Q259" s="8"/>
    </row>
    <row r="260" ht="13.65" customHeight="1">
      <c r="A260" t="s" s="7">
        <v>277</v>
      </c>
      <c r="B260" s="8"/>
      <c r="C260" s="8"/>
      <c r="D260" s="8"/>
      <c r="E260" s="8"/>
      <c r="F260" s="8"/>
      <c r="G260" s="8"/>
      <c r="H260" s="8"/>
      <c r="I260" s="8"/>
      <c r="J260" s="8"/>
      <c r="K260" s="8"/>
      <c r="L260" s="8"/>
      <c r="M260" s="8"/>
      <c r="N260" s="8"/>
      <c r="O260" t="s" s="7">
        <v>528</v>
      </c>
      <c r="P260" s="22" cm="1">
        <f t="array" ref="P260">(I254-I4)/I4</f>
        <v>0.0129477047250715</v>
      </c>
      <c r="Q260" s="8"/>
    </row>
    <row r="261" ht="13.65" customHeight="1">
      <c r="A261" s="8"/>
      <c r="B261" s="8"/>
      <c r="C261" s="8"/>
      <c r="D261" s="8"/>
      <c r="E261" s="8"/>
      <c r="F261" s="8"/>
      <c r="G261" s="8"/>
      <c r="H261" s="8"/>
      <c r="I261" s="8"/>
      <c r="J261" s="8"/>
      <c r="K261" s="8"/>
      <c r="L261" s="8"/>
      <c r="M261" s="8"/>
      <c r="N261" s="8"/>
      <c r="O261" s="8"/>
      <c r="P261" s="8"/>
      <c r="Q261" s="8"/>
    </row>
    <row r="262" ht="13.65" customHeight="1">
      <c r="A262" s="9"/>
      <c r="B262" s="9"/>
      <c r="C262" s="9"/>
      <c r="D262" s="9"/>
      <c r="E262" s="9"/>
      <c r="F262" s="9"/>
      <c r="G262" s="9"/>
      <c r="H262" s="9"/>
      <c r="I262" s="9"/>
      <c r="J262" s="9"/>
      <c r="K262" s="9"/>
      <c r="L262" s="9"/>
      <c r="M262" s="9"/>
      <c r="N262" s="9"/>
      <c r="O262" s="9"/>
      <c r="P262" s="8"/>
      <c r="Q262" s="8"/>
    </row>
    <row r="263" ht="13.65" customHeight="1">
      <c r="A263" t="s" s="10">
        <v>2293</v>
      </c>
      <c r="B263" t="s" s="10">
        <v>1280</v>
      </c>
      <c r="C263" t="s" s="10">
        <v>1281</v>
      </c>
      <c r="D263" t="s" s="10">
        <v>1282</v>
      </c>
      <c r="E263" t="s" s="10">
        <v>1283</v>
      </c>
      <c r="F263" t="s" s="10">
        <v>1284</v>
      </c>
      <c r="G263" t="s" s="10">
        <v>1285</v>
      </c>
      <c r="H263" t="s" s="10">
        <v>1286</v>
      </c>
      <c r="I263" t="s" s="10">
        <v>1287</v>
      </c>
      <c r="J263" t="s" s="10">
        <v>1288</v>
      </c>
      <c r="K263" t="s" s="10">
        <v>1289</v>
      </c>
      <c r="L263" t="s" s="10">
        <v>1290</v>
      </c>
      <c r="M263" t="s" s="10">
        <v>1291</v>
      </c>
      <c r="N263" t="s" s="10">
        <v>1292</v>
      </c>
      <c r="O263" t="s" s="10">
        <v>1293</v>
      </c>
      <c r="P263" t="s" s="11">
        <v>530</v>
      </c>
      <c r="Q263" s="8"/>
    </row>
    <row r="264" ht="13.65" customHeight="1">
      <c r="A264" t="s" s="27">
        <v>1294</v>
      </c>
      <c r="B264" t="s" s="13">
        <v>22</v>
      </c>
      <c r="C264" s="28">
        <v>44652</v>
      </c>
      <c r="D264" s="14">
        <v>1470.35</v>
      </c>
      <c r="E264" s="14">
        <v>1476.4</v>
      </c>
      <c r="F264" s="14">
        <v>1510</v>
      </c>
      <c r="G264" s="14">
        <v>1470.3</v>
      </c>
      <c r="H264" s="14">
        <v>1507.5</v>
      </c>
      <c r="I264" s="14">
        <v>1506</v>
      </c>
      <c r="J264" s="14">
        <v>1494.73</v>
      </c>
      <c r="K264" t="s" s="13">
        <v>2288</v>
      </c>
      <c r="L264" t="s" s="13">
        <v>2289</v>
      </c>
      <c r="M264" t="s" s="13">
        <v>2290</v>
      </c>
      <c r="N264" t="s" s="13">
        <v>2291</v>
      </c>
      <c r="O264" s="15">
        <v>65.88</v>
      </c>
      <c r="P264" s="17"/>
      <c r="Q264" s="8"/>
    </row>
    <row r="265" ht="13.65" customHeight="1">
      <c r="A265" t="s" s="27">
        <v>1294</v>
      </c>
      <c r="B265" t="s" s="13">
        <v>22</v>
      </c>
      <c r="C265" s="28">
        <v>44655</v>
      </c>
      <c r="D265" s="14">
        <v>1506</v>
      </c>
      <c r="E265" s="14">
        <v>1580</v>
      </c>
      <c r="F265" s="14">
        <v>1722.1</v>
      </c>
      <c r="G265" s="14">
        <v>1562.55</v>
      </c>
      <c r="H265" s="14">
        <v>1654.1</v>
      </c>
      <c r="I265" s="14">
        <v>1656.8</v>
      </c>
      <c r="J265" s="14">
        <v>1651.17</v>
      </c>
      <c r="K265" t="s" s="13">
        <v>2294</v>
      </c>
      <c r="L265" t="s" s="13">
        <v>2295</v>
      </c>
      <c r="M265" t="s" s="13">
        <v>2296</v>
      </c>
      <c r="N265" t="s" s="13">
        <v>2297</v>
      </c>
      <c r="O265" s="15">
        <v>40.13</v>
      </c>
      <c r="P265" s="17" cm="1">
        <f t="array" ref="P265">(I265-I264)/I264</f>
        <v>0.100132802124834</v>
      </c>
      <c r="Q265" s="8"/>
    </row>
    <row r="266" ht="13.65" customHeight="1">
      <c r="A266" t="s" s="27">
        <v>1294</v>
      </c>
      <c r="B266" t="s" s="13">
        <v>22</v>
      </c>
      <c r="C266" s="28">
        <v>44656</v>
      </c>
      <c r="D266" s="14">
        <v>1656.8</v>
      </c>
      <c r="E266" s="14">
        <v>1666.7</v>
      </c>
      <c r="F266" s="14">
        <v>1666.7</v>
      </c>
      <c r="G266" s="14">
        <v>1602</v>
      </c>
      <c r="H266" s="14">
        <v>1604.95</v>
      </c>
      <c r="I266" s="14">
        <v>1608.25</v>
      </c>
      <c r="J266" s="14">
        <v>1619.67</v>
      </c>
      <c r="K266" t="s" s="13">
        <v>2298</v>
      </c>
      <c r="L266" t="s" s="13">
        <v>2299</v>
      </c>
      <c r="M266" t="s" s="13">
        <v>2300</v>
      </c>
      <c r="N266" t="s" s="13">
        <v>2301</v>
      </c>
      <c r="O266" s="15">
        <v>43.88</v>
      </c>
      <c r="P266" s="17" cm="1">
        <f t="array" ref="P266">(I266-I265)/I265</f>
        <v>-0.0293034765813617</v>
      </c>
      <c r="Q266" s="8"/>
    </row>
    <row r="267" ht="13.65" customHeight="1">
      <c r="A267" t="s" s="27">
        <v>1294</v>
      </c>
      <c r="B267" t="s" s="13">
        <v>22</v>
      </c>
      <c r="C267" s="28">
        <v>44657</v>
      </c>
      <c r="D267" s="14">
        <v>1608.25</v>
      </c>
      <c r="E267" s="14">
        <v>1587.7</v>
      </c>
      <c r="F267" s="14">
        <v>1589.8</v>
      </c>
      <c r="G267" s="14">
        <v>1547.35</v>
      </c>
      <c r="H267" s="14">
        <v>1550.5</v>
      </c>
      <c r="I267" s="14">
        <v>1550.85</v>
      </c>
      <c r="J267" s="14">
        <v>1564.33</v>
      </c>
      <c r="K267" t="s" s="13">
        <v>2302</v>
      </c>
      <c r="L267" t="s" s="13">
        <v>2303</v>
      </c>
      <c r="M267" t="s" s="13">
        <v>2304</v>
      </c>
      <c r="N267" t="s" s="13">
        <v>2305</v>
      </c>
      <c r="O267" s="15">
        <v>58.33</v>
      </c>
      <c r="P267" s="17" cm="1">
        <f t="array" ref="P267">(I267-I266)/I266</f>
        <v>-0.0356909684439608</v>
      </c>
      <c r="Q267" s="8"/>
    </row>
    <row r="268" ht="13.65" customHeight="1">
      <c r="A268" t="s" s="27">
        <v>1294</v>
      </c>
      <c r="B268" t="s" s="13">
        <v>22</v>
      </c>
      <c r="C268" s="28">
        <v>44658</v>
      </c>
      <c r="D268" s="14">
        <v>1550.85</v>
      </c>
      <c r="E268" s="14">
        <v>1541.3</v>
      </c>
      <c r="F268" s="14">
        <v>1541.35</v>
      </c>
      <c r="G268" s="14">
        <v>1513.7</v>
      </c>
      <c r="H268" s="14">
        <v>1521</v>
      </c>
      <c r="I268" s="14">
        <v>1516.75</v>
      </c>
      <c r="J268" s="14">
        <v>1525.08</v>
      </c>
      <c r="K268" t="s" s="13">
        <v>2306</v>
      </c>
      <c r="L268" t="s" s="13">
        <v>2307</v>
      </c>
      <c r="M268" t="s" s="13">
        <v>2308</v>
      </c>
      <c r="N268" t="s" s="13">
        <v>2309</v>
      </c>
      <c r="O268" s="15">
        <v>71.48999999999999</v>
      </c>
      <c r="P268" s="17" cm="1">
        <f t="array" ref="P268">(I268-I267)/I267</f>
        <v>-0.0219879420962698</v>
      </c>
      <c r="Q268" s="8"/>
    </row>
    <row r="269" ht="13.65" customHeight="1">
      <c r="A269" t="s" s="27">
        <v>1294</v>
      </c>
      <c r="B269" t="s" s="13">
        <v>22</v>
      </c>
      <c r="C269" s="28">
        <v>44659</v>
      </c>
      <c r="D269" s="14">
        <v>1516.75</v>
      </c>
      <c r="E269" s="14">
        <v>1512.1</v>
      </c>
      <c r="F269" s="14">
        <v>1525.75</v>
      </c>
      <c r="G269" s="14">
        <v>1497.3</v>
      </c>
      <c r="H269" s="14">
        <v>1516.55</v>
      </c>
      <c r="I269" s="14">
        <v>1514.65</v>
      </c>
      <c r="J269" s="14">
        <v>1510.81</v>
      </c>
      <c r="K269" t="s" s="13">
        <v>2310</v>
      </c>
      <c r="L269" t="s" s="13">
        <v>2311</v>
      </c>
      <c r="M269" t="s" s="13">
        <v>2312</v>
      </c>
      <c r="N269" t="s" s="13">
        <v>2313</v>
      </c>
      <c r="O269" s="15">
        <v>64.59</v>
      </c>
      <c r="P269" s="17" cm="1">
        <f t="array" ref="P269">(I269-I268)/I268</f>
        <v>-0.00138453931102687</v>
      </c>
      <c r="Q269" s="8"/>
    </row>
    <row r="270" ht="13.65" customHeight="1">
      <c r="A270" t="s" s="27">
        <v>1294</v>
      </c>
      <c r="B270" t="s" s="13">
        <v>22</v>
      </c>
      <c r="C270" s="31">
        <v>44662</v>
      </c>
      <c r="D270" s="14">
        <v>1514.65</v>
      </c>
      <c r="E270" s="14">
        <v>1506</v>
      </c>
      <c r="F270" s="14">
        <v>1510</v>
      </c>
      <c r="G270" s="14">
        <v>1493.25</v>
      </c>
      <c r="H270" s="14">
        <v>1495.4</v>
      </c>
      <c r="I270" s="14">
        <v>1496.15</v>
      </c>
      <c r="J270" s="14">
        <v>1501.19</v>
      </c>
      <c r="K270" t="s" s="13">
        <v>2314</v>
      </c>
      <c r="L270" t="s" s="13">
        <v>2315</v>
      </c>
      <c r="M270" t="s" s="13">
        <v>2316</v>
      </c>
      <c r="N270" t="s" s="13">
        <v>2317</v>
      </c>
      <c r="O270" s="15">
        <v>66.95</v>
      </c>
      <c r="P270" s="17" cm="1">
        <f t="array" ref="P270">(I270-I269)/I269</f>
        <v>-0.0122140428481827</v>
      </c>
      <c r="Q270" s="8"/>
    </row>
    <row r="271" ht="13.65" customHeight="1">
      <c r="A271" t="s" s="27">
        <v>1294</v>
      </c>
      <c r="B271" t="s" s="13">
        <v>22</v>
      </c>
      <c r="C271" s="31">
        <v>44663</v>
      </c>
      <c r="D271" s="14">
        <v>1496.15</v>
      </c>
      <c r="E271" s="14">
        <v>1484</v>
      </c>
      <c r="F271" s="14">
        <v>1506.85</v>
      </c>
      <c r="G271" s="14">
        <v>1480.15</v>
      </c>
      <c r="H271" s="14">
        <v>1494.9</v>
      </c>
      <c r="I271" s="14">
        <v>1493.5</v>
      </c>
      <c r="J271" s="14">
        <v>1492.32</v>
      </c>
      <c r="K271" t="s" s="13">
        <v>2318</v>
      </c>
      <c r="L271" t="s" s="13">
        <v>2319</v>
      </c>
      <c r="M271" t="s" s="13">
        <v>2320</v>
      </c>
      <c r="N271" t="s" s="13">
        <v>2321</v>
      </c>
      <c r="O271" s="15">
        <v>67.34</v>
      </c>
      <c r="P271" s="17" cm="1">
        <f t="array" ref="P271">(I271-I270)/I270</f>
        <v>-0.0017712127794673</v>
      </c>
      <c r="Q271" s="8"/>
    </row>
    <row r="272" ht="13.65" customHeight="1">
      <c r="A272" t="s" s="27">
        <v>1294</v>
      </c>
      <c r="B272" t="s" s="13">
        <v>22</v>
      </c>
      <c r="C272" s="31">
        <v>44664</v>
      </c>
      <c r="D272" s="14">
        <v>1493.5</v>
      </c>
      <c r="E272" s="14">
        <v>1490</v>
      </c>
      <c r="F272" s="14">
        <v>1502.3</v>
      </c>
      <c r="G272" s="14">
        <v>1462.65</v>
      </c>
      <c r="H272" s="14">
        <v>1464</v>
      </c>
      <c r="I272" s="14">
        <v>1464.95</v>
      </c>
      <c r="J272" s="14">
        <v>1477.78</v>
      </c>
      <c r="K272" t="s" s="13">
        <v>2322</v>
      </c>
      <c r="L272" t="s" s="13">
        <v>2323</v>
      </c>
      <c r="M272" t="s" s="13">
        <v>2324</v>
      </c>
      <c r="N272" t="s" s="13">
        <v>2325</v>
      </c>
      <c r="O272" s="15">
        <v>62.73</v>
      </c>
      <c r="P272" s="17" cm="1">
        <f t="array" ref="P272">(I272-I271)/I271</f>
        <v>-0.0191161700703047</v>
      </c>
      <c r="Q272" s="8"/>
    </row>
    <row r="273" ht="13.65" customHeight="1">
      <c r="A273" t="s" s="27">
        <v>1294</v>
      </c>
      <c r="B273" t="s" s="13">
        <v>22</v>
      </c>
      <c r="C273" s="31">
        <v>44669</v>
      </c>
      <c r="D273" s="14">
        <v>1464.95</v>
      </c>
      <c r="E273" s="14">
        <v>1418.85</v>
      </c>
      <c r="F273" s="14">
        <v>1431.65</v>
      </c>
      <c r="G273" s="14">
        <v>1390.05</v>
      </c>
      <c r="H273" s="14">
        <v>1397.5</v>
      </c>
      <c r="I273" s="14">
        <v>1395.45</v>
      </c>
      <c r="J273" s="14">
        <v>1408.02</v>
      </c>
      <c r="K273" t="s" s="13">
        <v>2326</v>
      </c>
      <c r="L273" t="s" s="13">
        <v>2327</v>
      </c>
      <c r="M273" t="s" s="13">
        <v>2328</v>
      </c>
      <c r="N273" t="s" s="13">
        <v>2329</v>
      </c>
      <c r="O273" s="15">
        <v>71.43000000000001</v>
      </c>
      <c r="P273" s="17" cm="1">
        <f t="array" ref="P273">(I273-I272)/I272</f>
        <v>-0.0474418922147514</v>
      </c>
      <c r="Q273" s="8"/>
    </row>
    <row r="274" ht="13.65" customHeight="1">
      <c r="A274" t="s" s="27">
        <v>1294</v>
      </c>
      <c r="B274" t="s" s="13">
        <v>22</v>
      </c>
      <c r="C274" s="31">
        <v>44670</v>
      </c>
      <c r="D274" s="14">
        <v>1395.45</v>
      </c>
      <c r="E274" s="14">
        <v>1380.9</v>
      </c>
      <c r="F274" s="14">
        <v>1389.55</v>
      </c>
      <c r="G274" s="14">
        <v>1327</v>
      </c>
      <c r="H274" s="14">
        <v>1335</v>
      </c>
      <c r="I274" s="14">
        <v>1342.2</v>
      </c>
      <c r="J274" s="14">
        <v>1361.49</v>
      </c>
      <c r="K274" t="s" s="13">
        <v>2330</v>
      </c>
      <c r="L274" t="s" s="13">
        <v>2331</v>
      </c>
      <c r="M274" t="s" s="13">
        <v>2332</v>
      </c>
      <c r="N274" t="s" s="13">
        <v>2333</v>
      </c>
      <c r="O274" s="15">
        <v>66.19</v>
      </c>
      <c r="P274" s="17" cm="1">
        <f t="array" ref="P274">(I274-I273)/I273</f>
        <v>-0.0381597334193271</v>
      </c>
      <c r="Q274" s="8"/>
    </row>
    <row r="275" ht="13.65" customHeight="1">
      <c r="A275" t="s" s="27">
        <v>1294</v>
      </c>
      <c r="B275" t="s" s="13">
        <v>22</v>
      </c>
      <c r="C275" s="31">
        <v>44671</v>
      </c>
      <c r="D275" s="14">
        <v>1342.2</v>
      </c>
      <c r="E275" s="14">
        <v>1354.45</v>
      </c>
      <c r="F275" s="14">
        <v>1359.9</v>
      </c>
      <c r="G275" s="14">
        <v>1335.35</v>
      </c>
      <c r="H275" s="14">
        <v>1356</v>
      </c>
      <c r="I275" s="14">
        <v>1354.3</v>
      </c>
      <c r="J275" s="14">
        <v>1349.57</v>
      </c>
      <c r="K275" t="s" s="13">
        <v>2334</v>
      </c>
      <c r="L275" t="s" s="13">
        <v>2335</v>
      </c>
      <c r="M275" t="s" s="13">
        <v>2336</v>
      </c>
      <c r="N275" t="s" s="13">
        <v>2337</v>
      </c>
      <c r="O275" s="15">
        <v>65.95</v>
      </c>
      <c r="P275" s="17" cm="1">
        <f t="array" ref="P275">(I275-I274)/I274</f>
        <v>0.009015049918045</v>
      </c>
      <c r="Q275" s="8"/>
    </row>
    <row r="276" ht="13.65" customHeight="1">
      <c r="A276" t="s" s="27">
        <v>1294</v>
      </c>
      <c r="B276" t="s" s="13">
        <v>22</v>
      </c>
      <c r="C276" s="31">
        <v>44672</v>
      </c>
      <c r="D276" s="14">
        <v>1354.3</v>
      </c>
      <c r="E276" s="14">
        <v>1365</v>
      </c>
      <c r="F276" s="14">
        <v>1379.8</v>
      </c>
      <c r="G276" s="14">
        <v>1353.3</v>
      </c>
      <c r="H276" s="14">
        <v>1377.7</v>
      </c>
      <c r="I276" s="14">
        <v>1374.35</v>
      </c>
      <c r="J276" s="14">
        <v>1363.26</v>
      </c>
      <c r="K276" t="s" s="13">
        <v>2338</v>
      </c>
      <c r="L276" t="s" s="13">
        <v>2339</v>
      </c>
      <c r="M276" t="s" s="13">
        <v>2340</v>
      </c>
      <c r="N276" t="s" s="13">
        <v>2341</v>
      </c>
      <c r="O276" s="15">
        <v>76.86</v>
      </c>
      <c r="P276" s="17" cm="1">
        <f t="array" ref="P276">(I276-I275)/I275</f>
        <v>0.0148046961529942</v>
      </c>
      <c r="Q276" s="8"/>
    </row>
    <row r="277" ht="13.65" customHeight="1">
      <c r="A277" t="s" s="27">
        <v>1294</v>
      </c>
      <c r="B277" t="s" s="13">
        <v>22</v>
      </c>
      <c r="C277" s="31">
        <v>44673</v>
      </c>
      <c r="D277" s="14">
        <v>1374.35</v>
      </c>
      <c r="E277" s="14">
        <v>1360</v>
      </c>
      <c r="F277" s="14">
        <v>1375.35</v>
      </c>
      <c r="G277" s="14">
        <v>1349.15</v>
      </c>
      <c r="H277" s="14">
        <v>1353.35</v>
      </c>
      <c r="I277" s="14">
        <v>1355.6</v>
      </c>
      <c r="J277" s="14">
        <v>1360.9</v>
      </c>
      <c r="K277" t="s" s="13">
        <v>2342</v>
      </c>
      <c r="L277" t="s" s="13">
        <v>2343</v>
      </c>
      <c r="M277" t="s" s="13">
        <v>2344</v>
      </c>
      <c r="N277" t="s" s="13">
        <v>2345</v>
      </c>
      <c r="O277" s="15">
        <v>51.43</v>
      </c>
      <c r="P277" s="17" cm="1">
        <f t="array" ref="P277">(I277-I276)/I276</f>
        <v>-0.0136428129661294</v>
      </c>
      <c r="Q277" s="8"/>
    </row>
    <row r="278" ht="13.65" customHeight="1">
      <c r="A278" t="s" s="27">
        <v>1294</v>
      </c>
      <c r="B278" t="s" s="13">
        <v>22</v>
      </c>
      <c r="C278" s="31">
        <v>44676</v>
      </c>
      <c r="D278" s="14">
        <v>1355.6</v>
      </c>
      <c r="E278" s="14">
        <v>1350</v>
      </c>
      <c r="F278" s="14">
        <v>1370.65</v>
      </c>
      <c r="G278" s="14">
        <v>1322.25</v>
      </c>
      <c r="H278" s="14">
        <v>1369.95</v>
      </c>
      <c r="I278" s="14">
        <v>1365.75</v>
      </c>
      <c r="J278" s="14">
        <v>1352.5</v>
      </c>
      <c r="K278" t="s" s="13">
        <v>2346</v>
      </c>
      <c r="L278" t="s" s="13">
        <v>2347</v>
      </c>
      <c r="M278" t="s" s="13">
        <v>2348</v>
      </c>
      <c r="N278" t="s" s="13">
        <v>2349</v>
      </c>
      <c r="O278" s="15">
        <v>48.02</v>
      </c>
      <c r="P278" s="17" cm="1">
        <f t="array" ref="P278">(I278-I277)/I277</f>
        <v>0.00748745942755975</v>
      </c>
      <c r="Q278" s="8"/>
    </row>
    <row r="279" ht="13.65" customHeight="1">
      <c r="A279" t="s" s="27">
        <v>1294</v>
      </c>
      <c r="B279" t="s" s="13">
        <v>22</v>
      </c>
      <c r="C279" s="31">
        <v>44677</v>
      </c>
      <c r="D279" s="14">
        <v>1365.75</v>
      </c>
      <c r="E279" s="14">
        <v>1372</v>
      </c>
      <c r="F279" s="14">
        <v>1381.95</v>
      </c>
      <c r="G279" s="14">
        <v>1357.15</v>
      </c>
      <c r="H279" s="14">
        <v>1370.45</v>
      </c>
      <c r="I279" s="14">
        <v>1372.05</v>
      </c>
      <c r="J279" s="14">
        <v>1371.84</v>
      </c>
      <c r="K279" t="s" s="13">
        <v>2350</v>
      </c>
      <c r="L279" t="s" s="13">
        <v>2351</v>
      </c>
      <c r="M279" t="s" s="13">
        <v>2352</v>
      </c>
      <c r="N279" t="s" s="13">
        <v>2353</v>
      </c>
      <c r="O279" s="15">
        <v>52.14</v>
      </c>
      <c r="P279" s="17" cm="1">
        <f t="array" ref="P279">(I279-I278)/I278</f>
        <v>0.00461285008237232</v>
      </c>
      <c r="Q279" s="8"/>
    </row>
    <row r="280" ht="13.65" customHeight="1">
      <c r="A280" t="s" s="27">
        <v>1294</v>
      </c>
      <c r="B280" t="s" s="13">
        <v>22</v>
      </c>
      <c r="C280" s="31">
        <v>44678</v>
      </c>
      <c r="D280" s="14">
        <v>1372.05</v>
      </c>
      <c r="E280" s="14">
        <v>1360</v>
      </c>
      <c r="F280" s="14">
        <v>1379</v>
      </c>
      <c r="G280" s="14">
        <v>1356.1</v>
      </c>
      <c r="H280" s="14">
        <v>1372</v>
      </c>
      <c r="I280" s="14">
        <v>1372.55</v>
      </c>
      <c r="J280" s="14">
        <v>1370.67</v>
      </c>
      <c r="K280" t="s" s="13">
        <v>2354</v>
      </c>
      <c r="L280" t="s" s="13">
        <v>2355</v>
      </c>
      <c r="M280" t="s" s="13">
        <v>2356</v>
      </c>
      <c r="N280" t="s" s="13">
        <v>2357</v>
      </c>
      <c r="O280" s="15">
        <v>60.65</v>
      </c>
      <c r="P280" s="17" cm="1">
        <f t="array" ref="P280">(I280-I279)/I279</f>
        <v>0.000364418206333588</v>
      </c>
      <c r="Q280" s="8"/>
    </row>
    <row r="281" ht="13.65" customHeight="1">
      <c r="A281" t="s" s="27">
        <v>1294</v>
      </c>
      <c r="B281" t="s" s="13">
        <v>22</v>
      </c>
      <c r="C281" s="31">
        <v>44679</v>
      </c>
      <c r="D281" s="14">
        <v>1372.55</v>
      </c>
      <c r="E281" s="14">
        <v>1372</v>
      </c>
      <c r="F281" s="14">
        <v>1379</v>
      </c>
      <c r="G281" s="14">
        <v>1362.1</v>
      </c>
      <c r="H281" s="14">
        <v>1372.5</v>
      </c>
      <c r="I281" s="14">
        <v>1371.35</v>
      </c>
      <c r="J281" s="14">
        <v>1369.11</v>
      </c>
      <c r="K281" t="s" s="13">
        <v>2358</v>
      </c>
      <c r="L281" t="s" s="13">
        <v>2359</v>
      </c>
      <c r="M281" t="s" s="13">
        <v>2360</v>
      </c>
      <c r="N281" t="s" s="13">
        <v>2361</v>
      </c>
      <c r="O281" s="15">
        <v>71.11</v>
      </c>
      <c r="P281" s="17" cm="1">
        <f t="array" ref="P281">(I281-I280)/I280</f>
        <v>-0.000874285089796364</v>
      </c>
      <c r="Q281" s="8"/>
    </row>
    <row r="282" ht="13.65" customHeight="1">
      <c r="A282" t="s" s="27">
        <v>1294</v>
      </c>
      <c r="B282" t="s" s="13">
        <v>22</v>
      </c>
      <c r="C282" s="31">
        <v>44680</v>
      </c>
      <c r="D282" s="14">
        <v>1371.35</v>
      </c>
      <c r="E282" s="14">
        <v>1380.35</v>
      </c>
      <c r="F282" s="14">
        <v>1404.75</v>
      </c>
      <c r="G282" s="14">
        <v>1371.55</v>
      </c>
      <c r="H282" s="14">
        <v>1382</v>
      </c>
      <c r="I282" s="14">
        <v>1384.6</v>
      </c>
      <c r="J282" s="14">
        <v>1390.53</v>
      </c>
      <c r="K282" t="s" s="13">
        <v>2362</v>
      </c>
      <c r="L282" t="s" s="13">
        <v>2363</v>
      </c>
      <c r="M282" t="s" s="13">
        <v>2364</v>
      </c>
      <c r="N282" t="s" s="13">
        <v>2365</v>
      </c>
      <c r="O282" s="15">
        <v>59.53</v>
      </c>
      <c r="P282" s="17" cm="1">
        <f t="array" ref="P282">(I282-I281)/I281</f>
        <v>0.00966201188609764</v>
      </c>
      <c r="Q282" s="8"/>
    </row>
    <row r="283" ht="13.65" customHeight="1">
      <c r="A283" t="s" s="27">
        <v>1294</v>
      </c>
      <c r="B283" t="s" s="13">
        <v>22</v>
      </c>
      <c r="C283" s="32">
        <v>44683</v>
      </c>
      <c r="D283" s="14">
        <v>1384.6</v>
      </c>
      <c r="E283" s="14">
        <v>1362.05</v>
      </c>
      <c r="F283" s="14">
        <v>1406.45</v>
      </c>
      <c r="G283" s="14">
        <v>1362.05</v>
      </c>
      <c r="H283" s="14">
        <v>1400.25</v>
      </c>
      <c r="I283" s="14">
        <v>1403.7</v>
      </c>
      <c r="J283" s="14">
        <v>1390.41</v>
      </c>
      <c r="K283" t="s" s="13">
        <v>2366</v>
      </c>
      <c r="L283" t="s" s="13">
        <v>2367</v>
      </c>
      <c r="M283" t="s" s="13">
        <v>2368</v>
      </c>
      <c r="N283" t="s" s="13">
        <v>2369</v>
      </c>
      <c r="O283" s="15">
        <v>62.87</v>
      </c>
      <c r="P283" s="17" cm="1">
        <f t="array" ref="P283">(I283-I282)/I282</f>
        <v>0.0137945977177524</v>
      </c>
      <c r="Q283" s="8"/>
    </row>
    <row r="284" ht="13.65" customHeight="1">
      <c r="A284" t="s" s="27">
        <v>1294</v>
      </c>
      <c r="B284" t="s" s="13">
        <v>22</v>
      </c>
      <c r="C284" s="32">
        <v>44685</v>
      </c>
      <c r="D284" s="14">
        <v>1403.7</v>
      </c>
      <c r="E284" s="14">
        <v>1400</v>
      </c>
      <c r="F284" s="14">
        <v>1403.6</v>
      </c>
      <c r="G284" s="14">
        <v>1350</v>
      </c>
      <c r="H284" s="14">
        <v>1358.1</v>
      </c>
      <c r="I284" s="14">
        <v>1356</v>
      </c>
      <c r="J284" s="14">
        <v>1376.57</v>
      </c>
      <c r="K284" t="s" s="13">
        <v>2370</v>
      </c>
      <c r="L284" t="s" s="13">
        <v>2371</v>
      </c>
      <c r="M284" t="s" s="13">
        <v>2372</v>
      </c>
      <c r="N284" t="s" s="13">
        <v>2373</v>
      </c>
      <c r="O284" s="15">
        <v>64.15000000000001</v>
      </c>
      <c r="P284" s="17" cm="1">
        <f t="array" ref="P284">(I284-I283)/I283</f>
        <v>-0.0339816200042744</v>
      </c>
      <c r="Q284" s="8"/>
    </row>
    <row r="285" ht="13.65" customHeight="1">
      <c r="A285" t="s" s="27">
        <v>1294</v>
      </c>
      <c r="B285" t="s" s="13">
        <v>22</v>
      </c>
      <c r="C285" s="32">
        <v>44686</v>
      </c>
      <c r="D285" s="14">
        <v>1356</v>
      </c>
      <c r="E285" s="14">
        <v>1375</v>
      </c>
      <c r="F285" s="14">
        <v>1375</v>
      </c>
      <c r="G285" s="14">
        <v>1346.5</v>
      </c>
      <c r="H285" s="14">
        <v>1349</v>
      </c>
      <c r="I285" s="14">
        <v>1352.95</v>
      </c>
      <c r="J285" s="14">
        <v>1362.2</v>
      </c>
      <c r="K285" t="s" s="13">
        <v>2374</v>
      </c>
      <c r="L285" t="s" s="13">
        <v>2375</v>
      </c>
      <c r="M285" t="s" s="13">
        <v>2376</v>
      </c>
      <c r="N285" t="s" s="13">
        <v>2377</v>
      </c>
      <c r="O285" s="15">
        <v>59.85</v>
      </c>
      <c r="P285" s="17" cm="1">
        <f t="array" ref="P285">(I285-I284)/I284</f>
        <v>-0.00224926253687316</v>
      </c>
      <c r="Q285" s="8"/>
    </row>
    <row r="286" ht="13.65" customHeight="1">
      <c r="A286" t="s" s="27">
        <v>1294</v>
      </c>
      <c r="B286" t="s" s="13">
        <v>22</v>
      </c>
      <c r="C286" s="32">
        <v>44687</v>
      </c>
      <c r="D286" s="14">
        <v>1352.95</v>
      </c>
      <c r="E286" s="14">
        <v>1330</v>
      </c>
      <c r="F286" s="14">
        <v>1335</v>
      </c>
      <c r="G286" s="14">
        <v>1313</v>
      </c>
      <c r="H286" s="14">
        <v>1321.05</v>
      </c>
      <c r="I286" s="14">
        <v>1317.6</v>
      </c>
      <c r="J286" s="14">
        <v>1321.98</v>
      </c>
      <c r="K286" t="s" s="13">
        <v>2378</v>
      </c>
      <c r="L286" t="s" s="13">
        <v>2379</v>
      </c>
      <c r="M286" t="s" s="13">
        <v>2380</v>
      </c>
      <c r="N286" t="s" s="13">
        <v>2381</v>
      </c>
      <c r="O286" s="15">
        <v>65.94</v>
      </c>
      <c r="P286" s="17" cm="1">
        <f t="array" ref="P286">(I286-I285)/I285</f>
        <v>-0.0261280904689752</v>
      </c>
      <c r="Q286" s="8"/>
    </row>
    <row r="287" ht="13.65" customHeight="1">
      <c r="A287" t="s" s="27">
        <v>1294</v>
      </c>
      <c r="B287" t="s" s="13">
        <v>22</v>
      </c>
      <c r="C287" s="32">
        <v>44690</v>
      </c>
      <c r="D287" s="14">
        <v>1317.6</v>
      </c>
      <c r="E287" s="14">
        <v>1300</v>
      </c>
      <c r="F287" s="14">
        <v>1326.5</v>
      </c>
      <c r="G287" s="14">
        <v>1295.5</v>
      </c>
      <c r="H287" s="14">
        <v>1321.75</v>
      </c>
      <c r="I287" s="14">
        <v>1319.85</v>
      </c>
      <c r="J287" s="14">
        <v>1305.53</v>
      </c>
      <c r="K287" t="s" s="13">
        <v>2382</v>
      </c>
      <c r="L287" t="s" s="13">
        <v>2383</v>
      </c>
      <c r="M287" t="s" s="13">
        <v>2384</v>
      </c>
      <c r="N287" t="s" s="13">
        <v>2385</v>
      </c>
      <c r="O287" s="15">
        <v>69.81999999999999</v>
      </c>
      <c r="P287" s="17" cm="1">
        <f t="array" ref="P287">(I287-I286)/I286</f>
        <v>0.00170765027322404</v>
      </c>
      <c r="Q287" s="8"/>
    </row>
    <row r="288" ht="13.65" customHeight="1">
      <c r="A288" t="s" s="27">
        <v>1294</v>
      </c>
      <c r="B288" t="s" s="13">
        <v>22</v>
      </c>
      <c r="C288" s="33">
        <v>44691</v>
      </c>
      <c r="D288" s="14">
        <v>1319.85</v>
      </c>
      <c r="E288" s="14">
        <v>1315.05</v>
      </c>
      <c r="F288" s="14">
        <v>1353</v>
      </c>
      <c r="G288" s="14">
        <v>1315.05</v>
      </c>
      <c r="H288" s="14">
        <v>1339</v>
      </c>
      <c r="I288" s="14">
        <v>1341.05</v>
      </c>
      <c r="J288" s="14">
        <v>1334.92</v>
      </c>
      <c r="K288" t="s" s="13">
        <v>2386</v>
      </c>
      <c r="L288" t="s" s="13">
        <v>2387</v>
      </c>
      <c r="M288" t="s" s="13">
        <v>2388</v>
      </c>
      <c r="N288" t="s" s="13">
        <v>2389</v>
      </c>
      <c r="O288" s="15">
        <v>56.43</v>
      </c>
      <c r="P288" s="17" cm="1">
        <f t="array" ref="P288">(I288-I287)/I287</f>
        <v>0.0160624313368943</v>
      </c>
      <c r="Q288" s="8"/>
    </row>
    <row r="289" ht="13.65" customHeight="1">
      <c r="A289" t="s" s="27">
        <v>1294</v>
      </c>
      <c r="B289" t="s" s="13">
        <v>22</v>
      </c>
      <c r="C289" s="33">
        <v>44692</v>
      </c>
      <c r="D289" s="14">
        <v>1341.05</v>
      </c>
      <c r="E289" s="14">
        <v>1353</v>
      </c>
      <c r="F289" s="14">
        <v>1355</v>
      </c>
      <c r="G289" s="14">
        <v>1328.65</v>
      </c>
      <c r="H289" s="14">
        <v>1349.45</v>
      </c>
      <c r="I289" s="14">
        <v>1348.6</v>
      </c>
      <c r="J289" s="14">
        <v>1343.69</v>
      </c>
      <c r="K289" t="s" s="13">
        <v>2390</v>
      </c>
      <c r="L289" t="s" s="13">
        <v>2391</v>
      </c>
      <c r="M289" t="s" s="13">
        <v>2392</v>
      </c>
      <c r="N289" t="s" s="13">
        <v>2393</v>
      </c>
      <c r="O289" s="15">
        <v>57.41</v>
      </c>
      <c r="P289" s="17" cm="1">
        <f t="array" ref="P289">(I289-I288)/I288</f>
        <v>0.00562991685619477</v>
      </c>
      <c r="Q289" s="8"/>
    </row>
    <row r="290" ht="13.65" customHeight="1">
      <c r="A290" t="s" s="27">
        <v>1294</v>
      </c>
      <c r="B290" t="s" s="13">
        <v>22</v>
      </c>
      <c r="C290" s="33">
        <v>44693</v>
      </c>
      <c r="D290" s="14">
        <v>1348.6</v>
      </c>
      <c r="E290" s="14">
        <v>1321.1</v>
      </c>
      <c r="F290" s="14">
        <v>1326.8</v>
      </c>
      <c r="G290" s="14">
        <v>1293</v>
      </c>
      <c r="H290" s="14">
        <v>1302.5</v>
      </c>
      <c r="I290" s="14">
        <v>1303.05</v>
      </c>
      <c r="J290" s="14">
        <v>1307.63</v>
      </c>
      <c r="K290" t="s" s="13">
        <v>2394</v>
      </c>
      <c r="L290" t="s" s="13">
        <v>2395</v>
      </c>
      <c r="M290" t="s" s="13">
        <v>2396</v>
      </c>
      <c r="N290" t="s" s="13">
        <v>2397</v>
      </c>
      <c r="O290" s="15">
        <v>61.09</v>
      </c>
      <c r="P290" s="17" cm="1">
        <f t="array" ref="P290">(I290-I289)/I289</f>
        <v>-0.0337757674625538</v>
      </c>
      <c r="Q290" s="8"/>
    </row>
    <row r="291" ht="13.65" customHeight="1">
      <c r="A291" t="s" s="27">
        <v>1294</v>
      </c>
      <c r="B291" t="s" s="13">
        <v>22</v>
      </c>
      <c r="C291" s="33">
        <v>44694</v>
      </c>
      <c r="D291" s="14">
        <v>1303.05</v>
      </c>
      <c r="E291" s="14">
        <v>1310.05</v>
      </c>
      <c r="F291" s="14">
        <v>1318</v>
      </c>
      <c r="G291" s="14">
        <v>1287</v>
      </c>
      <c r="H291" s="14">
        <v>1292.5</v>
      </c>
      <c r="I291" s="14">
        <v>1291.35</v>
      </c>
      <c r="J291" s="14">
        <v>1301.55</v>
      </c>
      <c r="K291" t="s" s="13">
        <v>2398</v>
      </c>
      <c r="L291" t="s" s="13">
        <v>2399</v>
      </c>
      <c r="M291" t="s" s="13">
        <v>2400</v>
      </c>
      <c r="N291" t="s" s="13">
        <v>2401</v>
      </c>
      <c r="O291" s="15">
        <v>53</v>
      </c>
      <c r="P291" s="17" cm="1">
        <f t="array" ref="P291">(I291-I290)/I290</f>
        <v>-0.00897893403936917</v>
      </c>
      <c r="Q291" s="8"/>
    </row>
    <row r="292" ht="13.65" customHeight="1">
      <c r="A292" t="s" s="27">
        <v>1294</v>
      </c>
      <c r="B292" t="s" s="13">
        <v>22</v>
      </c>
      <c r="C292" s="33">
        <v>44697</v>
      </c>
      <c r="D292" s="14">
        <v>1291.35</v>
      </c>
      <c r="E292" s="14">
        <v>1299</v>
      </c>
      <c r="F292" s="14">
        <v>1312</v>
      </c>
      <c r="G292" s="14">
        <v>1285.3</v>
      </c>
      <c r="H292" s="14">
        <v>1308</v>
      </c>
      <c r="I292" s="14">
        <v>1305.1</v>
      </c>
      <c r="J292" s="14">
        <v>1301.12</v>
      </c>
      <c r="K292" t="s" s="13">
        <v>2402</v>
      </c>
      <c r="L292" t="s" s="13">
        <v>2403</v>
      </c>
      <c r="M292" t="s" s="13">
        <v>2404</v>
      </c>
      <c r="N292" t="s" s="13">
        <v>2405</v>
      </c>
      <c r="O292" s="15">
        <v>42.79</v>
      </c>
      <c r="P292" s="17" cm="1">
        <f t="array" ref="P292">(I292-I291)/I291</f>
        <v>0.0106477717117745</v>
      </c>
      <c r="Q292" s="8"/>
    </row>
    <row r="293" ht="13.65" customHeight="1">
      <c r="A293" t="s" s="27">
        <v>1294</v>
      </c>
      <c r="B293" t="s" s="13">
        <v>22</v>
      </c>
      <c r="C293" s="33">
        <v>44698</v>
      </c>
      <c r="D293" s="14">
        <v>1305.1</v>
      </c>
      <c r="E293" s="14">
        <v>1312.6</v>
      </c>
      <c r="F293" s="14">
        <v>1317</v>
      </c>
      <c r="G293" s="14">
        <v>1298.2</v>
      </c>
      <c r="H293" s="14">
        <v>1316</v>
      </c>
      <c r="I293" s="14">
        <v>1314</v>
      </c>
      <c r="J293" s="14">
        <v>1309.07</v>
      </c>
      <c r="K293" t="s" s="13">
        <v>2406</v>
      </c>
      <c r="L293" t="s" s="13">
        <v>2407</v>
      </c>
      <c r="M293" t="s" s="13">
        <v>2408</v>
      </c>
      <c r="N293" t="s" s="13">
        <v>2409</v>
      </c>
      <c r="O293" s="15">
        <v>57.84</v>
      </c>
      <c r="P293" s="17" cm="1">
        <f t="array" ref="P293">(I293-I292)/I292</f>
        <v>0.0068194008121983</v>
      </c>
      <c r="Q293" s="8"/>
    </row>
    <row r="294" ht="13.65" customHeight="1">
      <c r="A294" t="s" s="27">
        <v>1294</v>
      </c>
      <c r="B294" t="s" s="13">
        <v>22</v>
      </c>
      <c r="C294" s="33">
        <v>44699</v>
      </c>
      <c r="D294" s="14">
        <v>1314</v>
      </c>
      <c r="E294" s="14">
        <v>1324.05</v>
      </c>
      <c r="F294" s="14">
        <v>1333.3</v>
      </c>
      <c r="G294" s="14">
        <v>1310</v>
      </c>
      <c r="H294" s="14">
        <v>1315.85</v>
      </c>
      <c r="I294" s="14">
        <v>1313.9</v>
      </c>
      <c r="J294" s="14">
        <v>1321.44</v>
      </c>
      <c r="K294" t="s" s="13">
        <v>2410</v>
      </c>
      <c r="L294" t="s" s="13">
        <v>2411</v>
      </c>
      <c r="M294" t="s" s="13">
        <v>2412</v>
      </c>
      <c r="N294" t="s" s="13">
        <v>2413</v>
      </c>
      <c r="O294" s="15">
        <v>58.12</v>
      </c>
      <c r="P294" s="17" cm="1">
        <f t="array" ref="P294">(I294-I293)/I293</f>
        <v>-7.6103500761035e-05</v>
      </c>
      <c r="Q294" s="8"/>
    </row>
    <row r="295" ht="13.65" customHeight="1">
      <c r="A295" t="s" s="27">
        <v>1294</v>
      </c>
      <c r="B295" t="s" s="13">
        <v>22</v>
      </c>
      <c r="C295" s="33">
        <v>44700</v>
      </c>
      <c r="D295" s="14">
        <v>1313.9</v>
      </c>
      <c r="E295" s="14">
        <v>1286.2</v>
      </c>
      <c r="F295" s="14">
        <v>1296.4</v>
      </c>
      <c r="G295" s="14">
        <v>1278.3</v>
      </c>
      <c r="H295" s="14">
        <v>1290.45</v>
      </c>
      <c r="I295" s="14">
        <v>1287.05</v>
      </c>
      <c r="J295" s="14">
        <v>1286.32</v>
      </c>
      <c r="K295" t="s" s="13">
        <v>2414</v>
      </c>
      <c r="L295" t="s" s="13">
        <v>2415</v>
      </c>
      <c r="M295" t="s" s="13">
        <v>2416</v>
      </c>
      <c r="N295" t="s" s="13">
        <v>2417</v>
      </c>
      <c r="O295" s="15">
        <v>63.8</v>
      </c>
      <c r="P295" s="17" cm="1">
        <f t="array" ref="P295">(I295-I294)/I294</f>
        <v>-0.0204353451556435</v>
      </c>
      <c r="Q295" s="8"/>
    </row>
    <row r="296" ht="13.65" customHeight="1">
      <c r="A296" t="s" s="27">
        <v>1294</v>
      </c>
      <c r="B296" t="s" s="13">
        <v>22</v>
      </c>
      <c r="C296" s="33">
        <v>44701</v>
      </c>
      <c r="D296" s="14">
        <v>1287.05</v>
      </c>
      <c r="E296" s="14">
        <v>1303</v>
      </c>
      <c r="F296" s="14">
        <v>1324.2</v>
      </c>
      <c r="G296" s="14">
        <v>1292.35</v>
      </c>
      <c r="H296" s="14">
        <v>1323.45</v>
      </c>
      <c r="I296" s="14">
        <v>1320.95</v>
      </c>
      <c r="J296" s="14">
        <v>1311.98</v>
      </c>
      <c r="K296" t="s" s="13">
        <v>2418</v>
      </c>
      <c r="L296" t="s" s="13">
        <v>2419</v>
      </c>
      <c r="M296" t="s" s="13">
        <v>2420</v>
      </c>
      <c r="N296" t="s" s="13">
        <v>2421</v>
      </c>
      <c r="O296" s="15">
        <v>57.66</v>
      </c>
      <c r="P296" s="17" cm="1">
        <f t="array" ref="P296">(I296-I295)/I295</f>
        <v>0.0263393030573793</v>
      </c>
      <c r="Q296" s="8"/>
    </row>
    <row r="297" ht="13.65" customHeight="1">
      <c r="A297" t="s" s="27">
        <v>1294</v>
      </c>
      <c r="B297" t="s" s="13">
        <v>22</v>
      </c>
      <c r="C297" s="33">
        <v>44704</v>
      </c>
      <c r="D297" s="14">
        <v>1320.95</v>
      </c>
      <c r="E297" s="14">
        <v>1314</v>
      </c>
      <c r="F297" s="14">
        <v>1329.95</v>
      </c>
      <c r="G297" s="14">
        <v>1299.1</v>
      </c>
      <c r="H297" s="14">
        <v>1301.3</v>
      </c>
      <c r="I297" s="14">
        <v>1304</v>
      </c>
      <c r="J297" s="14">
        <v>1319.39</v>
      </c>
      <c r="K297" t="s" s="13">
        <v>2422</v>
      </c>
      <c r="L297" t="s" s="13">
        <v>2423</v>
      </c>
      <c r="M297" t="s" s="13">
        <v>2424</v>
      </c>
      <c r="N297" t="s" s="13">
        <v>2425</v>
      </c>
      <c r="O297" s="15">
        <v>65.48</v>
      </c>
      <c r="P297" s="17" cm="1">
        <f t="array" ref="P297">(I297-I296)/I296</f>
        <v>-0.01283167417389</v>
      </c>
      <c r="Q297" s="8"/>
    </row>
    <row r="298" ht="13.65" customHeight="1">
      <c r="A298" t="s" s="27">
        <v>1294</v>
      </c>
      <c r="B298" t="s" s="13">
        <v>22</v>
      </c>
      <c r="C298" s="33">
        <v>44705</v>
      </c>
      <c r="D298" s="14">
        <v>1304</v>
      </c>
      <c r="E298" s="14">
        <v>1300</v>
      </c>
      <c r="F298" s="14">
        <v>1325</v>
      </c>
      <c r="G298" s="14">
        <v>1296.9</v>
      </c>
      <c r="H298" s="14">
        <v>1320</v>
      </c>
      <c r="I298" s="14">
        <v>1318.95</v>
      </c>
      <c r="J298" s="14">
        <v>1313.26</v>
      </c>
      <c r="K298" t="s" s="13">
        <v>2426</v>
      </c>
      <c r="L298" t="s" s="13">
        <v>2427</v>
      </c>
      <c r="M298" t="s" s="13">
        <v>2428</v>
      </c>
      <c r="N298" t="s" s="13">
        <v>2429</v>
      </c>
      <c r="O298" s="15">
        <v>54.84</v>
      </c>
      <c r="P298" s="17" cm="1">
        <f t="array" ref="P298">(I298-I297)/I297</f>
        <v>0.0114647239263804</v>
      </c>
      <c r="Q298" s="8"/>
    </row>
    <row r="299" ht="13.65" customHeight="1">
      <c r="A299" t="s" s="27">
        <v>1294</v>
      </c>
      <c r="B299" t="s" s="13">
        <v>22</v>
      </c>
      <c r="C299" s="33">
        <v>44706</v>
      </c>
      <c r="D299" s="14">
        <v>1318.95</v>
      </c>
      <c r="E299" s="14">
        <v>1330</v>
      </c>
      <c r="F299" s="14">
        <v>1335.95</v>
      </c>
      <c r="G299" s="14">
        <v>1323.2</v>
      </c>
      <c r="H299" s="14">
        <v>1327.5</v>
      </c>
      <c r="I299" s="14">
        <v>1328.8</v>
      </c>
      <c r="J299" s="14">
        <v>1329.41</v>
      </c>
      <c r="K299" t="s" s="13">
        <v>2430</v>
      </c>
      <c r="L299" t="s" s="13">
        <v>2431</v>
      </c>
      <c r="M299" t="s" s="13">
        <v>2432</v>
      </c>
      <c r="N299" t="s" s="13">
        <v>2433</v>
      </c>
      <c r="O299" s="15">
        <v>59.92</v>
      </c>
      <c r="P299" s="17" cm="1">
        <f t="array" ref="P299">(I299-I298)/I298</f>
        <v>0.00746806171575875</v>
      </c>
      <c r="Q299" s="8"/>
    </row>
    <row r="300" ht="13.65" customHeight="1">
      <c r="A300" t="s" s="27">
        <v>1294</v>
      </c>
      <c r="B300" t="s" s="13">
        <v>22</v>
      </c>
      <c r="C300" s="33">
        <v>44707</v>
      </c>
      <c r="D300" s="14">
        <v>1328.8</v>
      </c>
      <c r="E300" s="14">
        <v>1342.15</v>
      </c>
      <c r="F300" s="14">
        <v>1371</v>
      </c>
      <c r="G300" s="14">
        <v>1340</v>
      </c>
      <c r="H300" s="14">
        <v>1369</v>
      </c>
      <c r="I300" s="14">
        <v>1366.7</v>
      </c>
      <c r="J300" s="14">
        <v>1355.58</v>
      </c>
      <c r="K300" t="s" s="13">
        <v>2434</v>
      </c>
      <c r="L300" t="s" s="13">
        <v>2435</v>
      </c>
      <c r="M300" t="s" s="13">
        <v>2436</v>
      </c>
      <c r="N300" t="s" s="13">
        <v>2437</v>
      </c>
      <c r="O300" s="15">
        <v>58.86</v>
      </c>
      <c r="P300" s="17" cm="1">
        <f t="array" ref="P300">(I300-I299)/I299</f>
        <v>0.0285219747140277</v>
      </c>
      <c r="Q300" s="8"/>
    </row>
    <row r="301" ht="13.65" customHeight="1">
      <c r="A301" t="s" s="27">
        <v>1294</v>
      </c>
      <c r="B301" t="s" s="13">
        <v>22</v>
      </c>
      <c r="C301" s="33">
        <v>44708</v>
      </c>
      <c r="D301" s="14">
        <v>1366.7</v>
      </c>
      <c r="E301" s="14">
        <v>1371.8</v>
      </c>
      <c r="F301" s="14">
        <v>1394.7</v>
      </c>
      <c r="G301" s="14">
        <v>1370.75</v>
      </c>
      <c r="H301" s="14">
        <v>1393.4</v>
      </c>
      <c r="I301" s="14">
        <v>1392.05</v>
      </c>
      <c r="J301" s="14">
        <v>1384.2</v>
      </c>
      <c r="K301" t="s" s="13">
        <v>2438</v>
      </c>
      <c r="L301" t="s" s="13">
        <v>2439</v>
      </c>
      <c r="M301" t="s" s="13">
        <v>2440</v>
      </c>
      <c r="N301" t="s" s="13">
        <v>2441</v>
      </c>
      <c r="O301" s="15">
        <v>69.95</v>
      </c>
      <c r="P301" s="17" cm="1">
        <f t="array" ref="P301">(I301-I300)/I300</f>
        <v>0.0185483280895588</v>
      </c>
      <c r="Q301" s="8"/>
    </row>
    <row r="302" ht="13.65" customHeight="1">
      <c r="A302" t="s" s="27">
        <v>1294</v>
      </c>
      <c r="B302" t="s" s="13">
        <v>22</v>
      </c>
      <c r="C302" s="33">
        <v>44711</v>
      </c>
      <c r="D302" s="14">
        <v>1392.05</v>
      </c>
      <c r="E302" s="14">
        <v>1410.25</v>
      </c>
      <c r="F302" s="14">
        <v>1420.5</v>
      </c>
      <c r="G302" s="14">
        <v>1398.45</v>
      </c>
      <c r="H302" s="14">
        <v>1401</v>
      </c>
      <c r="I302" s="14">
        <v>1401.55</v>
      </c>
      <c r="J302" s="14">
        <v>1409.32</v>
      </c>
      <c r="K302" t="s" s="13">
        <v>2442</v>
      </c>
      <c r="L302" t="s" s="13">
        <v>2443</v>
      </c>
      <c r="M302" t="s" s="13">
        <v>2444</v>
      </c>
      <c r="N302" t="s" s="13">
        <v>2445</v>
      </c>
      <c r="O302" s="15">
        <v>59.73</v>
      </c>
      <c r="P302" s="17" cm="1">
        <f t="array" ref="P302">(I302-I301)/I301</f>
        <v>0.00682446751194282</v>
      </c>
      <c r="Q302" s="8"/>
    </row>
    <row r="303" ht="13.65" customHeight="1">
      <c r="A303" t="s" s="27">
        <v>1294</v>
      </c>
      <c r="B303" t="s" s="13">
        <v>22</v>
      </c>
      <c r="C303" s="33">
        <v>44712</v>
      </c>
      <c r="D303" s="14">
        <v>1401.55</v>
      </c>
      <c r="E303" s="14">
        <v>1395.9</v>
      </c>
      <c r="F303" s="14">
        <v>1404.8</v>
      </c>
      <c r="G303" s="14">
        <v>1380</v>
      </c>
      <c r="H303" s="14">
        <v>1384</v>
      </c>
      <c r="I303" s="14">
        <v>1388.95</v>
      </c>
      <c r="J303" s="14">
        <v>1396.23</v>
      </c>
      <c r="K303" t="s" s="13">
        <v>2446</v>
      </c>
      <c r="L303" t="s" s="13">
        <v>2447</v>
      </c>
      <c r="M303" t="s" s="13">
        <v>2448</v>
      </c>
      <c r="N303" t="s" s="13">
        <v>2449</v>
      </c>
      <c r="O303" s="15">
        <v>65.27</v>
      </c>
      <c r="P303" s="17" cm="1">
        <f t="array" ref="P303">(I303-I302)/I302</f>
        <v>-0.008990046733973101</v>
      </c>
      <c r="Q303" s="8"/>
    </row>
    <row r="304" ht="13.65" customHeight="1">
      <c r="A304" t="s" s="27">
        <v>1294</v>
      </c>
      <c r="B304" t="s" s="13">
        <v>22</v>
      </c>
      <c r="C304" s="28">
        <v>44713</v>
      </c>
      <c r="D304" s="14">
        <v>1388.95</v>
      </c>
      <c r="E304" s="14">
        <v>1380</v>
      </c>
      <c r="F304" s="14">
        <v>1400.45</v>
      </c>
      <c r="G304" s="14">
        <v>1379.15</v>
      </c>
      <c r="H304" s="14">
        <v>1396.1</v>
      </c>
      <c r="I304" s="14">
        <v>1394.85</v>
      </c>
      <c r="J304" s="14">
        <v>1391.06</v>
      </c>
      <c r="K304" t="s" s="13">
        <v>2450</v>
      </c>
      <c r="L304" t="s" s="13">
        <v>2451</v>
      </c>
      <c r="M304" t="s" s="13">
        <v>2452</v>
      </c>
      <c r="N304" t="s" s="13">
        <v>2453</v>
      </c>
      <c r="O304" s="15">
        <v>57.25</v>
      </c>
      <c r="P304" s="17" cm="1">
        <f t="array" ref="P304">(I304-I303)/I303</f>
        <v>0.00424781309622377</v>
      </c>
      <c r="Q304" s="8"/>
    </row>
    <row r="305" ht="13.65" customHeight="1">
      <c r="A305" t="s" s="27">
        <v>1294</v>
      </c>
      <c r="B305" t="s" s="13">
        <v>22</v>
      </c>
      <c r="C305" s="28">
        <v>44714</v>
      </c>
      <c r="D305" s="14">
        <v>1394.85</v>
      </c>
      <c r="E305" s="14">
        <v>1387.25</v>
      </c>
      <c r="F305" s="14">
        <v>1388</v>
      </c>
      <c r="G305" s="14">
        <v>1378.6</v>
      </c>
      <c r="H305" s="14">
        <v>1385.2</v>
      </c>
      <c r="I305" s="14">
        <v>1385.1</v>
      </c>
      <c r="J305" s="14">
        <v>1383.53</v>
      </c>
      <c r="K305" t="s" s="13">
        <v>2454</v>
      </c>
      <c r="L305" t="s" s="13">
        <v>2455</v>
      </c>
      <c r="M305" t="s" s="13">
        <v>2456</v>
      </c>
      <c r="N305" t="s" s="13">
        <v>2457</v>
      </c>
      <c r="O305" s="15">
        <v>60.27</v>
      </c>
      <c r="P305" s="17" cm="1">
        <f t="array" ref="P305">(I305-I304)/I304</f>
        <v>-0.00698999892461555</v>
      </c>
      <c r="Q305" s="8"/>
    </row>
    <row r="306" ht="13.65" customHeight="1">
      <c r="A306" t="s" s="27">
        <v>1294</v>
      </c>
      <c r="B306" t="s" s="13">
        <v>22</v>
      </c>
      <c r="C306" s="28">
        <v>44715</v>
      </c>
      <c r="D306" s="14">
        <v>1385.1</v>
      </c>
      <c r="E306" s="14">
        <v>1398.3</v>
      </c>
      <c r="F306" s="14">
        <v>1400.75</v>
      </c>
      <c r="G306" s="14">
        <v>1376.3</v>
      </c>
      <c r="H306" s="14">
        <v>1379</v>
      </c>
      <c r="I306" s="14">
        <v>1380.3</v>
      </c>
      <c r="J306" s="14">
        <v>1388.75</v>
      </c>
      <c r="K306" t="s" s="13">
        <v>2458</v>
      </c>
      <c r="L306" t="s" s="13">
        <v>2459</v>
      </c>
      <c r="M306" t="s" s="13">
        <v>2460</v>
      </c>
      <c r="N306" t="s" s="13">
        <v>2461</v>
      </c>
      <c r="O306" s="15">
        <v>54.02</v>
      </c>
      <c r="P306" s="17" cm="1">
        <f t="array" ref="P306">(I306-I305)/I305</f>
        <v>-0.00346545375785142</v>
      </c>
      <c r="Q306" s="8"/>
    </row>
    <row r="307" ht="13.65" customHeight="1">
      <c r="A307" t="s" s="27">
        <v>1294</v>
      </c>
      <c r="B307" t="s" s="13">
        <v>22</v>
      </c>
      <c r="C307" s="28">
        <v>44718</v>
      </c>
      <c r="D307" s="14">
        <v>1380.3</v>
      </c>
      <c r="E307" s="14">
        <v>1376.3</v>
      </c>
      <c r="F307" s="14">
        <v>1387</v>
      </c>
      <c r="G307" s="14">
        <v>1360.65</v>
      </c>
      <c r="H307" s="14">
        <v>1377</v>
      </c>
      <c r="I307" s="14">
        <v>1378.45</v>
      </c>
      <c r="J307" s="14">
        <v>1380.25</v>
      </c>
      <c r="K307" t="s" s="13">
        <v>2462</v>
      </c>
      <c r="L307" t="s" s="13">
        <v>2463</v>
      </c>
      <c r="M307" t="s" s="13">
        <v>2464</v>
      </c>
      <c r="N307" t="s" s="13">
        <v>2465</v>
      </c>
      <c r="O307" s="15">
        <v>44.99</v>
      </c>
      <c r="P307" s="17" cm="1">
        <f t="array" ref="P307">(I307-I306)/I306</f>
        <v>-0.00134028834311382</v>
      </c>
      <c r="Q307" s="8"/>
    </row>
    <row r="308" ht="13.65" customHeight="1">
      <c r="A308" t="s" s="27">
        <v>1294</v>
      </c>
      <c r="B308" t="s" s="13">
        <v>22</v>
      </c>
      <c r="C308" s="28">
        <v>44719</v>
      </c>
      <c r="D308" s="14">
        <v>1378.45</v>
      </c>
      <c r="E308" s="14">
        <v>1362</v>
      </c>
      <c r="F308" s="14">
        <v>1374.3</v>
      </c>
      <c r="G308" s="14">
        <v>1354.1</v>
      </c>
      <c r="H308" s="14">
        <v>1362.15</v>
      </c>
      <c r="I308" s="14">
        <v>1362.6</v>
      </c>
      <c r="J308" s="14">
        <v>1362.41</v>
      </c>
      <c r="K308" t="s" s="13">
        <v>2466</v>
      </c>
      <c r="L308" t="s" s="13">
        <v>2467</v>
      </c>
      <c r="M308" t="s" s="13">
        <v>2468</v>
      </c>
      <c r="N308" t="s" s="13">
        <v>2469</v>
      </c>
      <c r="O308" s="15">
        <v>66.59999999999999</v>
      </c>
      <c r="P308" s="17" cm="1">
        <f t="array" ref="P308">(I308-I307)/I307</f>
        <v>-0.0114984221408103</v>
      </c>
      <c r="Q308" s="8"/>
    </row>
    <row r="309" ht="13.65" customHeight="1">
      <c r="A309" t="s" s="27">
        <v>1294</v>
      </c>
      <c r="B309" t="s" s="13">
        <v>22</v>
      </c>
      <c r="C309" s="28">
        <v>44720</v>
      </c>
      <c r="D309" s="14">
        <v>1362.6</v>
      </c>
      <c r="E309" s="14">
        <v>1373.3</v>
      </c>
      <c r="F309" s="14">
        <v>1381</v>
      </c>
      <c r="G309" s="14">
        <v>1357</v>
      </c>
      <c r="H309" s="14">
        <v>1366</v>
      </c>
      <c r="I309" s="14">
        <v>1367.4</v>
      </c>
      <c r="J309" s="14">
        <v>1369.67</v>
      </c>
      <c r="K309" t="s" s="13">
        <v>2470</v>
      </c>
      <c r="L309" t="s" s="13">
        <v>2471</v>
      </c>
      <c r="M309" t="s" s="13">
        <v>2472</v>
      </c>
      <c r="N309" t="s" s="13">
        <v>2473</v>
      </c>
      <c r="O309" s="15">
        <v>41.61</v>
      </c>
      <c r="P309" s="17" cm="1">
        <f t="array" ref="P309">(I309-I308)/I308</f>
        <v>0.00352267723469837</v>
      </c>
      <c r="Q309" s="8"/>
    </row>
    <row r="310" ht="13.65" customHeight="1">
      <c r="A310" t="s" s="27">
        <v>1294</v>
      </c>
      <c r="B310" t="s" s="13">
        <v>22</v>
      </c>
      <c r="C310" s="28">
        <v>44721</v>
      </c>
      <c r="D310" s="14">
        <v>1367.4</v>
      </c>
      <c r="E310" s="14">
        <v>1362.25</v>
      </c>
      <c r="F310" s="14">
        <v>1382.05</v>
      </c>
      <c r="G310" s="14">
        <v>1357.15</v>
      </c>
      <c r="H310" s="14">
        <v>1379.6</v>
      </c>
      <c r="I310" s="14">
        <v>1377.7</v>
      </c>
      <c r="J310" s="14">
        <v>1368.42</v>
      </c>
      <c r="K310" t="s" s="13">
        <v>2474</v>
      </c>
      <c r="L310" t="s" s="13">
        <v>2475</v>
      </c>
      <c r="M310" t="s" s="13">
        <v>2476</v>
      </c>
      <c r="N310" t="s" s="13">
        <v>2477</v>
      </c>
      <c r="O310" s="15">
        <v>53.8</v>
      </c>
      <c r="P310" s="17" cm="1">
        <f t="array" ref="P310">(I310-I309)/I309</f>
        <v>0.0075325435132368</v>
      </c>
      <c r="Q310" s="8"/>
    </row>
    <row r="311" ht="13.65" customHeight="1">
      <c r="A311" t="s" s="27">
        <v>1294</v>
      </c>
      <c r="B311" t="s" s="13">
        <v>22</v>
      </c>
      <c r="C311" s="31">
        <v>44722</v>
      </c>
      <c r="D311" s="14">
        <v>1377.7</v>
      </c>
      <c r="E311" s="14">
        <v>1360.1</v>
      </c>
      <c r="F311" s="14">
        <v>1367.95</v>
      </c>
      <c r="G311" s="14">
        <v>1343.6</v>
      </c>
      <c r="H311" s="14">
        <v>1348.75</v>
      </c>
      <c r="I311" s="14">
        <v>1351.1</v>
      </c>
      <c r="J311" s="14">
        <v>1351.94</v>
      </c>
      <c r="K311" t="s" s="13">
        <v>2478</v>
      </c>
      <c r="L311" t="s" s="13">
        <v>2479</v>
      </c>
      <c r="M311" t="s" s="13">
        <v>2480</v>
      </c>
      <c r="N311" t="s" s="13">
        <v>2481</v>
      </c>
      <c r="O311" s="15">
        <v>62.06</v>
      </c>
      <c r="P311" s="17" cm="1">
        <f t="array" ref="P311">(I311-I310)/I310</f>
        <v>-0.0193075415547652</v>
      </c>
      <c r="Q311" s="8"/>
    </row>
    <row r="312" ht="13.65" customHeight="1">
      <c r="A312" t="s" s="27">
        <v>1294</v>
      </c>
      <c r="B312" t="s" s="13">
        <v>22</v>
      </c>
      <c r="C312" s="31">
        <v>44725</v>
      </c>
      <c r="D312" s="14">
        <v>1351.1</v>
      </c>
      <c r="E312" s="14">
        <v>1323.6</v>
      </c>
      <c r="F312" s="14">
        <v>1330</v>
      </c>
      <c r="G312" s="14">
        <v>1308.3</v>
      </c>
      <c r="H312" s="14">
        <v>1329</v>
      </c>
      <c r="I312" s="14">
        <v>1326.6</v>
      </c>
      <c r="J312" s="14">
        <v>1318.54</v>
      </c>
      <c r="K312" t="s" s="13">
        <v>2482</v>
      </c>
      <c r="L312" t="s" s="13">
        <v>2483</v>
      </c>
      <c r="M312" t="s" s="13">
        <v>2484</v>
      </c>
      <c r="N312" t="s" s="13">
        <v>2485</v>
      </c>
      <c r="O312" s="15">
        <v>64.89</v>
      </c>
      <c r="P312" s="17" cm="1">
        <f t="array" ref="P312">(I312-I311)/I311</f>
        <v>-0.0181333728073422</v>
      </c>
      <c r="Q312" s="8"/>
    </row>
    <row r="313" ht="13.65" customHeight="1">
      <c r="A313" t="s" s="27">
        <v>1294</v>
      </c>
      <c r="B313" t="s" s="13">
        <v>22</v>
      </c>
      <c r="C313" s="31">
        <v>44726</v>
      </c>
      <c r="D313" s="14">
        <v>1326.6</v>
      </c>
      <c r="E313" s="14">
        <v>1311.25</v>
      </c>
      <c r="F313" s="14">
        <v>1326</v>
      </c>
      <c r="G313" s="14">
        <v>1305</v>
      </c>
      <c r="H313" s="14">
        <v>1314</v>
      </c>
      <c r="I313" s="14">
        <v>1312</v>
      </c>
      <c r="J313" s="14">
        <v>1316.04</v>
      </c>
      <c r="K313" t="s" s="13">
        <v>2486</v>
      </c>
      <c r="L313" t="s" s="13">
        <v>2487</v>
      </c>
      <c r="M313" t="s" s="13">
        <v>2488</v>
      </c>
      <c r="N313" t="s" s="13">
        <v>2489</v>
      </c>
      <c r="O313" s="15">
        <v>60.94</v>
      </c>
      <c r="P313" s="17" cm="1">
        <f t="array" ref="P313">(I313-I312)/I312</f>
        <v>-0.0110055781697573</v>
      </c>
      <c r="Q313" s="8"/>
    </row>
    <row r="314" ht="13.65" customHeight="1">
      <c r="A314" t="s" s="27">
        <v>1294</v>
      </c>
      <c r="B314" t="s" s="13">
        <v>22</v>
      </c>
      <c r="C314" s="31">
        <v>44727</v>
      </c>
      <c r="D314" s="14">
        <v>1312</v>
      </c>
      <c r="E314" s="14">
        <v>1301.65</v>
      </c>
      <c r="F314" s="14">
        <v>1315.8</v>
      </c>
      <c r="G314" s="14">
        <v>1298.4</v>
      </c>
      <c r="H314" s="14">
        <v>1308.45</v>
      </c>
      <c r="I314" s="14">
        <v>1307.45</v>
      </c>
      <c r="J314" s="14">
        <v>1307.49</v>
      </c>
      <c r="K314" t="s" s="13">
        <v>2490</v>
      </c>
      <c r="L314" t="s" s="13">
        <v>2491</v>
      </c>
      <c r="M314" t="s" s="13">
        <v>2492</v>
      </c>
      <c r="N314" t="s" s="13">
        <v>2493</v>
      </c>
      <c r="O314" s="15">
        <v>55.25</v>
      </c>
      <c r="P314" s="17" cm="1">
        <f t="array" ref="P314">(I314-I313)/I313</f>
        <v>-0.00346798780487805</v>
      </c>
      <c r="Q314" s="8"/>
    </row>
    <row r="315" ht="13.65" customHeight="1">
      <c r="A315" t="s" s="27">
        <v>1294</v>
      </c>
      <c r="B315" t="s" s="13">
        <v>22</v>
      </c>
      <c r="C315" s="31">
        <v>44728</v>
      </c>
      <c r="D315" s="14">
        <v>1307.45</v>
      </c>
      <c r="E315" s="14">
        <v>1310</v>
      </c>
      <c r="F315" s="14">
        <v>1320.55</v>
      </c>
      <c r="G315" s="14">
        <v>1278</v>
      </c>
      <c r="H315" s="14">
        <v>1279.45</v>
      </c>
      <c r="I315" s="14">
        <v>1281.3</v>
      </c>
      <c r="J315" s="14">
        <v>1297.76</v>
      </c>
      <c r="K315" t="s" s="13">
        <v>2494</v>
      </c>
      <c r="L315" t="s" s="13">
        <v>2495</v>
      </c>
      <c r="M315" t="s" s="13">
        <v>2496</v>
      </c>
      <c r="N315" t="s" s="13">
        <v>2497</v>
      </c>
      <c r="O315" s="15">
        <v>50.37</v>
      </c>
      <c r="P315" s="17" cm="1">
        <f t="array" ref="P315">(I315-I314)/I314</f>
        <v>-0.0200007648476041</v>
      </c>
      <c r="Q315" s="8"/>
    </row>
    <row r="316" ht="13.65" customHeight="1">
      <c r="A316" t="s" s="27">
        <v>1294</v>
      </c>
      <c r="B316" t="s" s="13">
        <v>22</v>
      </c>
      <c r="C316" s="31">
        <v>44729</v>
      </c>
      <c r="D316" s="14">
        <v>1281.3</v>
      </c>
      <c r="E316" s="14">
        <v>1275</v>
      </c>
      <c r="F316" s="14">
        <v>1299</v>
      </c>
      <c r="G316" s="14">
        <v>1271.6</v>
      </c>
      <c r="H316" s="14">
        <v>1296.7</v>
      </c>
      <c r="I316" s="14">
        <v>1289.75</v>
      </c>
      <c r="J316" s="14">
        <v>1282.59</v>
      </c>
      <c r="K316" t="s" s="13">
        <v>2498</v>
      </c>
      <c r="L316" t="s" s="13">
        <v>2499</v>
      </c>
      <c r="M316" t="s" s="13">
        <v>2500</v>
      </c>
      <c r="N316" t="s" s="13">
        <v>2501</v>
      </c>
      <c r="O316" s="15">
        <v>59.82</v>
      </c>
      <c r="P316" s="17" cm="1">
        <f t="array" ref="P316">(I316-I315)/I315</f>
        <v>0.00659486459065012</v>
      </c>
      <c r="Q316" s="8"/>
    </row>
    <row r="317" ht="13.65" customHeight="1">
      <c r="A317" t="s" s="27">
        <v>1294</v>
      </c>
      <c r="B317" t="s" s="13">
        <v>22</v>
      </c>
      <c r="C317" s="31">
        <v>44732</v>
      </c>
      <c r="D317" s="14">
        <v>1289.75</v>
      </c>
      <c r="E317" s="14">
        <v>1304.7</v>
      </c>
      <c r="F317" s="14">
        <v>1325</v>
      </c>
      <c r="G317" s="14">
        <v>1294.15</v>
      </c>
      <c r="H317" s="14">
        <v>1321.95</v>
      </c>
      <c r="I317" s="14">
        <v>1322.15</v>
      </c>
      <c r="J317" s="14">
        <v>1313.17</v>
      </c>
      <c r="K317" t="s" s="13">
        <v>2502</v>
      </c>
      <c r="L317" t="s" s="13">
        <v>2503</v>
      </c>
      <c r="M317" t="s" s="13">
        <v>2504</v>
      </c>
      <c r="N317" t="s" s="13">
        <v>2505</v>
      </c>
      <c r="O317" s="15">
        <v>64.98999999999999</v>
      </c>
      <c r="P317" s="17" cm="1">
        <f t="array" ref="P317">(I317-I316)/I316</f>
        <v>0.0251211475092072</v>
      </c>
      <c r="Q317" s="8"/>
    </row>
    <row r="318" ht="13.65" customHeight="1">
      <c r="A318" t="s" s="27">
        <v>1294</v>
      </c>
      <c r="B318" t="s" s="13">
        <v>22</v>
      </c>
      <c r="C318" s="31">
        <v>44733</v>
      </c>
      <c r="D318" s="14">
        <v>1322.15</v>
      </c>
      <c r="E318" s="14">
        <v>1336.9</v>
      </c>
      <c r="F318" s="14">
        <v>1354</v>
      </c>
      <c r="G318" s="14">
        <v>1324.05</v>
      </c>
      <c r="H318" s="14">
        <v>1333.7</v>
      </c>
      <c r="I318" s="14">
        <v>1336.55</v>
      </c>
      <c r="J318" s="14">
        <v>1341.22</v>
      </c>
      <c r="K318" t="s" s="13">
        <v>2506</v>
      </c>
      <c r="L318" t="s" s="13">
        <v>2507</v>
      </c>
      <c r="M318" t="s" s="13">
        <v>2508</v>
      </c>
      <c r="N318" t="s" s="13">
        <v>2509</v>
      </c>
      <c r="O318" s="15">
        <v>58.05</v>
      </c>
      <c r="P318" s="17" cm="1">
        <f t="array" ref="P318">(I318-I317)/I317</f>
        <v>0.0108913512082593</v>
      </c>
      <c r="Q318" s="8"/>
    </row>
    <row r="319" ht="13.65" customHeight="1">
      <c r="A319" t="s" s="27">
        <v>1294</v>
      </c>
      <c r="B319" t="s" s="13">
        <v>22</v>
      </c>
      <c r="C319" s="31">
        <v>44734</v>
      </c>
      <c r="D319" s="14">
        <v>1336.55</v>
      </c>
      <c r="E319" s="14">
        <v>1332.25</v>
      </c>
      <c r="F319" s="14">
        <v>1336.95</v>
      </c>
      <c r="G319" s="14">
        <v>1323.2</v>
      </c>
      <c r="H319" s="14">
        <v>1325.9</v>
      </c>
      <c r="I319" s="14">
        <v>1330.25</v>
      </c>
      <c r="J319" s="14">
        <v>1329.7</v>
      </c>
      <c r="K319" t="s" s="13">
        <v>2510</v>
      </c>
      <c r="L319" t="s" s="13">
        <v>2511</v>
      </c>
      <c r="M319" t="s" s="13">
        <v>2512</v>
      </c>
      <c r="N319" t="s" s="13">
        <v>2513</v>
      </c>
      <c r="O319" s="15">
        <v>55.85</v>
      </c>
      <c r="P319" s="17" cm="1">
        <f t="array" ref="P319">(I319-I318)/I318</f>
        <v>-0.00471362837155363</v>
      </c>
      <c r="Q319" s="8"/>
    </row>
    <row r="320" ht="13.65" customHeight="1">
      <c r="A320" t="s" s="27">
        <v>1294</v>
      </c>
      <c r="B320" t="s" s="13">
        <v>22</v>
      </c>
      <c r="C320" s="31">
        <v>44735</v>
      </c>
      <c r="D320" s="14">
        <v>1330.25</v>
      </c>
      <c r="E320" s="14">
        <v>1330.5</v>
      </c>
      <c r="F320" s="14">
        <v>1348</v>
      </c>
      <c r="G320" s="14">
        <v>1318.5</v>
      </c>
      <c r="H320" s="14">
        <v>1336.6</v>
      </c>
      <c r="I320" s="14">
        <v>1335.15</v>
      </c>
      <c r="J320" s="14">
        <v>1336.91</v>
      </c>
      <c r="K320" t="s" s="13">
        <v>2514</v>
      </c>
      <c r="L320" t="s" s="13">
        <v>2515</v>
      </c>
      <c r="M320" t="s" s="13">
        <v>2516</v>
      </c>
      <c r="N320" t="s" s="13">
        <v>2517</v>
      </c>
      <c r="O320" s="15">
        <v>37.72</v>
      </c>
      <c r="P320" s="17" cm="1">
        <f t="array" ref="P320">(I320-I319)/I319</f>
        <v>0.00368351813568878</v>
      </c>
      <c r="Q320" s="8"/>
    </row>
    <row r="321" ht="13.65" customHeight="1">
      <c r="A321" t="s" s="27">
        <v>1294</v>
      </c>
      <c r="B321" t="s" s="13">
        <v>22</v>
      </c>
      <c r="C321" s="31">
        <v>44736</v>
      </c>
      <c r="D321" s="14">
        <v>1335.15</v>
      </c>
      <c r="E321" s="14">
        <v>1338.55</v>
      </c>
      <c r="F321" s="14">
        <v>1361.65</v>
      </c>
      <c r="G321" s="14">
        <v>1338.55</v>
      </c>
      <c r="H321" s="14">
        <v>1355</v>
      </c>
      <c r="I321" s="14">
        <v>1353.8</v>
      </c>
      <c r="J321" s="14">
        <v>1354.94</v>
      </c>
      <c r="K321" t="s" s="13">
        <v>2518</v>
      </c>
      <c r="L321" t="s" s="13">
        <v>2519</v>
      </c>
      <c r="M321" t="s" s="13">
        <v>2520</v>
      </c>
      <c r="N321" t="s" s="13">
        <v>2521</v>
      </c>
      <c r="O321" s="15">
        <v>53.78</v>
      </c>
      <c r="P321" s="17" cm="1">
        <f t="array" ref="P321">(I321-I320)/I320</f>
        <v>0.0139684679624012</v>
      </c>
      <c r="Q321" s="8"/>
    </row>
    <row r="322" ht="13.65" customHeight="1">
      <c r="A322" t="s" s="27">
        <v>1294</v>
      </c>
      <c r="B322" t="s" s="13">
        <v>22</v>
      </c>
      <c r="C322" s="31">
        <v>44739</v>
      </c>
      <c r="D322" s="14">
        <v>1353.8</v>
      </c>
      <c r="E322" s="14">
        <v>1370</v>
      </c>
      <c r="F322" s="14">
        <v>1376</v>
      </c>
      <c r="G322" s="14">
        <v>1352</v>
      </c>
      <c r="H322" s="14">
        <v>1355.9</v>
      </c>
      <c r="I322" s="14">
        <v>1356.25</v>
      </c>
      <c r="J322" s="14">
        <v>1362.63</v>
      </c>
      <c r="K322" t="s" s="13">
        <v>2522</v>
      </c>
      <c r="L322" t="s" s="13">
        <v>2523</v>
      </c>
      <c r="M322" t="s" s="13">
        <v>2524</v>
      </c>
      <c r="N322" t="s" s="13">
        <v>2525</v>
      </c>
      <c r="O322" s="15">
        <v>57.54</v>
      </c>
      <c r="P322" s="17" cm="1">
        <f t="array" ref="P322">(I322-I321)/I321</f>
        <v>0.00180972078593588</v>
      </c>
      <c r="Q322" s="8"/>
    </row>
    <row r="323" ht="13.65" customHeight="1">
      <c r="A323" t="s" s="27">
        <v>1294</v>
      </c>
      <c r="B323" t="s" s="13">
        <v>22</v>
      </c>
      <c r="C323" s="31">
        <v>44740</v>
      </c>
      <c r="D323" s="14">
        <v>1356.25</v>
      </c>
      <c r="E323" s="14">
        <v>1344</v>
      </c>
      <c r="F323" s="14">
        <v>1351</v>
      </c>
      <c r="G323" s="14">
        <v>1338.4</v>
      </c>
      <c r="H323" s="14">
        <v>1349.9</v>
      </c>
      <c r="I323" s="14">
        <v>1345.9</v>
      </c>
      <c r="J323" s="14">
        <v>1344.55</v>
      </c>
      <c r="K323" t="s" s="13">
        <v>2526</v>
      </c>
      <c r="L323" t="s" s="13">
        <v>2527</v>
      </c>
      <c r="M323" t="s" s="13">
        <v>2528</v>
      </c>
      <c r="N323" t="s" s="13">
        <v>2529</v>
      </c>
      <c r="O323" s="15">
        <v>60.96</v>
      </c>
      <c r="P323" s="17" cm="1">
        <f t="array" ref="P323">(I323-I322)/I322</f>
        <v>-0.00763133640552995</v>
      </c>
      <c r="Q323" s="8"/>
    </row>
    <row r="324" ht="13.65" customHeight="1">
      <c r="A324" t="s" s="27">
        <v>1294</v>
      </c>
      <c r="B324" t="s" s="13">
        <v>22</v>
      </c>
      <c r="C324" s="31">
        <v>44741</v>
      </c>
      <c r="D324" s="14">
        <v>1345.9</v>
      </c>
      <c r="E324" s="14">
        <v>1331.25</v>
      </c>
      <c r="F324" s="14">
        <v>1350.75</v>
      </c>
      <c r="G324" s="14">
        <v>1331.25</v>
      </c>
      <c r="H324" s="14">
        <v>1343.8</v>
      </c>
      <c r="I324" s="14">
        <v>1343.95</v>
      </c>
      <c r="J324" s="14">
        <v>1343.41</v>
      </c>
      <c r="K324" t="s" s="13">
        <v>2530</v>
      </c>
      <c r="L324" t="s" s="13">
        <v>2531</v>
      </c>
      <c r="M324" t="s" s="13">
        <v>2532</v>
      </c>
      <c r="N324" t="s" s="13">
        <v>2533</v>
      </c>
      <c r="O324" s="15">
        <v>64</v>
      </c>
      <c r="P324" s="17" cm="1">
        <f t="array" ref="P324">(I324-I323)/I323</f>
        <v>-0.00144884463927483</v>
      </c>
      <c r="Q324" s="8"/>
    </row>
    <row r="325" ht="13.65" customHeight="1">
      <c r="A325" t="s" s="27">
        <v>1294</v>
      </c>
      <c r="B325" t="s" s="13">
        <v>22</v>
      </c>
      <c r="C325" s="31">
        <v>44742</v>
      </c>
      <c r="D325" s="14">
        <v>1343.95</v>
      </c>
      <c r="E325" s="14">
        <v>1336</v>
      </c>
      <c r="F325" s="14">
        <v>1354</v>
      </c>
      <c r="G325" s="14">
        <v>1336</v>
      </c>
      <c r="H325" s="14">
        <v>1344</v>
      </c>
      <c r="I325" s="14">
        <v>1348</v>
      </c>
      <c r="J325" s="14">
        <v>1346.87</v>
      </c>
      <c r="K325" t="s" s="13">
        <v>2534</v>
      </c>
      <c r="L325" t="s" s="13">
        <v>2535</v>
      </c>
      <c r="M325" t="s" s="13">
        <v>2536</v>
      </c>
      <c r="N325" t="s" s="13">
        <v>2537</v>
      </c>
      <c r="O325" s="15">
        <v>54.27</v>
      </c>
      <c r="P325" s="17" cm="1">
        <f t="array" ref="P325">(I325-I324)/I324</f>
        <v>0.00301350496670263</v>
      </c>
      <c r="Q325" s="8"/>
    </row>
    <row r="326" ht="13.65" customHeight="1">
      <c r="A326" t="s" s="27">
        <v>1294</v>
      </c>
      <c r="B326" t="s" s="13">
        <v>22</v>
      </c>
      <c r="C326" s="28">
        <v>44743</v>
      </c>
      <c r="D326" s="14">
        <v>1348</v>
      </c>
      <c r="E326" s="14">
        <v>1343.95</v>
      </c>
      <c r="F326" s="14">
        <v>1360</v>
      </c>
      <c r="G326" s="14">
        <v>1330.05</v>
      </c>
      <c r="H326" s="14">
        <v>1354.95</v>
      </c>
      <c r="I326" s="14">
        <v>1353.75</v>
      </c>
      <c r="J326" s="14">
        <v>1346.28</v>
      </c>
      <c r="K326" t="s" s="13">
        <v>2538</v>
      </c>
      <c r="L326" t="s" s="13">
        <v>2539</v>
      </c>
      <c r="M326" t="s" s="13">
        <v>2540</v>
      </c>
      <c r="N326" t="s" s="13">
        <v>2541</v>
      </c>
      <c r="O326" s="15">
        <v>70.76000000000001</v>
      </c>
      <c r="P326" s="17" cm="1">
        <f t="array" ref="P326">(I326-I325)/I325</f>
        <v>0.00426557863501484</v>
      </c>
      <c r="Q326" s="8"/>
    </row>
    <row r="327" ht="13.65" customHeight="1">
      <c r="A327" t="s" s="27">
        <v>1294</v>
      </c>
      <c r="B327" t="s" s="13">
        <v>22</v>
      </c>
      <c r="C327" s="28">
        <v>44746</v>
      </c>
      <c r="D327" s="14">
        <v>1353.75</v>
      </c>
      <c r="E327" s="14">
        <v>1353.7</v>
      </c>
      <c r="F327" s="14">
        <v>1360.2</v>
      </c>
      <c r="G327" s="14">
        <v>1342.25</v>
      </c>
      <c r="H327" s="14">
        <v>1356.55</v>
      </c>
      <c r="I327" s="14">
        <v>1355.65</v>
      </c>
      <c r="J327" s="14">
        <v>1352.23</v>
      </c>
      <c r="K327" t="s" s="13">
        <v>2542</v>
      </c>
      <c r="L327" t="s" s="13">
        <v>2543</v>
      </c>
      <c r="M327" t="s" s="13">
        <v>2544</v>
      </c>
      <c r="N327" t="s" s="13">
        <v>2545</v>
      </c>
      <c r="O327" s="15">
        <v>63.32</v>
      </c>
      <c r="P327" s="17" cm="1">
        <f t="array" ref="P327">(I327-I326)/I326</f>
        <v>0.00140350877192982</v>
      </c>
      <c r="Q327" s="8"/>
    </row>
    <row r="328" ht="13.65" customHeight="1">
      <c r="A328" t="s" s="27">
        <v>1294</v>
      </c>
      <c r="B328" t="s" s="13">
        <v>22</v>
      </c>
      <c r="C328" s="28">
        <v>44747</v>
      </c>
      <c r="D328" s="14">
        <v>1355.65</v>
      </c>
      <c r="E328" s="14">
        <v>1364</v>
      </c>
      <c r="F328" s="14">
        <v>1379.35</v>
      </c>
      <c r="G328" s="14">
        <v>1348.3</v>
      </c>
      <c r="H328" s="14">
        <v>1349.05</v>
      </c>
      <c r="I328" s="14">
        <v>1352.6</v>
      </c>
      <c r="J328" s="14">
        <v>1366.82</v>
      </c>
      <c r="K328" t="s" s="13">
        <v>2546</v>
      </c>
      <c r="L328" t="s" s="13">
        <v>2547</v>
      </c>
      <c r="M328" t="s" s="13">
        <v>2548</v>
      </c>
      <c r="N328" t="s" s="13">
        <v>2549</v>
      </c>
      <c r="O328" s="15">
        <v>62.23</v>
      </c>
      <c r="P328" s="17" cm="1">
        <f t="array" ref="P328">(I328-I327)/I327</f>
        <v>-0.00224984324862612</v>
      </c>
      <c r="Q328" s="8"/>
    </row>
    <row r="329" ht="13.65" customHeight="1">
      <c r="A329" t="s" s="27">
        <v>1294</v>
      </c>
      <c r="B329" t="s" s="13">
        <v>22</v>
      </c>
      <c r="C329" s="28">
        <v>44748</v>
      </c>
      <c r="D329" s="14">
        <v>1352.6</v>
      </c>
      <c r="E329" s="14">
        <v>1348</v>
      </c>
      <c r="F329" s="14">
        <v>1373.4</v>
      </c>
      <c r="G329" s="14">
        <v>1347.1</v>
      </c>
      <c r="H329" s="14">
        <v>1371.55</v>
      </c>
      <c r="I329" s="14">
        <v>1371.25</v>
      </c>
      <c r="J329" s="14">
        <v>1365.48</v>
      </c>
      <c r="K329" t="s" s="13">
        <v>2550</v>
      </c>
      <c r="L329" t="s" s="13">
        <v>2551</v>
      </c>
      <c r="M329" t="s" s="13">
        <v>2552</v>
      </c>
      <c r="N329" t="s" s="13">
        <v>2553</v>
      </c>
      <c r="O329" s="15">
        <v>70.34</v>
      </c>
      <c r="P329" s="17" cm="1">
        <f t="array" ref="P329">(I329-I328)/I328</f>
        <v>0.0137882596480852</v>
      </c>
      <c r="Q329" s="8"/>
    </row>
    <row r="330" ht="13.65" customHeight="1">
      <c r="A330" t="s" s="27">
        <v>1294</v>
      </c>
      <c r="B330" t="s" s="13">
        <v>22</v>
      </c>
      <c r="C330" s="28">
        <v>44749</v>
      </c>
      <c r="D330" s="14">
        <v>1371.25</v>
      </c>
      <c r="E330" s="14">
        <v>1380</v>
      </c>
      <c r="F330" s="14">
        <v>1398</v>
      </c>
      <c r="G330" s="14">
        <v>1374.45</v>
      </c>
      <c r="H330" s="14">
        <v>1395</v>
      </c>
      <c r="I330" s="14">
        <v>1395.8</v>
      </c>
      <c r="J330" s="14">
        <v>1387.53</v>
      </c>
      <c r="K330" t="s" s="13">
        <v>2554</v>
      </c>
      <c r="L330" t="s" s="13">
        <v>2555</v>
      </c>
      <c r="M330" t="s" s="13">
        <v>2556</v>
      </c>
      <c r="N330" t="s" s="13">
        <v>2557</v>
      </c>
      <c r="O330" s="15">
        <v>70.48</v>
      </c>
      <c r="P330" s="17" cm="1">
        <f t="array" ref="P330">(I330-I329)/I329</f>
        <v>0.0179033728350046</v>
      </c>
      <c r="Q330" s="8"/>
    </row>
    <row r="331" ht="13.65" customHeight="1">
      <c r="A331" t="s" s="27">
        <v>1294</v>
      </c>
      <c r="B331" t="s" s="13">
        <v>22</v>
      </c>
      <c r="C331" s="28">
        <v>44750</v>
      </c>
      <c r="D331" s="14">
        <v>1395.8</v>
      </c>
      <c r="E331" s="14">
        <v>1410</v>
      </c>
      <c r="F331" s="14">
        <v>1410</v>
      </c>
      <c r="G331" s="14">
        <v>1394.75</v>
      </c>
      <c r="H331" s="14">
        <v>1395.8</v>
      </c>
      <c r="I331" s="14">
        <v>1397.1</v>
      </c>
      <c r="J331" s="14">
        <v>1402.07</v>
      </c>
      <c r="K331" t="s" s="13">
        <v>2558</v>
      </c>
      <c r="L331" t="s" s="13">
        <v>2559</v>
      </c>
      <c r="M331" t="s" s="13">
        <v>2560</v>
      </c>
      <c r="N331" t="s" s="13">
        <v>2561</v>
      </c>
      <c r="O331" s="15">
        <v>75.33</v>
      </c>
      <c r="P331" s="17" cm="1">
        <f t="array" ref="P331">(I331-I330)/I330</f>
        <v>0.000931365525146869</v>
      </c>
      <c r="Q331" s="8"/>
    </row>
    <row r="332" ht="13.65" customHeight="1">
      <c r="A332" t="s" s="27">
        <v>1294</v>
      </c>
      <c r="B332" t="s" s="13">
        <v>22</v>
      </c>
      <c r="C332" s="31">
        <v>44753</v>
      </c>
      <c r="D332" s="14">
        <v>1397.1</v>
      </c>
      <c r="E332" s="14">
        <v>1394</v>
      </c>
      <c r="F332" s="14">
        <v>1409.9</v>
      </c>
      <c r="G332" s="14">
        <v>1393.25</v>
      </c>
      <c r="H332" s="14">
        <v>1403.2</v>
      </c>
      <c r="I332" s="14">
        <v>1406.15</v>
      </c>
      <c r="J332" s="14">
        <v>1403.07</v>
      </c>
      <c r="K332" t="s" s="13">
        <v>2562</v>
      </c>
      <c r="L332" t="s" s="13">
        <v>2563</v>
      </c>
      <c r="M332" t="s" s="13">
        <v>2564</v>
      </c>
      <c r="N332" t="s" s="13">
        <v>2565</v>
      </c>
      <c r="O332" s="15">
        <v>63.92</v>
      </c>
      <c r="P332" s="17" cm="1">
        <f t="array" ref="P332">(I332-I331)/I331</f>
        <v>0.00647770381504545</v>
      </c>
      <c r="Q332" s="8"/>
    </row>
    <row r="333" ht="13.65" customHeight="1">
      <c r="A333" t="s" s="27">
        <v>1294</v>
      </c>
      <c r="B333" t="s" s="13">
        <v>22</v>
      </c>
      <c r="C333" s="31">
        <v>44754</v>
      </c>
      <c r="D333" s="14">
        <v>1406.15</v>
      </c>
      <c r="E333" s="14">
        <v>1405.25</v>
      </c>
      <c r="F333" s="14">
        <v>1405.25</v>
      </c>
      <c r="G333" s="14">
        <v>1389.4</v>
      </c>
      <c r="H333" s="14">
        <v>1391.2</v>
      </c>
      <c r="I333" s="14">
        <v>1391.8</v>
      </c>
      <c r="J333" s="14">
        <v>1395.12</v>
      </c>
      <c r="K333" t="s" s="13">
        <v>2566</v>
      </c>
      <c r="L333" t="s" s="13">
        <v>2567</v>
      </c>
      <c r="M333" t="s" s="13">
        <v>2568</v>
      </c>
      <c r="N333" t="s" s="13">
        <v>2569</v>
      </c>
      <c r="O333" s="15">
        <v>68.5</v>
      </c>
      <c r="P333" s="17" cm="1">
        <f t="array" ref="P333">(I333-I332)/I332</f>
        <v>-0.0102051701454326</v>
      </c>
      <c r="Q333" s="8"/>
    </row>
    <row r="334" ht="13.65" customHeight="1">
      <c r="A334" t="s" s="27">
        <v>1294</v>
      </c>
      <c r="B334" t="s" s="13">
        <v>22</v>
      </c>
      <c r="C334" s="31">
        <v>44755</v>
      </c>
      <c r="D334" s="14">
        <v>1391.8</v>
      </c>
      <c r="E334" s="14">
        <v>1390</v>
      </c>
      <c r="F334" s="14">
        <v>1394.2</v>
      </c>
      <c r="G334" s="14">
        <v>1354.25</v>
      </c>
      <c r="H334" s="14">
        <v>1359.55</v>
      </c>
      <c r="I334" s="14">
        <v>1357.85</v>
      </c>
      <c r="J334" s="14">
        <v>1371.2</v>
      </c>
      <c r="K334" t="s" s="13">
        <v>2570</v>
      </c>
      <c r="L334" t="s" s="13">
        <v>2571</v>
      </c>
      <c r="M334" t="s" s="13">
        <v>2572</v>
      </c>
      <c r="N334" t="s" s="13">
        <v>2573</v>
      </c>
      <c r="O334" s="15">
        <v>63.5</v>
      </c>
      <c r="P334" s="17" cm="1">
        <f t="array" ref="P334">(I334-I333)/I333</f>
        <v>-0.0243928725391579</v>
      </c>
      <c r="Q334" s="8"/>
    </row>
    <row r="335" ht="13.65" customHeight="1">
      <c r="A335" t="s" s="27">
        <v>1294</v>
      </c>
      <c r="B335" t="s" s="13">
        <v>22</v>
      </c>
      <c r="C335" s="31">
        <v>44756</v>
      </c>
      <c r="D335" s="14">
        <v>1357.85</v>
      </c>
      <c r="E335" s="14">
        <v>1362</v>
      </c>
      <c r="F335" s="14">
        <v>1372.65</v>
      </c>
      <c r="G335" s="14">
        <v>1349.25</v>
      </c>
      <c r="H335" s="14">
        <v>1352</v>
      </c>
      <c r="I335" s="14">
        <v>1351.05</v>
      </c>
      <c r="J335" s="14">
        <v>1359.74</v>
      </c>
      <c r="K335" t="s" s="13">
        <v>2574</v>
      </c>
      <c r="L335" t="s" s="13">
        <v>2575</v>
      </c>
      <c r="M335" t="s" s="13">
        <v>2576</v>
      </c>
      <c r="N335" t="s" s="13">
        <v>2577</v>
      </c>
      <c r="O335" s="15">
        <v>57.71</v>
      </c>
      <c r="P335" s="17" cm="1">
        <f t="array" ref="P335">(I335-I334)/I334</f>
        <v>-0.00500791692749567</v>
      </c>
      <c r="Q335" s="8"/>
    </row>
    <row r="336" ht="13.65" customHeight="1">
      <c r="A336" t="s" s="27">
        <v>1294</v>
      </c>
      <c r="B336" t="s" s="13">
        <v>22</v>
      </c>
      <c r="C336" s="31">
        <v>44757</v>
      </c>
      <c r="D336" s="14">
        <v>1351.05</v>
      </c>
      <c r="E336" s="14">
        <v>1353</v>
      </c>
      <c r="F336" s="14">
        <v>1364.9</v>
      </c>
      <c r="G336" s="14">
        <v>1346.8</v>
      </c>
      <c r="H336" s="14">
        <v>1364</v>
      </c>
      <c r="I336" s="14">
        <v>1362.05</v>
      </c>
      <c r="J336" s="14">
        <v>1357.6</v>
      </c>
      <c r="K336" t="s" s="13">
        <v>2578</v>
      </c>
      <c r="L336" t="s" s="13">
        <v>2579</v>
      </c>
      <c r="M336" t="s" s="13">
        <v>2580</v>
      </c>
      <c r="N336" t="s" s="13">
        <v>2581</v>
      </c>
      <c r="O336" s="15">
        <v>69.29000000000001</v>
      </c>
      <c r="P336" s="17" cm="1">
        <f t="array" ref="P336">(I336-I335)/I335</f>
        <v>0.008141815624884349</v>
      </c>
      <c r="Q336" s="8"/>
    </row>
    <row r="337" ht="13.65" customHeight="1">
      <c r="A337" t="s" s="27">
        <v>1294</v>
      </c>
      <c r="B337" t="s" s="13">
        <v>22</v>
      </c>
      <c r="C337" s="31">
        <v>44760</v>
      </c>
      <c r="D337" s="14">
        <v>1362.05</v>
      </c>
      <c r="E337" s="14">
        <v>1348</v>
      </c>
      <c r="F337" s="14">
        <v>1366.1</v>
      </c>
      <c r="G337" s="14">
        <v>1342.05</v>
      </c>
      <c r="H337" s="14">
        <v>1348.2</v>
      </c>
      <c r="I337" s="14">
        <v>1347.55</v>
      </c>
      <c r="J337" s="14">
        <v>1347.82</v>
      </c>
      <c r="K337" t="s" s="13">
        <v>2582</v>
      </c>
      <c r="L337" t="s" s="13">
        <v>2583</v>
      </c>
      <c r="M337" t="s" s="13">
        <v>2584</v>
      </c>
      <c r="N337" t="s" s="13">
        <v>2585</v>
      </c>
      <c r="O337" s="15">
        <v>70.81999999999999</v>
      </c>
      <c r="P337" s="17" cm="1">
        <f t="array" ref="P337">(I337-I336)/I336</f>
        <v>-0.0106457178517676</v>
      </c>
      <c r="Q337" s="8"/>
    </row>
    <row r="338" ht="13.65" customHeight="1">
      <c r="A338" t="s" s="27">
        <v>1294</v>
      </c>
      <c r="B338" t="s" s="13">
        <v>22</v>
      </c>
      <c r="C338" s="31">
        <v>44761</v>
      </c>
      <c r="D338" s="14">
        <v>1347.55</v>
      </c>
      <c r="E338" s="14">
        <v>1337</v>
      </c>
      <c r="F338" s="14">
        <v>1358.55</v>
      </c>
      <c r="G338" s="14">
        <v>1337</v>
      </c>
      <c r="H338" s="14">
        <v>1348.2</v>
      </c>
      <c r="I338" s="14">
        <v>1348.05</v>
      </c>
      <c r="J338" s="14">
        <v>1349.05</v>
      </c>
      <c r="K338" t="s" s="13">
        <v>2586</v>
      </c>
      <c r="L338" t="s" s="13">
        <v>2587</v>
      </c>
      <c r="M338" t="s" s="13">
        <v>2588</v>
      </c>
      <c r="N338" t="s" s="13">
        <v>2589</v>
      </c>
      <c r="O338" s="15">
        <v>64.44</v>
      </c>
      <c r="P338" s="17" cm="1">
        <f t="array" ref="P338">(I338-I337)/I337</f>
        <v>0.00037104374605766</v>
      </c>
      <c r="Q338" s="8"/>
    </row>
    <row r="339" ht="13.65" customHeight="1">
      <c r="A339" t="s" s="27">
        <v>1294</v>
      </c>
      <c r="B339" t="s" s="13">
        <v>22</v>
      </c>
      <c r="C339" s="31">
        <v>44762</v>
      </c>
      <c r="D339" s="14">
        <v>1348.05</v>
      </c>
      <c r="E339" s="14">
        <v>1359.9</v>
      </c>
      <c r="F339" s="14">
        <v>1371.1</v>
      </c>
      <c r="G339" s="14">
        <v>1355.25</v>
      </c>
      <c r="H339" s="14">
        <v>1363.55</v>
      </c>
      <c r="I339" s="14">
        <v>1365.05</v>
      </c>
      <c r="J339" s="14">
        <v>1364.16</v>
      </c>
      <c r="K339" t="s" s="13">
        <v>2590</v>
      </c>
      <c r="L339" t="s" s="13">
        <v>2591</v>
      </c>
      <c r="M339" t="s" s="13">
        <v>2592</v>
      </c>
      <c r="N339" t="s" s="13">
        <v>2593</v>
      </c>
      <c r="O339" s="15">
        <v>76.09</v>
      </c>
      <c r="P339" s="17" cm="1">
        <f t="array" ref="P339">(I339-I338)/I338</f>
        <v>0.0126108082044435</v>
      </c>
      <c r="Q339" s="8"/>
    </row>
    <row r="340" ht="13.65" customHeight="1">
      <c r="A340" t="s" s="27">
        <v>1294</v>
      </c>
      <c r="B340" t="s" s="13">
        <v>22</v>
      </c>
      <c r="C340" s="31">
        <v>44763</v>
      </c>
      <c r="D340" s="14">
        <v>1365.05</v>
      </c>
      <c r="E340" s="14">
        <v>1360.55</v>
      </c>
      <c r="F340" s="14">
        <v>1369.5</v>
      </c>
      <c r="G340" s="14">
        <v>1358.1</v>
      </c>
      <c r="H340" s="14">
        <v>1363</v>
      </c>
      <c r="I340" s="14">
        <v>1360.75</v>
      </c>
      <c r="J340" s="14">
        <v>1363.06</v>
      </c>
      <c r="K340" t="s" s="13">
        <v>2594</v>
      </c>
      <c r="L340" t="s" s="13">
        <v>2595</v>
      </c>
      <c r="M340" t="s" s="13">
        <v>2596</v>
      </c>
      <c r="N340" t="s" s="13">
        <v>2597</v>
      </c>
      <c r="O340" s="15">
        <v>66.2</v>
      </c>
      <c r="P340" s="17" cm="1">
        <f t="array" ref="P340">(I340-I339)/I339</f>
        <v>-0.0031500677630856</v>
      </c>
      <c r="Q340" s="8"/>
    </row>
    <row r="341" ht="13.65" customHeight="1">
      <c r="A341" t="s" s="27">
        <v>1294</v>
      </c>
      <c r="B341" t="s" s="13">
        <v>22</v>
      </c>
      <c r="C341" s="31">
        <v>44764</v>
      </c>
      <c r="D341" s="14">
        <v>1360.75</v>
      </c>
      <c r="E341" s="14">
        <v>1366</v>
      </c>
      <c r="F341" s="14">
        <v>1397</v>
      </c>
      <c r="G341" s="14">
        <v>1362.4</v>
      </c>
      <c r="H341" s="14">
        <v>1394.4</v>
      </c>
      <c r="I341" s="14">
        <v>1392.5</v>
      </c>
      <c r="J341" s="14">
        <v>1384.48</v>
      </c>
      <c r="K341" t="s" s="13">
        <v>2598</v>
      </c>
      <c r="L341" t="s" s="13">
        <v>2599</v>
      </c>
      <c r="M341" t="s" s="13">
        <v>2600</v>
      </c>
      <c r="N341" t="s" s="13">
        <v>2601</v>
      </c>
      <c r="O341" s="15">
        <v>55.51</v>
      </c>
      <c r="P341" s="17" cm="1">
        <f t="array" ref="P341">(I341-I340)/I340</f>
        <v>0.0233327209259599</v>
      </c>
      <c r="Q341" s="8"/>
    </row>
    <row r="342" ht="13.65" customHeight="1">
      <c r="A342" t="s" s="27">
        <v>1294</v>
      </c>
      <c r="B342" t="s" s="13">
        <v>1323</v>
      </c>
      <c r="C342" s="31">
        <v>44767</v>
      </c>
      <c r="D342" s="14">
        <v>1471</v>
      </c>
      <c r="E342" s="14">
        <v>1392.5</v>
      </c>
      <c r="F342" s="14">
        <v>1392.5</v>
      </c>
      <c r="G342" s="14">
        <v>1392.5</v>
      </c>
      <c r="H342" s="14">
        <v>1392.5</v>
      </c>
      <c r="I342" s="14">
        <v>1392.5</v>
      </c>
      <c r="J342" s="14">
        <v>1392.5</v>
      </c>
      <c r="K342" t="s" s="13">
        <v>2602</v>
      </c>
      <c r="L342" t="s" s="13">
        <v>2603</v>
      </c>
      <c r="M342" s="15">
        <v>1</v>
      </c>
      <c r="N342" t="s" s="13">
        <v>1326</v>
      </c>
      <c r="O342" t="s" s="13">
        <v>1326</v>
      </c>
      <c r="P342" s="17" cm="1">
        <f t="array" ref="P342">(I342-I341)/I341</f>
        <v>0</v>
      </c>
      <c r="Q342" s="8"/>
    </row>
    <row r="343" ht="13.65" customHeight="1">
      <c r="A343" t="s" s="27">
        <v>1294</v>
      </c>
      <c r="B343" t="s" s="13">
        <v>22</v>
      </c>
      <c r="C343" s="31">
        <v>44767</v>
      </c>
      <c r="D343" s="14">
        <v>1392.5</v>
      </c>
      <c r="E343" s="14">
        <v>1395</v>
      </c>
      <c r="F343" s="14">
        <v>1404.6</v>
      </c>
      <c r="G343" s="14">
        <v>1383.3</v>
      </c>
      <c r="H343" s="14">
        <v>1394</v>
      </c>
      <c r="I343" s="14">
        <v>1396.6</v>
      </c>
      <c r="J343" s="14">
        <v>1393.4</v>
      </c>
      <c r="K343" t="s" s="13">
        <v>2604</v>
      </c>
      <c r="L343" t="s" s="13">
        <v>2605</v>
      </c>
      <c r="M343" t="s" s="13">
        <v>2606</v>
      </c>
      <c r="N343" t="s" s="13">
        <v>2607</v>
      </c>
      <c r="O343" s="15">
        <v>50.87</v>
      </c>
      <c r="P343" s="17" cm="1">
        <f t="array" ref="P343">(I343-I342)/I342</f>
        <v>0.0029443447037702</v>
      </c>
      <c r="Q343" s="8"/>
    </row>
    <row r="344" ht="13.65" customHeight="1">
      <c r="A344" t="s" s="27">
        <v>1294</v>
      </c>
      <c r="B344" t="s" s="13">
        <v>22</v>
      </c>
      <c r="C344" s="31">
        <v>44768</v>
      </c>
      <c r="D344" s="14">
        <v>1396.6</v>
      </c>
      <c r="E344" s="14">
        <v>1396</v>
      </c>
      <c r="F344" s="14">
        <v>1402</v>
      </c>
      <c r="G344" s="14">
        <v>1386.3</v>
      </c>
      <c r="H344" s="14">
        <v>1390.6</v>
      </c>
      <c r="I344" s="14">
        <v>1393.75</v>
      </c>
      <c r="J344" s="14">
        <v>1395.38</v>
      </c>
      <c r="K344" t="s" s="13">
        <v>2608</v>
      </c>
      <c r="L344" t="s" s="13">
        <v>2609</v>
      </c>
      <c r="M344" t="s" s="13">
        <v>2610</v>
      </c>
      <c r="N344" t="s" s="13">
        <v>2611</v>
      </c>
      <c r="O344" s="15">
        <v>60.29</v>
      </c>
      <c r="P344" s="17" cm="1">
        <f t="array" ref="P344">(I344-I343)/I343</f>
        <v>-0.00204067019905485</v>
      </c>
      <c r="Q344" s="8"/>
    </row>
    <row r="345" ht="13.65" customHeight="1">
      <c r="A345" t="s" s="27">
        <v>1294</v>
      </c>
      <c r="B345" t="s" s="13">
        <v>22</v>
      </c>
      <c r="C345" s="31">
        <v>44769</v>
      </c>
      <c r="D345" s="14">
        <v>1393.75</v>
      </c>
      <c r="E345" s="14">
        <v>1388.9</v>
      </c>
      <c r="F345" s="14">
        <v>1406</v>
      </c>
      <c r="G345" s="14">
        <v>1384.25</v>
      </c>
      <c r="H345" s="14">
        <v>1404.4</v>
      </c>
      <c r="I345" s="14">
        <v>1404.4</v>
      </c>
      <c r="J345" s="14">
        <v>1399.8</v>
      </c>
      <c r="K345" t="s" s="13">
        <v>2612</v>
      </c>
      <c r="L345" t="s" s="13">
        <v>2613</v>
      </c>
      <c r="M345" t="s" s="13">
        <v>2614</v>
      </c>
      <c r="N345" t="s" s="13">
        <v>2615</v>
      </c>
      <c r="O345" s="15">
        <v>60.24</v>
      </c>
      <c r="P345" s="17" cm="1">
        <f t="array" ref="P345">(I345-I344)/I344</f>
        <v>0.00764125560538117</v>
      </c>
      <c r="Q345" s="8"/>
    </row>
    <row r="346" ht="13.65" customHeight="1">
      <c r="A346" t="s" s="27">
        <v>1294</v>
      </c>
      <c r="B346" t="s" s="13">
        <v>22</v>
      </c>
      <c r="C346" s="31">
        <v>44770</v>
      </c>
      <c r="D346" s="14">
        <v>1404.4</v>
      </c>
      <c r="E346" s="14">
        <v>1415.05</v>
      </c>
      <c r="F346" s="14">
        <v>1424</v>
      </c>
      <c r="G346" s="14">
        <v>1411</v>
      </c>
      <c r="H346" s="14">
        <v>1416</v>
      </c>
      <c r="I346" s="14">
        <v>1416.85</v>
      </c>
      <c r="J346" s="14">
        <v>1419.21</v>
      </c>
      <c r="K346" t="s" s="13">
        <v>2616</v>
      </c>
      <c r="L346" t="s" s="13">
        <v>2617</v>
      </c>
      <c r="M346" t="s" s="13">
        <v>2618</v>
      </c>
      <c r="N346" t="s" s="13">
        <v>2619</v>
      </c>
      <c r="O346" s="15">
        <v>65.97</v>
      </c>
      <c r="P346" s="17" cm="1">
        <f t="array" ref="P346">(I346-I345)/I345</f>
        <v>0.008864995727712899</v>
      </c>
      <c r="Q346" s="8"/>
    </row>
    <row r="347" ht="13.65" customHeight="1">
      <c r="A347" t="s" s="27">
        <v>1294</v>
      </c>
      <c r="B347" t="s" s="13">
        <v>22</v>
      </c>
      <c r="C347" s="31">
        <v>44771</v>
      </c>
      <c r="D347" s="14">
        <v>1416.85</v>
      </c>
      <c r="E347" s="14">
        <v>1438</v>
      </c>
      <c r="F347" s="14">
        <v>1438.6</v>
      </c>
      <c r="G347" s="14">
        <v>1415.3</v>
      </c>
      <c r="H347" s="14">
        <v>1436.4</v>
      </c>
      <c r="I347" s="14">
        <v>1434.2</v>
      </c>
      <c r="J347" s="14">
        <v>1428.73</v>
      </c>
      <c r="K347" t="s" s="13">
        <v>2620</v>
      </c>
      <c r="L347" t="s" s="13">
        <v>2621</v>
      </c>
      <c r="M347" t="s" s="13">
        <v>2622</v>
      </c>
      <c r="N347" t="s" s="13">
        <v>2623</v>
      </c>
      <c r="O347" s="15">
        <v>66.18000000000001</v>
      </c>
      <c r="P347" s="17" cm="1">
        <f t="array" ref="P347">(I347-I346)/I346</f>
        <v>0.0122454741151145</v>
      </c>
      <c r="Q347" s="8"/>
    </row>
    <row r="348" ht="13.65" customHeight="1">
      <c r="A348" t="s" s="27">
        <v>1294</v>
      </c>
      <c r="B348" t="s" s="13">
        <v>22</v>
      </c>
      <c r="C348" s="28">
        <v>44774</v>
      </c>
      <c r="D348" s="14">
        <v>1434.2</v>
      </c>
      <c r="E348" s="14">
        <v>1439</v>
      </c>
      <c r="F348" s="14">
        <v>1448.45</v>
      </c>
      <c r="G348" s="14">
        <v>1430.05</v>
      </c>
      <c r="H348" s="14">
        <v>1442.9</v>
      </c>
      <c r="I348" s="14">
        <v>1446.15</v>
      </c>
      <c r="J348" s="14">
        <v>1440.76</v>
      </c>
      <c r="K348" t="s" s="13">
        <v>2624</v>
      </c>
      <c r="L348" t="s" s="13">
        <v>2625</v>
      </c>
      <c r="M348" t="s" s="13">
        <v>2626</v>
      </c>
      <c r="N348" t="s" s="13">
        <v>2627</v>
      </c>
      <c r="O348" s="15">
        <v>68.59</v>
      </c>
      <c r="P348" s="17" cm="1">
        <f t="array" ref="P348">(I348-I347)/I347</f>
        <v>0.00833217124529354</v>
      </c>
      <c r="Q348" s="8"/>
    </row>
    <row r="349" ht="13.65" customHeight="1">
      <c r="A349" t="s" s="27">
        <v>1294</v>
      </c>
      <c r="B349" t="s" s="13">
        <v>22</v>
      </c>
      <c r="C349" s="28">
        <v>44775</v>
      </c>
      <c r="D349" s="14">
        <v>1446.15</v>
      </c>
      <c r="E349" s="14">
        <v>1442</v>
      </c>
      <c r="F349" s="14">
        <v>1444.6</v>
      </c>
      <c r="G349" s="14">
        <v>1423.05</v>
      </c>
      <c r="H349" s="14">
        <v>1424.95</v>
      </c>
      <c r="I349" s="14">
        <v>1430.25</v>
      </c>
      <c r="J349" s="14">
        <v>1431.6</v>
      </c>
      <c r="K349" t="s" s="13">
        <v>2628</v>
      </c>
      <c r="L349" t="s" s="13">
        <v>2629</v>
      </c>
      <c r="M349" t="s" s="13">
        <v>2630</v>
      </c>
      <c r="N349" t="s" s="13">
        <v>2631</v>
      </c>
      <c r="O349" s="15">
        <v>69.37</v>
      </c>
      <c r="P349" s="17" cm="1">
        <f t="array" ref="P349">(I349-I348)/I348</f>
        <v>-0.0109947100923141</v>
      </c>
      <c r="Q349" s="8"/>
    </row>
    <row r="350" ht="13.65" customHeight="1">
      <c r="A350" t="s" s="27">
        <v>1294</v>
      </c>
      <c r="B350" t="s" s="13">
        <v>22</v>
      </c>
      <c r="C350" s="28">
        <v>44776</v>
      </c>
      <c r="D350" s="14">
        <v>1430.25</v>
      </c>
      <c r="E350" s="14">
        <v>1424.95</v>
      </c>
      <c r="F350" s="14">
        <v>1435.75</v>
      </c>
      <c r="G350" s="14">
        <v>1417</v>
      </c>
      <c r="H350" s="14">
        <v>1433.25</v>
      </c>
      <c r="I350" s="14">
        <v>1433.6</v>
      </c>
      <c r="J350" s="14">
        <v>1427.43</v>
      </c>
      <c r="K350" t="s" s="13">
        <v>2632</v>
      </c>
      <c r="L350" t="s" s="13">
        <v>2633</v>
      </c>
      <c r="M350" t="s" s="13">
        <v>2634</v>
      </c>
      <c r="N350" t="s" s="13">
        <v>2635</v>
      </c>
      <c r="O350" s="15">
        <v>61.33</v>
      </c>
      <c r="P350" s="17" cm="1">
        <f t="array" ref="P350">(I350-I349)/I349</f>
        <v>0.00234224785876595</v>
      </c>
      <c r="Q350" s="8"/>
    </row>
    <row r="351" ht="13.65" customHeight="1">
      <c r="A351" t="s" s="27">
        <v>1294</v>
      </c>
      <c r="B351" t="s" s="13">
        <v>22</v>
      </c>
      <c r="C351" s="28">
        <v>44777</v>
      </c>
      <c r="D351" s="14">
        <v>1433.6</v>
      </c>
      <c r="E351" s="14">
        <v>1440</v>
      </c>
      <c r="F351" s="14">
        <v>1446.7</v>
      </c>
      <c r="G351" s="14">
        <v>1412.95</v>
      </c>
      <c r="H351" s="14">
        <v>1429.35</v>
      </c>
      <c r="I351" s="14">
        <v>1431.9</v>
      </c>
      <c r="J351" s="14">
        <v>1431.33</v>
      </c>
      <c r="K351" t="s" s="13">
        <v>2636</v>
      </c>
      <c r="L351" t="s" s="13">
        <v>2637</v>
      </c>
      <c r="M351" t="s" s="13">
        <v>2638</v>
      </c>
      <c r="N351" t="s" s="13">
        <v>2639</v>
      </c>
      <c r="O351" s="15">
        <v>64.47</v>
      </c>
      <c r="P351" s="17" cm="1">
        <f t="array" ref="P351">(I351-I350)/I350</f>
        <v>-0.00118582589285714</v>
      </c>
      <c r="Q351" s="8"/>
    </row>
    <row r="352" ht="13.65" customHeight="1">
      <c r="A352" t="s" s="27">
        <v>1294</v>
      </c>
      <c r="B352" t="s" s="13">
        <v>22</v>
      </c>
      <c r="C352" s="28">
        <v>44778</v>
      </c>
      <c r="D352" s="14">
        <v>1431.9</v>
      </c>
      <c r="E352" s="14">
        <v>1433</v>
      </c>
      <c r="F352" s="14">
        <v>1436.95</v>
      </c>
      <c r="G352" s="14">
        <v>1421.15</v>
      </c>
      <c r="H352" s="14">
        <v>1426.05</v>
      </c>
      <c r="I352" s="14">
        <v>1427.05</v>
      </c>
      <c r="J352" s="14">
        <v>1429.21</v>
      </c>
      <c r="K352" t="s" s="13">
        <v>2640</v>
      </c>
      <c r="L352" t="s" s="13">
        <v>2641</v>
      </c>
      <c r="M352" t="s" s="13">
        <v>2642</v>
      </c>
      <c r="N352" t="s" s="13">
        <v>2643</v>
      </c>
      <c r="O352" s="15">
        <v>59.44</v>
      </c>
      <c r="P352" s="17" cm="1">
        <f t="array" ref="P352">(I352-I351)/I351</f>
        <v>-0.00338710803827083</v>
      </c>
      <c r="Q352" s="8"/>
    </row>
    <row r="353" ht="13.65" customHeight="1">
      <c r="A353" t="s" s="27">
        <v>1294</v>
      </c>
      <c r="B353" t="s" s="13">
        <v>1323</v>
      </c>
      <c r="C353" s="28">
        <v>44781</v>
      </c>
      <c r="D353" s="14">
        <v>1392.5</v>
      </c>
      <c r="E353" s="14">
        <v>1427.05</v>
      </c>
      <c r="F353" s="14">
        <v>1427.05</v>
      </c>
      <c r="G353" s="14">
        <v>1427.05</v>
      </c>
      <c r="H353" s="14">
        <v>1427.05</v>
      </c>
      <c r="I353" s="14">
        <v>1427.05</v>
      </c>
      <c r="J353" s="14">
        <v>1427.05</v>
      </c>
      <c r="K353" t="s" s="13">
        <v>2644</v>
      </c>
      <c r="L353" t="s" s="13">
        <v>2645</v>
      </c>
      <c r="M353" s="15">
        <v>1</v>
      </c>
      <c r="N353" t="s" s="13">
        <v>1326</v>
      </c>
      <c r="O353" t="s" s="13">
        <v>1326</v>
      </c>
      <c r="P353" s="17" cm="1">
        <f t="array" ref="P353">(I353-I352)/I352</f>
        <v>0</v>
      </c>
      <c r="Q353" s="8"/>
    </row>
    <row r="354" ht="13.65" customHeight="1">
      <c r="A354" t="s" s="27">
        <v>1294</v>
      </c>
      <c r="B354" t="s" s="13">
        <v>22</v>
      </c>
      <c r="C354" s="28">
        <v>44781</v>
      </c>
      <c r="D354" s="14">
        <v>1427.05</v>
      </c>
      <c r="E354" s="14">
        <v>1428</v>
      </c>
      <c r="F354" s="14">
        <v>1464.5</v>
      </c>
      <c r="G354" s="14">
        <v>1427.1</v>
      </c>
      <c r="H354" s="14">
        <v>1461.35</v>
      </c>
      <c r="I354" s="14">
        <v>1462.05</v>
      </c>
      <c r="J354" s="14">
        <v>1454.57</v>
      </c>
      <c r="K354" t="s" s="13">
        <v>2646</v>
      </c>
      <c r="L354" t="s" s="13">
        <v>2647</v>
      </c>
      <c r="M354" t="s" s="13">
        <v>2648</v>
      </c>
      <c r="N354" t="s" s="13">
        <v>2649</v>
      </c>
      <c r="O354" s="15">
        <v>53.9</v>
      </c>
      <c r="P354" s="17" cm="1">
        <f t="array" ref="P354">(I354-I353)/I353</f>
        <v>0.0245261203181388</v>
      </c>
      <c r="Q354" s="8"/>
    </row>
    <row r="355" ht="13.65" customHeight="1">
      <c r="A355" t="s" s="27">
        <v>1294</v>
      </c>
      <c r="B355" t="s" s="13">
        <v>22</v>
      </c>
      <c r="C355" s="31">
        <v>44783</v>
      </c>
      <c r="D355" s="14">
        <v>1462.05</v>
      </c>
      <c r="E355" s="14">
        <v>1461.35</v>
      </c>
      <c r="F355" s="14">
        <v>1471.5</v>
      </c>
      <c r="G355" s="14">
        <v>1449.05</v>
      </c>
      <c r="H355" s="14">
        <v>1465</v>
      </c>
      <c r="I355" s="14">
        <v>1466.3</v>
      </c>
      <c r="J355" s="14">
        <v>1464.71</v>
      </c>
      <c r="K355" t="s" s="13">
        <v>2650</v>
      </c>
      <c r="L355" t="s" s="13">
        <v>2651</v>
      </c>
      <c r="M355" t="s" s="13">
        <v>2652</v>
      </c>
      <c r="N355" t="s" s="13">
        <v>2653</v>
      </c>
      <c r="O355" s="15">
        <v>72.75</v>
      </c>
      <c r="P355" s="17" cm="1">
        <f t="array" ref="P355">(I355-I354)/I354</f>
        <v>0.00290687732977668</v>
      </c>
      <c r="Q355" s="8"/>
    </row>
    <row r="356" ht="13.65" customHeight="1">
      <c r="A356" t="s" s="27">
        <v>1294</v>
      </c>
      <c r="B356" t="s" s="13">
        <v>22</v>
      </c>
      <c r="C356" s="31">
        <v>44784</v>
      </c>
      <c r="D356" s="14">
        <v>1466.3</v>
      </c>
      <c r="E356" s="14">
        <v>1486.5</v>
      </c>
      <c r="F356" s="14">
        <v>1491</v>
      </c>
      <c r="G356" s="14">
        <v>1474.55</v>
      </c>
      <c r="H356" s="14">
        <v>1480</v>
      </c>
      <c r="I356" s="14">
        <v>1485.7</v>
      </c>
      <c r="J356" s="14">
        <v>1483.63</v>
      </c>
      <c r="K356" t="s" s="13">
        <v>2654</v>
      </c>
      <c r="L356" t="s" s="13">
        <v>2655</v>
      </c>
      <c r="M356" t="s" s="13">
        <v>2656</v>
      </c>
      <c r="N356" t="s" s="13">
        <v>2657</v>
      </c>
      <c r="O356" s="15">
        <v>76.39</v>
      </c>
      <c r="P356" s="17" cm="1">
        <f t="array" ref="P356">(I356-I355)/I355</f>
        <v>0.0132305803723658</v>
      </c>
      <c r="Q356" s="8"/>
    </row>
    <row r="357" ht="13.65" customHeight="1">
      <c r="A357" t="s" s="27">
        <v>1294</v>
      </c>
      <c r="B357" t="s" s="13">
        <v>22</v>
      </c>
      <c r="C357" s="31">
        <v>44785</v>
      </c>
      <c r="D357" s="14">
        <v>1485.7</v>
      </c>
      <c r="E357" s="14">
        <v>1485</v>
      </c>
      <c r="F357" s="14">
        <v>1489.3</v>
      </c>
      <c r="G357" s="14">
        <v>1475.95</v>
      </c>
      <c r="H357" s="14">
        <v>1483.95</v>
      </c>
      <c r="I357" s="14">
        <v>1485.15</v>
      </c>
      <c r="J357" s="14">
        <v>1484</v>
      </c>
      <c r="K357" t="s" s="13">
        <v>2658</v>
      </c>
      <c r="L357" t="s" s="13">
        <v>2659</v>
      </c>
      <c r="M357" t="s" s="13">
        <v>2660</v>
      </c>
      <c r="N357" t="s" s="13">
        <v>2661</v>
      </c>
      <c r="O357" s="15">
        <v>74.20999999999999</v>
      </c>
      <c r="P357" s="17" cm="1">
        <f t="array" ref="P357">(I357-I356)/I356</f>
        <v>-0.000370195867267954</v>
      </c>
      <c r="Q357" s="8"/>
    </row>
    <row r="358" ht="13.65" customHeight="1">
      <c r="A358" t="s" s="27">
        <v>1294</v>
      </c>
      <c r="B358" t="s" s="13">
        <v>22</v>
      </c>
      <c r="C358" s="31">
        <v>44789</v>
      </c>
      <c r="D358" s="14">
        <v>1485.15</v>
      </c>
      <c r="E358" s="14">
        <v>1494.8</v>
      </c>
      <c r="F358" s="14">
        <v>1508.5</v>
      </c>
      <c r="G358" s="14">
        <v>1488.05</v>
      </c>
      <c r="H358" s="14">
        <v>1501.8</v>
      </c>
      <c r="I358" s="14">
        <v>1502.15</v>
      </c>
      <c r="J358" s="14">
        <v>1501.93</v>
      </c>
      <c r="K358" t="s" s="13">
        <v>2662</v>
      </c>
      <c r="L358" t="s" s="13">
        <v>2663</v>
      </c>
      <c r="M358" t="s" s="13">
        <v>2664</v>
      </c>
      <c r="N358" t="s" s="13">
        <v>2665</v>
      </c>
      <c r="O358" s="15">
        <v>74.54000000000001</v>
      </c>
      <c r="P358" s="17" cm="1">
        <f t="array" ref="P358">(I358-I357)/I357</f>
        <v>0.0114466552200114</v>
      </c>
      <c r="Q358" s="8"/>
    </row>
    <row r="359" ht="13.65" customHeight="1">
      <c r="A359" t="s" s="27">
        <v>1294</v>
      </c>
      <c r="B359" t="s" s="13">
        <v>22</v>
      </c>
      <c r="C359" s="31">
        <v>44790</v>
      </c>
      <c r="D359" s="14">
        <v>1502.15</v>
      </c>
      <c r="E359" s="14">
        <v>1500</v>
      </c>
      <c r="F359" s="14">
        <v>1512.75</v>
      </c>
      <c r="G359" s="14">
        <v>1485.75</v>
      </c>
      <c r="H359" s="14">
        <v>1507.1</v>
      </c>
      <c r="I359" s="14">
        <v>1509.9</v>
      </c>
      <c r="J359" s="14">
        <v>1503.31</v>
      </c>
      <c r="K359" t="s" s="13">
        <v>2666</v>
      </c>
      <c r="L359" t="s" s="13">
        <v>2667</v>
      </c>
      <c r="M359" t="s" s="13">
        <v>2668</v>
      </c>
      <c r="N359" t="s" s="13">
        <v>2669</v>
      </c>
      <c r="O359" s="15">
        <v>72.67</v>
      </c>
      <c r="P359" s="17" cm="1">
        <f t="array" ref="P359">(I359-I358)/I358</f>
        <v>0.00515927171054821</v>
      </c>
      <c r="Q359" s="8"/>
    </row>
    <row r="360" ht="13.65" customHeight="1">
      <c r="A360" t="s" s="27">
        <v>1294</v>
      </c>
      <c r="B360" t="s" s="13">
        <v>22</v>
      </c>
      <c r="C360" s="31">
        <v>44791</v>
      </c>
      <c r="D360" s="14">
        <v>1509.9</v>
      </c>
      <c r="E360" s="14">
        <v>1500</v>
      </c>
      <c r="F360" s="14">
        <v>1513.9</v>
      </c>
      <c r="G360" s="14">
        <v>1499.65</v>
      </c>
      <c r="H360" s="14">
        <v>1511</v>
      </c>
      <c r="I360" s="14">
        <v>1511.7</v>
      </c>
      <c r="J360" s="14">
        <v>1507.5</v>
      </c>
      <c r="K360" t="s" s="13">
        <v>2670</v>
      </c>
      <c r="L360" t="s" s="13">
        <v>2671</v>
      </c>
      <c r="M360" t="s" s="13">
        <v>2672</v>
      </c>
      <c r="N360" t="s" s="13">
        <v>2673</v>
      </c>
      <c r="O360" s="15">
        <v>69.55</v>
      </c>
      <c r="P360" s="17" cm="1">
        <f t="array" ref="P360">(I360-I359)/I359</f>
        <v>0.00119213192926684</v>
      </c>
      <c r="Q360" s="8"/>
    </row>
    <row r="361" ht="13.65" customHeight="1">
      <c r="A361" t="s" s="27">
        <v>1294</v>
      </c>
      <c r="B361" t="s" s="13">
        <v>22</v>
      </c>
      <c r="C361" s="31">
        <v>44792</v>
      </c>
      <c r="D361" s="14">
        <v>1511.7</v>
      </c>
      <c r="E361" s="14">
        <v>1510</v>
      </c>
      <c r="F361" s="14">
        <v>1512</v>
      </c>
      <c r="G361" s="14">
        <v>1490</v>
      </c>
      <c r="H361" s="14">
        <v>1492.35</v>
      </c>
      <c r="I361" s="14">
        <v>1493.05</v>
      </c>
      <c r="J361" s="14">
        <v>1498.24</v>
      </c>
      <c r="K361" t="s" s="13">
        <v>2674</v>
      </c>
      <c r="L361" t="s" s="13">
        <v>2675</v>
      </c>
      <c r="M361" t="s" s="13">
        <v>2676</v>
      </c>
      <c r="N361" t="s" s="13">
        <v>2677</v>
      </c>
      <c r="O361" s="15">
        <v>57</v>
      </c>
      <c r="P361" s="17" cm="1">
        <f t="array" ref="P361">(I361-I360)/I360</f>
        <v>-0.012337103922736</v>
      </c>
      <c r="Q361" s="8"/>
    </row>
    <row r="362" ht="13.65" customHeight="1">
      <c r="A362" t="s" s="27">
        <v>1294</v>
      </c>
      <c r="B362" t="s" s="13">
        <v>22</v>
      </c>
      <c r="C362" s="31">
        <v>44795</v>
      </c>
      <c r="D362" s="14">
        <v>1493.05</v>
      </c>
      <c r="E362" s="14">
        <v>1484.8</v>
      </c>
      <c r="F362" s="14">
        <v>1488.35</v>
      </c>
      <c r="G362" s="14">
        <v>1467.7</v>
      </c>
      <c r="H362" s="14">
        <v>1468.7</v>
      </c>
      <c r="I362" s="14">
        <v>1470.35</v>
      </c>
      <c r="J362" s="14">
        <v>1474.4</v>
      </c>
      <c r="K362" t="s" s="13">
        <v>2678</v>
      </c>
      <c r="L362" t="s" s="13">
        <v>2679</v>
      </c>
      <c r="M362" t="s" s="13">
        <v>2680</v>
      </c>
      <c r="N362" t="s" s="13">
        <v>2681</v>
      </c>
      <c r="O362" s="15">
        <v>62.95</v>
      </c>
      <c r="P362" s="17" cm="1">
        <f t="array" ref="P362">(I362-I361)/I361</f>
        <v>-0.0152037775024279</v>
      </c>
      <c r="Q362" s="8"/>
    </row>
    <row r="363" ht="13.65" customHeight="1">
      <c r="A363" t="s" s="27">
        <v>1294</v>
      </c>
      <c r="B363" t="s" s="13">
        <v>22</v>
      </c>
      <c r="C363" s="31">
        <v>44796</v>
      </c>
      <c r="D363" s="14">
        <v>1470.35</v>
      </c>
      <c r="E363" s="14">
        <v>1453.3</v>
      </c>
      <c r="F363" s="14">
        <v>1475.95</v>
      </c>
      <c r="G363" s="14">
        <v>1450.4</v>
      </c>
      <c r="H363" s="14">
        <v>1471.5</v>
      </c>
      <c r="I363" s="14">
        <v>1465.8</v>
      </c>
      <c r="J363" s="14">
        <v>1461.68</v>
      </c>
      <c r="K363" t="s" s="13">
        <v>2682</v>
      </c>
      <c r="L363" t="s" s="13">
        <v>2683</v>
      </c>
      <c r="M363" t="s" s="13">
        <v>2684</v>
      </c>
      <c r="N363" t="s" s="13">
        <v>2685</v>
      </c>
      <c r="O363" s="15">
        <v>63.31</v>
      </c>
      <c r="P363" s="17" cm="1">
        <f t="array" ref="P363">(I363-I362)/I362</f>
        <v>-0.00309450130921209</v>
      </c>
      <c r="Q363" s="8"/>
    </row>
    <row r="364" ht="13.65" customHeight="1">
      <c r="A364" t="s" s="27">
        <v>1294</v>
      </c>
      <c r="B364" t="s" s="13">
        <v>22</v>
      </c>
      <c r="C364" s="31">
        <v>44797</v>
      </c>
      <c r="D364" s="14">
        <v>1465.8</v>
      </c>
      <c r="E364" s="14">
        <v>1461.9</v>
      </c>
      <c r="F364" s="14">
        <v>1475.5</v>
      </c>
      <c r="G364" s="14">
        <v>1459.2</v>
      </c>
      <c r="H364" s="14">
        <v>1475</v>
      </c>
      <c r="I364" s="14">
        <v>1472.85</v>
      </c>
      <c r="J364" s="14">
        <v>1467.34</v>
      </c>
      <c r="K364" t="s" s="13">
        <v>2686</v>
      </c>
      <c r="L364" t="s" s="13">
        <v>2687</v>
      </c>
      <c r="M364" t="s" s="13">
        <v>2688</v>
      </c>
      <c r="N364" t="s" s="13">
        <v>2689</v>
      </c>
      <c r="O364" s="15">
        <v>69.7</v>
      </c>
      <c r="P364" s="17" cm="1">
        <f t="array" ref="P364">(I364-I363)/I363</f>
        <v>0.00480966025378633</v>
      </c>
      <c r="Q364" s="8"/>
    </row>
    <row r="365" ht="13.65" customHeight="1">
      <c r="A365" t="s" s="27">
        <v>1294</v>
      </c>
      <c r="B365" t="s" s="13">
        <v>22</v>
      </c>
      <c r="C365" s="31">
        <v>44798</v>
      </c>
      <c r="D365" s="14">
        <v>1472.85</v>
      </c>
      <c r="E365" s="14">
        <v>1479.9</v>
      </c>
      <c r="F365" s="14">
        <v>1486.8</v>
      </c>
      <c r="G365" s="14">
        <v>1457</v>
      </c>
      <c r="H365" s="14">
        <v>1462.95</v>
      </c>
      <c r="I365" s="14">
        <v>1464.85</v>
      </c>
      <c r="J365" s="14">
        <v>1477.82</v>
      </c>
      <c r="K365" t="s" s="13">
        <v>2690</v>
      </c>
      <c r="L365" t="s" s="13">
        <v>2691</v>
      </c>
      <c r="M365" t="s" s="13">
        <v>2692</v>
      </c>
      <c r="N365" t="s" s="13">
        <v>2693</v>
      </c>
      <c r="O365" s="15">
        <v>62.49</v>
      </c>
      <c r="P365" s="17" cm="1">
        <f t="array" ref="P365">(I365-I364)/I364</f>
        <v>-0.00543164612825474</v>
      </c>
      <c r="Q365" s="8"/>
    </row>
    <row r="366" ht="13.65" customHeight="1">
      <c r="A366" t="s" s="27">
        <v>1294</v>
      </c>
      <c r="B366" t="s" s="13">
        <v>22</v>
      </c>
      <c r="C366" s="31">
        <v>44799</v>
      </c>
      <c r="D366" s="14">
        <v>1464.85</v>
      </c>
      <c r="E366" s="14">
        <v>1472.05</v>
      </c>
      <c r="F366" s="14">
        <v>1481.8</v>
      </c>
      <c r="G366" s="14">
        <v>1461.2</v>
      </c>
      <c r="H366" s="14">
        <v>1466</v>
      </c>
      <c r="I366" s="14">
        <v>1465.1</v>
      </c>
      <c r="J366" s="14">
        <v>1471.45</v>
      </c>
      <c r="K366" t="s" s="13">
        <v>2694</v>
      </c>
      <c r="L366" t="s" s="13">
        <v>2695</v>
      </c>
      <c r="M366" t="s" s="13">
        <v>2696</v>
      </c>
      <c r="N366" t="s" s="13">
        <v>2697</v>
      </c>
      <c r="O366" s="15">
        <v>59.32</v>
      </c>
      <c r="P366" s="17" cm="1">
        <f t="array" ref="P366">(I366-I365)/I365</f>
        <v>0.000170665938491996</v>
      </c>
      <c r="Q366" s="8"/>
    </row>
    <row r="367" ht="13.65" customHeight="1">
      <c r="A367" t="s" s="27">
        <v>1294</v>
      </c>
      <c r="B367" t="s" s="13">
        <v>22</v>
      </c>
      <c r="C367" s="31">
        <v>44802</v>
      </c>
      <c r="D367" s="14">
        <v>1465.1</v>
      </c>
      <c r="E367" s="14">
        <v>1437</v>
      </c>
      <c r="F367" s="14">
        <v>1446</v>
      </c>
      <c r="G367" s="14">
        <v>1428.6</v>
      </c>
      <c r="H367" s="14">
        <v>1442</v>
      </c>
      <c r="I367" s="14">
        <v>1439.4</v>
      </c>
      <c r="J367" s="14">
        <v>1438.69</v>
      </c>
      <c r="K367" t="s" s="13">
        <v>2698</v>
      </c>
      <c r="L367" t="s" s="13">
        <v>2699</v>
      </c>
      <c r="M367" t="s" s="13">
        <v>2700</v>
      </c>
      <c r="N367" t="s" s="13">
        <v>2701</v>
      </c>
      <c r="O367" s="15">
        <v>57.63</v>
      </c>
      <c r="P367" s="17" cm="1">
        <f t="array" ref="P367">(I367-I366)/I366</f>
        <v>-0.0175414647464337</v>
      </c>
      <c r="Q367" s="8"/>
    </row>
    <row r="368" ht="13.65" customHeight="1">
      <c r="A368" t="s" s="27">
        <v>1294</v>
      </c>
      <c r="B368" t="s" s="13">
        <v>22</v>
      </c>
      <c r="C368" s="31">
        <v>44803</v>
      </c>
      <c r="D368" s="14">
        <v>1439.4</v>
      </c>
      <c r="E368" s="14">
        <v>1446.45</v>
      </c>
      <c r="F368" s="14">
        <v>1489.95</v>
      </c>
      <c r="G368" s="14">
        <v>1443.1</v>
      </c>
      <c r="H368" s="14">
        <v>1483.65</v>
      </c>
      <c r="I368" s="14">
        <v>1486.1</v>
      </c>
      <c r="J368" s="14">
        <v>1468.87</v>
      </c>
      <c r="K368" t="s" s="13">
        <v>2702</v>
      </c>
      <c r="L368" t="s" s="13">
        <v>2703</v>
      </c>
      <c r="M368" t="s" s="13">
        <v>2704</v>
      </c>
      <c r="N368" t="s" s="13">
        <v>2705</v>
      </c>
      <c r="O368" s="15">
        <v>58.18</v>
      </c>
      <c r="P368" s="17" cm="1">
        <f t="array" ref="P368">(I368-I367)/I367</f>
        <v>0.0324440739196888</v>
      </c>
      <c r="Q368" s="8"/>
    </row>
    <row r="369" ht="13.65" customHeight="1">
      <c r="A369" t="s" s="27">
        <v>1294</v>
      </c>
      <c r="B369" t="s" s="13">
        <v>22</v>
      </c>
      <c r="C369" s="28">
        <v>44805</v>
      </c>
      <c r="D369" s="14">
        <v>1486.1</v>
      </c>
      <c r="E369" s="14">
        <v>1464.75</v>
      </c>
      <c r="F369" s="14">
        <v>1489.45</v>
      </c>
      <c r="G369" s="14">
        <v>1459</v>
      </c>
      <c r="H369" s="14">
        <v>1471</v>
      </c>
      <c r="I369" s="14">
        <v>1472.15</v>
      </c>
      <c r="J369" s="14">
        <v>1469.61</v>
      </c>
      <c r="K369" t="s" s="13">
        <v>2706</v>
      </c>
      <c r="L369" t="s" s="13">
        <v>2707</v>
      </c>
      <c r="M369" t="s" s="13">
        <v>2708</v>
      </c>
      <c r="N369" t="s" s="13">
        <v>2709</v>
      </c>
      <c r="O369" s="15">
        <v>54.88</v>
      </c>
      <c r="P369" s="17" cm="1">
        <f t="array" ref="P369">(I369-I368)/I368</f>
        <v>-0.00938698607092389</v>
      </c>
      <c r="Q369" s="8"/>
    </row>
    <row r="370" ht="13.65" customHeight="1">
      <c r="A370" t="s" s="27">
        <v>1294</v>
      </c>
      <c r="B370" t="s" s="13">
        <v>22</v>
      </c>
      <c r="C370" s="28">
        <v>44806</v>
      </c>
      <c r="D370" s="14">
        <v>1472.15</v>
      </c>
      <c r="E370" s="14">
        <v>1472.15</v>
      </c>
      <c r="F370" s="14">
        <v>1490.5</v>
      </c>
      <c r="G370" s="14">
        <v>1465.2</v>
      </c>
      <c r="H370" s="14">
        <v>1482</v>
      </c>
      <c r="I370" s="14">
        <v>1485.5</v>
      </c>
      <c r="J370" s="14">
        <v>1477.45</v>
      </c>
      <c r="K370" t="s" s="13">
        <v>2710</v>
      </c>
      <c r="L370" t="s" s="13">
        <v>2711</v>
      </c>
      <c r="M370" t="s" s="13">
        <v>2712</v>
      </c>
      <c r="N370" t="s" s="13">
        <v>2713</v>
      </c>
      <c r="O370" s="15">
        <v>60.89</v>
      </c>
      <c r="P370" s="17" cm="1">
        <f t="array" ref="P370">(I370-I369)/I369</f>
        <v>0.009068369391706009</v>
      </c>
      <c r="Q370" s="8"/>
    </row>
    <row r="371" ht="13.65" customHeight="1">
      <c r="A371" t="s" s="27">
        <v>1294</v>
      </c>
      <c r="B371" t="s" s="13">
        <v>22</v>
      </c>
      <c r="C371" s="28">
        <v>44809</v>
      </c>
      <c r="D371" s="14">
        <v>1485.5</v>
      </c>
      <c r="E371" s="14">
        <v>1486.1</v>
      </c>
      <c r="F371" s="14">
        <v>1499</v>
      </c>
      <c r="G371" s="14">
        <v>1484.1</v>
      </c>
      <c r="H371" s="14">
        <v>1494</v>
      </c>
      <c r="I371" s="14">
        <v>1495.05</v>
      </c>
      <c r="J371" s="14">
        <v>1493.54</v>
      </c>
      <c r="K371" t="s" s="13">
        <v>2714</v>
      </c>
      <c r="L371" t="s" s="13">
        <v>2715</v>
      </c>
      <c r="M371" t="s" s="13">
        <v>2716</v>
      </c>
      <c r="N371" t="s" s="13">
        <v>2717</v>
      </c>
      <c r="O371" s="15">
        <v>71.51000000000001</v>
      </c>
      <c r="P371" s="17" cm="1">
        <f t="array" ref="P371">(I371-I370)/I370</f>
        <v>0.00642881184786267</v>
      </c>
      <c r="Q371" s="8"/>
    </row>
    <row r="372" ht="13.65" customHeight="1">
      <c r="A372" t="s" s="27">
        <v>1294</v>
      </c>
      <c r="B372" t="s" s="13">
        <v>22</v>
      </c>
      <c r="C372" s="28">
        <v>44810</v>
      </c>
      <c r="D372" s="14">
        <v>1495.05</v>
      </c>
      <c r="E372" s="14">
        <v>1498.9</v>
      </c>
      <c r="F372" s="14">
        <v>1506.65</v>
      </c>
      <c r="G372" s="14">
        <v>1486.45</v>
      </c>
      <c r="H372" s="14">
        <v>1489</v>
      </c>
      <c r="I372" s="14">
        <v>1489.35</v>
      </c>
      <c r="J372" s="14">
        <v>1497.95</v>
      </c>
      <c r="K372" t="s" s="13">
        <v>2718</v>
      </c>
      <c r="L372" t="s" s="13">
        <v>2719</v>
      </c>
      <c r="M372" t="s" s="13">
        <v>2720</v>
      </c>
      <c r="N372" t="s" s="13">
        <v>2721</v>
      </c>
      <c r="O372" s="15">
        <v>68</v>
      </c>
      <c r="P372" s="17" cm="1">
        <f t="array" ref="P372">(I372-I371)/I371</f>
        <v>-0.00381258151901274</v>
      </c>
      <c r="Q372" s="8"/>
    </row>
    <row r="373" ht="13.65" customHeight="1">
      <c r="A373" t="s" s="27">
        <v>1294</v>
      </c>
      <c r="B373" t="s" s="13">
        <v>22</v>
      </c>
      <c r="C373" s="28">
        <v>44811</v>
      </c>
      <c r="D373" s="14">
        <v>1489.35</v>
      </c>
      <c r="E373" s="14">
        <v>1471.3</v>
      </c>
      <c r="F373" s="14">
        <v>1490</v>
      </c>
      <c r="G373" s="14">
        <v>1471.3</v>
      </c>
      <c r="H373" s="14">
        <v>1483.05</v>
      </c>
      <c r="I373" s="14">
        <v>1482.3</v>
      </c>
      <c r="J373" s="14">
        <v>1483.04</v>
      </c>
      <c r="K373" t="s" s="13">
        <v>2722</v>
      </c>
      <c r="L373" t="s" s="13">
        <v>2723</v>
      </c>
      <c r="M373" s="34">
        <v>89838</v>
      </c>
      <c r="N373" t="s" s="13">
        <v>2724</v>
      </c>
      <c r="O373" s="15">
        <v>69.13</v>
      </c>
      <c r="P373" s="17" cm="1">
        <f t="array" ref="P373">(I373-I372)/I372</f>
        <v>-0.0047336086212106</v>
      </c>
      <c r="Q373" s="8"/>
    </row>
    <row r="374" ht="13.65" customHeight="1">
      <c r="A374" t="s" s="27">
        <v>1294</v>
      </c>
      <c r="B374" t="s" s="13">
        <v>22</v>
      </c>
      <c r="C374" s="28">
        <v>44812</v>
      </c>
      <c r="D374" s="14">
        <v>1482.3</v>
      </c>
      <c r="E374" s="14">
        <v>1490.1</v>
      </c>
      <c r="F374" s="14">
        <v>1500</v>
      </c>
      <c r="G374" s="14">
        <v>1482.15</v>
      </c>
      <c r="H374" s="14">
        <v>1496.65</v>
      </c>
      <c r="I374" s="14">
        <v>1497.6</v>
      </c>
      <c r="J374" s="14">
        <v>1491.81</v>
      </c>
      <c r="K374" t="s" s="13">
        <v>2725</v>
      </c>
      <c r="L374" t="s" s="13">
        <v>2726</v>
      </c>
      <c r="M374" t="s" s="13">
        <v>2727</v>
      </c>
      <c r="N374" t="s" s="13">
        <v>2728</v>
      </c>
      <c r="O374" s="15">
        <v>54.95</v>
      </c>
      <c r="P374" s="17" cm="1">
        <f t="array" ref="P374">(I374-I373)/I373</f>
        <v>0.0103217972070431</v>
      </c>
      <c r="Q374" s="8"/>
    </row>
    <row r="375" ht="13.65" customHeight="1">
      <c r="A375" t="s" s="27">
        <v>1294</v>
      </c>
      <c r="B375" t="s" s="13">
        <v>22</v>
      </c>
      <c r="C375" s="28">
        <v>44813</v>
      </c>
      <c r="D375" s="14">
        <v>1497.6</v>
      </c>
      <c r="E375" s="14">
        <v>1496.2</v>
      </c>
      <c r="F375" s="14">
        <v>1509</v>
      </c>
      <c r="G375" s="14">
        <v>1494.05</v>
      </c>
      <c r="H375" s="14">
        <v>1498</v>
      </c>
      <c r="I375" s="14">
        <v>1498.6</v>
      </c>
      <c r="J375" s="14">
        <v>1501.98</v>
      </c>
      <c r="K375" t="s" s="13">
        <v>2729</v>
      </c>
      <c r="L375" t="s" s="13">
        <v>2730</v>
      </c>
      <c r="M375" t="s" s="13">
        <v>2731</v>
      </c>
      <c r="N375" t="s" s="13">
        <v>2732</v>
      </c>
      <c r="O375" s="15">
        <v>66.89</v>
      </c>
      <c r="P375" s="17" cm="1">
        <f t="array" ref="P375">(I375-I374)/I374</f>
        <v>0.000667735042735043</v>
      </c>
      <c r="Q375" s="8"/>
    </row>
    <row r="376" ht="13.65" customHeight="1">
      <c r="A376" t="s" s="27">
        <v>1294</v>
      </c>
      <c r="B376" t="s" s="13">
        <v>22</v>
      </c>
      <c r="C376" s="31">
        <v>44816</v>
      </c>
      <c r="D376" s="14">
        <v>1498.6</v>
      </c>
      <c r="E376" s="14">
        <v>1500</v>
      </c>
      <c r="F376" s="14">
        <v>1504</v>
      </c>
      <c r="G376" s="14">
        <v>1490</v>
      </c>
      <c r="H376" s="14">
        <v>1491.6</v>
      </c>
      <c r="I376" s="14">
        <v>1493.55</v>
      </c>
      <c r="J376" s="14">
        <v>1498.08</v>
      </c>
      <c r="K376" t="s" s="13">
        <v>2733</v>
      </c>
      <c r="L376" t="s" s="13">
        <v>2734</v>
      </c>
      <c r="M376" t="s" s="13">
        <v>2735</v>
      </c>
      <c r="N376" t="s" s="13">
        <v>2736</v>
      </c>
      <c r="O376" s="15">
        <v>72.56</v>
      </c>
      <c r="P376" s="17" cm="1">
        <f t="array" ref="P376">(I376-I375)/I375</f>
        <v>-0.00336981182436941</v>
      </c>
      <c r="Q376" s="8"/>
    </row>
    <row r="377" ht="13.65" customHeight="1">
      <c r="A377" t="s" s="27">
        <v>1294</v>
      </c>
      <c r="B377" t="s" s="13">
        <v>22</v>
      </c>
      <c r="C377" s="31">
        <v>44817</v>
      </c>
      <c r="D377" s="14">
        <v>1493.55</v>
      </c>
      <c r="E377" s="14">
        <v>1498.9</v>
      </c>
      <c r="F377" s="14">
        <v>1515.9</v>
      </c>
      <c r="G377" s="14">
        <v>1498.55</v>
      </c>
      <c r="H377" s="14">
        <v>1514.35</v>
      </c>
      <c r="I377" s="14">
        <v>1513.1</v>
      </c>
      <c r="J377" s="14">
        <v>1509.49</v>
      </c>
      <c r="K377" t="s" s="13">
        <v>2737</v>
      </c>
      <c r="L377" t="s" s="13">
        <v>2738</v>
      </c>
      <c r="M377" t="s" s="13">
        <v>2739</v>
      </c>
      <c r="N377" t="s" s="13">
        <v>2740</v>
      </c>
      <c r="O377" s="15">
        <v>67.61</v>
      </c>
      <c r="P377" s="17" cm="1">
        <f t="array" ref="P377">(I377-I376)/I376</f>
        <v>0.0130896186937163</v>
      </c>
      <c r="Q377" s="8"/>
    </row>
    <row r="378" ht="13.65" customHeight="1">
      <c r="A378" t="s" s="27">
        <v>1294</v>
      </c>
      <c r="B378" t="s" s="13">
        <v>22</v>
      </c>
      <c r="C378" s="31">
        <v>44818</v>
      </c>
      <c r="D378" s="14">
        <v>1513.1</v>
      </c>
      <c r="E378" s="14">
        <v>1494.05</v>
      </c>
      <c r="F378" s="14">
        <v>1538.9</v>
      </c>
      <c r="G378" s="14">
        <v>1492.35</v>
      </c>
      <c r="H378" s="14">
        <v>1525.1</v>
      </c>
      <c r="I378" s="14">
        <v>1528.65</v>
      </c>
      <c r="J378" s="14">
        <v>1519.3</v>
      </c>
      <c r="K378" t="s" s="13">
        <v>2741</v>
      </c>
      <c r="L378" t="s" s="13">
        <v>2742</v>
      </c>
      <c r="M378" t="s" s="13">
        <v>2743</v>
      </c>
      <c r="N378" t="s" s="13">
        <v>2744</v>
      </c>
      <c r="O378" s="15">
        <v>66.81999999999999</v>
      </c>
      <c r="P378" s="17" cm="1">
        <f t="array" ref="P378">(I378-I377)/I377</f>
        <v>0.0102769149428326</v>
      </c>
      <c r="Q378" s="8"/>
    </row>
    <row r="379" ht="13.65" customHeight="1">
      <c r="A379" t="s" s="27">
        <v>1294</v>
      </c>
      <c r="B379" t="s" s="13">
        <v>22</v>
      </c>
      <c r="C379" s="31">
        <v>44819</v>
      </c>
      <c r="D379" s="14">
        <v>1528.65</v>
      </c>
      <c r="E379" s="14">
        <v>1530</v>
      </c>
      <c r="F379" s="14">
        <v>1540.95</v>
      </c>
      <c r="G379" s="14">
        <v>1512</v>
      </c>
      <c r="H379" s="14">
        <v>1520.5</v>
      </c>
      <c r="I379" s="14">
        <v>1520.7</v>
      </c>
      <c r="J379" s="14">
        <v>1525.41</v>
      </c>
      <c r="K379" t="s" s="13">
        <v>2745</v>
      </c>
      <c r="L379" t="s" s="13">
        <v>2746</v>
      </c>
      <c r="M379" t="s" s="13">
        <v>2747</v>
      </c>
      <c r="N379" t="s" s="13">
        <v>2748</v>
      </c>
      <c r="O379" s="15">
        <v>60.62</v>
      </c>
      <c r="P379" s="17" cm="1">
        <f t="array" ref="P379">(I379-I378)/I378</f>
        <v>-0.00520066725542145</v>
      </c>
      <c r="Q379" s="8"/>
    </row>
    <row r="380" ht="13.65" customHeight="1">
      <c r="A380" t="s" s="27">
        <v>1294</v>
      </c>
      <c r="B380" t="s" s="13">
        <v>22</v>
      </c>
      <c r="C380" s="31">
        <v>44820</v>
      </c>
      <c r="D380" s="14">
        <v>1520.7</v>
      </c>
      <c r="E380" s="14">
        <v>1503.1</v>
      </c>
      <c r="F380" s="14">
        <v>1514.7</v>
      </c>
      <c r="G380" s="14">
        <v>1483</v>
      </c>
      <c r="H380" s="14">
        <v>1497.5</v>
      </c>
      <c r="I380" s="14">
        <v>1492.75</v>
      </c>
      <c r="J380" s="14">
        <v>1499.18</v>
      </c>
      <c r="K380" t="s" s="13">
        <v>2749</v>
      </c>
      <c r="L380" t="s" s="13">
        <v>2750</v>
      </c>
      <c r="M380" t="s" s="13">
        <v>2751</v>
      </c>
      <c r="N380" t="s" s="13">
        <v>2752</v>
      </c>
      <c r="O380" s="15">
        <v>71.54000000000001</v>
      </c>
      <c r="P380" s="17" cm="1">
        <f t="array" ref="P380">(I380-I379)/I379</f>
        <v>-0.0183796935621753</v>
      </c>
      <c r="Q380" s="8"/>
    </row>
    <row r="381" ht="13.65" customHeight="1">
      <c r="A381" t="s" s="27">
        <v>1294</v>
      </c>
      <c r="B381" t="s" s="13">
        <v>22</v>
      </c>
      <c r="C381" s="31">
        <v>44823</v>
      </c>
      <c r="D381" s="14">
        <v>1492.75</v>
      </c>
      <c r="E381" s="14">
        <v>1489</v>
      </c>
      <c r="F381" s="14">
        <v>1514</v>
      </c>
      <c r="G381" s="14">
        <v>1480</v>
      </c>
      <c r="H381" s="14">
        <v>1504.25</v>
      </c>
      <c r="I381" s="14">
        <v>1502.6</v>
      </c>
      <c r="J381" s="14">
        <v>1501.17</v>
      </c>
      <c r="K381" t="s" s="13">
        <v>2753</v>
      </c>
      <c r="L381" t="s" s="13">
        <v>2754</v>
      </c>
      <c r="M381" t="s" s="13">
        <v>2755</v>
      </c>
      <c r="N381" t="s" s="13">
        <v>2756</v>
      </c>
      <c r="O381" s="15">
        <v>65.94</v>
      </c>
      <c r="P381" s="17" cm="1">
        <f t="array" ref="P381">(I381-I380)/I380</f>
        <v>0.006598559705242</v>
      </c>
      <c r="Q381" s="8"/>
    </row>
    <row r="382" ht="13.65" customHeight="1">
      <c r="A382" t="s" s="27">
        <v>1294</v>
      </c>
      <c r="B382" t="s" s="13">
        <v>22</v>
      </c>
      <c r="C382" s="31">
        <v>44824</v>
      </c>
      <c r="D382" s="14">
        <v>1502.6</v>
      </c>
      <c r="E382" s="14">
        <v>1514</v>
      </c>
      <c r="F382" s="14">
        <v>1524</v>
      </c>
      <c r="G382" s="14">
        <v>1509.9</v>
      </c>
      <c r="H382" s="14">
        <v>1517.55</v>
      </c>
      <c r="I382" s="14">
        <v>1520.7</v>
      </c>
      <c r="J382" s="14">
        <v>1518.57</v>
      </c>
      <c r="K382" t="s" s="13">
        <v>2757</v>
      </c>
      <c r="L382" t="s" s="13">
        <v>2758</v>
      </c>
      <c r="M382" t="s" s="13">
        <v>2759</v>
      </c>
      <c r="N382" t="s" s="13">
        <v>2760</v>
      </c>
      <c r="O382" s="15">
        <v>62.79</v>
      </c>
      <c r="P382" s="17" cm="1">
        <f t="array" ref="P382">(I382-I381)/I381</f>
        <v>0.0120457873020098</v>
      </c>
      <c r="Q382" s="8"/>
    </row>
    <row r="383" ht="13.65" customHeight="1">
      <c r="A383" t="s" s="27">
        <v>1294</v>
      </c>
      <c r="B383" t="s" s="13">
        <v>22</v>
      </c>
      <c r="C383" s="31">
        <v>44825</v>
      </c>
      <c r="D383" s="14">
        <v>1520.7</v>
      </c>
      <c r="E383" s="14">
        <v>1508</v>
      </c>
      <c r="F383" s="14">
        <v>1521.5</v>
      </c>
      <c r="G383" s="14">
        <v>1505</v>
      </c>
      <c r="H383" s="14">
        <v>1517.4</v>
      </c>
      <c r="I383" s="14">
        <v>1518.35</v>
      </c>
      <c r="J383" s="14">
        <v>1515.55</v>
      </c>
      <c r="K383" t="s" s="13">
        <v>2761</v>
      </c>
      <c r="L383" t="s" s="13">
        <v>2762</v>
      </c>
      <c r="M383" t="s" s="13">
        <v>2763</v>
      </c>
      <c r="N383" t="s" s="13">
        <v>2764</v>
      </c>
      <c r="O383" s="15">
        <v>61.49</v>
      </c>
      <c r="P383" s="17" cm="1">
        <f t="array" ref="P383">(I383-I382)/I382</f>
        <v>-0.00154534096139936</v>
      </c>
      <c r="Q383" s="8"/>
    </row>
    <row r="384" ht="13.65" customHeight="1">
      <c r="A384" t="s" s="27">
        <v>1294</v>
      </c>
      <c r="B384" t="s" s="13">
        <v>22</v>
      </c>
      <c r="C384" s="31">
        <v>44826</v>
      </c>
      <c r="D384" s="14">
        <v>1518.35</v>
      </c>
      <c r="E384" s="14">
        <v>1502</v>
      </c>
      <c r="F384" s="14">
        <v>1510.15</v>
      </c>
      <c r="G384" s="14">
        <v>1482.75</v>
      </c>
      <c r="H384" s="14">
        <v>1486.2</v>
      </c>
      <c r="I384" s="14">
        <v>1486</v>
      </c>
      <c r="J384" s="14">
        <v>1494.95</v>
      </c>
      <c r="K384" t="s" s="13">
        <v>2765</v>
      </c>
      <c r="L384" t="s" s="13">
        <v>2766</v>
      </c>
      <c r="M384" t="s" s="13">
        <v>2767</v>
      </c>
      <c r="N384" t="s" s="13">
        <v>2768</v>
      </c>
      <c r="O384" s="15">
        <v>55.4</v>
      </c>
      <c r="P384" s="17" cm="1">
        <f t="array" ref="P384">(I384-I383)/I383</f>
        <v>-0.0213060229854777</v>
      </c>
      <c r="Q384" s="8"/>
    </row>
    <row r="385" ht="13.65" customHeight="1">
      <c r="A385" t="s" s="27">
        <v>1294</v>
      </c>
      <c r="B385" t="s" s="13">
        <v>22</v>
      </c>
      <c r="C385" s="31">
        <v>44827</v>
      </c>
      <c r="D385" s="14">
        <v>1486</v>
      </c>
      <c r="E385" s="14">
        <v>1472.35</v>
      </c>
      <c r="F385" s="14">
        <v>1475</v>
      </c>
      <c r="G385" s="14">
        <v>1437</v>
      </c>
      <c r="H385" s="14">
        <v>1447</v>
      </c>
      <c r="I385" s="14">
        <v>1446.15</v>
      </c>
      <c r="J385" s="14">
        <v>1451.15</v>
      </c>
      <c r="K385" t="s" s="13">
        <v>2769</v>
      </c>
      <c r="L385" t="s" s="13">
        <v>2770</v>
      </c>
      <c r="M385" t="s" s="13">
        <v>2771</v>
      </c>
      <c r="N385" t="s" s="13">
        <v>2772</v>
      </c>
      <c r="O385" s="15">
        <v>59.86</v>
      </c>
      <c r="P385" s="17" cm="1">
        <f t="array" ref="P385">(I385-I384)/I384</f>
        <v>-0.0268169582772544</v>
      </c>
      <c r="Q385" s="8"/>
    </row>
    <row r="386" ht="13.65" customHeight="1">
      <c r="A386" t="s" s="27">
        <v>1294</v>
      </c>
      <c r="B386" t="s" s="13">
        <v>22</v>
      </c>
      <c r="C386" s="31">
        <v>44830</v>
      </c>
      <c r="D386" s="14">
        <v>1446.15</v>
      </c>
      <c r="E386" s="14">
        <v>1425.35</v>
      </c>
      <c r="F386" s="14">
        <v>1436.45</v>
      </c>
      <c r="G386" s="14">
        <v>1418</v>
      </c>
      <c r="H386" s="14">
        <v>1429.8</v>
      </c>
      <c r="I386" s="14">
        <v>1426.65</v>
      </c>
      <c r="J386" s="14">
        <v>1426.27</v>
      </c>
      <c r="K386" t="s" s="13">
        <v>2773</v>
      </c>
      <c r="L386" t="s" s="13">
        <v>2774</v>
      </c>
      <c r="M386" t="s" s="13">
        <v>2775</v>
      </c>
      <c r="N386" t="s" s="13">
        <v>2776</v>
      </c>
      <c r="O386" s="15">
        <v>55.79</v>
      </c>
      <c r="P386" s="17" cm="1">
        <f t="array" ref="P386">(I386-I385)/I385</f>
        <v>-0.0134840784151022</v>
      </c>
      <c r="Q386" s="8"/>
    </row>
    <row r="387" ht="13.65" customHeight="1">
      <c r="A387" t="s" s="27">
        <v>1294</v>
      </c>
      <c r="B387" t="s" s="13">
        <v>22</v>
      </c>
      <c r="C387" s="31">
        <v>44831</v>
      </c>
      <c r="D387" s="14">
        <v>1426.65</v>
      </c>
      <c r="E387" s="14">
        <v>1432.4</v>
      </c>
      <c r="F387" s="14">
        <v>1440</v>
      </c>
      <c r="G387" s="14">
        <v>1407</v>
      </c>
      <c r="H387" s="14">
        <v>1414.65</v>
      </c>
      <c r="I387" s="14">
        <v>1413.85</v>
      </c>
      <c r="J387" s="14">
        <v>1423.81</v>
      </c>
      <c r="K387" t="s" s="13">
        <v>2777</v>
      </c>
      <c r="L387" t="s" s="13">
        <v>2778</v>
      </c>
      <c r="M387" t="s" s="13">
        <v>2779</v>
      </c>
      <c r="N387" t="s" s="13">
        <v>2780</v>
      </c>
      <c r="O387" s="15">
        <v>61.31</v>
      </c>
      <c r="P387" s="17" cm="1">
        <f t="array" ref="P387">(I387-I386)/I386</f>
        <v>-0.008972067430694281</v>
      </c>
      <c r="Q387" s="8"/>
    </row>
    <row r="388" ht="13.65" customHeight="1">
      <c r="A388" t="s" s="27">
        <v>1294</v>
      </c>
      <c r="B388" t="s" s="13">
        <v>22</v>
      </c>
      <c r="C388" s="31">
        <v>44832</v>
      </c>
      <c r="D388" s="14">
        <v>1413.85</v>
      </c>
      <c r="E388" s="14">
        <v>1406</v>
      </c>
      <c r="F388" s="14">
        <v>1410.6</v>
      </c>
      <c r="G388" s="14">
        <v>1385.9</v>
      </c>
      <c r="H388" s="14">
        <v>1387</v>
      </c>
      <c r="I388" s="14">
        <v>1389.55</v>
      </c>
      <c r="J388" s="14">
        <v>1397.25</v>
      </c>
      <c r="K388" t="s" s="13">
        <v>2781</v>
      </c>
      <c r="L388" t="s" s="13">
        <v>2782</v>
      </c>
      <c r="M388" t="s" s="13">
        <v>2783</v>
      </c>
      <c r="N388" t="s" s="13">
        <v>2784</v>
      </c>
      <c r="O388" s="15">
        <v>57.29</v>
      </c>
      <c r="P388" s="17" cm="1">
        <f t="array" ref="P388">(I388-I387)/I387</f>
        <v>-0.0171871132015419</v>
      </c>
      <c r="Q388" s="8"/>
    </row>
    <row r="389" ht="13.65" customHeight="1">
      <c r="A389" t="s" s="27">
        <v>1294</v>
      </c>
      <c r="B389" t="s" s="13">
        <v>22</v>
      </c>
      <c r="C389" s="31">
        <v>44833</v>
      </c>
      <c r="D389" s="14">
        <v>1389.55</v>
      </c>
      <c r="E389" s="14">
        <v>1396.3</v>
      </c>
      <c r="F389" s="14">
        <v>1402.2</v>
      </c>
      <c r="G389" s="14">
        <v>1378.8</v>
      </c>
      <c r="H389" s="14">
        <v>1381.5</v>
      </c>
      <c r="I389" s="14">
        <v>1382.35</v>
      </c>
      <c r="J389" s="14">
        <v>1387.85</v>
      </c>
      <c r="K389" t="s" s="13">
        <v>2785</v>
      </c>
      <c r="L389" t="s" s="13">
        <v>2786</v>
      </c>
      <c r="M389" t="s" s="13">
        <v>2787</v>
      </c>
      <c r="N389" t="s" s="13">
        <v>2788</v>
      </c>
      <c r="O389" s="15">
        <v>65.75</v>
      </c>
      <c r="P389" s="17" cm="1">
        <f t="array" ref="P389">(I389-I388)/I388</f>
        <v>-0.00518153359001115</v>
      </c>
      <c r="Q389" s="8"/>
    </row>
    <row r="390" ht="13.65" customHeight="1">
      <c r="A390" t="s" s="27">
        <v>1294</v>
      </c>
      <c r="B390" t="s" s="13">
        <v>22</v>
      </c>
      <c r="C390" s="31">
        <v>44834</v>
      </c>
      <c r="D390" s="14">
        <v>1382.35</v>
      </c>
      <c r="E390" s="14">
        <v>1378.8</v>
      </c>
      <c r="F390" s="14">
        <v>1431.45</v>
      </c>
      <c r="G390" s="14">
        <v>1365</v>
      </c>
      <c r="H390" s="14">
        <v>1422.05</v>
      </c>
      <c r="I390" s="14">
        <v>1421.35</v>
      </c>
      <c r="J390" s="14">
        <v>1407.93</v>
      </c>
      <c r="K390" t="s" s="13">
        <v>2789</v>
      </c>
      <c r="L390" t="s" s="13">
        <v>2790</v>
      </c>
      <c r="M390" t="s" s="13">
        <v>2791</v>
      </c>
      <c r="N390" t="s" s="13">
        <v>2792</v>
      </c>
      <c r="O390" s="15">
        <v>59.68</v>
      </c>
      <c r="P390" s="17" cm="1">
        <f t="array" ref="P390">(I390-I389)/I389</f>
        <v>0.0282128259847361</v>
      </c>
      <c r="Q390" s="8"/>
    </row>
    <row r="391" ht="13.65" customHeight="1">
      <c r="A391" t="s" s="27">
        <v>1294</v>
      </c>
      <c r="B391" t="s" s="13">
        <v>22</v>
      </c>
      <c r="C391" s="28">
        <v>44837</v>
      </c>
      <c r="D391" s="14">
        <v>1421.35</v>
      </c>
      <c r="E391" s="14">
        <v>1409.95</v>
      </c>
      <c r="F391" s="14">
        <v>1417.85</v>
      </c>
      <c r="G391" s="14">
        <v>1401.1</v>
      </c>
      <c r="H391" s="14">
        <v>1411</v>
      </c>
      <c r="I391" s="14">
        <v>1413.2</v>
      </c>
      <c r="J391" s="14">
        <v>1410.01</v>
      </c>
      <c r="K391" t="s" s="13">
        <v>2793</v>
      </c>
      <c r="L391" t="s" s="13">
        <v>2794</v>
      </c>
      <c r="M391" t="s" s="13">
        <v>2795</v>
      </c>
      <c r="N391" t="s" s="13">
        <v>2796</v>
      </c>
      <c r="O391" s="15">
        <v>66.25</v>
      </c>
      <c r="P391" s="17" cm="1">
        <f t="array" ref="P391">(I391-I390)/I390</f>
        <v>-0.00573398529566961</v>
      </c>
      <c r="Q391" s="8"/>
    </row>
    <row r="392" ht="13.65" customHeight="1">
      <c r="A392" t="s" s="27">
        <v>1294</v>
      </c>
      <c r="B392" t="s" s="13">
        <v>22</v>
      </c>
      <c r="C392" s="28">
        <v>44838</v>
      </c>
      <c r="D392" s="14">
        <v>1413.2</v>
      </c>
      <c r="E392" s="14">
        <v>1429.5</v>
      </c>
      <c r="F392" s="14">
        <v>1458</v>
      </c>
      <c r="G392" s="14">
        <v>1426.15</v>
      </c>
      <c r="H392" s="14">
        <v>1456.15</v>
      </c>
      <c r="I392" s="14">
        <v>1453</v>
      </c>
      <c r="J392" s="14">
        <v>1448.36</v>
      </c>
      <c r="K392" t="s" s="13">
        <v>2797</v>
      </c>
      <c r="L392" t="s" s="13">
        <v>2798</v>
      </c>
      <c r="M392" t="s" s="13">
        <v>2799</v>
      </c>
      <c r="N392" t="s" s="13">
        <v>2800</v>
      </c>
      <c r="O392" s="15">
        <v>68.37</v>
      </c>
      <c r="P392" s="17" cm="1">
        <f t="array" ref="P392">(I392-I391)/I391</f>
        <v>0.028163034248514</v>
      </c>
      <c r="Q392" s="8"/>
    </row>
    <row r="393" ht="13.65" customHeight="1">
      <c r="A393" t="s" s="27">
        <v>1294</v>
      </c>
      <c r="B393" t="s" s="13">
        <v>22</v>
      </c>
      <c r="C393" s="28">
        <v>44840</v>
      </c>
      <c r="D393" s="14">
        <v>1453</v>
      </c>
      <c r="E393" s="14">
        <v>1459.95</v>
      </c>
      <c r="F393" s="14">
        <v>1462.6</v>
      </c>
      <c r="G393" s="14">
        <v>1434.2</v>
      </c>
      <c r="H393" s="14">
        <v>1436</v>
      </c>
      <c r="I393" s="14">
        <v>1437</v>
      </c>
      <c r="J393" s="14">
        <v>1449.04</v>
      </c>
      <c r="K393" t="s" s="13">
        <v>2801</v>
      </c>
      <c r="L393" t="s" s="13">
        <v>2802</v>
      </c>
      <c r="M393" t="s" s="13">
        <v>2803</v>
      </c>
      <c r="N393" t="s" s="13">
        <v>2804</v>
      </c>
      <c r="O393" s="15">
        <v>67.76000000000001</v>
      </c>
      <c r="P393" s="17" cm="1">
        <f t="array" ref="P393">(I393-I392)/I392</f>
        <v>-0.0110116999311769</v>
      </c>
      <c r="Q393" s="8"/>
    </row>
    <row r="394" ht="13.65" customHeight="1">
      <c r="A394" t="s" s="27">
        <v>1294</v>
      </c>
      <c r="B394" t="s" s="13">
        <v>22</v>
      </c>
      <c r="C394" s="28">
        <v>44841</v>
      </c>
      <c r="D394" s="14">
        <v>1437</v>
      </c>
      <c r="E394" s="14">
        <v>1430.25</v>
      </c>
      <c r="F394" s="14">
        <v>1434.95</v>
      </c>
      <c r="G394" s="14">
        <v>1420.35</v>
      </c>
      <c r="H394" s="14">
        <v>1431</v>
      </c>
      <c r="I394" s="14">
        <v>1430.8</v>
      </c>
      <c r="J394" s="14">
        <v>1427.47</v>
      </c>
      <c r="K394" t="s" s="13">
        <v>2805</v>
      </c>
      <c r="L394" t="s" s="13">
        <v>2806</v>
      </c>
      <c r="M394" t="s" s="13">
        <v>2807</v>
      </c>
      <c r="N394" t="s" s="13">
        <v>2808</v>
      </c>
      <c r="O394" s="15">
        <v>73.18000000000001</v>
      </c>
      <c r="P394" s="17" cm="1">
        <f t="array" ref="P394">(I394-I393)/I393</f>
        <v>-0.00431454418928323</v>
      </c>
      <c r="Q394" s="8"/>
    </row>
    <row r="395" ht="13.65" customHeight="1">
      <c r="A395" t="s" s="27">
        <v>1294</v>
      </c>
      <c r="B395" t="s" s="13">
        <v>22</v>
      </c>
      <c r="C395" s="31">
        <v>44844</v>
      </c>
      <c r="D395" s="14">
        <v>1430.8</v>
      </c>
      <c r="E395" s="14">
        <v>1408</v>
      </c>
      <c r="F395" s="14">
        <v>1426</v>
      </c>
      <c r="G395" s="14">
        <v>1398.2</v>
      </c>
      <c r="H395" s="14">
        <v>1415.95</v>
      </c>
      <c r="I395" s="14">
        <v>1415</v>
      </c>
      <c r="J395" s="14">
        <v>1409.21</v>
      </c>
      <c r="K395" t="s" s="13">
        <v>2809</v>
      </c>
      <c r="L395" t="s" s="13">
        <v>2810</v>
      </c>
      <c r="M395" t="s" s="13">
        <v>2811</v>
      </c>
      <c r="N395" t="s" s="13">
        <v>2812</v>
      </c>
      <c r="O395" s="15">
        <v>63.92</v>
      </c>
      <c r="P395" s="17" cm="1">
        <f t="array" ref="P395">(I395-I394)/I394</f>
        <v>-0.011042773273693</v>
      </c>
      <c r="Q395" s="8"/>
    </row>
    <row r="396" ht="13.65" customHeight="1">
      <c r="A396" t="s" s="27">
        <v>1294</v>
      </c>
      <c r="B396" t="s" s="13">
        <v>22</v>
      </c>
      <c r="C396" s="31">
        <v>44845</v>
      </c>
      <c r="D396" s="14">
        <v>1415</v>
      </c>
      <c r="E396" s="14">
        <v>1401.1</v>
      </c>
      <c r="F396" s="14">
        <v>1417</v>
      </c>
      <c r="G396" s="14">
        <v>1399.45</v>
      </c>
      <c r="H396" s="14">
        <v>1401.75</v>
      </c>
      <c r="I396" s="14">
        <v>1400.65</v>
      </c>
      <c r="J396" s="14">
        <v>1406.63</v>
      </c>
      <c r="K396" t="s" s="13">
        <v>2813</v>
      </c>
      <c r="L396" t="s" s="13">
        <v>2814</v>
      </c>
      <c r="M396" t="s" s="13">
        <v>2815</v>
      </c>
      <c r="N396" t="s" s="13">
        <v>2816</v>
      </c>
      <c r="O396" s="15">
        <v>70.89</v>
      </c>
      <c r="P396" s="17" cm="1">
        <f t="array" ref="P396">(I396-I395)/I395</f>
        <v>-0.0101413427561837</v>
      </c>
      <c r="Q396" s="8"/>
    </row>
    <row r="397" ht="13.65" customHeight="1">
      <c r="A397" t="s" s="27">
        <v>1294</v>
      </c>
      <c r="B397" t="s" s="13">
        <v>22</v>
      </c>
      <c r="C397" s="31">
        <v>44846</v>
      </c>
      <c r="D397" s="14">
        <v>1400.65</v>
      </c>
      <c r="E397" s="14">
        <v>1403.2</v>
      </c>
      <c r="F397" s="14">
        <v>1414.85</v>
      </c>
      <c r="G397" s="14">
        <v>1397.3</v>
      </c>
      <c r="H397" s="14">
        <v>1410.75</v>
      </c>
      <c r="I397" s="14">
        <v>1409.8</v>
      </c>
      <c r="J397" s="14">
        <v>1406.74</v>
      </c>
      <c r="K397" t="s" s="13">
        <v>2817</v>
      </c>
      <c r="L397" t="s" s="13">
        <v>2818</v>
      </c>
      <c r="M397" t="s" s="13">
        <v>2819</v>
      </c>
      <c r="N397" t="s" s="13">
        <v>2820</v>
      </c>
      <c r="O397" s="15">
        <v>64.39</v>
      </c>
      <c r="P397" s="17" cm="1">
        <f t="array" ref="P397">(I397-I396)/I396</f>
        <v>0.00653268125513155</v>
      </c>
      <c r="Q397" s="8"/>
    </row>
    <row r="398" ht="13.65" customHeight="1">
      <c r="A398" t="s" s="27">
        <v>1294</v>
      </c>
      <c r="B398" t="s" s="13">
        <v>22</v>
      </c>
      <c r="C398" s="31">
        <v>44847</v>
      </c>
      <c r="D398" s="14">
        <v>1409.8</v>
      </c>
      <c r="E398" s="14">
        <v>1402.05</v>
      </c>
      <c r="F398" s="14">
        <v>1406.25</v>
      </c>
      <c r="G398" s="14">
        <v>1384</v>
      </c>
      <c r="H398" s="14">
        <v>1396</v>
      </c>
      <c r="I398" s="14">
        <v>1393.6</v>
      </c>
      <c r="J398" s="14">
        <v>1392.46</v>
      </c>
      <c r="K398" t="s" s="13">
        <v>2821</v>
      </c>
      <c r="L398" t="s" s="13">
        <v>2822</v>
      </c>
      <c r="M398" t="s" s="13">
        <v>2823</v>
      </c>
      <c r="N398" t="s" s="13">
        <v>2824</v>
      </c>
      <c r="O398" s="15">
        <v>67.37</v>
      </c>
      <c r="P398" s="17" cm="1">
        <f t="array" ref="P398">(I398-I397)/I397</f>
        <v>-0.0114909916300184</v>
      </c>
      <c r="Q398" s="8"/>
    </row>
    <row r="399" ht="13.65" customHeight="1">
      <c r="A399" t="s" s="27">
        <v>1294</v>
      </c>
      <c r="B399" t="s" s="13">
        <v>22</v>
      </c>
      <c r="C399" s="31">
        <v>44848</v>
      </c>
      <c r="D399" s="14">
        <v>1393.6</v>
      </c>
      <c r="E399" s="14">
        <v>1417</v>
      </c>
      <c r="F399" s="14">
        <v>1447</v>
      </c>
      <c r="G399" s="14">
        <v>1415.25</v>
      </c>
      <c r="H399" s="14">
        <v>1446</v>
      </c>
      <c r="I399" s="14">
        <v>1439</v>
      </c>
      <c r="J399" s="14">
        <v>1434.65</v>
      </c>
      <c r="K399" t="s" s="13">
        <v>2825</v>
      </c>
      <c r="L399" t="s" s="13">
        <v>2826</v>
      </c>
      <c r="M399" t="s" s="13">
        <v>2827</v>
      </c>
      <c r="N399" t="s" s="13">
        <v>2828</v>
      </c>
      <c r="O399" s="15">
        <v>48.47</v>
      </c>
      <c r="P399" s="17" cm="1">
        <f t="array" ref="P399">(I399-I398)/I398</f>
        <v>0.0325774971297359</v>
      </c>
      <c r="Q399" s="8"/>
    </row>
    <row r="400" ht="13.65" customHeight="1">
      <c r="A400" t="s" s="27">
        <v>1294</v>
      </c>
      <c r="B400" t="s" s="13">
        <v>22</v>
      </c>
      <c r="C400" s="31">
        <v>44851</v>
      </c>
      <c r="D400" s="14">
        <v>1439</v>
      </c>
      <c r="E400" s="14">
        <v>1435</v>
      </c>
      <c r="F400" s="14">
        <v>1457.6</v>
      </c>
      <c r="G400" s="14">
        <v>1427</v>
      </c>
      <c r="H400" s="14">
        <v>1445.45</v>
      </c>
      <c r="I400" s="14">
        <v>1446.55</v>
      </c>
      <c r="J400" s="14">
        <v>1443.39</v>
      </c>
      <c r="K400" t="s" s="13">
        <v>2829</v>
      </c>
      <c r="L400" t="s" s="13">
        <v>2830</v>
      </c>
      <c r="M400" t="s" s="13">
        <v>2831</v>
      </c>
      <c r="N400" t="s" s="13">
        <v>2832</v>
      </c>
      <c r="O400" s="15">
        <v>47.49</v>
      </c>
      <c r="P400" s="17" cm="1">
        <f t="array" ref="P400">(I400-I399)/I399</f>
        <v>0.00524669909659486</v>
      </c>
      <c r="Q400" s="8"/>
    </row>
    <row r="401" ht="13.65" customHeight="1">
      <c r="A401" t="s" s="27">
        <v>1294</v>
      </c>
      <c r="B401" t="s" s="13">
        <v>22</v>
      </c>
      <c r="C401" s="31">
        <v>44852</v>
      </c>
      <c r="D401" s="14">
        <v>1446.55</v>
      </c>
      <c r="E401" s="14">
        <v>1458.05</v>
      </c>
      <c r="F401" s="14">
        <v>1462.9</v>
      </c>
      <c r="G401" s="14">
        <v>1440</v>
      </c>
      <c r="H401" s="14">
        <v>1442.85</v>
      </c>
      <c r="I401" s="14">
        <v>1443.85</v>
      </c>
      <c r="J401" s="14">
        <v>1449.88</v>
      </c>
      <c r="K401" t="s" s="13">
        <v>2833</v>
      </c>
      <c r="L401" t="s" s="13">
        <v>2834</v>
      </c>
      <c r="M401" t="s" s="13">
        <v>2835</v>
      </c>
      <c r="N401" t="s" s="13">
        <v>2836</v>
      </c>
      <c r="O401" s="15">
        <v>61.11</v>
      </c>
      <c r="P401" s="17" cm="1">
        <f t="array" ref="P401">(I401-I400)/I400</f>
        <v>-0.00186650997200235</v>
      </c>
      <c r="Q401" s="8"/>
    </row>
    <row r="402" ht="13.65" customHeight="1">
      <c r="A402" t="s" s="27">
        <v>1294</v>
      </c>
      <c r="B402" t="s" s="13">
        <v>22</v>
      </c>
      <c r="C402" s="31">
        <v>44853</v>
      </c>
      <c r="D402" s="14">
        <v>1443.85</v>
      </c>
      <c r="E402" s="14">
        <v>1464</v>
      </c>
      <c r="F402" s="14">
        <v>1477.4</v>
      </c>
      <c r="G402" s="14">
        <v>1453.4</v>
      </c>
      <c r="H402" s="14">
        <v>1459.95</v>
      </c>
      <c r="I402" s="14">
        <v>1458.65</v>
      </c>
      <c r="J402" s="14">
        <v>1464.96</v>
      </c>
      <c r="K402" t="s" s="13">
        <v>2837</v>
      </c>
      <c r="L402" t="s" s="13">
        <v>2838</v>
      </c>
      <c r="M402" t="s" s="13">
        <v>2839</v>
      </c>
      <c r="N402" t="s" s="13">
        <v>2840</v>
      </c>
      <c r="O402" s="15">
        <v>54.66</v>
      </c>
      <c r="P402" s="17" cm="1">
        <f t="array" ref="P402">(I402-I401)/I401</f>
        <v>0.0102503722685875</v>
      </c>
      <c r="Q402" s="8"/>
    </row>
    <row r="403" ht="13.65" customHeight="1">
      <c r="A403" t="s" s="27">
        <v>1294</v>
      </c>
      <c r="B403" t="s" s="13">
        <v>22</v>
      </c>
      <c r="C403" s="31">
        <v>44854</v>
      </c>
      <c r="D403" s="14">
        <v>1458.65</v>
      </c>
      <c r="E403" s="14">
        <v>1444</v>
      </c>
      <c r="F403" s="14">
        <v>1452.9</v>
      </c>
      <c r="G403" s="14">
        <v>1442.5</v>
      </c>
      <c r="H403" s="14">
        <v>1449.05</v>
      </c>
      <c r="I403" s="14">
        <v>1448.8</v>
      </c>
      <c r="J403" s="14">
        <v>1447.55</v>
      </c>
      <c r="K403" t="s" s="13">
        <v>2841</v>
      </c>
      <c r="L403" t="s" s="13">
        <v>2842</v>
      </c>
      <c r="M403" t="s" s="13">
        <v>2843</v>
      </c>
      <c r="N403" t="s" s="13">
        <v>2844</v>
      </c>
      <c r="O403" s="15">
        <v>63.6</v>
      </c>
      <c r="P403" s="17" cm="1">
        <f t="array" ref="P403">(I403-I402)/I402</f>
        <v>-0.00675281938779008</v>
      </c>
      <c r="Q403" s="8"/>
    </row>
    <row r="404" ht="13.65" customHeight="1">
      <c r="A404" t="s" s="27">
        <v>1294</v>
      </c>
      <c r="B404" t="s" s="13">
        <v>22</v>
      </c>
      <c r="C404" s="31">
        <v>44855</v>
      </c>
      <c r="D404" s="14">
        <v>1448.8</v>
      </c>
      <c r="E404" s="14">
        <v>1452</v>
      </c>
      <c r="F404" s="14">
        <v>1457.65</v>
      </c>
      <c r="G404" s="14">
        <v>1434</v>
      </c>
      <c r="H404" s="14">
        <v>1442.3</v>
      </c>
      <c r="I404" s="14">
        <v>1438.6</v>
      </c>
      <c r="J404" s="14">
        <v>1446.76</v>
      </c>
      <c r="K404" t="s" s="13">
        <v>2845</v>
      </c>
      <c r="L404" t="s" s="13">
        <v>2846</v>
      </c>
      <c r="M404" t="s" s="13">
        <v>2847</v>
      </c>
      <c r="N404" t="s" s="13">
        <v>2848</v>
      </c>
      <c r="O404" s="15">
        <v>64.01000000000001</v>
      </c>
      <c r="P404" s="17" cm="1">
        <f t="array" ref="P404">(I404-I403)/I403</f>
        <v>-0.00704030922142463</v>
      </c>
      <c r="Q404" s="8"/>
    </row>
    <row r="405" ht="13.65" customHeight="1">
      <c r="A405" t="s" s="27">
        <v>1294</v>
      </c>
      <c r="B405" t="s" s="13">
        <v>22</v>
      </c>
      <c r="C405" s="31">
        <v>44858</v>
      </c>
      <c r="D405" s="14">
        <v>1438.6</v>
      </c>
      <c r="E405" s="14">
        <v>1454.3</v>
      </c>
      <c r="F405" s="14">
        <v>1463</v>
      </c>
      <c r="G405" s="14">
        <v>1454.3</v>
      </c>
      <c r="H405" s="14">
        <v>1458.85</v>
      </c>
      <c r="I405" s="14">
        <v>1461.05</v>
      </c>
      <c r="J405" s="14">
        <v>1460.44</v>
      </c>
      <c r="K405" t="s" s="13">
        <v>2849</v>
      </c>
      <c r="L405" t="s" s="13">
        <v>2850</v>
      </c>
      <c r="M405" s="34">
        <v>44924</v>
      </c>
      <c r="N405" t="s" s="13">
        <v>2851</v>
      </c>
      <c r="O405" s="15">
        <v>43.08</v>
      </c>
      <c r="P405" s="17" cm="1">
        <f t="array" ref="P405">(I405-I404)/I404</f>
        <v>0.0156054497428055</v>
      </c>
      <c r="Q405" s="8"/>
    </row>
    <row r="406" ht="13.65" customHeight="1">
      <c r="A406" t="s" s="27">
        <v>1294</v>
      </c>
      <c r="B406" t="s" s="13">
        <v>22</v>
      </c>
      <c r="C406" s="31">
        <v>44859</v>
      </c>
      <c r="D406" s="14">
        <v>1461.05</v>
      </c>
      <c r="E406" s="14">
        <v>1461.1</v>
      </c>
      <c r="F406" s="14">
        <v>1467.8</v>
      </c>
      <c r="G406" s="14">
        <v>1445</v>
      </c>
      <c r="H406" s="14">
        <v>1447.4</v>
      </c>
      <c r="I406" s="14">
        <v>1450.9</v>
      </c>
      <c r="J406" s="14">
        <v>1456.91</v>
      </c>
      <c r="K406" t="s" s="13">
        <v>2852</v>
      </c>
      <c r="L406" t="s" s="13">
        <v>2853</v>
      </c>
      <c r="M406" t="s" s="13">
        <v>2854</v>
      </c>
      <c r="N406" t="s" s="13">
        <v>2855</v>
      </c>
      <c r="O406" s="15">
        <v>73.87</v>
      </c>
      <c r="P406" s="17" cm="1">
        <f t="array" ref="P406">(I406-I405)/I405</f>
        <v>-0.00694705862222374</v>
      </c>
      <c r="Q406" s="8"/>
    </row>
    <row r="407" ht="13.65" customHeight="1">
      <c r="A407" t="s" s="27">
        <v>1294</v>
      </c>
      <c r="B407" t="s" s="13">
        <v>22</v>
      </c>
      <c r="C407" s="31">
        <v>44861</v>
      </c>
      <c r="D407" s="14">
        <v>1450.9</v>
      </c>
      <c r="E407" s="14">
        <v>1464.5</v>
      </c>
      <c r="F407" s="14">
        <v>1467.35</v>
      </c>
      <c r="G407" s="14">
        <v>1451.25</v>
      </c>
      <c r="H407" s="14">
        <v>1456</v>
      </c>
      <c r="I407" s="14">
        <v>1454.4</v>
      </c>
      <c r="J407" s="14">
        <v>1457.9</v>
      </c>
      <c r="K407" t="s" s="13">
        <v>2856</v>
      </c>
      <c r="L407" t="s" s="13">
        <v>2857</v>
      </c>
      <c r="M407" t="s" s="13">
        <v>2858</v>
      </c>
      <c r="N407" t="s" s="13">
        <v>2859</v>
      </c>
      <c r="O407" s="15">
        <v>77.69</v>
      </c>
      <c r="P407" s="17" cm="1">
        <f t="array" ref="P407">(I407-I406)/I406</f>
        <v>0.00241229581638983</v>
      </c>
      <c r="Q407" s="8"/>
    </row>
    <row r="408" ht="13.65" customHeight="1">
      <c r="A408" t="s" s="27">
        <v>1294</v>
      </c>
      <c r="B408" t="s" s="13">
        <v>22</v>
      </c>
      <c r="C408" s="31">
        <v>44862</v>
      </c>
      <c r="D408" s="14">
        <v>1454.4</v>
      </c>
      <c r="E408" s="14">
        <v>1450</v>
      </c>
      <c r="F408" s="14">
        <v>1467</v>
      </c>
      <c r="G408" s="14">
        <v>1447.4</v>
      </c>
      <c r="H408" s="14">
        <v>1459.95</v>
      </c>
      <c r="I408" s="14">
        <v>1458.7</v>
      </c>
      <c r="J408" s="14">
        <v>1459.47</v>
      </c>
      <c r="K408" t="s" s="13">
        <v>2860</v>
      </c>
      <c r="L408" t="s" s="13">
        <v>2861</v>
      </c>
      <c r="M408" t="s" s="13">
        <v>2862</v>
      </c>
      <c r="N408" t="s" s="13">
        <v>2863</v>
      </c>
      <c r="O408" s="15">
        <v>62.95</v>
      </c>
      <c r="P408" s="17" cm="1">
        <f t="array" ref="P408">(I408-I407)/I407</f>
        <v>0.00295654565456546</v>
      </c>
      <c r="Q408" s="8"/>
    </row>
    <row r="409" ht="13.65" customHeight="1">
      <c r="A409" t="s" s="27">
        <v>1294</v>
      </c>
      <c r="B409" t="s" s="13">
        <v>22</v>
      </c>
      <c r="C409" s="31">
        <v>44865</v>
      </c>
      <c r="D409" s="14">
        <v>1458.7</v>
      </c>
      <c r="E409" s="14">
        <v>1472</v>
      </c>
      <c r="F409" s="14">
        <v>1498</v>
      </c>
      <c r="G409" s="14">
        <v>1467.25</v>
      </c>
      <c r="H409" s="14">
        <v>1495.9</v>
      </c>
      <c r="I409" s="14">
        <v>1496.7</v>
      </c>
      <c r="J409" s="14">
        <v>1487.44</v>
      </c>
      <c r="K409" t="s" s="13">
        <v>2864</v>
      </c>
      <c r="L409" t="s" s="13">
        <v>2865</v>
      </c>
      <c r="M409" t="s" s="13">
        <v>2866</v>
      </c>
      <c r="N409" t="s" s="13">
        <v>2867</v>
      </c>
      <c r="O409" s="15">
        <v>60.78</v>
      </c>
      <c r="P409" s="17" cm="1">
        <f t="array" ref="P409">(I409-I408)/I408</f>
        <v>0.0260505929937616</v>
      </c>
      <c r="Q409" s="8"/>
    </row>
    <row r="410" ht="13.65" customHeight="1">
      <c r="A410" t="s" s="27">
        <v>1294</v>
      </c>
      <c r="B410" t="s" s="13">
        <v>22</v>
      </c>
      <c r="C410" s="28">
        <v>44866</v>
      </c>
      <c r="D410" s="14">
        <v>1496.7</v>
      </c>
      <c r="E410" s="14">
        <v>1503.5</v>
      </c>
      <c r="F410" s="14">
        <v>1529</v>
      </c>
      <c r="G410" s="14">
        <v>1498.9</v>
      </c>
      <c r="H410" s="14">
        <v>1513.5</v>
      </c>
      <c r="I410" s="14">
        <v>1513.25</v>
      </c>
      <c r="J410" s="14">
        <v>1519.63</v>
      </c>
      <c r="K410" t="s" s="13">
        <v>2868</v>
      </c>
      <c r="L410" t="s" s="13">
        <v>2869</v>
      </c>
      <c r="M410" t="s" s="13">
        <v>2870</v>
      </c>
      <c r="N410" t="s" s="13">
        <v>2871</v>
      </c>
      <c r="O410" s="15">
        <v>70.06999999999999</v>
      </c>
      <c r="P410" s="17" cm="1">
        <f t="array" ref="P410">(I410-I409)/I409</f>
        <v>0.011057660185742</v>
      </c>
      <c r="Q410" s="8"/>
    </row>
    <row r="411" ht="13.65" customHeight="1">
      <c r="A411" t="s" s="27">
        <v>1294</v>
      </c>
      <c r="B411" t="s" s="13">
        <v>22</v>
      </c>
      <c r="C411" s="28">
        <v>44867</v>
      </c>
      <c r="D411" s="14">
        <v>1513.25</v>
      </c>
      <c r="E411" s="14">
        <v>1517</v>
      </c>
      <c r="F411" s="14">
        <v>1528.25</v>
      </c>
      <c r="G411" s="14">
        <v>1511.6</v>
      </c>
      <c r="H411" s="14">
        <v>1514.95</v>
      </c>
      <c r="I411" s="14">
        <v>1514.2</v>
      </c>
      <c r="J411" s="14">
        <v>1520.14</v>
      </c>
      <c r="K411" t="s" s="13">
        <v>2872</v>
      </c>
      <c r="L411" t="s" s="13">
        <v>2873</v>
      </c>
      <c r="M411" t="s" s="13">
        <v>2874</v>
      </c>
      <c r="N411" t="s" s="13">
        <v>2875</v>
      </c>
      <c r="O411" s="15">
        <v>67.86</v>
      </c>
      <c r="P411" s="17" cm="1">
        <f t="array" ref="P411">(I411-I410)/I410</f>
        <v>0.000627787873781596</v>
      </c>
      <c r="Q411" s="8"/>
    </row>
    <row r="412" ht="13.65" customHeight="1">
      <c r="A412" t="s" s="27">
        <v>1294</v>
      </c>
      <c r="B412" t="s" s="13">
        <v>22</v>
      </c>
      <c r="C412" s="28">
        <v>44868</v>
      </c>
      <c r="D412" s="14">
        <v>1514.2</v>
      </c>
      <c r="E412" s="14">
        <v>1497.7</v>
      </c>
      <c r="F412" s="14">
        <v>1520.25</v>
      </c>
      <c r="G412" s="14">
        <v>1497</v>
      </c>
      <c r="H412" s="14">
        <v>1507.45</v>
      </c>
      <c r="I412" s="14">
        <v>1507.55</v>
      </c>
      <c r="J412" s="14">
        <v>1511.46</v>
      </c>
      <c r="K412" t="s" s="13">
        <v>2876</v>
      </c>
      <c r="L412" t="s" s="13">
        <v>2877</v>
      </c>
      <c r="M412" t="s" s="13">
        <v>2878</v>
      </c>
      <c r="N412" t="s" s="13">
        <v>2879</v>
      </c>
      <c r="O412" s="15">
        <v>57.28</v>
      </c>
      <c r="P412" s="17" cm="1">
        <f t="array" ref="P412">(I412-I411)/I411</f>
        <v>-0.0043917580240391</v>
      </c>
      <c r="Q412" s="8"/>
    </row>
    <row r="413" ht="13.65" customHeight="1">
      <c r="A413" t="s" s="27">
        <v>1294</v>
      </c>
      <c r="B413" t="s" s="13">
        <v>22</v>
      </c>
      <c r="C413" s="28">
        <v>44869</v>
      </c>
      <c r="D413" s="14">
        <v>1507.55</v>
      </c>
      <c r="E413" s="14">
        <v>1503.2</v>
      </c>
      <c r="F413" s="14">
        <v>1516.1</v>
      </c>
      <c r="G413" s="14">
        <v>1489.6</v>
      </c>
      <c r="H413" s="14">
        <v>1497.1</v>
      </c>
      <c r="I413" s="14">
        <v>1497.15</v>
      </c>
      <c r="J413" s="14">
        <v>1497.96</v>
      </c>
      <c r="K413" t="s" s="13">
        <v>2880</v>
      </c>
      <c r="L413" t="s" s="13">
        <v>2881</v>
      </c>
      <c r="M413" t="s" s="13">
        <v>2882</v>
      </c>
      <c r="N413" t="s" s="13">
        <v>2883</v>
      </c>
      <c r="O413" s="15">
        <v>66.44</v>
      </c>
      <c r="P413" s="17" cm="1">
        <f t="array" ref="P413">(I413-I412)/I412</f>
        <v>-0.00689861032801565</v>
      </c>
      <c r="Q413" s="8"/>
    </row>
    <row r="414" ht="13.65" customHeight="1">
      <c r="A414" t="s" s="27">
        <v>1294</v>
      </c>
      <c r="B414" t="s" s="13">
        <v>22</v>
      </c>
      <c r="C414" s="28">
        <v>44872</v>
      </c>
      <c r="D414" s="14">
        <v>1497.15</v>
      </c>
      <c r="E414" s="14">
        <v>1510</v>
      </c>
      <c r="F414" s="14">
        <v>1512</v>
      </c>
      <c r="G414" s="14">
        <v>1492.1</v>
      </c>
      <c r="H414" s="14">
        <v>1510.25</v>
      </c>
      <c r="I414" s="14">
        <v>1508.8</v>
      </c>
      <c r="J414" s="14">
        <v>1501.97</v>
      </c>
      <c r="K414" t="s" s="13">
        <v>2884</v>
      </c>
      <c r="L414" t="s" s="13">
        <v>2885</v>
      </c>
      <c r="M414" t="s" s="13">
        <v>2886</v>
      </c>
      <c r="N414" t="s" s="13">
        <v>2887</v>
      </c>
      <c r="O414" s="15">
        <v>63.12</v>
      </c>
      <c r="P414" s="17" cm="1">
        <f t="array" ref="P414">(I414-I413)/I413</f>
        <v>0.00778145142437298</v>
      </c>
      <c r="Q414" s="8"/>
    </row>
    <row r="415" ht="13.65" customHeight="1">
      <c r="A415" t="s" s="27">
        <v>1294</v>
      </c>
      <c r="B415" t="s" s="13">
        <v>22</v>
      </c>
      <c r="C415" s="28">
        <v>44874</v>
      </c>
      <c r="D415" s="14">
        <v>1508.8</v>
      </c>
      <c r="E415" s="14">
        <v>1515.05</v>
      </c>
      <c r="F415" s="14">
        <v>1517.95</v>
      </c>
      <c r="G415" s="14">
        <v>1504</v>
      </c>
      <c r="H415" s="14">
        <v>1508</v>
      </c>
      <c r="I415" s="14">
        <v>1508.35</v>
      </c>
      <c r="J415" s="14">
        <v>1511.66</v>
      </c>
      <c r="K415" t="s" s="13">
        <v>2888</v>
      </c>
      <c r="L415" t="s" s="13">
        <v>2889</v>
      </c>
      <c r="M415" s="34">
        <v>99843</v>
      </c>
      <c r="N415" t="s" s="13">
        <v>2890</v>
      </c>
      <c r="O415" s="15">
        <v>63.56</v>
      </c>
      <c r="P415" s="17" cm="1">
        <f t="array" ref="P415">(I415-I414)/I414</f>
        <v>-0.000298250265111347</v>
      </c>
      <c r="Q415" s="8"/>
    </row>
    <row r="416" ht="13.65" customHeight="1">
      <c r="A416" t="s" s="27">
        <v>1294</v>
      </c>
      <c r="B416" t="s" s="13">
        <v>22</v>
      </c>
      <c r="C416" s="31">
        <v>44875</v>
      </c>
      <c r="D416" s="14">
        <v>1508.35</v>
      </c>
      <c r="E416" s="14">
        <v>1497.1</v>
      </c>
      <c r="F416" s="14">
        <v>1527</v>
      </c>
      <c r="G416" s="14">
        <v>1495.05</v>
      </c>
      <c r="H416" s="14">
        <v>1527</v>
      </c>
      <c r="I416" s="14">
        <v>1524.75</v>
      </c>
      <c r="J416" s="14">
        <v>1511.37</v>
      </c>
      <c r="K416" t="s" s="13">
        <v>2891</v>
      </c>
      <c r="L416" t="s" s="13">
        <v>2892</v>
      </c>
      <c r="M416" t="s" s="13">
        <v>2893</v>
      </c>
      <c r="N416" t="s" s="13">
        <v>2894</v>
      </c>
      <c r="O416" s="15">
        <v>66.92</v>
      </c>
      <c r="P416" s="17" cm="1">
        <f t="array" ref="P416">(I416-I415)/I415</f>
        <v>0.0108728080352703</v>
      </c>
      <c r="Q416" s="8"/>
    </row>
    <row r="417" ht="13.65" customHeight="1">
      <c r="A417" t="s" s="27">
        <v>1294</v>
      </c>
      <c r="B417" t="s" s="13">
        <v>22</v>
      </c>
      <c r="C417" s="31">
        <v>44876</v>
      </c>
      <c r="D417" s="14">
        <v>1524.75</v>
      </c>
      <c r="E417" s="14">
        <v>1545</v>
      </c>
      <c r="F417" s="14">
        <v>1637</v>
      </c>
      <c r="G417" s="14">
        <v>1538</v>
      </c>
      <c r="H417" s="14">
        <v>1611.9</v>
      </c>
      <c r="I417" s="14">
        <v>1611.15</v>
      </c>
      <c r="J417" s="14">
        <v>1599.68</v>
      </c>
      <c r="K417" t="s" s="13">
        <v>2895</v>
      </c>
      <c r="L417" t="s" s="13">
        <v>2896</v>
      </c>
      <c r="M417" t="s" s="13">
        <v>2897</v>
      </c>
      <c r="N417" t="s" s="13">
        <v>2898</v>
      </c>
      <c r="O417" s="15">
        <v>54.01</v>
      </c>
      <c r="P417" s="17" cm="1">
        <f t="array" ref="P417">(I417-I416)/I416</f>
        <v>0.0566650270536153</v>
      </c>
      <c r="Q417" s="8"/>
    </row>
    <row r="418" ht="13.65" customHeight="1">
      <c r="A418" t="s" s="27">
        <v>1294</v>
      </c>
      <c r="B418" t="s" s="13">
        <v>22</v>
      </c>
      <c r="C418" s="31">
        <v>44879</v>
      </c>
      <c r="D418" s="14">
        <v>1611.15</v>
      </c>
      <c r="E418" s="14">
        <v>1612</v>
      </c>
      <c r="F418" s="14">
        <v>1628</v>
      </c>
      <c r="G418" s="14">
        <v>1598</v>
      </c>
      <c r="H418" s="14">
        <v>1615</v>
      </c>
      <c r="I418" s="14">
        <v>1615.05</v>
      </c>
      <c r="J418" s="14">
        <v>1613.89</v>
      </c>
      <c r="K418" t="s" s="13">
        <v>2899</v>
      </c>
      <c r="L418" t="s" s="13">
        <v>2900</v>
      </c>
      <c r="M418" t="s" s="13">
        <v>2901</v>
      </c>
      <c r="N418" t="s" s="13">
        <v>2902</v>
      </c>
      <c r="O418" s="15">
        <v>66.09</v>
      </c>
      <c r="P418" s="17" cm="1">
        <f t="array" ref="P418">(I418-I417)/I417</f>
        <v>0.00242063122614282</v>
      </c>
      <c r="Q418" s="8"/>
    </row>
    <row r="419" ht="13.65" customHeight="1">
      <c r="A419" t="s" s="27">
        <v>1294</v>
      </c>
      <c r="B419" t="s" s="13">
        <v>22</v>
      </c>
      <c r="C419" s="31">
        <v>44880</v>
      </c>
      <c r="D419" s="14">
        <v>1615.05</v>
      </c>
      <c r="E419" s="14">
        <v>1623.15</v>
      </c>
      <c r="F419" s="14">
        <v>1623.15</v>
      </c>
      <c r="G419" s="14">
        <v>1605.25</v>
      </c>
      <c r="H419" s="14">
        <v>1622</v>
      </c>
      <c r="I419" s="14">
        <v>1619</v>
      </c>
      <c r="J419" s="14">
        <v>1614.94</v>
      </c>
      <c r="K419" t="s" s="13">
        <v>2903</v>
      </c>
      <c r="L419" t="s" s="13">
        <v>2904</v>
      </c>
      <c r="M419" t="s" s="13">
        <v>2905</v>
      </c>
      <c r="N419" t="s" s="13">
        <v>2906</v>
      </c>
      <c r="O419" s="15">
        <v>62.94</v>
      </c>
      <c r="P419" s="17" cm="1">
        <f t="array" ref="P419">(I419-I418)/I418</f>
        <v>0.00244574471378595</v>
      </c>
      <c r="Q419" s="8"/>
    </row>
    <row r="420" ht="13.65" customHeight="1">
      <c r="A420" t="s" s="27">
        <v>1294</v>
      </c>
      <c r="B420" t="s" s="13">
        <v>22</v>
      </c>
      <c r="C420" s="31">
        <v>44881</v>
      </c>
      <c r="D420" s="14">
        <v>1619</v>
      </c>
      <c r="E420" s="14">
        <v>1618.65</v>
      </c>
      <c r="F420" s="14">
        <v>1642</v>
      </c>
      <c r="G420" s="14">
        <v>1612</v>
      </c>
      <c r="H420" s="14">
        <v>1630</v>
      </c>
      <c r="I420" s="14">
        <v>1632.9</v>
      </c>
      <c r="J420" s="14">
        <v>1630.44</v>
      </c>
      <c r="K420" t="s" s="13">
        <v>2907</v>
      </c>
      <c r="L420" t="s" s="13">
        <v>2908</v>
      </c>
      <c r="M420" t="s" s="13">
        <v>2909</v>
      </c>
      <c r="N420" t="s" s="13">
        <v>2910</v>
      </c>
      <c r="O420" s="15">
        <v>58.24</v>
      </c>
      <c r="P420" s="17" cm="1">
        <f t="array" ref="P420">(I420-I419)/I419</f>
        <v>0.00858554663372452</v>
      </c>
      <c r="Q420" s="8"/>
    </row>
    <row r="421" ht="13.65" customHeight="1">
      <c r="A421" t="s" s="27">
        <v>1294</v>
      </c>
      <c r="B421" t="s" s="13">
        <v>22</v>
      </c>
      <c r="C421" s="31">
        <v>44882</v>
      </c>
      <c r="D421" s="14">
        <v>1632.9</v>
      </c>
      <c r="E421" s="14">
        <v>1618.1</v>
      </c>
      <c r="F421" s="14">
        <v>1631.55</v>
      </c>
      <c r="G421" s="14">
        <v>1613.9</v>
      </c>
      <c r="H421" s="14">
        <v>1617</v>
      </c>
      <c r="I421" s="14">
        <v>1618.15</v>
      </c>
      <c r="J421" s="14">
        <v>1623.76</v>
      </c>
      <c r="K421" t="s" s="13">
        <v>2911</v>
      </c>
      <c r="L421" t="s" s="13">
        <v>2912</v>
      </c>
      <c r="M421" t="s" s="13">
        <v>2913</v>
      </c>
      <c r="N421" t="s" s="13">
        <v>2914</v>
      </c>
      <c r="O421" s="15">
        <v>63.72</v>
      </c>
      <c r="P421" s="17" cm="1">
        <f t="array" ref="P421">(I421-I420)/I420</f>
        <v>-0.00903300875742544</v>
      </c>
      <c r="Q421" s="8"/>
    </row>
    <row r="422" ht="13.65" customHeight="1">
      <c r="A422" t="s" s="27">
        <v>1294</v>
      </c>
      <c r="B422" t="s" s="13">
        <v>22</v>
      </c>
      <c r="C422" s="31">
        <v>44883</v>
      </c>
      <c r="D422" s="14">
        <v>1618.15</v>
      </c>
      <c r="E422" s="14">
        <v>1621</v>
      </c>
      <c r="F422" s="14">
        <v>1623</v>
      </c>
      <c r="G422" s="14">
        <v>1605.25</v>
      </c>
      <c r="H422" s="14">
        <v>1612.05</v>
      </c>
      <c r="I422" s="14">
        <v>1613.9</v>
      </c>
      <c r="J422" s="14">
        <v>1611.71</v>
      </c>
      <c r="K422" t="s" s="13">
        <v>2915</v>
      </c>
      <c r="L422" t="s" s="13">
        <v>2916</v>
      </c>
      <c r="M422" t="s" s="13">
        <v>2917</v>
      </c>
      <c r="N422" t="s" s="13">
        <v>2918</v>
      </c>
      <c r="O422" s="15">
        <v>69.17</v>
      </c>
      <c r="P422" s="17" cm="1">
        <f t="array" ref="P422">(I422-I421)/I421</f>
        <v>-0.00262645613818249</v>
      </c>
      <c r="Q422" s="8"/>
    </row>
    <row r="423" ht="13.65" customHeight="1">
      <c r="A423" t="s" s="27">
        <v>1294</v>
      </c>
      <c r="B423" t="s" s="13">
        <v>22</v>
      </c>
      <c r="C423" s="31">
        <v>44886</v>
      </c>
      <c r="D423" s="14">
        <v>1613.9</v>
      </c>
      <c r="E423" s="14">
        <v>1607.65</v>
      </c>
      <c r="F423" s="14">
        <v>1612</v>
      </c>
      <c r="G423" s="14">
        <v>1590.2</v>
      </c>
      <c r="H423" s="14">
        <v>1597.1</v>
      </c>
      <c r="I423" s="14">
        <v>1597.35</v>
      </c>
      <c r="J423" s="14">
        <v>1597.33</v>
      </c>
      <c r="K423" t="s" s="13">
        <v>2919</v>
      </c>
      <c r="L423" t="s" s="13">
        <v>2920</v>
      </c>
      <c r="M423" t="s" s="13">
        <v>2921</v>
      </c>
      <c r="N423" t="s" s="13">
        <v>2922</v>
      </c>
      <c r="O423" s="15">
        <v>62.11</v>
      </c>
      <c r="P423" s="17" cm="1">
        <f t="array" ref="P423">(I423-I422)/I422</f>
        <v>-0.0102546626185018</v>
      </c>
      <c r="Q423" s="8"/>
    </row>
    <row r="424" ht="13.65" customHeight="1">
      <c r="A424" t="s" s="27">
        <v>1294</v>
      </c>
      <c r="B424" t="s" s="13">
        <v>22</v>
      </c>
      <c r="C424" s="31">
        <v>44887</v>
      </c>
      <c r="D424" s="14">
        <v>1597.35</v>
      </c>
      <c r="E424" s="14">
        <v>1600</v>
      </c>
      <c r="F424" s="14">
        <v>1604.35</v>
      </c>
      <c r="G424" s="14">
        <v>1591</v>
      </c>
      <c r="H424" s="14">
        <v>1597</v>
      </c>
      <c r="I424" s="14">
        <v>1595</v>
      </c>
      <c r="J424" s="14">
        <v>1596.15</v>
      </c>
      <c r="K424" t="s" s="13">
        <v>2923</v>
      </c>
      <c r="L424" t="s" s="13">
        <v>2924</v>
      </c>
      <c r="M424" t="s" s="13">
        <v>2925</v>
      </c>
      <c r="N424" t="s" s="13">
        <v>2926</v>
      </c>
      <c r="O424" s="15">
        <v>67.2</v>
      </c>
      <c r="P424" s="17" cm="1">
        <f t="array" ref="P424">(I424-I423)/I423</f>
        <v>-0.00147118665289386</v>
      </c>
      <c r="Q424" s="8"/>
    </row>
    <row r="425" ht="13.65" customHeight="1">
      <c r="A425" t="s" s="27">
        <v>1294</v>
      </c>
      <c r="B425" t="s" s="13">
        <v>22</v>
      </c>
      <c r="C425" s="31">
        <v>44888</v>
      </c>
      <c r="D425" s="14">
        <v>1595</v>
      </c>
      <c r="E425" s="14">
        <v>1605</v>
      </c>
      <c r="F425" s="14">
        <v>1605</v>
      </c>
      <c r="G425" s="14">
        <v>1594</v>
      </c>
      <c r="H425" s="14">
        <v>1596.8</v>
      </c>
      <c r="I425" s="14">
        <v>1599.15</v>
      </c>
      <c r="J425" s="14">
        <v>1598.79</v>
      </c>
      <c r="K425" t="s" s="13">
        <v>2927</v>
      </c>
      <c r="L425" t="s" s="13">
        <v>2928</v>
      </c>
      <c r="M425" t="s" s="13">
        <v>2929</v>
      </c>
      <c r="N425" t="s" s="13">
        <v>2930</v>
      </c>
      <c r="O425" s="15">
        <v>73.41</v>
      </c>
      <c r="P425" s="17" cm="1">
        <f t="array" ref="P425">(I425-I424)/I424</f>
        <v>0.00260188087774295</v>
      </c>
      <c r="Q425" s="8"/>
    </row>
    <row r="426" ht="13.65" customHeight="1">
      <c r="A426" t="s" s="27">
        <v>1294</v>
      </c>
      <c r="B426" t="s" s="13">
        <v>22</v>
      </c>
      <c r="C426" s="31">
        <v>44889</v>
      </c>
      <c r="D426" s="14">
        <v>1599.15</v>
      </c>
      <c r="E426" s="14">
        <v>1605.95</v>
      </c>
      <c r="F426" s="14">
        <v>1632</v>
      </c>
      <c r="G426" s="14">
        <v>1599.15</v>
      </c>
      <c r="H426" s="14">
        <v>1627.6</v>
      </c>
      <c r="I426" s="14">
        <v>1625.15</v>
      </c>
      <c r="J426" s="14">
        <v>1614.59</v>
      </c>
      <c r="K426" t="s" s="13">
        <v>2931</v>
      </c>
      <c r="L426" t="s" s="13">
        <v>2932</v>
      </c>
      <c r="M426" t="s" s="13">
        <v>2933</v>
      </c>
      <c r="N426" t="s" s="13">
        <v>2934</v>
      </c>
      <c r="O426" s="15">
        <v>69.38</v>
      </c>
      <c r="P426" s="17" cm="1">
        <f t="array" ref="P426">(I426-I425)/I425</f>
        <v>0.0162586374011193</v>
      </c>
      <c r="Q426" s="8"/>
    </row>
    <row r="427" ht="13.65" customHeight="1">
      <c r="A427" t="s" s="27">
        <v>1294</v>
      </c>
      <c r="B427" t="s" s="13">
        <v>22</v>
      </c>
      <c r="C427" s="31">
        <v>44890</v>
      </c>
      <c r="D427" s="14">
        <v>1625.15</v>
      </c>
      <c r="E427" s="14">
        <v>1629.7</v>
      </c>
      <c r="F427" s="14">
        <v>1631.7</v>
      </c>
      <c r="G427" s="14">
        <v>1614.1</v>
      </c>
      <c r="H427" s="14">
        <v>1617</v>
      </c>
      <c r="I427" s="14">
        <v>1617.65</v>
      </c>
      <c r="J427" s="14">
        <v>1620.31</v>
      </c>
      <c r="K427" t="s" s="13">
        <v>2935</v>
      </c>
      <c r="L427" t="s" s="13">
        <v>2936</v>
      </c>
      <c r="M427" t="s" s="13">
        <v>2937</v>
      </c>
      <c r="N427" t="s" s="13">
        <v>2938</v>
      </c>
      <c r="O427" s="15">
        <v>63.4</v>
      </c>
      <c r="P427" s="17" cm="1">
        <f t="array" ref="P427">(I427-I426)/I426</f>
        <v>-0.00461495861920438</v>
      </c>
      <c r="Q427" s="8"/>
    </row>
    <row r="428" ht="13.65" customHeight="1">
      <c r="A428" t="s" s="27">
        <v>1294</v>
      </c>
      <c r="B428" t="s" s="13">
        <v>22</v>
      </c>
      <c r="C428" s="31">
        <v>44893</v>
      </c>
      <c r="D428" s="14">
        <v>1617.65</v>
      </c>
      <c r="E428" s="14">
        <v>1602.9</v>
      </c>
      <c r="F428" s="14">
        <v>1607.45</v>
      </c>
      <c r="G428" s="14">
        <v>1594.05</v>
      </c>
      <c r="H428" s="14">
        <v>1600.5</v>
      </c>
      <c r="I428" s="14">
        <v>1600.25</v>
      </c>
      <c r="J428" s="14">
        <v>1600.57</v>
      </c>
      <c r="K428" t="s" s="13">
        <v>2939</v>
      </c>
      <c r="L428" t="s" s="13">
        <v>2940</v>
      </c>
      <c r="M428" t="s" s="13">
        <v>2941</v>
      </c>
      <c r="N428" t="s" s="13">
        <v>2942</v>
      </c>
      <c r="O428" s="15">
        <v>72.54000000000001</v>
      </c>
      <c r="P428" s="17" cm="1">
        <f t="array" ref="P428">(I428-I427)/I427</f>
        <v>-0.0107563440793744</v>
      </c>
      <c r="Q428" s="8"/>
    </row>
    <row r="429" ht="13.65" customHeight="1">
      <c r="A429" t="s" s="27">
        <v>1294</v>
      </c>
      <c r="B429" t="s" s="13">
        <v>22</v>
      </c>
      <c r="C429" s="31">
        <v>44894</v>
      </c>
      <c r="D429" s="14">
        <v>1600.25</v>
      </c>
      <c r="E429" s="14">
        <v>1597.25</v>
      </c>
      <c r="F429" s="14">
        <v>1612.35</v>
      </c>
      <c r="G429" s="14">
        <v>1592.85</v>
      </c>
      <c r="H429" s="14">
        <v>1600</v>
      </c>
      <c r="I429" s="14">
        <v>1597.85</v>
      </c>
      <c r="J429" s="14">
        <v>1602.17</v>
      </c>
      <c r="K429" t="s" s="13">
        <v>2943</v>
      </c>
      <c r="L429" t="s" s="13">
        <v>2944</v>
      </c>
      <c r="M429" t="s" s="13">
        <v>2945</v>
      </c>
      <c r="N429" t="s" s="13">
        <v>2946</v>
      </c>
      <c r="O429" s="15">
        <v>72.95</v>
      </c>
      <c r="P429" s="17" cm="1">
        <f t="array" ref="P429">(I429-I428)/I428</f>
        <v>-0.00149976566161537</v>
      </c>
      <c r="Q429" s="8"/>
    </row>
    <row r="430" ht="13.65" customHeight="1">
      <c r="A430" t="s" s="27">
        <v>1294</v>
      </c>
      <c r="B430" t="s" s="13">
        <v>22</v>
      </c>
      <c r="C430" s="31">
        <v>44895</v>
      </c>
      <c r="D430" s="14">
        <v>1597.85</v>
      </c>
      <c r="E430" s="14">
        <v>1597.1</v>
      </c>
      <c r="F430" s="14">
        <v>1612.9</v>
      </c>
      <c r="G430" s="14">
        <v>1597.1</v>
      </c>
      <c r="H430" s="14">
        <v>1611.9</v>
      </c>
      <c r="I430" s="14">
        <v>1608.45</v>
      </c>
      <c r="J430" s="14">
        <v>1603.75</v>
      </c>
      <c r="K430" t="s" s="13">
        <v>2947</v>
      </c>
      <c r="L430" t="s" s="13">
        <v>2948</v>
      </c>
      <c r="M430" t="s" s="13">
        <v>2949</v>
      </c>
      <c r="N430" t="s" s="13">
        <v>2950</v>
      </c>
      <c r="O430" s="15">
        <v>79.43000000000001</v>
      </c>
      <c r="P430" s="17" cm="1">
        <f t="array" ref="P430">(I430-I429)/I429</f>
        <v>0.00663391432237069</v>
      </c>
      <c r="Q430" s="8"/>
    </row>
    <row r="431" ht="13.65" customHeight="1">
      <c r="A431" t="s" s="27">
        <v>1294</v>
      </c>
      <c r="B431" t="s" s="13">
        <v>22</v>
      </c>
      <c r="C431" s="28">
        <v>44896</v>
      </c>
      <c r="D431" s="14">
        <v>1608.45</v>
      </c>
      <c r="E431" s="14">
        <v>1622</v>
      </c>
      <c r="F431" s="14">
        <v>1637</v>
      </c>
      <c r="G431" s="14">
        <v>1615</v>
      </c>
      <c r="H431" s="14">
        <v>1618</v>
      </c>
      <c r="I431" s="14">
        <v>1619.5</v>
      </c>
      <c r="J431" s="14">
        <v>1625.06</v>
      </c>
      <c r="K431" t="s" s="13">
        <v>2951</v>
      </c>
      <c r="L431" t="s" s="13">
        <v>2952</v>
      </c>
      <c r="M431" t="s" s="13">
        <v>2953</v>
      </c>
      <c r="N431" t="s" s="13">
        <v>2954</v>
      </c>
      <c r="O431" s="15">
        <v>70.55</v>
      </c>
      <c r="P431" s="17" cm="1">
        <f t="array" ref="P431">(I431-I430)/I430</f>
        <v>0.00686996798159719</v>
      </c>
      <c r="Q431" s="8"/>
    </row>
    <row r="432" ht="13.65" customHeight="1">
      <c r="A432" t="s" s="27">
        <v>1294</v>
      </c>
      <c r="B432" t="s" s="13">
        <v>22</v>
      </c>
      <c r="C432" s="28">
        <v>44897</v>
      </c>
      <c r="D432" s="14">
        <v>1619.5</v>
      </c>
      <c r="E432" s="14">
        <v>1610</v>
      </c>
      <c r="F432" s="14">
        <v>1618.6</v>
      </c>
      <c r="G432" s="14">
        <v>1605.15</v>
      </c>
      <c r="H432" s="14">
        <v>1607.75</v>
      </c>
      <c r="I432" s="14">
        <v>1607.1</v>
      </c>
      <c r="J432" s="14">
        <v>1609.97</v>
      </c>
      <c r="K432" t="s" s="13">
        <v>2955</v>
      </c>
      <c r="L432" t="s" s="13">
        <v>2956</v>
      </c>
      <c r="M432" t="s" s="13">
        <v>2957</v>
      </c>
      <c r="N432" t="s" s="13">
        <v>2958</v>
      </c>
      <c r="O432" s="15">
        <v>68.5</v>
      </c>
      <c r="P432" s="17" cm="1">
        <f t="array" ref="P432">(I432-I431)/I431</f>
        <v>-0.00765668416177833</v>
      </c>
      <c r="Q432" s="8"/>
    </row>
    <row r="433" ht="13.65" customHeight="1">
      <c r="A433" t="s" s="27">
        <v>1294</v>
      </c>
      <c r="B433" t="s" s="13">
        <v>22</v>
      </c>
      <c r="C433" s="28">
        <v>44900</v>
      </c>
      <c r="D433" s="14">
        <v>1607.1</v>
      </c>
      <c r="E433" s="14">
        <v>1609.95</v>
      </c>
      <c r="F433" s="14">
        <v>1614.6</v>
      </c>
      <c r="G433" s="14">
        <v>1596.2</v>
      </c>
      <c r="H433" s="14">
        <v>1613</v>
      </c>
      <c r="I433" s="14">
        <v>1612.95</v>
      </c>
      <c r="J433" s="14">
        <v>1604.77</v>
      </c>
      <c r="K433" t="s" s="13">
        <v>2959</v>
      </c>
      <c r="L433" t="s" s="13">
        <v>2960</v>
      </c>
      <c r="M433" t="s" s="13">
        <v>2961</v>
      </c>
      <c r="N433" t="s" s="13">
        <v>2962</v>
      </c>
      <c r="O433" s="15">
        <v>65.01000000000001</v>
      </c>
      <c r="P433" s="17" cm="1">
        <f t="array" ref="P433">(I433-I432)/I432</f>
        <v>0.00364009706925518</v>
      </c>
      <c r="Q433" s="8"/>
    </row>
    <row r="434" ht="13.65" customHeight="1">
      <c r="A434" t="s" s="27">
        <v>1294</v>
      </c>
      <c r="B434" t="s" s="13">
        <v>22</v>
      </c>
      <c r="C434" s="28">
        <v>44901</v>
      </c>
      <c r="D434" s="14">
        <v>1612.95</v>
      </c>
      <c r="E434" s="14">
        <v>1601</v>
      </c>
      <c r="F434" s="14">
        <v>1613.7</v>
      </c>
      <c r="G434" s="14">
        <v>1600</v>
      </c>
      <c r="H434" s="14">
        <v>1612.95</v>
      </c>
      <c r="I434" s="14">
        <v>1611.15</v>
      </c>
      <c r="J434" s="14">
        <v>1607.2</v>
      </c>
      <c r="K434" t="s" s="13">
        <v>2963</v>
      </c>
      <c r="L434" t="s" s="13">
        <v>2964</v>
      </c>
      <c r="M434" t="s" s="13">
        <v>2965</v>
      </c>
      <c r="N434" t="s" s="13">
        <v>2966</v>
      </c>
      <c r="O434" s="15">
        <v>77.19</v>
      </c>
      <c r="P434" s="17" cm="1">
        <f t="array" ref="P434">(I434-I433)/I433</f>
        <v>-0.00111596763693853</v>
      </c>
      <c r="Q434" s="8"/>
    </row>
    <row r="435" ht="13.65" customHeight="1">
      <c r="A435" t="s" s="27">
        <v>1294</v>
      </c>
      <c r="B435" t="s" s="13">
        <v>22</v>
      </c>
      <c r="C435" s="28">
        <v>44902</v>
      </c>
      <c r="D435" s="14">
        <v>1611.15</v>
      </c>
      <c r="E435" s="14">
        <v>1614.15</v>
      </c>
      <c r="F435" s="14">
        <v>1618.6</v>
      </c>
      <c r="G435" s="14">
        <v>1604.45</v>
      </c>
      <c r="H435" s="14">
        <v>1611</v>
      </c>
      <c r="I435" s="14">
        <v>1610.45</v>
      </c>
      <c r="J435" s="14">
        <v>1610.02</v>
      </c>
      <c r="K435" t="s" s="13">
        <v>2967</v>
      </c>
      <c r="L435" t="s" s="13">
        <v>2968</v>
      </c>
      <c r="M435" t="s" s="13">
        <v>2969</v>
      </c>
      <c r="N435" t="s" s="13">
        <v>2970</v>
      </c>
      <c r="O435" s="15">
        <v>78.45999999999999</v>
      </c>
      <c r="P435" s="17" cm="1">
        <f t="array" ref="P435">(I435-I434)/I434</f>
        <v>-0.000434472271358967</v>
      </c>
      <c r="Q435" s="8"/>
    </row>
    <row r="436" ht="13.65" customHeight="1">
      <c r="A436" t="s" s="27">
        <v>1294</v>
      </c>
      <c r="B436" t="s" s="13">
        <v>22</v>
      </c>
      <c r="C436" s="28">
        <v>44903</v>
      </c>
      <c r="D436" s="14">
        <v>1610.45</v>
      </c>
      <c r="E436" s="14">
        <v>1610</v>
      </c>
      <c r="F436" s="14">
        <v>1626</v>
      </c>
      <c r="G436" s="14">
        <v>1605</v>
      </c>
      <c r="H436" s="14">
        <v>1620</v>
      </c>
      <c r="I436" s="14">
        <v>1619.5</v>
      </c>
      <c r="J436" s="14">
        <v>1615.97</v>
      </c>
      <c r="K436" t="s" s="13">
        <v>2971</v>
      </c>
      <c r="L436" t="s" s="13">
        <v>2972</v>
      </c>
      <c r="M436" t="s" s="13">
        <v>2973</v>
      </c>
      <c r="N436" t="s" s="13">
        <v>2974</v>
      </c>
      <c r="O436" s="15">
        <v>73.55</v>
      </c>
      <c r="P436" s="17" cm="1">
        <f t="array" ref="P436">(I436-I435)/I435</f>
        <v>0.0056195473314912</v>
      </c>
      <c r="Q436" s="8"/>
    </row>
    <row r="437" ht="13.65" customHeight="1">
      <c r="A437" t="s" s="27">
        <v>1294</v>
      </c>
      <c r="B437" t="s" s="13">
        <v>22</v>
      </c>
      <c r="C437" s="28">
        <v>44904</v>
      </c>
      <c r="D437" s="14">
        <v>1619.5</v>
      </c>
      <c r="E437" s="14">
        <v>1626</v>
      </c>
      <c r="F437" s="14">
        <v>1634.85</v>
      </c>
      <c r="G437" s="14">
        <v>1620</v>
      </c>
      <c r="H437" s="14">
        <v>1630.15</v>
      </c>
      <c r="I437" s="14">
        <v>1631.05</v>
      </c>
      <c r="J437" s="14">
        <v>1626.86</v>
      </c>
      <c r="K437" t="s" s="13">
        <v>2975</v>
      </c>
      <c r="L437" t="s" s="13">
        <v>2976</v>
      </c>
      <c r="M437" t="s" s="13">
        <v>2977</v>
      </c>
      <c r="N437" t="s" s="13">
        <v>2978</v>
      </c>
      <c r="O437" s="15">
        <v>74.70999999999999</v>
      </c>
      <c r="P437" s="17" cm="1">
        <f t="array" ref="P437">(I437-I436)/I436</f>
        <v>0.00713183081197901</v>
      </c>
      <c r="Q437" s="8"/>
    </row>
    <row r="438" ht="13.65" customHeight="1">
      <c r="A438" t="s" s="27">
        <v>1294</v>
      </c>
      <c r="B438" t="s" s="13">
        <v>22</v>
      </c>
      <c r="C438" s="31">
        <v>44907</v>
      </c>
      <c r="D438" s="14">
        <v>1631.05</v>
      </c>
      <c r="E438" s="14">
        <v>1625</v>
      </c>
      <c r="F438" s="14">
        <v>1653.6</v>
      </c>
      <c r="G438" s="14">
        <v>1621.4</v>
      </c>
      <c r="H438" s="14">
        <v>1642.8</v>
      </c>
      <c r="I438" s="14">
        <v>1643.75</v>
      </c>
      <c r="J438" s="14">
        <v>1643.67</v>
      </c>
      <c r="K438" t="s" s="13">
        <v>2979</v>
      </c>
      <c r="L438" t="s" s="13">
        <v>2980</v>
      </c>
      <c r="M438" t="s" s="13">
        <v>2981</v>
      </c>
      <c r="N438" t="s" s="13">
        <v>2982</v>
      </c>
      <c r="O438" s="15">
        <v>69.06</v>
      </c>
      <c r="P438" s="17" cm="1">
        <f t="array" ref="P438">(I438-I437)/I437</f>
        <v>0.00778639526685264</v>
      </c>
      <c r="Q438" s="8"/>
    </row>
    <row r="439" ht="13.65" customHeight="1">
      <c r="A439" t="s" s="27">
        <v>1294</v>
      </c>
      <c r="B439" t="s" s="13">
        <v>22</v>
      </c>
      <c r="C439" s="31">
        <v>44908</v>
      </c>
      <c r="D439" s="14">
        <v>1643.75</v>
      </c>
      <c r="E439" s="14">
        <v>1650</v>
      </c>
      <c r="F439" s="14">
        <v>1657</v>
      </c>
      <c r="G439" s="14">
        <v>1645</v>
      </c>
      <c r="H439" s="14">
        <v>1645.3</v>
      </c>
      <c r="I439" s="14">
        <v>1648.3</v>
      </c>
      <c r="J439" s="14">
        <v>1651.67</v>
      </c>
      <c r="K439" t="s" s="13">
        <v>2983</v>
      </c>
      <c r="L439" t="s" s="13">
        <v>2984</v>
      </c>
      <c r="M439" t="s" s="13">
        <v>2985</v>
      </c>
      <c r="N439" t="s" s="13">
        <v>2986</v>
      </c>
      <c r="O439" s="15">
        <v>64.48999999999999</v>
      </c>
      <c r="P439" s="17" cm="1">
        <f t="array" ref="P439">(I439-I438)/I438</f>
        <v>0.0027680608365019</v>
      </c>
      <c r="Q439" s="8"/>
    </row>
    <row r="440" ht="13.65" customHeight="1">
      <c r="A440" t="s" s="27">
        <v>1294</v>
      </c>
      <c r="B440" t="s" s="13">
        <v>22</v>
      </c>
      <c r="C440" s="31">
        <v>44909</v>
      </c>
      <c r="D440" s="14">
        <v>1648.3</v>
      </c>
      <c r="E440" s="14">
        <v>1653</v>
      </c>
      <c r="F440" s="14">
        <v>1665.5</v>
      </c>
      <c r="G440" s="14">
        <v>1650</v>
      </c>
      <c r="H440" s="14">
        <v>1660</v>
      </c>
      <c r="I440" s="14">
        <v>1662.25</v>
      </c>
      <c r="J440" s="14">
        <v>1658.28</v>
      </c>
      <c r="K440" t="s" s="13">
        <v>2987</v>
      </c>
      <c r="L440" t="s" s="13">
        <v>2988</v>
      </c>
      <c r="M440" t="s" s="13">
        <v>2989</v>
      </c>
      <c r="N440" t="s" s="13">
        <v>2990</v>
      </c>
      <c r="O440" s="15">
        <v>70.14</v>
      </c>
      <c r="P440" s="17" cm="1">
        <f t="array" ref="P440">(I440-I439)/I439</f>
        <v>0.008463265182309051</v>
      </c>
      <c r="Q440" s="8"/>
    </row>
    <row r="441" ht="13.65" customHeight="1">
      <c r="A441" t="s" s="27">
        <v>1294</v>
      </c>
      <c r="B441" t="s" s="13">
        <v>22</v>
      </c>
      <c r="C441" s="31">
        <v>44910</v>
      </c>
      <c r="D441" s="14">
        <v>1662.25</v>
      </c>
      <c r="E441" s="14">
        <v>1657.05</v>
      </c>
      <c r="F441" s="14">
        <v>1669.4</v>
      </c>
      <c r="G441" s="14">
        <v>1627.05</v>
      </c>
      <c r="H441" s="14">
        <v>1630</v>
      </c>
      <c r="I441" s="14">
        <v>1631.8</v>
      </c>
      <c r="J441" s="14">
        <v>1659.58</v>
      </c>
      <c r="K441" t="s" s="13">
        <v>2991</v>
      </c>
      <c r="L441" t="s" s="13">
        <v>2992</v>
      </c>
      <c r="M441" t="s" s="13">
        <v>2993</v>
      </c>
      <c r="N441" t="s" s="13">
        <v>2994</v>
      </c>
      <c r="O441" s="15">
        <v>59.48</v>
      </c>
      <c r="P441" s="17" cm="1">
        <f t="array" ref="P441">(I441-I440)/I440</f>
        <v>-0.0183185441419762</v>
      </c>
      <c r="Q441" s="8"/>
    </row>
    <row r="442" ht="13.65" customHeight="1">
      <c r="A442" t="s" s="27">
        <v>1294</v>
      </c>
      <c r="B442" t="s" s="13">
        <v>22</v>
      </c>
      <c r="C442" s="31">
        <v>44911</v>
      </c>
      <c r="D442" s="14">
        <v>1631.8</v>
      </c>
      <c r="E442" s="14">
        <v>1620.05</v>
      </c>
      <c r="F442" s="14">
        <v>1645.1</v>
      </c>
      <c r="G442" s="14">
        <v>1609</v>
      </c>
      <c r="H442" s="14">
        <v>1635.2</v>
      </c>
      <c r="I442" s="14">
        <v>1639.65</v>
      </c>
      <c r="J442" s="14">
        <v>1634.08</v>
      </c>
      <c r="K442" t="s" s="13">
        <v>2995</v>
      </c>
      <c r="L442" t="s" s="13">
        <v>2996</v>
      </c>
      <c r="M442" t="s" s="13">
        <v>2997</v>
      </c>
      <c r="N442" t="s" s="13">
        <v>2998</v>
      </c>
      <c r="O442" s="15">
        <v>71.5</v>
      </c>
      <c r="P442" s="17" cm="1">
        <f t="array" ref="P442">(I442-I441)/I441</f>
        <v>0.00481063855864689</v>
      </c>
      <c r="Q442" s="8"/>
    </row>
    <row r="443" ht="13.65" customHeight="1">
      <c r="A443" t="s" s="27">
        <v>1294</v>
      </c>
      <c r="B443" t="s" s="13">
        <v>22</v>
      </c>
      <c r="C443" s="31">
        <v>44914</v>
      </c>
      <c r="D443" s="14">
        <v>1639.65</v>
      </c>
      <c r="E443" s="14">
        <v>1644</v>
      </c>
      <c r="F443" s="14">
        <v>1646.65</v>
      </c>
      <c r="G443" s="14">
        <v>1626.2</v>
      </c>
      <c r="H443" s="14">
        <v>1645.9</v>
      </c>
      <c r="I443" s="14">
        <v>1644.75</v>
      </c>
      <c r="J443" s="14">
        <v>1636.95</v>
      </c>
      <c r="K443" t="s" s="13">
        <v>2999</v>
      </c>
      <c r="L443" t="s" s="13">
        <v>3000</v>
      </c>
      <c r="M443" t="s" s="13">
        <v>3001</v>
      </c>
      <c r="N443" t="s" s="13">
        <v>3002</v>
      </c>
      <c r="O443" s="15">
        <v>62.47</v>
      </c>
      <c r="P443" s="17" cm="1">
        <f t="array" ref="P443">(I443-I442)/I442</f>
        <v>0.0031104199066874</v>
      </c>
      <c r="Q443" s="8"/>
    </row>
    <row r="444" ht="13.65" customHeight="1">
      <c r="A444" t="s" s="27">
        <v>1294</v>
      </c>
      <c r="B444" t="s" s="13">
        <v>22</v>
      </c>
      <c r="C444" s="31">
        <v>44915</v>
      </c>
      <c r="D444" s="14">
        <v>1644.75</v>
      </c>
      <c r="E444" s="14">
        <v>1620.2</v>
      </c>
      <c r="F444" s="14">
        <v>1636.4</v>
      </c>
      <c r="G444" s="14">
        <v>1620.2</v>
      </c>
      <c r="H444" s="14">
        <v>1635</v>
      </c>
      <c r="I444" s="14">
        <v>1633.4</v>
      </c>
      <c r="J444" s="14">
        <v>1630.1</v>
      </c>
      <c r="K444" t="s" s="13">
        <v>3003</v>
      </c>
      <c r="L444" t="s" s="13">
        <v>3004</v>
      </c>
      <c r="M444" s="34">
        <v>94981</v>
      </c>
      <c r="N444" t="s" s="13">
        <v>3005</v>
      </c>
      <c r="O444" s="15">
        <v>56.12</v>
      </c>
      <c r="P444" s="17" cm="1">
        <f t="array" ref="P444">(I444-I443)/I443</f>
        <v>-0.00690074479404165</v>
      </c>
      <c r="Q444" s="8"/>
    </row>
    <row r="445" ht="13.65" customHeight="1">
      <c r="A445" t="s" s="27">
        <v>1294</v>
      </c>
      <c r="B445" t="s" s="13">
        <v>22</v>
      </c>
      <c r="C445" s="31">
        <v>44916</v>
      </c>
      <c r="D445" s="14">
        <v>1633.4</v>
      </c>
      <c r="E445" s="14">
        <v>1641</v>
      </c>
      <c r="F445" s="14">
        <v>1644.8</v>
      </c>
      <c r="G445" s="14">
        <v>1606.55</v>
      </c>
      <c r="H445" s="14">
        <v>1620</v>
      </c>
      <c r="I445" s="14">
        <v>1617.6</v>
      </c>
      <c r="J445" s="14">
        <v>1625.86</v>
      </c>
      <c r="K445" t="s" s="13">
        <v>3006</v>
      </c>
      <c r="L445" t="s" s="13">
        <v>3007</v>
      </c>
      <c r="M445" t="s" s="13">
        <v>3008</v>
      </c>
      <c r="N445" t="s" s="13">
        <v>3009</v>
      </c>
      <c r="O445" s="15">
        <v>64.06</v>
      </c>
      <c r="P445" s="17" cm="1">
        <f t="array" ref="P445">(I445-I444)/I444</f>
        <v>-0.009673074568384959</v>
      </c>
      <c r="Q445" s="8"/>
    </row>
    <row r="446" ht="13.65" customHeight="1">
      <c r="A446" t="s" s="27">
        <v>1294</v>
      </c>
      <c r="B446" t="s" s="13">
        <v>22</v>
      </c>
      <c r="C446" s="31">
        <v>44917</v>
      </c>
      <c r="D446" s="14">
        <v>1617.6</v>
      </c>
      <c r="E446" s="14">
        <v>1622.2</v>
      </c>
      <c r="F446" s="14">
        <v>1627.5</v>
      </c>
      <c r="G446" s="14">
        <v>1609</v>
      </c>
      <c r="H446" s="14">
        <v>1612.85</v>
      </c>
      <c r="I446" s="14">
        <v>1612.05</v>
      </c>
      <c r="J446" s="14">
        <v>1617.13</v>
      </c>
      <c r="K446" t="s" s="13">
        <v>3010</v>
      </c>
      <c r="L446" t="s" s="13">
        <v>3011</v>
      </c>
      <c r="M446" t="s" s="13">
        <v>3012</v>
      </c>
      <c r="N446" t="s" s="13">
        <v>3013</v>
      </c>
      <c r="O446" s="15">
        <v>66.54000000000001</v>
      </c>
      <c r="P446" s="17" cm="1">
        <f t="array" ref="P446">(I446-I445)/I445</f>
        <v>-0.00343100890207715</v>
      </c>
      <c r="Q446" s="8"/>
    </row>
    <row r="447" ht="13.65" customHeight="1">
      <c r="A447" t="s" s="27">
        <v>1294</v>
      </c>
      <c r="B447" t="s" s="13">
        <v>22</v>
      </c>
      <c r="C447" s="31">
        <v>44918</v>
      </c>
      <c r="D447" s="14">
        <v>1612.05</v>
      </c>
      <c r="E447" s="14">
        <v>1587</v>
      </c>
      <c r="F447" s="14">
        <v>1604.15</v>
      </c>
      <c r="G447" s="14">
        <v>1585.45</v>
      </c>
      <c r="H447" s="14">
        <v>1599</v>
      </c>
      <c r="I447" s="14">
        <v>1597.65</v>
      </c>
      <c r="J447" s="14">
        <v>1596.11</v>
      </c>
      <c r="K447" t="s" s="13">
        <v>3014</v>
      </c>
      <c r="L447" t="s" s="13">
        <v>3015</v>
      </c>
      <c r="M447" t="s" s="13">
        <v>3016</v>
      </c>
      <c r="N447" t="s" s="13">
        <v>3017</v>
      </c>
      <c r="O447" s="15">
        <v>59.96</v>
      </c>
      <c r="P447" s="17" cm="1">
        <f t="array" ref="P447">(I447-I446)/I446</f>
        <v>-0.008932725411742811</v>
      </c>
      <c r="Q447" s="8"/>
    </row>
    <row r="448" ht="13.65" customHeight="1">
      <c r="A448" t="s" s="27">
        <v>1294</v>
      </c>
      <c r="B448" t="s" s="13">
        <v>22</v>
      </c>
      <c r="C448" s="31">
        <v>44921</v>
      </c>
      <c r="D448" s="14">
        <v>1597.65</v>
      </c>
      <c r="E448" s="14">
        <v>1599.5</v>
      </c>
      <c r="F448" s="14">
        <v>1639</v>
      </c>
      <c r="G448" s="14">
        <v>1590</v>
      </c>
      <c r="H448" s="14">
        <v>1628.95</v>
      </c>
      <c r="I448" s="14">
        <v>1629.45</v>
      </c>
      <c r="J448" s="14">
        <v>1617.09</v>
      </c>
      <c r="K448" t="s" s="13">
        <v>3018</v>
      </c>
      <c r="L448" t="s" s="13">
        <v>3019</v>
      </c>
      <c r="M448" t="s" s="13">
        <v>3020</v>
      </c>
      <c r="N448" t="s" s="13">
        <v>3021</v>
      </c>
      <c r="O448" s="15">
        <v>61.62</v>
      </c>
      <c r="P448" s="17" cm="1">
        <f t="array" ref="P448">(I448-I447)/I447</f>
        <v>0.019904234344193</v>
      </c>
      <c r="Q448" s="8"/>
    </row>
    <row r="449" ht="13.65" customHeight="1">
      <c r="A449" t="s" s="27">
        <v>1294</v>
      </c>
      <c r="B449" t="s" s="13">
        <v>22</v>
      </c>
      <c r="C449" s="31">
        <v>44922</v>
      </c>
      <c r="D449" s="14">
        <v>1629.45</v>
      </c>
      <c r="E449" s="14">
        <v>1633</v>
      </c>
      <c r="F449" s="14">
        <v>1635.95</v>
      </c>
      <c r="G449" s="14">
        <v>1613.5</v>
      </c>
      <c r="H449" s="14">
        <v>1630.9</v>
      </c>
      <c r="I449" s="14">
        <v>1631.1</v>
      </c>
      <c r="J449" s="14">
        <v>1622.27</v>
      </c>
      <c r="K449" t="s" s="13">
        <v>3022</v>
      </c>
      <c r="L449" t="s" s="13">
        <v>3023</v>
      </c>
      <c r="M449" t="s" s="13">
        <v>3024</v>
      </c>
      <c r="N449" t="s" s="13">
        <v>3025</v>
      </c>
      <c r="O449" s="15">
        <v>55.69</v>
      </c>
      <c r="P449" s="17" cm="1">
        <f t="array" ref="P449">(I449-I448)/I448</f>
        <v>0.00101261161741692</v>
      </c>
      <c r="Q449" s="8"/>
    </row>
    <row r="450" ht="13.65" customHeight="1">
      <c r="A450" t="s" s="27">
        <v>1294</v>
      </c>
      <c r="B450" t="s" s="13">
        <v>22</v>
      </c>
      <c r="C450" s="31">
        <v>44923</v>
      </c>
      <c r="D450" s="14">
        <v>1631.1</v>
      </c>
      <c r="E450" s="14">
        <v>1623.1</v>
      </c>
      <c r="F450" s="14">
        <v>1633</v>
      </c>
      <c r="G450" s="14">
        <v>1623.1</v>
      </c>
      <c r="H450" s="14">
        <v>1628.5</v>
      </c>
      <c r="I450" s="14">
        <v>1629.8</v>
      </c>
      <c r="J450" s="14">
        <v>1628.46</v>
      </c>
      <c r="K450" t="s" s="13">
        <v>3026</v>
      </c>
      <c r="L450" t="s" s="13">
        <v>3027</v>
      </c>
      <c r="M450" t="s" s="13">
        <v>3028</v>
      </c>
      <c r="N450" t="s" s="13">
        <v>3029</v>
      </c>
      <c r="O450" s="15">
        <v>73.89</v>
      </c>
      <c r="P450" s="17" cm="1">
        <f t="array" ref="P450">(I450-I449)/I449</f>
        <v>-0.0007970081540064991</v>
      </c>
      <c r="Q450" s="8"/>
    </row>
    <row r="451" ht="13.65" customHeight="1">
      <c r="A451" t="s" s="27">
        <v>1294</v>
      </c>
      <c r="B451" t="s" s="13">
        <v>22</v>
      </c>
      <c r="C451" s="31">
        <v>44924</v>
      </c>
      <c r="D451" s="14">
        <v>1629.8</v>
      </c>
      <c r="E451" s="14">
        <v>1620.1</v>
      </c>
      <c r="F451" s="14">
        <v>1643.5</v>
      </c>
      <c r="G451" s="14">
        <v>1611</v>
      </c>
      <c r="H451" s="14">
        <v>1639.1</v>
      </c>
      <c r="I451" s="14">
        <v>1641.3</v>
      </c>
      <c r="J451" s="14">
        <v>1629.83</v>
      </c>
      <c r="K451" t="s" s="13">
        <v>3030</v>
      </c>
      <c r="L451" t="s" s="13">
        <v>3031</v>
      </c>
      <c r="M451" t="s" s="13">
        <v>3032</v>
      </c>
      <c r="N451" t="s" s="13">
        <v>3033</v>
      </c>
      <c r="O451" s="15">
        <v>66.92</v>
      </c>
      <c r="P451" s="17" cm="1">
        <f t="array" ref="P451">(I451-I450)/I450</f>
        <v>0.00705608050067493</v>
      </c>
      <c r="Q451" s="8"/>
    </row>
    <row r="452" ht="13.65" customHeight="1">
      <c r="A452" t="s" s="27">
        <v>1294</v>
      </c>
      <c r="B452" t="s" s="13">
        <v>22</v>
      </c>
      <c r="C452" s="31">
        <v>44925</v>
      </c>
      <c r="D452" s="14">
        <v>1641.3</v>
      </c>
      <c r="E452" s="14">
        <v>1645</v>
      </c>
      <c r="F452" s="14">
        <v>1645</v>
      </c>
      <c r="G452" s="14">
        <v>1620</v>
      </c>
      <c r="H452" s="14">
        <v>1630</v>
      </c>
      <c r="I452" s="14">
        <v>1628.15</v>
      </c>
      <c r="J452" s="14">
        <v>1632.15</v>
      </c>
      <c r="K452" t="s" s="13">
        <v>3034</v>
      </c>
      <c r="L452" t="s" s="13">
        <v>3035</v>
      </c>
      <c r="M452" t="s" s="13">
        <v>3036</v>
      </c>
      <c r="N452" t="s" s="13">
        <v>3037</v>
      </c>
      <c r="O452" s="15">
        <v>62.25</v>
      </c>
      <c r="P452" s="17" cm="1">
        <f t="array" ref="P452">(I452-I451)/I451</f>
        <v>-0.008011941753488089</v>
      </c>
      <c r="Q452" s="8"/>
    </row>
    <row r="453" ht="13.65" customHeight="1">
      <c r="A453" t="s" s="27">
        <v>1294</v>
      </c>
      <c r="B453" t="s" s="13">
        <v>22</v>
      </c>
      <c r="C453" s="28">
        <v>44928</v>
      </c>
      <c r="D453" s="14">
        <v>1628.15</v>
      </c>
      <c r="E453" s="14">
        <v>1627</v>
      </c>
      <c r="F453" s="14">
        <v>1639.75</v>
      </c>
      <c r="G453" s="14">
        <v>1618.55</v>
      </c>
      <c r="H453" s="14">
        <v>1628.15</v>
      </c>
      <c r="I453" s="14">
        <v>1628.7</v>
      </c>
      <c r="J453" s="14">
        <v>1629.49</v>
      </c>
      <c r="K453" t="s" s="13">
        <v>3038</v>
      </c>
      <c r="L453" t="s" s="13">
        <v>3039</v>
      </c>
      <c r="M453" s="34">
        <v>89456</v>
      </c>
      <c r="N453" t="s" s="13">
        <v>3040</v>
      </c>
      <c r="O453" s="15">
        <v>47.29</v>
      </c>
      <c r="P453" s="17" cm="1">
        <f t="array" ref="P453">(I453-I452)/I452</f>
        <v>0.000337806713140681</v>
      </c>
      <c r="Q453" s="8"/>
    </row>
    <row r="454" ht="13.65" customHeight="1">
      <c r="A454" t="s" s="27">
        <v>1294</v>
      </c>
      <c r="B454" t="s" s="13">
        <v>1323</v>
      </c>
      <c r="C454" s="28">
        <v>44928</v>
      </c>
      <c r="D454" s="14">
        <v>1427.05</v>
      </c>
      <c r="E454" s="14">
        <v>1628.15</v>
      </c>
      <c r="F454" s="14">
        <v>1628.15</v>
      </c>
      <c r="G454" s="14">
        <v>1628.15</v>
      </c>
      <c r="H454" s="14">
        <v>1628.15</v>
      </c>
      <c r="I454" s="14">
        <v>1628.15</v>
      </c>
      <c r="J454" s="14">
        <v>1628.15</v>
      </c>
      <c r="K454" t="s" s="13">
        <v>3041</v>
      </c>
      <c r="L454" t="s" s="13">
        <v>3042</v>
      </c>
      <c r="M454" s="15">
        <v>1</v>
      </c>
      <c r="N454" t="s" s="13">
        <v>1326</v>
      </c>
      <c r="O454" t="s" s="13">
        <v>1326</v>
      </c>
      <c r="P454" s="17" cm="1">
        <f t="array" ref="P454">(I454-I453)/I453</f>
        <v>-0.000337692638300485</v>
      </c>
      <c r="Q454" s="8"/>
    </row>
    <row r="455" ht="13.65" customHeight="1">
      <c r="A455" t="s" s="27">
        <v>1294</v>
      </c>
      <c r="B455" t="s" s="13">
        <v>22</v>
      </c>
      <c r="C455" s="28">
        <v>44929</v>
      </c>
      <c r="D455" s="14">
        <v>1628.7</v>
      </c>
      <c r="E455" s="14">
        <v>1622.2</v>
      </c>
      <c r="F455" s="14">
        <v>1643</v>
      </c>
      <c r="G455" s="14">
        <v>1622.2</v>
      </c>
      <c r="H455" s="14">
        <v>1640.5</v>
      </c>
      <c r="I455" s="14">
        <v>1639.35</v>
      </c>
      <c r="J455" s="14">
        <v>1634.63</v>
      </c>
      <c r="K455" t="s" s="13">
        <v>3043</v>
      </c>
      <c r="L455" t="s" s="13">
        <v>3044</v>
      </c>
      <c r="M455" t="s" s="13">
        <v>3045</v>
      </c>
      <c r="N455" t="s" s="13">
        <v>3046</v>
      </c>
      <c r="O455" s="15">
        <v>65.76000000000001</v>
      </c>
      <c r="P455" s="17" cm="1">
        <f t="array" ref="P455">(I455-I454)/I454</f>
        <v>0.00687897306759205</v>
      </c>
      <c r="Q455" s="8"/>
    </row>
    <row r="456" ht="13.65" customHeight="1">
      <c r="A456" t="s" s="27">
        <v>1294</v>
      </c>
      <c r="B456" t="s" s="13">
        <v>22</v>
      </c>
      <c r="C456" s="28">
        <v>44930</v>
      </c>
      <c r="D456" s="14">
        <v>1639.35</v>
      </c>
      <c r="E456" s="14">
        <v>1635</v>
      </c>
      <c r="F456" s="14">
        <v>1645.75</v>
      </c>
      <c r="G456" s="14">
        <v>1607</v>
      </c>
      <c r="H456" s="14">
        <v>1610.3</v>
      </c>
      <c r="I456" s="14">
        <v>1610.05</v>
      </c>
      <c r="J456" s="14">
        <v>1622.71</v>
      </c>
      <c r="K456" t="s" s="13">
        <v>3047</v>
      </c>
      <c r="L456" t="s" s="13">
        <v>3048</v>
      </c>
      <c r="M456" t="s" s="13">
        <v>3049</v>
      </c>
      <c r="N456" t="s" s="13">
        <v>3050</v>
      </c>
      <c r="O456" s="15">
        <v>63.21</v>
      </c>
      <c r="P456" s="17" cm="1">
        <f t="array" ref="P456">(I456-I455)/I455</f>
        <v>-0.0178729374447189</v>
      </c>
      <c r="Q456" s="8"/>
    </row>
    <row r="457" ht="13.65" customHeight="1">
      <c r="A457" t="s" s="27">
        <v>1294</v>
      </c>
      <c r="B457" t="s" s="13">
        <v>22</v>
      </c>
      <c r="C457" s="28">
        <v>44931</v>
      </c>
      <c r="D457" s="14">
        <v>1610.05</v>
      </c>
      <c r="E457" s="14">
        <v>1615</v>
      </c>
      <c r="F457" s="14">
        <v>1618.05</v>
      </c>
      <c r="G457" s="14">
        <v>1589.4</v>
      </c>
      <c r="H457" s="14">
        <v>1599.95</v>
      </c>
      <c r="I457" s="14">
        <v>1599.7</v>
      </c>
      <c r="J457" s="14">
        <v>1602.26</v>
      </c>
      <c r="K457" t="s" s="13">
        <v>3051</v>
      </c>
      <c r="L457" t="s" s="13">
        <v>3052</v>
      </c>
      <c r="M457" t="s" s="13">
        <v>3053</v>
      </c>
      <c r="N457" t="s" s="13">
        <v>3054</v>
      </c>
      <c r="O457" s="15">
        <v>65.48999999999999</v>
      </c>
      <c r="P457" s="17" cm="1">
        <f t="array" ref="P457">(I457-I456)/I456</f>
        <v>-0.00642837178969597</v>
      </c>
      <c r="Q457" s="8"/>
    </row>
    <row r="458" ht="13.65" customHeight="1">
      <c r="A458" t="s" s="27">
        <v>1294</v>
      </c>
      <c r="B458" t="s" s="13">
        <v>22</v>
      </c>
      <c r="C458" s="28">
        <v>44932</v>
      </c>
      <c r="D458" s="14">
        <v>1599.7</v>
      </c>
      <c r="E458" s="14">
        <v>1602</v>
      </c>
      <c r="F458" s="14">
        <v>1609.1</v>
      </c>
      <c r="G458" s="14">
        <v>1578.2</v>
      </c>
      <c r="H458" s="14">
        <v>1594.05</v>
      </c>
      <c r="I458" s="14">
        <v>1594.4</v>
      </c>
      <c r="J458" s="14">
        <v>1592.77</v>
      </c>
      <c r="K458" t="s" s="13">
        <v>3055</v>
      </c>
      <c r="L458" t="s" s="13">
        <v>3056</v>
      </c>
      <c r="M458" t="s" s="13">
        <v>3057</v>
      </c>
      <c r="N458" t="s" s="13">
        <v>3058</v>
      </c>
      <c r="O458" s="15">
        <v>64.20999999999999</v>
      </c>
      <c r="P458" s="17" cm="1">
        <f t="array" ref="P458">(I458-I457)/I457</f>
        <v>-0.00331312121022692</v>
      </c>
      <c r="Q458" s="8"/>
    </row>
    <row r="459" ht="13.65" customHeight="1">
      <c r="A459" t="s" s="27">
        <v>1294</v>
      </c>
      <c r="B459" t="s" s="13">
        <v>22</v>
      </c>
      <c r="C459" s="28">
        <v>44935</v>
      </c>
      <c r="D459" s="14">
        <v>1594.4</v>
      </c>
      <c r="E459" s="14">
        <v>1596</v>
      </c>
      <c r="F459" s="14">
        <v>1611.55</v>
      </c>
      <c r="G459" s="14">
        <v>1590</v>
      </c>
      <c r="H459" s="14">
        <v>1597.95</v>
      </c>
      <c r="I459" s="14">
        <v>1597.5</v>
      </c>
      <c r="J459" s="14">
        <v>1601.83</v>
      </c>
      <c r="K459" t="s" s="13">
        <v>3059</v>
      </c>
      <c r="L459" t="s" s="13">
        <v>3060</v>
      </c>
      <c r="M459" t="s" s="13">
        <v>3061</v>
      </c>
      <c r="N459" t="s" s="13">
        <v>3062</v>
      </c>
      <c r="O459" s="15">
        <v>67.70999999999999</v>
      </c>
      <c r="P459" s="17" cm="1">
        <f t="array" ref="P459">(I459-I458)/I458</f>
        <v>0.00194430506773708</v>
      </c>
      <c r="Q459" s="8"/>
    </row>
    <row r="460" ht="13.65" customHeight="1">
      <c r="A460" t="s" s="27">
        <v>1294</v>
      </c>
      <c r="B460" t="s" s="13">
        <v>22</v>
      </c>
      <c r="C460" s="31">
        <v>44936</v>
      </c>
      <c r="D460" s="14">
        <v>1597.5</v>
      </c>
      <c r="E460" s="14">
        <v>1600</v>
      </c>
      <c r="F460" s="14">
        <v>1600</v>
      </c>
      <c r="G460" s="14">
        <v>1565</v>
      </c>
      <c r="H460" s="14">
        <v>1570</v>
      </c>
      <c r="I460" s="14">
        <v>1568.3</v>
      </c>
      <c r="J460" s="14">
        <v>1572.13</v>
      </c>
      <c r="K460" t="s" s="13">
        <v>3063</v>
      </c>
      <c r="L460" t="s" s="13">
        <v>3064</v>
      </c>
      <c r="M460" t="s" s="13">
        <v>3065</v>
      </c>
      <c r="N460" t="s" s="13">
        <v>3066</v>
      </c>
      <c r="O460" s="15">
        <v>76.97</v>
      </c>
      <c r="P460" s="17" cm="1">
        <f t="array" ref="P460">(I460-I459)/I459</f>
        <v>-0.0182785602503912</v>
      </c>
      <c r="Q460" s="8"/>
    </row>
    <row r="461" ht="13.65" customHeight="1">
      <c r="A461" t="s" s="27">
        <v>1294</v>
      </c>
      <c r="B461" t="s" s="13">
        <v>22</v>
      </c>
      <c r="C461" s="31">
        <v>44937</v>
      </c>
      <c r="D461" s="14">
        <v>1568.3</v>
      </c>
      <c r="E461" s="14">
        <v>1567.95</v>
      </c>
      <c r="F461" s="14">
        <v>1598</v>
      </c>
      <c r="G461" s="14">
        <v>1560</v>
      </c>
      <c r="H461" s="14">
        <v>1589</v>
      </c>
      <c r="I461" s="14">
        <v>1590.9</v>
      </c>
      <c r="J461" s="14">
        <v>1585.27</v>
      </c>
      <c r="K461" t="s" s="13">
        <v>3067</v>
      </c>
      <c r="L461" t="s" s="13">
        <v>3068</v>
      </c>
      <c r="M461" t="s" s="13">
        <v>3069</v>
      </c>
      <c r="N461" t="s" s="13">
        <v>3070</v>
      </c>
      <c r="O461" s="15">
        <v>72.12</v>
      </c>
      <c r="P461" s="17" cm="1">
        <f t="array" ref="P461">(I461-I460)/I460</f>
        <v>0.0144105081935854</v>
      </c>
      <c r="Q461" s="8"/>
    </row>
    <row r="462" ht="13.65" customHeight="1">
      <c r="A462" t="s" s="27">
        <v>1294</v>
      </c>
      <c r="B462" t="s" s="13">
        <v>22</v>
      </c>
      <c r="C462" s="31">
        <v>44938</v>
      </c>
      <c r="D462" s="14">
        <v>1590.9</v>
      </c>
      <c r="E462" s="14">
        <v>1587.8</v>
      </c>
      <c r="F462" s="14">
        <v>1603.9</v>
      </c>
      <c r="G462" s="14">
        <v>1584.15</v>
      </c>
      <c r="H462" s="14">
        <v>1597</v>
      </c>
      <c r="I462" s="14">
        <v>1599.4</v>
      </c>
      <c r="J462" s="14">
        <v>1593.76</v>
      </c>
      <c r="K462" t="s" s="13">
        <v>3071</v>
      </c>
      <c r="L462" t="s" s="13">
        <v>3072</v>
      </c>
      <c r="M462" t="s" s="13">
        <v>3073</v>
      </c>
      <c r="N462" t="s" s="13">
        <v>3074</v>
      </c>
      <c r="O462" s="15">
        <v>60.47</v>
      </c>
      <c r="P462" s="17" cm="1">
        <f t="array" ref="P462">(I462-I461)/I461</f>
        <v>0.00534288767364385</v>
      </c>
      <c r="Q462" s="8"/>
    </row>
    <row r="463" ht="13.65" customHeight="1">
      <c r="A463" t="s" s="27">
        <v>1294</v>
      </c>
      <c r="B463" t="s" s="13">
        <v>22</v>
      </c>
      <c r="C463" s="31">
        <v>44939</v>
      </c>
      <c r="D463" s="14">
        <v>1599.4</v>
      </c>
      <c r="E463" s="14">
        <v>1598.75</v>
      </c>
      <c r="F463" s="14">
        <v>1609.9</v>
      </c>
      <c r="G463" s="14">
        <v>1586</v>
      </c>
      <c r="H463" s="14">
        <v>1601</v>
      </c>
      <c r="I463" s="14">
        <v>1600.65</v>
      </c>
      <c r="J463" s="14">
        <v>1598.66</v>
      </c>
      <c r="K463" t="s" s="13">
        <v>3075</v>
      </c>
      <c r="L463" t="s" s="13">
        <v>3076</v>
      </c>
      <c r="M463" t="s" s="13">
        <v>3077</v>
      </c>
      <c r="N463" t="s" s="13">
        <v>3078</v>
      </c>
      <c r="O463" s="15">
        <v>65.11</v>
      </c>
      <c r="P463" s="17" cm="1">
        <f t="array" ref="P463">(I463-I462)/I462</f>
        <v>0.000781543078654495</v>
      </c>
      <c r="Q463" s="8"/>
    </row>
    <row r="464" ht="13.65" customHeight="1">
      <c r="A464" t="s" s="27">
        <v>1294</v>
      </c>
      <c r="B464" t="s" s="13">
        <v>22</v>
      </c>
      <c r="C464" s="31">
        <v>44942</v>
      </c>
      <c r="D464" s="14">
        <v>1600.65</v>
      </c>
      <c r="E464" s="14">
        <v>1615</v>
      </c>
      <c r="F464" s="14">
        <v>1621.3</v>
      </c>
      <c r="G464" s="14">
        <v>1580.3</v>
      </c>
      <c r="H464" s="14">
        <v>1585.8</v>
      </c>
      <c r="I464" s="14">
        <v>1585.3</v>
      </c>
      <c r="J464" s="14">
        <v>1600.14</v>
      </c>
      <c r="K464" t="s" s="13">
        <v>3079</v>
      </c>
      <c r="L464" t="s" s="13">
        <v>3080</v>
      </c>
      <c r="M464" t="s" s="13">
        <v>3081</v>
      </c>
      <c r="N464" t="s" s="13">
        <v>3082</v>
      </c>
      <c r="O464" s="15">
        <v>49.77</v>
      </c>
      <c r="P464" s="17" cm="1">
        <f t="array" ref="P464">(I464-I463)/I463</f>
        <v>-0.00958985412176303</v>
      </c>
      <c r="Q464" s="8"/>
    </row>
    <row r="465" ht="13.65" customHeight="1">
      <c r="A465" t="s" s="27">
        <v>1294</v>
      </c>
      <c r="B465" t="s" s="13">
        <v>22</v>
      </c>
      <c r="C465" s="31">
        <v>44943</v>
      </c>
      <c r="D465" s="14">
        <v>1585.3</v>
      </c>
      <c r="E465" s="14">
        <v>1589.8</v>
      </c>
      <c r="F465" s="14">
        <v>1611</v>
      </c>
      <c r="G465" s="14">
        <v>1577.5</v>
      </c>
      <c r="H465" s="14">
        <v>1607.45</v>
      </c>
      <c r="I465" s="14">
        <v>1608.9</v>
      </c>
      <c r="J465" s="14">
        <v>1602.4</v>
      </c>
      <c r="K465" t="s" s="13">
        <v>3083</v>
      </c>
      <c r="L465" t="s" s="13">
        <v>3084</v>
      </c>
      <c r="M465" t="s" s="13">
        <v>3085</v>
      </c>
      <c r="N465" t="s" s="13">
        <v>3086</v>
      </c>
      <c r="O465" s="15">
        <v>59.38</v>
      </c>
      <c r="P465" s="17" cm="1">
        <f t="array" ref="P465">(I465-I464)/I464</f>
        <v>0.0148867722197691</v>
      </c>
      <c r="Q465" s="8"/>
    </row>
    <row r="466" ht="13.65" customHeight="1">
      <c r="A466" t="s" s="27">
        <v>1294</v>
      </c>
      <c r="B466" t="s" s="13">
        <v>22</v>
      </c>
      <c r="C466" s="31">
        <v>44944</v>
      </c>
      <c r="D466" s="14">
        <v>1608.9</v>
      </c>
      <c r="E466" s="14">
        <v>1605</v>
      </c>
      <c r="F466" s="14">
        <v>1641.6</v>
      </c>
      <c r="G466" s="14">
        <v>1599.7</v>
      </c>
      <c r="H466" s="14">
        <v>1637.15</v>
      </c>
      <c r="I466" s="14">
        <v>1637.3</v>
      </c>
      <c r="J466" s="14">
        <v>1631.33</v>
      </c>
      <c r="K466" t="s" s="13">
        <v>3087</v>
      </c>
      <c r="L466" t="s" s="13">
        <v>3088</v>
      </c>
      <c r="M466" t="s" s="13">
        <v>3089</v>
      </c>
      <c r="N466" t="s" s="13">
        <v>3090</v>
      </c>
      <c r="O466" s="15">
        <v>60.65</v>
      </c>
      <c r="P466" s="17" cm="1">
        <f t="array" ref="P466">(I466-I465)/I465</f>
        <v>0.0176518117968799</v>
      </c>
      <c r="Q466" s="8"/>
    </row>
    <row r="467" ht="13.65" customHeight="1">
      <c r="A467" t="s" s="27">
        <v>1294</v>
      </c>
      <c r="B467" t="s" s="13">
        <v>22</v>
      </c>
      <c r="C467" s="31">
        <v>44945</v>
      </c>
      <c r="D467" s="14">
        <v>1637.3</v>
      </c>
      <c r="E467" s="14">
        <v>1637</v>
      </c>
      <c r="F467" s="14">
        <v>1650</v>
      </c>
      <c r="G467" s="14">
        <v>1633</v>
      </c>
      <c r="H467" s="14">
        <v>1640.1</v>
      </c>
      <c r="I467" s="14">
        <v>1644.1</v>
      </c>
      <c r="J467" s="14">
        <v>1643.36</v>
      </c>
      <c r="K467" t="s" s="13">
        <v>3091</v>
      </c>
      <c r="L467" t="s" s="13">
        <v>3092</v>
      </c>
      <c r="M467" t="s" s="13">
        <v>3093</v>
      </c>
      <c r="N467" t="s" s="13">
        <v>3094</v>
      </c>
      <c r="O467" s="15">
        <v>66.13</v>
      </c>
      <c r="P467" s="17" cm="1">
        <f t="array" ref="P467">(I467-I466)/I466</f>
        <v>0.00415317901423075</v>
      </c>
      <c r="Q467" s="8"/>
    </row>
    <row r="468" ht="13.65" customHeight="1">
      <c r="A468" t="s" s="27">
        <v>1294</v>
      </c>
      <c r="B468" t="s" s="13">
        <v>22</v>
      </c>
      <c r="C468" s="31">
        <v>44946</v>
      </c>
      <c r="D468" s="14">
        <v>1644.1</v>
      </c>
      <c r="E468" s="14">
        <v>1644.1</v>
      </c>
      <c r="F468" s="14">
        <v>1669</v>
      </c>
      <c r="G468" s="14">
        <v>1643.4</v>
      </c>
      <c r="H468" s="14">
        <v>1659.25</v>
      </c>
      <c r="I468" s="14">
        <v>1660.95</v>
      </c>
      <c r="J468" s="14">
        <v>1661.6</v>
      </c>
      <c r="K468" t="s" s="13">
        <v>3095</v>
      </c>
      <c r="L468" t="s" s="13">
        <v>3096</v>
      </c>
      <c r="M468" t="s" s="13">
        <v>3097</v>
      </c>
      <c r="N468" t="s" s="13">
        <v>3098</v>
      </c>
      <c r="O468" s="15">
        <v>71.76000000000001</v>
      </c>
      <c r="P468" s="17" cm="1">
        <f t="array" ref="P468">(I468-I467)/I467</f>
        <v>0.0102487683230947</v>
      </c>
      <c r="Q468" s="8"/>
    </row>
    <row r="469" ht="13.65" customHeight="1">
      <c r="A469" t="s" s="27">
        <v>1294</v>
      </c>
      <c r="B469" t="s" s="13">
        <v>22</v>
      </c>
      <c r="C469" s="31">
        <v>44949</v>
      </c>
      <c r="D469" s="14">
        <v>1660.95</v>
      </c>
      <c r="E469" s="14">
        <v>1666.25</v>
      </c>
      <c r="F469" s="14">
        <v>1682.6</v>
      </c>
      <c r="G469" s="14">
        <v>1661.4</v>
      </c>
      <c r="H469" s="14">
        <v>1671.9</v>
      </c>
      <c r="I469" s="14">
        <v>1673.1</v>
      </c>
      <c r="J469" s="14">
        <v>1674.88</v>
      </c>
      <c r="K469" t="s" s="13">
        <v>3099</v>
      </c>
      <c r="L469" t="s" s="13">
        <v>3100</v>
      </c>
      <c r="M469" t="s" s="13">
        <v>3101</v>
      </c>
      <c r="N469" t="s" s="13">
        <v>3102</v>
      </c>
      <c r="O469" s="15">
        <v>74.92</v>
      </c>
      <c r="P469" s="17" cm="1">
        <f t="array" ref="P469">(I469-I468)/I468</f>
        <v>0.0073150907613113</v>
      </c>
      <c r="Q469" s="8"/>
    </row>
    <row r="470" ht="13.65" customHeight="1">
      <c r="A470" t="s" s="27">
        <v>1294</v>
      </c>
      <c r="B470" t="s" s="13">
        <v>22</v>
      </c>
      <c r="C470" s="31">
        <v>44950</v>
      </c>
      <c r="D470" s="14">
        <v>1673.1</v>
      </c>
      <c r="E470" s="14">
        <v>1675.05</v>
      </c>
      <c r="F470" s="14">
        <v>1702.4</v>
      </c>
      <c r="G470" s="14">
        <v>1675</v>
      </c>
      <c r="H470" s="14">
        <v>1693</v>
      </c>
      <c r="I470" s="14">
        <v>1695.5</v>
      </c>
      <c r="J470" s="14">
        <v>1692.57</v>
      </c>
      <c r="K470" t="s" s="13">
        <v>3103</v>
      </c>
      <c r="L470" t="s" s="13">
        <v>3104</v>
      </c>
      <c r="M470" t="s" s="13">
        <v>3105</v>
      </c>
      <c r="N470" t="s" s="13">
        <v>3106</v>
      </c>
      <c r="O470" s="15">
        <v>72.03</v>
      </c>
      <c r="P470" s="17" cm="1">
        <f t="array" ref="P470">(I470-I469)/I469</f>
        <v>0.0133883210806288</v>
      </c>
      <c r="Q470" s="8"/>
    </row>
    <row r="471" ht="13.65" customHeight="1">
      <c r="A471" t="s" s="27">
        <v>1294</v>
      </c>
      <c r="B471" t="s" s="13">
        <v>22</v>
      </c>
      <c r="C471" s="31">
        <v>44951</v>
      </c>
      <c r="D471" s="14">
        <v>1695.5</v>
      </c>
      <c r="E471" s="14">
        <v>1691.4</v>
      </c>
      <c r="F471" s="14">
        <v>1692.95</v>
      </c>
      <c r="G471" s="14">
        <v>1645.3</v>
      </c>
      <c r="H471" s="14">
        <v>1649.7</v>
      </c>
      <c r="I471" s="14">
        <v>1648.65</v>
      </c>
      <c r="J471" s="14">
        <v>1657.89</v>
      </c>
      <c r="K471" t="s" s="13">
        <v>3107</v>
      </c>
      <c r="L471" t="s" s="13">
        <v>3108</v>
      </c>
      <c r="M471" t="s" s="13">
        <v>3109</v>
      </c>
      <c r="N471" t="s" s="13">
        <v>3110</v>
      </c>
      <c r="O471" s="15">
        <v>66.65000000000001</v>
      </c>
      <c r="P471" s="17" cm="1">
        <f t="array" ref="P471">(I471-I470)/I470</f>
        <v>-0.0276319669713949</v>
      </c>
      <c r="Q471" s="8"/>
    </row>
    <row r="472" ht="13.65" customHeight="1">
      <c r="A472" t="s" s="27">
        <v>1294</v>
      </c>
      <c r="B472" t="s" s="13">
        <v>22</v>
      </c>
      <c r="C472" s="31">
        <v>44953</v>
      </c>
      <c r="D472" s="14">
        <v>1648.65</v>
      </c>
      <c r="E472" s="14">
        <v>1632</v>
      </c>
      <c r="F472" s="14">
        <v>1637</v>
      </c>
      <c r="G472" s="14">
        <v>1589.95</v>
      </c>
      <c r="H472" s="14">
        <v>1614.8</v>
      </c>
      <c r="I472" s="14">
        <v>1615.8</v>
      </c>
      <c r="J472" s="14">
        <v>1614.04</v>
      </c>
      <c r="K472" t="s" s="13">
        <v>3111</v>
      </c>
      <c r="L472" t="s" s="13">
        <v>3112</v>
      </c>
      <c r="M472" t="s" s="13">
        <v>3113</v>
      </c>
      <c r="N472" t="s" s="13">
        <v>3114</v>
      </c>
      <c r="O472" s="15">
        <v>71.59</v>
      </c>
      <c r="P472" s="17" cm="1">
        <f t="array" ref="P472">(I472-I471)/I471</f>
        <v>-0.0199253935037758</v>
      </c>
      <c r="Q472" s="8"/>
    </row>
    <row r="473" ht="13.65" customHeight="1">
      <c r="A473" t="s" s="27">
        <v>1294</v>
      </c>
      <c r="B473" t="s" s="13">
        <v>22</v>
      </c>
      <c r="C473" s="31">
        <v>44956</v>
      </c>
      <c r="D473" s="14">
        <v>1615.8</v>
      </c>
      <c r="E473" s="14">
        <v>1595</v>
      </c>
      <c r="F473" s="14">
        <v>1625.3</v>
      </c>
      <c r="G473" s="14">
        <v>1582</v>
      </c>
      <c r="H473" s="14">
        <v>1617.4</v>
      </c>
      <c r="I473" s="14">
        <v>1614.15</v>
      </c>
      <c r="J473" s="14">
        <v>1603.35</v>
      </c>
      <c r="K473" t="s" s="13">
        <v>3115</v>
      </c>
      <c r="L473" t="s" s="13">
        <v>3116</v>
      </c>
      <c r="M473" t="s" s="13">
        <v>3117</v>
      </c>
      <c r="N473" t="s" s="13">
        <v>3118</v>
      </c>
      <c r="O473" s="15">
        <v>60.99</v>
      </c>
      <c r="P473" s="17" cm="1">
        <f t="array" ref="P473">(I473-I472)/I472</f>
        <v>-0.00102116598588934</v>
      </c>
      <c r="Q473" s="8"/>
    </row>
    <row r="474" ht="13.65" customHeight="1">
      <c r="A474" t="s" s="27">
        <v>1294</v>
      </c>
      <c r="B474" t="s" s="13">
        <v>22</v>
      </c>
      <c r="C474" s="31">
        <v>44957</v>
      </c>
      <c r="D474" s="14">
        <v>1614.15</v>
      </c>
      <c r="E474" s="14">
        <v>1619.7</v>
      </c>
      <c r="F474" s="14">
        <v>1622.7</v>
      </c>
      <c r="G474" s="14">
        <v>1595</v>
      </c>
      <c r="H474" s="14">
        <v>1605.8</v>
      </c>
      <c r="I474" s="14">
        <v>1603.5</v>
      </c>
      <c r="J474" s="14">
        <v>1606.73</v>
      </c>
      <c r="K474" t="s" s="13">
        <v>3119</v>
      </c>
      <c r="L474" t="s" s="13">
        <v>3120</v>
      </c>
      <c r="M474" t="s" s="13">
        <v>3121</v>
      </c>
      <c r="N474" t="s" s="13">
        <v>3122</v>
      </c>
      <c r="O474" s="15">
        <v>63.24</v>
      </c>
      <c r="P474" s="17" cm="1">
        <f t="array" ref="P474">(I474-I473)/I473</f>
        <v>-0.00659789982343648</v>
      </c>
      <c r="Q474" s="8"/>
    </row>
    <row r="475" ht="13.65" customHeight="1">
      <c r="A475" t="s" s="27">
        <v>1294</v>
      </c>
      <c r="B475" t="s" s="13">
        <v>22</v>
      </c>
      <c r="C475" s="28">
        <v>44958</v>
      </c>
      <c r="D475" s="14">
        <v>1603.5</v>
      </c>
      <c r="E475" s="14">
        <v>1624</v>
      </c>
      <c r="F475" s="14">
        <v>1665</v>
      </c>
      <c r="G475" s="14">
        <v>1606</v>
      </c>
      <c r="H475" s="14">
        <v>1625.5</v>
      </c>
      <c r="I475" s="14">
        <v>1627.55</v>
      </c>
      <c r="J475" s="14">
        <v>1633.55</v>
      </c>
      <c r="K475" t="s" s="13">
        <v>3123</v>
      </c>
      <c r="L475" t="s" s="13">
        <v>3124</v>
      </c>
      <c r="M475" t="s" s="13">
        <v>3125</v>
      </c>
      <c r="N475" t="s" s="13">
        <v>3126</v>
      </c>
      <c r="O475" s="15">
        <v>54.07</v>
      </c>
      <c r="P475" s="17" cm="1">
        <f t="array" ref="P475">(I475-I474)/I474</f>
        <v>0.0149984409105083</v>
      </c>
      <c r="Q475" s="8"/>
    </row>
    <row r="476" ht="13.65" customHeight="1">
      <c r="A476" t="s" s="27">
        <v>1294</v>
      </c>
      <c r="B476" t="s" s="13">
        <v>22</v>
      </c>
      <c r="C476" s="28">
        <v>44959</v>
      </c>
      <c r="D476" s="14">
        <v>1627.55</v>
      </c>
      <c r="E476" s="14">
        <v>1608.1</v>
      </c>
      <c r="F476" s="14">
        <v>1624.5</v>
      </c>
      <c r="G476" s="14">
        <v>1588.75</v>
      </c>
      <c r="H476" s="14">
        <v>1605.7</v>
      </c>
      <c r="I476" s="14">
        <v>1603.35</v>
      </c>
      <c r="J476" s="14">
        <v>1601.95</v>
      </c>
      <c r="K476" t="s" s="13">
        <v>3127</v>
      </c>
      <c r="L476" t="s" s="13">
        <v>3128</v>
      </c>
      <c r="M476" t="s" s="13">
        <v>3129</v>
      </c>
      <c r="N476" t="s" s="13">
        <v>3130</v>
      </c>
      <c r="O476" s="15">
        <v>60.45</v>
      </c>
      <c r="P476" s="17" cm="1">
        <f t="array" ref="P476">(I476-I475)/I475</f>
        <v>-0.0148689748394827</v>
      </c>
      <c r="Q476" s="8"/>
    </row>
    <row r="477" ht="13.65" customHeight="1">
      <c r="A477" t="s" s="27">
        <v>1294</v>
      </c>
      <c r="B477" t="s" s="13">
        <v>22</v>
      </c>
      <c r="C477" s="28">
        <v>44960</v>
      </c>
      <c r="D477" s="14">
        <v>1603.35</v>
      </c>
      <c r="E477" s="14">
        <v>1611</v>
      </c>
      <c r="F477" s="14">
        <v>1660.5</v>
      </c>
      <c r="G477" s="14">
        <v>1607</v>
      </c>
      <c r="H477" s="14">
        <v>1658.25</v>
      </c>
      <c r="I477" s="14">
        <v>1658.8</v>
      </c>
      <c r="J477" s="14">
        <v>1641.97</v>
      </c>
      <c r="K477" t="s" s="13">
        <v>3131</v>
      </c>
      <c r="L477" t="s" s="13">
        <v>3132</v>
      </c>
      <c r="M477" t="s" s="13">
        <v>3133</v>
      </c>
      <c r="N477" t="s" s="13">
        <v>3134</v>
      </c>
      <c r="O477" s="15">
        <v>61.91</v>
      </c>
      <c r="P477" s="17" cm="1">
        <f t="array" ref="P477">(I477-I476)/I476</f>
        <v>0.0345838400848224</v>
      </c>
      <c r="Q477" s="8"/>
    </row>
    <row r="478" ht="13.65" customHeight="1">
      <c r="A478" t="s" s="27">
        <v>1294</v>
      </c>
      <c r="B478" t="s" s="13">
        <v>22</v>
      </c>
      <c r="C478" s="28">
        <v>44963</v>
      </c>
      <c r="D478" s="14">
        <v>1658.8</v>
      </c>
      <c r="E478" s="14">
        <v>1660</v>
      </c>
      <c r="F478" s="14">
        <v>1669.4</v>
      </c>
      <c r="G478" s="14">
        <v>1646.2</v>
      </c>
      <c r="H478" s="14">
        <v>1650</v>
      </c>
      <c r="I478" s="14">
        <v>1651.75</v>
      </c>
      <c r="J478" s="14">
        <v>1656.81</v>
      </c>
      <c r="K478" t="s" s="13">
        <v>3135</v>
      </c>
      <c r="L478" t="s" s="13">
        <v>3136</v>
      </c>
      <c r="M478" t="s" s="13">
        <v>3137</v>
      </c>
      <c r="N478" t="s" s="13">
        <v>3138</v>
      </c>
      <c r="O478" s="15">
        <v>70.06</v>
      </c>
      <c r="P478" s="17" cm="1">
        <f t="array" ref="P478">(I478-I477)/I477</f>
        <v>-0.00425006028454304</v>
      </c>
      <c r="Q478" s="8"/>
    </row>
    <row r="479" ht="13.65" customHeight="1">
      <c r="A479" t="s" s="27">
        <v>1294</v>
      </c>
      <c r="B479" t="s" s="13">
        <v>22</v>
      </c>
      <c r="C479" s="28">
        <v>44964</v>
      </c>
      <c r="D479" s="14">
        <v>1651.75</v>
      </c>
      <c r="E479" s="14">
        <v>1659.4</v>
      </c>
      <c r="F479" s="14">
        <v>1664.9</v>
      </c>
      <c r="G479" s="14">
        <v>1632.6</v>
      </c>
      <c r="H479" s="14">
        <v>1652</v>
      </c>
      <c r="I479" s="14">
        <v>1654.2</v>
      </c>
      <c r="J479" s="14">
        <v>1650.73</v>
      </c>
      <c r="K479" t="s" s="13">
        <v>3139</v>
      </c>
      <c r="L479" t="s" s="13">
        <v>3140</v>
      </c>
      <c r="M479" t="s" s="13">
        <v>3141</v>
      </c>
      <c r="N479" t="s" s="13">
        <v>3142</v>
      </c>
      <c r="O479" s="15">
        <v>65.62</v>
      </c>
      <c r="P479" s="17" cm="1">
        <f t="array" ref="P479">(I479-I478)/I478</f>
        <v>0.00148327531406084</v>
      </c>
      <c r="Q479" s="8"/>
    </row>
    <row r="480" ht="13.65" customHeight="1">
      <c r="A480" t="s" s="27">
        <v>1294</v>
      </c>
      <c r="B480" t="s" s="13">
        <v>22</v>
      </c>
      <c r="C480" s="28">
        <v>44965</v>
      </c>
      <c r="D480" s="14">
        <v>1654.2</v>
      </c>
      <c r="E480" s="14">
        <v>1654.25</v>
      </c>
      <c r="F480" s="14">
        <v>1668.2</v>
      </c>
      <c r="G480" s="14">
        <v>1650</v>
      </c>
      <c r="H480" s="14">
        <v>1652</v>
      </c>
      <c r="I480" s="14">
        <v>1654</v>
      </c>
      <c r="J480" s="14">
        <v>1658.26</v>
      </c>
      <c r="K480" t="s" s="13">
        <v>3143</v>
      </c>
      <c r="L480" t="s" s="13">
        <v>3144</v>
      </c>
      <c r="M480" t="s" s="13">
        <v>3145</v>
      </c>
      <c r="N480" t="s" s="13">
        <v>3146</v>
      </c>
      <c r="O480" s="15">
        <v>66.48</v>
      </c>
      <c r="P480" s="17" cm="1">
        <f t="array" ref="P480">(I480-I479)/I479</f>
        <v>-0.000120904364647564</v>
      </c>
      <c r="Q480" s="8"/>
    </row>
    <row r="481" ht="13.65" customHeight="1">
      <c r="A481" t="s" s="27">
        <v>1294</v>
      </c>
      <c r="B481" t="s" s="13">
        <v>22</v>
      </c>
      <c r="C481" s="28">
        <v>44966</v>
      </c>
      <c r="D481" s="14">
        <v>1654</v>
      </c>
      <c r="E481" s="14">
        <v>1660</v>
      </c>
      <c r="F481" s="14">
        <v>1661.65</v>
      </c>
      <c r="G481" s="14">
        <v>1635.55</v>
      </c>
      <c r="H481" s="14">
        <v>1650.2</v>
      </c>
      <c r="I481" s="14">
        <v>1650.55</v>
      </c>
      <c r="J481" s="14">
        <v>1646.47</v>
      </c>
      <c r="K481" t="s" s="13">
        <v>3147</v>
      </c>
      <c r="L481" t="s" s="13">
        <v>3148</v>
      </c>
      <c r="M481" t="s" s="13">
        <v>3149</v>
      </c>
      <c r="N481" t="s" s="13">
        <v>3150</v>
      </c>
      <c r="O481" s="15">
        <v>66.28</v>
      </c>
      <c r="P481" s="17" cm="1">
        <f t="array" ref="P481">(I481-I480)/I480</f>
        <v>-0.00208585247883918</v>
      </c>
      <c r="Q481" s="8"/>
    </row>
    <row r="482" ht="13.65" customHeight="1">
      <c r="A482" t="s" s="27">
        <v>1294</v>
      </c>
      <c r="B482" t="s" s="13">
        <v>22</v>
      </c>
      <c r="C482" s="31">
        <v>44967</v>
      </c>
      <c r="D482" s="14">
        <v>1650.55</v>
      </c>
      <c r="E482" s="14">
        <v>1648.8</v>
      </c>
      <c r="F482" s="14">
        <v>1658.5</v>
      </c>
      <c r="G482" s="14">
        <v>1642.2</v>
      </c>
      <c r="H482" s="14">
        <v>1652.3</v>
      </c>
      <c r="I482" s="14">
        <v>1657.1</v>
      </c>
      <c r="J482" s="14">
        <v>1652.8</v>
      </c>
      <c r="K482" t="s" s="13">
        <v>3151</v>
      </c>
      <c r="L482" t="s" s="13">
        <v>3152</v>
      </c>
      <c r="M482" t="s" s="13">
        <v>3153</v>
      </c>
      <c r="N482" t="s" s="13">
        <v>3154</v>
      </c>
      <c r="O482" s="15">
        <v>65.59999999999999</v>
      </c>
      <c r="P482" s="17" cm="1">
        <f t="array" ref="P482">(I482-I481)/I481</f>
        <v>0.0039683741783042</v>
      </c>
      <c r="Q482" s="8"/>
    </row>
    <row r="483" ht="13.65" customHeight="1">
      <c r="A483" t="s" s="27">
        <v>1294</v>
      </c>
      <c r="B483" t="s" s="13">
        <v>22</v>
      </c>
      <c r="C483" s="31">
        <v>44970</v>
      </c>
      <c r="D483" s="14">
        <v>1657.1</v>
      </c>
      <c r="E483" s="14">
        <v>1655</v>
      </c>
      <c r="F483" s="14">
        <v>1661.75</v>
      </c>
      <c r="G483" s="14">
        <v>1644.55</v>
      </c>
      <c r="H483" s="14">
        <v>1658.8</v>
      </c>
      <c r="I483" s="14">
        <v>1658.35</v>
      </c>
      <c r="J483" s="14">
        <v>1653.05</v>
      </c>
      <c r="K483" t="s" s="13">
        <v>3155</v>
      </c>
      <c r="L483" t="s" s="13">
        <v>3156</v>
      </c>
      <c r="M483" t="s" s="13">
        <v>3157</v>
      </c>
      <c r="N483" t="s" s="13">
        <v>3158</v>
      </c>
      <c r="O483" s="15">
        <v>55.91</v>
      </c>
      <c r="P483" s="17" cm="1">
        <f t="array" ref="P483">(I483-I482)/I482</f>
        <v>0.000754329853358277</v>
      </c>
      <c r="Q483" s="8"/>
    </row>
    <row r="484" ht="13.65" customHeight="1">
      <c r="A484" t="s" s="27">
        <v>1294</v>
      </c>
      <c r="B484" t="s" s="13">
        <v>22</v>
      </c>
      <c r="C484" s="31">
        <v>44971</v>
      </c>
      <c r="D484" s="14">
        <v>1658.35</v>
      </c>
      <c r="E484" s="14">
        <v>1665</v>
      </c>
      <c r="F484" s="14">
        <v>1677.5</v>
      </c>
      <c r="G484" s="14">
        <v>1657.95</v>
      </c>
      <c r="H484" s="14">
        <v>1672</v>
      </c>
      <c r="I484" s="14">
        <v>1673.7</v>
      </c>
      <c r="J484" s="14">
        <v>1667.58</v>
      </c>
      <c r="K484" t="s" s="13">
        <v>3159</v>
      </c>
      <c r="L484" t="s" s="13">
        <v>3160</v>
      </c>
      <c r="M484" t="s" s="13">
        <v>3161</v>
      </c>
      <c r="N484" t="s" s="13">
        <v>3162</v>
      </c>
      <c r="O484" s="15">
        <v>60.22</v>
      </c>
      <c r="P484" s="17" cm="1">
        <f t="array" ref="P484">(I484-I483)/I483</f>
        <v>0.009256188380016281</v>
      </c>
      <c r="Q484" s="8"/>
    </row>
    <row r="485" ht="13.65" customHeight="1">
      <c r="A485" t="s" s="27">
        <v>1294</v>
      </c>
      <c r="B485" t="s" s="13">
        <v>22</v>
      </c>
      <c r="C485" s="31">
        <v>44972</v>
      </c>
      <c r="D485" s="14">
        <v>1673.7</v>
      </c>
      <c r="E485" s="14">
        <v>1678</v>
      </c>
      <c r="F485" s="14">
        <v>1678</v>
      </c>
      <c r="G485" s="14">
        <v>1656.75</v>
      </c>
      <c r="H485" s="14">
        <v>1670</v>
      </c>
      <c r="I485" s="14">
        <v>1670.3</v>
      </c>
      <c r="J485" s="14">
        <v>1666.6</v>
      </c>
      <c r="K485" t="s" s="13">
        <v>3163</v>
      </c>
      <c r="L485" t="s" s="13">
        <v>3164</v>
      </c>
      <c r="M485" t="s" s="13">
        <v>3165</v>
      </c>
      <c r="N485" t="s" s="13">
        <v>3166</v>
      </c>
      <c r="O485" s="15">
        <v>62.52</v>
      </c>
      <c r="P485" s="17" cm="1">
        <f t="array" ref="P485">(I485-I484)/I484</f>
        <v>-0.00203142737647129</v>
      </c>
      <c r="Q485" s="8"/>
    </row>
    <row r="486" ht="13.65" customHeight="1">
      <c r="A486" t="s" s="27">
        <v>1294</v>
      </c>
      <c r="B486" t="s" s="13">
        <v>22</v>
      </c>
      <c r="C486" s="31">
        <v>44973</v>
      </c>
      <c r="D486" s="14">
        <v>1670.3</v>
      </c>
      <c r="E486" s="14">
        <v>1673.2</v>
      </c>
      <c r="F486" s="14">
        <v>1681.9</v>
      </c>
      <c r="G486" s="14">
        <v>1661</v>
      </c>
      <c r="H486" s="14">
        <v>1663.45</v>
      </c>
      <c r="I486" s="14">
        <v>1664.25</v>
      </c>
      <c r="J486" s="14">
        <v>1674.01</v>
      </c>
      <c r="K486" t="s" s="13">
        <v>3167</v>
      </c>
      <c r="L486" t="s" s="13">
        <v>3168</v>
      </c>
      <c r="M486" t="s" s="13">
        <v>3169</v>
      </c>
      <c r="N486" t="s" s="13">
        <v>3170</v>
      </c>
      <c r="O486" s="15">
        <v>39.96</v>
      </c>
      <c r="P486" s="17" cm="1">
        <f t="array" ref="P486">(I486-I485)/I485</f>
        <v>-0.00362210381368616</v>
      </c>
      <c r="Q486" s="8"/>
    </row>
    <row r="487" ht="13.65" customHeight="1">
      <c r="A487" t="s" s="27">
        <v>1294</v>
      </c>
      <c r="B487" t="s" s="13">
        <v>22</v>
      </c>
      <c r="C487" s="31">
        <v>44974</v>
      </c>
      <c r="D487" s="14">
        <v>1664.25</v>
      </c>
      <c r="E487" s="14">
        <v>1661</v>
      </c>
      <c r="F487" s="14">
        <v>1668.15</v>
      </c>
      <c r="G487" s="14">
        <v>1642.95</v>
      </c>
      <c r="H487" s="14">
        <v>1656</v>
      </c>
      <c r="I487" s="14">
        <v>1655.9</v>
      </c>
      <c r="J487" s="14">
        <v>1654.92</v>
      </c>
      <c r="K487" t="s" s="13">
        <v>3171</v>
      </c>
      <c r="L487" t="s" s="13">
        <v>3172</v>
      </c>
      <c r="M487" t="s" s="13">
        <v>3173</v>
      </c>
      <c r="N487" t="s" s="13">
        <v>3174</v>
      </c>
      <c r="O487" s="15">
        <v>47.39</v>
      </c>
      <c r="P487" s="17" cm="1">
        <f t="array" ref="P487">(I487-I486)/I486</f>
        <v>-0.00501727504882079</v>
      </c>
      <c r="Q487" s="8"/>
    </row>
    <row r="488" ht="13.65" customHeight="1">
      <c r="A488" t="s" s="27">
        <v>1294</v>
      </c>
      <c r="B488" t="s" s="13">
        <v>22</v>
      </c>
      <c r="C488" s="31">
        <v>44977</v>
      </c>
      <c r="D488" s="14">
        <v>1655.9</v>
      </c>
      <c r="E488" s="14">
        <v>1660</v>
      </c>
      <c r="F488" s="14">
        <v>1669.45</v>
      </c>
      <c r="G488" s="14">
        <v>1634.8</v>
      </c>
      <c r="H488" s="14">
        <v>1640.5</v>
      </c>
      <c r="I488" s="14">
        <v>1640.35</v>
      </c>
      <c r="J488" s="14">
        <v>1653.1</v>
      </c>
      <c r="K488" t="s" s="13">
        <v>3175</v>
      </c>
      <c r="L488" t="s" s="13">
        <v>3176</v>
      </c>
      <c r="M488" t="s" s="13">
        <v>3177</v>
      </c>
      <c r="N488" t="s" s="13">
        <v>3178</v>
      </c>
      <c r="O488" s="15">
        <v>40.99</v>
      </c>
      <c r="P488" s="17" cm="1">
        <f t="array" ref="P488">(I488-I487)/I487</f>
        <v>-0.009390663687420741</v>
      </c>
      <c r="Q488" s="8"/>
    </row>
    <row r="489" ht="13.65" customHeight="1">
      <c r="A489" t="s" s="27">
        <v>1294</v>
      </c>
      <c r="B489" t="s" s="13">
        <v>22</v>
      </c>
      <c r="C489" s="31">
        <v>44978</v>
      </c>
      <c r="D489" s="14">
        <v>1640.35</v>
      </c>
      <c r="E489" s="14">
        <v>1640</v>
      </c>
      <c r="F489" s="14">
        <v>1662.35</v>
      </c>
      <c r="G489" s="14">
        <v>1634</v>
      </c>
      <c r="H489" s="14">
        <v>1649.95</v>
      </c>
      <c r="I489" s="14">
        <v>1646.5</v>
      </c>
      <c r="J489" s="14">
        <v>1647.5</v>
      </c>
      <c r="K489" t="s" s="13">
        <v>3179</v>
      </c>
      <c r="L489" t="s" s="13">
        <v>3180</v>
      </c>
      <c r="M489" t="s" s="13">
        <v>3181</v>
      </c>
      <c r="N489" t="s" s="13">
        <v>3182</v>
      </c>
      <c r="O489" s="15">
        <v>44.26</v>
      </c>
      <c r="P489" s="17" cm="1">
        <f t="array" ref="P489">(I489-I488)/I488</f>
        <v>0.00374919986588228</v>
      </c>
      <c r="Q489" s="8"/>
    </row>
    <row r="490" ht="13.65" customHeight="1">
      <c r="A490" t="s" s="27">
        <v>1294</v>
      </c>
      <c r="B490" t="s" s="13">
        <v>22</v>
      </c>
      <c r="C490" s="31">
        <v>44979</v>
      </c>
      <c r="D490" s="14">
        <v>1646.5</v>
      </c>
      <c r="E490" s="14">
        <v>1639</v>
      </c>
      <c r="F490" s="14">
        <v>1641.95</v>
      </c>
      <c r="G490" s="14">
        <v>1609.05</v>
      </c>
      <c r="H490" s="14">
        <v>1614.2</v>
      </c>
      <c r="I490" s="14">
        <v>1614.2</v>
      </c>
      <c r="J490" s="14">
        <v>1622.7</v>
      </c>
      <c r="K490" t="s" s="13">
        <v>3183</v>
      </c>
      <c r="L490" t="s" s="13">
        <v>3184</v>
      </c>
      <c r="M490" t="s" s="13">
        <v>3185</v>
      </c>
      <c r="N490" t="s" s="13">
        <v>3186</v>
      </c>
      <c r="O490" s="15">
        <v>54.81</v>
      </c>
      <c r="P490" s="17" cm="1">
        <f t="array" ref="P490">(I490-I489)/I489</f>
        <v>-0.0196173701791679</v>
      </c>
      <c r="Q490" s="8"/>
    </row>
    <row r="491" ht="13.65" customHeight="1">
      <c r="A491" t="s" s="27">
        <v>1294</v>
      </c>
      <c r="B491" t="s" s="13">
        <v>22</v>
      </c>
      <c r="C491" s="31">
        <v>44980</v>
      </c>
      <c r="D491" s="14">
        <v>1614.2</v>
      </c>
      <c r="E491" s="14">
        <v>1613</v>
      </c>
      <c r="F491" s="14">
        <v>1618.85</v>
      </c>
      <c r="G491" s="14">
        <v>1592.1</v>
      </c>
      <c r="H491" s="14">
        <v>1604</v>
      </c>
      <c r="I491" s="14">
        <v>1603.25</v>
      </c>
      <c r="J491" s="14">
        <v>1603</v>
      </c>
      <c r="K491" t="s" s="13">
        <v>3187</v>
      </c>
      <c r="L491" t="s" s="13">
        <v>3188</v>
      </c>
      <c r="M491" t="s" s="13">
        <v>3189</v>
      </c>
      <c r="N491" t="s" s="13">
        <v>3190</v>
      </c>
      <c r="O491" s="15">
        <v>33.07</v>
      </c>
      <c r="P491" s="17" cm="1">
        <f t="array" ref="P491">(I491-I490)/I490</f>
        <v>-0.00678354602899269</v>
      </c>
      <c r="Q491" s="8"/>
    </row>
    <row r="492" ht="13.65" customHeight="1">
      <c r="A492" t="s" s="27">
        <v>1294</v>
      </c>
      <c r="B492" t="s" s="13">
        <v>22</v>
      </c>
      <c r="C492" s="31">
        <v>44981</v>
      </c>
      <c r="D492" s="14">
        <v>1603.25</v>
      </c>
      <c r="E492" s="14">
        <v>1617.9</v>
      </c>
      <c r="F492" s="14">
        <v>1617.9</v>
      </c>
      <c r="G492" s="14">
        <v>1585.2</v>
      </c>
      <c r="H492" s="14">
        <v>1588.5</v>
      </c>
      <c r="I492" s="14">
        <v>1588.95</v>
      </c>
      <c r="J492" s="14">
        <v>1594.44</v>
      </c>
      <c r="K492" t="s" s="13">
        <v>3191</v>
      </c>
      <c r="L492" t="s" s="13">
        <v>3192</v>
      </c>
      <c r="M492" t="s" s="13">
        <v>3193</v>
      </c>
      <c r="N492" t="s" s="13">
        <v>3194</v>
      </c>
      <c r="O492" s="15">
        <v>52.24</v>
      </c>
      <c r="P492" s="17" cm="1">
        <f t="array" ref="P492">(I492-I491)/I491</f>
        <v>-0.00891938250428816</v>
      </c>
      <c r="Q492" s="8"/>
    </row>
    <row r="493" ht="13.65" customHeight="1">
      <c r="A493" t="s" s="27">
        <v>1294</v>
      </c>
      <c r="B493" t="s" s="13">
        <v>22</v>
      </c>
      <c r="C493" s="31">
        <v>44984</v>
      </c>
      <c r="D493" s="14">
        <v>1588.95</v>
      </c>
      <c r="E493" s="14">
        <v>1585.9</v>
      </c>
      <c r="F493" s="14">
        <v>1599</v>
      </c>
      <c r="G493" s="14">
        <v>1577.3</v>
      </c>
      <c r="H493" s="14">
        <v>1598.65</v>
      </c>
      <c r="I493" s="14">
        <v>1592.9</v>
      </c>
      <c r="J493" s="14">
        <v>1590.06</v>
      </c>
      <c r="K493" t="s" s="13">
        <v>3195</v>
      </c>
      <c r="L493" t="s" s="13">
        <v>3196</v>
      </c>
      <c r="M493" t="s" s="13">
        <v>3197</v>
      </c>
      <c r="N493" t="s" s="13">
        <v>3198</v>
      </c>
      <c r="O493" s="15">
        <v>47.26</v>
      </c>
      <c r="P493" s="17" cm="1">
        <f t="array" ref="P493">(I493-I492)/I492</f>
        <v>0.00248591837376884</v>
      </c>
      <c r="Q493" s="8"/>
    </row>
    <row r="494" ht="13.65" customHeight="1">
      <c r="A494" t="s" s="27">
        <v>1294</v>
      </c>
      <c r="B494" t="s" s="13">
        <v>22</v>
      </c>
      <c r="C494" s="31">
        <v>44985</v>
      </c>
      <c r="D494" s="14">
        <v>1592.9</v>
      </c>
      <c r="E494" s="14">
        <v>1592</v>
      </c>
      <c r="F494" s="14">
        <v>1605.3</v>
      </c>
      <c r="G494" s="14">
        <v>1588.7</v>
      </c>
      <c r="H494" s="14">
        <v>1603</v>
      </c>
      <c r="I494" s="14">
        <v>1599.6</v>
      </c>
      <c r="J494" s="14">
        <v>1597.73</v>
      </c>
      <c r="K494" t="s" s="13">
        <v>3199</v>
      </c>
      <c r="L494" t="s" s="13">
        <v>3200</v>
      </c>
      <c r="M494" t="s" s="13">
        <v>3201</v>
      </c>
      <c r="N494" t="s" s="13">
        <v>3202</v>
      </c>
      <c r="O494" s="15">
        <v>30</v>
      </c>
      <c r="P494" s="17" cm="1">
        <f t="array" ref="P494">(I494-I493)/I493</f>
        <v>0.00420616485655094</v>
      </c>
      <c r="Q494" s="8"/>
    </row>
    <row r="495" ht="13.65" customHeight="1">
      <c r="A495" t="s" s="27">
        <v>1294</v>
      </c>
      <c r="B495" t="s" s="13">
        <v>22</v>
      </c>
      <c r="C495" s="28">
        <v>44986</v>
      </c>
      <c r="D495" s="14">
        <v>1599.6</v>
      </c>
      <c r="E495" s="14">
        <v>1612</v>
      </c>
      <c r="F495" s="14">
        <v>1613</v>
      </c>
      <c r="G495" s="14">
        <v>1595.75</v>
      </c>
      <c r="H495" s="14">
        <v>1599</v>
      </c>
      <c r="I495" s="14">
        <v>1598.05</v>
      </c>
      <c r="J495" s="14">
        <v>1601.75</v>
      </c>
      <c r="K495" t="s" s="13">
        <v>3203</v>
      </c>
      <c r="L495" t="s" s="13">
        <v>3204</v>
      </c>
      <c r="M495" t="s" s="13">
        <v>3205</v>
      </c>
      <c r="N495" t="s" s="13">
        <v>3206</v>
      </c>
      <c r="O495" s="15">
        <v>43.84</v>
      </c>
      <c r="P495" s="17" cm="1">
        <f t="array" ref="P495">(I495-I494)/I494</f>
        <v>-0.000968992248062016</v>
      </c>
      <c r="Q495" s="8"/>
    </row>
    <row r="496" ht="13.65" customHeight="1">
      <c r="A496" t="s" s="27">
        <v>1294</v>
      </c>
      <c r="B496" t="s" s="13">
        <v>22</v>
      </c>
      <c r="C496" s="28">
        <v>44987</v>
      </c>
      <c r="D496" s="14">
        <v>1598.05</v>
      </c>
      <c r="E496" s="14">
        <v>1594</v>
      </c>
      <c r="F496" s="14">
        <v>1605.95</v>
      </c>
      <c r="G496" s="14">
        <v>1582</v>
      </c>
      <c r="H496" s="14">
        <v>1583.9</v>
      </c>
      <c r="I496" s="14">
        <v>1584.45</v>
      </c>
      <c r="J496" s="14">
        <v>1591.8</v>
      </c>
      <c r="K496" t="s" s="13">
        <v>3207</v>
      </c>
      <c r="L496" t="s" s="13">
        <v>3208</v>
      </c>
      <c r="M496" t="s" s="13">
        <v>3209</v>
      </c>
      <c r="N496" t="s" s="13">
        <v>3210</v>
      </c>
      <c r="O496" s="15">
        <v>30.65</v>
      </c>
      <c r="P496" s="17" cm="1">
        <f t="array" ref="P496">(I496-I495)/I495</f>
        <v>-0.00851037201589437</v>
      </c>
      <c r="Q496" s="8"/>
    </row>
    <row r="497" ht="13.65" customHeight="1">
      <c r="A497" t="s" s="27">
        <v>1294</v>
      </c>
      <c r="B497" t="s" s="13">
        <v>22</v>
      </c>
      <c r="C497" s="28">
        <v>44988</v>
      </c>
      <c r="D497" s="14">
        <v>1584.45</v>
      </c>
      <c r="E497" s="14">
        <v>1596</v>
      </c>
      <c r="F497" s="14">
        <v>1620</v>
      </c>
      <c r="G497" s="14">
        <v>1588</v>
      </c>
      <c r="H497" s="14">
        <v>1615.25</v>
      </c>
      <c r="I497" s="14">
        <v>1615.9</v>
      </c>
      <c r="J497" s="14">
        <v>1610.57</v>
      </c>
      <c r="K497" t="s" s="13">
        <v>3211</v>
      </c>
      <c r="L497" t="s" s="13">
        <v>3212</v>
      </c>
      <c r="M497" t="s" s="13">
        <v>3213</v>
      </c>
      <c r="N497" t="s" s="13">
        <v>3214</v>
      </c>
      <c r="O497" s="15">
        <v>37.36</v>
      </c>
      <c r="P497" s="17" cm="1">
        <f t="array" ref="P497">(I497-I496)/I496</f>
        <v>0.019849159014169</v>
      </c>
      <c r="Q497" s="8"/>
    </row>
    <row r="498" ht="13.65" customHeight="1">
      <c r="A498" t="s" s="27">
        <v>1294</v>
      </c>
      <c r="B498" t="s" s="13">
        <v>22</v>
      </c>
      <c r="C498" s="28">
        <v>44991</v>
      </c>
      <c r="D498" s="14">
        <v>1615.9</v>
      </c>
      <c r="E498" s="14">
        <v>1620</v>
      </c>
      <c r="F498" s="14">
        <v>1639.45</v>
      </c>
      <c r="G498" s="14">
        <v>1618.05</v>
      </c>
      <c r="H498" s="14">
        <v>1628.35</v>
      </c>
      <c r="I498" s="14">
        <v>1627.3</v>
      </c>
      <c r="J498" s="14">
        <v>1631.52</v>
      </c>
      <c r="K498" t="s" s="13">
        <v>3215</v>
      </c>
      <c r="L498" t="s" s="13">
        <v>3216</v>
      </c>
      <c r="M498" t="s" s="13">
        <v>3217</v>
      </c>
      <c r="N498" t="s" s="13">
        <v>3218</v>
      </c>
      <c r="O498" s="15">
        <v>29.81</v>
      </c>
      <c r="P498" s="17" cm="1">
        <f t="array" ref="P498">(I498-I497)/I497</f>
        <v>0.00705489201064422</v>
      </c>
      <c r="Q498" s="8"/>
    </row>
    <row r="499" ht="13.65" customHeight="1">
      <c r="A499" t="s" s="27">
        <v>1294</v>
      </c>
      <c r="B499" t="s" s="13">
        <v>22</v>
      </c>
      <c r="C499" s="28">
        <v>44993</v>
      </c>
      <c r="D499" s="14">
        <v>1627.3</v>
      </c>
      <c r="E499" s="14">
        <v>1620</v>
      </c>
      <c r="F499" s="14">
        <v>1639.5</v>
      </c>
      <c r="G499" s="14">
        <v>1620</v>
      </c>
      <c r="H499" s="14">
        <v>1630</v>
      </c>
      <c r="I499" s="14">
        <v>1630.55</v>
      </c>
      <c r="J499" s="14">
        <v>1628.76</v>
      </c>
      <c r="K499" t="s" s="13">
        <v>3219</v>
      </c>
      <c r="L499" t="s" s="13">
        <v>3220</v>
      </c>
      <c r="M499" t="s" s="13">
        <v>3221</v>
      </c>
      <c r="N499" t="s" s="13">
        <v>3222</v>
      </c>
      <c r="O499" s="15">
        <v>30.17</v>
      </c>
      <c r="P499" s="17" cm="1">
        <f t="array" ref="P499">(I499-I498)/I498</f>
        <v>0.00199717323173355</v>
      </c>
      <c r="Q499" s="8"/>
    </row>
    <row r="500" ht="13.65" customHeight="1">
      <c r="A500" t="s" s="27">
        <v>1294</v>
      </c>
      <c r="B500" t="s" s="13">
        <v>22</v>
      </c>
      <c r="C500" s="28">
        <v>44994</v>
      </c>
      <c r="D500" s="14">
        <v>1630.55</v>
      </c>
      <c r="E500" s="14">
        <v>1629.95</v>
      </c>
      <c r="F500" s="14">
        <v>1645.95</v>
      </c>
      <c r="G500" s="14">
        <v>1627</v>
      </c>
      <c r="H500" s="14">
        <v>1630</v>
      </c>
      <c r="I500" s="14">
        <v>1630.7</v>
      </c>
      <c r="J500" s="14">
        <v>1636.24</v>
      </c>
      <c r="K500" t="s" s="13">
        <v>3223</v>
      </c>
      <c r="L500" t="s" s="13">
        <v>3224</v>
      </c>
      <c r="M500" t="s" s="13">
        <v>3225</v>
      </c>
      <c r="N500" t="s" s="13">
        <v>3226</v>
      </c>
      <c r="O500" s="15">
        <v>32.97</v>
      </c>
      <c r="P500" s="17" cm="1">
        <f t="array" ref="P500">(I500-I499)/I499</f>
        <v>9.19934991260618e-05</v>
      </c>
      <c r="Q500" s="8"/>
    </row>
    <row r="501" ht="13.65" customHeight="1">
      <c r="A501" t="s" s="27">
        <v>1294</v>
      </c>
      <c r="B501" t="s" s="13">
        <v>22</v>
      </c>
      <c r="C501" s="31">
        <v>44995</v>
      </c>
      <c r="D501" s="14">
        <v>1630.7</v>
      </c>
      <c r="E501" s="14">
        <v>1610.45</v>
      </c>
      <c r="F501" s="14">
        <v>1613.75</v>
      </c>
      <c r="G501" s="14">
        <v>1585</v>
      </c>
      <c r="H501" s="14">
        <v>1588.1</v>
      </c>
      <c r="I501" s="14">
        <v>1588.65</v>
      </c>
      <c r="J501" s="14">
        <v>1594.45</v>
      </c>
      <c r="K501" t="s" s="13">
        <v>3227</v>
      </c>
      <c r="L501" t="s" s="13">
        <v>3228</v>
      </c>
      <c r="M501" t="s" s="13">
        <v>3229</v>
      </c>
      <c r="N501" t="s" s="13">
        <v>3230</v>
      </c>
      <c r="O501" s="15">
        <v>27.42</v>
      </c>
      <c r="P501" s="17" cm="1">
        <f t="array" ref="P501">(I501-I500)/I500</f>
        <v>-0.0257864720672104</v>
      </c>
      <c r="Q501" s="8"/>
    </row>
    <row r="502" ht="13.65" customHeight="1">
      <c r="A502" t="s" s="27">
        <v>1294</v>
      </c>
      <c r="B502" t="s" s="13">
        <v>22</v>
      </c>
      <c r="C502" s="31">
        <v>44998</v>
      </c>
      <c r="D502" s="14">
        <v>1588.65</v>
      </c>
      <c r="E502" s="14">
        <v>1587.9</v>
      </c>
      <c r="F502" s="14">
        <v>1603.8</v>
      </c>
      <c r="G502" s="14">
        <v>1564.95</v>
      </c>
      <c r="H502" s="14">
        <v>1571.5</v>
      </c>
      <c r="I502" s="14">
        <v>1568.55</v>
      </c>
      <c r="J502" s="14">
        <v>1584.5</v>
      </c>
      <c r="K502" t="s" s="13">
        <v>3231</v>
      </c>
      <c r="L502" t="s" s="13">
        <v>3232</v>
      </c>
      <c r="M502" t="s" s="13">
        <v>3233</v>
      </c>
      <c r="N502" t="s" s="13">
        <v>3234</v>
      </c>
      <c r="O502" s="15">
        <v>20.03</v>
      </c>
      <c r="P502" s="17" cm="1">
        <f t="array" ref="P502">(I502-I501)/I501</f>
        <v>-0.0126522519120008</v>
      </c>
      <c r="Q502" s="8"/>
    </row>
    <row r="503" ht="13.65" customHeight="1">
      <c r="A503" t="s" s="27">
        <v>1294</v>
      </c>
      <c r="B503" t="s" s="13">
        <v>22</v>
      </c>
      <c r="C503" s="31">
        <v>44999</v>
      </c>
      <c r="D503" s="14">
        <v>1568.55</v>
      </c>
      <c r="E503" s="14">
        <v>1570.25</v>
      </c>
      <c r="F503" s="14">
        <v>1583.6</v>
      </c>
      <c r="G503" s="14">
        <v>1559.3</v>
      </c>
      <c r="H503" s="14">
        <v>1568</v>
      </c>
      <c r="I503" s="14">
        <v>1564.35</v>
      </c>
      <c r="J503" s="14">
        <v>1570.59</v>
      </c>
      <c r="K503" t="s" s="13">
        <v>3235</v>
      </c>
      <c r="L503" t="s" s="13">
        <v>3236</v>
      </c>
      <c r="M503" t="s" s="13">
        <v>3237</v>
      </c>
      <c r="N503" t="s" s="13">
        <v>3238</v>
      </c>
      <c r="O503" s="15">
        <v>20.06</v>
      </c>
      <c r="P503" s="17" cm="1">
        <f t="array" ref="P503">(I503-I502)/I502</f>
        <v>-0.00267763220809027</v>
      </c>
      <c r="Q503" s="8"/>
    </row>
    <row r="504" ht="13.65" customHeight="1">
      <c r="A504" t="s" s="27">
        <v>1294</v>
      </c>
      <c r="B504" t="s" s="13">
        <v>22</v>
      </c>
      <c r="C504" s="31">
        <v>45000</v>
      </c>
      <c r="D504" s="14">
        <v>1564.35</v>
      </c>
      <c r="E504" s="14">
        <v>1578</v>
      </c>
      <c r="F504" s="14">
        <v>1582.9</v>
      </c>
      <c r="G504" s="14">
        <v>1536.6</v>
      </c>
      <c r="H504" s="14">
        <v>1542.95</v>
      </c>
      <c r="I504" s="14">
        <v>1541.9</v>
      </c>
      <c r="J504" s="14">
        <v>1559.54</v>
      </c>
      <c r="K504" t="s" s="13">
        <v>3239</v>
      </c>
      <c r="L504" t="s" s="13">
        <v>3240</v>
      </c>
      <c r="M504" t="s" s="13">
        <v>3241</v>
      </c>
      <c r="N504" t="s" s="13">
        <v>3242</v>
      </c>
      <c r="O504" s="15">
        <v>36.68</v>
      </c>
      <c r="P504" s="17" cm="1">
        <f t="array" ref="P504">(I504-I503)/I503</f>
        <v>-0.0143510084060472</v>
      </c>
      <c r="Q504" s="8"/>
    </row>
    <row r="505" ht="13.65" customHeight="1">
      <c r="A505" t="s" s="27">
        <v>1294</v>
      </c>
      <c r="B505" t="s" s="13">
        <v>22</v>
      </c>
      <c r="C505" s="31">
        <v>45001</v>
      </c>
      <c r="D505" s="14">
        <v>1541.9</v>
      </c>
      <c r="E505" s="14">
        <v>1539</v>
      </c>
      <c r="F505" s="14">
        <v>1559.1</v>
      </c>
      <c r="G505" s="14">
        <v>1532.05</v>
      </c>
      <c r="H505" s="14">
        <v>1552.1</v>
      </c>
      <c r="I505" s="14">
        <v>1551.9</v>
      </c>
      <c r="J505" s="14">
        <v>1547.23</v>
      </c>
      <c r="K505" t="s" s="13">
        <v>3243</v>
      </c>
      <c r="L505" t="s" s="13">
        <v>3244</v>
      </c>
      <c r="M505" t="s" s="13">
        <v>3245</v>
      </c>
      <c r="N505" t="s" s="13">
        <v>3246</v>
      </c>
      <c r="O505" s="15">
        <v>42.49</v>
      </c>
      <c r="P505" s="17" cm="1">
        <f t="array" ref="P505">(I505-I504)/I504</f>
        <v>0.0064855048965562</v>
      </c>
      <c r="Q505" s="8"/>
    </row>
    <row r="506" ht="13.65" customHeight="1">
      <c r="A506" t="s" s="27">
        <v>1294</v>
      </c>
      <c r="B506" t="s" s="13">
        <v>22</v>
      </c>
      <c r="C506" s="31">
        <v>45002</v>
      </c>
      <c r="D506" s="14">
        <v>1551.9</v>
      </c>
      <c r="E506" s="14">
        <v>1557.5</v>
      </c>
      <c r="F506" s="14">
        <v>1579.2</v>
      </c>
      <c r="G506" s="14">
        <v>1540</v>
      </c>
      <c r="H506" s="14">
        <v>1578.65</v>
      </c>
      <c r="I506" s="14">
        <v>1572.65</v>
      </c>
      <c r="J506" s="14">
        <v>1555.94</v>
      </c>
      <c r="K506" t="s" s="13">
        <v>3247</v>
      </c>
      <c r="L506" t="s" s="13">
        <v>3248</v>
      </c>
      <c r="M506" t="s" s="13">
        <v>3249</v>
      </c>
      <c r="N506" t="s" s="13">
        <v>3250</v>
      </c>
      <c r="O506" s="15">
        <v>49.29</v>
      </c>
      <c r="P506" s="17" cm="1">
        <f t="array" ref="P506">(I506-I505)/I505</f>
        <v>0.013370706875443</v>
      </c>
      <c r="Q506" s="8"/>
    </row>
    <row r="507" ht="13.65" customHeight="1">
      <c r="A507" t="s" s="27">
        <v>1294</v>
      </c>
      <c r="B507" t="s" s="13">
        <v>22</v>
      </c>
      <c r="C507" s="31">
        <v>45005</v>
      </c>
      <c r="D507" s="14">
        <v>1572.65</v>
      </c>
      <c r="E507" s="14">
        <v>1567.95</v>
      </c>
      <c r="F507" s="14">
        <v>1568.1</v>
      </c>
      <c r="G507" s="14">
        <v>1545.4</v>
      </c>
      <c r="H507" s="14">
        <v>1563</v>
      </c>
      <c r="I507" s="14">
        <v>1561.75</v>
      </c>
      <c r="J507" s="14">
        <v>1554.24</v>
      </c>
      <c r="K507" t="s" s="13">
        <v>3251</v>
      </c>
      <c r="L507" t="s" s="13">
        <v>3252</v>
      </c>
      <c r="M507" t="s" s="13">
        <v>3253</v>
      </c>
      <c r="N507" t="s" s="13">
        <v>3254</v>
      </c>
      <c r="O507" s="15">
        <v>24.57</v>
      </c>
      <c r="P507" s="17" cm="1">
        <f t="array" ref="P507">(I507-I506)/I506</f>
        <v>-0.00693097637745207</v>
      </c>
      <c r="Q507" s="8"/>
    </row>
    <row r="508" ht="13.65" customHeight="1">
      <c r="A508" t="s" s="27">
        <v>1294</v>
      </c>
      <c r="B508" t="s" s="13">
        <v>22</v>
      </c>
      <c r="C508" s="31">
        <v>45006</v>
      </c>
      <c r="D508" s="14">
        <v>1561.75</v>
      </c>
      <c r="E508" s="14">
        <v>1571.95</v>
      </c>
      <c r="F508" s="14">
        <v>1582.5</v>
      </c>
      <c r="G508" s="14">
        <v>1556.2</v>
      </c>
      <c r="H508" s="14">
        <v>1577.3</v>
      </c>
      <c r="I508" s="14">
        <v>1579.45</v>
      </c>
      <c r="J508" s="14">
        <v>1566.2</v>
      </c>
      <c r="K508" t="s" s="13">
        <v>3255</v>
      </c>
      <c r="L508" t="s" s="13">
        <v>3256</v>
      </c>
      <c r="M508" t="s" s="13">
        <v>3257</v>
      </c>
      <c r="N508" t="s" s="13">
        <v>3258</v>
      </c>
      <c r="O508" s="15">
        <v>13.6</v>
      </c>
      <c r="P508" s="17" cm="1">
        <f t="array" ref="P508">(I508-I507)/I507</f>
        <v>0.0113334400512246</v>
      </c>
      <c r="Q508" s="8"/>
    </row>
    <row r="509" ht="13.65" customHeight="1">
      <c r="A509" t="s" s="27">
        <v>1294</v>
      </c>
      <c r="B509" t="s" s="13">
        <v>22</v>
      </c>
      <c r="C509" s="31">
        <v>45007</v>
      </c>
      <c r="D509" s="14">
        <v>1579.45</v>
      </c>
      <c r="E509" s="14">
        <v>1584</v>
      </c>
      <c r="F509" s="14">
        <v>1586.05</v>
      </c>
      <c r="G509" s="14">
        <v>1565.3</v>
      </c>
      <c r="H509" s="14">
        <v>1573.7</v>
      </c>
      <c r="I509" s="14">
        <v>1575.8</v>
      </c>
      <c r="J509" s="14">
        <v>1573.31</v>
      </c>
      <c r="K509" t="s" s="13">
        <v>3259</v>
      </c>
      <c r="L509" t="s" s="13">
        <v>3260</v>
      </c>
      <c r="M509" t="s" s="13">
        <v>3261</v>
      </c>
      <c r="N509" t="s" s="13">
        <v>3262</v>
      </c>
      <c r="O509" s="15">
        <v>30.35</v>
      </c>
      <c r="P509" s="17" cm="1">
        <f t="array" ref="P509">(I509-I508)/I508</f>
        <v>-0.00231093102029187</v>
      </c>
      <c r="Q509" s="8"/>
    </row>
    <row r="510" ht="13.65" customHeight="1">
      <c r="A510" t="s" s="27">
        <v>1294</v>
      </c>
      <c r="B510" t="s" s="13">
        <v>22</v>
      </c>
      <c r="C510" s="31">
        <v>45008</v>
      </c>
      <c r="D510" s="14">
        <v>1575.8</v>
      </c>
      <c r="E510" s="14">
        <v>1567.75</v>
      </c>
      <c r="F510" s="14">
        <v>1590.35</v>
      </c>
      <c r="G510" s="14">
        <v>1558.55</v>
      </c>
      <c r="H510" s="14">
        <v>1561</v>
      </c>
      <c r="I510" s="14">
        <v>1563.15</v>
      </c>
      <c r="J510" s="14">
        <v>1576.46</v>
      </c>
      <c r="K510" t="s" s="13">
        <v>3263</v>
      </c>
      <c r="L510" t="s" s="13">
        <v>3264</v>
      </c>
      <c r="M510" t="s" s="13">
        <v>3265</v>
      </c>
      <c r="N510" t="s" s="13">
        <v>3266</v>
      </c>
      <c r="O510" s="15">
        <v>15.63</v>
      </c>
      <c r="P510" s="17" cm="1">
        <f t="array" ref="P510">(I510-I509)/I509</f>
        <v>-0.00802766848584846</v>
      </c>
      <c r="Q510" s="8"/>
    </row>
    <row r="511" ht="13.65" customHeight="1">
      <c r="A511" t="s" s="27">
        <v>1294</v>
      </c>
      <c r="B511" t="s" s="13">
        <v>22</v>
      </c>
      <c r="C511" s="31">
        <v>45009</v>
      </c>
      <c r="D511" s="14">
        <v>1563.15</v>
      </c>
      <c r="E511" s="14">
        <v>1560</v>
      </c>
      <c r="F511" s="14">
        <v>1573.9</v>
      </c>
      <c r="G511" s="14">
        <v>1554.95</v>
      </c>
      <c r="H511" s="14">
        <v>1559.65</v>
      </c>
      <c r="I511" s="14">
        <v>1560.65</v>
      </c>
      <c r="J511" s="14">
        <v>1565.66</v>
      </c>
      <c r="K511" t="s" s="13">
        <v>3267</v>
      </c>
      <c r="L511" t="s" s="13">
        <v>3268</v>
      </c>
      <c r="M511" t="s" s="13">
        <v>3269</v>
      </c>
      <c r="N511" t="s" s="13">
        <v>3270</v>
      </c>
      <c r="O511" s="15">
        <v>16.3</v>
      </c>
      <c r="P511" s="17" cm="1">
        <f t="array" ref="P511">(I511-I510)/I510</f>
        <v>-0.00159933467677446</v>
      </c>
      <c r="Q511" s="8"/>
    </row>
    <row r="512" ht="13.65" customHeight="1">
      <c r="A512" t="s" s="27">
        <v>1294</v>
      </c>
      <c r="B512" t="s" s="13">
        <v>22</v>
      </c>
      <c r="C512" s="31">
        <v>45012</v>
      </c>
      <c r="D512" s="14">
        <v>1560.65</v>
      </c>
      <c r="E512" s="14">
        <v>1562.2</v>
      </c>
      <c r="F512" s="14">
        <v>1579.45</v>
      </c>
      <c r="G512" s="14">
        <v>1558.9</v>
      </c>
      <c r="H512" s="14">
        <v>1560.7</v>
      </c>
      <c r="I512" s="14">
        <v>1567.45</v>
      </c>
      <c r="J512" s="14">
        <v>1569.43</v>
      </c>
      <c r="K512" t="s" s="13">
        <v>3271</v>
      </c>
      <c r="L512" t="s" s="13">
        <v>3272</v>
      </c>
      <c r="M512" t="s" s="13">
        <v>3273</v>
      </c>
      <c r="N512" t="s" s="13">
        <v>3274</v>
      </c>
      <c r="O512" s="15">
        <v>13.87</v>
      </c>
      <c r="P512" s="17" cm="1">
        <f t="array" ref="P512">(I512-I511)/I511</f>
        <v>0.00435715887610931</v>
      </c>
      <c r="Q512" s="8"/>
    </row>
    <row r="513" ht="13.65" customHeight="1">
      <c r="A513" t="s" s="27">
        <v>1294</v>
      </c>
      <c r="B513" t="s" s="13">
        <v>22</v>
      </c>
      <c r="C513" s="31">
        <v>45013</v>
      </c>
      <c r="D513" s="14">
        <v>1567.45</v>
      </c>
      <c r="E513" s="14">
        <v>1565.7</v>
      </c>
      <c r="F513" s="14">
        <v>1582.9</v>
      </c>
      <c r="G513" s="14">
        <v>1564.1</v>
      </c>
      <c r="H513" s="14">
        <v>1581.6</v>
      </c>
      <c r="I513" s="14">
        <v>1580.2</v>
      </c>
      <c r="J513" s="14">
        <v>1574.78</v>
      </c>
      <c r="K513" t="s" s="13">
        <v>3275</v>
      </c>
      <c r="L513" t="s" s="13">
        <v>3276</v>
      </c>
      <c r="M513" t="s" s="13">
        <v>3277</v>
      </c>
      <c r="N513" t="s" s="13">
        <v>3278</v>
      </c>
      <c r="O513" s="15">
        <v>22.13</v>
      </c>
      <c r="P513" s="17" cm="1">
        <f t="array" ref="P513">(I513-I512)/I512</f>
        <v>0.00813423075696194</v>
      </c>
      <c r="Q513" s="8"/>
    </row>
    <row r="514" ht="13.65" customHeight="1">
      <c r="A514" t="s" s="27">
        <v>1294</v>
      </c>
      <c r="B514" t="s" s="13">
        <v>22</v>
      </c>
      <c r="C514" s="31">
        <v>45014</v>
      </c>
      <c r="D514" s="14">
        <v>1580.2</v>
      </c>
      <c r="E514" s="14">
        <v>1584</v>
      </c>
      <c r="F514" s="14">
        <v>1602</v>
      </c>
      <c r="G514" s="14">
        <v>1581.9</v>
      </c>
      <c r="H514" s="14">
        <v>1593</v>
      </c>
      <c r="I514" s="14">
        <v>1587.8</v>
      </c>
      <c r="J514" s="14">
        <v>1591.4</v>
      </c>
      <c r="K514" t="s" s="13">
        <v>3279</v>
      </c>
      <c r="L514" t="s" s="13">
        <v>3280</v>
      </c>
      <c r="M514" t="s" s="13">
        <v>3281</v>
      </c>
      <c r="N514" t="s" s="13">
        <v>3282</v>
      </c>
      <c r="O514" s="15">
        <v>24</v>
      </c>
      <c r="P514" s="17" cm="1">
        <f t="array" ref="P514">(I514-I513)/I513</f>
        <v>0.00480951778255917</v>
      </c>
      <c r="Q514" s="8"/>
    </row>
    <row r="515" ht="13.65" customHeight="1">
      <c r="A515" t="s" s="27">
        <v>1294</v>
      </c>
      <c r="B515" t="s" s="13">
        <v>22</v>
      </c>
      <c r="C515" s="31">
        <v>45016</v>
      </c>
      <c r="D515" s="14">
        <v>1587.8</v>
      </c>
      <c r="E515" s="14">
        <v>1595.6</v>
      </c>
      <c r="F515" s="14">
        <v>1612.95</v>
      </c>
      <c r="G515" s="14">
        <v>1592.4</v>
      </c>
      <c r="H515" s="14">
        <v>1609</v>
      </c>
      <c r="I515" s="14">
        <v>1609.55</v>
      </c>
      <c r="J515" s="14">
        <v>1601.95</v>
      </c>
      <c r="K515" t="s" s="13">
        <v>3283</v>
      </c>
      <c r="L515" t="s" s="13">
        <v>3284</v>
      </c>
      <c r="M515" t="s" s="13">
        <v>3285</v>
      </c>
      <c r="N515" t="s" s="13">
        <v>3286</v>
      </c>
      <c r="O515" s="15">
        <v>28.39</v>
      </c>
      <c r="P515" s="17" cm="1">
        <f t="array" ref="P515">(I515-I514)/I514</f>
        <v>0.0136981987655876</v>
      </c>
      <c r="Q515" s="8"/>
    </row>
    <row r="516" ht="13.65" customHeight="1">
      <c r="A516" s="21"/>
      <c r="B516" s="21"/>
      <c r="C516" s="21"/>
      <c r="D516" s="21"/>
      <c r="E516" s="21"/>
      <c r="F516" s="21"/>
      <c r="G516" s="21"/>
      <c r="H516" s="21"/>
      <c r="I516" s="21"/>
      <c r="J516" s="21"/>
      <c r="K516" s="21"/>
      <c r="L516" s="21"/>
      <c r="M516" s="21"/>
      <c r="N516" s="21"/>
      <c r="O516" s="21"/>
      <c r="P516" s="8"/>
      <c r="Q516" s="8"/>
    </row>
    <row r="517" ht="13.65" customHeight="1">
      <c r="A517" s="8"/>
      <c r="B517" s="8"/>
      <c r="C517" s="8"/>
      <c r="D517" s="8"/>
      <c r="E517" s="8"/>
      <c r="F517" s="8"/>
      <c r="G517" s="8"/>
      <c r="H517" s="8"/>
      <c r="I517" s="8"/>
      <c r="J517" s="8"/>
      <c r="K517" s="8"/>
      <c r="L517" s="8"/>
      <c r="M517" s="8"/>
      <c r="N517" s="8"/>
      <c r="O517" s="8"/>
      <c r="P517" s="8"/>
      <c r="Q517" s="8"/>
    </row>
    <row r="518" ht="13.65" customHeight="1">
      <c r="A518" s="8"/>
      <c r="B518" s="8"/>
      <c r="C518" s="8"/>
      <c r="D518" s="8"/>
      <c r="E518" s="8"/>
      <c r="F518" s="8"/>
      <c r="G518" s="8"/>
      <c r="H518" s="8"/>
      <c r="I518" s="8"/>
      <c r="J518" s="8"/>
      <c r="K518" s="8"/>
      <c r="L518" s="8"/>
      <c r="M518" s="8"/>
      <c r="N518" s="8"/>
      <c r="O518" t="s" s="7">
        <v>3287</v>
      </c>
      <c r="P518" s="22" cm="1">
        <f t="array" ref="P518">AVERAGE(P265:P515)</f>
        <v>0.000369650063803529</v>
      </c>
      <c r="Q518" s="8"/>
    </row>
    <row r="519" ht="13.65" customHeight="1">
      <c r="A519" s="8"/>
      <c r="B519" s="8"/>
      <c r="C519" s="8"/>
      <c r="D519" s="8"/>
      <c r="E519" s="8"/>
      <c r="F519" s="8"/>
      <c r="G519" s="8"/>
      <c r="H519" s="8"/>
      <c r="I519" s="8"/>
      <c r="J519" s="8"/>
      <c r="K519" s="8"/>
      <c r="L519" s="8"/>
      <c r="M519" s="8"/>
      <c r="N519" s="8"/>
      <c r="O519" t="s" s="7">
        <v>527</v>
      </c>
      <c r="P519" s="22" cm="1">
        <f t="array" ref="P519">STDEV(P265:P515)</f>
        <v>0.0145787889576483</v>
      </c>
      <c r="Q519" s="8"/>
    </row>
    <row r="520" ht="13.65" customHeight="1">
      <c r="A520" t="s" s="7">
        <v>529</v>
      </c>
      <c r="B520" s="8"/>
      <c r="C520" s="8"/>
      <c r="D520" s="8"/>
      <c r="E520" s="8"/>
      <c r="F520" s="8"/>
      <c r="G520" s="8"/>
      <c r="H520" s="8"/>
      <c r="I520" s="8"/>
      <c r="J520" s="8"/>
      <c r="K520" s="8"/>
      <c r="L520" s="8"/>
      <c r="M520" s="8"/>
      <c r="N520" s="8"/>
      <c r="O520" t="s" s="7">
        <v>275</v>
      </c>
      <c r="P520" s="23" cm="1">
        <f t="array" ref="P520">IF(I515&gt;I264,1,IF(I515&lt;I264,-1,0))</f>
        <v>1</v>
      </c>
      <c r="Q520" s="8"/>
    </row>
    <row r="521" ht="13.65" customHeight="1">
      <c r="A521" s="8"/>
      <c r="B521" s="8"/>
      <c r="C521" s="8"/>
      <c r="D521" s="8"/>
      <c r="E521" s="8"/>
      <c r="F521" s="8"/>
      <c r="G521" s="8"/>
      <c r="H521" s="8"/>
      <c r="I521" s="8"/>
      <c r="J521" s="8"/>
      <c r="K521" s="8"/>
      <c r="L521" s="8"/>
      <c r="M521" s="8"/>
      <c r="N521" s="8"/>
      <c r="O521" t="s" s="7">
        <v>528</v>
      </c>
      <c r="P521" s="22" cm="1">
        <f t="array" ref="P521">(I515-I264)/I264</f>
        <v>0.0687583001328021</v>
      </c>
      <c r="Q521" s="8"/>
    </row>
    <row r="522" ht="13.65" customHeight="1">
      <c r="A522" s="9"/>
      <c r="B522" s="9"/>
      <c r="C522" s="9"/>
      <c r="D522" s="9"/>
      <c r="E522" s="9"/>
      <c r="F522" s="9"/>
      <c r="G522" s="9"/>
      <c r="H522" s="9"/>
      <c r="I522" s="9"/>
      <c r="J522" s="9"/>
      <c r="K522" s="9"/>
      <c r="L522" s="9"/>
      <c r="M522" s="9"/>
      <c r="N522" s="9"/>
      <c r="O522" s="9"/>
      <c r="P522" s="8"/>
      <c r="Q522" s="8"/>
    </row>
    <row r="523" ht="13.65" customHeight="1">
      <c r="A523" t="s" s="10">
        <v>1279</v>
      </c>
      <c r="B523" t="s" s="10">
        <v>1280</v>
      </c>
      <c r="C523" t="s" s="10">
        <v>1281</v>
      </c>
      <c r="D523" t="s" s="10">
        <v>1282</v>
      </c>
      <c r="E523" t="s" s="10">
        <v>1283</v>
      </c>
      <c r="F523" t="s" s="10">
        <v>1284</v>
      </c>
      <c r="G523" t="s" s="10">
        <v>1285</v>
      </c>
      <c r="H523" t="s" s="10">
        <v>1286</v>
      </c>
      <c r="I523" t="s" s="10">
        <v>1287</v>
      </c>
      <c r="J523" t="s" s="10">
        <v>1288</v>
      </c>
      <c r="K523" t="s" s="10">
        <v>1289</v>
      </c>
      <c r="L523" t="s" s="10">
        <v>1290</v>
      </c>
      <c r="M523" t="s" s="10">
        <v>1291</v>
      </c>
      <c r="N523" t="s" s="10">
        <v>1292</v>
      </c>
      <c r="O523" t="s" s="10">
        <v>1293</v>
      </c>
      <c r="P523" t="s" s="11">
        <v>21</v>
      </c>
      <c r="Q523" s="9"/>
    </row>
    <row r="524" ht="13.65" customHeight="1">
      <c r="A524" t="s" s="27">
        <v>1294</v>
      </c>
      <c r="B524" t="s" s="13">
        <v>22</v>
      </c>
      <c r="C524" s="28">
        <v>45019</v>
      </c>
      <c r="D524" s="14">
        <v>1609.55</v>
      </c>
      <c r="E524" s="14">
        <v>1607.55</v>
      </c>
      <c r="F524" s="14">
        <v>1615.7</v>
      </c>
      <c r="G524" s="14">
        <v>1602.75</v>
      </c>
      <c r="H524" s="14">
        <v>1609.9</v>
      </c>
      <c r="I524" s="14">
        <v>1610.55</v>
      </c>
      <c r="J524" s="14">
        <v>1608.28</v>
      </c>
      <c r="K524" t="s" s="13">
        <v>3288</v>
      </c>
      <c r="L524" t="s" s="13">
        <v>3289</v>
      </c>
      <c r="M524" t="s" s="13">
        <v>3290</v>
      </c>
      <c r="N524" t="s" s="13">
        <v>3291</v>
      </c>
      <c r="O524" s="15">
        <v>11.78</v>
      </c>
      <c r="P524" s="29"/>
      <c r="Q524" t="s" s="10">
        <v>18</v>
      </c>
    </row>
    <row r="525" ht="13.65" customHeight="1">
      <c r="A525" t="s" s="27">
        <v>1294</v>
      </c>
      <c r="B525" t="s" s="13">
        <v>22</v>
      </c>
      <c r="C525" s="28">
        <v>45021</v>
      </c>
      <c r="D525" s="14">
        <v>1610.55</v>
      </c>
      <c r="E525" s="14">
        <v>1618.6</v>
      </c>
      <c r="F525" s="14">
        <v>1656</v>
      </c>
      <c r="G525" s="14">
        <v>1616</v>
      </c>
      <c r="H525" s="14">
        <v>1654</v>
      </c>
      <c r="I525" s="14">
        <v>1653.75</v>
      </c>
      <c r="J525" s="14">
        <v>1647.03</v>
      </c>
      <c r="K525" t="s" s="13">
        <v>3292</v>
      </c>
      <c r="L525" t="s" s="13">
        <v>3293</v>
      </c>
      <c r="M525" t="s" s="13">
        <v>3294</v>
      </c>
      <c r="N525" t="s" s="13">
        <v>3295</v>
      </c>
      <c r="O525" s="15">
        <v>27.61</v>
      </c>
      <c r="P525" s="30" cm="1">
        <f t="array" ref="P525">(I525-I524)/I524</f>
        <v>0.0268231349538977</v>
      </c>
      <c r="Q525" s="15">
        <v>12599785</v>
      </c>
    </row>
    <row r="526" ht="13.65" customHeight="1">
      <c r="A526" t="s" s="27">
        <v>1294</v>
      </c>
      <c r="B526" t="s" s="13">
        <v>22</v>
      </c>
      <c r="C526" s="28">
        <v>45022</v>
      </c>
      <c r="D526" s="14">
        <v>1653.75</v>
      </c>
      <c r="E526" s="14">
        <v>1648.55</v>
      </c>
      <c r="F526" s="14">
        <v>1669.2</v>
      </c>
      <c r="G526" s="14">
        <v>1647.1</v>
      </c>
      <c r="H526" s="14">
        <v>1666</v>
      </c>
      <c r="I526" s="14">
        <v>1666.35</v>
      </c>
      <c r="J526" s="14">
        <v>1659.15</v>
      </c>
      <c r="K526" t="s" s="13">
        <v>3296</v>
      </c>
      <c r="L526" t="s" s="13">
        <v>3297</v>
      </c>
      <c r="M526" t="s" s="13">
        <v>3298</v>
      </c>
      <c r="N526" t="s" s="13">
        <v>3299</v>
      </c>
      <c r="O526" s="15">
        <v>19.79</v>
      </c>
      <c r="P526" s="30" cm="1">
        <f t="array" ref="P526">(I526-I525)/I525</f>
        <v>0.00761904761904762</v>
      </c>
      <c r="Q526" s="15">
        <v>27796071</v>
      </c>
    </row>
    <row r="527" ht="13.65" customHeight="1">
      <c r="A527" t="s" s="27">
        <v>1294</v>
      </c>
      <c r="B527" t="s" s="13">
        <v>22</v>
      </c>
      <c r="C527" s="31">
        <v>45026</v>
      </c>
      <c r="D527" s="14">
        <v>1666.35</v>
      </c>
      <c r="E527" s="14">
        <v>1663.25</v>
      </c>
      <c r="F527" s="14">
        <v>1671</v>
      </c>
      <c r="G527" s="14">
        <v>1654</v>
      </c>
      <c r="H527" s="14">
        <v>1655.15</v>
      </c>
      <c r="I527" s="14">
        <v>1658.45</v>
      </c>
      <c r="J527" s="14">
        <v>1662.14</v>
      </c>
      <c r="K527" t="s" s="13">
        <v>3300</v>
      </c>
      <c r="L527" t="s" s="13">
        <v>3301</v>
      </c>
      <c r="M527" t="s" s="13">
        <v>3302</v>
      </c>
      <c r="N527" t="s" s="13">
        <v>3303</v>
      </c>
      <c r="O527" s="15">
        <v>10.91</v>
      </c>
      <c r="P527" s="30" cm="1">
        <f t="array" ref="P527">(I527-I526)/I526</f>
        <v>-0.00474090077114652</v>
      </c>
      <c r="Q527" s="15">
        <v>31084334</v>
      </c>
    </row>
    <row r="528" ht="13.65" customHeight="1">
      <c r="A528" t="s" s="27">
        <v>1294</v>
      </c>
      <c r="B528" t="s" s="13">
        <v>22</v>
      </c>
      <c r="C528" s="31">
        <v>45027</v>
      </c>
      <c r="D528" s="14">
        <v>1658.45</v>
      </c>
      <c r="E528" s="14">
        <v>1659</v>
      </c>
      <c r="F528" s="14">
        <v>1669.4</v>
      </c>
      <c r="G528" s="14">
        <v>1651.1</v>
      </c>
      <c r="H528" s="14">
        <v>1664.95</v>
      </c>
      <c r="I528" s="14">
        <v>1663.3</v>
      </c>
      <c r="J528" s="14">
        <v>1662.57</v>
      </c>
      <c r="K528" t="s" s="13">
        <v>3304</v>
      </c>
      <c r="L528" t="s" s="13">
        <v>3305</v>
      </c>
      <c r="M528" t="s" s="13">
        <v>3306</v>
      </c>
      <c r="N528" t="s" s="13">
        <v>3307</v>
      </c>
      <c r="O528" s="15">
        <v>30.23</v>
      </c>
      <c r="P528" s="30" cm="1">
        <f t="array" ref="P528">(I528-I527)/I527</f>
        <v>0.00292441737767192</v>
      </c>
      <c r="Q528" s="15">
        <v>28422145</v>
      </c>
    </row>
    <row r="529" ht="13.65" customHeight="1">
      <c r="A529" t="s" s="27">
        <v>1294</v>
      </c>
      <c r="B529" t="s" s="13">
        <v>22</v>
      </c>
      <c r="C529" s="31">
        <v>45028</v>
      </c>
      <c r="D529" s="14">
        <v>1663.3</v>
      </c>
      <c r="E529" s="14">
        <v>1668</v>
      </c>
      <c r="F529" s="14">
        <v>1688.2</v>
      </c>
      <c r="G529" s="14">
        <v>1667.8</v>
      </c>
      <c r="H529" s="14">
        <v>1685</v>
      </c>
      <c r="I529" s="14">
        <v>1684.9</v>
      </c>
      <c r="J529" s="14">
        <v>1679.14</v>
      </c>
      <c r="K529" t="s" s="13">
        <v>3308</v>
      </c>
      <c r="L529" t="s" s="13">
        <v>3309</v>
      </c>
      <c r="M529" t="s" s="13">
        <v>3310</v>
      </c>
      <c r="N529" t="s" s="13">
        <v>3311</v>
      </c>
      <c r="O529" s="15">
        <v>27.82</v>
      </c>
      <c r="P529" s="30" cm="1">
        <f t="array" ref="P529">(I529-I528)/I528</f>
        <v>0.0129862321890218</v>
      </c>
      <c r="Q529" s="15">
        <v>22990163</v>
      </c>
    </row>
    <row r="530" ht="13.65" customHeight="1">
      <c r="A530" t="s" s="27">
        <v>1294</v>
      </c>
      <c r="B530" t="s" s="13">
        <v>22</v>
      </c>
      <c r="C530" s="31">
        <v>45029</v>
      </c>
      <c r="D530" s="14">
        <v>1684.9</v>
      </c>
      <c r="E530" s="14">
        <v>1688.3</v>
      </c>
      <c r="F530" s="14">
        <v>1697.05</v>
      </c>
      <c r="G530" s="14">
        <v>1678.15</v>
      </c>
      <c r="H530" s="14">
        <v>1695</v>
      </c>
      <c r="I530" s="14">
        <v>1692.45</v>
      </c>
      <c r="J530" s="14">
        <v>1686.7</v>
      </c>
      <c r="K530" t="s" s="13">
        <v>3312</v>
      </c>
      <c r="L530" t="s" s="13">
        <v>3313</v>
      </c>
      <c r="M530" t="s" s="13">
        <v>3314</v>
      </c>
      <c r="N530" t="s" s="13">
        <v>3315</v>
      </c>
      <c r="O530" s="15">
        <v>14.51</v>
      </c>
      <c r="P530" s="30" cm="1">
        <f t="array" ref="P530">(I530-I529)/I529</f>
        <v>0.00448097809959048</v>
      </c>
      <c r="Q530" s="15">
        <v>14461430</v>
      </c>
    </row>
    <row r="531" ht="13.65" customHeight="1">
      <c r="A531" t="s" s="27">
        <v>1294</v>
      </c>
      <c r="B531" t="s" s="13">
        <v>22</v>
      </c>
      <c r="C531" s="31">
        <v>45033</v>
      </c>
      <c r="D531" s="14">
        <v>1692.45</v>
      </c>
      <c r="E531" s="14">
        <v>1720</v>
      </c>
      <c r="F531" s="14">
        <v>1720</v>
      </c>
      <c r="G531" s="14">
        <v>1653.3</v>
      </c>
      <c r="H531" s="14">
        <v>1665.05</v>
      </c>
      <c r="I531" s="14">
        <v>1666.65</v>
      </c>
      <c r="J531" s="14">
        <v>1669.13</v>
      </c>
      <c r="K531" t="s" s="13">
        <v>3316</v>
      </c>
      <c r="L531" t="s" s="13">
        <v>3317</v>
      </c>
      <c r="M531" t="s" s="13">
        <v>3318</v>
      </c>
      <c r="N531" t="s" s="13">
        <v>3319</v>
      </c>
      <c r="O531" s="15">
        <v>34.42</v>
      </c>
      <c r="P531" s="30" cm="1">
        <f t="array" ref="P531">(I531-I530)/I530</f>
        <v>-0.0152441726491181</v>
      </c>
      <c r="Q531" s="15">
        <v>21803047</v>
      </c>
    </row>
    <row r="532" ht="13.65" customHeight="1">
      <c r="A532" t="s" s="27">
        <v>1294</v>
      </c>
      <c r="B532" t="s" s="13">
        <v>22</v>
      </c>
      <c r="C532" s="31">
        <v>45034</v>
      </c>
      <c r="D532" s="14">
        <v>1666.65</v>
      </c>
      <c r="E532" s="14">
        <v>1670</v>
      </c>
      <c r="F532" s="14">
        <v>1677.25</v>
      </c>
      <c r="G532" s="14">
        <v>1656.4</v>
      </c>
      <c r="H532" s="14">
        <v>1660.35</v>
      </c>
      <c r="I532" s="14">
        <v>1659.6</v>
      </c>
      <c r="J532" s="14">
        <v>1666.9</v>
      </c>
      <c r="K532" t="s" s="13">
        <v>3320</v>
      </c>
      <c r="L532" t="s" s="13">
        <v>3321</v>
      </c>
      <c r="M532" t="s" s="13">
        <v>3322</v>
      </c>
      <c r="N532" t="s" s="13">
        <v>3323</v>
      </c>
      <c r="O532" s="15">
        <v>32.07</v>
      </c>
      <c r="P532" s="30" cm="1">
        <f t="array" ref="P532">(I532-I531)/I531</f>
        <v>-0.004230042300423</v>
      </c>
      <c r="Q532" s="15">
        <v>18091797</v>
      </c>
    </row>
    <row r="533" ht="13.65" customHeight="1">
      <c r="A533" t="s" s="27">
        <v>1294</v>
      </c>
      <c r="B533" t="s" s="13">
        <v>22</v>
      </c>
      <c r="C533" s="31">
        <v>45035</v>
      </c>
      <c r="D533" s="14">
        <v>1659.6</v>
      </c>
      <c r="E533" s="14">
        <v>1665</v>
      </c>
      <c r="F533" s="14">
        <v>1670.3</v>
      </c>
      <c r="G533" s="14">
        <v>1657.15</v>
      </c>
      <c r="H533" s="14">
        <v>1668.7</v>
      </c>
      <c r="I533" s="14">
        <v>1665.7</v>
      </c>
      <c r="J533" s="14">
        <v>1664.28</v>
      </c>
      <c r="K533" t="s" s="13">
        <v>3324</v>
      </c>
      <c r="L533" t="s" s="13">
        <v>3325</v>
      </c>
      <c r="M533" t="s" s="13">
        <v>3326</v>
      </c>
      <c r="N533" t="s" s="13">
        <v>3327</v>
      </c>
      <c r="O533" s="15">
        <v>15.32</v>
      </c>
      <c r="P533" s="30" cm="1">
        <f t="array" ref="P533">(I533-I532)/I532</f>
        <v>0.00367558447818752</v>
      </c>
      <c r="Q533" s="15">
        <v>10718928</v>
      </c>
    </row>
    <row r="534" ht="13.65" customHeight="1">
      <c r="A534" t="s" s="27">
        <v>1294</v>
      </c>
      <c r="B534" t="s" s="13">
        <v>22</v>
      </c>
      <c r="C534" s="31">
        <v>45036</v>
      </c>
      <c r="D534" s="14">
        <v>1665.7</v>
      </c>
      <c r="E534" s="14">
        <v>1671.7</v>
      </c>
      <c r="F534" s="14">
        <v>1677.45</v>
      </c>
      <c r="G534" s="14">
        <v>1666.4</v>
      </c>
      <c r="H534" s="14">
        <v>1673</v>
      </c>
      <c r="I534" s="14">
        <v>1671.9</v>
      </c>
      <c r="J534" s="14">
        <v>1671.1</v>
      </c>
      <c r="K534" t="s" s="13">
        <v>3328</v>
      </c>
      <c r="L534" t="s" s="13">
        <v>3329</v>
      </c>
      <c r="M534" t="s" s="13">
        <v>3330</v>
      </c>
      <c r="N534" t="s" s="13">
        <v>3331</v>
      </c>
      <c r="O534" s="15">
        <v>25.82</v>
      </c>
      <c r="P534" s="30" cm="1">
        <f t="array" ref="P534">(I534-I533)/I533</f>
        <v>0.00372215885213424</v>
      </c>
      <c r="Q534" s="15">
        <v>71806902</v>
      </c>
    </row>
    <row r="535" ht="13.65" customHeight="1">
      <c r="A535" t="s" s="27">
        <v>1294</v>
      </c>
      <c r="B535" t="s" s="13">
        <v>22</v>
      </c>
      <c r="C535" s="31">
        <v>45037</v>
      </c>
      <c r="D535" s="14">
        <v>1671.9</v>
      </c>
      <c r="E535" s="14">
        <v>1669</v>
      </c>
      <c r="F535" s="14">
        <v>1676.95</v>
      </c>
      <c r="G535" s="14">
        <v>1663.25</v>
      </c>
      <c r="H535" s="14">
        <v>1672</v>
      </c>
      <c r="I535" s="14">
        <v>1674.6</v>
      </c>
      <c r="J535" s="14">
        <v>1670.1</v>
      </c>
      <c r="K535" t="s" s="13">
        <v>3332</v>
      </c>
      <c r="L535" t="s" s="13">
        <v>3333</v>
      </c>
      <c r="M535" t="s" s="13">
        <v>3334</v>
      </c>
      <c r="N535" t="s" s="13">
        <v>3335</v>
      </c>
      <c r="O535" s="15">
        <v>37.44</v>
      </c>
      <c r="P535" s="30" cm="1">
        <f t="array" ref="P535">(I535-I534)/I534</f>
        <v>0.00161492912255518</v>
      </c>
      <c r="Q535" s="15">
        <v>26216079</v>
      </c>
    </row>
    <row r="536" ht="13.65" customHeight="1">
      <c r="A536" t="s" s="27">
        <v>1294</v>
      </c>
      <c r="B536" t="s" s="13">
        <v>22</v>
      </c>
      <c r="C536" s="31">
        <v>45040</v>
      </c>
      <c r="D536" s="14">
        <v>1674.6</v>
      </c>
      <c r="E536" s="14">
        <v>1687</v>
      </c>
      <c r="F536" s="14">
        <v>1691.45</v>
      </c>
      <c r="G536" s="14">
        <v>1674.1</v>
      </c>
      <c r="H536" s="14">
        <v>1689.5</v>
      </c>
      <c r="I536" s="14">
        <v>1688.15</v>
      </c>
      <c r="J536" s="14">
        <v>1681.2</v>
      </c>
      <c r="K536" t="s" s="13">
        <v>3336</v>
      </c>
      <c r="L536" t="s" s="13">
        <v>3337</v>
      </c>
      <c r="M536" t="s" s="13">
        <v>3338</v>
      </c>
      <c r="N536" t="s" s="13">
        <v>3339</v>
      </c>
      <c r="O536" s="15">
        <v>37.25</v>
      </c>
      <c r="P536" s="30" cm="1">
        <f t="array" ref="P536">(I536-I535)/I535</f>
        <v>0.008091484533619971</v>
      </c>
      <c r="Q536" s="15">
        <v>31533727</v>
      </c>
    </row>
    <row r="537" ht="13.65" customHeight="1">
      <c r="A537" t="s" s="27">
        <v>1294</v>
      </c>
      <c r="B537" t="s" s="13">
        <v>22</v>
      </c>
      <c r="C537" s="31">
        <v>45041</v>
      </c>
      <c r="D537" s="14">
        <v>1688.15</v>
      </c>
      <c r="E537" s="14">
        <v>1687.7</v>
      </c>
      <c r="F537" s="14">
        <v>1687.7</v>
      </c>
      <c r="G537" s="14">
        <v>1661.9</v>
      </c>
      <c r="H537" s="14">
        <v>1663.6</v>
      </c>
      <c r="I537" s="14">
        <v>1664.15</v>
      </c>
      <c r="J537" s="14">
        <v>1671.96</v>
      </c>
      <c r="K537" t="s" s="13">
        <v>3340</v>
      </c>
      <c r="L537" t="s" s="13">
        <v>3341</v>
      </c>
      <c r="M537" t="s" s="13">
        <v>3342</v>
      </c>
      <c r="N537" t="s" s="13">
        <v>3343</v>
      </c>
      <c r="O537" s="15">
        <v>31.26</v>
      </c>
      <c r="P537" s="30" cm="1">
        <f t="array" ref="P537">(I537-I536)/I536</f>
        <v>-0.0142167461422267</v>
      </c>
      <c r="Q537" s="15">
        <v>32709227</v>
      </c>
    </row>
    <row r="538" ht="13.65" customHeight="1">
      <c r="A538" t="s" s="27">
        <v>1294</v>
      </c>
      <c r="B538" t="s" s="13">
        <v>22</v>
      </c>
      <c r="C538" s="31">
        <v>45042</v>
      </c>
      <c r="D538" s="14">
        <v>1664.15</v>
      </c>
      <c r="E538" s="14">
        <v>1660</v>
      </c>
      <c r="F538" s="14">
        <v>1675</v>
      </c>
      <c r="G538" s="14">
        <v>1655</v>
      </c>
      <c r="H538" s="14">
        <v>1675</v>
      </c>
      <c r="I538" s="14">
        <v>1671.8</v>
      </c>
      <c r="J538" s="14">
        <v>1666.08</v>
      </c>
      <c r="K538" t="s" s="13">
        <v>3344</v>
      </c>
      <c r="L538" t="s" s="13">
        <v>3345</v>
      </c>
      <c r="M538" t="s" s="13">
        <v>3346</v>
      </c>
      <c r="N538" t="s" s="13">
        <v>3347</v>
      </c>
      <c r="O538" s="15">
        <v>29.41</v>
      </c>
      <c r="P538" s="30" cm="1">
        <f t="array" ref="P538">(I538-I537)/I537</f>
        <v>0.00459694138148604</v>
      </c>
      <c r="Q538" s="15">
        <v>25265547</v>
      </c>
    </row>
    <row r="539" ht="13.65" customHeight="1">
      <c r="A539" t="s" s="27">
        <v>1294</v>
      </c>
      <c r="B539" t="s" s="13">
        <v>22</v>
      </c>
      <c r="C539" s="31">
        <v>45043</v>
      </c>
      <c r="D539" s="14">
        <v>1671.8</v>
      </c>
      <c r="E539" s="14">
        <v>1670.5</v>
      </c>
      <c r="F539" s="14">
        <v>1685.25</v>
      </c>
      <c r="G539" s="14">
        <v>1665.85</v>
      </c>
      <c r="H539" s="14">
        <v>1680</v>
      </c>
      <c r="I539" s="14">
        <v>1681</v>
      </c>
      <c r="J539" s="14">
        <v>1673.65</v>
      </c>
      <c r="K539" t="s" s="13">
        <v>3348</v>
      </c>
      <c r="L539" t="s" s="13">
        <v>3349</v>
      </c>
      <c r="M539" t="s" s="13">
        <v>3350</v>
      </c>
      <c r="N539" t="s" s="13">
        <v>3351</v>
      </c>
      <c r="O539" s="15">
        <v>17.81</v>
      </c>
      <c r="P539" s="30" cm="1">
        <f t="array" ref="P539">(I539-I538)/I538</f>
        <v>0.00550305060413925</v>
      </c>
      <c r="Q539" s="15">
        <v>24674023</v>
      </c>
    </row>
    <row r="540" ht="13.65" customHeight="1">
      <c r="A540" t="s" s="27">
        <v>1294</v>
      </c>
      <c r="B540" t="s" s="13">
        <v>22</v>
      </c>
      <c r="C540" s="31">
        <v>45044</v>
      </c>
      <c r="D540" s="14">
        <v>1681</v>
      </c>
      <c r="E540" s="14">
        <v>1684.7</v>
      </c>
      <c r="F540" s="14">
        <v>1691</v>
      </c>
      <c r="G540" s="14">
        <v>1670</v>
      </c>
      <c r="H540" s="14">
        <v>1687.15</v>
      </c>
      <c r="I540" s="14">
        <v>1687.6</v>
      </c>
      <c r="J540" s="14">
        <v>1678.51</v>
      </c>
      <c r="K540" t="s" s="13">
        <v>3352</v>
      </c>
      <c r="L540" t="s" s="13">
        <v>3353</v>
      </c>
      <c r="M540" t="s" s="13">
        <v>3354</v>
      </c>
      <c r="N540" t="s" s="13">
        <v>3355</v>
      </c>
      <c r="O540" s="15">
        <v>24.43</v>
      </c>
      <c r="P540" s="30" cm="1">
        <f t="array" ref="P540">(I540-I539)/I539</f>
        <v>0.00392623438429506</v>
      </c>
      <c r="Q540" s="15">
        <v>21204765</v>
      </c>
    </row>
    <row r="541" ht="13.65" customHeight="1">
      <c r="A541" t="s" s="27">
        <v>1294</v>
      </c>
      <c r="B541" t="s" s="13">
        <v>22</v>
      </c>
      <c r="C541" s="32">
        <v>45048</v>
      </c>
      <c r="D541" s="14">
        <v>1687.6</v>
      </c>
      <c r="E541" s="14">
        <v>1688.7</v>
      </c>
      <c r="F541" s="14">
        <v>1699</v>
      </c>
      <c r="G541" s="14">
        <v>1682</v>
      </c>
      <c r="H541" s="14">
        <v>1682.9</v>
      </c>
      <c r="I541" s="14">
        <v>1687.25</v>
      </c>
      <c r="J541" s="14">
        <v>1692.45</v>
      </c>
      <c r="K541" t="s" s="13">
        <v>3356</v>
      </c>
      <c r="L541" t="s" s="13">
        <v>3357</v>
      </c>
      <c r="M541" t="s" s="13">
        <v>3358</v>
      </c>
      <c r="N541" t="s" s="13">
        <v>3359</v>
      </c>
      <c r="O541" s="15">
        <v>21.38</v>
      </c>
      <c r="P541" s="30" cm="1">
        <f t="array" ref="P541">(I541-I540)/I540</f>
        <v>-0.000207395117326381</v>
      </c>
      <c r="Q541" s="15">
        <v>18995836</v>
      </c>
    </row>
    <row r="542" ht="13.65" customHeight="1">
      <c r="A542" t="s" s="27">
        <v>1294</v>
      </c>
      <c r="B542" t="s" s="13">
        <v>22</v>
      </c>
      <c r="C542" s="32">
        <v>45049</v>
      </c>
      <c r="D542" s="14">
        <v>1687.25</v>
      </c>
      <c r="E542" s="14">
        <v>1684.95</v>
      </c>
      <c r="F542" s="14">
        <v>1696</v>
      </c>
      <c r="G542" s="14">
        <v>1679.65</v>
      </c>
      <c r="H542" s="14">
        <v>1693.95</v>
      </c>
      <c r="I542" s="14">
        <v>1693.15</v>
      </c>
      <c r="J542" s="14">
        <v>1687.29</v>
      </c>
      <c r="K542" t="s" s="13">
        <v>3360</v>
      </c>
      <c r="L542" t="s" s="13">
        <v>3361</v>
      </c>
      <c r="M542" t="s" s="13">
        <v>3362</v>
      </c>
      <c r="N542" t="s" s="13">
        <v>3363</v>
      </c>
      <c r="O542" s="15">
        <v>20.32</v>
      </c>
      <c r="P542" s="30" cm="1">
        <f t="array" ref="P542">(I542-I541)/I541</f>
        <v>0.00349681434286561</v>
      </c>
      <c r="Q542" s="15">
        <v>17808237</v>
      </c>
    </row>
    <row r="543" ht="13.65" customHeight="1">
      <c r="A543" t="s" s="27">
        <v>1294</v>
      </c>
      <c r="B543" t="s" s="13">
        <v>22</v>
      </c>
      <c r="C543" s="32">
        <v>45050</v>
      </c>
      <c r="D543" s="14">
        <v>1693.15</v>
      </c>
      <c r="E543" s="14">
        <v>1687.1</v>
      </c>
      <c r="F543" s="14">
        <v>1734.45</v>
      </c>
      <c r="G543" s="14">
        <v>1687.1</v>
      </c>
      <c r="H543" s="14">
        <v>1729</v>
      </c>
      <c r="I543" s="14">
        <v>1727.8</v>
      </c>
      <c r="J543" s="14">
        <v>1712.72</v>
      </c>
      <c r="K543" t="s" s="13">
        <v>3364</v>
      </c>
      <c r="L543" t="s" s="13">
        <v>3365</v>
      </c>
      <c r="M543" t="s" s="13">
        <v>3366</v>
      </c>
      <c r="N543" t="s" s="13">
        <v>3367</v>
      </c>
      <c r="O543" s="15">
        <v>23.09</v>
      </c>
      <c r="P543" s="30" cm="1">
        <f t="array" ref="P543">(I543-I542)/I542</f>
        <v>0.0204648141038892</v>
      </c>
      <c r="Q543" s="15">
        <v>895265</v>
      </c>
    </row>
    <row r="544" ht="13.65" customHeight="1">
      <c r="A544" t="s" s="27">
        <v>1294</v>
      </c>
      <c r="B544" t="s" s="13">
        <v>22</v>
      </c>
      <c r="C544" s="32">
        <v>45051</v>
      </c>
      <c r="D544" s="14">
        <v>1727.8</v>
      </c>
      <c r="E544" s="14">
        <v>1639</v>
      </c>
      <c r="F544" s="14">
        <v>1660.95</v>
      </c>
      <c r="G544" s="14">
        <v>1622.1</v>
      </c>
      <c r="H544" s="14">
        <v>1626.95</v>
      </c>
      <c r="I544" s="14">
        <v>1625.65</v>
      </c>
      <c r="J544" s="14">
        <v>1640.31</v>
      </c>
      <c r="K544" t="s" s="13">
        <v>3368</v>
      </c>
      <c r="L544" t="s" s="13">
        <v>3369</v>
      </c>
      <c r="M544" t="s" s="13">
        <v>3370</v>
      </c>
      <c r="N544" t="s" s="13">
        <v>3371</v>
      </c>
      <c r="O544" s="15">
        <v>54.45</v>
      </c>
      <c r="P544" s="30" cm="1">
        <f t="array" ref="P544">(I544-I543)/I543</f>
        <v>-0.0591214260909828</v>
      </c>
      <c r="Q544" s="15">
        <v>17369449</v>
      </c>
    </row>
    <row r="545" ht="13.65" customHeight="1">
      <c r="A545" t="s" s="27">
        <v>1294</v>
      </c>
      <c r="B545" t="s" s="13">
        <v>22</v>
      </c>
      <c r="C545" s="32">
        <v>45054</v>
      </c>
      <c r="D545" s="14">
        <v>1625.65</v>
      </c>
      <c r="E545" s="14">
        <v>1635</v>
      </c>
      <c r="F545" s="14">
        <v>1650.35</v>
      </c>
      <c r="G545" s="14">
        <v>1630</v>
      </c>
      <c r="H545" s="14">
        <v>1646.75</v>
      </c>
      <c r="I545" s="14">
        <v>1644.45</v>
      </c>
      <c r="J545" s="14">
        <v>1645.52</v>
      </c>
      <c r="K545" t="s" s="13">
        <v>3372</v>
      </c>
      <c r="L545" t="s" s="13">
        <v>3373</v>
      </c>
      <c r="M545" t="s" s="13">
        <v>3374</v>
      </c>
      <c r="N545" t="s" s="13">
        <v>3375</v>
      </c>
      <c r="O545" s="15">
        <v>26.11</v>
      </c>
      <c r="P545" s="30" cm="1">
        <f t="array" ref="P545">(I545-I544)/I544</f>
        <v>0.0115646049272599</v>
      </c>
      <c r="Q545" s="15">
        <v>26647850</v>
      </c>
    </row>
    <row r="546" ht="13.65" customHeight="1">
      <c r="A546" t="s" s="27">
        <v>1294</v>
      </c>
      <c r="B546" t="s" s="13">
        <v>22</v>
      </c>
      <c r="C546" s="32">
        <v>45055</v>
      </c>
      <c r="D546" s="14">
        <v>1644.45</v>
      </c>
      <c r="E546" s="14">
        <v>1649.9</v>
      </c>
      <c r="F546" s="14">
        <v>1656</v>
      </c>
      <c r="G546" s="14">
        <v>1639.95</v>
      </c>
      <c r="H546" s="14">
        <v>1642.75</v>
      </c>
      <c r="I546" s="14">
        <v>1644.5</v>
      </c>
      <c r="J546" s="14">
        <v>1649.29</v>
      </c>
      <c r="K546" t="s" s="13">
        <v>3376</v>
      </c>
      <c r="L546" t="s" s="13">
        <v>3377</v>
      </c>
      <c r="M546" t="s" s="13">
        <v>3378</v>
      </c>
      <c r="N546" t="s" s="13">
        <v>3379</v>
      </c>
      <c r="O546" s="15">
        <v>26.22</v>
      </c>
      <c r="P546" s="30" cm="1">
        <f t="array" ref="P546">(I546-I545)/I545</f>
        <v>3.04053026847882e-05</v>
      </c>
      <c r="Q546" s="15">
        <v>12660993</v>
      </c>
    </row>
    <row r="547" ht="13.65" customHeight="1">
      <c r="A547" t="s" s="27">
        <v>1294</v>
      </c>
      <c r="B547" t="s" s="13">
        <v>22</v>
      </c>
      <c r="C547" s="33">
        <v>45056</v>
      </c>
      <c r="D547" s="14">
        <v>1644.5</v>
      </c>
      <c r="E547" s="14">
        <v>1644.5</v>
      </c>
      <c r="F547" s="14">
        <v>1654.65</v>
      </c>
      <c r="G547" s="14">
        <v>1633.1</v>
      </c>
      <c r="H547" s="14">
        <v>1652.3</v>
      </c>
      <c r="I547" s="14">
        <v>1652.1</v>
      </c>
      <c r="J547" s="14">
        <v>1644.49</v>
      </c>
      <c r="K547" t="s" s="13">
        <v>3380</v>
      </c>
      <c r="L547" t="s" s="13">
        <v>3381</v>
      </c>
      <c r="M547" t="s" s="13">
        <v>3382</v>
      </c>
      <c r="N547" t="s" s="13">
        <v>3383</v>
      </c>
      <c r="O547" s="15">
        <v>21.95</v>
      </c>
      <c r="P547" s="30" cm="1">
        <f t="array" ref="P547">(I547-I546)/I546</f>
        <v>0.00462146549103071</v>
      </c>
      <c r="Q547" s="15">
        <v>16043575</v>
      </c>
    </row>
    <row r="548" ht="13.65" customHeight="1">
      <c r="A548" t="s" s="27">
        <v>1294</v>
      </c>
      <c r="B548" t="s" s="13">
        <v>22</v>
      </c>
      <c r="C548" s="33">
        <v>45057</v>
      </c>
      <c r="D548" s="14">
        <v>1652.1</v>
      </c>
      <c r="E548" s="14">
        <v>1665.15</v>
      </c>
      <c r="F548" s="14">
        <v>1688</v>
      </c>
      <c r="G548" s="14">
        <v>1649.25</v>
      </c>
      <c r="H548" s="14">
        <v>1655</v>
      </c>
      <c r="I548" s="14">
        <v>1653.2</v>
      </c>
      <c r="J548" s="14">
        <v>1656.04</v>
      </c>
      <c r="K548" t="s" s="13">
        <v>3384</v>
      </c>
      <c r="L548" t="s" s="13">
        <v>3385</v>
      </c>
      <c r="M548" t="s" s="13">
        <v>3386</v>
      </c>
      <c r="N548" t="s" s="13">
        <v>3387</v>
      </c>
      <c r="O548" s="15">
        <v>22.32</v>
      </c>
      <c r="P548" s="30" cm="1">
        <f t="array" ref="P548">(I548-I547)/I547</f>
        <v>0.000665819260335331</v>
      </c>
      <c r="Q548" s="15">
        <v>11753435</v>
      </c>
    </row>
    <row r="549" ht="13.65" customHeight="1">
      <c r="A549" t="s" s="27">
        <v>1294</v>
      </c>
      <c r="B549" t="s" s="13">
        <v>22</v>
      </c>
      <c r="C549" s="33">
        <v>45058</v>
      </c>
      <c r="D549" s="14">
        <v>1653.2</v>
      </c>
      <c r="E549" s="14">
        <v>1647</v>
      </c>
      <c r="F549" s="14">
        <v>1672.8</v>
      </c>
      <c r="G549" s="14">
        <v>1644.25</v>
      </c>
      <c r="H549" s="14">
        <v>1667.95</v>
      </c>
      <c r="I549" s="14">
        <v>1667.8</v>
      </c>
      <c r="J549" s="14">
        <v>1662.68</v>
      </c>
      <c r="K549" t="s" s="13">
        <v>3388</v>
      </c>
      <c r="L549" t="s" s="13">
        <v>3389</v>
      </c>
      <c r="M549" t="s" s="13">
        <v>3390</v>
      </c>
      <c r="N549" t="s" s="13">
        <v>3391</v>
      </c>
      <c r="O549" s="15">
        <v>26.8</v>
      </c>
      <c r="P549" s="30" cm="1">
        <f t="array" ref="P549">(I549-I548)/I548</f>
        <v>0.00883135736752964</v>
      </c>
      <c r="Q549" s="15">
        <v>14916726</v>
      </c>
    </row>
    <row r="550" ht="13.65" customHeight="1">
      <c r="A550" t="s" s="27">
        <v>1294</v>
      </c>
      <c r="B550" t="s" s="13">
        <v>22</v>
      </c>
      <c r="C550" s="33">
        <v>45061</v>
      </c>
      <c r="D550" s="14">
        <v>1667.8</v>
      </c>
      <c r="E550" s="14">
        <v>1672</v>
      </c>
      <c r="F550" s="14">
        <v>1680.75</v>
      </c>
      <c r="G550" s="14">
        <v>1665.1</v>
      </c>
      <c r="H550" s="14">
        <v>1677</v>
      </c>
      <c r="I550" s="14">
        <v>1675.8</v>
      </c>
      <c r="J550" s="14">
        <v>1676.61</v>
      </c>
      <c r="K550" t="s" s="13">
        <v>3392</v>
      </c>
      <c r="L550" t="s" s="13">
        <v>3393</v>
      </c>
      <c r="M550" t="s" s="13">
        <v>3394</v>
      </c>
      <c r="N550" t="s" s="13">
        <v>3395</v>
      </c>
      <c r="O550" s="15">
        <v>35.07</v>
      </c>
      <c r="P550" s="30" cm="1">
        <f t="array" ref="P550">(I550-I549)/I549</f>
        <v>0.00479673821801175</v>
      </c>
      <c r="Q550" s="15">
        <v>25280441</v>
      </c>
    </row>
    <row r="551" ht="13.65" customHeight="1">
      <c r="A551" t="s" s="27">
        <v>1294</v>
      </c>
      <c r="B551" t="s" s="13">
        <v>22</v>
      </c>
      <c r="C551" s="33">
        <v>45062</v>
      </c>
      <c r="D551" s="14">
        <v>1675.8</v>
      </c>
      <c r="E551" s="14">
        <v>1671.8</v>
      </c>
      <c r="F551" s="14">
        <v>1671.8</v>
      </c>
      <c r="G551" s="14">
        <v>1644</v>
      </c>
      <c r="H551" s="14">
        <v>1646</v>
      </c>
      <c r="I551" s="14">
        <v>1647.3</v>
      </c>
      <c r="J551" s="14">
        <v>1654.31</v>
      </c>
      <c r="K551" t="s" s="13">
        <v>3396</v>
      </c>
      <c r="L551" t="s" s="13">
        <v>3397</v>
      </c>
      <c r="M551" t="s" s="13">
        <v>3398</v>
      </c>
      <c r="N551" t="s" s="13">
        <v>3399</v>
      </c>
      <c r="O551" s="15">
        <v>28.69</v>
      </c>
      <c r="P551" s="30" cm="1">
        <f t="array" ref="P551">(I551-I550)/I550</f>
        <v>-0.0170068027210884</v>
      </c>
      <c r="Q551" s="15">
        <v>22946568</v>
      </c>
    </row>
    <row r="552" ht="13.65" customHeight="1">
      <c r="A552" t="s" s="27">
        <v>1294</v>
      </c>
      <c r="B552" t="s" s="13">
        <v>22</v>
      </c>
      <c r="C552" s="33">
        <v>45063</v>
      </c>
      <c r="D552" s="14">
        <v>1647.3</v>
      </c>
      <c r="E552" s="14">
        <v>1650</v>
      </c>
      <c r="F552" s="14">
        <v>1650</v>
      </c>
      <c r="G552" s="14">
        <v>1625.35</v>
      </c>
      <c r="H552" s="14">
        <v>1640.85</v>
      </c>
      <c r="I552" s="14">
        <v>1638.45</v>
      </c>
      <c r="J552" s="14">
        <v>1638.82</v>
      </c>
      <c r="K552" t="s" s="13">
        <v>3400</v>
      </c>
      <c r="L552" t="s" s="13">
        <v>3401</v>
      </c>
      <c r="M552" t="s" s="13">
        <v>3402</v>
      </c>
      <c r="N552" t="s" s="13">
        <v>3403</v>
      </c>
      <c r="O552" s="15">
        <v>21.07</v>
      </c>
      <c r="P552" s="30" cm="1">
        <f t="array" ref="P552">(I552-I551)/I551</f>
        <v>-0.00537242760881442</v>
      </c>
      <c r="Q552" s="15">
        <v>28066754</v>
      </c>
    </row>
    <row r="553" ht="13.65" customHeight="1">
      <c r="A553" t="s" s="27">
        <v>1294</v>
      </c>
      <c r="B553" t="s" s="13">
        <v>22</v>
      </c>
      <c r="C553" s="33">
        <v>45064</v>
      </c>
      <c r="D553" s="14">
        <v>1638.45</v>
      </c>
      <c r="E553" s="14">
        <v>1648</v>
      </c>
      <c r="F553" s="14">
        <v>1653.95</v>
      </c>
      <c r="G553" s="14">
        <v>1640</v>
      </c>
      <c r="H553" s="14">
        <v>1644.5</v>
      </c>
      <c r="I553" s="14">
        <v>1645</v>
      </c>
      <c r="J553" s="14">
        <v>1646.05</v>
      </c>
      <c r="K553" t="s" s="13">
        <v>3404</v>
      </c>
      <c r="L553" t="s" s="13">
        <v>3405</v>
      </c>
      <c r="M553" t="s" s="13">
        <v>3406</v>
      </c>
      <c r="N553" t="s" s="13">
        <v>3407</v>
      </c>
      <c r="O553" s="15">
        <v>19.64</v>
      </c>
      <c r="P553" s="30" cm="1">
        <f t="array" ref="P553">(I553-I552)/I552</f>
        <v>0.00399768073484086</v>
      </c>
      <c r="Q553" s="15">
        <v>17225878</v>
      </c>
    </row>
    <row r="554" ht="13.65" customHeight="1">
      <c r="A554" t="s" s="27">
        <v>1294</v>
      </c>
      <c r="B554" t="s" s="13">
        <v>22</v>
      </c>
      <c r="C554" s="33">
        <v>45065</v>
      </c>
      <c r="D554" s="14">
        <v>1645</v>
      </c>
      <c r="E554" s="14">
        <v>1648</v>
      </c>
      <c r="F554" s="14">
        <v>1650</v>
      </c>
      <c r="G554" s="14">
        <v>1631.55</v>
      </c>
      <c r="H554" s="14">
        <v>1646.5</v>
      </c>
      <c r="I554" s="14">
        <v>1646.9</v>
      </c>
      <c r="J554" s="14">
        <v>1641.5</v>
      </c>
      <c r="K554" t="s" s="13">
        <v>3408</v>
      </c>
      <c r="L554" t="s" s="13">
        <v>3409</v>
      </c>
      <c r="M554" t="s" s="13">
        <v>3410</v>
      </c>
      <c r="N554" t="s" s="13">
        <v>3411</v>
      </c>
      <c r="O554" s="15">
        <v>23.19</v>
      </c>
      <c r="P554" s="30" cm="1">
        <f t="array" ref="P554">(I554-I553)/I553</f>
        <v>0.00115501519756839</v>
      </c>
      <c r="Q554" s="15">
        <v>16087871</v>
      </c>
    </row>
    <row r="555" ht="13.65" customHeight="1">
      <c r="A555" t="s" s="27">
        <v>1294</v>
      </c>
      <c r="B555" t="s" s="13">
        <v>22</v>
      </c>
      <c r="C555" s="33">
        <v>45068</v>
      </c>
      <c r="D555" s="14">
        <v>1646.9</v>
      </c>
      <c r="E555" s="14">
        <v>1645</v>
      </c>
      <c r="F555" s="14">
        <v>1652.9</v>
      </c>
      <c r="G555" s="14">
        <v>1632.7</v>
      </c>
      <c r="H555" s="14">
        <v>1638.45</v>
      </c>
      <c r="I555" s="14">
        <v>1641.05</v>
      </c>
      <c r="J555" s="14">
        <v>1641.7</v>
      </c>
      <c r="K555" t="s" s="13">
        <v>3412</v>
      </c>
      <c r="L555" t="s" s="13">
        <v>3413</v>
      </c>
      <c r="M555" t="s" s="13">
        <v>3414</v>
      </c>
      <c r="N555" t="s" s="13">
        <v>3415</v>
      </c>
      <c r="O555" s="15">
        <v>20.45</v>
      </c>
      <c r="P555" s="30" cm="1">
        <f t="array" ref="P555">(I555-I554)/I554</f>
        <v>-0.00355212824093752</v>
      </c>
      <c r="Q555" s="15">
        <v>20792472</v>
      </c>
    </row>
    <row r="556" ht="13.65" customHeight="1">
      <c r="A556" t="s" s="27">
        <v>1294</v>
      </c>
      <c r="B556" t="s" s="13">
        <v>22</v>
      </c>
      <c r="C556" s="33">
        <v>45069</v>
      </c>
      <c r="D556" s="14">
        <v>1641.05</v>
      </c>
      <c r="E556" s="14">
        <v>1649</v>
      </c>
      <c r="F556" s="14">
        <v>1649.6</v>
      </c>
      <c r="G556" s="14">
        <v>1633.45</v>
      </c>
      <c r="H556" s="14">
        <v>1634.05</v>
      </c>
      <c r="I556" s="14">
        <v>1637.2</v>
      </c>
      <c r="J556" s="14">
        <v>1641.32</v>
      </c>
      <c r="K556" t="s" s="13">
        <v>3416</v>
      </c>
      <c r="L556" t="s" s="13">
        <v>3417</v>
      </c>
      <c r="M556" t="s" s="13">
        <v>3418</v>
      </c>
      <c r="N556" t="s" s="13">
        <v>3419</v>
      </c>
      <c r="O556" s="15">
        <v>19.07</v>
      </c>
      <c r="P556" s="30" cm="1">
        <f t="array" ref="P556">(I556-I555)/I555</f>
        <v>-0.00234605892568782</v>
      </c>
      <c r="Q556" s="15">
        <v>45660405</v>
      </c>
    </row>
    <row r="557" ht="13.65" customHeight="1">
      <c r="A557" t="s" s="27">
        <v>1294</v>
      </c>
      <c r="B557" t="s" s="13">
        <v>22</v>
      </c>
      <c r="C557" s="33">
        <v>45070</v>
      </c>
      <c r="D557" s="14">
        <v>1637.2</v>
      </c>
      <c r="E557" s="14">
        <v>1627.55</v>
      </c>
      <c r="F557" s="14">
        <v>1634.75</v>
      </c>
      <c r="G557" s="14">
        <v>1613.6</v>
      </c>
      <c r="H557" s="14">
        <v>1615</v>
      </c>
      <c r="I557" s="14">
        <v>1615.8</v>
      </c>
      <c r="J557" s="14">
        <v>1624.67</v>
      </c>
      <c r="K557" t="s" s="13">
        <v>3420</v>
      </c>
      <c r="L557" t="s" s="13">
        <v>3421</v>
      </c>
      <c r="M557" t="s" s="13">
        <v>3422</v>
      </c>
      <c r="N557" t="s" s="13">
        <v>3423</v>
      </c>
      <c r="O557" s="15">
        <v>34.99</v>
      </c>
      <c r="P557" s="30" cm="1">
        <f t="array" ref="P557">(I557-I556)/I556</f>
        <v>-0.0130710969948693</v>
      </c>
      <c r="Q557" s="15">
        <v>28790497</v>
      </c>
    </row>
    <row r="558" ht="13.65" customHeight="1">
      <c r="A558" t="s" s="27">
        <v>1294</v>
      </c>
      <c r="B558" t="s" s="13">
        <v>22</v>
      </c>
      <c r="C558" s="33">
        <v>45071</v>
      </c>
      <c r="D558" s="14">
        <v>1615.8</v>
      </c>
      <c r="E558" s="14">
        <v>1615.7</v>
      </c>
      <c r="F558" s="14">
        <v>1620.05</v>
      </c>
      <c r="G558" s="14">
        <v>1597.35</v>
      </c>
      <c r="H558" s="14">
        <v>1613.35</v>
      </c>
      <c r="I558" s="14">
        <v>1609.6</v>
      </c>
      <c r="J558" s="14">
        <v>1606.52</v>
      </c>
      <c r="K558" t="s" s="13">
        <v>3424</v>
      </c>
      <c r="L558" t="s" s="13">
        <v>3425</v>
      </c>
      <c r="M558" t="s" s="13">
        <v>3426</v>
      </c>
      <c r="N558" t="s" s="13">
        <v>3427</v>
      </c>
      <c r="O558" s="15">
        <v>33.22</v>
      </c>
      <c r="P558" s="30" cm="1">
        <f t="array" ref="P558">(I558-I557)/I557</f>
        <v>-0.00383710855303874</v>
      </c>
      <c r="Q558" s="15">
        <v>17223906</v>
      </c>
    </row>
    <row r="559" ht="13.65" customHeight="1">
      <c r="A559" t="s" s="27">
        <v>1294</v>
      </c>
      <c r="B559" t="s" s="13">
        <v>22</v>
      </c>
      <c r="C559" s="33">
        <v>45072</v>
      </c>
      <c r="D559" s="14">
        <v>1609.6</v>
      </c>
      <c r="E559" s="14">
        <v>1619</v>
      </c>
      <c r="F559" s="14">
        <v>1619</v>
      </c>
      <c r="G559" s="14">
        <v>1602.25</v>
      </c>
      <c r="H559" s="14">
        <v>1617</v>
      </c>
      <c r="I559" s="14">
        <v>1615.8</v>
      </c>
      <c r="J559" s="14">
        <v>1611.17</v>
      </c>
      <c r="K559" t="s" s="13">
        <v>3428</v>
      </c>
      <c r="L559" t="s" s="13">
        <v>3429</v>
      </c>
      <c r="M559" t="s" s="13">
        <v>3430</v>
      </c>
      <c r="N559" t="s" s="13">
        <v>3431</v>
      </c>
      <c r="O559" s="15">
        <v>42.49</v>
      </c>
      <c r="P559" s="30" cm="1">
        <f t="array" ref="P559">(I559-I558)/I558</f>
        <v>0.00385188866799205</v>
      </c>
      <c r="Q559" s="15">
        <v>28321062</v>
      </c>
    </row>
    <row r="560" ht="13.65" customHeight="1">
      <c r="A560" t="s" s="27">
        <v>1294</v>
      </c>
      <c r="B560" t="s" s="13">
        <v>22</v>
      </c>
      <c r="C560" s="33">
        <v>45075</v>
      </c>
      <c r="D560" s="14">
        <v>1615.8</v>
      </c>
      <c r="E560" s="14">
        <v>1628.5</v>
      </c>
      <c r="F560" s="14">
        <v>1641</v>
      </c>
      <c r="G560" s="14">
        <v>1624.85</v>
      </c>
      <c r="H560" s="14">
        <v>1630</v>
      </c>
      <c r="I560" s="14">
        <v>1635.5</v>
      </c>
      <c r="J560" s="14">
        <v>1636.2</v>
      </c>
      <c r="K560" t="s" s="13">
        <v>3432</v>
      </c>
      <c r="L560" t="s" s="13">
        <v>3433</v>
      </c>
      <c r="M560" t="s" s="13">
        <v>3434</v>
      </c>
      <c r="N560" t="s" s="13">
        <v>3435</v>
      </c>
      <c r="O560" s="15">
        <v>28.89</v>
      </c>
      <c r="P560" s="30" cm="1">
        <f t="array" ref="P560">(I560-I559)/I559</f>
        <v>0.0121921029830425</v>
      </c>
      <c r="Q560" s="15">
        <v>34553062</v>
      </c>
    </row>
    <row r="561" ht="13.65" customHeight="1">
      <c r="A561" t="s" s="27">
        <v>1294</v>
      </c>
      <c r="B561" t="s" s="13">
        <v>22</v>
      </c>
      <c r="C561" s="33">
        <v>45076</v>
      </c>
      <c r="D561" s="14">
        <v>1635.5</v>
      </c>
      <c r="E561" s="14">
        <v>1633.6</v>
      </c>
      <c r="F561" s="14">
        <v>1642.65</v>
      </c>
      <c r="G561" s="14">
        <v>1628.55</v>
      </c>
      <c r="H561" s="14">
        <v>1640.8</v>
      </c>
      <c r="I561" s="14">
        <v>1636.75</v>
      </c>
      <c r="J561" s="14">
        <v>1633.96</v>
      </c>
      <c r="K561" t="s" s="13">
        <v>3436</v>
      </c>
      <c r="L561" t="s" s="13">
        <v>3437</v>
      </c>
      <c r="M561" t="s" s="13">
        <v>3438</v>
      </c>
      <c r="N561" t="s" s="13">
        <v>3439</v>
      </c>
      <c r="O561" s="15">
        <v>18.61</v>
      </c>
      <c r="P561" s="30" cm="1">
        <f t="array" ref="P561">(I561-I560)/I560</f>
        <v>0.000764292265362275</v>
      </c>
      <c r="Q561" s="15">
        <v>27418543</v>
      </c>
    </row>
    <row r="562" ht="13.65" customHeight="1">
      <c r="A562" t="s" s="27">
        <v>1294</v>
      </c>
      <c r="B562" t="s" s="13">
        <v>22</v>
      </c>
      <c r="C562" s="33">
        <v>45077</v>
      </c>
      <c r="D562" s="14">
        <v>1636.75</v>
      </c>
      <c r="E562" s="14">
        <v>1629.9</v>
      </c>
      <c r="F562" s="14">
        <v>1634.95</v>
      </c>
      <c r="G562" s="14">
        <v>1604.65</v>
      </c>
      <c r="H562" s="14">
        <v>1611.2</v>
      </c>
      <c r="I562" s="14">
        <v>1610.85</v>
      </c>
      <c r="J562" s="14">
        <v>1613.25</v>
      </c>
      <c r="K562" t="s" s="13">
        <v>3440</v>
      </c>
      <c r="L562" t="s" s="13">
        <v>3441</v>
      </c>
      <c r="M562" t="s" s="13">
        <v>3442</v>
      </c>
      <c r="N562" t="s" s="13">
        <v>3443</v>
      </c>
      <c r="O562" s="15">
        <v>30.66</v>
      </c>
      <c r="P562" s="30" cm="1">
        <f t="array" ref="P562">(I562-I561)/I561</f>
        <v>-0.0158240415457461</v>
      </c>
      <c r="Q562" s="15">
        <v>20537870</v>
      </c>
    </row>
    <row r="563" ht="13.65" customHeight="1">
      <c r="A563" t="s" s="27">
        <v>1294</v>
      </c>
      <c r="B563" t="s" s="13">
        <v>22</v>
      </c>
      <c r="C563" s="28">
        <v>45078</v>
      </c>
      <c r="D563" s="14">
        <v>1610.85</v>
      </c>
      <c r="E563" s="14">
        <v>1619.9</v>
      </c>
      <c r="F563" s="14">
        <v>1619.9</v>
      </c>
      <c r="G563" s="14">
        <v>1600</v>
      </c>
      <c r="H563" s="14">
        <v>1601</v>
      </c>
      <c r="I563" s="14">
        <v>1604</v>
      </c>
      <c r="J563" s="14">
        <v>1612.23</v>
      </c>
      <c r="K563" t="s" s="13">
        <v>3444</v>
      </c>
      <c r="L563" t="s" s="13">
        <v>3445</v>
      </c>
      <c r="M563" t="s" s="13">
        <v>3446</v>
      </c>
      <c r="N563" t="s" s="13">
        <v>3447</v>
      </c>
      <c r="O563" s="15">
        <v>21.82</v>
      </c>
      <c r="P563" s="30" cm="1">
        <f t="array" ref="P563">(I563-I562)/I562</f>
        <v>-0.00425241332215911</v>
      </c>
      <c r="Q563" s="15">
        <v>19302523</v>
      </c>
    </row>
    <row r="564" ht="13.65" customHeight="1">
      <c r="A564" t="s" s="27">
        <v>1294</v>
      </c>
      <c r="B564" t="s" s="13">
        <v>22</v>
      </c>
      <c r="C564" s="28">
        <v>45079</v>
      </c>
      <c r="D564" s="14">
        <v>1604</v>
      </c>
      <c r="E564" s="14">
        <v>1612.45</v>
      </c>
      <c r="F564" s="14">
        <v>1614.8</v>
      </c>
      <c r="G564" s="14">
        <v>1601</v>
      </c>
      <c r="H564" s="14">
        <v>1605.5</v>
      </c>
      <c r="I564" s="14">
        <v>1606.5</v>
      </c>
      <c r="J564" s="14">
        <v>1607.62</v>
      </c>
      <c r="K564" t="s" s="13">
        <v>3448</v>
      </c>
      <c r="L564" t="s" s="13">
        <v>3449</v>
      </c>
      <c r="M564" t="s" s="13">
        <v>3450</v>
      </c>
      <c r="N564" t="s" s="13">
        <v>3451</v>
      </c>
      <c r="O564" s="15">
        <v>36.83</v>
      </c>
      <c r="P564" s="30" cm="1">
        <f t="array" ref="P564">(I564-I563)/I563</f>
        <v>0.00155860349127182</v>
      </c>
      <c r="Q564" s="15">
        <v>22433877</v>
      </c>
    </row>
    <row r="565" ht="13.65" customHeight="1">
      <c r="A565" t="s" s="27">
        <v>1294</v>
      </c>
      <c r="B565" t="s" s="13">
        <v>22</v>
      </c>
      <c r="C565" s="28">
        <v>45082</v>
      </c>
      <c r="D565" s="14">
        <v>1606.5</v>
      </c>
      <c r="E565" s="14">
        <v>1614.5</v>
      </c>
      <c r="F565" s="14">
        <v>1616.5</v>
      </c>
      <c r="G565" s="14">
        <v>1602.45</v>
      </c>
      <c r="H565" s="14">
        <v>1604.05</v>
      </c>
      <c r="I565" s="14">
        <v>1604.4</v>
      </c>
      <c r="J565" s="14">
        <v>1610.46</v>
      </c>
      <c r="K565" t="s" s="13">
        <v>3452</v>
      </c>
      <c r="L565" t="s" s="13">
        <v>3453</v>
      </c>
      <c r="M565" t="s" s="13">
        <v>3454</v>
      </c>
      <c r="N565" t="s" s="13">
        <v>3455</v>
      </c>
      <c r="O565" s="15">
        <v>30.92</v>
      </c>
      <c r="P565" s="30" cm="1">
        <f t="array" ref="P565">(I565-I564)/I564</f>
        <v>-0.00130718954248366</v>
      </c>
      <c r="Q565" s="15">
        <v>16345370</v>
      </c>
    </row>
    <row r="566" ht="13.65" customHeight="1">
      <c r="A566" t="s" s="27">
        <v>1294</v>
      </c>
      <c r="B566" t="s" s="13">
        <v>22</v>
      </c>
      <c r="C566" s="28">
        <v>45083</v>
      </c>
      <c r="D566" s="14">
        <v>1604.4</v>
      </c>
      <c r="E566" s="14">
        <v>1607.65</v>
      </c>
      <c r="F566" s="14">
        <v>1609.85</v>
      </c>
      <c r="G566" s="14">
        <v>1592.25</v>
      </c>
      <c r="H566" s="14">
        <v>1605</v>
      </c>
      <c r="I566" s="14">
        <v>1599.4</v>
      </c>
      <c r="J566" s="14">
        <v>1598.09</v>
      </c>
      <c r="K566" t="s" s="13">
        <v>3456</v>
      </c>
      <c r="L566" t="s" s="13">
        <v>3457</v>
      </c>
      <c r="M566" t="s" s="13">
        <v>3458</v>
      </c>
      <c r="N566" t="s" s="13">
        <v>3459</v>
      </c>
      <c r="O566" s="15">
        <v>31.68</v>
      </c>
      <c r="P566" s="30" cm="1">
        <f t="array" ref="P566">(I566-I565)/I565</f>
        <v>-0.0031164298180005</v>
      </c>
      <c r="Q566" s="15">
        <v>32880520</v>
      </c>
    </row>
    <row r="567" ht="13.65" customHeight="1">
      <c r="A567" t="s" s="27">
        <v>1294</v>
      </c>
      <c r="B567" t="s" s="13">
        <v>22</v>
      </c>
      <c r="C567" s="28">
        <v>45084</v>
      </c>
      <c r="D567" s="14">
        <v>1599.4</v>
      </c>
      <c r="E567" s="14">
        <v>1603.45</v>
      </c>
      <c r="F567" s="14">
        <v>1612.55</v>
      </c>
      <c r="G567" s="14">
        <v>1596</v>
      </c>
      <c r="H567" s="14">
        <v>1611.5</v>
      </c>
      <c r="I567" s="14">
        <v>1607.7</v>
      </c>
      <c r="J567" s="14">
        <v>1602.11</v>
      </c>
      <c r="K567" t="s" s="13">
        <v>3460</v>
      </c>
      <c r="L567" t="s" s="13">
        <v>3461</v>
      </c>
      <c r="M567" t="s" s="13">
        <v>3462</v>
      </c>
      <c r="N567" t="s" s="13">
        <v>3463</v>
      </c>
      <c r="O567" s="15">
        <v>31.54</v>
      </c>
      <c r="P567" s="30" cm="1">
        <f t="array" ref="P567">(I567-I566)/I566</f>
        <v>0.00518944604226585</v>
      </c>
      <c r="Q567" s="15">
        <v>20864384</v>
      </c>
    </row>
    <row r="568" ht="13.65" customHeight="1">
      <c r="A568" t="s" s="27">
        <v>1294</v>
      </c>
      <c r="B568" t="s" s="13">
        <v>22</v>
      </c>
      <c r="C568" s="28">
        <v>45085</v>
      </c>
      <c r="D568" s="14">
        <v>1607.7</v>
      </c>
      <c r="E568" s="14">
        <v>1603.25</v>
      </c>
      <c r="F568" s="14">
        <v>1626</v>
      </c>
      <c r="G568" s="14">
        <v>1603.25</v>
      </c>
      <c r="H568" s="14">
        <v>1608.35</v>
      </c>
      <c r="I568" s="14">
        <v>1608.7</v>
      </c>
      <c r="J568" s="14">
        <v>1617.05</v>
      </c>
      <c r="K568" t="s" s="13">
        <v>3464</v>
      </c>
      <c r="L568" t="s" s="13">
        <v>3465</v>
      </c>
      <c r="M568" t="s" s="13">
        <v>3466</v>
      </c>
      <c r="N568" t="s" s="13">
        <v>3467</v>
      </c>
      <c r="O568" s="15">
        <v>28.51</v>
      </c>
      <c r="P568" s="30" cm="1">
        <f t="array" ref="P568">(I568-I567)/I567</f>
        <v>0.000622006593269889</v>
      </c>
      <c r="Q568" s="15">
        <v>32822749</v>
      </c>
    </row>
    <row r="569" ht="13.65" customHeight="1">
      <c r="A569" t="s" s="27">
        <v>1294</v>
      </c>
      <c r="B569" t="s" s="13">
        <v>22</v>
      </c>
      <c r="C569" s="28">
        <v>45086</v>
      </c>
      <c r="D569" s="14">
        <v>1608.7</v>
      </c>
      <c r="E569" s="14">
        <v>1615.9</v>
      </c>
      <c r="F569" s="14">
        <v>1618.5</v>
      </c>
      <c r="G569" s="14">
        <v>1607</v>
      </c>
      <c r="H569" s="14">
        <v>1609.5</v>
      </c>
      <c r="I569" s="14">
        <v>1610.6</v>
      </c>
      <c r="J569" s="14">
        <v>1613.79</v>
      </c>
      <c r="K569" t="s" s="13">
        <v>3468</v>
      </c>
      <c r="L569" t="s" s="13">
        <v>3469</v>
      </c>
      <c r="M569" t="s" s="13">
        <v>3470</v>
      </c>
      <c r="N569" t="s" s="13">
        <v>3471</v>
      </c>
      <c r="O569" s="15">
        <v>32.38</v>
      </c>
      <c r="P569" s="30" cm="1">
        <f t="array" ref="P569">(I569-I568)/I568</f>
        <v>0.00118107788897868</v>
      </c>
      <c r="Q569" s="15">
        <v>49470926</v>
      </c>
    </row>
    <row r="570" ht="13.65" customHeight="1">
      <c r="A570" t="s" s="27">
        <v>1294</v>
      </c>
      <c r="B570" t="s" s="13">
        <v>22</v>
      </c>
      <c r="C570" s="31">
        <v>45089</v>
      </c>
      <c r="D570" s="14">
        <v>1610.6</v>
      </c>
      <c r="E570" s="14">
        <v>1612.55</v>
      </c>
      <c r="F570" s="14">
        <v>1615.8</v>
      </c>
      <c r="G570" s="14">
        <v>1599.45</v>
      </c>
      <c r="H570" s="14">
        <v>1600.9</v>
      </c>
      <c r="I570" s="14">
        <v>1600.8</v>
      </c>
      <c r="J570" s="14">
        <v>1604.34</v>
      </c>
      <c r="K570" t="s" s="13">
        <v>3472</v>
      </c>
      <c r="L570" t="s" s="13">
        <v>3473</v>
      </c>
      <c r="M570" t="s" s="13">
        <v>3474</v>
      </c>
      <c r="N570" t="s" s="13">
        <v>3475</v>
      </c>
      <c r="O570" s="15">
        <v>47.56</v>
      </c>
      <c r="P570" s="30" cm="1">
        <f t="array" ref="P570">(I570-I569)/I569</f>
        <v>-0.00608468893580032</v>
      </c>
      <c r="Q570" s="15">
        <v>43002202</v>
      </c>
    </row>
    <row r="571" ht="13.65" customHeight="1">
      <c r="A571" t="s" s="27">
        <v>1294</v>
      </c>
      <c r="B571" t="s" s="13">
        <v>22</v>
      </c>
      <c r="C571" s="31">
        <v>45090</v>
      </c>
      <c r="D571" s="14">
        <v>1600.8</v>
      </c>
      <c r="E571" s="14">
        <v>1590.1</v>
      </c>
      <c r="F571" s="14">
        <v>1609</v>
      </c>
      <c r="G571" s="14">
        <v>1590.1</v>
      </c>
      <c r="H571" s="14">
        <v>1607.95</v>
      </c>
      <c r="I571" s="14">
        <v>1603.5</v>
      </c>
      <c r="J571" s="14">
        <v>1602.57</v>
      </c>
      <c r="K571" t="s" s="13">
        <v>3476</v>
      </c>
      <c r="L571" t="s" s="13">
        <v>3477</v>
      </c>
      <c r="M571" t="s" s="13">
        <v>3478</v>
      </c>
      <c r="N571" t="s" s="13">
        <v>3479</v>
      </c>
      <c r="O571" s="15">
        <v>44.26</v>
      </c>
      <c r="P571" s="30" cm="1">
        <f t="array" ref="P571">(I571-I570)/I570</f>
        <v>0.00168665667166417</v>
      </c>
      <c r="Q571" s="15">
        <v>57734701</v>
      </c>
    </row>
    <row r="572" ht="13.65" customHeight="1">
      <c r="A572" t="s" s="27">
        <v>1294</v>
      </c>
      <c r="B572" t="s" s="13">
        <v>22</v>
      </c>
      <c r="C572" s="31">
        <v>45091</v>
      </c>
      <c r="D572" s="14">
        <v>1603.5</v>
      </c>
      <c r="E572" s="14">
        <v>1610.45</v>
      </c>
      <c r="F572" s="14">
        <v>1612</v>
      </c>
      <c r="G572" s="14">
        <v>1600.2</v>
      </c>
      <c r="H572" s="14">
        <v>1601.75</v>
      </c>
      <c r="I572" s="14">
        <v>1601.75</v>
      </c>
      <c r="J572" s="14">
        <v>1606.76</v>
      </c>
      <c r="K572" t="s" s="13">
        <v>3480</v>
      </c>
      <c r="L572" t="s" s="13">
        <v>3481</v>
      </c>
      <c r="M572" t="s" s="13">
        <v>3482</v>
      </c>
      <c r="N572" t="s" s="13">
        <v>3483</v>
      </c>
      <c r="O572" s="15">
        <v>43.93</v>
      </c>
      <c r="P572" s="30" cm="1">
        <f t="array" ref="P572">(I572-I571)/I571</f>
        <v>-0.00109136264421578</v>
      </c>
      <c r="Q572" s="15">
        <v>12920293</v>
      </c>
    </row>
    <row r="573" ht="13.65" customHeight="1">
      <c r="A573" t="s" s="27">
        <v>1294</v>
      </c>
      <c r="B573" t="s" s="13">
        <v>22</v>
      </c>
      <c r="C573" s="31">
        <v>45092</v>
      </c>
      <c r="D573" s="14">
        <v>1601.75</v>
      </c>
      <c r="E573" s="14">
        <v>1604</v>
      </c>
      <c r="F573" s="14">
        <v>1605.95</v>
      </c>
      <c r="G573" s="14">
        <v>1579</v>
      </c>
      <c r="H573" s="14">
        <v>1580.55</v>
      </c>
      <c r="I573" s="14">
        <v>1582.05</v>
      </c>
      <c r="J573" s="14">
        <v>1590.41</v>
      </c>
      <c r="K573" t="s" s="13">
        <v>3484</v>
      </c>
      <c r="L573" t="s" s="13">
        <v>3485</v>
      </c>
      <c r="M573" t="s" s="13">
        <v>3486</v>
      </c>
      <c r="N573" t="s" s="13">
        <v>3487</v>
      </c>
      <c r="O573" s="15">
        <v>33.73</v>
      </c>
      <c r="P573" s="30" cm="1">
        <f t="array" ref="P573">(I573-I572)/I572</f>
        <v>-0.0122990479163415</v>
      </c>
      <c r="Q573" s="15">
        <v>54800269</v>
      </c>
    </row>
    <row r="574" ht="13.65" customHeight="1">
      <c r="A574" t="s" s="27">
        <v>1294</v>
      </c>
      <c r="B574" t="s" s="13">
        <v>22</v>
      </c>
      <c r="C574" s="31">
        <v>45093</v>
      </c>
      <c r="D574" s="14">
        <v>1582.05</v>
      </c>
      <c r="E574" s="14">
        <v>1587.15</v>
      </c>
      <c r="F574" s="14">
        <v>1609.2</v>
      </c>
      <c r="G574" s="14">
        <v>1584</v>
      </c>
      <c r="H574" s="14">
        <v>1602.5</v>
      </c>
      <c r="I574" s="14">
        <v>1602.75</v>
      </c>
      <c r="J574" s="14">
        <v>1598.25</v>
      </c>
      <c r="K574" t="s" s="13">
        <v>3488</v>
      </c>
      <c r="L574" t="s" s="13">
        <v>3489</v>
      </c>
      <c r="M574" t="s" s="13">
        <v>3490</v>
      </c>
      <c r="N574" t="s" s="13">
        <v>3491</v>
      </c>
      <c r="O574" s="15">
        <v>53.85</v>
      </c>
      <c r="P574" s="30" cm="1">
        <f t="array" ref="P574">(I574-I573)/I573</f>
        <v>0.0130842893713852</v>
      </c>
      <c r="Q574" s="15">
        <v>80535465</v>
      </c>
    </row>
    <row r="575" ht="13.65" customHeight="1">
      <c r="A575" t="s" s="27">
        <v>1294</v>
      </c>
      <c r="B575" t="s" s="13">
        <v>22</v>
      </c>
      <c r="C575" s="31">
        <v>45096</v>
      </c>
      <c r="D575" s="14">
        <v>1602.75</v>
      </c>
      <c r="E575" s="14">
        <v>1611</v>
      </c>
      <c r="F575" s="14">
        <v>1614.25</v>
      </c>
      <c r="G575" s="14">
        <v>1598.35</v>
      </c>
      <c r="H575" s="14">
        <v>1604.9</v>
      </c>
      <c r="I575" s="14">
        <v>1604.15</v>
      </c>
      <c r="J575" s="14">
        <v>1606</v>
      </c>
      <c r="K575" t="s" s="13">
        <v>3492</v>
      </c>
      <c r="L575" t="s" s="13">
        <v>3493</v>
      </c>
      <c r="M575" t="s" s="13">
        <v>3494</v>
      </c>
      <c r="N575" t="s" s="13">
        <v>3495</v>
      </c>
      <c r="O575" s="15">
        <v>35.31</v>
      </c>
      <c r="P575" s="30" cm="1">
        <f t="array" ref="P575">(I575-I574)/I574</f>
        <v>0.000873498674153798</v>
      </c>
      <c r="Q575" s="15">
        <v>85072618</v>
      </c>
    </row>
    <row r="576" ht="13.65" customHeight="1">
      <c r="A576" t="s" s="27">
        <v>1294</v>
      </c>
      <c r="B576" t="s" s="13">
        <v>22</v>
      </c>
      <c r="C576" s="31">
        <v>45097</v>
      </c>
      <c r="D576" s="14">
        <v>1604.15</v>
      </c>
      <c r="E576" s="14">
        <v>1604.15</v>
      </c>
      <c r="F576" s="14">
        <v>1611</v>
      </c>
      <c r="G576" s="14">
        <v>1590.65</v>
      </c>
      <c r="H576" s="14">
        <v>1609.4</v>
      </c>
      <c r="I576" s="14">
        <v>1607.5</v>
      </c>
      <c r="J576" s="14">
        <v>1599.68</v>
      </c>
      <c r="K576" t="s" s="13">
        <v>3496</v>
      </c>
      <c r="L576" t="s" s="13">
        <v>3497</v>
      </c>
      <c r="M576" t="s" s="13">
        <v>3498</v>
      </c>
      <c r="N576" t="s" s="13">
        <v>3499</v>
      </c>
      <c r="O576" s="15">
        <v>42.72</v>
      </c>
      <c r="P576" s="30" cm="1">
        <f t="array" ref="P576">(I576-I575)/I575</f>
        <v>0.00208833338528193</v>
      </c>
      <c r="Q576" s="15">
        <v>12661250</v>
      </c>
    </row>
    <row r="577" ht="13.65" customHeight="1">
      <c r="A577" t="s" s="27">
        <v>1294</v>
      </c>
      <c r="B577" t="s" s="13">
        <v>22</v>
      </c>
      <c r="C577" s="31">
        <v>45098</v>
      </c>
      <c r="D577" s="14">
        <v>1607.5</v>
      </c>
      <c r="E577" s="14">
        <v>1616</v>
      </c>
      <c r="F577" s="14">
        <v>1637.25</v>
      </c>
      <c r="G577" s="14">
        <v>1611</v>
      </c>
      <c r="H577" s="14">
        <v>1635.55</v>
      </c>
      <c r="I577" s="14">
        <v>1635.6</v>
      </c>
      <c r="J577" s="14">
        <v>1628.22</v>
      </c>
      <c r="K577" t="s" s="13">
        <v>3500</v>
      </c>
      <c r="L577" t="s" s="13">
        <v>3501</v>
      </c>
      <c r="M577" t="s" s="13">
        <v>3502</v>
      </c>
      <c r="N577" t="s" s="13">
        <v>3503</v>
      </c>
      <c r="O577" s="15">
        <v>46.87</v>
      </c>
      <c r="P577" s="30" cm="1">
        <f t="array" ref="P577">(I577-I576)/I576</f>
        <v>0.0174805598755832</v>
      </c>
      <c r="Q577" s="15">
        <v>14160178</v>
      </c>
    </row>
    <row r="578" ht="13.65" customHeight="1">
      <c r="A578" t="s" s="27">
        <v>1294</v>
      </c>
      <c r="B578" t="s" s="13">
        <v>22</v>
      </c>
      <c r="C578" s="31">
        <v>45099</v>
      </c>
      <c r="D578" s="14">
        <v>1635.6</v>
      </c>
      <c r="E578" s="14">
        <v>1640</v>
      </c>
      <c r="F578" s="14">
        <v>1657.55</v>
      </c>
      <c r="G578" s="14">
        <v>1639.05</v>
      </c>
      <c r="H578" s="14">
        <v>1644.8</v>
      </c>
      <c r="I578" s="14">
        <v>1643.6</v>
      </c>
      <c r="J578" s="14">
        <v>1646.7</v>
      </c>
      <c r="K578" t="s" s="13">
        <v>3504</v>
      </c>
      <c r="L578" t="s" s="13">
        <v>3505</v>
      </c>
      <c r="M578" t="s" s="13">
        <v>3506</v>
      </c>
      <c r="N578" t="s" s="13">
        <v>3507</v>
      </c>
      <c r="O578" s="15">
        <v>35.39</v>
      </c>
      <c r="P578" s="30" cm="1">
        <f t="array" ref="P578">(I578-I577)/I577</f>
        <v>0.00489117143555882</v>
      </c>
      <c r="Q578" s="15">
        <v>9886776</v>
      </c>
    </row>
    <row r="579" ht="13.65" customHeight="1">
      <c r="A579" t="s" s="27">
        <v>1294</v>
      </c>
      <c r="B579" t="s" s="13">
        <v>22</v>
      </c>
      <c r="C579" s="31">
        <v>45100</v>
      </c>
      <c r="D579" s="14">
        <v>1643.6</v>
      </c>
      <c r="E579" s="14">
        <v>1637.55</v>
      </c>
      <c r="F579" s="14">
        <v>1659.9</v>
      </c>
      <c r="G579" s="14">
        <v>1634.05</v>
      </c>
      <c r="H579" s="14">
        <v>1642.9</v>
      </c>
      <c r="I579" s="14">
        <v>1643.5</v>
      </c>
      <c r="J579" s="14">
        <v>1649.49</v>
      </c>
      <c r="K579" t="s" s="13">
        <v>3508</v>
      </c>
      <c r="L579" t="s" s="13">
        <v>3509</v>
      </c>
      <c r="M579" t="s" s="13">
        <v>3510</v>
      </c>
      <c r="N579" t="s" s="13">
        <v>3511</v>
      </c>
      <c r="O579" s="15">
        <v>44.59</v>
      </c>
      <c r="P579" s="30" cm="1">
        <f t="array" ref="P579">(I579-I578)/I578</f>
        <v>-6.0842054027744e-05</v>
      </c>
      <c r="Q579" s="15">
        <v>9157005</v>
      </c>
    </row>
    <row r="580" ht="13.65" customHeight="1">
      <c r="A580" t="s" s="27">
        <v>1294</v>
      </c>
      <c r="B580" t="s" s="13">
        <v>22</v>
      </c>
      <c r="C580" s="31">
        <v>45103</v>
      </c>
      <c r="D580" s="14">
        <v>1643.5</v>
      </c>
      <c r="E580" s="14">
        <v>1645</v>
      </c>
      <c r="F580" s="14">
        <v>1650.75</v>
      </c>
      <c r="G580" s="14">
        <v>1628.7</v>
      </c>
      <c r="H580" s="14">
        <v>1635.7</v>
      </c>
      <c r="I580" s="14">
        <v>1635.55</v>
      </c>
      <c r="J580" s="14">
        <v>1637.33</v>
      </c>
      <c r="K580" t="s" s="13">
        <v>3512</v>
      </c>
      <c r="L580" t="s" s="13">
        <v>3513</v>
      </c>
      <c r="M580" t="s" s="13">
        <v>3514</v>
      </c>
      <c r="N580" t="s" s="13">
        <v>3515</v>
      </c>
      <c r="O580" s="15">
        <v>53.67</v>
      </c>
      <c r="P580" s="30" cm="1">
        <f t="array" ref="P580">(I580-I579)/I579</f>
        <v>-0.00483723760267721</v>
      </c>
      <c r="Q580" s="15">
        <v>8057912</v>
      </c>
    </row>
    <row r="581" ht="13.65" customHeight="1">
      <c r="A581" t="s" s="27">
        <v>1294</v>
      </c>
      <c r="B581" t="s" s="13">
        <v>22</v>
      </c>
      <c r="C581" s="31">
        <v>45104</v>
      </c>
      <c r="D581" s="14">
        <v>1635.55</v>
      </c>
      <c r="E581" s="14">
        <v>1642.95</v>
      </c>
      <c r="F581" s="14">
        <v>1672.9</v>
      </c>
      <c r="G581" s="14">
        <v>1638.55</v>
      </c>
      <c r="H581" s="14">
        <v>1658.25</v>
      </c>
      <c r="I581" s="14">
        <v>1658.6</v>
      </c>
      <c r="J581" s="14">
        <v>1654.06</v>
      </c>
      <c r="K581" t="s" s="13">
        <v>3516</v>
      </c>
      <c r="L581" t="s" s="13">
        <v>3517</v>
      </c>
      <c r="M581" t="s" s="13">
        <v>3518</v>
      </c>
      <c r="N581" t="s" s="13">
        <v>3519</v>
      </c>
      <c r="O581" s="15">
        <v>50.35</v>
      </c>
      <c r="P581" s="30" cm="1">
        <f t="array" ref="P581">(I581-I580)/I580</f>
        <v>0.0140931185228211</v>
      </c>
      <c r="Q581" s="15">
        <v>12663444</v>
      </c>
    </row>
    <row r="582" ht="13.65" customHeight="1">
      <c r="A582" t="s" s="27">
        <v>1294</v>
      </c>
      <c r="B582" t="s" s="13">
        <v>22</v>
      </c>
      <c r="C582" s="31">
        <v>45105</v>
      </c>
      <c r="D582" s="14">
        <v>1658.6</v>
      </c>
      <c r="E582" s="14">
        <v>1670</v>
      </c>
      <c r="F582" s="14">
        <v>1679.9</v>
      </c>
      <c r="G582" s="14">
        <v>1660.5</v>
      </c>
      <c r="H582" s="14">
        <v>1673.1</v>
      </c>
      <c r="I582" s="14">
        <v>1676.15</v>
      </c>
      <c r="J582" s="14">
        <v>1673.3</v>
      </c>
      <c r="K582" t="s" s="13">
        <v>3520</v>
      </c>
      <c r="L582" t="s" s="13">
        <v>3521</v>
      </c>
      <c r="M582" t="s" s="13">
        <v>3522</v>
      </c>
      <c r="N582" t="s" s="13">
        <v>3523</v>
      </c>
      <c r="O582" s="15">
        <v>56.71</v>
      </c>
      <c r="P582" s="30" cm="1">
        <f t="array" ref="P582">(I582-I581)/I581</f>
        <v>0.0105812130712649</v>
      </c>
      <c r="Q582" s="15">
        <v>8999235</v>
      </c>
    </row>
    <row r="583" ht="13.65" customHeight="1">
      <c r="A583" t="s" s="27">
        <v>1294</v>
      </c>
      <c r="B583" t="s" s="13">
        <v>22</v>
      </c>
      <c r="C583" s="31">
        <v>45107</v>
      </c>
      <c r="D583" s="14">
        <v>1676.15</v>
      </c>
      <c r="E583" s="14">
        <v>1704</v>
      </c>
      <c r="F583" s="14">
        <v>1708.8</v>
      </c>
      <c r="G583" s="14">
        <v>1683.25</v>
      </c>
      <c r="H583" s="14">
        <v>1700.75</v>
      </c>
      <c r="I583" s="14">
        <v>1701.4</v>
      </c>
      <c r="J583" s="14">
        <v>1698.7</v>
      </c>
      <c r="K583" t="s" s="13">
        <v>3524</v>
      </c>
      <c r="L583" t="s" s="13">
        <v>3525</v>
      </c>
      <c r="M583" t="s" s="13">
        <v>3526</v>
      </c>
      <c r="N583" t="s" s="13">
        <v>3527</v>
      </c>
      <c r="O583" s="15">
        <v>72.68000000000001</v>
      </c>
      <c r="P583" s="30" cm="1">
        <f t="array" ref="P583">(I583-I582)/I582</f>
        <v>0.0150642842227724</v>
      </c>
      <c r="Q583" s="15">
        <v>15944735</v>
      </c>
    </row>
    <row r="584" ht="13.65" customHeight="1">
      <c r="A584" t="s" s="27">
        <v>1294</v>
      </c>
      <c r="B584" t="s" s="13">
        <v>22</v>
      </c>
      <c r="C584" s="28">
        <v>45110</v>
      </c>
      <c r="D584" s="14">
        <v>1701.4</v>
      </c>
      <c r="E584" s="14">
        <v>1712.5</v>
      </c>
      <c r="F584" s="14">
        <v>1757.5</v>
      </c>
      <c r="G584" s="14">
        <v>1710</v>
      </c>
      <c r="H584" s="14">
        <v>1721</v>
      </c>
      <c r="I584" s="14">
        <v>1719.8</v>
      </c>
      <c r="J584" s="14">
        <v>1733.31</v>
      </c>
      <c r="K584" t="s" s="13">
        <v>3528</v>
      </c>
      <c r="L584" t="s" s="13">
        <v>3529</v>
      </c>
      <c r="M584" t="s" s="13">
        <v>3530</v>
      </c>
      <c r="N584" t="s" s="13">
        <v>3531</v>
      </c>
      <c r="O584" s="15">
        <v>52.2</v>
      </c>
      <c r="P584" s="30" cm="1">
        <f t="array" ref="P584">(I584-I583)/I583</f>
        <v>0.01081462325144</v>
      </c>
      <c r="Q584" s="15">
        <v>13367028</v>
      </c>
    </row>
    <row r="585" ht="13.65" customHeight="1">
      <c r="A585" t="s" s="27">
        <v>1294</v>
      </c>
      <c r="B585" t="s" s="13">
        <v>22</v>
      </c>
      <c r="C585" s="28">
        <v>45111</v>
      </c>
      <c r="D585" s="14">
        <v>1719.8</v>
      </c>
      <c r="E585" s="14">
        <v>1723.45</v>
      </c>
      <c r="F585" s="14">
        <v>1747</v>
      </c>
      <c r="G585" s="14">
        <v>1713.8</v>
      </c>
      <c r="H585" s="14">
        <v>1725</v>
      </c>
      <c r="I585" s="14">
        <v>1728.2</v>
      </c>
      <c r="J585" s="14">
        <v>1731.04</v>
      </c>
      <c r="K585" t="s" s="13">
        <v>3532</v>
      </c>
      <c r="L585" t="s" s="13">
        <v>3533</v>
      </c>
      <c r="M585" t="s" s="13">
        <v>3534</v>
      </c>
      <c r="N585" t="s" s="13">
        <v>3535</v>
      </c>
      <c r="O585" s="15">
        <v>40.19</v>
      </c>
      <c r="P585" s="30" cm="1">
        <f t="array" ref="P585">(I585-I584)/I584</f>
        <v>0.00488428887079893</v>
      </c>
      <c r="Q585" s="15">
        <v>14194881</v>
      </c>
    </row>
    <row r="586" ht="13.65" customHeight="1">
      <c r="A586" t="s" s="27">
        <v>1294</v>
      </c>
      <c r="B586" t="s" s="13">
        <v>22</v>
      </c>
      <c r="C586" s="28">
        <v>45112</v>
      </c>
      <c r="D586" s="14">
        <v>1728.2</v>
      </c>
      <c r="E586" s="14">
        <v>1716.25</v>
      </c>
      <c r="F586" s="14">
        <v>1720</v>
      </c>
      <c r="G586" s="14">
        <v>1668.55</v>
      </c>
      <c r="H586" s="14">
        <v>1676.6</v>
      </c>
      <c r="I586" s="14">
        <v>1673.3</v>
      </c>
      <c r="J586" s="14">
        <v>1681.63</v>
      </c>
      <c r="K586" t="s" s="13">
        <v>3536</v>
      </c>
      <c r="L586" t="s" s="13">
        <v>3537</v>
      </c>
      <c r="M586" t="s" s="13">
        <v>3538</v>
      </c>
      <c r="N586" t="s" s="13">
        <v>3539</v>
      </c>
      <c r="O586" s="15">
        <v>50.75</v>
      </c>
      <c r="P586" s="30" cm="1">
        <f t="array" ref="P586">(I586-I585)/I585</f>
        <v>-0.0317671565790996</v>
      </c>
      <c r="Q586" s="15">
        <v>14621046</v>
      </c>
    </row>
    <row r="587" ht="13.65" customHeight="1">
      <c r="A587" t="s" s="27">
        <v>1294</v>
      </c>
      <c r="B587" t="s" s="13">
        <v>22</v>
      </c>
      <c r="C587" s="28">
        <v>45113</v>
      </c>
      <c r="D587" s="14">
        <v>1673.3</v>
      </c>
      <c r="E587" s="14">
        <v>1673</v>
      </c>
      <c r="F587" s="14">
        <v>1687.85</v>
      </c>
      <c r="G587" s="14">
        <v>1660.4</v>
      </c>
      <c r="H587" s="14">
        <v>1674.8</v>
      </c>
      <c r="I587" s="14">
        <v>1675</v>
      </c>
      <c r="J587" s="14">
        <v>1674.63</v>
      </c>
      <c r="K587" t="s" s="13">
        <v>3540</v>
      </c>
      <c r="L587" t="s" s="13">
        <v>3541</v>
      </c>
      <c r="M587" t="s" s="13">
        <v>3542</v>
      </c>
      <c r="N587" t="s" s="13">
        <v>3543</v>
      </c>
      <c r="O587" s="15">
        <v>30.41</v>
      </c>
      <c r="P587" s="30" cm="1">
        <f t="array" ref="P587">(I587-I586)/I586</f>
        <v>0.00101595649315723</v>
      </c>
      <c r="Q587" s="15">
        <v>7119843</v>
      </c>
    </row>
    <row r="588" ht="13.65" customHeight="1">
      <c r="A588" t="s" s="27">
        <v>1294</v>
      </c>
      <c r="B588" t="s" s="13">
        <v>22</v>
      </c>
      <c r="C588" s="28">
        <v>45114</v>
      </c>
      <c r="D588" s="14">
        <v>1675</v>
      </c>
      <c r="E588" s="14">
        <v>1665</v>
      </c>
      <c r="F588" s="14">
        <v>1675</v>
      </c>
      <c r="G588" s="14">
        <v>1656.3</v>
      </c>
      <c r="H588" s="14">
        <v>1659.9</v>
      </c>
      <c r="I588" s="14">
        <v>1660.4</v>
      </c>
      <c r="J588" s="14">
        <v>1663.54</v>
      </c>
      <c r="K588" t="s" s="13">
        <v>3544</v>
      </c>
      <c r="L588" t="s" s="13">
        <v>3545</v>
      </c>
      <c r="M588" t="s" s="13">
        <v>3546</v>
      </c>
      <c r="N588" t="s" s="13">
        <v>3547</v>
      </c>
      <c r="O588" s="15">
        <v>38.78</v>
      </c>
      <c r="P588" s="30" cm="1">
        <f t="array" ref="P588">(I588-I587)/I587</f>
        <v>-0.008716417910447759</v>
      </c>
      <c r="Q588" s="15">
        <v>12505713</v>
      </c>
    </row>
    <row r="589" ht="13.65" customHeight="1">
      <c r="A589" t="s" s="27">
        <v>1294</v>
      </c>
      <c r="B589" t="s" s="13">
        <v>22</v>
      </c>
      <c r="C589" s="31">
        <v>45117</v>
      </c>
      <c r="D589" s="14">
        <v>1660.4</v>
      </c>
      <c r="E589" s="14">
        <v>1661</v>
      </c>
      <c r="F589" s="14">
        <v>1676.75</v>
      </c>
      <c r="G589" s="14">
        <v>1649.7</v>
      </c>
      <c r="H589" s="14">
        <v>1658</v>
      </c>
      <c r="I589" s="14">
        <v>1656.45</v>
      </c>
      <c r="J589" s="14">
        <v>1659.09</v>
      </c>
      <c r="K589" t="s" s="13">
        <v>3548</v>
      </c>
      <c r="L589" t="s" s="13">
        <v>3549</v>
      </c>
      <c r="M589" t="s" s="13">
        <v>3550</v>
      </c>
      <c r="N589" t="s" s="13">
        <v>3551</v>
      </c>
      <c r="O589" s="15">
        <v>20.41</v>
      </c>
      <c r="P589" s="30" cm="1">
        <f t="array" ref="P589">(I589-I588)/I588</f>
        <v>-0.00237894483257046</v>
      </c>
      <c r="Q589" s="15">
        <v>22038235</v>
      </c>
    </row>
    <row r="590" ht="13.65" customHeight="1">
      <c r="A590" t="s" s="27">
        <v>1294</v>
      </c>
      <c r="B590" t="s" s="13">
        <v>22</v>
      </c>
      <c r="C590" s="31">
        <v>45118</v>
      </c>
      <c r="D590" s="14">
        <v>1656.45</v>
      </c>
      <c r="E590" s="14">
        <v>1663</v>
      </c>
      <c r="F590" s="14">
        <v>1676</v>
      </c>
      <c r="G590" s="14">
        <v>1645.5</v>
      </c>
      <c r="H590" s="14">
        <v>1650</v>
      </c>
      <c r="I590" s="14">
        <v>1648.4</v>
      </c>
      <c r="J590" s="14">
        <v>1664.9</v>
      </c>
      <c r="K590" t="s" s="13">
        <v>3552</v>
      </c>
      <c r="L590" t="s" s="13">
        <v>3553</v>
      </c>
      <c r="M590" t="s" s="13">
        <v>3554</v>
      </c>
      <c r="N590" t="s" s="13">
        <v>3555</v>
      </c>
      <c r="O590" s="15">
        <v>29.28</v>
      </c>
      <c r="P590" s="30" cm="1">
        <f t="array" ref="P590">(I590-I589)/I589</f>
        <v>-0.00485979051586224</v>
      </c>
      <c r="Q590" s="15">
        <v>13504539</v>
      </c>
    </row>
    <row r="591" ht="13.65" customHeight="1">
      <c r="A591" t="s" s="27">
        <v>1294</v>
      </c>
      <c r="B591" t="s" s="13">
        <v>22</v>
      </c>
      <c r="C591" s="31">
        <v>45119</v>
      </c>
      <c r="D591" s="14">
        <v>1648.4</v>
      </c>
      <c r="E591" s="14">
        <v>1655.35</v>
      </c>
      <c r="F591" s="14">
        <v>1666.3</v>
      </c>
      <c r="G591" s="14">
        <v>1627.15</v>
      </c>
      <c r="H591" s="14">
        <v>1636</v>
      </c>
      <c r="I591" s="14">
        <v>1632.95</v>
      </c>
      <c r="J591" s="14">
        <v>1643.87</v>
      </c>
      <c r="K591" t="s" s="13">
        <v>3556</v>
      </c>
      <c r="L591" t="s" s="13">
        <v>3557</v>
      </c>
      <c r="M591" t="s" s="13">
        <v>3558</v>
      </c>
      <c r="N591" t="s" s="13">
        <v>3559</v>
      </c>
      <c r="O591" s="15">
        <v>56.43</v>
      </c>
      <c r="P591" s="30" cm="1">
        <f t="array" ref="P591">(I591-I590)/I590</f>
        <v>-0.009372725066731379</v>
      </c>
      <c r="Q591" s="15">
        <v>9022928</v>
      </c>
    </row>
    <row r="592" ht="13.65" customHeight="1">
      <c r="A592" t="s" s="27">
        <v>1294</v>
      </c>
      <c r="B592" t="s" s="13">
        <v>22</v>
      </c>
      <c r="C592" s="31">
        <v>45120</v>
      </c>
      <c r="D592" s="14">
        <v>1632.95</v>
      </c>
      <c r="E592" s="14">
        <v>1656.7</v>
      </c>
      <c r="F592" s="14">
        <v>1657.45</v>
      </c>
      <c r="G592" s="14">
        <v>1638.05</v>
      </c>
      <c r="H592" s="14">
        <v>1644.55</v>
      </c>
      <c r="I592" s="14">
        <v>1641.1</v>
      </c>
      <c r="J592" s="14">
        <v>1648.62</v>
      </c>
      <c r="K592" t="s" s="13">
        <v>3560</v>
      </c>
      <c r="L592" t="s" s="13">
        <v>3561</v>
      </c>
      <c r="M592" t="s" s="13">
        <v>3562</v>
      </c>
      <c r="N592" t="s" s="13">
        <v>3563</v>
      </c>
      <c r="O592" s="15">
        <v>26.24</v>
      </c>
      <c r="P592" s="30" cm="1">
        <f t="array" ref="P592">(I592-I591)/I591</f>
        <v>0.00499096726782816</v>
      </c>
      <c r="Q592" s="15">
        <v>24289425</v>
      </c>
    </row>
    <row r="593" ht="13.65" customHeight="1">
      <c r="A593" t="s" s="27">
        <v>1294</v>
      </c>
      <c r="B593" t="s" s="13">
        <v>22</v>
      </c>
      <c r="C593" s="31">
        <v>45121</v>
      </c>
      <c r="D593" s="14">
        <v>1641.1</v>
      </c>
      <c r="E593" s="14">
        <v>1653.6</v>
      </c>
      <c r="F593" s="14">
        <v>1653.6</v>
      </c>
      <c r="G593" s="14">
        <v>1635</v>
      </c>
      <c r="H593" s="14">
        <v>1645.6</v>
      </c>
      <c r="I593" s="14">
        <v>1644.5</v>
      </c>
      <c r="J593" s="14">
        <v>1642.71</v>
      </c>
      <c r="K593" t="s" s="13">
        <v>3564</v>
      </c>
      <c r="L593" t="s" s="13">
        <v>3565</v>
      </c>
      <c r="M593" t="s" s="13">
        <v>3566</v>
      </c>
      <c r="N593" t="s" s="13">
        <v>3567</v>
      </c>
      <c r="O593" s="15">
        <v>50.76</v>
      </c>
      <c r="P593" s="30" cm="1">
        <f t="array" ref="P593">(I593-I592)/I592</f>
        <v>0.00207178112241789</v>
      </c>
      <c r="Q593" s="15">
        <v>18294620</v>
      </c>
    </row>
    <row r="594" ht="13.65" customHeight="1">
      <c r="A594" t="s" s="27">
        <v>1294</v>
      </c>
      <c r="B594" t="s" s="13">
        <v>3568</v>
      </c>
      <c r="C594" s="31">
        <v>45124</v>
      </c>
      <c r="D594" s="15">
        <v>557.25</v>
      </c>
      <c r="E594" s="15">
        <v>560</v>
      </c>
      <c r="F594" s="15">
        <v>612.95</v>
      </c>
      <c r="G594" s="15">
        <v>560</v>
      </c>
      <c r="H594" s="15">
        <v>612.95</v>
      </c>
      <c r="I594" s="15">
        <v>612.95</v>
      </c>
      <c r="J594" s="15">
        <v>588.2</v>
      </c>
      <c r="K594" s="34">
        <v>66600</v>
      </c>
      <c r="L594" t="s" s="13">
        <v>3569</v>
      </c>
      <c r="M594" s="15">
        <v>95</v>
      </c>
      <c r="N594" s="34">
        <v>59400</v>
      </c>
      <c r="O594" s="15">
        <v>89.19</v>
      </c>
      <c r="P594" s="30" cm="1">
        <f t="array" ref="P594">(I594-I593)/I593</f>
        <v>-0.627272727272727</v>
      </c>
      <c r="Q594" s="15">
        <v>17116260</v>
      </c>
    </row>
    <row r="595" ht="13.65" customHeight="1">
      <c r="A595" t="s" s="27">
        <v>1294</v>
      </c>
      <c r="B595" t="s" s="13">
        <v>22</v>
      </c>
      <c r="C595" s="31">
        <v>45124</v>
      </c>
      <c r="D595" s="14">
        <v>1644.5</v>
      </c>
      <c r="E595" s="14">
        <v>1650</v>
      </c>
      <c r="F595" s="14">
        <v>1682</v>
      </c>
      <c r="G595" s="14">
        <v>1633</v>
      </c>
      <c r="H595" s="14">
        <v>1678.35</v>
      </c>
      <c r="I595" s="14">
        <v>1678.9</v>
      </c>
      <c r="J595" s="14">
        <v>1660.51</v>
      </c>
      <c r="K595" t="s" s="13">
        <v>3570</v>
      </c>
      <c r="L595" t="s" s="13">
        <v>3571</v>
      </c>
      <c r="M595" t="s" s="13">
        <v>3572</v>
      </c>
      <c r="N595" t="s" s="13">
        <v>3573</v>
      </c>
      <c r="O595" s="15">
        <v>40.54</v>
      </c>
      <c r="P595" s="30" cm="1">
        <f t="array" ref="P595">(I595-I594)/I594</f>
        <v>1.73904886206053</v>
      </c>
      <c r="Q595" s="15">
        <v>12004223</v>
      </c>
    </row>
    <row r="596" ht="13.65" customHeight="1">
      <c r="A596" t="s" s="27">
        <v>1294</v>
      </c>
      <c r="B596" t="s" s="13">
        <v>3568</v>
      </c>
      <c r="C596" s="31">
        <v>45125</v>
      </c>
      <c r="D596" s="15">
        <v>612.95</v>
      </c>
      <c r="E596" s="15">
        <v>665</v>
      </c>
      <c r="F596" s="15">
        <v>670</v>
      </c>
      <c r="G596" s="15">
        <v>622</v>
      </c>
      <c r="H596" s="15">
        <v>635</v>
      </c>
      <c r="I596" s="15">
        <v>631.2</v>
      </c>
      <c r="J596" s="15">
        <v>642.55</v>
      </c>
      <c r="K596" t="s" s="13">
        <v>3574</v>
      </c>
      <c r="L596" t="s" s="13">
        <v>3575</v>
      </c>
      <c r="M596" s="15">
        <v>205</v>
      </c>
      <c r="N596" t="s" s="13">
        <v>3576</v>
      </c>
      <c r="O596" s="15">
        <v>81.43000000000001</v>
      </c>
      <c r="P596" s="30" cm="1">
        <f t="array" ref="P596">(I596-I595)/I595</f>
        <v>-0.624039549705164</v>
      </c>
      <c r="Q596" s="15">
        <v>9007377</v>
      </c>
    </row>
    <row r="597" ht="13.65" customHeight="1">
      <c r="A597" t="s" s="27">
        <v>1294</v>
      </c>
      <c r="B597" t="s" s="13">
        <v>22</v>
      </c>
      <c r="C597" s="31">
        <v>45125</v>
      </c>
      <c r="D597" s="14">
        <v>1678.9</v>
      </c>
      <c r="E597" s="14">
        <v>1698</v>
      </c>
      <c r="F597" s="14">
        <v>1704</v>
      </c>
      <c r="G597" s="14">
        <v>1670</v>
      </c>
      <c r="H597" s="14">
        <v>1678</v>
      </c>
      <c r="I597" s="14">
        <v>1677.5</v>
      </c>
      <c r="J597" s="14">
        <v>1683.83</v>
      </c>
      <c r="K597" t="s" s="13">
        <v>3577</v>
      </c>
      <c r="L597" t="s" s="13">
        <v>3578</v>
      </c>
      <c r="M597" t="s" s="13">
        <v>3579</v>
      </c>
      <c r="N597" t="s" s="13">
        <v>3580</v>
      </c>
      <c r="O597" s="15">
        <v>40.95</v>
      </c>
      <c r="P597" s="30" cm="1">
        <f t="array" ref="P597">(I597-I596)/I596</f>
        <v>1.65763624841572</v>
      </c>
      <c r="Q597" s="15">
        <v>69418565</v>
      </c>
    </row>
    <row r="598" ht="13.65" customHeight="1">
      <c r="A598" t="s" s="27">
        <v>1294</v>
      </c>
      <c r="B598" t="s" s="13">
        <v>1323</v>
      </c>
      <c r="C598" s="31">
        <v>45125</v>
      </c>
      <c r="D598" s="14">
        <v>1644.5</v>
      </c>
      <c r="E598" s="14">
        <v>1678.9</v>
      </c>
      <c r="F598" s="14">
        <v>1678.9</v>
      </c>
      <c r="G598" s="14">
        <v>1678.9</v>
      </c>
      <c r="H598" s="14">
        <v>1678.9</v>
      </c>
      <c r="I598" s="14">
        <v>1678.9</v>
      </c>
      <c r="J598" s="14">
        <v>1678.9</v>
      </c>
      <c r="K598" t="s" s="13">
        <v>3581</v>
      </c>
      <c r="L598" t="s" s="13">
        <v>3582</v>
      </c>
      <c r="M598" s="15">
        <v>1</v>
      </c>
      <c r="N598" t="s" s="13">
        <v>1326</v>
      </c>
      <c r="O598" t="s" s="13">
        <v>1326</v>
      </c>
      <c r="P598" s="30" cm="1">
        <f t="array" ref="P598">(I598-I597)/I597</f>
        <v>0.000834575260804769</v>
      </c>
      <c r="Q598" s="15">
        <v>17586183</v>
      </c>
    </row>
    <row r="599" ht="13.65" customHeight="1">
      <c r="A599" t="s" s="27">
        <v>1294</v>
      </c>
      <c r="B599" t="s" s="13">
        <v>3568</v>
      </c>
      <c r="C599" s="31">
        <v>45126</v>
      </c>
      <c r="D599" s="15">
        <v>631.2</v>
      </c>
      <c r="E599" s="15">
        <v>635</v>
      </c>
      <c r="F599" s="15">
        <v>647</v>
      </c>
      <c r="G599" s="15">
        <v>631</v>
      </c>
      <c r="H599" s="15">
        <v>645</v>
      </c>
      <c r="I599" s="15">
        <v>644.75</v>
      </c>
      <c r="J599" s="15">
        <v>636.25</v>
      </c>
      <c r="K599" t="s" s="13">
        <v>3583</v>
      </c>
      <c r="L599" t="s" s="13">
        <v>3584</v>
      </c>
      <c r="M599" s="15">
        <v>160</v>
      </c>
      <c r="N599" t="s" s="13">
        <v>3585</v>
      </c>
      <c r="O599" s="15">
        <v>81.66</v>
      </c>
      <c r="P599" s="30" cm="1">
        <f t="array" ref="P599">(I599-I598)/I598</f>
        <v>-0.615968789088093</v>
      </c>
      <c r="Q599" s="15">
        <v>14673457</v>
      </c>
    </row>
    <row r="600" ht="13.65" customHeight="1">
      <c r="A600" t="s" s="27">
        <v>1294</v>
      </c>
      <c r="B600" t="s" s="13">
        <v>22</v>
      </c>
      <c r="C600" s="31">
        <v>45126</v>
      </c>
      <c r="D600" s="14">
        <v>1677.5</v>
      </c>
      <c r="E600" s="14">
        <v>1681.1</v>
      </c>
      <c r="F600" s="14">
        <v>1688.75</v>
      </c>
      <c r="G600" s="14">
        <v>1675</v>
      </c>
      <c r="H600" s="14">
        <v>1684.75</v>
      </c>
      <c r="I600" s="14">
        <v>1685.1</v>
      </c>
      <c r="J600" s="14">
        <v>1682.45</v>
      </c>
      <c r="K600" t="s" s="13">
        <v>3586</v>
      </c>
      <c r="L600" t="s" s="13">
        <v>3587</v>
      </c>
      <c r="M600" t="s" s="13">
        <v>3588</v>
      </c>
      <c r="N600" t="s" s="13">
        <v>3589</v>
      </c>
      <c r="O600" s="15">
        <v>38.29</v>
      </c>
      <c r="P600" s="30" cm="1">
        <f t="array" ref="P600">(I600-I599)/I599</f>
        <v>1.61357115160915</v>
      </c>
      <c r="Q600" s="15">
        <v>18290738</v>
      </c>
    </row>
    <row r="601" ht="13.65" customHeight="1">
      <c r="A601" t="s" s="27">
        <v>1294</v>
      </c>
      <c r="B601" t="s" s="13">
        <v>22</v>
      </c>
      <c r="C601" s="31">
        <v>45127</v>
      </c>
      <c r="D601" s="14">
        <v>1685.1</v>
      </c>
      <c r="E601" s="14">
        <v>1681.15</v>
      </c>
      <c r="F601" s="14">
        <v>1692</v>
      </c>
      <c r="G601" s="14">
        <v>1680</v>
      </c>
      <c r="H601" s="14">
        <v>1688.9</v>
      </c>
      <c r="I601" s="14">
        <v>1688.75</v>
      </c>
      <c r="J601" s="14">
        <v>1686.08</v>
      </c>
      <c r="K601" t="s" s="13">
        <v>3590</v>
      </c>
      <c r="L601" t="s" s="13">
        <v>3591</v>
      </c>
      <c r="M601" t="s" s="13">
        <v>3592</v>
      </c>
      <c r="N601" t="s" s="13">
        <v>3593</v>
      </c>
      <c r="O601" s="15">
        <v>46.89</v>
      </c>
      <c r="P601" s="30" cm="1">
        <f t="array" ref="P601">(I601-I600)/I600</f>
        <v>0.0021660435582458</v>
      </c>
      <c r="Q601" s="15">
        <v>11593810</v>
      </c>
    </row>
    <row r="602" ht="13.65" customHeight="1">
      <c r="A602" t="s" s="27">
        <v>1294</v>
      </c>
      <c r="B602" t="s" s="13">
        <v>3568</v>
      </c>
      <c r="C602" s="31">
        <v>45127</v>
      </c>
      <c r="D602" s="15">
        <v>644.75</v>
      </c>
      <c r="E602" s="15">
        <v>640.5</v>
      </c>
      <c r="F602" s="15">
        <v>654</v>
      </c>
      <c r="G602" s="15">
        <v>640.5</v>
      </c>
      <c r="H602" s="15">
        <v>650</v>
      </c>
      <c r="I602" s="15">
        <v>650.1</v>
      </c>
      <c r="J602" s="15">
        <v>649.85</v>
      </c>
      <c r="K602" t="s" s="13">
        <v>3594</v>
      </c>
      <c r="L602" t="s" s="13">
        <v>3595</v>
      </c>
      <c r="M602" s="15">
        <v>303</v>
      </c>
      <c r="N602" t="s" s="13">
        <v>3596</v>
      </c>
      <c r="O602" s="15">
        <v>95.64</v>
      </c>
      <c r="P602" s="30" cm="1">
        <f t="array" ref="P602">(I602-I601)/I601</f>
        <v>-0.615040710584752</v>
      </c>
      <c r="Q602" s="15">
        <v>16864019</v>
      </c>
    </row>
    <row r="603" ht="13.65" customHeight="1">
      <c r="A603" t="s" s="27">
        <v>1294</v>
      </c>
      <c r="B603" t="s" s="13">
        <v>3568</v>
      </c>
      <c r="C603" s="31">
        <v>45128</v>
      </c>
      <c r="D603" s="15">
        <v>650.1</v>
      </c>
      <c r="E603" s="15">
        <v>650</v>
      </c>
      <c r="F603" s="15">
        <v>652</v>
      </c>
      <c r="G603" s="15">
        <v>635</v>
      </c>
      <c r="H603" s="15">
        <v>639</v>
      </c>
      <c r="I603" s="15">
        <v>638</v>
      </c>
      <c r="J603" s="15">
        <v>641.15</v>
      </c>
      <c r="K603" t="s" s="13">
        <v>3597</v>
      </c>
      <c r="L603" t="s" s="13">
        <v>3598</v>
      </c>
      <c r="M603" s="15">
        <v>294</v>
      </c>
      <c r="N603" t="s" s="13">
        <v>3599</v>
      </c>
      <c r="O603" s="15">
        <v>89.45</v>
      </c>
      <c r="P603" s="30" cm="1">
        <f t="array" ref="P603">(I603-I602)/I602</f>
        <v>-0.0186125211505922</v>
      </c>
      <c r="Q603" s="15">
        <v>10225193</v>
      </c>
    </row>
    <row r="604" ht="13.65" customHeight="1">
      <c r="A604" t="s" s="27">
        <v>1294</v>
      </c>
      <c r="B604" t="s" s="13">
        <v>22</v>
      </c>
      <c r="C604" s="31">
        <v>45128</v>
      </c>
      <c r="D604" s="14">
        <v>1688.75</v>
      </c>
      <c r="E604" s="14">
        <v>1680</v>
      </c>
      <c r="F604" s="14">
        <v>1689.8</v>
      </c>
      <c r="G604" s="14">
        <v>1673.25</v>
      </c>
      <c r="H604" s="14">
        <v>1677.75</v>
      </c>
      <c r="I604" s="14">
        <v>1675.75</v>
      </c>
      <c r="J604" s="14">
        <v>1680.8</v>
      </c>
      <c r="K604" t="s" s="13">
        <v>3600</v>
      </c>
      <c r="L604" t="s" s="13">
        <v>3601</v>
      </c>
      <c r="M604" t="s" s="13">
        <v>3602</v>
      </c>
      <c r="N604" t="s" s="13">
        <v>3603</v>
      </c>
      <c r="O604" s="15">
        <v>53.82</v>
      </c>
      <c r="P604" s="30" cm="1">
        <f t="array" ref="P604">(I604-I603)/I603</f>
        <v>1.62656739811912</v>
      </c>
      <c r="Q604" s="15">
        <v>19306530</v>
      </c>
    </row>
    <row r="605" ht="13.65" customHeight="1">
      <c r="A605" t="s" s="27">
        <v>1294</v>
      </c>
      <c r="B605" t="s" s="13">
        <v>3568</v>
      </c>
      <c r="C605" s="31">
        <v>45131</v>
      </c>
      <c r="D605" s="15">
        <v>638</v>
      </c>
      <c r="E605" s="15">
        <v>638</v>
      </c>
      <c r="F605" s="15">
        <v>645</v>
      </c>
      <c r="G605" s="15">
        <v>620</v>
      </c>
      <c r="H605" s="15">
        <v>637</v>
      </c>
      <c r="I605" s="15">
        <v>637.25</v>
      </c>
      <c r="J605" s="15">
        <v>632.73</v>
      </c>
      <c r="K605" s="34">
        <v>84000</v>
      </c>
      <c r="L605" t="s" s="13">
        <v>3604</v>
      </c>
      <c r="M605" s="15">
        <v>102</v>
      </c>
      <c r="N605" s="34">
        <v>76200</v>
      </c>
      <c r="O605" s="15">
        <v>90.70999999999999</v>
      </c>
      <c r="P605" s="30" cm="1">
        <f t="array" ref="P605">(I605-I604)/I604</f>
        <v>-0.619722512307922</v>
      </c>
      <c r="Q605" s="15">
        <v>26115410</v>
      </c>
    </row>
    <row r="606" ht="13.65" customHeight="1">
      <c r="A606" t="s" s="27">
        <v>1294</v>
      </c>
      <c r="B606" t="s" s="13">
        <v>22</v>
      </c>
      <c r="C606" s="31">
        <v>45131</v>
      </c>
      <c r="D606" s="14">
        <v>1675.75</v>
      </c>
      <c r="E606" s="14">
        <v>1678.5</v>
      </c>
      <c r="F606" s="14">
        <v>1684.65</v>
      </c>
      <c r="G606" s="14">
        <v>1670.1</v>
      </c>
      <c r="H606" s="14">
        <v>1679.5</v>
      </c>
      <c r="I606" s="14">
        <v>1678.4</v>
      </c>
      <c r="J606" s="14">
        <v>1677.75</v>
      </c>
      <c r="K606" t="s" s="13">
        <v>3605</v>
      </c>
      <c r="L606" t="s" s="13">
        <v>3606</v>
      </c>
      <c r="M606" t="s" s="13">
        <v>3607</v>
      </c>
      <c r="N606" t="s" s="13">
        <v>3608</v>
      </c>
      <c r="O606" s="15">
        <v>56.52</v>
      </c>
      <c r="P606" s="30" cm="1">
        <f t="array" ref="P606">(I606-I605)/I605</f>
        <v>1.6338171832091</v>
      </c>
      <c r="Q606" s="15">
        <v>25331228</v>
      </c>
    </row>
    <row r="607" ht="13.65" customHeight="1">
      <c r="A607" t="s" s="27">
        <v>1294</v>
      </c>
      <c r="B607" t="s" s="13">
        <v>22</v>
      </c>
      <c r="C607" s="31">
        <v>45132</v>
      </c>
      <c r="D607" s="14">
        <v>1678.4</v>
      </c>
      <c r="E607" s="14">
        <v>1684.65</v>
      </c>
      <c r="F607" s="14">
        <v>1699</v>
      </c>
      <c r="G607" s="14">
        <v>1678.4</v>
      </c>
      <c r="H607" s="14">
        <v>1694.55</v>
      </c>
      <c r="I607" s="14">
        <v>1696.6</v>
      </c>
      <c r="J607" s="14">
        <v>1692.19</v>
      </c>
      <c r="K607" t="s" s="13">
        <v>3609</v>
      </c>
      <c r="L607" t="s" s="13">
        <v>3610</v>
      </c>
      <c r="M607" t="s" s="13">
        <v>3611</v>
      </c>
      <c r="N607" t="s" s="13">
        <v>3612</v>
      </c>
      <c r="O607" s="15">
        <v>36.22</v>
      </c>
      <c r="P607" s="30" cm="1">
        <f t="array" ref="P607">(I607-I606)/I606</f>
        <v>0.0108436606291706</v>
      </c>
      <c r="Q607" s="15">
        <v>11076768</v>
      </c>
    </row>
    <row r="608" ht="13.65" customHeight="1">
      <c r="A608" t="s" s="27">
        <v>1294</v>
      </c>
      <c r="B608" t="s" s="13">
        <v>3568</v>
      </c>
      <c r="C608" s="31">
        <v>45132</v>
      </c>
      <c r="D608" s="15">
        <v>637.25</v>
      </c>
      <c r="E608" s="15">
        <v>640</v>
      </c>
      <c r="F608" s="15">
        <v>661.9</v>
      </c>
      <c r="G608" s="15">
        <v>640</v>
      </c>
      <c r="H608" s="15">
        <v>661</v>
      </c>
      <c r="I608" s="15">
        <v>660.6</v>
      </c>
      <c r="J608" s="15">
        <v>648.78</v>
      </c>
      <c r="K608" t="s" s="13">
        <v>3613</v>
      </c>
      <c r="L608" t="s" s="13">
        <v>3614</v>
      </c>
      <c r="M608" s="15">
        <v>609</v>
      </c>
      <c r="N608" t="s" s="13">
        <v>3615</v>
      </c>
      <c r="O608" s="15">
        <v>88.41</v>
      </c>
      <c r="P608" s="30" cm="1">
        <f t="array" ref="P608">(I608-I607)/I607</f>
        <v>-0.610633030767417</v>
      </c>
      <c r="Q608" s="15">
        <v>34745720</v>
      </c>
    </row>
    <row r="609" ht="13.65" customHeight="1">
      <c r="A609" t="s" s="27">
        <v>1294</v>
      </c>
      <c r="B609" t="s" s="13">
        <v>3568</v>
      </c>
      <c r="C609" s="31">
        <v>45133</v>
      </c>
      <c r="D609" s="15">
        <v>660.6</v>
      </c>
      <c r="E609" s="15">
        <v>654.95</v>
      </c>
      <c r="F609" s="15">
        <v>660</v>
      </c>
      <c r="G609" s="15">
        <v>647.4</v>
      </c>
      <c r="H609" s="15">
        <v>650.95</v>
      </c>
      <c r="I609" s="15">
        <v>652.25</v>
      </c>
      <c r="J609" s="15">
        <v>653.92</v>
      </c>
      <c r="K609" s="34">
        <v>78600</v>
      </c>
      <c r="L609" t="s" s="13">
        <v>3616</v>
      </c>
      <c r="M609" s="15">
        <v>118</v>
      </c>
      <c r="N609" s="34">
        <v>68400</v>
      </c>
      <c r="O609" s="15">
        <v>87.02</v>
      </c>
      <c r="P609" s="30" cm="1">
        <f t="array" ref="P609">(I609-I608)/I608</f>
        <v>-0.0126400242204057</v>
      </c>
      <c r="Q609" s="15">
        <v>17021244</v>
      </c>
    </row>
    <row r="610" ht="13.65" customHeight="1">
      <c r="A610" t="s" s="27">
        <v>1294</v>
      </c>
      <c r="B610" t="s" s="13">
        <v>22</v>
      </c>
      <c r="C610" s="31">
        <v>45133</v>
      </c>
      <c r="D610" s="14">
        <v>1696.6</v>
      </c>
      <c r="E610" s="14">
        <v>1699.6</v>
      </c>
      <c r="F610" s="14">
        <v>1699.6</v>
      </c>
      <c r="G610" s="14">
        <v>1688</v>
      </c>
      <c r="H610" s="14">
        <v>1689.3</v>
      </c>
      <c r="I610" s="14">
        <v>1690.7</v>
      </c>
      <c r="J610" s="14">
        <v>1692.97</v>
      </c>
      <c r="K610" t="s" s="13">
        <v>3617</v>
      </c>
      <c r="L610" t="s" s="13">
        <v>3618</v>
      </c>
      <c r="M610" t="s" s="13">
        <v>3619</v>
      </c>
      <c r="N610" t="s" s="13">
        <v>3620</v>
      </c>
      <c r="O610" s="15">
        <v>46.73</v>
      </c>
      <c r="P610" s="30" cm="1">
        <f t="array" ref="P610">(I610-I609)/I609</f>
        <v>1.59210425450364</v>
      </c>
      <c r="Q610" s="15">
        <v>14244669</v>
      </c>
    </row>
    <row r="611" ht="13.65" customHeight="1">
      <c r="A611" t="s" s="27">
        <v>1294</v>
      </c>
      <c r="B611" t="s" s="13">
        <v>22</v>
      </c>
      <c r="C611" s="31">
        <v>45134</v>
      </c>
      <c r="D611" s="14">
        <v>1690.7</v>
      </c>
      <c r="E611" s="14">
        <v>1699.9</v>
      </c>
      <c r="F611" s="14">
        <v>1703</v>
      </c>
      <c r="G611" s="14">
        <v>1667.45</v>
      </c>
      <c r="H611" s="14">
        <v>1676.95</v>
      </c>
      <c r="I611" s="14">
        <v>1673.15</v>
      </c>
      <c r="J611" s="14">
        <v>1681.08</v>
      </c>
      <c r="K611" t="s" s="13">
        <v>3621</v>
      </c>
      <c r="L611" t="s" s="13">
        <v>3622</v>
      </c>
      <c r="M611" t="s" s="13">
        <v>3623</v>
      </c>
      <c r="N611" t="s" s="13">
        <v>3624</v>
      </c>
      <c r="O611" s="15">
        <v>47.63</v>
      </c>
      <c r="P611" s="30" cm="1">
        <f t="array" ref="P611">(I611-I610)/I610</f>
        <v>-0.0103803158455078</v>
      </c>
      <c r="Q611" s="15">
        <v>8234596</v>
      </c>
    </row>
    <row r="612" ht="13.65" customHeight="1">
      <c r="A612" t="s" s="27">
        <v>1294</v>
      </c>
      <c r="B612" t="s" s="13">
        <v>3568</v>
      </c>
      <c r="C612" s="31">
        <v>45134</v>
      </c>
      <c r="D612" s="15">
        <v>652.25</v>
      </c>
      <c r="E612" s="15">
        <v>669</v>
      </c>
      <c r="F612" s="15">
        <v>670.5</v>
      </c>
      <c r="G612" s="15">
        <v>624</v>
      </c>
      <c r="H612" s="15">
        <v>630</v>
      </c>
      <c r="I612" s="15">
        <v>630.65</v>
      </c>
      <c r="J612" s="15">
        <v>646.87</v>
      </c>
      <c r="K612" s="34">
        <v>76800</v>
      </c>
      <c r="L612" t="s" s="13">
        <v>3625</v>
      </c>
      <c r="M612" s="15">
        <v>112</v>
      </c>
      <c r="N612" s="34">
        <v>54600</v>
      </c>
      <c r="O612" s="15">
        <v>71.09</v>
      </c>
      <c r="P612" s="30" cm="1">
        <f t="array" ref="P612">(I612-I611)/I611</f>
        <v>-0.623076233451872</v>
      </c>
      <c r="Q612" s="15">
        <v>6523110</v>
      </c>
    </row>
    <row r="613" ht="13.65" customHeight="1">
      <c r="A613" t="s" s="27">
        <v>1294</v>
      </c>
      <c r="B613" t="s" s="13">
        <v>3568</v>
      </c>
      <c r="C613" s="31">
        <v>45135</v>
      </c>
      <c r="D613" s="15">
        <v>630.65</v>
      </c>
      <c r="E613" s="15">
        <v>601</v>
      </c>
      <c r="F613" s="15">
        <v>604.95</v>
      </c>
      <c r="G613" s="15">
        <v>579</v>
      </c>
      <c r="H613" s="15">
        <v>579</v>
      </c>
      <c r="I613" s="15">
        <v>581.85</v>
      </c>
      <c r="J613" s="15">
        <v>591.01</v>
      </c>
      <c r="K613" t="s" s="13">
        <v>3626</v>
      </c>
      <c r="L613" t="s" s="13">
        <v>3627</v>
      </c>
      <c r="M613" s="15">
        <v>229</v>
      </c>
      <c r="N613" t="s" s="13">
        <v>3628</v>
      </c>
      <c r="O613" s="15">
        <v>63.38</v>
      </c>
      <c r="P613" s="30" cm="1">
        <f t="array" ref="P613">(I613-I612)/I612</f>
        <v>-0.0773804804566717</v>
      </c>
      <c r="Q613" s="15">
        <v>14561825</v>
      </c>
    </row>
    <row r="614" ht="13.65" customHeight="1">
      <c r="A614" t="s" s="27">
        <v>1294</v>
      </c>
      <c r="B614" t="s" s="13">
        <v>22</v>
      </c>
      <c r="C614" s="31">
        <v>45135</v>
      </c>
      <c r="D614" s="14">
        <v>1673.15</v>
      </c>
      <c r="E614" s="14">
        <v>1661.5</v>
      </c>
      <c r="F614" s="14">
        <v>1668.9</v>
      </c>
      <c r="G614" s="14">
        <v>1641.1</v>
      </c>
      <c r="H614" s="14">
        <v>1642.9</v>
      </c>
      <c r="I614" s="14">
        <v>1643.5</v>
      </c>
      <c r="J614" s="14">
        <v>1649.58</v>
      </c>
      <c r="K614" t="s" s="13">
        <v>3629</v>
      </c>
      <c r="L614" t="s" s="13">
        <v>3630</v>
      </c>
      <c r="M614" t="s" s="13">
        <v>3631</v>
      </c>
      <c r="N614" t="s" s="13">
        <v>3632</v>
      </c>
      <c r="O614" s="15">
        <v>65.88</v>
      </c>
      <c r="P614" s="30" cm="1">
        <f t="array" ref="P614">(I614-I613)/I613</f>
        <v>1.82461115407751</v>
      </c>
      <c r="Q614" s="15">
        <v>12479986</v>
      </c>
    </row>
    <row r="615" ht="13.65" customHeight="1">
      <c r="A615" t="s" s="27">
        <v>1294</v>
      </c>
      <c r="B615" t="s" s="13">
        <v>22</v>
      </c>
      <c r="C615" s="31">
        <v>45138</v>
      </c>
      <c r="D615" s="14">
        <v>1643.5</v>
      </c>
      <c r="E615" s="14">
        <v>1650.05</v>
      </c>
      <c r="F615" s="14">
        <v>1656.8</v>
      </c>
      <c r="G615" s="14">
        <v>1638.7</v>
      </c>
      <c r="H615" s="14">
        <v>1650</v>
      </c>
      <c r="I615" s="14">
        <v>1651.2</v>
      </c>
      <c r="J615" s="14">
        <v>1649.01</v>
      </c>
      <c r="K615" t="s" s="13">
        <v>3633</v>
      </c>
      <c r="L615" t="s" s="13">
        <v>3634</v>
      </c>
      <c r="M615" t="s" s="13">
        <v>3635</v>
      </c>
      <c r="N615" t="s" s="13">
        <v>3636</v>
      </c>
      <c r="O615" s="15">
        <v>54.72</v>
      </c>
      <c r="P615" s="30" cm="1">
        <f t="array" ref="P615">(I615-I614)/I614</f>
        <v>0.00468512321265592</v>
      </c>
      <c r="Q615" s="15">
        <v>9665726</v>
      </c>
    </row>
    <row r="616" ht="13.65" customHeight="1">
      <c r="A616" t="s" s="27">
        <v>1294</v>
      </c>
      <c r="B616" t="s" s="13">
        <v>3568</v>
      </c>
      <c r="C616" s="31">
        <v>45138</v>
      </c>
      <c r="D616" s="15">
        <v>581.85</v>
      </c>
      <c r="E616" s="15">
        <v>585</v>
      </c>
      <c r="F616" s="15">
        <v>596.25</v>
      </c>
      <c r="G616" s="15">
        <v>580.05</v>
      </c>
      <c r="H616" s="15">
        <v>589</v>
      </c>
      <c r="I616" s="15">
        <v>591.15</v>
      </c>
      <c r="J616" s="15">
        <v>587.1</v>
      </c>
      <c r="K616" t="s" s="13">
        <v>3637</v>
      </c>
      <c r="L616" t="s" s="13">
        <v>3638</v>
      </c>
      <c r="M616" s="15">
        <v>240</v>
      </c>
      <c r="N616" t="s" s="13">
        <v>3639</v>
      </c>
      <c r="O616" s="15">
        <v>93.05</v>
      </c>
      <c r="P616" s="30" cm="1">
        <f t="array" ref="P616">(I616-I615)/I615</f>
        <v>-0.641987645348837</v>
      </c>
      <c r="Q616" s="15">
        <v>11850937</v>
      </c>
    </row>
    <row r="617" ht="13.65" customHeight="1">
      <c r="A617" t="s" s="27">
        <v>1294</v>
      </c>
      <c r="B617" t="s" s="13">
        <v>22</v>
      </c>
      <c r="C617" s="28">
        <v>45139</v>
      </c>
      <c r="D617" s="14">
        <v>1651.2</v>
      </c>
      <c r="E617" s="14">
        <v>1654.45</v>
      </c>
      <c r="F617" s="14">
        <v>1667.45</v>
      </c>
      <c r="G617" s="14">
        <v>1650</v>
      </c>
      <c r="H617" s="14">
        <v>1660</v>
      </c>
      <c r="I617" s="14">
        <v>1662.25</v>
      </c>
      <c r="J617" s="14">
        <v>1659.39</v>
      </c>
      <c r="K617" t="s" s="13">
        <v>3640</v>
      </c>
      <c r="L617" t="s" s="13">
        <v>3641</v>
      </c>
      <c r="M617" t="s" s="13">
        <v>3642</v>
      </c>
      <c r="N617" t="s" s="13">
        <v>3643</v>
      </c>
      <c r="O617" s="15">
        <v>32.54</v>
      </c>
      <c r="P617" s="30" cm="1">
        <f t="array" ref="P617">(I617-I616)/I616</f>
        <v>1.81189207476952</v>
      </c>
      <c r="Q617" s="15">
        <v>14856919</v>
      </c>
    </row>
    <row r="618" ht="13.65" customHeight="1">
      <c r="A618" t="s" s="27">
        <v>1294</v>
      </c>
      <c r="B618" t="s" s="13">
        <v>3568</v>
      </c>
      <c r="C618" s="28">
        <v>45139</v>
      </c>
      <c r="D618" s="15">
        <v>591.15</v>
      </c>
      <c r="E618" s="15">
        <v>594</v>
      </c>
      <c r="F618" s="15">
        <v>605.95</v>
      </c>
      <c r="G618" s="15">
        <v>586</v>
      </c>
      <c r="H618" s="15">
        <v>601.2</v>
      </c>
      <c r="I618" s="15">
        <v>603.8</v>
      </c>
      <c r="J618" s="15">
        <v>599.1</v>
      </c>
      <c r="K618" t="s" s="13">
        <v>3644</v>
      </c>
      <c r="L618" t="s" s="13">
        <v>3645</v>
      </c>
      <c r="M618" s="15">
        <v>533</v>
      </c>
      <c r="N618" t="s" s="13">
        <v>3646</v>
      </c>
      <c r="O618" s="15">
        <v>84.18000000000001</v>
      </c>
      <c r="P618" s="30" cm="1">
        <f t="array" ref="P618">(I618-I617)/I617</f>
        <v>-0.636757407128892</v>
      </c>
      <c r="Q618" s="15">
        <v>20622730</v>
      </c>
    </row>
    <row r="619" ht="13.65" customHeight="1">
      <c r="A619" t="s" s="27">
        <v>1294</v>
      </c>
      <c r="B619" t="s" s="13">
        <v>3568</v>
      </c>
      <c r="C619" s="28">
        <v>45140</v>
      </c>
      <c r="D619" s="15">
        <v>603.8</v>
      </c>
      <c r="E619" s="15">
        <v>582</v>
      </c>
      <c r="F619" s="15">
        <v>589.9</v>
      </c>
      <c r="G619" s="15">
        <v>567.25</v>
      </c>
      <c r="H619" s="15">
        <v>579</v>
      </c>
      <c r="I619" s="15">
        <v>578.2</v>
      </c>
      <c r="J619" s="15">
        <v>581.87</v>
      </c>
      <c r="K619" t="s" s="13">
        <v>3647</v>
      </c>
      <c r="L619" t="s" s="13">
        <v>3648</v>
      </c>
      <c r="M619" s="15">
        <v>408</v>
      </c>
      <c r="N619" t="s" s="13">
        <v>3649</v>
      </c>
      <c r="O619" s="15">
        <v>95.44</v>
      </c>
      <c r="P619" s="30" cm="1">
        <f t="array" ref="P619">(I619-I618)/I618</f>
        <v>-0.0423981450811527</v>
      </c>
      <c r="Q619" s="15">
        <v>10302957</v>
      </c>
    </row>
    <row r="620" ht="13.65" customHeight="1">
      <c r="A620" t="s" s="27">
        <v>1294</v>
      </c>
      <c r="B620" t="s" s="13">
        <v>22</v>
      </c>
      <c r="C620" s="28">
        <v>45140</v>
      </c>
      <c r="D620" s="14">
        <v>1662.25</v>
      </c>
      <c r="E620" s="14">
        <v>1642</v>
      </c>
      <c r="F620" s="14">
        <v>1651.5</v>
      </c>
      <c r="G620" s="14">
        <v>1633.15</v>
      </c>
      <c r="H620" s="14">
        <v>1641.9</v>
      </c>
      <c r="I620" s="14">
        <v>1640.5</v>
      </c>
      <c r="J620" s="14">
        <v>1644.34</v>
      </c>
      <c r="K620" t="s" s="13">
        <v>3650</v>
      </c>
      <c r="L620" t="s" s="13">
        <v>3651</v>
      </c>
      <c r="M620" t="s" s="13">
        <v>3652</v>
      </c>
      <c r="N620" t="s" s="13">
        <v>3653</v>
      </c>
      <c r="O620" s="15">
        <v>46.86</v>
      </c>
      <c r="P620" s="30" cm="1">
        <f t="array" ref="P620">(I620-I619)/I619</f>
        <v>1.83725354548599</v>
      </c>
      <c r="Q620" s="15">
        <v>1975463</v>
      </c>
    </row>
    <row r="621" ht="13.65" customHeight="1">
      <c r="A621" t="s" s="27">
        <v>1294</v>
      </c>
      <c r="B621" t="s" s="13">
        <v>3568</v>
      </c>
      <c r="C621" s="28">
        <v>45141</v>
      </c>
      <c r="D621" s="15">
        <v>578.2</v>
      </c>
      <c r="E621" s="15">
        <v>585</v>
      </c>
      <c r="F621" s="15">
        <v>593</v>
      </c>
      <c r="G621" s="15">
        <v>552</v>
      </c>
      <c r="H621" s="15">
        <v>566</v>
      </c>
      <c r="I621" s="15">
        <v>564.95</v>
      </c>
      <c r="J621" s="15">
        <v>571.5</v>
      </c>
      <c r="K621" t="s" s="13">
        <v>3654</v>
      </c>
      <c r="L621" t="s" s="13">
        <v>3655</v>
      </c>
      <c r="M621" s="15">
        <v>484</v>
      </c>
      <c r="N621" t="s" s="13">
        <v>3656</v>
      </c>
      <c r="O621" s="15">
        <v>86.16</v>
      </c>
      <c r="P621" s="30" cm="1">
        <f t="array" ref="P621">(I621-I620)/I620</f>
        <v>-0.655623285583664</v>
      </c>
      <c r="Q621" s="15">
        <v>7007593</v>
      </c>
    </row>
    <row r="622" ht="13.65" customHeight="1">
      <c r="A622" t="s" s="27">
        <v>1294</v>
      </c>
      <c r="B622" t="s" s="13">
        <v>22</v>
      </c>
      <c r="C622" s="28">
        <v>45141</v>
      </c>
      <c r="D622" s="14">
        <v>1640.5</v>
      </c>
      <c r="E622" s="14">
        <v>1640</v>
      </c>
      <c r="F622" s="14">
        <v>1651.35</v>
      </c>
      <c r="G622" s="14">
        <v>1623</v>
      </c>
      <c r="H622" s="14">
        <v>1632.6</v>
      </c>
      <c r="I622" s="14">
        <v>1628.65</v>
      </c>
      <c r="J622" s="14">
        <v>1633.08</v>
      </c>
      <c r="K622" t="s" s="13">
        <v>3657</v>
      </c>
      <c r="L622" t="s" s="13">
        <v>3658</v>
      </c>
      <c r="M622" t="s" s="13">
        <v>3659</v>
      </c>
      <c r="N622" t="s" s="13">
        <v>3660</v>
      </c>
      <c r="O622" s="15">
        <v>33.31</v>
      </c>
      <c r="P622" s="30" cm="1">
        <f t="array" ref="P622">(I622-I621)/I621</f>
        <v>1.88282148862731</v>
      </c>
      <c r="Q622" s="15">
        <v>11058370</v>
      </c>
    </row>
    <row r="623" ht="13.65" customHeight="1">
      <c r="A623" t="s" s="27">
        <v>1294</v>
      </c>
      <c r="B623" t="s" s="13">
        <v>22</v>
      </c>
      <c r="C623" s="28">
        <v>45142</v>
      </c>
      <c r="D623" s="14">
        <v>1628.65</v>
      </c>
      <c r="E623" s="14">
        <v>1635.15</v>
      </c>
      <c r="F623" s="14">
        <v>1656.5</v>
      </c>
      <c r="G623" s="14">
        <v>1629.25</v>
      </c>
      <c r="H623" s="14">
        <v>1652.85</v>
      </c>
      <c r="I623" s="14">
        <v>1652.2</v>
      </c>
      <c r="J623" s="14">
        <v>1641.73</v>
      </c>
      <c r="K623" t="s" s="13">
        <v>3661</v>
      </c>
      <c r="L623" t="s" s="13">
        <v>3662</v>
      </c>
      <c r="M623" t="s" s="13">
        <v>3663</v>
      </c>
      <c r="N623" t="s" s="13">
        <v>3664</v>
      </c>
      <c r="O623" s="15">
        <v>30.95</v>
      </c>
      <c r="P623" s="30" cm="1">
        <f t="array" ref="P623">(I623-I622)/I622</f>
        <v>0.0144598286924754</v>
      </c>
      <c r="Q623" s="15">
        <v>15699773</v>
      </c>
    </row>
    <row r="624" ht="13.65" customHeight="1">
      <c r="A624" t="s" s="27">
        <v>1294</v>
      </c>
      <c r="B624" t="s" s="13">
        <v>3568</v>
      </c>
      <c r="C624" s="28">
        <v>45142</v>
      </c>
      <c r="D624" s="15">
        <v>564.95</v>
      </c>
      <c r="E624" s="15">
        <v>568.1</v>
      </c>
      <c r="F624" s="15">
        <v>604</v>
      </c>
      <c r="G624" s="15">
        <v>563</v>
      </c>
      <c r="H624" s="15">
        <v>598</v>
      </c>
      <c r="I624" s="15">
        <v>598.15</v>
      </c>
      <c r="J624" s="15">
        <v>578.0599999999999</v>
      </c>
      <c r="K624" t="s" s="13">
        <v>3665</v>
      </c>
      <c r="L624" t="s" s="13">
        <v>3666</v>
      </c>
      <c r="M624" s="15">
        <v>155</v>
      </c>
      <c r="N624" t="s" s="13">
        <v>3667</v>
      </c>
      <c r="O624" s="15">
        <v>96.97</v>
      </c>
      <c r="P624" s="30" cm="1">
        <f t="array" ref="P624">(I624-I623)/I623</f>
        <v>-0.6379675584069729</v>
      </c>
      <c r="Q624" s="15">
        <v>20976424</v>
      </c>
    </row>
    <row r="625" ht="13.65" customHeight="1">
      <c r="A625" t="s" s="27">
        <v>1294</v>
      </c>
      <c r="B625" t="s" s="13">
        <v>22</v>
      </c>
      <c r="C625" s="28">
        <v>45145</v>
      </c>
      <c r="D625" s="14">
        <v>1652.2</v>
      </c>
      <c r="E625" s="14">
        <v>1663.1</v>
      </c>
      <c r="F625" s="14">
        <v>1663.1</v>
      </c>
      <c r="G625" s="14">
        <v>1647.55</v>
      </c>
      <c r="H625" s="14">
        <v>1651</v>
      </c>
      <c r="I625" s="14">
        <v>1651.25</v>
      </c>
      <c r="J625" s="14">
        <v>1653.09</v>
      </c>
      <c r="K625" t="s" s="13">
        <v>3668</v>
      </c>
      <c r="L625" t="s" s="13">
        <v>3669</v>
      </c>
      <c r="M625" t="s" s="13">
        <v>3670</v>
      </c>
      <c r="N625" t="s" s="13">
        <v>3671</v>
      </c>
      <c r="O625" s="15">
        <v>39.91</v>
      </c>
      <c r="P625" s="30" cm="1">
        <f t="array" ref="P625">(I625-I624)/I624</f>
        <v>1.76059516843601</v>
      </c>
      <c r="Q625" s="15">
        <v>12796865</v>
      </c>
    </row>
    <row r="626" ht="13.65" customHeight="1">
      <c r="A626" t="s" s="27">
        <v>1294</v>
      </c>
      <c r="B626" t="s" s="13">
        <v>3568</v>
      </c>
      <c r="C626" s="28">
        <v>45145</v>
      </c>
      <c r="D626" s="15">
        <v>598.15</v>
      </c>
      <c r="E626" s="15">
        <v>605</v>
      </c>
      <c r="F626" s="15">
        <v>611.95</v>
      </c>
      <c r="G626" s="15">
        <v>595</v>
      </c>
      <c r="H626" s="15">
        <v>602</v>
      </c>
      <c r="I626" s="15">
        <v>604.5</v>
      </c>
      <c r="J626" s="15">
        <v>602.08</v>
      </c>
      <c r="K626" t="s" s="13">
        <v>3672</v>
      </c>
      <c r="L626" t="s" s="13">
        <v>3673</v>
      </c>
      <c r="M626" s="15">
        <v>261</v>
      </c>
      <c r="N626" t="s" s="13">
        <v>3674</v>
      </c>
      <c r="O626" s="15">
        <v>91.3</v>
      </c>
      <c r="P626" s="30" cm="1">
        <f t="array" ref="P626">(I626-I625)/I625</f>
        <v>-0.633913701741105</v>
      </c>
      <c r="Q626" s="15">
        <v>9047670</v>
      </c>
    </row>
    <row r="627" ht="13.65" customHeight="1">
      <c r="A627" t="s" s="27">
        <v>1294</v>
      </c>
      <c r="B627" t="s" s="13">
        <v>22</v>
      </c>
      <c r="C627" s="28">
        <v>45146</v>
      </c>
      <c r="D627" s="14">
        <v>1651.25</v>
      </c>
      <c r="E627" s="14">
        <v>1651.7</v>
      </c>
      <c r="F627" s="14">
        <v>1655.6</v>
      </c>
      <c r="G627" s="14">
        <v>1642.05</v>
      </c>
      <c r="H627" s="14">
        <v>1649</v>
      </c>
      <c r="I627" s="14">
        <v>1649.9</v>
      </c>
      <c r="J627" s="14">
        <v>1650.13</v>
      </c>
      <c r="K627" t="s" s="13">
        <v>3675</v>
      </c>
      <c r="L627" t="s" s="13">
        <v>3676</v>
      </c>
      <c r="M627" t="s" s="13">
        <v>3677</v>
      </c>
      <c r="N627" t="s" s="13">
        <v>3678</v>
      </c>
      <c r="O627" s="15">
        <v>33.82</v>
      </c>
      <c r="P627" s="30" cm="1">
        <f t="array" ref="P627">(I627-I626)/I626</f>
        <v>1.72936311000827</v>
      </c>
      <c r="Q627" s="15">
        <v>22612577</v>
      </c>
    </row>
    <row r="628" ht="13.65" customHeight="1">
      <c r="A628" t="s" s="27">
        <v>1294</v>
      </c>
      <c r="B628" t="s" s="13">
        <v>3568</v>
      </c>
      <c r="C628" s="28">
        <v>45146</v>
      </c>
      <c r="D628" s="15">
        <v>604.5</v>
      </c>
      <c r="E628" s="15">
        <v>609</v>
      </c>
      <c r="F628" s="15">
        <v>609</v>
      </c>
      <c r="G628" s="15">
        <v>594.05</v>
      </c>
      <c r="H628" s="15">
        <v>600.05</v>
      </c>
      <c r="I628" s="15">
        <v>600.5</v>
      </c>
      <c r="J628" s="15">
        <v>601.9</v>
      </c>
      <c r="K628" s="34">
        <v>61800</v>
      </c>
      <c r="L628" t="s" s="13">
        <v>3679</v>
      </c>
      <c r="M628" s="15">
        <v>60</v>
      </c>
      <c r="N628" s="34">
        <v>49800</v>
      </c>
      <c r="O628" s="15">
        <v>80.58</v>
      </c>
      <c r="P628" s="30" cm="1">
        <f t="array" ref="P628">(I628-I627)/I627</f>
        <v>-0.636038547790775</v>
      </c>
      <c r="Q628" s="15">
        <v>16938733</v>
      </c>
    </row>
    <row r="629" ht="13.65" customHeight="1">
      <c r="A629" t="s" s="27">
        <v>1294</v>
      </c>
      <c r="B629" t="s" s="13">
        <v>3568</v>
      </c>
      <c r="C629" s="28">
        <v>45147</v>
      </c>
      <c r="D629" s="15">
        <v>600.5</v>
      </c>
      <c r="E629" s="15">
        <v>565</v>
      </c>
      <c r="F629" s="15">
        <v>598</v>
      </c>
      <c r="G629" s="15">
        <v>565</v>
      </c>
      <c r="H629" s="15">
        <v>596.5</v>
      </c>
      <c r="I629" s="15">
        <v>594.15</v>
      </c>
      <c r="J629" s="15">
        <v>583.23</v>
      </c>
      <c r="K629" s="34">
        <v>43200</v>
      </c>
      <c r="L629" t="s" s="13">
        <v>3680</v>
      </c>
      <c r="M629" s="15">
        <v>54</v>
      </c>
      <c r="N629" s="34">
        <v>22200</v>
      </c>
      <c r="O629" s="15">
        <v>51.39</v>
      </c>
      <c r="P629" s="30" cm="1">
        <f t="array" ref="P629">(I629-I628)/I628</f>
        <v>-0.0105745212323064</v>
      </c>
      <c r="Q629" s="15">
        <v>16317412</v>
      </c>
    </row>
    <row r="630" ht="13.65" customHeight="1">
      <c r="A630" t="s" s="27">
        <v>1294</v>
      </c>
      <c r="B630" t="s" s="13">
        <v>22</v>
      </c>
      <c r="C630" s="28">
        <v>45147</v>
      </c>
      <c r="D630" s="14">
        <v>1649.9</v>
      </c>
      <c r="E630" s="14">
        <v>1653</v>
      </c>
      <c r="F630" s="14">
        <v>1654.5</v>
      </c>
      <c r="G630" s="14">
        <v>1631.1</v>
      </c>
      <c r="H630" s="14">
        <v>1652.7</v>
      </c>
      <c r="I630" s="14">
        <v>1650.5</v>
      </c>
      <c r="J630" s="14">
        <v>1640.24</v>
      </c>
      <c r="K630" t="s" s="13">
        <v>3681</v>
      </c>
      <c r="L630" t="s" s="13">
        <v>3682</v>
      </c>
      <c r="M630" t="s" s="13">
        <v>3683</v>
      </c>
      <c r="N630" t="s" s="13">
        <v>3684</v>
      </c>
      <c r="O630" s="15">
        <v>33.25</v>
      </c>
      <c r="P630" s="30" cm="1">
        <f t="array" ref="P630">(I630-I629)/I629</f>
        <v>1.77791803416646</v>
      </c>
      <c r="Q630" s="15">
        <v>11655491</v>
      </c>
    </row>
    <row r="631" ht="13.65" customHeight="1">
      <c r="A631" t="s" s="27">
        <v>1294</v>
      </c>
      <c r="B631" t="s" s="13">
        <v>22</v>
      </c>
      <c r="C631" s="31">
        <v>45148</v>
      </c>
      <c r="D631" s="14">
        <v>1650.5</v>
      </c>
      <c r="E631" s="14">
        <v>1647.05</v>
      </c>
      <c r="F631" s="14">
        <v>1654.25</v>
      </c>
      <c r="G631" s="14">
        <v>1631</v>
      </c>
      <c r="H631" s="14">
        <v>1638</v>
      </c>
      <c r="I631" s="14">
        <v>1635.85</v>
      </c>
      <c r="J631" s="14">
        <v>1638.99</v>
      </c>
      <c r="K631" t="s" s="13">
        <v>3685</v>
      </c>
      <c r="L631" t="s" s="13">
        <v>3686</v>
      </c>
      <c r="M631" t="s" s="13">
        <v>3687</v>
      </c>
      <c r="N631" t="s" s="13">
        <v>3688</v>
      </c>
      <c r="O631" s="15">
        <v>26.92</v>
      </c>
      <c r="P631" s="30" cm="1">
        <f t="array" ref="P631">(I631-I630)/I630</f>
        <v>-0.008876098152075129</v>
      </c>
      <c r="Q631" s="15">
        <v>15970266</v>
      </c>
    </row>
    <row r="632" ht="13.65" customHeight="1">
      <c r="A632" t="s" s="27">
        <v>1294</v>
      </c>
      <c r="B632" t="s" s="13">
        <v>1323</v>
      </c>
      <c r="C632" s="31">
        <v>45148</v>
      </c>
      <c r="D632" s="14">
        <v>1678.9</v>
      </c>
      <c r="E632" s="14">
        <v>1650.5</v>
      </c>
      <c r="F632" s="14">
        <v>1650.5</v>
      </c>
      <c r="G632" s="14">
        <v>1650.5</v>
      </c>
      <c r="H632" s="14">
        <v>1650.5</v>
      </c>
      <c r="I632" s="14">
        <v>1650.5</v>
      </c>
      <c r="J632" s="14">
        <v>1650.5</v>
      </c>
      <c r="K632" t="s" s="13">
        <v>3689</v>
      </c>
      <c r="L632" t="s" s="13">
        <v>3690</v>
      </c>
      <c r="M632" s="15">
        <v>1</v>
      </c>
      <c r="N632" t="s" s="13">
        <v>1326</v>
      </c>
      <c r="O632" t="s" s="13">
        <v>1326</v>
      </c>
      <c r="P632" s="30" cm="1">
        <f t="array" ref="P632">(I632-I631)/I631</f>
        <v>0.008955588837607361</v>
      </c>
      <c r="Q632" s="15">
        <v>27780899</v>
      </c>
    </row>
    <row r="633" ht="13.65" customHeight="1">
      <c r="A633" t="s" s="27">
        <v>1294</v>
      </c>
      <c r="B633" t="s" s="13">
        <v>22</v>
      </c>
      <c r="C633" s="31">
        <v>45149</v>
      </c>
      <c r="D633" s="14">
        <v>1635.85</v>
      </c>
      <c r="E633" s="14">
        <v>1638.4</v>
      </c>
      <c r="F633" s="14">
        <v>1638.4</v>
      </c>
      <c r="G633" s="14">
        <v>1616.2</v>
      </c>
      <c r="H633" s="14">
        <v>1620.9</v>
      </c>
      <c r="I633" s="14">
        <v>1618.8</v>
      </c>
      <c r="J633" s="14">
        <v>1625.76</v>
      </c>
      <c r="K633" t="s" s="13">
        <v>3691</v>
      </c>
      <c r="L633" t="s" s="13">
        <v>3692</v>
      </c>
      <c r="M633" t="s" s="13">
        <v>3693</v>
      </c>
      <c r="N633" t="s" s="13">
        <v>3694</v>
      </c>
      <c r="O633" s="15">
        <v>42.29</v>
      </c>
      <c r="P633" s="30" cm="1">
        <f t="array" ref="P633">(I633-I632)/I632</f>
        <v>-0.0192063011208725</v>
      </c>
      <c r="Q633" s="15">
        <v>14155998</v>
      </c>
    </row>
    <row r="634" ht="13.65" customHeight="1">
      <c r="A634" t="s" s="27">
        <v>1294</v>
      </c>
      <c r="B634" t="s" s="13">
        <v>22</v>
      </c>
      <c r="C634" s="31">
        <v>45152</v>
      </c>
      <c r="D634" s="14">
        <v>1618.8</v>
      </c>
      <c r="E634" s="14">
        <v>1611</v>
      </c>
      <c r="F634" s="14">
        <v>1615</v>
      </c>
      <c r="G634" s="14">
        <v>1600.25</v>
      </c>
      <c r="H634" s="14">
        <v>1608.5</v>
      </c>
      <c r="I634" s="14">
        <v>1610.9</v>
      </c>
      <c r="J634" s="14">
        <v>1608.96</v>
      </c>
      <c r="K634" t="s" s="13">
        <v>3695</v>
      </c>
      <c r="L634" t="s" s="13">
        <v>3696</v>
      </c>
      <c r="M634" t="s" s="13">
        <v>3697</v>
      </c>
      <c r="N634" t="s" s="13">
        <v>3698</v>
      </c>
      <c r="O634" s="15">
        <v>40.23</v>
      </c>
      <c r="P634" s="30" cm="1">
        <f t="array" ref="P634">(I634-I633)/I633</f>
        <v>-0.00488015814183346</v>
      </c>
      <c r="Q634" s="15">
        <v>11188068</v>
      </c>
    </row>
    <row r="635" ht="13.65" customHeight="1">
      <c r="A635" t="s" s="27">
        <v>1294</v>
      </c>
      <c r="B635" t="s" s="13">
        <v>22</v>
      </c>
      <c r="C635" s="31">
        <v>45154</v>
      </c>
      <c r="D635" s="14">
        <v>1610.9</v>
      </c>
      <c r="E635" s="14">
        <v>1583.1</v>
      </c>
      <c r="F635" s="14">
        <v>1609.65</v>
      </c>
      <c r="G635" s="14">
        <v>1581.3</v>
      </c>
      <c r="H635" s="14">
        <v>1604.35</v>
      </c>
      <c r="I635" s="14">
        <v>1606.2</v>
      </c>
      <c r="J635" s="14">
        <v>1596.67</v>
      </c>
      <c r="K635" t="s" s="13">
        <v>3699</v>
      </c>
      <c r="L635" t="s" s="13">
        <v>3700</v>
      </c>
      <c r="M635" t="s" s="13">
        <v>3701</v>
      </c>
      <c r="N635" t="s" s="13">
        <v>3702</v>
      </c>
      <c r="O635" s="15">
        <v>43.84</v>
      </c>
      <c r="P635" s="30" cm="1">
        <f t="array" ref="P635">(I635-I634)/I634</f>
        <v>-0.00291762368862127</v>
      </c>
      <c r="Q635" s="15">
        <v>10547005</v>
      </c>
    </row>
    <row r="636" ht="13.65" customHeight="1">
      <c r="A636" t="s" s="27">
        <v>1294</v>
      </c>
      <c r="B636" t="s" s="13">
        <v>22</v>
      </c>
      <c r="C636" s="31">
        <v>45155</v>
      </c>
      <c r="D636" s="14">
        <v>1606.2</v>
      </c>
      <c r="E636" s="14">
        <v>1597.6</v>
      </c>
      <c r="F636" s="14">
        <v>1609.9</v>
      </c>
      <c r="G636" s="14">
        <v>1594</v>
      </c>
      <c r="H636" s="14">
        <v>1595</v>
      </c>
      <c r="I636" s="14">
        <v>1597.3</v>
      </c>
      <c r="J636" s="14">
        <v>1600.21</v>
      </c>
      <c r="K636" t="s" s="13">
        <v>3703</v>
      </c>
      <c r="L636" t="s" s="13">
        <v>3704</v>
      </c>
      <c r="M636" t="s" s="13">
        <v>3705</v>
      </c>
      <c r="N636" t="s" s="13">
        <v>3706</v>
      </c>
      <c r="O636" s="15">
        <v>35.57</v>
      </c>
      <c r="P636" s="30" cm="1">
        <f t="array" ref="P636">(I636-I635)/I635</f>
        <v>-0.00554102851450629</v>
      </c>
      <c r="Q636" s="15">
        <v>15126182</v>
      </c>
    </row>
    <row r="637" ht="13.65" customHeight="1">
      <c r="A637" t="s" s="27">
        <v>1294</v>
      </c>
      <c r="B637" t="s" s="13">
        <v>22</v>
      </c>
      <c r="C637" s="31">
        <v>45156</v>
      </c>
      <c r="D637" s="14">
        <v>1597.3</v>
      </c>
      <c r="E637" s="14">
        <v>1587.55</v>
      </c>
      <c r="F637" s="14">
        <v>1596.3</v>
      </c>
      <c r="G637" s="14">
        <v>1585.5</v>
      </c>
      <c r="H637" s="14">
        <v>1588.7</v>
      </c>
      <c r="I637" s="14">
        <v>1590.75</v>
      </c>
      <c r="J637" s="14">
        <v>1590.59</v>
      </c>
      <c r="K637" t="s" s="13">
        <v>3707</v>
      </c>
      <c r="L637" t="s" s="13">
        <v>3708</v>
      </c>
      <c r="M637" t="s" s="13">
        <v>3709</v>
      </c>
      <c r="N637" t="s" s="13">
        <v>3710</v>
      </c>
      <c r="O637" s="15">
        <v>45.49</v>
      </c>
      <c r="P637" s="30" cm="1">
        <f t="array" ref="P637">(I637-I636)/I636</f>
        <v>-0.00410066988042321</v>
      </c>
      <c r="Q637" s="15">
        <v>15608100</v>
      </c>
    </row>
    <row r="638" ht="13.65" customHeight="1">
      <c r="A638" t="s" s="27">
        <v>1294</v>
      </c>
      <c r="B638" t="s" s="13">
        <v>22</v>
      </c>
      <c r="C638" s="31">
        <v>45159</v>
      </c>
      <c r="D638" s="14">
        <v>1590.75</v>
      </c>
      <c r="E638" s="14">
        <v>1600.5</v>
      </c>
      <c r="F638" s="14">
        <v>1600.5</v>
      </c>
      <c r="G638" s="14">
        <v>1587</v>
      </c>
      <c r="H638" s="14">
        <v>1587.8</v>
      </c>
      <c r="I638" s="14">
        <v>1589.5</v>
      </c>
      <c r="J638" s="14">
        <v>1593.07</v>
      </c>
      <c r="K638" t="s" s="13">
        <v>3711</v>
      </c>
      <c r="L638" t="s" s="13">
        <v>3712</v>
      </c>
      <c r="M638" t="s" s="13">
        <v>3713</v>
      </c>
      <c r="N638" t="s" s="13">
        <v>3714</v>
      </c>
      <c r="O638" s="15">
        <v>45.5</v>
      </c>
      <c r="P638" s="30" cm="1">
        <f t="array" ref="P638">(I638-I637)/I637</f>
        <v>-0.000785792865000786</v>
      </c>
      <c r="Q638" s="15">
        <v>16451279</v>
      </c>
    </row>
    <row r="639" ht="13.65" customHeight="1">
      <c r="A639" t="s" s="27">
        <v>1294</v>
      </c>
      <c r="B639" t="s" s="13">
        <v>22</v>
      </c>
      <c r="C639" s="31">
        <v>45160</v>
      </c>
      <c r="D639" s="14">
        <v>1589.5</v>
      </c>
      <c r="E639" s="14">
        <v>1596.35</v>
      </c>
      <c r="F639" s="14">
        <v>1598</v>
      </c>
      <c r="G639" s="14">
        <v>1580</v>
      </c>
      <c r="H639" s="14">
        <v>1581.45</v>
      </c>
      <c r="I639" s="14">
        <v>1582.7</v>
      </c>
      <c r="J639" s="14">
        <v>1588.09</v>
      </c>
      <c r="K639" t="s" s="13">
        <v>3715</v>
      </c>
      <c r="L639" t="s" s="13">
        <v>3716</v>
      </c>
      <c r="M639" t="s" s="13">
        <v>3717</v>
      </c>
      <c r="N639" t="s" s="13">
        <v>3718</v>
      </c>
      <c r="O639" s="15">
        <v>42.16</v>
      </c>
      <c r="P639" s="30" cm="1">
        <f t="array" ref="P639">(I639-I638)/I638</f>
        <v>-0.00427807486631016</v>
      </c>
      <c r="Q639" s="15">
        <v>8928042</v>
      </c>
    </row>
    <row r="640" ht="13.65" customHeight="1">
      <c r="A640" t="s" s="27">
        <v>1294</v>
      </c>
      <c r="B640" t="s" s="13">
        <v>22</v>
      </c>
      <c r="C640" s="31">
        <v>45161</v>
      </c>
      <c r="D640" s="14">
        <v>1582.7</v>
      </c>
      <c r="E640" s="14">
        <v>1580</v>
      </c>
      <c r="F640" s="14">
        <v>1590.55</v>
      </c>
      <c r="G640" s="14">
        <v>1573.25</v>
      </c>
      <c r="H640" s="14">
        <v>1588.5</v>
      </c>
      <c r="I640" s="14">
        <v>1586.6</v>
      </c>
      <c r="J640" s="14">
        <v>1581.99</v>
      </c>
      <c r="K640" t="s" s="13">
        <v>3719</v>
      </c>
      <c r="L640" t="s" s="13">
        <v>3720</v>
      </c>
      <c r="M640" t="s" s="13">
        <v>3721</v>
      </c>
      <c r="N640" t="s" s="13">
        <v>3722</v>
      </c>
      <c r="O640" s="15">
        <v>56.48</v>
      </c>
      <c r="P640" s="30" cm="1">
        <f t="array" ref="P640">(I640-I639)/I639</f>
        <v>0.00246414355215771</v>
      </c>
      <c r="Q640" s="15">
        <v>19872650</v>
      </c>
    </row>
    <row r="641" ht="13.65" customHeight="1">
      <c r="A641" t="s" s="27">
        <v>1294</v>
      </c>
      <c r="B641" t="s" s="13">
        <v>22</v>
      </c>
      <c r="C641" s="31">
        <v>45162</v>
      </c>
      <c r="D641" s="14">
        <v>1586.6</v>
      </c>
      <c r="E641" s="14">
        <v>1593.3</v>
      </c>
      <c r="F641" s="14">
        <v>1596.2</v>
      </c>
      <c r="G641" s="14">
        <v>1576.15</v>
      </c>
      <c r="H641" s="14">
        <v>1579.6</v>
      </c>
      <c r="I641" s="14">
        <v>1579.3</v>
      </c>
      <c r="J641" s="14">
        <v>1583.6</v>
      </c>
      <c r="K641" t="s" s="13">
        <v>3723</v>
      </c>
      <c r="L641" t="s" s="13">
        <v>3724</v>
      </c>
      <c r="M641" t="s" s="13">
        <v>3725</v>
      </c>
      <c r="N641" t="s" s="13">
        <v>3726</v>
      </c>
      <c r="O641" s="15">
        <v>34.08</v>
      </c>
      <c r="P641" s="30" cm="1">
        <f t="array" ref="P641">(I641-I640)/I640</f>
        <v>-0.00460103365687634</v>
      </c>
      <c r="Q641" s="15">
        <v>11012668</v>
      </c>
    </row>
    <row r="642" ht="13.65" customHeight="1">
      <c r="A642" t="s" s="27">
        <v>1294</v>
      </c>
      <c r="B642" t="s" s="13">
        <v>22</v>
      </c>
      <c r="C642" s="31">
        <v>45163</v>
      </c>
      <c r="D642" s="14">
        <v>1579.3</v>
      </c>
      <c r="E642" s="14">
        <v>1574.55</v>
      </c>
      <c r="F642" s="14">
        <v>1577.5</v>
      </c>
      <c r="G642" s="14">
        <v>1558.4</v>
      </c>
      <c r="H642" s="14">
        <v>1559.2</v>
      </c>
      <c r="I642" s="14">
        <v>1561.5</v>
      </c>
      <c r="J642" s="14">
        <v>1564.93</v>
      </c>
      <c r="K642" t="s" s="13">
        <v>3727</v>
      </c>
      <c r="L642" t="s" s="13">
        <v>3728</v>
      </c>
      <c r="M642" t="s" s="13">
        <v>3729</v>
      </c>
      <c r="N642" t="s" s="13">
        <v>3730</v>
      </c>
      <c r="O642" s="15">
        <v>58.3</v>
      </c>
      <c r="P642" s="30" cm="1">
        <f t="array" ref="P642">(I642-I641)/I641</f>
        <v>-0.0112708161843855</v>
      </c>
      <c r="Q642" s="15">
        <v>15666680</v>
      </c>
    </row>
    <row r="643" ht="13.65" customHeight="1">
      <c r="A643" t="s" s="27">
        <v>1294</v>
      </c>
      <c r="B643" t="s" s="13">
        <v>22</v>
      </c>
      <c r="C643" s="31">
        <v>45166</v>
      </c>
      <c r="D643" s="14">
        <v>1561.5</v>
      </c>
      <c r="E643" s="14">
        <v>1561.5</v>
      </c>
      <c r="F643" s="14">
        <v>1582.65</v>
      </c>
      <c r="G643" s="14">
        <v>1561.5</v>
      </c>
      <c r="H643" s="14">
        <v>1578</v>
      </c>
      <c r="I643" s="14">
        <v>1577.75</v>
      </c>
      <c r="J643" s="14">
        <v>1574.43</v>
      </c>
      <c r="K643" t="s" s="13">
        <v>3731</v>
      </c>
      <c r="L643" t="s" s="13">
        <v>3732</v>
      </c>
      <c r="M643" t="s" s="13">
        <v>3733</v>
      </c>
      <c r="N643" t="s" s="13">
        <v>3734</v>
      </c>
      <c r="O643" s="15">
        <v>55.73</v>
      </c>
      <c r="P643" s="30" cm="1">
        <f t="array" ref="P643">(I643-I642)/I642</f>
        <v>0.010406660262568</v>
      </c>
      <c r="Q643" s="15">
        <v>16633146</v>
      </c>
    </row>
    <row r="644" ht="13.65" customHeight="1">
      <c r="A644" t="s" s="27">
        <v>1294</v>
      </c>
      <c r="B644" t="s" s="13">
        <v>22</v>
      </c>
      <c r="C644" s="31">
        <v>45167</v>
      </c>
      <c r="D644" s="14">
        <v>1577.75</v>
      </c>
      <c r="E644" s="14">
        <v>1589.7</v>
      </c>
      <c r="F644" s="14">
        <v>1592.65</v>
      </c>
      <c r="G644" s="14">
        <v>1581.45</v>
      </c>
      <c r="H644" s="14">
        <v>1591.25</v>
      </c>
      <c r="I644" s="14">
        <v>1590.3</v>
      </c>
      <c r="J644" s="14">
        <v>1588.37</v>
      </c>
      <c r="K644" t="s" s="13">
        <v>3735</v>
      </c>
      <c r="L644" t="s" s="13">
        <v>3736</v>
      </c>
      <c r="M644" t="s" s="13">
        <v>3737</v>
      </c>
      <c r="N644" t="s" s="13">
        <v>3738</v>
      </c>
      <c r="O644" s="15">
        <v>51.93</v>
      </c>
      <c r="P644" s="30" cm="1">
        <f t="array" ref="P644">(I644-I643)/I643</f>
        <v>0.00795436539375693</v>
      </c>
      <c r="Q644" s="15">
        <v>8227486</v>
      </c>
    </row>
    <row r="645" ht="13.65" customHeight="1">
      <c r="A645" t="s" s="27">
        <v>1294</v>
      </c>
      <c r="B645" t="s" s="13">
        <v>22</v>
      </c>
      <c r="C645" s="31">
        <v>45168</v>
      </c>
      <c r="D645" s="14">
        <v>1590.3</v>
      </c>
      <c r="E645" s="14">
        <v>1603.95</v>
      </c>
      <c r="F645" s="14">
        <v>1603.95</v>
      </c>
      <c r="G645" s="14">
        <v>1573.7</v>
      </c>
      <c r="H645" s="14">
        <v>1579</v>
      </c>
      <c r="I645" s="14">
        <v>1578.7</v>
      </c>
      <c r="J645" s="14">
        <v>1589.56</v>
      </c>
      <c r="K645" t="s" s="13">
        <v>3739</v>
      </c>
      <c r="L645" t="s" s="13">
        <v>3740</v>
      </c>
      <c r="M645" t="s" s="13">
        <v>3741</v>
      </c>
      <c r="N645" t="s" s="13">
        <v>3742</v>
      </c>
      <c r="O645" s="15">
        <v>53.16</v>
      </c>
      <c r="P645" s="30" cm="1">
        <f t="array" ref="P645">(I645-I644)/I644</f>
        <v>-0.00729422121612274</v>
      </c>
      <c r="Q645" s="15">
        <v>8879678</v>
      </c>
    </row>
    <row r="646" ht="13.65" customHeight="1">
      <c r="A646" t="s" s="27">
        <v>1294</v>
      </c>
      <c r="B646" t="s" s="13">
        <v>22</v>
      </c>
      <c r="C646" s="31">
        <v>45169</v>
      </c>
      <c r="D646" s="14">
        <v>1578.7</v>
      </c>
      <c r="E646" s="14">
        <v>1579</v>
      </c>
      <c r="F646" s="14">
        <v>1583.15</v>
      </c>
      <c r="G646" s="14">
        <v>1563.1</v>
      </c>
      <c r="H646" s="14">
        <v>1577</v>
      </c>
      <c r="I646" s="14">
        <v>1571.45</v>
      </c>
      <c r="J646" s="14">
        <v>1570.99</v>
      </c>
      <c r="K646" t="s" s="13">
        <v>3743</v>
      </c>
      <c r="L646" t="s" s="13">
        <v>3744</v>
      </c>
      <c r="M646" t="s" s="13">
        <v>3745</v>
      </c>
      <c r="N646" t="s" s="13">
        <v>3746</v>
      </c>
      <c r="O646" s="15">
        <v>54.65</v>
      </c>
      <c r="P646" s="30" cm="1">
        <f t="array" ref="P646">(I646-I645)/I645</f>
        <v>-0.00459238614049534</v>
      </c>
      <c r="Q646" s="15">
        <v>24256337</v>
      </c>
    </row>
    <row r="647" ht="13.65" customHeight="1">
      <c r="A647" t="s" s="27">
        <v>1294</v>
      </c>
      <c r="B647" t="s" s="13">
        <v>22</v>
      </c>
      <c r="C647" s="28">
        <v>45170</v>
      </c>
      <c r="D647" s="14">
        <v>1571.45</v>
      </c>
      <c r="E647" s="14">
        <v>1571</v>
      </c>
      <c r="F647" s="14">
        <v>1579</v>
      </c>
      <c r="G647" s="14">
        <v>1559.35</v>
      </c>
      <c r="H647" s="14">
        <v>1573.75</v>
      </c>
      <c r="I647" s="14">
        <v>1574.7</v>
      </c>
      <c r="J647" s="14">
        <v>1569.33</v>
      </c>
      <c r="K647" t="s" s="13">
        <v>3747</v>
      </c>
      <c r="L647" t="s" s="13">
        <v>3748</v>
      </c>
      <c r="M647" t="s" s="13">
        <v>3749</v>
      </c>
      <c r="N647" t="s" s="13">
        <v>3750</v>
      </c>
      <c r="O647" s="15">
        <v>54.19</v>
      </c>
      <c r="P647" s="30" cm="1">
        <f t="array" ref="P647">(I647-I646)/I646</f>
        <v>0.00206815361608705</v>
      </c>
      <c r="Q647" s="15">
        <v>27324715</v>
      </c>
    </row>
    <row r="648" ht="13.65" customHeight="1">
      <c r="A648" t="s" s="27">
        <v>1294</v>
      </c>
      <c r="B648" t="s" s="13">
        <v>22</v>
      </c>
      <c r="C648" s="28">
        <v>45173</v>
      </c>
      <c r="D648" s="14">
        <v>1574.7</v>
      </c>
      <c r="E648" s="14">
        <v>1590</v>
      </c>
      <c r="F648" s="14">
        <v>1591.45</v>
      </c>
      <c r="G648" s="14">
        <v>1574.9</v>
      </c>
      <c r="H648" s="14">
        <v>1584.5</v>
      </c>
      <c r="I648" s="14">
        <v>1584.55</v>
      </c>
      <c r="J648" s="14">
        <v>1582.03</v>
      </c>
      <c r="K648" t="s" s="13">
        <v>3751</v>
      </c>
      <c r="L648" t="s" s="13">
        <v>3752</v>
      </c>
      <c r="M648" t="s" s="13">
        <v>3753</v>
      </c>
      <c r="N648" t="s" s="13">
        <v>3754</v>
      </c>
      <c r="O648" s="15">
        <v>54.87</v>
      </c>
      <c r="P648" s="30" cm="1">
        <f t="array" ref="P648">(I648-I647)/I647</f>
        <v>0.0062551597129612</v>
      </c>
      <c r="Q648" s="15">
        <v>19485847</v>
      </c>
    </row>
    <row r="649" ht="13.65" customHeight="1">
      <c r="A649" t="s" s="27">
        <v>1294</v>
      </c>
      <c r="B649" t="s" s="13">
        <v>22</v>
      </c>
      <c r="C649" s="28">
        <v>45174</v>
      </c>
      <c r="D649" s="14">
        <v>1584.55</v>
      </c>
      <c r="E649" s="14">
        <v>1588.4</v>
      </c>
      <c r="F649" s="14">
        <v>1588.4</v>
      </c>
      <c r="G649" s="14">
        <v>1570.6</v>
      </c>
      <c r="H649" s="14">
        <v>1575</v>
      </c>
      <c r="I649" s="14">
        <v>1574.9</v>
      </c>
      <c r="J649" s="14">
        <v>1576.27</v>
      </c>
      <c r="K649" t="s" s="13">
        <v>3755</v>
      </c>
      <c r="L649" t="s" s="13">
        <v>3756</v>
      </c>
      <c r="M649" t="s" s="13">
        <v>3757</v>
      </c>
      <c r="N649" t="s" s="13">
        <v>3758</v>
      </c>
      <c r="O649" s="15">
        <v>37.81</v>
      </c>
      <c r="P649" s="30" cm="1">
        <f t="array" ref="P649">(I649-I648)/I648</f>
        <v>-0.00609005711400713</v>
      </c>
      <c r="Q649" s="15">
        <v>16026891</v>
      </c>
    </row>
    <row r="650" ht="13.65" customHeight="1">
      <c r="A650" t="s" s="27">
        <v>1294</v>
      </c>
      <c r="B650" t="s" s="13">
        <v>22</v>
      </c>
      <c r="C650" s="28">
        <v>45175</v>
      </c>
      <c r="D650" s="14">
        <v>1574.9</v>
      </c>
      <c r="E650" s="14">
        <v>1576.8</v>
      </c>
      <c r="F650" s="14">
        <v>1600</v>
      </c>
      <c r="G650" s="14">
        <v>1574.9</v>
      </c>
      <c r="H650" s="14">
        <v>1599</v>
      </c>
      <c r="I650" s="14">
        <v>1595.5</v>
      </c>
      <c r="J650" s="14">
        <v>1588.41</v>
      </c>
      <c r="K650" t="s" s="13">
        <v>3759</v>
      </c>
      <c r="L650" t="s" s="13">
        <v>3760</v>
      </c>
      <c r="M650" t="s" s="13">
        <v>3761</v>
      </c>
      <c r="N650" t="s" s="13">
        <v>3762</v>
      </c>
      <c r="O650" s="15">
        <v>36.3</v>
      </c>
      <c r="P650" s="30" cm="1">
        <f t="array" ref="P650">(I650-I649)/I649</f>
        <v>0.0130801955679726</v>
      </c>
      <c r="Q650" s="15">
        <v>27677094</v>
      </c>
    </row>
    <row r="651" ht="13.65" customHeight="1">
      <c r="A651" t="s" s="27">
        <v>1294</v>
      </c>
      <c r="B651" t="s" s="13">
        <v>22</v>
      </c>
      <c r="C651" s="28">
        <v>45176</v>
      </c>
      <c r="D651" s="14">
        <v>1595.5</v>
      </c>
      <c r="E651" s="14">
        <v>1595.5</v>
      </c>
      <c r="F651" s="14">
        <v>1614</v>
      </c>
      <c r="G651" s="14">
        <v>1587.15</v>
      </c>
      <c r="H651" s="14">
        <v>1611</v>
      </c>
      <c r="I651" s="14">
        <v>1610.85</v>
      </c>
      <c r="J651" s="14">
        <v>1601.67</v>
      </c>
      <c r="K651" t="s" s="13">
        <v>3763</v>
      </c>
      <c r="L651" t="s" s="13">
        <v>3764</v>
      </c>
      <c r="M651" t="s" s="13">
        <v>3765</v>
      </c>
      <c r="N651" t="s" s="13">
        <v>3766</v>
      </c>
      <c r="O651" s="15">
        <v>36.85</v>
      </c>
      <c r="P651" s="30" cm="1">
        <f t="array" ref="P651">(I651-I650)/I650</f>
        <v>0.00962080852397368</v>
      </c>
      <c r="Q651" s="15">
        <v>19669269</v>
      </c>
    </row>
    <row r="652" ht="13.65" customHeight="1">
      <c r="A652" t="s" s="27">
        <v>1294</v>
      </c>
      <c r="B652" t="s" s="13">
        <v>22</v>
      </c>
      <c r="C652" s="28">
        <v>45177</v>
      </c>
      <c r="D652" s="14">
        <v>1610.85</v>
      </c>
      <c r="E652" s="14">
        <v>1608.3</v>
      </c>
      <c r="F652" s="14">
        <v>1632.9</v>
      </c>
      <c r="G652" s="14">
        <v>1607.6</v>
      </c>
      <c r="H652" s="14">
        <v>1623.2</v>
      </c>
      <c r="I652" s="14">
        <v>1623.4</v>
      </c>
      <c r="J652" s="14">
        <v>1619.68</v>
      </c>
      <c r="K652" t="s" s="13">
        <v>3767</v>
      </c>
      <c r="L652" t="s" s="13">
        <v>3768</v>
      </c>
      <c r="M652" t="s" s="13">
        <v>3769</v>
      </c>
      <c r="N652" t="s" s="13">
        <v>3770</v>
      </c>
      <c r="O652" s="15">
        <v>41.09</v>
      </c>
      <c r="P652" s="30" cm="1">
        <f t="array" ref="P652">(I652-I651)/I651</f>
        <v>0.00779091783840829</v>
      </c>
      <c r="Q652" s="15">
        <v>13787654</v>
      </c>
    </row>
    <row r="653" ht="13.65" customHeight="1">
      <c r="A653" t="s" s="27">
        <v>1294</v>
      </c>
      <c r="B653" t="s" s="13">
        <v>22</v>
      </c>
      <c r="C653" s="31">
        <v>45180</v>
      </c>
      <c r="D653" s="14">
        <v>1623.4</v>
      </c>
      <c r="E653" s="14">
        <v>1628.9</v>
      </c>
      <c r="F653" s="14">
        <v>1636.5</v>
      </c>
      <c r="G653" s="14">
        <v>1624</v>
      </c>
      <c r="H653" s="14">
        <v>1633</v>
      </c>
      <c r="I653" s="14">
        <v>1631.8</v>
      </c>
      <c r="J653" s="14">
        <v>1631.32</v>
      </c>
      <c r="K653" t="s" s="13">
        <v>3771</v>
      </c>
      <c r="L653" t="s" s="13">
        <v>3772</v>
      </c>
      <c r="M653" t="s" s="13">
        <v>3773</v>
      </c>
      <c r="N653" t="s" s="13">
        <v>3774</v>
      </c>
      <c r="O653" s="15">
        <v>74.70999999999999</v>
      </c>
      <c r="P653" s="30" cm="1">
        <f t="array" ref="P653">(I653-I652)/I652</f>
        <v>0.00517432548971295</v>
      </c>
      <c r="Q653" s="15">
        <v>20104377</v>
      </c>
    </row>
    <row r="654" ht="13.65" customHeight="1">
      <c r="A654" t="s" s="27">
        <v>1294</v>
      </c>
      <c r="B654" t="s" s="13">
        <v>22</v>
      </c>
      <c r="C654" s="31">
        <v>45181</v>
      </c>
      <c r="D654" s="14">
        <v>1631.8</v>
      </c>
      <c r="E654" s="14">
        <v>1640</v>
      </c>
      <c r="F654" s="14">
        <v>1642.9</v>
      </c>
      <c r="G654" s="14">
        <v>1625.05</v>
      </c>
      <c r="H654" s="14">
        <v>1636</v>
      </c>
      <c r="I654" s="14">
        <v>1636.9</v>
      </c>
      <c r="J654" s="14">
        <v>1635.47</v>
      </c>
      <c r="K654" t="s" s="13">
        <v>3775</v>
      </c>
      <c r="L654" t="s" s="13">
        <v>3776</v>
      </c>
      <c r="M654" t="s" s="13">
        <v>3777</v>
      </c>
      <c r="N654" t="s" s="13">
        <v>3778</v>
      </c>
      <c r="O654" s="15">
        <v>43.14</v>
      </c>
      <c r="P654" s="30" cm="1">
        <f t="array" ref="P654">(I654-I653)/I653</f>
        <v>0.0031253830126241</v>
      </c>
      <c r="Q654" s="15">
        <v>30852125</v>
      </c>
    </row>
    <row r="655" ht="13.65" customHeight="1">
      <c r="A655" t="s" s="27">
        <v>1294</v>
      </c>
      <c r="B655" t="s" s="13">
        <v>22</v>
      </c>
      <c r="C655" s="31">
        <v>45182</v>
      </c>
      <c r="D655" s="14">
        <v>1636.9</v>
      </c>
      <c r="E655" s="14">
        <v>1631.3</v>
      </c>
      <c r="F655" s="14">
        <v>1651.6</v>
      </c>
      <c r="G655" s="14">
        <v>1628.6</v>
      </c>
      <c r="H655" s="14">
        <v>1641.6</v>
      </c>
      <c r="I655" s="14">
        <v>1643.9</v>
      </c>
      <c r="J655" s="14">
        <v>1643.76</v>
      </c>
      <c r="K655" t="s" s="13">
        <v>3779</v>
      </c>
      <c r="L655" t="s" s="13">
        <v>3780</v>
      </c>
      <c r="M655" t="s" s="13">
        <v>3781</v>
      </c>
      <c r="N655" t="s" s="13">
        <v>3782</v>
      </c>
      <c r="O655" s="15">
        <v>47.02</v>
      </c>
      <c r="P655" s="30" cm="1">
        <f t="array" ref="P655">(I655-I654)/I654</f>
        <v>0.00427637607673041</v>
      </c>
      <c r="Q655" s="15">
        <v>36420721</v>
      </c>
    </row>
    <row r="656" ht="13.65" customHeight="1">
      <c r="A656" t="s" s="27">
        <v>1294</v>
      </c>
      <c r="B656" t="s" s="13">
        <v>22</v>
      </c>
      <c r="C656" s="31">
        <v>45183</v>
      </c>
      <c r="D656" s="14">
        <v>1643.9</v>
      </c>
      <c r="E656" s="14">
        <v>1644.25</v>
      </c>
      <c r="F656" s="14">
        <v>1650</v>
      </c>
      <c r="G656" s="14">
        <v>1635.1</v>
      </c>
      <c r="H656" s="14">
        <v>1643</v>
      </c>
      <c r="I656" s="14">
        <v>1642.9</v>
      </c>
      <c r="J656" s="14">
        <v>1642.38</v>
      </c>
      <c r="K656" t="s" s="13">
        <v>3783</v>
      </c>
      <c r="L656" t="s" s="13">
        <v>3784</v>
      </c>
      <c r="M656" t="s" s="13">
        <v>3785</v>
      </c>
      <c r="N656" t="s" s="13">
        <v>3786</v>
      </c>
      <c r="O656" s="15">
        <v>39.04</v>
      </c>
      <c r="P656" s="30" cm="1">
        <f t="array" ref="P656">(I656-I655)/I655</f>
        <v>-0.000608309507877608</v>
      </c>
      <c r="Q656" s="15">
        <v>57737324</v>
      </c>
    </row>
    <row r="657" ht="13.65" customHeight="1">
      <c r="A657" t="s" s="27">
        <v>1294</v>
      </c>
      <c r="B657" t="s" s="13">
        <v>22</v>
      </c>
      <c r="C657" s="31">
        <v>45184</v>
      </c>
      <c r="D657" s="14">
        <v>1642.9</v>
      </c>
      <c r="E657" s="14">
        <v>1650</v>
      </c>
      <c r="F657" s="14">
        <v>1670</v>
      </c>
      <c r="G657" s="14">
        <v>1650</v>
      </c>
      <c r="H657" s="14">
        <v>1657</v>
      </c>
      <c r="I657" s="14">
        <v>1661.75</v>
      </c>
      <c r="J657" s="14">
        <v>1660.63</v>
      </c>
      <c r="K657" t="s" s="13">
        <v>3787</v>
      </c>
      <c r="L657" t="s" s="13">
        <v>3788</v>
      </c>
      <c r="M657" t="s" s="13">
        <v>3789</v>
      </c>
      <c r="N657" t="s" s="13">
        <v>3790</v>
      </c>
      <c r="O657" s="15">
        <v>71.70999999999999</v>
      </c>
      <c r="P657" s="30" cm="1">
        <f t="array" ref="P657">(I657-I656)/I656</f>
        <v>0.0114736137318157</v>
      </c>
      <c r="Q657" s="15">
        <v>18528144</v>
      </c>
    </row>
    <row r="658" ht="13.65" customHeight="1">
      <c r="A658" t="s" s="27">
        <v>1294</v>
      </c>
      <c r="B658" t="s" s="13">
        <v>22</v>
      </c>
      <c r="C658" s="31">
        <v>45187</v>
      </c>
      <c r="D658" s="14">
        <v>1661.75</v>
      </c>
      <c r="E658" s="14">
        <v>1653.75</v>
      </c>
      <c r="F658" s="14">
        <v>1655</v>
      </c>
      <c r="G658" s="14">
        <v>1626.1</v>
      </c>
      <c r="H658" s="14">
        <v>1629.65</v>
      </c>
      <c r="I658" s="14">
        <v>1629.05</v>
      </c>
      <c r="J658" s="14">
        <v>1636.5</v>
      </c>
      <c r="K658" t="s" s="13">
        <v>3791</v>
      </c>
      <c r="L658" t="s" s="13">
        <v>3792</v>
      </c>
      <c r="M658" t="s" s="13">
        <v>3793</v>
      </c>
      <c r="N658" t="s" s="13">
        <v>3794</v>
      </c>
      <c r="O658" s="15">
        <v>41.2</v>
      </c>
      <c r="P658" s="30" cm="1">
        <f t="array" ref="P658">(I658-I657)/I657</f>
        <v>-0.0196780502482323</v>
      </c>
      <c r="Q658" s="15">
        <v>86705601</v>
      </c>
    </row>
    <row r="659" ht="13.65" customHeight="1">
      <c r="A659" t="s" s="27">
        <v>1294</v>
      </c>
      <c r="B659" t="s" s="13">
        <v>22</v>
      </c>
      <c r="C659" s="31">
        <v>45189</v>
      </c>
      <c r="D659" s="14">
        <v>1629.05</v>
      </c>
      <c r="E659" s="14">
        <v>1599</v>
      </c>
      <c r="F659" s="14">
        <v>1599</v>
      </c>
      <c r="G659" s="14">
        <v>1560.4</v>
      </c>
      <c r="H659" s="14">
        <v>1566</v>
      </c>
      <c r="I659" s="14">
        <v>1563.7</v>
      </c>
      <c r="J659" s="14">
        <v>1570.63</v>
      </c>
      <c r="K659" t="s" s="13">
        <v>3795</v>
      </c>
      <c r="L659" t="s" s="13">
        <v>3796</v>
      </c>
      <c r="M659" t="s" s="13">
        <v>3797</v>
      </c>
      <c r="N659" t="s" s="13">
        <v>3798</v>
      </c>
      <c r="O659" s="15">
        <v>61.08</v>
      </c>
      <c r="P659" s="30" cm="1">
        <f t="array" ref="P659">(I659-I658)/I658</f>
        <v>-0.0401154046837114</v>
      </c>
      <c r="Q659" s="15">
        <v>11769424</v>
      </c>
    </row>
    <row r="660" ht="13.65" customHeight="1">
      <c r="A660" t="s" s="27">
        <v>1294</v>
      </c>
      <c r="B660" t="s" s="13">
        <v>22</v>
      </c>
      <c r="C660" s="31">
        <v>45190</v>
      </c>
      <c r="D660" s="14">
        <v>1563.7</v>
      </c>
      <c r="E660" s="14">
        <v>1553</v>
      </c>
      <c r="F660" s="14">
        <v>1568.95</v>
      </c>
      <c r="G660" s="14">
        <v>1537.05</v>
      </c>
      <c r="H660" s="14">
        <v>1554.5</v>
      </c>
      <c r="I660" s="14">
        <v>1553.35</v>
      </c>
      <c r="J660" s="14">
        <v>1555.34</v>
      </c>
      <c r="K660" t="s" s="13">
        <v>3799</v>
      </c>
      <c r="L660" t="s" s="13">
        <v>3800</v>
      </c>
      <c r="M660" t="s" s="13">
        <v>3801</v>
      </c>
      <c r="N660" t="s" s="13">
        <v>3802</v>
      </c>
      <c r="O660" s="15">
        <v>56.12</v>
      </c>
      <c r="P660" s="30" cm="1">
        <f t="array" ref="P660">(I660-I659)/I659</f>
        <v>-0.00661891667199591</v>
      </c>
      <c r="Q660" s="15">
        <v>23210047</v>
      </c>
    </row>
    <row r="661" ht="13.65" customHeight="1">
      <c r="A661" t="s" s="27">
        <v>1294</v>
      </c>
      <c r="B661" t="s" s="13">
        <v>22</v>
      </c>
      <c r="C661" s="31">
        <v>45191</v>
      </c>
      <c r="D661" s="14">
        <v>1553.35</v>
      </c>
      <c r="E661" s="14">
        <v>1559</v>
      </c>
      <c r="F661" s="14">
        <v>1564.4</v>
      </c>
      <c r="G661" s="14">
        <v>1523.75</v>
      </c>
      <c r="H661" s="14">
        <v>1530.2</v>
      </c>
      <c r="I661" s="14">
        <v>1529.65</v>
      </c>
      <c r="J661" s="14">
        <v>1544.59</v>
      </c>
      <c r="K661" t="s" s="13">
        <v>3803</v>
      </c>
      <c r="L661" t="s" s="13">
        <v>3804</v>
      </c>
      <c r="M661" t="s" s="13">
        <v>3805</v>
      </c>
      <c r="N661" t="s" s="13">
        <v>3806</v>
      </c>
      <c r="O661" s="15">
        <v>66.23</v>
      </c>
      <c r="P661" s="30" cm="1">
        <f t="array" ref="P661">(I661-I660)/I660</f>
        <v>-0.0152573470241736</v>
      </c>
      <c r="Q661" s="15">
        <v>19516670</v>
      </c>
    </row>
    <row r="662" ht="13.65" customHeight="1">
      <c r="A662" t="s" s="27">
        <v>1294</v>
      </c>
      <c r="B662" t="s" s="13">
        <v>22</v>
      </c>
      <c r="C662" s="31">
        <v>45194</v>
      </c>
      <c r="D662" s="14">
        <v>1529.65</v>
      </c>
      <c r="E662" s="14">
        <v>1525</v>
      </c>
      <c r="F662" s="14">
        <v>1540.7</v>
      </c>
      <c r="G662" s="14">
        <v>1525</v>
      </c>
      <c r="H662" s="14">
        <v>1528.9</v>
      </c>
      <c r="I662" s="14">
        <v>1531</v>
      </c>
      <c r="J662" s="14">
        <v>1533.28</v>
      </c>
      <c r="K662" t="s" s="13">
        <v>3807</v>
      </c>
      <c r="L662" t="s" s="13">
        <v>3808</v>
      </c>
      <c r="M662" t="s" s="13">
        <v>3809</v>
      </c>
      <c r="N662" t="s" s="13">
        <v>3810</v>
      </c>
      <c r="O662" s="15">
        <v>71.11</v>
      </c>
      <c r="P662" s="30" cm="1">
        <f t="array" ref="P662">(I662-I661)/I661</f>
        <v>0.00088255483280489</v>
      </c>
      <c r="Q662" s="15">
        <v>15786511</v>
      </c>
    </row>
    <row r="663" ht="13.65" customHeight="1">
      <c r="A663" t="s" s="27">
        <v>1294</v>
      </c>
      <c r="B663" t="s" s="13">
        <v>22</v>
      </c>
      <c r="C663" s="31">
        <v>45195</v>
      </c>
      <c r="D663" s="14">
        <v>1531</v>
      </c>
      <c r="E663" s="14">
        <v>1525</v>
      </c>
      <c r="F663" s="14">
        <v>1540</v>
      </c>
      <c r="G663" s="14">
        <v>1525</v>
      </c>
      <c r="H663" s="14">
        <v>1538</v>
      </c>
      <c r="I663" s="14">
        <v>1537.65</v>
      </c>
      <c r="J663" s="14">
        <v>1535.23</v>
      </c>
      <c r="K663" t="s" s="13">
        <v>3811</v>
      </c>
      <c r="L663" t="s" s="13">
        <v>3812</v>
      </c>
      <c r="M663" t="s" s="13">
        <v>3813</v>
      </c>
      <c r="N663" t="s" s="13">
        <v>3814</v>
      </c>
      <c r="O663" s="15">
        <v>57.36</v>
      </c>
      <c r="P663" s="30" cm="1">
        <f t="array" ref="P663">(I663-I662)/I662</f>
        <v>0.00434356629653821</v>
      </c>
      <c r="Q663" s="15">
        <v>17251105</v>
      </c>
    </row>
    <row r="664" ht="13.65" customHeight="1">
      <c r="A664" t="s" s="27">
        <v>1294</v>
      </c>
      <c r="B664" t="s" s="13">
        <v>22</v>
      </c>
      <c r="C664" s="31">
        <v>45196</v>
      </c>
      <c r="D664" s="14">
        <v>1537.65</v>
      </c>
      <c r="E664" s="14">
        <v>1523</v>
      </c>
      <c r="F664" s="14">
        <v>1532.5</v>
      </c>
      <c r="G664" s="14">
        <v>1515</v>
      </c>
      <c r="H664" s="14">
        <v>1527.45</v>
      </c>
      <c r="I664" s="14">
        <v>1526.85</v>
      </c>
      <c r="J664" s="14">
        <v>1524.39</v>
      </c>
      <c r="K664" t="s" s="13">
        <v>3815</v>
      </c>
      <c r="L664" t="s" s="13">
        <v>3816</v>
      </c>
      <c r="M664" t="s" s="13">
        <v>3817</v>
      </c>
      <c r="N664" t="s" s="13">
        <v>3818</v>
      </c>
      <c r="O664" s="15">
        <v>69.12</v>
      </c>
      <c r="P664" s="30" cm="1">
        <f t="array" ref="P664">(I664-I663)/I663</f>
        <v>-0.00702370500438982</v>
      </c>
      <c r="Q664" s="15">
        <v>17104171</v>
      </c>
    </row>
    <row r="665" ht="13.65" customHeight="1">
      <c r="A665" t="s" s="27">
        <v>1294</v>
      </c>
      <c r="B665" t="s" s="13">
        <v>22</v>
      </c>
      <c r="C665" s="31">
        <v>45197</v>
      </c>
      <c r="D665" s="14">
        <v>1526.85</v>
      </c>
      <c r="E665" s="14">
        <v>1534</v>
      </c>
      <c r="F665" s="14">
        <v>1537.6</v>
      </c>
      <c r="G665" s="14">
        <v>1518.35</v>
      </c>
      <c r="H665" s="14">
        <v>1518.4</v>
      </c>
      <c r="I665" s="14">
        <v>1523.7</v>
      </c>
      <c r="J665" s="14">
        <v>1526.61</v>
      </c>
      <c r="K665" t="s" s="13">
        <v>3819</v>
      </c>
      <c r="L665" t="s" s="13">
        <v>3820</v>
      </c>
      <c r="M665" t="s" s="13">
        <v>3821</v>
      </c>
      <c r="N665" t="s" s="13">
        <v>3822</v>
      </c>
      <c r="O665" s="15">
        <v>49.28</v>
      </c>
      <c r="P665" s="30" cm="1">
        <f t="array" ref="P665">(I665-I664)/I664</f>
        <v>-0.00206307102858827</v>
      </c>
      <c r="Q665" s="15">
        <v>28160455</v>
      </c>
    </row>
    <row r="666" ht="13.65" customHeight="1">
      <c r="A666" t="s" s="27">
        <v>1294</v>
      </c>
      <c r="B666" t="s" s="13">
        <v>22</v>
      </c>
      <c r="C666" s="31">
        <v>45198</v>
      </c>
      <c r="D666" s="14">
        <v>1523.7</v>
      </c>
      <c r="E666" s="14">
        <v>1523.7</v>
      </c>
      <c r="F666" s="14">
        <v>1535.45</v>
      </c>
      <c r="G666" s="14">
        <v>1522.3</v>
      </c>
      <c r="H666" s="14">
        <v>1525.85</v>
      </c>
      <c r="I666" s="14">
        <v>1526.3</v>
      </c>
      <c r="J666" s="14">
        <v>1529.2</v>
      </c>
      <c r="K666" t="s" s="13">
        <v>3823</v>
      </c>
      <c r="L666" t="s" s="13">
        <v>3824</v>
      </c>
      <c r="M666" t="s" s="13">
        <v>3825</v>
      </c>
      <c r="N666" t="s" s="13">
        <v>3826</v>
      </c>
      <c r="O666" s="15">
        <v>58.28</v>
      </c>
      <c r="P666" s="30" cm="1">
        <f t="array" ref="P666">(I666-I665)/I665</f>
        <v>0.0017063726455339</v>
      </c>
      <c r="Q666" s="15">
        <v>19356041</v>
      </c>
    </row>
    <row r="667" ht="13.65" customHeight="1">
      <c r="A667" t="s" s="27">
        <v>1294</v>
      </c>
      <c r="B667" t="s" s="13">
        <v>22</v>
      </c>
      <c r="C667" s="28">
        <v>45202</v>
      </c>
      <c r="D667" s="14">
        <v>1526.3</v>
      </c>
      <c r="E667" s="14">
        <v>1527</v>
      </c>
      <c r="F667" s="14">
        <v>1527</v>
      </c>
      <c r="G667" s="14">
        <v>1506</v>
      </c>
      <c r="H667" s="14">
        <v>1508</v>
      </c>
      <c r="I667" s="14">
        <v>1508.05</v>
      </c>
      <c r="J667" s="14">
        <v>1511.94</v>
      </c>
      <c r="K667" t="s" s="13">
        <v>3827</v>
      </c>
      <c r="L667" t="s" s="13">
        <v>3828</v>
      </c>
      <c r="M667" t="s" s="13">
        <v>3829</v>
      </c>
      <c r="N667" t="s" s="13">
        <v>3830</v>
      </c>
      <c r="O667" s="15">
        <v>66.05</v>
      </c>
      <c r="P667" s="30" cm="1">
        <f t="array" ref="P667">(I667-I666)/I666</f>
        <v>-0.011957020245037</v>
      </c>
      <c r="Q667" s="15">
        <v>12536819</v>
      </c>
    </row>
    <row r="668" ht="13.65" customHeight="1">
      <c r="A668" t="s" s="27">
        <v>1294</v>
      </c>
      <c r="B668" t="s" s="13">
        <v>22</v>
      </c>
      <c r="C668" s="28">
        <v>45203</v>
      </c>
      <c r="D668" s="14">
        <v>1508.05</v>
      </c>
      <c r="E668" s="14">
        <v>1495</v>
      </c>
      <c r="F668" s="14">
        <v>1535</v>
      </c>
      <c r="G668" s="14">
        <v>1489.25</v>
      </c>
      <c r="H668" s="14">
        <v>1532</v>
      </c>
      <c r="I668" s="14">
        <v>1529.55</v>
      </c>
      <c r="J668" s="14">
        <v>1519.36</v>
      </c>
      <c r="K668" t="s" s="13">
        <v>3831</v>
      </c>
      <c r="L668" t="s" s="13">
        <v>3832</v>
      </c>
      <c r="M668" t="s" s="13">
        <v>3833</v>
      </c>
      <c r="N668" t="s" s="13">
        <v>3834</v>
      </c>
      <c r="O668" s="15">
        <v>56.9</v>
      </c>
      <c r="P668" s="30" cm="1">
        <f t="array" ref="P668">(I668-I667)/I667</f>
        <v>0.0142568217234177</v>
      </c>
      <c r="Q668" s="15">
        <v>21613388</v>
      </c>
    </row>
    <row r="669" ht="13.65" customHeight="1">
      <c r="A669" t="s" s="27">
        <v>1294</v>
      </c>
      <c r="B669" t="s" s="13">
        <v>22</v>
      </c>
      <c r="C669" s="28">
        <v>45204</v>
      </c>
      <c r="D669" s="14">
        <v>1529.55</v>
      </c>
      <c r="E669" s="14">
        <v>1535.05</v>
      </c>
      <c r="F669" s="14">
        <v>1551.55</v>
      </c>
      <c r="G669" s="14">
        <v>1532.6</v>
      </c>
      <c r="H669" s="14">
        <v>1535.85</v>
      </c>
      <c r="I669" s="14">
        <v>1535.75</v>
      </c>
      <c r="J669" s="14">
        <v>1540.76</v>
      </c>
      <c r="K669" t="s" s="13">
        <v>3835</v>
      </c>
      <c r="L669" t="s" s="13">
        <v>3836</v>
      </c>
      <c r="M669" t="s" s="13">
        <v>3837</v>
      </c>
      <c r="N669" t="s" s="13">
        <v>3838</v>
      </c>
      <c r="O669" s="15">
        <v>71.95</v>
      </c>
      <c r="P669" s="30" cm="1">
        <f t="array" ref="P669">(I669-I668)/I668</f>
        <v>0.00405347978163512</v>
      </c>
      <c r="Q669" s="15">
        <v>50037886</v>
      </c>
    </row>
    <row r="670" ht="13.65" customHeight="1">
      <c r="A670" t="s" s="27">
        <v>1294</v>
      </c>
      <c r="B670" t="s" s="13">
        <v>22</v>
      </c>
      <c r="C670" s="28">
        <v>45205</v>
      </c>
      <c r="D670" s="14">
        <v>1535.75</v>
      </c>
      <c r="E670" s="14">
        <v>1544</v>
      </c>
      <c r="F670" s="14">
        <v>1545</v>
      </c>
      <c r="G670" s="14">
        <v>1529.85</v>
      </c>
      <c r="H670" s="14">
        <v>1535</v>
      </c>
      <c r="I670" s="14">
        <v>1534.05</v>
      </c>
      <c r="J670" s="14">
        <v>1539.1</v>
      </c>
      <c r="K670" t="s" s="13">
        <v>3839</v>
      </c>
      <c r="L670" t="s" s="13">
        <v>3840</v>
      </c>
      <c r="M670" t="s" s="13">
        <v>3841</v>
      </c>
      <c r="N670" t="s" s="13">
        <v>3842</v>
      </c>
      <c r="O670" s="15">
        <v>66.88</v>
      </c>
      <c r="P670" s="30" cm="1">
        <f t="array" ref="P670">(I670-I669)/I669</f>
        <v>-0.00110695100113951</v>
      </c>
      <c r="Q670" s="15">
        <v>14042102</v>
      </c>
    </row>
    <row r="671" ht="13.65" customHeight="1">
      <c r="A671" t="s" s="27">
        <v>1294</v>
      </c>
      <c r="B671" t="s" s="13">
        <v>22</v>
      </c>
      <c r="C671" s="28">
        <v>45208</v>
      </c>
      <c r="D671" s="14">
        <v>1534.05</v>
      </c>
      <c r="E671" s="14">
        <v>1528</v>
      </c>
      <c r="F671" s="14">
        <v>1530</v>
      </c>
      <c r="G671" s="14">
        <v>1512</v>
      </c>
      <c r="H671" s="14">
        <v>1516</v>
      </c>
      <c r="I671" s="14">
        <v>1516.25</v>
      </c>
      <c r="J671" s="14">
        <v>1517.69</v>
      </c>
      <c r="K671" t="s" s="13">
        <v>3843</v>
      </c>
      <c r="L671" t="s" s="13">
        <v>3844</v>
      </c>
      <c r="M671" t="s" s="13">
        <v>3845</v>
      </c>
      <c r="N671" t="s" s="13">
        <v>3846</v>
      </c>
      <c r="O671" s="15">
        <v>68.52</v>
      </c>
      <c r="P671" s="30" cm="1">
        <f t="array" ref="P671">(I671-I670)/I670</f>
        <v>-0.0116032723835599</v>
      </c>
      <c r="Q671" s="15">
        <v>17769466</v>
      </c>
    </row>
    <row r="672" ht="13.65" customHeight="1">
      <c r="A672" t="s" s="27">
        <v>1294</v>
      </c>
      <c r="B672" t="s" s="13">
        <v>22</v>
      </c>
      <c r="C672" s="31">
        <v>45209</v>
      </c>
      <c r="D672" s="14">
        <v>1516.25</v>
      </c>
      <c r="E672" s="14">
        <v>1520.55</v>
      </c>
      <c r="F672" s="14">
        <v>1529</v>
      </c>
      <c r="G672" s="14">
        <v>1515.2</v>
      </c>
      <c r="H672" s="14">
        <v>1526</v>
      </c>
      <c r="I672" s="14">
        <v>1524.85</v>
      </c>
      <c r="J672" s="14">
        <v>1523.15</v>
      </c>
      <c r="K672" t="s" s="13">
        <v>3847</v>
      </c>
      <c r="L672" t="s" s="13">
        <v>3848</v>
      </c>
      <c r="M672" t="s" s="13">
        <v>3849</v>
      </c>
      <c r="N672" t="s" s="13">
        <v>3850</v>
      </c>
      <c r="O672" s="15">
        <v>61.91</v>
      </c>
      <c r="P672" s="30" cm="1">
        <f t="array" ref="P672">(I672-I671)/I671</f>
        <v>0.00567188788128607</v>
      </c>
      <c r="Q672" s="15">
        <v>14433619</v>
      </c>
    </row>
    <row r="673" ht="13.65" customHeight="1">
      <c r="A673" t="s" s="27">
        <v>1294</v>
      </c>
      <c r="B673" t="s" s="13">
        <v>22</v>
      </c>
      <c r="C673" s="31">
        <v>45210</v>
      </c>
      <c r="D673" s="14">
        <v>1524.85</v>
      </c>
      <c r="E673" s="14">
        <v>1530.1</v>
      </c>
      <c r="F673" s="14">
        <v>1542.15</v>
      </c>
      <c r="G673" s="14">
        <v>1528.5</v>
      </c>
      <c r="H673" s="14">
        <v>1542</v>
      </c>
      <c r="I673" s="14">
        <v>1539.6</v>
      </c>
      <c r="J673" s="14">
        <v>1534.92</v>
      </c>
      <c r="K673" t="s" s="13">
        <v>3851</v>
      </c>
      <c r="L673" t="s" s="13">
        <v>3852</v>
      </c>
      <c r="M673" t="s" s="13">
        <v>3853</v>
      </c>
      <c r="N673" t="s" s="13">
        <v>3854</v>
      </c>
      <c r="O673" s="15">
        <v>60.84</v>
      </c>
      <c r="P673" s="30" cm="1">
        <f t="array" ref="P673">(I673-I672)/I672</f>
        <v>0.009673082598288359</v>
      </c>
      <c r="Q673" s="15">
        <v>15034878</v>
      </c>
    </row>
    <row r="674" ht="13.65" customHeight="1">
      <c r="A674" t="s" s="27">
        <v>1294</v>
      </c>
      <c r="B674" t="s" s="13">
        <v>22</v>
      </c>
      <c r="C674" s="31">
        <v>45211</v>
      </c>
      <c r="D674" s="14">
        <v>1539.6</v>
      </c>
      <c r="E674" s="14">
        <v>1536.1</v>
      </c>
      <c r="F674" s="14">
        <v>1552</v>
      </c>
      <c r="G674" s="14">
        <v>1531.6</v>
      </c>
      <c r="H674" s="14">
        <v>1548</v>
      </c>
      <c r="I674" s="14">
        <v>1549.85</v>
      </c>
      <c r="J674" s="14">
        <v>1541.66</v>
      </c>
      <c r="K674" t="s" s="13">
        <v>3855</v>
      </c>
      <c r="L674" t="s" s="13">
        <v>3856</v>
      </c>
      <c r="M674" t="s" s="13">
        <v>3857</v>
      </c>
      <c r="N674" t="s" s="13">
        <v>3858</v>
      </c>
      <c r="O674" s="15">
        <v>64.40000000000001</v>
      </c>
      <c r="P674" s="30" cm="1">
        <f t="array" ref="P674">(I674-I673)/I673</f>
        <v>0.00665757339568719</v>
      </c>
      <c r="Q674" s="15">
        <v>21572896</v>
      </c>
    </row>
    <row r="675" ht="13.65" customHeight="1">
      <c r="A675" t="s" s="27">
        <v>1294</v>
      </c>
      <c r="B675" t="s" s="13">
        <v>22</v>
      </c>
      <c r="C675" s="31">
        <v>45212</v>
      </c>
      <c r="D675" s="14">
        <v>1549.85</v>
      </c>
      <c r="E675" s="14">
        <v>1540</v>
      </c>
      <c r="F675" s="14">
        <v>1548.8</v>
      </c>
      <c r="G675" s="14">
        <v>1529.95</v>
      </c>
      <c r="H675" s="14">
        <v>1533.5</v>
      </c>
      <c r="I675" s="14">
        <v>1535.75</v>
      </c>
      <c r="J675" s="14">
        <v>1539.45</v>
      </c>
      <c r="K675" t="s" s="13">
        <v>3859</v>
      </c>
      <c r="L675" t="s" s="13">
        <v>3860</v>
      </c>
      <c r="M675" t="s" s="13">
        <v>3861</v>
      </c>
      <c r="N675" t="s" s="13">
        <v>3862</v>
      </c>
      <c r="O675" s="15">
        <v>69.88</v>
      </c>
      <c r="P675" s="30" cm="1">
        <f t="array" ref="P675">(I675-I674)/I674</f>
        <v>-0.00909765461173662</v>
      </c>
      <c r="Q675" s="15">
        <v>18249294</v>
      </c>
    </row>
    <row r="676" ht="13.65" customHeight="1">
      <c r="A676" t="s" s="27">
        <v>1294</v>
      </c>
      <c r="B676" t="s" s="13">
        <v>22</v>
      </c>
      <c r="C676" s="31">
        <v>45215</v>
      </c>
      <c r="D676" s="14">
        <v>1535.75</v>
      </c>
      <c r="E676" s="14">
        <v>1531.5</v>
      </c>
      <c r="F676" s="14">
        <v>1534.45</v>
      </c>
      <c r="G676" s="14">
        <v>1520.5</v>
      </c>
      <c r="H676" s="14">
        <v>1532</v>
      </c>
      <c r="I676" s="14">
        <v>1529.6</v>
      </c>
      <c r="J676" s="14">
        <v>1529.19</v>
      </c>
      <c r="K676" t="s" s="13">
        <v>3863</v>
      </c>
      <c r="L676" t="s" s="13">
        <v>3864</v>
      </c>
      <c r="M676" t="s" s="13">
        <v>3865</v>
      </c>
      <c r="N676" t="s" s="13">
        <v>3866</v>
      </c>
      <c r="O676" s="15">
        <v>59.73</v>
      </c>
      <c r="P676" s="30" cm="1">
        <f t="array" ref="P676">(I676-I675)/I675</f>
        <v>-0.0040045580335341</v>
      </c>
      <c r="Q676" s="15">
        <v>16136785</v>
      </c>
    </row>
    <row r="677" ht="13.65" customHeight="1">
      <c r="A677" t="s" s="27">
        <v>1294</v>
      </c>
      <c r="B677" t="s" s="13">
        <v>22</v>
      </c>
      <c r="C677" s="31">
        <v>45216</v>
      </c>
      <c r="D677" s="14">
        <v>1529.6</v>
      </c>
      <c r="E677" s="14">
        <v>1555.75</v>
      </c>
      <c r="F677" s="14">
        <v>1555.75</v>
      </c>
      <c r="G677" s="14">
        <v>1535</v>
      </c>
      <c r="H677" s="14">
        <v>1542.5</v>
      </c>
      <c r="I677" s="14">
        <v>1541.2</v>
      </c>
      <c r="J677" s="14">
        <v>1542.46</v>
      </c>
      <c r="K677" t="s" s="13">
        <v>3867</v>
      </c>
      <c r="L677" t="s" s="13">
        <v>3868</v>
      </c>
      <c r="M677" t="s" s="13">
        <v>3869</v>
      </c>
      <c r="N677" t="s" s="13">
        <v>3870</v>
      </c>
      <c r="O677" s="15">
        <v>60.25</v>
      </c>
      <c r="P677" s="30" cm="1">
        <f t="array" ref="P677">(I677-I676)/I676</f>
        <v>0.0075836820083682</v>
      </c>
      <c r="Q677" s="15">
        <v>10918635</v>
      </c>
    </row>
    <row r="678" ht="13.65" customHeight="1">
      <c r="A678" t="s" s="27">
        <v>1294</v>
      </c>
      <c r="B678" t="s" s="13">
        <v>22</v>
      </c>
      <c r="C678" s="31">
        <v>45217</v>
      </c>
      <c r="D678" s="14">
        <v>1541.2</v>
      </c>
      <c r="E678" s="14">
        <v>1541.2</v>
      </c>
      <c r="F678" s="14">
        <v>1541.2</v>
      </c>
      <c r="G678" s="14">
        <v>1518.1</v>
      </c>
      <c r="H678" s="14">
        <v>1519</v>
      </c>
      <c r="I678" s="14">
        <v>1519.75</v>
      </c>
      <c r="J678" s="14">
        <v>1524.62</v>
      </c>
      <c r="K678" t="s" s="13">
        <v>3871</v>
      </c>
      <c r="L678" t="s" s="13">
        <v>3872</v>
      </c>
      <c r="M678" t="s" s="13">
        <v>3873</v>
      </c>
      <c r="N678" t="s" s="13">
        <v>3874</v>
      </c>
      <c r="O678" s="15">
        <v>57.98</v>
      </c>
      <c r="P678" s="30" cm="1">
        <f t="array" ref="P678">(I678-I677)/I677</f>
        <v>-0.0139177264469245</v>
      </c>
      <c r="Q678" s="15">
        <v>12816683</v>
      </c>
    </row>
    <row r="679" ht="13.65" customHeight="1">
      <c r="A679" t="s" s="27">
        <v>1294</v>
      </c>
      <c r="B679" t="s" s="13">
        <v>22</v>
      </c>
      <c r="C679" s="31">
        <v>45218</v>
      </c>
      <c r="D679" s="14">
        <v>1519.75</v>
      </c>
      <c r="E679" s="14">
        <v>1505.4</v>
      </c>
      <c r="F679" s="14">
        <v>1526.25</v>
      </c>
      <c r="G679" s="14">
        <v>1503.2</v>
      </c>
      <c r="H679" s="14">
        <v>1514.5</v>
      </c>
      <c r="I679" s="14">
        <v>1514.95</v>
      </c>
      <c r="J679" s="14">
        <v>1516.62</v>
      </c>
      <c r="K679" t="s" s="13">
        <v>3875</v>
      </c>
      <c r="L679" t="s" s="13">
        <v>3876</v>
      </c>
      <c r="M679" t="s" s="13">
        <v>3877</v>
      </c>
      <c r="N679" t="s" s="13">
        <v>3878</v>
      </c>
      <c r="O679" s="15">
        <v>60.71</v>
      </c>
      <c r="P679" s="30" cm="1">
        <f t="array" ref="P679">(I679-I678)/I678</f>
        <v>-0.00315841421286396</v>
      </c>
      <c r="Q679" s="15">
        <v>26442020</v>
      </c>
    </row>
    <row r="680" ht="13.65" customHeight="1">
      <c r="A680" t="s" s="27">
        <v>1294</v>
      </c>
      <c r="B680" t="s" s="13">
        <v>22</v>
      </c>
      <c r="C680" s="31">
        <v>45219</v>
      </c>
      <c r="D680" s="14">
        <v>1514.95</v>
      </c>
      <c r="E680" s="14">
        <v>1505</v>
      </c>
      <c r="F680" s="14">
        <v>1527</v>
      </c>
      <c r="G680" s="14">
        <v>1505</v>
      </c>
      <c r="H680" s="14">
        <v>1523.4</v>
      </c>
      <c r="I680" s="14">
        <v>1522.8</v>
      </c>
      <c r="J680" s="14">
        <v>1519.35</v>
      </c>
      <c r="K680" t="s" s="13">
        <v>3879</v>
      </c>
      <c r="L680" t="s" s="13">
        <v>3880</v>
      </c>
      <c r="M680" t="s" s="13">
        <v>3881</v>
      </c>
      <c r="N680" t="s" s="13">
        <v>3882</v>
      </c>
      <c r="O680" s="15">
        <v>65.45</v>
      </c>
      <c r="P680" s="30" cm="1">
        <f t="array" ref="P680">(I680-I679)/I679</f>
        <v>0.0051816891646589</v>
      </c>
      <c r="Q680" s="15">
        <v>17068771</v>
      </c>
    </row>
    <row r="681" ht="13.65" customHeight="1">
      <c r="A681" t="s" s="27">
        <v>1294</v>
      </c>
      <c r="B681" t="s" s="13">
        <v>22</v>
      </c>
      <c r="C681" s="31">
        <v>45222</v>
      </c>
      <c r="D681" s="14">
        <v>1522.8</v>
      </c>
      <c r="E681" s="14">
        <v>1523.5</v>
      </c>
      <c r="F681" s="14">
        <v>1528.75</v>
      </c>
      <c r="G681" s="14">
        <v>1500.1</v>
      </c>
      <c r="H681" s="14">
        <v>1507</v>
      </c>
      <c r="I681" s="14">
        <v>1506.05</v>
      </c>
      <c r="J681" s="14">
        <v>1520.08</v>
      </c>
      <c r="K681" t="s" s="13">
        <v>3883</v>
      </c>
      <c r="L681" t="s" s="13">
        <v>3884</v>
      </c>
      <c r="M681" t="s" s="13">
        <v>3885</v>
      </c>
      <c r="N681" t="s" s="13">
        <v>3886</v>
      </c>
      <c r="O681" s="15">
        <v>56.89</v>
      </c>
      <c r="P681" s="30" cm="1">
        <f t="array" ref="P681">(I681-I680)/I680</f>
        <v>-0.0109994746519569</v>
      </c>
      <c r="Q681" s="15">
        <v>15652205</v>
      </c>
    </row>
    <row r="682" ht="13.65" customHeight="1">
      <c r="A682" t="s" s="27">
        <v>1294</v>
      </c>
      <c r="B682" t="s" s="13">
        <v>22</v>
      </c>
      <c r="C682" s="31">
        <v>45224</v>
      </c>
      <c r="D682" s="14">
        <v>1506.05</v>
      </c>
      <c r="E682" s="14">
        <v>1521</v>
      </c>
      <c r="F682" s="14">
        <v>1522.8</v>
      </c>
      <c r="G682" s="14">
        <v>1491.45</v>
      </c>
      <c r="H682" s="14">
        <v>1494.2</v>
      </c>
      <c r="I682" s="14">
        <v>1496.5</v>
      </c>
      <c r="J682" s="14">
        <v>1505.86</v>
      </c>
      <c r="K682" t="s" s="13">
        <v>3887</v>
      </c>
      <c r="L682" t="s" s="13">
        <v>3888</v>
      </c>
      <c r="M682" t="s" s="13">
        <v>3889</v>
      </c>
      <c r="N682" t="s" s="13">
        <v>3890</v>
      </c>
      <c r="O682" s="15">
        <v>71.19</v>
      </c>
      <c r="P682" s="30" cm="1">
        <f t="array" ref="P682">(I682-I681)/I681</f>
        <v>-0.00634109093323595</v>
      </c>
      <c r="Q682" s="15">
        <v>14112911</v>
      </c>
    </row>
    <row r="683" ht="13.65" customHeight="1">
      <c r="A683" t="s" s="27">
        <v>1294</v>
      </c>
      <c r="B683" t="s" s="13">
        <v>22</v>
      </c>
      <c r="C683" s="31">
        <v>45225</v>
      </c>
      <c r="D683" s="14">
        <v>1496.5</v>
      </c>
      <c r="E683" s="14">
        <v>1491.25</v>
      </c>
      <c r="F683" s="14">
        <v>1492</v>
      </c>
      <c r="G683" s="14">
        <v>1460.25</v>
      </c>
      <c r="H683" s="14">
        <v>1462.45</v>
      </c>
      <c r="I683" s="14">
        <v>1463.4</v>
      </c>
      <c r="J683" s="14">
        <v>1469.55</v>
      </c>
      <c r="K683" t="s" s="13">
        <v>3891</v>
      </c>
      <c r="L683" t="s" s="13">
        <v>3892</v>
      </c>
      <c r="M683" t="s" s="13">
        <v>3893</v>
      </c>
      <c r="N683" t="s" s="13">
        <v>3894</v>
      </c>
      <c r="O683" s="15">
        <v>58.93</v>
      </c>
      <c r="P683" s="30" cm="1">
        <f t="array" ref="P683">(I683-I682)/I682</f>
        <v>-0.0221182759772803</v>
      </c>
      <c r="Q683" s="15">
        <v>25390559</v>
      </c>
    </row>
    <row r="684" ht="13.65" customHeight="1">
      <c r="A684" t="s" s="27">
        <v>1294</v>
      </c>
      <c r="B684" t="s" s="13">
        <v>22</v>
      </c>
      <c r="C684" s="31">
        <v>45226</v>
      </c>
      <c r="D684" s="14">
        <v>1463.4</v>
      </c>
      <c r="E684" s="14">
        <v>1469.5</v>
      </c>
      <c r="F684" s="14">
        <v>1478</v>
      </c>
      <c r="G684" s="14">
        <v>1466.9</v>
      </c>
      <c r="H684" s="14">
        <v>1472.55</v>
      </c>
      <c r="I684" s="14">
        <v>1469.15</v>
      </c>
      <c r="J684" s="14">
        <v>1470.94</v>
      </c>
      <c r="K684" t="s" s="13">
        <v>3895</v>
      </c>
      <c r="L684" t="s" s="13">
        <v>3896</v>
      </c>
      <c r="M684" t="s" s="13">
        <v>3897</v>
      </c>
      <c r="N684" t="s" s="13">
        <v>3898</v>
      </c>
      <c r="O684" s="15">
        <v>69.63</v>
      </c>
      <c r="P684" s="30" cm="1">
        <f t="array" ref="P684">(I684-I683)/I683</f>
        <v>0.00392920595872625</v>
      </c>
      <c r="Q684" s="15">
        <v>16680618</v>
      </c>
    </row>
    <row r="685" ht="13.65" customHeight="1">
      <c r="A685" t="s" s="27">
        <v>1294</v>
      </c>
      <c r="B685" t="s" s="13">
        <v>22</v>
      </c>
      <c r="C685" s="31">
        <v>45229</v>
      </c>
      <c r="D685" s="14">
        <v>1469.15</v>
      </c>
      <c r="E685" s="14">
        <v>1463.25</v>
      </c>
      <c r="F685" s="14">
        <v>1489.95</v>
      </c>
      <c r="G685" s="14">
        <v>1461.9</v>
      </c>
      <c r="H685" s="14">
        <v>1487.85</v>
      </c>
      <c r="I685" s="14">
        <v>1485.1</v>
      </c>
      <c r="J685" s="14">
        <v>1479.49</v>
      </c>
      <c r="K685" t="s" s="13">
        <v>3899</v>
      </c>
      <c r="L685" t="s" s="13">
        <v>3900</v>
      </c>
      <c r="M685" t="s" s="13">
        <v>3901</v>
      </c>
      <c r="N685" t="s" s="13">
        <v>3902</v>
      </c>
      <c r="O685" s="15">
        <v>61.41</v>
      </c>
      <c r="P685" s="30" cm="1">
        <f t="array" ref="P685">(I685-I684)/I684</f>
        <v>0.0108566177721812</v>
      </c>
      <c r="Q685" s="15">
        <v>21886914</v>
      </c>
    </row>
    <row r="686" ht="13.65" customHeight="1">
      <c r="A686" t="s" s="27">
        <v>1294</v>
      </c>
      <c r="B686" t="s" s="13">
        <v>22</v>
      </c>
      <c r="C686" s="31">
        <v>45230</v>
      </c>
      <c r="D686" s="14">
        <v>1485.1</v>
      </c>
      <c r="E686" s="14">
        <v>1504</v>
      </c>
      <c r="F686" s="14">
        <v>1504</v>
      </c>
      <c r="G686" s="14">
        <v>1474</v>
      </c>
      <c r="H686" s="14">
        <v>1475</v>
      </c>
      <c r="I686" s="14">
        <v>1476.5</v>
      </c>
      <c r="J686" s="14">
        <v>1482.03</v>
      </c>
      <c r="K686" t="s" s="13">
        <v>3903</v>
      </c>
      <c r="L686" t="s" s="13">
        <v>3904</v>
      </c>
      <c r="M686" t="s" s="13">
        <v>3905</v>
      </c>
      <c r="N686" t="s" s="13">
        <v>3906</v>
      </c>
      <c r="O686" s="15">
        <v>45.05</v>
      </c>
      <c r="P686" s="30" cm="1">
        <f t="array" ref="P686">(I686-I685)/I685</f>
        <v>-0.00579085583462393</v>
      </c>
      <c r="Q686" s="15">
        <v>14150459</v>
      </c>
    </row>
    <row r="687" ht="13.65" customHeight="1">
      <c r="A687" t="s" s="27">
        <v>1294</v>
      </c>
      <c r="B687" t="s" s="13">
        <v>1323</v>
      </c>
      <c r="C687" s="28">
        <v>45231</v>
      </c>
      <c r="D687" s="14">
        <v>1650.5</v>
      </c>
      <c r="E687" s="14">
        <v>1476.5</v>
      </c>
      <c r="F687" s="14">
        <v>1476.5</v>
      </c>
      <c r="G687" s="14">
        <v>1476.5</v>
      </c>
      <c r="H687" s="14">
        <v>1476.5</v>
      </c>
      <c r="I687" s="14">
        <v>1476.5</v>
      </c>
      <c r="J687" s="14">
        <v>1476.5</v>
      </c>
      <c r="K687" s="34">
        <v>88838</v>
      </c>
      <c r="L687" t="s" s="13">
        <v>3907</v>
      </c>
      <c r="M687" s="15">
        <v>1</v>
      </c>
      <c r="N687" t="s" s="13">
        <v>1326</v>
      </c>
      <c r="O687" t="s" s="13">
        <v>1326</v>
      </c>
      <c r="P687" s="30" cm="1">
        <f t="array" ref="P687">(I687-I686)/I686</f>
        <v>0</v>
      </c>
      <c r="Q687" s="15">
        <v>18694152</v>
      </c>
    </row>
    <row r="688" ht="13.65" customHeight="1">
      <c r="A688" t="s" s="27">
        <v>1294</v>
      </c>
      <c r="B688" t="s" s="13">
        <v>22</v>
      </c>
      <c r="C688" s="28">
        <v>45231</v>
      </c>
      <c r="D688" s="14">
        <v>1476.5</v>
      </c>
      <c r="E688" s="14">
        <v>1462.25</v>
      </c>
      <c r="F688" s="14">
        <v>1477.45</v>
      </c>
      <c r="G688" s="14">
        <v>1462.25</v>
      </c>
      <c r="H688" s="14">
        <v>1477</v>
      </c>
      <c r="I688" s="14">
        <v>1474.5</v>
      </c>
      <c r="J688" s="14">
        <v>1469.2</v>
      </c>
      <c r="K688" t="s" s="13">
        <v>3908</v>
      </c>
      <c r="L688" t="s" s="13">
        <v>3909</v>
      </c>
      <c r="M688" t="s" s="13">
        <v>3910</v>
      </c>
      <c r="N688" t="s" s="13">
        <v>3911</v>
      </c>
      <c r="O688" s="15">
        <v>41.56</v>
      </c>
      <c r="P688" s="30" cm="1">
        <f t="array" ref="P688">(I688-I687)/I687</f>
        <v>-0.00135455469014561</v>
      </c>
      <c r="Q688" s="15">
        <v>28836973</v>
      </c>
    </row>
    <row r="689" ht="13.65" customHeight="1">
      <c r="A689" t="s" s="27">
        <v>1294</v>
      </c>
      <c r="B689" t="s" s="13">
        <v>22</v>
      </c>
      <c r="C689" s="28">
        <v>45232</v>
      </c>
      <c r="D689" s="14">
        <v>1474.5</v>
      </c>
      <c r="E689" s="14">
        <v>1485</v>
      </c>
      <c r="F689" s="14">
        <v>1490.5</v>
      </c>
      <c r="G689" s="14">
        <v>1467.15</v>
      </c>
      <c r="H689" s="14">
        <v>1478.7</v>
      </c>
      <c r="I689" s="14">
        <v>1476.75</v>
      </c>
      <c r="J689" s="14">
        <v>1472.27</v>
      </c>
      <c r="K689" t="s" s="13">
        <v>3912</v>
      </c>
      <c r="L689" t="s" s="13">
        <v>3913</v>
      </c>
      <c r="M689" t="s" s="13">
        <v>3914</v>
      </c>
      <c r="N689" t="s" s="13">
        <v>3915</v>
      </c>
      <c r="O689" s="15">
        <v>69.45999999999999</v>
      </c>
      <c r="P689" s="30" cm="1">
        <f t="array" ref="P689">(I689-I688)/I688</f>
        <v>0.00152594099694812</v>
      </c>
      <c r="Q689" s="15">
        <v>14058161</v>
      </c>
    </row>
    <row r="690" ht="13.65" customHeight="1">
      <c r="A690" t="s" s="27">
        <v>1294</v>
      </c>
      <c r="B690" t="s" s="13">
        <v>22</v>
      </c>
      <c r="C690" s="28">
        <v>45233</v>
      </c>
      <c r="D690" s="14">
        <v>1476.75</v>
      </c>
      <c r="E690" s="14">
        <v>1488</v>
      </c>
      <c r="F690" s="14">
        <v>1491.4</v>
      </c>
      <c r="G690" s="14">
        <v>1481.65</v>
      </c>
      <c r="H690" s="14">
        <v>1484.5</v>
      </c>
      <c r="I690" s="14">
        <v>1483.75</v>
      </c>
      <c r="J690" s="14">
        <v>1487.25</v>
      </c>
      <c r="K690" t="s" s="13">
        <v>3916</v>
      </c>
      <c r="L690" t="s" s="13">
        <v>3917</v>
      </c>
      <c r="M690" t="s" s="13">
        <v>3918</v>
      </c>
      <c r="N690" t="s" s="13">
        <v>3919</v>
      </c>
      <c r="O690" s="15">
        <v>65.52</v>
      </c>
      <c r="P690" s="30" cm="1">
        <f t="array" ref="P690">(I690-I689)/I689</f>
        <v>0.00474013881835111</v>
      </c>
      <c r="Q690" s="15">
        <v>17697094</v>
      </c>
    </row>
    <row r="691" ht="13.65" customHeight="1">
      <c r="A691" t="s" s="27">
        <v>1294</v>
      </c>
      <c r="B691" t="s" s="13">
        <v>22</v>
      </c>
      <c r="C691" s="28">
        <v>45236</v>
      </c>
      <c r="D691" s="14">
        <v>1483.75</v>
      </c>
      <c r="E691" s="14">
        <v>1498</v>
      </c>
      <c r="F691" s="14">
        <v>1498</v>
      </c>
      <c r="G691" s="14">
        <v>1483</v>
      </c>
      <c r="H691" s="14">
        <v>1493.8</v>
      </c>
      <c r="I691" s="14">
        <v>1494.5</v>
      </c>
      <c r="J691" s="14">
        <v>1488.25</v>
      </c>
      <c r="K691" t="s" s="13">
        <v>3920</v>
      </c>
      <c r="L691" t="s" s="13">
        <v>3921</v>
      </c>
      <c r="M691" t="s" s="13">
        <v>3922</v>
      </c>
      <c r="N691" t="s" s="13">
        <v>3923</v>
      </c>
      <c r="O691" s="15">
        <v>70.69</v>
      </c>
      <c r="P691" s="30" cm="1">
        <f t="array" ref="P691">(I691-I690)/I690</f>
        <v>0.00724515585509688</v>
      </c>
      <c r="Q691" s="15">
        <v>17282503</v>
      </c>
    </row>
    <row r="692" ht="13.65" customHeight="1">
      <c r="A692" t="s" s="27">
        <v>1294</v>
      </c>
      <c r="B692" t="s" s="13">
        <v>22</v>
      </c>
      <c r="C692" s="28">
        <v>45237</v>
      </c>
      <c r="D692" s="14">
        <v>1494.5</v>
      </c>
      <c r="E692" s="14">
        <v>1494</v>
      </c>
      <c r="F692" s="14">
        <v>1494</v>
      </c>
      <c r="G692" s="14">
        <v>1477.2</v>
      </c>
      <c r="H692" s="14">
        <v>1490</v>
      </c>
      <c r="I692" s="14">
        <v>1487.25</v>
      </c>
      <c r="J692" s="14">
        <v>1484.48</v>
      </c>
      <c r="K692" t="s" s="13">
        <v>3924</v>
      </c>
      <c r="L692" t="s" s="13">
        <v>3925</v>
      </c>
      <c r="M692" t="s" s="13">
        <v>3926</v>
      </c>
      <c r="N692" t="s" s="13">
        <v>3927</v>
      </c>
      <c r="O692" s="15">
        <v>44.56</v>
      </c>
      <c r="P692" s="30" cm="1">
        <f t="array" ref="P692">(I692-I691)/I691</f>
        <v>-0.00485112077617932</v>
      </c>
      <c r="Q692" s="15">
        <v>20507842</v>
      </c>
    </row>
    <row r="693" ht="13.65" customHeight="1">
      <c r="A693" t="s" s="27">
        <v>1294</v>
      </c>
      <c r="B693" t="s" s="13">
        <v>22</v>
      </c>
      <c r="C693" s="28">
        <v>45238</v>
      </c>
      <c r="D693" s="14">
        <v>1487.25</v>
      </c>
      <c r="E693" s="14">
        <v>1483.95</v>
      </c>
      <c r="F693" s="14">
        <v>1493.45</v>
      </c>
      <c r="G693" s="14">
        <v>1481</v>
      </c>
      <c r="H693" s="14">
        <v>1491.8</v>
      </c>
      <c r="I693" s="14">
        <v>1491.55</v>
      </c>
      <c r="J693" s="14">
        <v>1489.03</v>
      </c>
      <c r="K693" t="s" s="13">
        <v>3928</v>
      </c>
      <c r="L693" t="s" s="13">
        <v>3929</v>
      </c>
      <c r="M693" t="s" s="13">
        <v>3930</v>
      </c>
      <c r="N693" t="s" s="13">
        <v>3931</v>
      </c>
      <c r="O693" s="15">
        <v>38.61</v>
      </c>
      <c r="P693" s="30" cm="1">
        <f t="array" ref="P693">(I693-I692)/I692</f>
        <v>0.00289124222558413</v>
      </c>
      <c r="Q693" s="15">
        <v>29870651</v>
      </c>
    </row>
    <row r="694" ht="13.65" customHeight="1">
      <c r="A694" t="s" s="27">
        <v>1294</v>
      </c>
      <c r="B694" t="s" s="13">
        <v>22</v>
      </c>
      <c r="C694" s="28">
        <v>45239</v>
      </c>
      <c r="D694" s="14">
        <v>1491.55</v>
      </c>
      <c r="E694" s="14">
        <v>1486</v>
      </c>
      <c r="F694" s="14">
        <v>1492.6</v>
      </c>
      <c r="G694" s="14">
        <v>1483.5</v>
      </c>
      <c r="H694" s="14">
        <v>1486.5</v>
      </c>
      <c r="I694" s="14">
        <v>1485.65</v>
      </c>
      <c r="J694" s="14">
        <v>1487.69</v>
      </c>
      <c r="K694" t="s" s="13">
        <v>3932</v>
      </c>
      <c r="L694" t="s" s="13">
        <v>3933</v>
      </c>
      <c r="M694" t="s" s="13">
        <v>3934</v>
      </c>
      <c r="N694" t="s" s="13">
        <v>3935</v>
      </c>
      <c r="O694" s="15">
        <v>56.64</v>
      </c>
      <c r="P694" s="30" cm="1">
        <f t="array" ref="P694">(I694-I693)/I693</f>
        <v>-0.00395561664040763</v>
      </c>
      <c r="Q694" s="15">
        <v>12397179</v>
      </c>
    </row>
    <row r="695" ht="13.65" customHeight="1">
      <c r="A695" t="s" s="27">
        <v>1294</v>
      </c>
      <c r="B695" t="s" s="13">
        <v>22</v>
      </c>
      <c r="C695" s="31">
        <v>45240</v>
      </c>
      <c r="D695" s="14">
        <v>1485.65</v>
      </c>
      <c r="E695" s="14">
        <v>1480.1</v>
      </c>
      <c r="F695" s="14">
        <v>1496</v>
      </c>
      <c r="G695" s="14">
        <v>1480.05</v>
      </c>
      <c r="H695" s="14">
        <v>1495</v>
      </c>
      <c r="I695" s="14">
        <v>1491.5</v>
      </c>
      <c r="J695" s="14">
        <v>1486.67</v>
      </c>
      <c r="K695" t="s" s="13">
        <v>3936</v>
      </c>
      <c r="L695" t="s" s="13">
        <v>3937</v>
      </c>
      <c r="M695" t="s" s="13">
        <v>3938</v>
      </c>
      <c r="N695" t="s" s="13">
        <v>3939</v>
      </c>
      <c r="O695" s="15">
        <v>56</v>
      </c>
      <c r="P695" s="30" cm="1">
        <f t="array" ref="P695">(I695-I694)/I694</f>
        <v>0.00393767037996836</v>
      </c>
      <c r="Q695" s="15">
        <v>27996298</v>
      </c>
    </row>
    <row r="696" ht="13.65" customHeight="1">
      <c r="A696" t="s" s="27">
        <v>1294</v>
      </c>
      <c r="B696" t="s" s="13">
        <v>22</v>
      </c>
      <c r="C696" s="31">
        <v>45242</v>
      </c>
      <c r="D696" s="14">
        <v>1491.5</v>
      </c>
      <c r="E696" s="14">
        <v>1500</v>
      </c>
      <c r="F696" s="14">
        <v>1502</v>
      </c>
      <c r="G696" s="14">
        <v>1496.15</v>
      </c>
      <c r="H696" s="14">
        <v>1499</v>
      </c>
      <c r="I696" s="14">
        <v>1500</v>
      </c>
      <c r="J696" s="14">
        <v>1499.5</v>
      </c>
      <c r="K696" t="s" s="13">
        <v>3940</v>
      </c>
      <c r="L696" t="s" s="13">
        <v>3941</v>
      </c>
      <c r="M696" s="34">
        <v>85801</v>
      </c>
      <c r="N696" t="s" s="13">
        <v>3942</v>
      </c>
      <c r="O696" s="15">
        <v>39.1</v>
      </c>
      <c r="P696" s="30" cm="1">
        <f t="array" ref="P696">(I696-I695)/I695</f>
        <v>0.00569896077774053</v>
      </c>
      <c r="Q696" s="15">
        <v>16089722</v>
      </c>
    </row>
    <row r="697" ht="13.65" customHeight="1">
      <c r="A697" t="s" s="27">
        <v>1294</v>
      </c>
      <c r="B697" t="s" s="13">
        <v>22</v>
      </c>
      <c r="C697" s="31">
        <v>45243</v>
      </c>
      <c r="D697" s="14">
        <v>1500</v>
      </c>
      <c r="E697" s="14">
        <v>1492.1</v>
      </c>
      <c r="F697" s="14">
        <v>1495.95</v>
      </c>
      <c r="G697" s="14">
        <v>1485.9</v>
      </c>
      <c r="H697" s="14">
        <v>1489</v>
      </c>
      <c r="I697" s="14">
        <v>1488.8</v>
      </c>
      <c r="J697" s="14">
        <v>1490.72</v>
      </c>
      <c r="K697" t="s" s="13">
        <v>3943</v>
      </c>
      <c r="L697" t="s" s="13">
        <v>3944</v>
      </c>
      <c r="M697" t="s" s="13">
        <v>3945</v>
      </c>
      <c r="N697" t="s" s="13">
        <v>3946</v>
      </c>
      <c r="O697" s="15">
        <v>52.24</v>
      </c>
      <c r="P697" s="30" cm="1">
        <f t="array" ref="P697">(I697-I696)/I696</f>
        <v>-0.00746666666666667</v>
      </c>
      <c r="Q697" s="15">
        <v>21077124</v>
      </c>
    </row>
    <row r="698" ht="13.65" customHeight="1">
      <c r="A698" t="s" s="27">
        <v>1294</v>
      </c>
      <c r="B698" t="s" s="13">
        <v>22</v>
      </c>
      <c r="C698" s="31">
        <v>45245</v>
      </c>
      <c r="D698" s="14">
        <v>1488.8</v>
      </c>
      <c r="E698" s="14">
        <v>1504.1</v>
      </c>
      <c r="F698" s="14">
        <v>1510.95</v>
      </c>
      <c r="G698" s="14">
        <v>1500.55</v>
      </c>
      <c r="H698" s="14">
        <v>1504.8</v>
      </c>
      <c r="I698" s="14">
        <v>1504.4</v>
      </c>
      <c r="J698" s="14">
        <v>1505.7</v>
      </c>
      <c r="K698" t="s" s="13">
        <v>3947</v>
      </c>
      <c r="L698" t="s" s="13">
        <v>3948</v>
      </c>
      <c r="M698" t="s" s="13">
        <v>3949</v>
      </c>
      <c r="N698" t="s" s="13">
        <v>3950</v>
      </c>
      <c r="O698" s="15">
        <v>54.57</v>
      </c>
      <c r="P698" s="30" cm="1">
        <f t="array" ref="P698">(I698-I697)/I697</f>
        <v>0.0104782375067168</v>
      </c>
      <c r="Q698" s="15">
        <v>28105474</v>
      </c>
    </row>
    <row r="699" ht="13.65" customHeight="1">
      <c r="A699" t="s" s="27">
        <v>1294</v>
      </c>
      <c r="B699" t="s" s="13">
        <v>22</v>
      </c>
      <c r="C699" s="31">
        <v>45246</v>
      </c>
      <c r="D699" s="14">
        <v>1504.4</v>
      </c>
      <c r="E699" s="14">
        <v>1509.7</v>
      </c>
      <c r="F699" s="14">
        <v>1519</v>
      </c>
      <c r="G699" s="14">
        <v>1503.75</v>
      </c>
      <c r="H699" s="14">
        <v>1508</v>
      </c>
      <c r="I699" s="14">
        <v>1508.35</v>
      </c>
      <c r="J699" s="14">
        <v>1511.01</v>
      </c>
      <c r="K699" t="s" s="13">
        <v>3951</v>
      </c>
      <c r="L699" t="s" s="13">
        <v>3952</v>
      </c>
      <c r="M699" t="s" s="13">
        <v>3953</v>
      </c>
      <c r="N699" t="s" s="13">
        <v>3954</v>
      </c>
      <c r="O699" s="15">
        <v>62</v>
      </c>
      <c r="P699" s="30" cm="1">
        <f t="array" ref="P699">(I699-I698)/I698</f>
        <v>0.0026256314809891</v>
      </c>
      <c r="Q699" s="15">
        <v>16467567</v>
      </c>
    </row>
    <row r="700" ht="13.65" customHeight="1">
      <c r="A700" t="s" s="27">
        <v>1294</v>
      </c>
      <c r="B700" t="s" s="13">
        <v>22</v>
      </c>
      <c r="C700" s="31">
        <v>45247</v>
      </c>
      <c r="D700" s="14">
        <v>1508.35</v>
      </c>
      <c r="E700" s="14">
        <v>1490</v>
      </c>
      <c r="F700" s="14">
        <v>1507.5</v>
      </c>
      <c r="G700" s="14">
        <v>1489</v>
      </c>
      <c r="H700" s="14">
        <v>1505</v>
      </c>
      <c r="I700" s="14">
        <v>1505.1</v>
      </c>
      <c r="J700" s="14">
        <v>1502.48</v>
      </c>
      <c r="K700" t="s" s="13">
        <v>3955</v>
      </c>
      <c r="L700" t="s" s="13">
        <v>3956</v>
      </c>
      <c r="M700" t="s" s="13">
        <v>3957</v>
      </c>
      <c r="N700" t="s" s="13">
        <v>3958</v>
      </c>
      <c r="O700" s="15">
        <v>66.86</v>
      </c>
      <c r="P700" s="30" cm="1">
        <f t="array" ref="P700">(I700-I699)/I699</f>
        <v>-0.00215467232406272</v>
      </c>
      <c r="Q700" s="15">
        <v>40538409</v>
      </c>
    </row>
    <row r="701" ht="13.65" customHeight="1">
      <c r="A701" t="s" s="27">
        <v>1294</v>
      </c>
      <c r="B701" t="s" s="13">
        <v>22</v>
      </c>
      <c r="C701" s="31">
        <v>45250</v>
      </c>
      <c r="D701" s="14">
        <v>1505.1</v>
      </c>
      <c r="E701" s="14">
        <v>1513</v>
      </c>
      <c r="F701" s="14">
        <v>1513</v>
      </c>
      <c r="G701" s="14">
        <v>1501.55</v>
      </c>
      <c r="H701" s="14">
        <v>1505.9</v>
      </c>
      <c r="I701" s="14">
        <v>1505.2</v>
      </c>
      <c r="J701" s="14">
        <v>1505.46</v>
      </c>
      <c r="K701" t="s" s="13">
        <v>3959</v>
      </c>
      <c r="L701" t="s" s="13">
        <v>3960</v>
      </c>
      <c r="M701" t="s" s="13">
        <v>3961</v>
      </c>
      <c r="N701" t="s" s="13">
        <v>3962</v>
      </c>
      <c r="O701" s="15">
        <v>59</v>
      </c>
      <c r="P701" s="30" cm="1">
        <f t="array" ref="P701">(I701-I700)/I700</f>
        <v>6.64407680552787e-05</v>
      </c>
      <c r="Q701" s="15">
        <v>24626464</v>
      </c>
    </row>
    <row r="702" ht="13.65" customHeight="1">
      <c r="A702" t="s" s="27">
        <v>1294</v>
      </c>
      <c r="B702" t="s" s="13">
        <v>22</v>
      </c>
      <c r="C702" s="31">
        <v>45251</v>
      </c>
      <c r="D702" s="14">
        <v>1505.2</v>
      </c>
      <c r="E702" s="14">
        <v>1519</v>
      </c>
      <c r="F702" s="14">
        <v>1522</v>
      </c>
      <c r="G702" s="14">
        <v>1512.1</v>
      </c>
      <c r="H702" s="14">
        <v>1518.25</v>
      </c>
      <c r="I702" s="14">
        <v>1517.95</v>
      </c>
      <c r="J702" s="14">
        <v>1517.79</v>
      </c>
      <c r="K702" t="s" s="13">
        <v>3963</v>
      </c>
      <c r="L702" t="s" s="13">
        <v>3964</v>
      </c>
      <c r="M702" t="s" s="13">
        <v>3965</v>
      </c>
      <c r="N702" t="s" s="13">
        <v>3966</v>
      </c>
      <c r="O702" s="15">
        <v>60.55</v>
      </c>
      <c r="P702" s="30" cm="1">
        <f t="array" ref="P702">(I702-I701)/I701</f>
        <v>0.008470635131543979</v>
      </c>
      <c r="Q702" s="15">
        <v>12363607</v>
      </c>
    </row>
    <row r="703" ht="13.65" customHeight="1">
      <c r="A703" t="s" s="27">
        <v>1294</v>
      </c>
      <c r="B703" t="s" s="13">
        <v>22</v>
      </c>
      <c r="C703" s="31">
        <v>45252</v>
      </c>
      <c r="D703" s="14">
        <v>1517.95</v>
      </c>
      <c r="E703" s="14">
        <v>1520</v>
      </c>
      <c r="F703" s="14">
        <v>1520</v>
      </c>
      <c r="G703" s="14">
        <v>1503.55</v>
      </c>
      <c r="H703" s="14">
        <v>1512.9</v>
      </c>
      <c r="I703" s="14">
        <v>1512.55</v>
      </c>
      <c r="J703" s="14">
        <v>1513.24</v>
      </c>
      <c r="K703" t="s" s="13">
        <v>3967</v>
      </c>
      <c r="L703" t="s" s="13">
        <v>3968</v>
      </c>
      <c r="M703" t="s" s="13">
        <v>3969</v>
      </c>
      <c r="N703" t="s" s="13">
        <v>3970</v>
      </c>
      <c r="O703" s="15">
        <v>34.28</v>
      </c>
      <c r="P703" s="30" cm="1">
        <f t="array" ref="P703">(I703-I702)/I702</f>
        <v>-0.00355742942784677</v>
      </c>
      <c r="Q703" s="15">
        <v>20956773</v>
      </c>
    </row>
    <row r="704" ht="13.65" customHeight="1">
      <c r="A704" t="s" s="27">
        <v>1294</v>
      </c>
      <c r="B704" t="s" s="13">
        <v>22</v>
      </c>
      <c r="C704" s="31">
        <v>45253</v>
      </c>
      <c r="D704" s="14">
        <v>1512.55</v>
      </c>
      <c r="E704" s="14">
        <v>1508.5</v>
      </c>
      <c r="F704" s="14">
        <v>1523.85</v>
      </c>
      <c r="G704" s="14">
        <v>1508.5</v>
      </c>
      <c r="H704" s="14">
        <v>1521.7</v>
      </c>
      <c r="I704" s="14">
        <v>1521.3</v>
      </c>
      <c r="J704" s="14">
        <v>1519.21</v>
      </c>
      <c r="K704" t="s" s="13">
        <v>3971</v>
      </c>
      <c r="L704" t="s" s="13">
        <v>3972</v>
      </c>
      <c r="M704" t="s" s="13">
        <v>3973</v>
      </c>
      <c r="N704" t="s" s="13">
        <v>3974</v>
      </c>
      <c r="O704" s="15">
        <v>58.79</v>
      </c>
      <c r="P704" s="30" cm="1">
        <f t="array" ref="P704">(I704-I703)/I703</f>
        <v>0.00578493272949655</v>
      </c>
      <c r="Q704" s="15">
        <v>35479179</v>
      </c>
    </row>
    <row r="705" ht="13.65" customHeight="1">
      <c r="A705" t="s" s="27">
        <v>1294</v>
      </c>
      <c r="B705" t="s" s="13">
        <v>22</v>
      </c>
      <c r="C705" s="31">
        <v>45254</v>
      </c>
      <c r="D705" s="14">
        <v>1521.3</v>
      </c>
      <c r="E705" s="14">
        <v>1521.2</v>
      </c>
      <c r="F705" s="14">
        <v>1533.15</v>
      </c>
      <c r="G705" s="14">
        <v>1519.85</v>
      </c>
      <c r="H705" s="14">
        <v>1531.4</v>
      </c>
      <c r="I705" s="14">
        <v>1532.1</v>
      </c>
      <c r="J705" s="14">
        <v>1529.01</v>
      </c>
      <c r="K705" t="s" s="13">
        <v>3975</v>
      </c>
      <c r="L705" t="s" s="13">
        <v>3976</v>
      </c>
      <c r="M705" t="s" s="13">
        <v>3977</v>
      </c>
      <c r="N705" t="s" s="13">
        <v>3978</v>
      </c>
      <c r="O705" s="15">
        <v>70.08</v>
      </c>
      <c r="P705" s="30" cm="1">
        <f t="array" ref="P705">(I705-I704)/I704</f>
        <v>0.00709919148097022</v>
      </c>
      <c r="Q705" s="15">
        <v>25335213</v>
      </c>
    </row>
    <row r="706" ht="13.65" customHeight="1">
      <c r="A706" t="s" s="27">
        <v>1294</v>
      </c>
      <c r="B706" t="s" s="13">
        <v>22</v>
      </c>
      <c r="C706" s="31">
        <v>45258</v>
      </c>
      <c r="D706" s="14">
        <v>1532.1</v>
      </c>
      <c r="E706" s="14">
        <v>1535.2</v>
      </c>
      <c r="F706" s="14">
        <v>1537.25</v>
      </c>
      <c r="G706" s="14">
        <v>1525.8</v>
      </c>
      <c r="H706" s="14">
        <v>1530.95</v>
      </c>
      <c r="I706" s="14">
        <v>1528.65</v>
      </c>
      <c r="J706" s="14">
        <v>1531.88</v>
      </c>
      <c r="K706" t="s" s="13">
        <v>3979</v>
      </c>
      <c r="L706" t="s" s="13">
        <v>3980</v>
      </c>
      <c r="M706" t="s" s="13">
        <v>3981</v>
      </c>
      <c r="N706" t="s" s="13">
        <v>3982</v>
      </c>
      <c r="O706" s="15">
        <v>72.83</v>
      </c>
      <c r="P706" s="30" cm="1">
        <f t="array" ref="P706">(I706-I705)/I705</f>
        <v>-0.00225181123947523</v>
      </c>
      <c r="Q706" s="15">
        <v>19199221</v>
      </c>
    </row>
    <row r="707" ht="13.65" customHeight="1">
      <c r="A707" t="s" s="27">
        <v>1294</v>
      </c>
      <c r="B707" t="s" s="13">
        <v>22</v>
      </c>
      <c r="C707" s="31">
        <v>45259</v>
      </c>
      <c r="D707" s="14">
        <v>1528.65</v>
      </c>
      <c r="E707" s="14">
        <v>1533.9</v>
      </c>
      <c r="F707" s="14">
        <v>1563</v>
      </c>
      <c r="G707" s="14">
        <v>1533</v>
      </c>
      <c r="H707" s="14">
        <v>1560.3</v>
      </c>
      <c r="I707" s="14">
        <v>1559.15</v>
      </c>
      <c r="J707" s="14">
        <v>1547.46</v>
      </c>
      <c r="K707" t="s" s="13">
        <v>3983</v>
      </c>
      <c r="L707" t="s" s="13">
        <v>3984</v>
      </c>
      <c r="M707" t="s" s="13">
        <v>3985</v>
      </c>
      <c r="N707" t="s" s="13">
        <v>3986</v>
      </c>
      <c r="O707" s="15">
        <v>73.87</v>
      </c>
      <c r="P707" s="30" cm="1">
        <f t="array" ref="P707">(I707-I706)/I706</f>
        <v>0.0199522454453276</v>
      </c>
      <c r="Q707" s="15">
        <v>9963168</v>
      </c>
    </row>
    <row r="708" ht="13.65" customHeight="1">
      <c r="A708" t="s" s="27">
        <v>1294</v>
      </c>
      <c r="B708" t="s" s="13">
        <v>22</v>
      </c>
      <c r="C708" s="31">
        <v>45260</v>
      </c>
      <c r="D708" s="14">
        <v>1559.15</v>
      </c>
      <c r="E708" s="14">
        <v>1569.15</v>
      </c>
      <c r="F708" s="14">
        <v>1572.45</v>
      </c>
      <c r="G708" s="14">
        <v>1542.15</v>
      </c>
      <c r="H708" s="14">
        <v>1556.6</v>
      </c>
      <c r="I708" s="14">
        <v>1558.8</v>
      </c>
      <c r="J708" s="14">
        <v>1555.55</v>
      </c>
      <c r="K708" t="s" s="13">
        <v>3987</v>
      </c>
      <c r="L708" t="s" s="13">
        <v>3988</v>
      </c>
      <c r="M708" t="s" s="13">
        <v>3989</v>
      </c>
      <c r="N708" t="s" s="13">
        <v>3990</v>
      </c>
      <c r="O708" s="15">
        <v>69.44</v>
      </c>
      <c r="P708" s="30" cm="1">
        <f t="array" ref="P708">(I708-I707)/I707</f>
        <v>-0.000224481287881217</v>
      </c>
      <c r="Q708" s="15">
        <v>26078272</v>
      </c>
    </row>
    <row r="709" ht="13.65" customHeight="1">
      <c r="A709" t="s" s="27">
        <v>1294</v>
      </c>
      <c r="B709" t="s" s="13">
        <v>22</v>
      </c>
      <c r="C709" s="28">
        <v>45261</v>
      </c>
      <c r="D709" s="14">
        <v>1558.8</v>
      </c>
      <c r="E709" s="14">
        <v>1557.9</v>
      </c>
      <c r="F709" s="14">
        <v>1565.75</v>
      </c>
      <c r="G709" s="14">
        <v>1552.1</v>
      </c>
      <c r="H709" s="14">
        <v>1552.35</v>
      </c>
      <c r="I709" s="14">
        <v>1555.4</v>
      </c>
      <c r="J709" s="14">
        <v>1559.16</v>
      </c>
      <c r="K709" t="s" s="13">
        <v>3991</v>
      </c>
      <c r="L709" t="s" s="13">
        <v>3992</v>
      </c>
      <c r="M709" t="s" s="13">
        <v>3993</v>
      </c>
      <c r="N709" t="s" s="13">
        <v>3994</v>
      </c>
      <c r="O709" s="15">
        <v>70.56999999999999</v>
      </c>
      <c r="P709" s="30" cm="1">
        <f t="array" ref="P709">(I709-I708)/I708</f>
        <v>-0.00218116499871696</v>
      </c>
      <c r="Q709" s="15">
        <v>18582877</v>
      </c>
    </row>
    <row r="710" ht="13.65" customHeight="1">
      <c r="A710" t="s" s="27">
        <v>1294</v>
      </c>
      <c r="B710" t="s" s="13">
        <v>22</v>
      </c>
      <c r="C710" s="28">
        <v>45264</v>
      </c>
      <c r="D710" s="14">
        <v>1555.4</v>
      </c>
      <c r="E710" s="14">
        <v>1588</v>
      </c>
      <c r="F710" s="14">
        <v>1612</v>
      </c>
      <c r="G710" s="14">
        <v>1573.65</v>
      </c>
      <c r="H710" s="14">
        <v>1609.15</v>
      </c>
      <c r="I710" s="14">
        <v>1609.4</v>
      </c>
      <c r="J710" s="14">
        <v>1592.26</v>
      </c>
      <c r="K710" t="s" s="13">
        <v>3995</v>
      </c>
      <c r="L710" t="s" s="13">
        <v>3996</v>
      </c>
      <c r="M710" t="s" s="13">
        <v>3997</v>
      </c>
      <c r="N710" t="s" s="13">
        <v>3998</v>
      </c>
      <c r="O710" s="15">
        <v>74.98</v>
      </c>
      <c r="P710" s="30" cm="1">
        <f t="array" ref="P710">(I710-I709)/I709</f>
        <v>0.0347177574900347</v>
      </c>
      <c r="Q710" s="15">
        <v>19397594</v>
      </c>
    </row>
    <row r="711" ht="13.65" customHeight="1">
      <c r="A711" t="s" s="27">
        <v>1294</v>
      </c>
      <c r="B711" t="s" s="13">
        <v>22</v>
      </c>
      <c r="C711" s="28">
        <v>45265</v>
      </c>
      <c r="D711" s="14">
        <v>1609.4</v>
      </c>
      <c r="E711" s="14">
        <v>1636.5</v>
      </c>
      <c r="F711" s="14">
        <v>1639</v>
      </c>
      <c r="G711" s="14">
        <v>1616.5</v>
      </c>
      <c r="H711" s="14">
        <v>1622</v>
      </c>
      <c r="I711" s="14">
        <v>1623.7</v>
      </c>
      <c r="J711" s="14">
        <v>1626.07</v>
      </c>
      <c r="K711" t="s" s="13">
        <v>3999</v>
      </c>
      <c r="L711" t="s" s="13">
        <v>4000</v>
      </c>
      <c r="M711" t="s" s="13">
        <v>4001</v>
      </c>
      <c r="N711" t="s" s="13">
        <v>4002</v>
      </c>
      <c r="O711" s="15">
        <v>58.02</v>
      </c>
      <c r="P711" s="30" cm="1">
        <f t="array" ref="P711">(I711-I710)/I710</f>
        <v>0.008885298869143779</v>
      </c>
      <c r="Q711" s="15">
        <v>22052058</v>
      </c>
    </row>
    <row r="712" ht="13.65" customHeight="1">
      <c r="A712" t="s" s="27">
        <v>1294</v>
      </c>
      <c r="B712" t="s" s="13">
        <v>22</v>
      </c>
      <c r="C712" s="28">
        <v>45266</v>
      </c>
      <c r="D712" s="14">
        <v>1623.7</v>
      </c>
      <c r="E712" s="14">
        <v>1638.45</v>
      </c>
      <c r="F712" s="14">
        <v>1638.45</v>
      </c>
      <c r="G712" s="14">
        <v>1616.65</v>
      </c>
      <c r="H712" s="14">
        <v>1626.3</v>
      </c>
      <c r="I712" s="14">
        <v>1627.8</v>
      </c>
      <c r="J712" s="14">
        <v>1627.41</v>
      </c>
      <c r="K712" t="s" s="13">
        <v>4003</v>
      </c>
      <c r="L712" t="s" s="13">
        <v>4004</v>
      </c>
      <c r="M712" t="s" s="13">
        <v>4005</v>
      </c>
      <c r="N712" t="s" s="13">
        <v>4006</v>
      </c>
      <c r="O712" s="15">
        <v>58.05</v>
      </c>
      <c r="P712" s="30" cm="1">
        <f t="array" ref="P712">(I712-I711)/I711</f>
        <v>0.00252509700067747</v>
      </c>
      <c r="Q712" s="15">
        <v>20349508</v>
      </c>
    </row>
    <row r="713" ht="13.65" customHeight="1">
      <c r="A713" t="s" s="27">
        <v>1294</v>
      </c>
      <c r="B713" t="s" s="13">
        <v>22</v>
      </c>
      <c r="C713" s="28">
        <v>45267</v>
      </c>
      <c r="D713" s="14">
        <v>1627.8</v>
      </c>
      <c r="E713" s="14">
        <v>1625</v>
      </c>
      <c r="F713" s="14">
        <v>1634</v>
      </c>
      <c r="G713" s="14">
        <v>1616.2</v>
      </c>
      <c r="H713" s="14">
        <v>1630.5</v>
      </c>
      <c r="I713" s="14">
        <v>1630.45</v>
      </c>
      <c r="J713" s="14">
        <v>1628.48</v>
      </c>
      <c r="K713" t="s" s="13">
        <v>4007</v>
      </c>
      <c r="L713" t="s" s="13">
        <v>4008</v>
      </c>
      <c r="M713" t="s" s="13">
        <v>4009</v>
      </c>
      <c r="N713" t="s" s="13">
        <v>4010</v>
      </c>
      <c r="O713" s="15">
        <v>68.39</v>
      </c>
      <c r="P713" s="30" cm="1">
        <f t="array" ref="P713">(I713-I712)/I712</f>
        <v>0.00162796412335668</v>
      </c>
      <c r="Q713" s="15">
        <v>29781475</v>
      </c>
    </row>
    <row r="714" ht="13.65" customHeight="1">
      <c r="A714" t="s" s="27">
        <v>1294</v>
      </c>
      <c r="B714" t="s" s="13">
        <v>22</v>
      </c>
      <c r="C714" s="28">
        <v>45268</v>
      </c>
      <c r="D714" s="14">
        <v>1630.45</v>
      </c>
      <c r="E714" s="14">
        <v>1630.45</v>
      </c>
      <c r="F714" s="14">
        <v>1655</v>
      </c>
      <c r="G714" s="14">
        <v>1630.45</v>
      </c>
      <c r="H714" s="14">
        <v>1653</v>
      </c>
      <c r="I714" s="14">
        <v>1653.2</v>
      </c>
      <c r="J714" s="14">
        <v>1648.92</v>
      </c>
      <c r="K714" t="s" s="13">
        <v>4011</v>
      </c>
      <c r="L714" t="s" s="13">
        <v>4012</v>
      </c>
      <c r="M714" t="s" s="13">
        <v>4013</v>
      </c>
      <c r="N714" t="s" s="13">
        <v>4014</v>
      </c>
      <c r="O714" s="15">
        <v>74.14</v>
      </c>
      <c r="P714" s="30" cm="1">
        <f t="array" ref="P714">(I714-I713)/I713</f>
        <v>0.0139532031034377</v>
      </c>
      <c r="Q714" s="15">
        <v>16915932</v>
      </c>
    </row>
    <row r="715" ht="13.65" customHeight="1">
      <c r="A715" t="s" s="27">
        <v>1294</v>
      </c>
      <c r="B715" t="s" s="13">
        <v>22</v>
      </c>
      <c r="C715" s="31">
        <v>45271</v>
      </c>
      <c r="D715" s="14">
        <v>1653.2</v>
      </c>
      <c r="E715" s="14">
        <v>1650.05</v>
      </c>
      <c r="F715" s="14">
        <v>1663.7</v>
      </c>
      <c r="G715" s="14">
        <v>1647</v>
      </c>
      <c r="H715" s="14">
        <v>1650</v>
      </c>
      <c r="I715" s="14">
        <v>1651</v>
      </c>
      <c r="J715" s="14">
        <v>1653</v>
      </c>
      <c r="K715" t="s" s="13">
        <v>4015</v>
      </c>
      <c r="L715" t="s" s="13">
        <v>4016</v>
      </c>
      <c r="M715" t="s" s="13">
        <v>4017</v>
      </c>
      <c r="N715" t="s" s="13">
        <v>4018</v>
      </c>
      <c r="O715" s="15">
        <v>69.83</v>
      </c>
      <c r="P715" s="30" cm="1">
        <f t="array" ref="P715">(I715-I714)/I714</f>
        <v>-0.00133075248003871</v>
      </c>
      <c r="Q715" s="15">
        <v>8065157</v>
      </c>
    </row>
    <row r="716" ht="13.65" customHeight="1">
      <c r="A716" t="s" s="27">
        <v>1294</v>
      </c>
      <c r="B716" t="s" s="13">
        <v>22</v>
      </c>
      <c r="C716" s="31">
        <v>45272</v>
      </c>
      <c r="D716" s="14">
        <v>1651</v>
      </c>
      <c r="E716" s="14">
        <v>1654.2</v>
      </c>
      <c r="F716" s="14">
        <v>1656.25</v>
      </c>
      <c r="G716" s="14">
        <v>1631.85</v>
      </c>
      <c r="H716" s="14">
        <v>1634.45</v>
      </c>
      <c r="I716" s="14">
        <v>1634.6</v>
      </c>
      <c r="J716" s="14">
        <v>1645.41</v>
      </c>
      <c r="K716" t="s" s="13">
        <v>4019</v>
      </c>
      <c r="L716" t="s" s="13">
        <v>4020</v>
      </c>
      <c r="M716" t="s" s="13">
        <v>4021</v>
      </c>
      <c r="N716" t="s" s="13">
        <v>4022</v>
      </c>
      <c r="O716" s="15">
        <v>68.59999999999999</v>
      </c>
      <c r="P716" s="30" cm="1">
        <f t="array" ref="P716">(I716-I715)/I715</f>
        <v>-0.00993337371290127</v>
      </c>
      <c r="Q716" s="15">
        <v>10669609</v>
      </c>
    </row>
    <row r="717" ht="13.65" customHeight="1">
      <c r="A717" t="s" s="27">
        <v>1294</v>
      </c>
      <c r="B717" t="s" s="13">
        <v>22</v>
      </c>
      <c r="C717" s="31">
        <v>45273</v>
      </c>
      <c r="D717" s="14">
        <v>1634.6</v>
      </c>
      <c r="E717" s="14">
        <v>1632.45</v>
      </c>
      <c r="F717" s="14">
        <v>1636</v>
      </c>
      <c r="G717" s="14">
        <v>1615.1</v>
      </c>
      <c r="H717" s="14">
        <v>1633.8</v>
      </c>
      <c r="I717" s="14">
        <v>1630.9</v>
      </c>
      <c r="J717" s="14">
        <v>1628.14</v>
      </c>
      <c r="K717" t="s" s="13">
        <v>4023</v>
      </c>
      <c r="L717" t="s" s="13">
        <v>4024</v>
      </c>
      <c r="M717" t="s" s="13">
        <v>4025</v>
      </c>
      <c r="N717" t="s" s="13">
        <v>4026</v>
      </c>
      <c r="O717" s="15">
        <v>54.02</v>
      </c>
      <c r="P717" s="30" cm="1">
        <f t="array" ref="P717">(I717-I716)/I716</f>
        <v>-0.00226355071577144</v>
      </c>
      <c r="Q717" s="15">
        <v>28298070</v>
      </c>
    </row>
    <row r="718" ht="13.65" customHeight="1">
      <c r="A718" t="s" s="27">
        <v>1294</v>
      </c>
      <c r="B718" t="s" s="13">
        <v>22</v>
      </c>
      <c r="C718" s="31">
        <v>45274</v>
      </c>
      <c r="D718" s="14">
        <v>1630.9</v>
      </c>
      <c r="E718" s="14">
        <v>1646</v>
      </c>
      <c r="F718" s="14">
        <v>1658.95</v>
      </c>
      <c r="G718" s="14">
        <v>1645</v>
      </c>
      <c r="H718" s="14">
        <v>1650.45</v>
      </c>
      <c r="I718" s="14">
        <v>1650.15</v>
      </c>
      <c r="J718" s="14">
        <v>1651.03</v>
      </c>
      <c r="K718" t="s" s="13">
        <v>4027</v>
      </c>
      <c r="L718" t="s" s="13">
        <v>4028</v>
      </c>
      <c r="M718" t="s" s="13">
        <v>4029</v>
      </c>
      <c r="N718" t="s" s="13">
        <v>4030</v>
      </c>
      <c r="O718" s="15">
        <v>70.52</v>
      </c>
      <c r="P718" s="30" cm="1">
        <f t="array" ref="P718">(I718-I717)/I717</f>
        <v>0.011803298792078</v>
      </c>
      <c r="Q718" s="15">
        <v>12154473</v>
      </c>
    </row>
    <row r="719" ht="13.65" customHeight="1">
      <c r="A719" t="s" s="27">
        <v>1294</v>
      </c>
      <c r="B719" t="s" s="13">
        <v>22</v>
      </c>
      <c r="C719" s="31">
        <v>45275</v>
      </c>
      <c r="D719" s="14">
        <v>1650.15</v>
      </c>
      <c r="E719" s="14">
        <v>1650</v>
      </c>
      <c r="F719" s="14">
        <v>1668</v>
      </c>
      <c r="G719" s="14">
        <v>1646.6</v>
      </c>
      <c r="H719" s="14">
        <v>1656.05</v>
      </c>
      <c r="I719" s="14">
        <v>1656.55</v>
      </c>
      <c r="J719" s="14">
        <v>1655.35</v>
      </c>
      <c r="K719" t="s" s="13">
        <v>4031</v>
      </c>
      <c r="L719" t="s" s="13">
        <v>4032</v>
      </c>
      <c r="M719" t="s" s="13">
        <v>4033</v>
      </c>
      <c r="N719" t="s" s="13">
        <v>4034</v>
      </c>
      <c r="O719" s="15">
        <v>71.41</v>
      </c>
      <c r="P719" s="30" cm="1">
        <f t="array" ref="P719">(I719-I718)/I718</f>
        <v>0.00387843529376117</v>
      </c>
      <c r="Q719" s="15">
        <v>10002813</v>
      </c>
    </row>
    <row r="720" ht="13.65" customHeight="1">
      <c r="A720" t="s" s="27">
        <v>1294</v>
      </c>
      <c r="B720" t="s" s="13">
        <v>22</v>
      </c>
      <c r="C720" s="31">
        <v>45278</v>
      </c>
      <c r="D720" s="14">
        <v>1656.55</v>
      </c>
      <c r="E720" s="14">
        <v>1660.7</v>
      </c>
      <c r="F720" s="14">
        <v>1664.7</v>
      </c>
      <c r="G720" s="14">
        <v>1650.95</v>
      </c>
      <c r="H720" s="14">
        <v>1652.5</v>
      </c>
      <c r="I720" s="14">
        <v>1655.7</v>
      </c>
      <c r="J720" s="14">
        <v>1657.78</v>
      </c>
      <c r="K720" t="s" s="13">
        <v>4035</v>
      </c>
      <c r="L720" t="s" s="13">
        <v>4036</v>
      </c>
      <c r="M720" t="s" s="13">
        <v>4037</v>
      </c>
      <c r="N720" t="s" s="13">
        <v>4038</v>
      </c>
      <c r="O720" s="15">
        <v>63.61</v>
      </c>
      <c r="P720" s="30" cm="1">
        <f t="array" ref="P720">(I720-I719)/I719</f>
        <v>-0.000513114605656334</v>
      </c>
      <c r="Q720" s="15">
        <v>12414573</v>
      </c>
    </row>
    <row r="721" ht="13.65" customHeight="1">
      <c r="A721" t="s" s="27">
        <v>1294</v>
      </c>
      <c r="B721" t="s" s="13">
        <v>22</v>
      </c>
      <c r="C721" s="31">
        <v>45279</v>
      </c>
      <c r="D721" s="14">
        <v>1655.7</v>
      </c>
      <c r="E721" s="14">
        <v>1650</v>
      </c>
      <c r="F721" s="14">
        <v>1658.65</v>
      </c>
      <c r="G721" s="14">
        <v>1644.05</v>
      </c>
      <c r="H721" s="14">
        <v>1650.5</v>
      </c>
      <c r="I721" s="14">
        <v>1652.9</v>
      </c>
      <c r="J721" s="14">
        <v>1651.23</v>
      </c>
      <c r="K721" t="s" s="13">
        <v>4039</v>
      </c>
      <c r="L721" t="s" s="13">
        <v>4040</v>
      </c>
      <c r="M721" t="s" s="13">
        <v>4041</v>
      </c>
      <c r="N721" t="s" s="13">
        <v>4042</v>
      </c>
      <c r="O721" s="15">
        <v>57.16</v>
      </c>
      <c r="P721" s="30" cm="1">
        <f t="array" ref="P721">(I721-I720)/I720</f>
        <v>-0.00169112761973788</v>
      </c>
      <c r="Q721" s="15">
        <v>7889636</v>
      </c>
    </row>
    <row r="722" ht="13.65" customHeight="1">
      <c r="A722" t="s" s="27">
        <v>1294</v>
      </c>
      <c r="B722" t="s" s="13">
        <v>22</v>
      </c>
      <c r="C722" s="31">
        <v>45280</v>
      </c>
      <c r="D722" s="14">
        <v>1652.9</v>
      </c>
      <c r="E722" s="14">
        <v>1658</v>
      </c>
      <c r="F722" s="14">
        <v>1668.95</v>
      </c>
      <c r="G722" s="14">
        <v>1644.45</v>
      </c>
      <c r="H722" s="14">
        <v>1644.75</v>
      </c>
      <c r="I722" s="14">
        <v>1657</v>
      </c>
      <c r="J722" s="14">
        <v>1662.23</v>
      </c>
      <c r="K722" t="s" s="13">
        <v>4043</v>
      </c>
      <c r="L722" t="s" s="13">
        <v>4044</v>
      </c>
      <c r="M722" t="s" s="13">
        <v>4045</v>
      </c>
      <c r="N722" t="s" s="13">
        <v>4046</v>
      </c>
      <c r="O722" s="15">
        <v>66.61</v>
      </c>
      <c r="P722" s="30" cm="1">
        <f t="array" ref="P722">(I722-I721)/I721</f>
        <v>0.00248048883780023</v>
      </c>
      <c r="Q722" s="15">
        <v>17688738</v>
      </c>
    </row>
    <row r="723" ht="13.65" customHeight="1">
      <c r="A723" t="s" s="27">
        <v>1294</v>
      </c>
      <c r="B723" t="s" s="13">
        <v>22</v>
      </c>
      <c r="C723" s="31">
        <v>45281</v>
      </c>
      <c r="D723" s="14">
        <v>1657</v>
      </c>
      <c r="E723" s="14">
        <v>1657</v>
      </c>
      <c r="F723" s="14">
        <v>1689.75</v>
      </c>
      <c r="G723" s="14">
        <v>1650.25</v>
      </c>
      <c r="H723" s="14">
        <v>1685</v>
      </c>
      <c r="I723" s="14">
        <v>1686.7</v>
      </c>
      <c r="J723" s="14">
        <v>1672.87</v>
      </c>
      <c r="K723" t="s" s="13">
        <v>4047</v>
      </c>
      <c r="L723" t="s" s="13">
        <v>4048</v>
      </c>
      <c r="M723" t="s" s="13">
        <v>4049</v>
      </c>
      <c r="N723" t="s" s="13">
        <v>4050</v>
      </c>
      <c r="O723" s="15">
        <v>57.43</v>
      </c>
      <c r="P723" s="30" cm="1">
        <f t="array" ref="P723">(I723-I722)/I722</f>
        <v>0.0179239589619795</v>
      </c>
      <c r="Q723" s="15">
        <v>10056984</v>
      </c>
    </row>
    <row r="724" ht="13.65" customHeight="1">
      <c r="A724" t="s" s="27">
        <v>1294</v>
      </c>
      <c r="B724" t="s" s="13">
        <v>22</v>
      </c>
      <c r="C724" s="31">
        <v>45282</v>
      </c>
      <c r="D724" s="14">
        <v>1686.7</v>
      </c>
      <c r="E724" s="14">
        <v>1683.6</v>
      </c>
      <c r="F724" s="14">
        <v>1685.9</v>
      </c>
      <c r="G724" s="14">
        <v>1667.1</v>
      </c>
      <c r="H724" s="14">
        <v>1668.7</v>
      </c>
      <c r="I724" s="14">
        <v>1670.85</v>
      </c>
      <c r="J724" s="14">
        <v>1675.74</v>
      </c>
      <c r="K724" t="s" s="13">
        <v>4051</v>
      </c>
      <c r="L724" t="s" s="13">
        <v>4052</v>
      </c>
      <c r="M724" t="s" s="13">
        <v>4053</v>
      </c>
      <c r="N724" t="s" s="13">
        <v>4054</v>
      </c>
      <c r="O724" s="15">
        <v>70.61</v>
      </c>
      <c r="P724" s="30" cm="1">
        <f t="array" ref="P724">(I724-I723)/I723</f>
        <v>-0.00939704748918006</v>
      </c>
      <c r="Q724" s="15">
        <v>13963054</v>
      </c>
    </row>
    <row r="725" ht="13.65" customHeight="1">
      <c r="A725" t="s" s="27">
        <v>1294</v>
      </c>
      <c r="B725" t="s" s="13">
        <v>22</v>
      </c>
      <c r="C725" s="31">
        <v>45286</v>
      </c>
      <c r="D725" s="14">
        <v>1670.85</v>
      </c>
      <c r="E725" s="14">
        <v>1673.25</v>
      </c>
      <c r="F725" s="14">
        <v>1685.95</v>
      </c>
      <c r="G725" s="14">
        <v>1668.55</v>
      </c>
      <c r="H725" s="14">
        <v>1684.1</v>
      </c>
      <c r="I725" s="14">
        <v>1682.45</v>
      </c>
      <c r="J725" s="14">
        <v>1678.46</v>
      </c>
      <c r="K725" t="s" s="13">
        <v>4055</v>
      </c>
      <c r="L725" t="s" s="13">
        <v>4056</v>
      </c>
      <c r="M725" t="s" s="13">
        <v>4057</v>
      </c>
      <c r="N725" t="s" s="13">
        <v>4058</v>
      </c>
      <c r="O725" s="15">
        <v>55.47</v>
      </c>
      <c r="P725" s="30" cm="1">
        <f t="array" ref="P725">(I725-I724)/I724</f>
        <v>0.00694257413891133</v>
      </c>
      <c r="Q725" s="15">
        <v>6704146</v>
      </c>
    </row>
    <row r="726" ht="13.65" customHeight="1">
      <c r="A726" t="s" s="27">
        <v>1294</v>
      </c>
      <c r="B726" t="s" s="13">
        <v>22</v>
      </c>
      <c r="C726" s="31">
        <v>45287</v>
      </c>
      <c r="D726" s="14">
        <v>1682.45</v>
      </c>
      <c r="E726" s="14">
        <v>1681.5</v>
      </c>
      <c r="F726" s="14">
        <v>1706.5</v>
      </c>
      <c r="G726" s="14">
        <v>1678.6</v>
      </c>
      <c r="H726" s="14">
        <v>1702.1</v>
      </c>
      <c r="I726" s="14">
        <v>1703.3</v>
      </c>
      <c r="J726" s="14">
        <v>1695.87</v>
      </c>
      <c r="K726" t="s" s="13">
        <v>4059</v>
      </c>
      <c r="L726" t="s" s="13">
        <v>4060</v>
      </c>
      <c r="M726" t="s" s="13">
        <v>4061</v>
      </c>
      <c r="N726" t="s" s="13">
        <v>4062</v>
      </c>
      <c r="O726" s="15">
        <v>67.97</v>
      </c>
      <c r="P726" s="30" cm="1">
        <f t="array" ref="P726">(I726-I725)/I725</f>
        <v>0.0123926416832595</v>
      </c>
      <c r="Q726" s="15">
        <v>9106289</v>
      </c>
    </row>
    <row r="727" ht="13.65" customHeight="1">
      <c r="A727" t="s" s="27">
        <v>1294</v>
      </c>
      <c r="B727" t="s" s="13">
        <v>22</v>
      </c>
      <c r="C727" s="31">
        <v>45288</v>
      </c>
      <c r="D727" s="14">
        <v>1703.3</v>
      </c>
      <c r="E727" s="14">
        <v>1709.3</v>
      </c>
      <c r="F727" s="14">
        <v>1721.4</v>
      </c>
      <c r="G727" s="14">
        <v>1702</v>
      </c>
      <c r="H727" s="14">
        <v>1708.85</v>
      </c>
      <c r="I727" s="14">
        <v>1705.25</v>
      </c>
      <c r="J727" s="14">
        <v>1711.26</v>
      </c>
      <c r="K727" t="s" s="13">
        <v>4063</v>
      </c>
      <c r="L727" t="s" s="13">
        <v>4064</v>
      </c>
      <c r="M727" t="s" s="13">
        <v>4065</v>
      </c>
      <c r="N727" t="s" s="13">
        <v>4066</v>
      </c>
      <c r="O727" s="15">
        <v>68.31999999999999</v>
      </c>
      <c r="P727" s="30" cm="1">
        <f t="array" ref="P727">(I727-I726)/I726</f>
        <v>0.00114483649386485</v>
      </c>
      <c r="Q727" s="15">
        <v>18697761</v>
      </c>
    </row>
    <row r="728" ht="13.65" customHeight="1">
      <c r="A728" t="s" s="27">
        <v>1294</v>
      </c>
      <c r="B728" t="s" s="13">
        <v>22</v>
      </c>
      <c r="C728" s="31">
        <v>45289</v>
      </c>
      <c r="D728" s="14">
        <v>1705.25</v>
      </c>
      <c r="E728" s="14">
        <v>1697</v>
      </c>
      <c r="F728" s="14">
        <v>1714.9</v>
      </c>
      <c r="G728" s="14">
        <v>1696</v>
      </c>
      <c r="H728" s="14">
        <v>1708.65</v>
      </c>
      <c r="I728" s="14">
        <v>1709.25</v>
      </c>
      <c r="J728" s="14">
        <v>1707.51</v>
      </c>
      <c r="K728" t="s" s="13">
        <v>4067</v>
      </c>
      <c r="L728" t="s" s="13">
        <v>4068</v>
      </c>
      <c r="M728" t="s" s="13">
        <v>4069</v>
      </c>
      <c r="N728" t="s" s="13">
        <v>4070</v>
      </c>
      <c r="O728" s="15">
        <v>73.53</v>
      </c>
      <c r="P728" s="30" cm="1">
        <f t="array" ref="P728">(I728-I727)/I727</f>
        <v>0.00234569711186043</v>
      </c>
      <c r="Q728" s="15">
        <v>12474513</v>
      </c>
    </row>
    <row r="729" ht="13.65" customHeight="1">
      <c r="A729" t="s" s="27">
        <v>1294</v>
      </c>
      <c r="B729" t="s" s="13">
        <v>22</v>
      </c>
      <c r="C729" s="28">
        <v>45292</v>
      </c>
      <c r="D729" s="14">
        <v>1709.25</v>
      </c>
      <c r="E729" s="14">
        <v>1706</v>
      </c>
      <c r="F729" s="14">
        <v>1709.15</v>
      </c>
      <c r="G729" s="14">
        <v>1692</v>
      </c>
      <c r="H729" s="14">
        <v>1692.9</v>
      </c>
      <c r="I729" s="14">
        <v>1698.1</v>
      </c>
      <c r="J729" s="14">
        <v>1701.52</v>
      </c>
      <c r="K729" t="s" s="13">
        <v>4071</v>
      </c>
      <c r="L729" t="s" s="13">
        <v>4072</v>
      </c>
      <c r="M729" t="s" s="13">
        <v>4073</v>
      </c>
      <c r="N729" t="s" s="13">
        <v>4074</v>
      </c>
      <c r="O729" s="15">
        <v>62.03</v>
      </c>
      <c r="P729" s="30" cm="1">
        <f t="array" ref="P729">(I729-I728)/I728</f>
        <v>-0.00652332894544391</v>
      </c>
      <c r="Q729" s="15">
        <v>16091426</v>
      </c>
    </row>
    <row r="730" ht="13.65" customHeight="1">
      <c r="A730" t="s" s="27">
        <v>1294</v>
      </c>
      <c r="B730" t="s" s="13">
        <v>22</v>
      </c>
      <c r="C730" s="28">
        <v>45293</v>
      </c>
      <c r="D730" s="14">
        <v>1698.1</v>
      </c>
      <c r="E730" s="14">
        <v>1698.8</v>
      </c>
      <c r="F730" s="14">
        <v>1702.8</v>
      </c>
      <c r="G730" s="14">
        <v>1688.7</v>
      </c>
      <c r="H730" s="14">
        <v>1697.5</v>
      </c>
      <c r="I730" s="14">
        <v>1699.1</v>
      </c>
      <c r="J730" s="14">
        <v>1697.43</v>
      </c>
      <c r="K730" t="s" s="13">
        <v>4075</v>
      </c>
      <c r="L730" t="s" s="13">
        <v>4076</v>
      </c>
      <c r="M730" t="s" s="13">
        <v>4077</v>
      </c>
      <c r="N730" t="s" s="13">
        <v>4078</v>
      </c>
      <c r="O730" s="15">
        <v>59.44</v>
      </c>
      <c r="P730" s="30" cm="1">
        <f t="array" ref="P730">(I730-I729)/I729</f>
        <v>0.000588893469171427</v>
      </c>
      <c r="Q730" s="15">
        <v>9348621</v>
      </c>
    </row>
    <row r="731" ht="13.65" customHeight="1">
      <c r="A731" t="s" s="27">
        <v>1294</v>
      </c>
      <c r="B731" t="s" s="13">
        <v>22</v>
      </c>
      <c r="C731" s="28">
        <v>45294</v>
      </c>
      <c r="D731" s="14">
        <v>1699.1</v>
      </c>
      <c r="E731" s="14">
        <v>1702</v>
      </c>
      <c r="F731" s="14">
        <v>1704.7</v>
      </c>
      <c r="G731" s="14">
        <v>1668.95</v>
      </c>
      <c r="H731" s="14">
        <v>1674.6</v>
      </c>
      <c r="I731" s="14">
        <v>1672.9</v>
      </c>
      <c r="J731" s="14">
        <v>1681.27</v>
      </c>
      <c r="K731" t="s" s="13">
        <v>4079</v>
      </c>
      <c r="L731" t="s" s="13">
        <v>4080</v>
      </c>
      <c r="M731" t="s" s="13">
        <v>4081</v>
      </c>
      <c r="N731" t="s" s="13">
        <v>4082</v>
      </c>
      <c r="O731" s="15">
        <v>60.68</v>
      </c>
      <c r="P731" s="30" cm="1">
        <f t="array" ref="P731">(I731-I730)/I730</f>
        <v>-0.0154199281972809</v>
      </c>
      <c r="Q731" s="15">
        <v>8929855</v>
      </c>
    </row>
    <row r="732" ht="13.65" customHeight="1">
      <c r="A732" t="s" s="27">
        <v>1294</v>
      </c>
      <c r="B732" t="s" s="13">
        <v>22</v>
      </c>
      <c r="C732" s="28">
        <v>45295</v>
      </c>
      <c r="D732" s="14">
        <v>1672.9</v>
      </c>
      <c r="E732" s="14">
        <v>1678</v>
      </c>
      <c r="F732" s="14">
        <v>1694.95</v>
      </c>
      <c r="G732" s="14">
        <v>1670.7</v>
      </c>
      <c r="H732" s="14">
        <v>1690.85</v>
      </c>
      <c r="I732" s="14">
        <v>1690.85</v>
      </c>
      <c r="J732" s="14">
        <v>1681.98</v>
      </c>
      <c r="K732" t="s" s="13">
        <v>4083</v>
      </c>
      <c r="L732" t="s" s="13">
        <v>4084</v>
      </c>
      <c r="M732" t="s" s="13">
        <v>4085</v>
      </c>
      <c r="N732" t="s" s="13">
        <v>4086</v>
      </c>
      <c r="O732" s="15">
        <v>70.75</v>
      </c>
      <c r="P732" s="30" cm="1">
        <f t="array" ref="P732">(I732-I731)/I731</f>
        <v>0.0107298702851336</v>
      </c>
      <c r="Q732" s="15">
        <v>25183469</v>
      </c>
    </row>
    <row r="733" ht="13.65" customHeight="1">
      <c r="A733" t="s" s="27">
        <v>1294</v>
      </c>
      <c r="B733" t="s" s="13">
        <v>22</v>
      </c>
      <c r="C733" s="28">
        <v>45296</v>
      </c>
      <c r="D733" s="14">
        <v>1690.85</v>
      </c>
      <c r="E733" s="14">
        <v>1687.15</v>
      </c>
      <c r="F733" s="14">
        <v>1704.9</v>
      </c>
      <c r="G733" s="14">
        <v>1668.1</v>
      </c>
      <c r="H733" s="14">
        <v>1679</v>
      </c>
      <c r="I733" s="14">
        <v>1682.2</v>
      </c>
      <c r="J733" s="14">
        <v>1679.44</v>
      </c>
      <c r="K733" t="s" s="13">
        <v>4087</v>
      </c>
      <c r="L733" t="s" s="13">
        <v>4088</v>
      </c>
      <c r="M733" t="s" s="13">
        <v>4089</v>
      </c>
      <c r="N733" t="s" s="13">
        <v>4090</v>
      </c>
      <c r="O733" s="15">
        <v>60.32</v>
      </c>
      <c r="P733" s="30" cm="1">
        <f t="array" ref="P733">(I733-I732)/I732</f>
        <v>-0.00511577017476417</v>
      </c>
      <c r="Q733" s="15">
        <v>21667135</v>
      </c>
    </row>
    <row r="734" ht="13.65" customHeight="1">
      <c r="A734" t="s" s="27">
        <v>1294</v>
      </c>
      <c r="B734" t="s" s="13">
        <v>22</v>
      </c>
      <c r="C734" s="28">
        <v>45299</v>
      </c>
      <c r="D734" s="14">
        <v>1682.2</v>
      </c>
      <c r="E734" s="14">
        <v>1678.5</v>
      </c>
      <c r="F734" s="14">
        <v>1682.35</v>
      </c>
      <c r="G734" s="14">
        <v>1660</v>
      </c>
      <c r="H734" s="14">
        <v>1662.9</v>
      </c>
      <c r="I734" s="14">
        <v>1663.45</v>
      </c>
      <c r="J734" s="14">
        <v>1671.84</v>
      </c>
      <c r="K734" t="s" s="13">
        <v>4091</v>
      </c>
      <c r="L734" t="s" s="13">
        <v>4092</v>
      </c>
      <c r="M734" t="s" s="13">
        <v>4093</v>
      </c>
      <c r="N734" t="s" s="13">
        <v>4094</v>
      </c>
      <c r="O734" s="15">
        <v>62.71</v>
      </c>
      <c r="P734" s="30" cm="1">
        <f t="array" ref="P734">(I734-I733)/I733</f>
        <v>-0.0111461181785757</v>
      </c>
      <c r="Q734" s="15">
        <v>18562964</v>
      </c>
    </row>
    <row r="735" ht="13.65" customHeight="1">
      <c r="A735" t="s" s="27">
        <v>1294</v>
      </c>
      <c r="B735" t="s" s="13">
        <v>22</v>
      </c>
      <c r="C735" s="28">
        <v>45300</v>
      </c>
      <c r="D735" s="14">
        <v>1663.45</v>
      </c>
      <c r="E735" s="14">
        <v>1667.15</v>
      </c>
      <c r="F735" s="14">
        <v>1677.8</v>
      </c>
      <c r="G735" s="14">
        <v>1646.75</v>
      </c>
      <c r="H735" s="14">
        <v>1650.95</v>
      </c>
      <c r="I735" s="14">
        <v>1650.5</v>
      </c>
      <c r="J735" s="14">
        <v>1660.84</v>
      </c>
      <c r="K735" t="s" s="13">
        <v>4095</v>
      </c>
      <c r="L735" t="s" s="13">
        <v>4096</v>
      </c>
      <c r="M735" t="s" s="13">
        <v>4097</v>
      </c>
      <c r="N735" t="s" s="13">
        <v>4098</v>
      </c>
      <c r="O735" s="15">
        <v>51.55</v>
      </c>
      <c r="P735" s="30" cm="1">
        <f t="array" ref="P735">(I735-I734)/I734</f>
        <v>-0.00778502509843999</v>
      </c>
      <c r="Q735" s="15">
        <v>10908146</v>
      </c>
    </row>
    <row r="736" ht="13.65" customHeight="1">
      <c r="A736" t="s" s="27">
        <v>1294</v>
      </c>
      <c r="B736" t="s" s="13">
        <v>22</v>
      </c>
      <c r="C736" s="31">
        <v>45301</v>
      </c>
      <c r="D736" s="14">
        <v>1650.5</v>
      </c>
      <c r="E736" s="14">
        <v>1643</v>
      </c>
      <c r="F736" s="14">
        <v>1659.95</v>
      </c>
      <c r="G736" s="14">
        <v>1641.4</v>
      </c>
      <c r="H736" s="14">
        <v>1656</v>
      </c>
      <c r="I736" s="14">
        <v>1655.95</v>
      </c>
      <c r="J736" s="14">
        <v>1653.21</v>
      </c>
      <c r="K736" t="s" s="13">
        <v>4099</v>
      </c>
      <c r="L736" t="s" s="13">
        <v>4100</v>
      </c>
      <c r="M736" t="s" s="13">
        <v>4101</v>
      </c>
      <c r="N736" t="s" s="13">
        <v>4102</v>
      </c>
      <c r="O736" s="15">
        <v>66.73</v>
      </c>
      <c r="P736" s="30" cm="1">
        <f t="array" ref="P736">(I736-I735)/I735</f>
        <v>0.00330202968797334</v>
      </c>
      <c r="Q736" s="15">
        <v>13317533</v>
      </c>
    </row>
    <row r="737" ht="13.65" customHeight="1">
      <c r="A737" t="s" s="27">
        <v>1294</v>
      </c>
      <c r="B737" t="s" s="13">
        <v>22</v>
      </c>
      <c r="C737" s="31">
        <v>45302</v>
      </c>
      <c r="D737" s="14">
        <v>1655.95</v>
      </c>
      <c r="E737" s="14">
        <v>1660</v>
      </c>
      <c r="F737" s="14">
        <v>1662.9</v>
      </c>
      <c r="G737" s="14">
        <v>1643</v>
      </c>
      <c r="H737" s="14">
        <v>1649.3</v>
      </c>
      <c r="I737" s="14">
        <v>1649</v>
      </c>
      <c r="J737" s="14">
        <v>1653.3</v>
      </c>
      <c r="K737" t="s" s="13">
        <v>4103</v>
      </c>
      <c r="L737" t="s" s="13">
        <v>4104</v>
      </c>
      <c r="M737" t="s" s="13">
        <v>4105</v>
      </c>
      <c r="N737" t="s" s="13">
        <v>4106</v>
      </c>
      <c r="O737" s="15">
        <v>73.34</v>
      </c>
      <c r="P737" s="30" cm="1">
        <f t="array" ref="P737">(I737-I736)/I736</f>
        <v>-0.00419698662399227</v>
      </c>
      <c r="Q737" s="15">
        <v>14888465</v>
      </c>
    </row>
    <row r="738" ht="13.65" customHeight="1">
      <c r="A738" t="s" s="27">
        <v>1294</v>
      </c>
      <c r="B738" t="s" s="13">
        <v>22</v>
      </c>
      <c r="C738" s="31">
        <v>45303</v>
      </c>
      <c r="D738" s="14">
        <v>1649</v>
      </c>
      <c r="E738" s="14">
        <v>1652</v>
      </c>
      <c r="F738" s="14">
        <v>1656</v>
      </c>
      <c r="G738" s="14">
        <v>1633.6</v>
      </c>
      <c r="H738" s="14">
        <v>1643.95</v>
      </c>
      <c r="I738" s="14">
        <v>1641.2</v>
      </c>
      <c r="J738" s="14">
        <v>1645.1</v>
      </c>
      <c r="K738" t="s" s="13">
        <v>4107</v>
      </c>
      <c r="L738" t="s" s="13">
        <v>4108</v>
      </c>
      <c r="M738" t="s" s="13">
        <v>4109</v>
      </c>
      <c r="N738" t="s" s="13">
        <v>4110</v>
      </c>
      <c r="O738" s="15">
        <v>60.66</v>
      </c>
      <c r="P738" s="30" cm="1">
        <f t="array" ref="P738">(I738-I737)/I737</f>
        <v>-0.0047301394784718</v>
      </c>
      <c r="Q738" s="15">
        <v>16794056</v>
      </c>
    </row>
    <row r="739" ht="13.65" customHeight="1">
      <c r="A739" t="s" s="27">
        <v>1294</v>
      </c>
      <c r="B739" t="s" s="13">
        <v>22</v>
      </c>
      <c r="C739" s="31">
        <v>45306</v>
      </c>
      <c r="D739" s="14">
        <v>1641.2</v>
      </c>
      <c r="E739" s="14">
        <v>1647.7</v>
      </c>
      <c r="F739" s="14">
        <v>1680.9</v>
      </c>
      <c r="G739" s="14">
        <v>1643.6</v>
      </c>
      <c r="H739" s="14">
        <v>1679.7</v>
      </c>
      <c r="I739" s="14">
        <v>1672.8</v>
      </c>
      <c r="J739" s="14">
        <v>1666.61</v>
      </c>
      <c r="K739" t="s" s="13">
        <v>4111</v>
      </c>
      <c r="L739" t="s" s="13">
        <v>4112</v>
      </c>
      <c r="M739" t="s" s="13">
        <v>4113</v>
      </c>
      <c r="N739" t="s" s="13">
        <v>4114</v>
      </c>
      <c r="O739" s="15">
        <v>69.08</v>
      </c>
      <c r="P739" s="30" cm="1">
        <f t="array" ref="P739">(I739-I738)/I738</f>
        <v>0.0192542042407994</v>
      </c>
      <c r="Q739" s="15">
        <v>11235037</v>
      </c>
    </row>
    <row r="740" ht="13.65" customHeight="1">
      <c r="A740" t="s" s="27">
        <v>1294</v>
      </c>
      <c r="B740" t="s" s="13">
        <v>22</v>
      </c>
      <c r="C740" s="31">
        <v>45307</v>
      </c>
      <c r="D740" s="14">
        <v>1672.8</v>
      </c>
      <c r="E740" s="14">
        <v>1673</v>
      </c>
      <c r="F740" s="14">
        <v>1683.65</v>
      </c>
      <c r="G740" s="14">
        <v>1658.1</v>
      </c>
      <c r="H740" s="14">
        <v>1678</v>
      </c>
      <c r="I740" s="14">
        <v>1679.15</v>
      </c>
      <c r="J740" s="14">
        <v>1672.44</v>
      </c>
      <c r="K740" t="s" s="13">
        <v>4115</v>
      </c>
      <c r="L740" t="s" s="13">
        <v>4116</v>
      </c>
      <c r="M740" t="s" s="13">
        <v>4117</v>
      </c>
      <c r="N740" t="s" s="13">
        <v>4118</v>
      </c>
      <c r="O740" s="15">
        <v>55.89</v>
      </c>
      <c r="P740" s="30" cm="1">
        <f t="array" ref="P740">(I740-I739)/I739</f>
        <v>0.0037960306073649</v>
      </c>
      <c r="Q740" s="15">
        <v>14167016</v>
      </c>
    </row>
    <row r="741" ht="13.65" customHeight="1">
      <c r="A741" t="s" s="27">
        <v>1294</v>
      </c>
      <c r="B741" t="s" s="13">
        <v>22</v>
      </c>
      <c r="C741" s="31">
        <v>45308</v>
      </c>
      <c r="D741" s="14">
        <v>1679.15</v>
      </c>
      <c r="E741" s="14">
        <v>1570</v>
      </c>
      <c r="F741" s="14">
        <v>1596.8</v>
      </c>
      <c r="G741" s="14">
        <v>1528.4</v>
      </c>
      <c r="H741" s="14">
        <v>1542.15</v>
      </c>
      <c r="I741" s="14">
        <v>1537.5</v>
      </c>
      <c r="J741" s="14">
        <v>1565.65</v>
      </c>
      <c r="K741" t="s" s="13">
        <v>4119</v>
      </c>
      <c r="L741" t="s" s="13">
        <v>4120</v>
      </c>
      <c r="M741" t="s" s="13">
        <v>4121</v>
      </c>
      <c r="N741" t="s" s="13">
        <v>4122</v>
      </c>
      <c r="O741" s="15">
        <v>62.75</v>
      </c>
      <c r="P741" s="30" cm="1">
        <f t="array" ref="P741">(I741-I740)/I740</f>
        <v>-0.084358157401066</v>
      </c>
      <c r="Q741" s="15">
        <v>15230166</v>
      </c>
    </row>
    <row r="742" ht="13.65" customHeight="1">
      <c r="A742" t="s" s="27">
        <v>1294</v>
      </c>
      <c r="B742" t="s" s="13">
        <v>22</v>
      </c>
      <c r="C742" s="31">
        <v>45309</v>
      </c>
      <c r="D742" s="14">
        <v>1537.5</v>
      </c>
      <c r="E742" s="14">
        <v>1494</v>
      </c>
      <c r="F742" s="14">
        <v>1515</v>
      </c>
      <c r="G742" s="14">
        <v>1480.05</v>
      </c>
      <c r="H742" s="14">
        <v>1490</v>
      </c>
      <c r="I742" s="14">
        <v>1486.15</v>
      </c>
      <c r="J742" s="14">
        <v>1495.03</v>
      </c>
      <c r="K742" t="s" s="13">
        <v>4123</v>
      </c>
      <c r="L742" t="s" s="13">
        <v>4124</v>
      </c>
      <c r="M742" t="s" s="13">
        <v>4125</v>
      </c>
      <c r="N742" t="s" s="13">
        <v>4126</v>
      </c>
      <c r="O742" s="15">
        <v>69.45</v>
      </c>
      <c r="P742" s="30" cm="1">
        <f t="array" ref="P742">(I742-I741)/I741</f>
        <v>-0.0333983739837398</v>
      </c>
      <c r="Q742" s="15">
        <v>24823471</v>
      </c>
    </row>
    <row r="743" ht="13.65" customHeight="1">
      <c r="A743" t="s" s="27">
        <v>1294</v>
      </c>
      <c r="B743" t="s" s="13">
        <v>22</v>
      </c>
      <c r="C743" s="31">
        <v>45310</v>
      </c>
      <c r="D743" s="14">
        <v>1486.15</v>
      </c>
      <c r="E743" s="14">
        <v>1505.95</v>
      </c>
      <c r="F743" s="14">
        <v>1510.25</v>
      </c>
      <c r="G743" s="14">
        <v>1468.4</v>
      </c>
      <c r="H743" s="14">
        <v>1474.9</v>
      </c>
      <c r="I743" s="14">
        <v>1470.65</v>
      </c>
      <c r="J743" s="14">
        <v>1483.88</v>
      </c>
      <c r="K743" t="s" s="13">
        <v>4127</v>
      </c>
      <c r="L743" t="s" s="13">
        <v>4128</v>
      </c>
      <c r="M743" t="s" s="13">
        <v>4129</v>
      </c>
      <c r="N743" t="s" s="13">
        <v>4130</v>
      </c>
      <c r="O743" s="15">
        <v>74.8</v>
      </c>
      <c r="P743" s="30" cm="1">
        <f t="array" ref="P743">(I743-I742)/I742</f>
        <v>-0.0104296336170642</v>
      </c>
      <c r="Q743" s="15">
        <v>15233434</v>
      </c>
    </row>
    <row r="744" ht="13.65" customHeight="1">
      <c r="A744" t="s" s="27">
        <v>1294</v>
      </c>
      <c r="B744" t="s" s="13">
        <v>22</v>
      </c>
      <c r="C744" s="31">
        <v>45311</v>
      </c>
      <c r="D744" s="14">
        <v>1470.65</v>
      </c>
      <c r="E744" s="14">
        <v>1483.2</v>
      </c>
      <c r="F744" s="14">
        <v>1495.7</v>
      </c>
      <c r="G744" s="14">
        <v>1476</v>
      </c>
      <c r="H744" s="14">
        <v>1480.65</v>
      </c>
      <c r="I744" s="14">
        <v>1478.85</v>
      </c>
      <c r="J744" s="14">
        <v>1483.92</v>
      </c>
      <c r="K744" t="s" s="13">
        <v>4131</v>
      </c>
      <c r="L744" t="s" s="13">
        <v>4132</v>
      </c>
      <c r="M744" t="s" s="13">
        <v>4133</v>
      </c>
      <c r="N744" t="s" s="13">
        <v>4134</v>
      </c>
      <c r="O744" s="15">
        <v>36.93</v>
      </c>
      <c r="P744" s="30" cm="1">
        <f t="array" ref="P744">(I744-I743)/I743</f>
        <v>0.00557576581783565</v>
      </c>
      <c r="Q744" s="15">
        <v>16361043</v>
      </c>
    </row>
    <row r="745" ht="13.65" customHeight="1">
      <c r="A745" t="s" s="27">
        <v>1294</v>
      </c>
      <c r="B745" t="s" s="13">
        <v>22</v>
      </c>
      <c r="C745" s="31">
        <v>45314</v>
      </c>
      <c r="D745" s="14">
        <v>1478.85</v>
      </c>
      <c r="E745" s="14">
        <v>1465</v>
      </c>
      <c r="F745" s="14">
        <v>1474.7</v>
      </c>
      <c r="G745" s="14">
        <v>1425</v>
      </c>
      <c r="H745" s="14">
        <v>1430.95</v>
      </c>
      <c r="I745" s="14">
        <v>1427.35</v>
      </c>
      <c r="J745" s="14">
        <v>1442.66</v>
      </c>
      <c r="K745" t="s" s="13">
        <v>4135</v>
      </c>
      <c r="L745" t="s" s="13">
        <v>4136</v>
      </c>
      <c r="M745" t="s" s="13">
        <v>4137</v>
      </c>
      <c r="N745" t="s" s="13">
        <v>4138</v>
      </c>
      <c r="O745" s="15">
        <v>65.73</v>
      </c>
      <c r="P745" s="30" cm="1">
        <f t="array" ref="P745">(I745-I744)/I744</f>
        <v>-0.0348243567637015</v>
      </c>
      <c r="Q745" s="15">
        <v>9256130</v>
      </c>
    </row>
    <row r="746" ht="13.65" customHeight="1">
      <c r="A746" t="s" s="27">
        <v>1294</v>
      </c>
      <c r="B746" t="s" s="13">
        <v>22</v>
      </c>
      <c r="C746" s="31">
        <v>45315</v>
      </c>
      <c r="D746" s="14">
        <v>1427.35</v>
      </c>
      <c r="E746" s="14">
        <v>1380.25</v>
      </c>
      <c r="F746" s="14">
        <v>1458.45</v>
      </c>
      <c r="G746" s="14">
        <v>1380.25</v>
      </c>
      <c r="H746" s="14">
        <v>1456.3</v>
      </c>
      <c r="I746" s="14">
        <v>1455.9</v>
      </c>
      <c r="J746" s="14">
        <v>1435.74</v>
      </c>
      <c r="K746" t="s" s="13">
        <v>4139</v>
      </c>
      <c r="L746" t="s" s="13">
        <v>4140</v>
      </c>
      <c r="M746" t="s" s="13">
        <v>4141</v>
      </c>
      <c r="N746" t="s" s="13">
        <v>4142</v>
      </c>
      <c r="O746" s="15">
        <v>63.89</v>
      </c>
      <c r="P746" s="30" cm="1">
        <f t="array" ref="P746">(I746-I745)/I745</f>
        <v>0.0200021017970365</v>
      </c>
      <c r="Q746" s="15">
        <v>11239380</v>
      </c>
    </row>
    <row r="747" ht="13.65" customHeight="1">
      <c r="A747" t="s" s="27">
        <v>1294</v>
      </c>
      <c r="B747" t="s" s="13">
        <v>22</v>
      </c>
      <c r="C747" s="31">
        <v>45316</v>
      </c>
      <c r="D747" s="14">
        <v>1455.9</v>
      </c>
      <c r="E747" s="14">
        <v>1452.5</v>
      </c>
      <c r="F747" s="14">
        <v>1457.35</v>
      </c>
      <c r="G747" s="14">
        <v>1419.4</v>
      </c>
      <c r="H747" s="14">
        <v>1440.7</v>
      </c>
      <c r="I747" s="14">
        <v>1434.9</v>
      </c>
      <c r="J747" s="14">
        <v>1434.16</v>
      </c>
      <c r="K747" t="s" s="13">
        <v>4143</v>
      </c>
      <c r="L747" t="s" s="13">
        <v>4144</v>
      </c>
      <c r="M747" t="s" s="13">
        <v>4145</v>
      </c>
      <c r="N747" t="s" s="13">
        <v>4146</v>
      </c>
      <c r="O747" s="15">
        <v>63.75</v>
      </c>
      <c r="P747" s="30" cm="1">
        <f t="array" ref="P747">(I747-I746)/I746</f>
        <v>-0.0144240675870596</v>
      </c>
      <c r="Q747" s="15">
        <v>17867309</v>
      </c>
    </row>
    <row r="748" ht="13.65" customHeight="1">
      <c r="A748" t="s" s="27">
        <v>1294</v>
      </c>
      <c r="B748" t="s" s="13">
        <v>22</v>
      </c>
      <c r="C748" s="31">
        <v>45320</v>
      </c>
      <c r="D748" s="14">
        <v>1434.9</v>
      </c>
      <c r="E748" s="14">
        <v>1448.05</v>
      </c>
      <c r="F748" s="14">
        <v>1462.8</v>
      </c>
      <c r="G748" s="14">
        <v>1445.8</v>
      </c>
      <c r="H748" s="14">
        <v>1456.8</v>
      </c>
      <c r="I748" s="14">
        <v>1454.65</v>
      </c>
      <c r="J748" s="14">
        <v>1454.14</v>
      </c>
      <c r="K748" t="s" s="13">
        <v>4147</v>
      </c>
      <c r="L748" t="s" s="13">
        <v>4148</v>
      </c>
      <c r="M748" t="s" s="13">
        <v>4149</v>
      </c>
      <c r="N748" t="s" s="13">
        <v>4150</v>
      </c>
      <c r="O748" s="15">
        <v>72.22</v>
      </c>
      <c r="P748" s="30" cm="1">
        <f t="array" ref="P748">(I748-I747)/I747</f>
        <v>0.0137640253676214</v>
      </c>
      <c r="Q748" s="15">
        <v>23170275</v>
      </c>
    </row>
    <row r="749" ht="13.65" customHeight="1">
      <c r="A749" t="s" s="27">
        <v>1294</v>
      </c>
      <c r="B749" t="s" s="13">
        <v>22</v>
      </c>
      <c r="C749" s="31">
        <v>45321</v>
      </c>
      <c r="D749" s="14">
        <v>1454.65</v>
      </c>
      <c r="E749" s="14">
        <v>1454.55</v>
      </c>
      <c r="F749" s="14">
        <v>1463.2</v>
      </c>
      <c r="G749" s="14">
        <v>1440.9</v>
      </c>
      <c r="H749" s="14">
        <v>1444.7</v>
      </c>
      <c r="I749" s="14">
        <v>1444.3</v>
      </c>
      <c r="J749" s="14">
        <v>1447.91</v>
      </c>
      <c r="K749" t="s" s="13">
        <v>4151</v>
      </c>
      <c r="L749" t="s" s="13">
        <v>4152</v>
      </c>
      <c r="M749" t="s" s="13">
        <v>4153</v>
      </c>
      <c r="N749" t="s" s="13">
        <v>4154</v>
      </c>
      <c r="O749" s="15">
        <v>53.96</v>
      </c>
      <c r="P749" s="30" cm="1">
        <f t="array" ref="P749">(I749-I748)/I748</f>
        <v>-0.00711511360120991</v>
      </c>
      <c r="Q749" s="15">
        <v>21844469</v>
      </c>
    </row>
    <row r="750" ht="13.65" customHeight="1">
      <c r="A750" t="s" s="27">
        <v>1294</v>
      </c>
      <c r="B750" t="s" s="13">
        <v>22</v>
      </c>
      <c r="C750" s="31">
        <v>45322</v>
      </c>
      <c r="D750" s="14">
        <v>1444.3</v>
      </c>
      <c r="E750" s="14">
        <v>1439.5</v>
      </c>
      <c r="F750" s="14">
        <v>1474.95</v>
      </c>
      <c r="G750" s="14">
        <v>1436.8</v>
      </c>
      <c r="H750" s="14">
        <v>1462.65</v>
      </c>
      <c r="I750" s="14">
        <v>1462.55</v>
      </c>
      <c r="J750" s="14">
        <v>1462.25</v>
      </c>
      <c r="K750" t="s" s="13">
        <v>4155</v>
      </c>
      <c r="L750" t="s" s="13">
        <v>4156</v>
      </c>
      <c r="M750" t="s" s="13">
        <v>4157</v>
      </c>
      <c r="N750" t="s" s="13">
        <v>4158</v>
      </c>
      <c r="O750" s="15">
        <v>60.52</v>
      </c>
      <c r="P750" s="30" cm="1">
        <f t="array" ref="P750">(I750-I749)/I749</f>
        <v>0.0126358789725126</v>
      </c>
      <c r="Q750" s="15">
        <v>18622262</v>
      </c>
    </row>
    <row r="751" ht="13.65" customHeight="1">
      <c r="A751" t="s" s="27">
        <v>1294</v>
      </c>
      <c r="B751" t="s" s="13">
        <v>22</v>
      </c>
      <c r="C751" s="28">
        <v>45323</v>
      </c>
      <c r="D751" s="14">
        <v>1462.55</v>
      </c>
      <c r="E751" s="14">
        <v>1465.05</v>
      </c>
      <c r="F751" s="14">
        <v>1473.6</v>
      </c>
      <c r="G751" s="14">
        <v>1456.05</v>
      </c>
      <c r="H751" s="14">
        <v>1466.5</v>
      </c>
      <c r="I751" s="14">
        <v>1466.35</v>
      </c>
      <c r="J751" s="14">
        <v>1465.35</v>
      </c>
      <c r="K751" t="s" s="13">
        <v>4159</v>
      </c>
      <c r="L751" t="s" s="13">
        <v>4160</v>
      </c>
      <c r="M751" t="s" s="13">
        <v>4161</v>
      </c>
      <c r="N751" t="s" s="13">
        <v>4162</v>
      </c>
      <c r="O751" s="15">
        <v>63.88</v>
      </c>
      <c r="P751" s="30" cm="1">
        <f t="array" ref="P751">(I751-I750)/I750</f>
        <v>0.00259820177087963</v>
      </c>
      <c r="Q751" s="15">
        <v>31385208</v>
      </c>
    </row>
    <row r="752" ht="13.65" customHeight="1">
      <c r="A752" t="s" s="27">
        <v>1294</v>
      </c>
      <c r="B752" t="s" s="13">
        <v>22</v>
      </c>
      <c r="C752" s="28">
        <v>45324</v>
      </c>
      <c r="D752" s="14">
        <v>1466.35</v>
      </c>
      <c r="E752" s="14">
        <v>1475</v>
      </c>
      <c r="F752" s="14">
        <v>1480.85</v>
      </c>
      <c r="G752" s="14">
        <v>1442.05</v>
      </c>
      <c r="H752" s="14">
        <v>1445.9</v>
      </c>
      <c r="I752" s="14">
        <v>1446.15</v>
      </c>
      <c r="J752" s="14">
        <v>1461.81</v>
      </c>
      <c r="K752" t="s" s="13">
        <v>4163</v>
      </c>
      <c r="L752" t="s" s="13">
        <v>4164</v>
      </c>
      <c r="M752" t="s" s="13">
        <v>4165</v>
      </c>
      <c r="N752" t="s" s="13">
        <v>4166</v>
      </c>
      <c r="O752" s="15">
        <v>53.02</v>
      </c>
      <c r="P752" s="30" cm="1">
        <f t="array" ref="P752">(I752-I751)/I751</f>
        <v>-0.0137757015719303</v>
      </c>
      <c r="Q752" s="15">
        <v>28427319</v>
      </c>
    </row>
    <row r="753" ht="13.65" customHeight="1">
      <c r="A753" t="s" s="27">
        <v>1294</v>
      </c>
      <c r="B753" t="s" s="13">
        <v>22</v>
      </c>
      <c r="C753" s="28">
        <v>45327</v>
      </c>
      <c r="D753" s="14">
        <v>1446.15</v>
      </c>
      <c r="E753" s="14">
        <v>1446</v>
      </c>
      <c r="F753" s="14">
        <v>1451.9</v>
      </c>
      <c r="G753" s="14">
        <v>1434.05</v>
      </c>
      <c r="H753" s="14">
        <v>1443.05</v>
      </c>
      <c r="I753" s="14">
        <v>1444.85</v>
      </c>
      <c r="J753" s="14">
        <v>1442.08</v>
      </c>
      <c r="K753" t="s" s="13">
        <v>4167</v>
      </c>
      <c r="L753" t="s" s="13">
        <v>4168</v>
      </c>
      <c r="M753" t="s" s="13">
        <v>4169</v>
      </c>
      <c r="N753" t="s" s="13">
        <v>4170</v>
      </c>
      <c r="O753" s="15">
        <v>49.24</v>
      </c>
      <c r="P753" s="30" cm="1">
        <f t="array" ref="P753">(I753-I752)/I752</f>
        <v>-0.0008989385610068111</v>
      </c>
      <c r="Q753" s="15">
        <v>14703635</v>
      </c>
    </row>
    <row r="754" ht="13.65" customHeight="1">
      <c r="A754" t="s" s="27">
        <v>1294</v>
      </c>
      <c r="B754" t="s" s="13">
        <v>22</v>
      </c>
      <c r="C754" s="28">
        <v>45328</v>
      </c>
      <c r="D754" s="14">
        <v>1444.85</v>
      </c>
      <c r="E754" s="14">
        <v>1445.55</v>
      </c>
      <c r="F754" s="14">
        <v>1449.7</v>
      </c>
      <c r="G754" s="14">
        <v>1432.6</v>
      </c>
      <c r="H754" s="14">
        <v>1443.55</v>
      </c>
      <c r="I754" s="14">
        <v>1444.1</v>
      </c>
      <c r="J754" s="14">
        <v>1442.11</v>
      </c>
      <c r="K754" t="s" s="13">
        <v>4171</v>
      </c>
      <c r="L754" t="s" s="13">
        <v>4172</v>
      </c>
      <c r="M754" t="s" s="13">
        <v>4173</v>
      </c>
      <c r="N754" t="s" s="13">
        <v>4174</v>
      </c>
      <c r="O754" s="15">
        <v>60.15</v>
      </c>
      <c r="P754" s="30" cm="1">
        <f t="array" ref="P754">(I754-I753)/I753</f>
        <v>-0.00051908502612728</v>
      </c>
      <c r="Q754" s="15">
        <v>16110592</v>
      </c>
    </row>
    <row r="755" ht="13.65" customHeight="1">
      <c r="A755" t="s" s="27">
        <v>1294</v>
      </c>
      <c r="B755" t="s" s="13">
        <v>22</v>
      </c>
      <c r="C755" s="28">
        <v>45329</v>
      </c>
      <c r="D755" s="14">
        <v>1444.1</v>
      </c>
      <c r="E755" s="14">
        <v>1453</v>
      </c>
      <c r="F755" s="14">
        <v>1453.8</v>
      </c>
      <c r="G755" s="14">
        <v>1426.65</v>
      </c>
      <c r="H755" s="14">
        <v>1430</v>
      </c>
      <c r="I755" s="14">
        <v>1429.95</v>
      </c>
      <c r="J755" s="14">
        <v>1435.86</v>
      </c>
      <c r="K755" t="s" s="13">
        <v>4175</v>
      </c>
      <c r="L755" t="s" s="13">
        <v>4176</v>
      </c>
      <c r="M755" t="s" s="13">
        <v>4177</v>
      </c>
      <c r="N755" t="s" s="13">
        <v>4178</v>
      </c>
      <c r="O755" s="15">
        <v>64.42</v>
      </c>
      <c r="P755" s="30" cm="1">
        <f t="array" ref="P755">(I755-I754)/I754</f>
        <v>-0.00979849040925144</v>
      </c>
      <c r="Q755" s="15">
        <v>13958136</v>
      </c>
    </row>
    <row r="756" ht="13.65" customHeight="1">
      <c r="A756" t="s" s="27">
        <v>1294</v>
      </c>
      <c r="B756" t="s" s="13">
        <v>22</v>
      </c>
      <c r="C756" s="28">
        <v>45330</v>
      </c>
      <c r="D756" s="14">
        <v>1429.95</v>
      </c>
      <c r="E756" s="14">
        <v>1429.85</v>
      </c>
      <c r="F756" s="14">
        <v>1438.95</v>
      </c>
      <c r="G756" s="14">
        <v>1400.5</v>
      </c>
      <c r="H756" s="14">
        <v>1407.25</v>
      </c>
      <c r="I756" s="14">
        <v>1403.05</v>
      </c>
      <c r="J756" s="14">
        <v>1415.51</v>
      </c>
      <c r="K756" t="s" s="13">
        <v>4179</v>
      </c>
      <c r="L756" t="s" s="13">
        <v>4180</v>
      </c>
      <c r="M756" t="s" s="13">
        <v>4181</v>
      </c>
      <c r="N756" t="s" s="13">
        <v>4182</v>
      </c>
      <c r="O756" s="15">
        <v>64.58</v>
      </c>
      <c r="P756" s="30" cm="1">
        <f t="array" ref="P756">(I756-I755)/I755</f>
        <v>-0.0188118465680618</v>
      </c>
      <c r="Q756" s="15">
        <v>23895196</v>
      </c>
    </row>
    <row r="757" ht="13.65" customHeight="1">
      <c r="A757" t="s" s="27">
        <v>1294</v>
      </c>
      <c r="B757" t="s" s="13">
        <v>22</v>
      </c>
      <c r="C757" s="28">
        <v>45331</v>
      </c>
      <c r="D757" s="14">
        <v>1403.05</v>
      </c>
      <c r="E757" s="14">
        <v>1392.15</v>
      </c>
      <c r="F757" s="14">
        <v>1414.2</v>
      </c>
      <c r="G757" s="14">
        <v>1387</v>
      </c>
      <c r="H757" s="14">
        <v>1408</v>
      </c>
      <c r="I757" s="14">
        <v>1403.6</v>
      </c>
      <c r="J757" s="14">
        <v>1402.42</v>
      </c>
      <c r="K757" t="s" s="13">
        <v>4183</v>
      </c>
      <c r="L757" t="s" s="13">
        <v>4184</v>
      </c>
      <c r="M757" t="s" s="13">
        <v>4185</v>
      </c>
      <c r="N757" t="s" s="13">
        <v>4186</v>
      </c>
      <c r="O757" s="15">
        <v>66.81</v>
      </c>
      <c r="P757" s="30" cm="1">
        <f t="array" ref="P757">(I757-I756)/I756</f>
        <v>0.000392003136025088</v>
      </c>
      <c r="Q757" s="15">
        <v>13696375</v>
      </c>
    </row>
    <row r="758" ht="13.65" customHeight="1">
      <c r="A758" t="s" s="27">
        <v>1294</v>
      </c>
      <c r="B758" t="s" s="13">
        <v>22</v>
      </c>
      <c r="C758" s="31">
        <v>45334</v>
      </c>
      <c r="D758" s="14">
        <v>1403.6</v>
      </c>
      <c r="E758" s="14">
        <v>1399.65</v>
      </c>
      <c r="F758" s="14">
        <v>1413.65</v>
      </c>
      <c r="G758" s="14">
        <v>1383.35</v>
      </c>
      <c r="H758" s="14">
        <v>1392.4</v>
      </c>
      <c r="I758" s="14">
        <v>1390</v>
      </c>
      <c r="J758" s="14">
        <v>1394.91</v>
      </c>
      <c r="K758" t="s" s="13">
        <v>4187</v>
      </c>
      <c r="L758" t="s" s="13">
        <v>4188</v>
      </c>
      <c r="M758" t="s" s="13">
        <v>4189</v>
      </c>
      <c r="N758" t="s" s="13">
        <v>4190</v>
      </c>
      <c r="O758" s="15">
        <v>64.45999999999999</v>
      </c>
      <c r="P758" s="30" cm="1">
        <f t="array" ref="P758">(I758-I757)/I757</f>
        <v>-0.00968937019093759</v>
      </c>
      <c r="Q758" s="15">
        <v>25176534</v>
      </c>
    </row>
    <row r="759" ht="13.65" customHeight="1">
      <c r="A759" t="s" s="27">
        <v>1294</v>
      </c>
      <c r="B759" t="s" s="13">
        <v>22</v>
      </c>
      <c r="C759" s="31">
        <v>45335</v>
      </c>
      <c r="D759" s="14">
        <v>1390</v>
      </c>
      <c r="E759" s="14">
        <v>1391.95</v>
      </c>
      <c r="F759" s="14">
        <v>1404.35</v>
      </c>
      <c r="G759" s="14">
        <v>1384.35</v>
      </c>
      <c r="H759" s="14">
        <v>1391.95</v>
      </c>
      <c r="I759" s="14">
        <v>1394.45</v>
      </c>
      <c r="J759" s="14">
        <v>1394.82</v>
      </c>
      <c r="K759" t="s" s="13">
        <v>4191</v>
      </c>
      <c r="L759" t="s" s="13">
        <v>4192</v>
      </c>
      <c r="M759" t="s" s="13">
        <v>4193</v>
      </c>
      <c r="N759" t="s" s="13">
        <v>4194</v>
      </c>
      <c r="O759" s="15">
        <v>56.27</v>
      </c>
      <c r="P759" s="30" cm="1">
        <f t="array" ref="P759">(I759-I758)/I758</f>
        <v>0.00320143884892086</v>
      </c>
      <c r="Q759" s="15">
        <v>17837926</v>
      </c>
    </row>
    <row r="760" ht="13.65" customHeight="1">
      <c r="A760" t="s" s="27">
        <v>1294</v>
      </c>
      <c r="B760" t="s" s="13">
        <v>22</v>
      </c>
      <c r="C760" s="31">
        <v>45336</v>
      </c>
      <c r="D760" s="14">
        <v>1394.45</v>
      </c>
      <c r="E760" s="14">
        <v>1376</v>
      </c>
      <c r="F760" s="14">
        <v>1391.5</v>
      </c>
      <c r="G760" s="14">
        <v>1363.55</v>
      </c>
      <c r="H760" s="14">
        <v>1384.95</v>
      </c>
      <c r="I760" s="14">
        <v>1384.05</v>
      </c>
      <c r="J760" s="14">
        <v>1373.2</v>
      </c>
      <c r="K760" t="s" s="13">
        <v>4195</v>
      </c>
      <c r="L760" t="s" s="13">
        <v>4196</v>
      </c>
      <c r="M760" t="s" s="13">
        <v>4197</v>
      </c>
      <c r="N760" t="s" s="13">
        <v>4198</v>
      </c>
      <c r="O760" s="15">
        <v>54.65</v>
      </c>
      <c r="P760" s="30" cm="1">
        <f t="array" ref="P760">(I760-I759)/I759</f>
        <v>-0.00745813761698161</v>
      </c>
      <c r="Q760" s="15">
        <v>10064309</v>
      </c>
    </row>
    <row r="761" ht="13.65" customHeight="1">
      <c r="A761" t="s" s="27">
        <v>1294</v>
      </c>
      <c r="B761" t="s" s="13">
        <v>22</v>
      </c>
      <c r="C761" s="31">
        <v>45337</v>
      </c>
      <c r="D761" s="14">
        <v>1384.05</v>
      </c>
      <c r="E761" s="14">
        <v>1385</v>
      </c>
      <c r="F761" s="14">
        <v>1415.5</v>
      </c>
      <c r="G761" s="14">
        <v>1384.35</v>
      </c>
      <c r="H761" s="14">
        <v>1414.65</v>
      </c>
      <c r="I761" s="14">
        <v>1414.05</v>
      </c>
      <c r="J761" s="14">
        <v>1402.53</v>
      </c>
      <c r="K761" t="s" s="13">
        <v>4199</v>
      </c>
      <c r="L761" t="s" s="13">
        <v>4200</v>
      </c>
      <c r="M761" t="s" s="13">
        <v>4201</v>
      </c>
      <c r="N761" t="s" s="13">
        <v>4202</v>
      </c>
      <c r="O761" s="15">
        <v>50.79</v>
      </c>
      <c r="P761" s="30" cm="1">
        <f t="array" ref="P761">(I761-I760)/I760</f>
        <v>0.0216755175029804</v>
      </c>
      <c r="Q761" s="15">
        <v>16461358</v>
      </c>
    </row>
    <row r="762" ht="13.65" customHeight="1">
      <c r="A762" t="s" s="27">
        <v>1294</v>
      </c>
      <c r="B762" t="s" s="13">
        <v>22</v>
      </c>
      <c r="C762" s="31">
        <v>45338</v>
      </c>
      <c r="D762" s="14">
        <v>1414.05</v>
      </c>
      <c r="E762" s="14">
        <v>1423.9</v>
      </c>
      <c r="F762" s="14">
        <v>1427.7</v>
      </c>
      <c r="G762" s="14">
        <v>1408.45</v>
      </c>
      <c r="H762" s="14">
        <v>1417.05</v>
      </c>
      <c r="I762" s="14">
        <v>1419.9</v>
      </c>
      <c r="J762" s="14">
        <v>1417.97</v>
      </c>
      <c r="K762" t="s" s="13">
        <v>4203</v>
      </c>
      <c r="L762" t="s" s="13">
        <v>4204</v>
      </c>
      <c r="M762" t="s" s="13">
        <v>4205</v>
      </c>
      <c r="N762" t="s" s="13">
        <v>4206</v>
      </c>
      <c r="O762" s="15">
        <v>54.83</v>
      </c>
      <c r="P762" s="30" cm="1">
        <f t="array" ref="P762">(I762-I761)/I761</f>
        <v>0.00413705314522117</v>
      </c>
      <c r="Q762" s="15">
        <v>12370584</v>
      </c>
    </row>
    <row r="763" ht="13.65" customHeight="1">
      <c r="A763" t="s" s="27">
        <v>1294</v>
      </c>
      <c r="B763" t="s" s="13">
        <v>22</v>
      </c>
      <c r="C763" s="31">
        <v>45341</v>
      </c>
      <c r="D763" s="14">
        <v>1419.9</v>
      </c>
      <c r="E763" s="14">
        <v>1429</v>
      </c>
      <c r="F763" s="14">
        <v>1429</v>
      </c>
      <c r="G763" s="14">
        <v>1415.2</v>
      </c>
      <c r="H763" s="14">
        <v>1419</v>
      </c>
      <c r="I763" s="14">
        <v>1417.1</v>
      </c>
      <c r="J763" s="14">
        <v>1420.94</v>
      </c>
      <c r="K763" t="s" s="13">
        <v>4207</v>
      </c>
      <c r="L763" t="s" s="13">
        <v>4208</v>
      </c>
      <c r="M763" t="s" s="13">
        <v>4209</v>
      </c>
      <c r="N763" t="s" s="13">
        <v>4210</v>
      </c>
      <c r="O763" s="15">
        <v>70.66</v>
      </c>
      <c r="P763" s="30" cm="1">
        <f t="array" ref="P763">(I763-I762)/I762</f>
        <v>-0.00197196985703219</v>
      </c>
      <c r="Q763" s="15">
        <v>14818613</v>
      </c>
    </row>
    <row r="764" ht="13.65" customHeight="1">
      <c r="A764" t="s" s="27">
        <v>1294</v>
      </c>
      <c r="B764" t="s" s="13">
        <v>22</v>
      </c>
      <c r="C764" s="31">
        <v>45342</v>
      </c>
      <c r="D764" s="14">
        <v>1417.1</v>
      </c>
      <c r="E764" s="14">
        <v>1415</v>
      </c>
      <c r="F764" s="14">
        <v>1457.25</v>
      </c>
      <c r="G764" s="14">
        <v>1411.8</v>
      </c>
      <c r="H764" s="14">
        <v>1453</v>
      </c>
      <c r="I764" s="14">
        <v>1454.3</v>
      </c>
      <c r="J764" s="14">
        <v>1443.09</v>
      </c>
      <c r="K764" t="s" s="13">
        <v>4211</v>
      </c>
      <c r="L764" t="s" s="13">
        <v>4212</v>
      </c>
      <c r="M764" t="s" s="13">
        <v>4213</v>
      </c>
      <c r="N764" t="s" s="13">
        <v>4214</v>
      </c>
      <c r="O764" s="15">
        <v>64</v>
      </c>
      <c r="P764" s="30" cm="1">
        <f t="array" ref="P764">(I764-I763)/I763</f>
        <v>0.0262507938748148</v>
      </c>
      <c r="Q764" s="15">
        <v>16202574</v>
      </c>
    </row>
    <row r="765" ht="13.65" customHeight="1">
      <c r="A765" t="s" s="27">
        <v>1294</v>
      </c>
      <c r="B765" t="s" s="13">
        <v>22</v>
      </c>
      <c r="C765" s="31">
        <v>45343</v>
      </c>
      <c r="D765" s="14">
        <v>1454.3</v>
      </c>
      <c r="E765" s="14">
        <v>1464</v>
      </c>
      <c r="F765" s="14">
        <v>1464</v>
      </c>
      <c r="G765" s="14">
        <v>1435</v>
      </c>
      <c r="H765" s="14">
        <v>1436</v>
      </c>
      <c r="I765" s="14">
        <v>1439.15</v>
      </c>
      <c r="J765" s="14">
        <v>1446.29</v>
      </c>
      <c r="K765" t="s" s="13">
        <v>4215</v>
      </c>
      <c r="L765" t="s" s="13">
        <v>4216</v>
      </c>
      <c r="M765" t="s" s="13">
        <v>4217</v>
      </c>
      <c r="N765" t="s" s="13">
        <v>4218</v>
      </c>
      <c r="O765" s="15">
        <v>64.23999999999999</v>
      </c>
      <c r="P765" s="30" cm="1">
        <f t="array" ref="P765">(I765-I764)/I764</f>
        <v>-0.01041738293337</v>
      </c>
      <c r="Q765" s="15">
        <v>17665043</v>
      </c>
    </row>
    <row r="766" ht="13.65" customHeight="1">
      <c r="A766" t="s" s="27">
        <v>1294</v>
      </c>
      <c r="B766" t="s" s="13">
        <v>22</v>
      </c>
      <c r="C766" s="31">
        <v>45344</v>
      </c>
      <c r="D766" s="14">
        <v>1439.15</v>
      </c>
      <c r="E766" s="14">
        <v>1417.75</v>
      </c>
      <c r="F766" s="14">
        <v>1428.8</v>
      </c>
      <c r="G766" s="14">
        <v>1412.2</v>
      </c>
      <c r="H766" s="14">
        <v>1422</v>
      </c>
      <c r="I766" s="14">
        <v>1419.55</v>
      </c>
      <c r="J766" s="14">
        <v>1419.78</v>
      </c>
      <c r="K766" t="s" s="13">
        <v>4219</v>
      </c>
      <c r="L766" t="s" s="13">
        <v>4220</v>
      </c>
      <c r="M766" t="s" s="13">
        <v>4221</v>
      </c>
      <c r="N766" t="s" s="13">
        <v>4222</v>
      </c>
      <c r="O766" s="15">
        <v>56.33</v>
      </c>
      <c r="P766" s="30" cm="1">
        <f t="array" ref="P766">(I766-I765)/I765</f>
        <v>-0.0136191501928222</v>
      </c>
      <c r="Q766" s="15">
        <v>13477752</v>
      </c>
    </row>
    <row r="767" ht="13.65" customHeight="1">
      <c r="A767" t="s" s="27">
        <v>1294</v>
      </c>
      <c r="B767" t="s" s="13">
        <v>22</v>
      </c>
      <c r="C767" s="31">
        <v>45345</v>
      </c>
      <c r="D767" s="14">
        <v>1419.55</v>
      </c>
      <c r="E767" s="14">
        <v>1422.55</v>
      </c>
      <c r="F767" s="14">
        <v>1433.9</v>
      </c>
      <c r="G767" s="14">
        <v>1418</v>
      </c>
      <c r="H767" s="14">
        <v>1419.45</v>
      </c>
      <c r="I767" s="14">
        <v>1420.6</v>
      </c>
      <c r="J767" s="14">
        <v>1425.27</v>
      </c>
      <c r="K767" t="s" s="13">
        <v>4223</v>
      </c>
      <c r="L767" t="s" s="13">
        <v>4224</v>
      </c>
      <c r="M767" t="s" s="13">
        <v>4225</v>
      </c>
      <c r="N767" t="s" s="13">
        <v>4226</v>
      </c>
      <c r="O767" s="15">
        <v>64.63</v>
      </c>
      <c r="P767" s="30" cm="1">
        <f t="array" ref="P767">(I767-I766)/I766</f>
        <v>0.000739671022507133</v>
      </c>
      <c r="Q767" s="15">
        <v>21180771</v>
      </c>
    </row>
    <row r="768" ht="13.65" customHeight="1">
      <c r="A768" t="s" s="27">
        <v>1294</v>
      </c>
      <c r="B768" t="s" s="13">
        <v>22</v>
      </c>
      <c r="C768" s="31">
        <v>45348</v>
      </c>
      <c r="D768" s="14">
        <v>1420.6</v>
      </c>
      <c r="E768" s="14">
        <v>1413.55</v>
      </c>
      <c r="F768" s="14">
        <v>1434.85</v>
      </c>
      <c r="G768" s="14">
        <v>1413.55</v>
      </c>
      <c r="H768" s="14">
        <v>1421.95</v>
      </c>
      <c r="I768" s="14">
        <v>1422.3</v>
      </c>
      <c r="J768" s="14">
        <v>1426.02</v>
      </c>
      <c r="K768" t="s" s="13">
        <v>4227</v>
      </c>
      <c r="L768" t="s" s="13">
        <v>4228</v>
      </c>
      <c r="M768" t="s" s="13">
        <v>4229</v>
      </c>
      <c r="N768" t="s" s="13">
        <v>4230</v>
      </c>
      <c r="O768" s="15">
        <v>60.92</v>
      </c>
      <c r="P768" s="30" cm="1">
        <f t="array" ref="P768">(I768-I767)/I767</f>
        <v>0.00119667746022807</v>
      </c>
      <c r="Q768" s="15">
        <v>15906643</v>
      </c>
    </row>
    <row r="769" ht="13.65" customHeight="1">
      <c r="A769" t="s" s="27">
        <v>1294</v>
      </c>
      <c r="B769" t="s" s="13">
        <v>22</v>
      </c>
      <c r="C769" s="31">
        <v>45349</v>
      </c>
      <c r="D769" s="14">
        <v>1422.3</v>
      </c>
      <c r="E769" s="14">
        <v>1413.55</v>
      </c>
      <c r="F769" s="14">
        <v>1426.7</v>
      </c>
      <c r="G769" s="14">
        <v>1413.05</v>
      </c>
      <c r="H769" s="14">
        <v>1421.9</v>
      </c>
      <c r="I769" s="14">
        <v>1420.15</v>
      </c>
      <c r="J769" s="14">
        <v>1419.95</v>
      </c>
      <c r="K769" t="s" s="13">
        <v>4231</v>
      </c>
      <c r="L769" t="s" s="13">
        <v>4232</v>
      </c>
      <c r="M769" t="s" s="13">
        <v>4233</v>
      </c>
      <c r="N769" t="s" s="13">
        <v>4234</v>
      </c>
      <c r="O769" s="15">
        <v>63.82</v>
      </c>
      <c r="P769" s="30" cm="1">
        <f t="array" ref="P769">(I769-I768)/I768</f>
        <v>-0.00151163608240174</v>
      </c>
      <c r="Q769" s="15">
        <v>22318672</v>
      </c>
    </row>
    <row r="770" ht="13.65" customHeight="1">
      <c r="A770" t="s" s="27">
        <v>1294</v>
      </c>
      <c r="B770" t="s" s="13">
        <v>22</v>
      </c>
      <c r="C770" s="31">
        <v>45350</v>
      </c>
      <c r="D770" s="14">
        <v>1420.15</v>
      </c>
      <c r="E770" s="14">
        <v>1420.15</v>
      </c>
      <c r="F770" s="14">
        <v>1424.2</v>
      </c>
      <c r="G770" s="14">
        <v>1404</v>
      </c>
      <c r="H770" s="14">
        <v>1406.15</v>
      </c>
      <c r="I770" s="14">
        <v>1409.4</v>
      </c>
      <c r="J770" s="14">
        <v>1414.58</v>
      </c>
      <c r="K770" t="s" s="13">
        <v>4235</v>
      </c>
      <c r="L770" t="s" s="13">
        <v>4236</v>
      </c>
      <c r="M770" t="s" s="13">
        <v>4237</v>
      </c>
      <c r="N770" t="s" s="13">
        <v>4238</v>
      </c>
      <c r="O770" s="15">
        <v>65.44</v>
      </c>
      <c r="P770" s="30" cm="1">
        <f t="array" ref="P770">(I770-I769)/I769</f>
        <v>-0.00756962292715558</v>
      </c>
      <c r="Q770" s="15">
        <v>21682696</v>
      </c>
    </row>
    <row r="771" ht="13.65" customHeight="1">
      <c r="A771" t="s" s="27">
        <v>1294</v>
      </c>
      <c r="B771" t="s" s="13">
        <v>22</v>
      </c>
      <c r="C771" s="31">
        <v>45351</v>
      </c>
      <c r="D771" s="14">
        <v>1409.4</v>
      </c>
      <c r="E771" s="14">
        <v>1402.1</v>
      </c>
      <c r="F771" s="14">
        <v>1410.4</v>
      </c>
      <c r="G771" s="14">
        <v>1397.3</v>
      </c>
      <c r="H771" s="14">
        <v>1407.8</v>
      </c>
      <c r="I771" s="14">
        <v>1403.4</v>
      </c>
      <c r="J771" s="14">
        <v>1403.21</v>
      </c>
      <c r="K771" t="s" s="13">
        <v>4239</v>
      </c>
      <c r="L771" t="s" s="13">
        <v>4240</v>
      </c>
      <c r="M771" t="s" s="13">
        <v>4241</v>
      </c>
      <c r="N771" t="s" s="13">
        <v>4242</v>
      </c>
      <c r="O771" s="15">
        <v>63.44</v>
      </c>
      <c r="P771" s="30" cm="1">
        <f t="array" ref="P771">(I771-I770)/I770</f>
        <v>-0.0042571306939123</v>
      </c>
      <c r="Q771" s="15">
        <v>20012699</v>
      </c>
    </row>
    <row r="772" ht="13.65" customHeight="1">
      <c r="A772" t="s" s="27">
        <v>1294</v>
      </c>
      <c r="B772" t="s" s="13">
        <v>22</v>
      </c>
      <c r="C772" s="28">
        <v>45352</v>
      </c>
      <c r="D772" s="14">
        <v>1403.4</v>
      </c>
      <c r="E772" s="14">
        <v>1400</v>
      </c>
      <c r="F772" s="14">
        <v>1432.75</v>
      </c>
      <c r="G772" s="14">
        <v>1400</v>
      </c>
      <c r="H772" s="14">
        <v>1429.3</v>
      </c>
      <c r="I772" s="14">
        <v>1430.75</v>
      </c>
      <c r="J772" s="14">
        <v>1419.53</v>
      </c>
      <c r="K772" t="s" s="13">
        <v>4243</v>
      </c>
      <c r="L772" t="s" s="13">
        <v>4244</v>
      </c>
      <c r="M772" t="s" s="13">
        <v>4245</v>
      </c>
      <c r="N772" t="s" s="13">
        <v>4246</v>
      </c>
      <c r="O772" s="15">
        <v>62.98</v>
      </c>
      <c r="P772" s="30" cm="1">
        <f t="array" ref="P772">(I772-I771)/I771</f>
        <v>0.0194883853498646</v>
      </c>
      <c r="Q772" s="15">
        <v>12599785</v>
      </c>
    </row>
    <row r="773" ht="13.65" customHeight="1">
      <c r="A773" t="s" s="27">
        <v>1294</v>
      </c>
      <c r="B773" t="s" s="13">
        <v>22</v>
      </c>
      <c r="C773" s="28">
        <v>45353</v>
      </c>
      <c r="D773" s="14">
        <v>1430.75</v>
      </c>
      <c r="E773" s="14">
        <v>1434.55</v>
      </c>
      <c r="F773" s="14">
        <v>1436</v>
      </c>
      <c r="G773" s="14">
        <v>1428.1</v>
      </c>
      <c r="H773" s="14">
        <v>1430.95</v>
      </c>
      <c r="I773" s="14">
        <v>1430.75</v>
      </c>
      <c r="J773" s="14">
        <v>1431.16</v>
      </c>
      <c r="K773" t="s" s="13">
        <v>4247</v>
      </c>
      <c r="L773" t="s" s="13">
        <v>4248</v>
      </c>
      <c r="M773" s="34">
        <v>27274</v>
      </c>
      <c r="N773" t="s" s="13">
        <v>4249</v>
      </c>
      <c r="O773" s="15">
        <v>57.49</v>
      </c>
      <c r="P773" s="30" cm="1">
        <f t="array" ref="P773">(I773-I772)/I772</f>
        <v>0</v>
      </c>
      <c r="Q773" s="35"/>
    </row>
    <row r="774" ht="13.65" customHeight="1">
      <c r="A774" t="s" s="27">
        <v>1294</v>
      </c>
      <c r="B774" t="s" s="13">
        <v>22</v>
      </c>
      <c r="C774" s="28">
        <v>45355</v>
      </c>
      <c r="D774" s="14">
        <v>1430.75</v>
      </c>
      <c r="E774" s="14">
        <v>1430.95</v>
      </c>
      <c r="F774" s="14">
        <v>1437</v>
      </c>
      <c r="G774" s="14">
        <v>1424.3</v>
      </c>
      <c r="H774" s="14">
        <v>1432</v>
      </c>
      <c r="I774" s="14">
        <v>1432.7</v>
      </c>
      <c r="J774" s="14">
        <v>1430.81</v>
      </c>
      <c r="K774" t="s" s="13">
        <v>4250</v>
      </c>
      <c r="L774" t="s" s="13">
        <v>4251</v>
      </c>
      <c r="M774" t="s" s="13">
        <v>4252</v>
      </c>
      <c r="N774" t="s" s="13">
        <v>4253</v>
      </c>
      <c r="O774" s="15">
        <v>75.89</v>
      </c>
      <c r="P774" s="17" cm="1">
        <f t="array" ref="P774">(I774-I773)/I773</f>
        <v>0.00136292154464442</v>
      </c>
      <c r="Q774" s="21"/>
    </row>
    <row r="775" ht="13.65" customHeight="1">
      <c r="A775" t="s" s="27">
        <v>1294</v>
      </c>
      <c r="B775" t="s" s="13">
        <v>22</v>
      </c>
      <c r="C775" s="28">
        <v>45356</v>
      </c>
      <c r="D775" s="14">
        <v>1432.7</v>
      </c>
      <c r="E775" s="14">
        <v>1422</v>
      </c>
      <c r="F775" s="14">
        <v>1443</v>
      </c>
      <c r="G775" s="14">
        <v>1421.65</v>
      </c>
      <c r="H775" s="14">
        <v>1439.2</v>
      </c>
      <c r="I775" s="14">
        <v>1440.85</v>
      </c>
      <c r="J775" s="14">
        <v>1432.7</v>
      </c>
      <c r="K775" t="s" s="13">
        <v>4254</v>
      </c>
      <c r="L775" t="s" s="13">
        <v>4255</v>
      </c>
      <c r="M775" t="s" s="13">
        <v>4256</v>
      </c>
      <c r="N775" t="s" s="13">
        <v>4257</v>
      </c>
      <c r="O775" s="15">
        <v>68.72</v>
      </c>
      <c r="P775" s="17" cm="1">
        <f t="array" ref="P775">(I775-I774)/I774</f>
        <v>0.00568856006142249</v>
      </c>
      <c r="Q775" s="23" cm="1">
        <f t="array" ref="Q775">AVERAGE(Q524:Q772)</f>
        <v>19946620.4516129</v>
      </c>
    </row>
    <row r="776" ht="13.65" customHeight="1">
      <c r="A776" t="s" s="27">
        <v>1294</v>
      </c>
      <c r="B776" t="s" s="13">
        <v>22</v>
      </c>
      <c r="C776" s="28">
        <v>45357</v>
      </c>
      <c r="D776" s="14">
        <v>1440.85</v>
      </c>
      <c r="E776" s="14">
        <v>1433.55</v>
      </c>
      <c r="F776" s="14">
        <v>1452.85</v>
      </c>
      <c r="G776" s="14">
        <v>1433.55</v>
      </c>
      <c r="H776" s="14">
        <v>1442.85</v>
      </c>
      <c r="I776" s="14">
        <v>1442.6</v>
      </c>
      <c r="J776" s="14">
        <v>1444.3</v>
      </c>
      <c r="K776" t="s" s="13">
        <v>4258</v>
      </c>
      <c r="L776" t="s" s="13">
        <v>4259</v>
      </c>
      <c r="M776" t="s" s="13">
        <v>4260</v>
      </c>
      <c r="N776" t="s" s="13">
        <v>4261</v>
      </c>
      <c r="O776" s="15">
        <v>51.89</v>
      </c>
      <c r="P776" s="17" cm="1">
        <f t="array" ref="P776">(I776-I775)/I775</f>
        <v>0.00121456084949856</v>
      </c>
      <c r="Q776" s="8"/>
    </row>
    <row r="777" ht="13.65" customHeight="1">
      <c r="A777" t="s" s="27">
        <v>1294</v>
      </c>
      <c r="B777" t="s" s="13">
        <v>22</v>
      </c>
      <c r="C777" s="28">
        <v>45358</v>
      </c>
      <c r="D777" s="14">
        <v>1442.6</v>
      </c>
      <c r="E777" s="14">
        <v>1445.5</v>
      </c>
      <c r="F777" s="14">
        <v>1451.05</v>
      </c>
      <c r="G777" s="14">
        <v>1441.4</v>
      </c>
      <c r="H777" s="14">
        <v>1446</v>
      </c>
      <c r="I777" s="14">
        <v>1446.1</v>
      </c>
      <c r="J777" s="14">
        <v>1445.23</v>
      </c>
      <c r="K777" t="s" s="13">
        <v>4262</v>
      </c>
      <c r="L777" t="s" s="13">
        <v>4263</v>
      </c>
      <c r="M777" t="s" s="13">
        <v>4264</v>
      </c>
      <c r="N777" t="s" s="13">
        <v>4265</v>
      </c>
      <c r="O777" s="15">
        <v>84.56999999999999</v>
      </c>
      <c r="P777" s="17" cm="1">
        <f t="array" ref="P777">(I777-I776)/I776</f>
        <v>0.00242617496187439</v>
      </c>
      <c r="Q777" s="8"/>
    </row>
    <row r="778" ht="13.65" customHeight="1">
      <c r="A778" t="s" s="27">
        <v>1294</v>
      </c>
      <c r="B778" t="s" s="13">
        <v>22</v>
      </c>
      <c r="C778" s="31">
        <v>45362</v>
      </c>
      <c r="D778" s="14">
        <v>1446.1</v>
      </c>
      <c r="E778" s="14">
        <v>1430</v>
      </c>
      <c r="F778" s="14">
        <v>1445.95</v>
      </c>
      <c r="G778" s="14">
        <v>1423</v>
      </c>
      <c r="H778" s="14">
        <v>1427</v>
      </c>
      <c r="I778" s="14">
        <v>1427.8</v>
      </c>
      <c r="J778" s="14">
        <v>1431.56</v>
      </c>
      <c r="K778" t="s" s="13">
        <v>4266</v>
      </c>
      <c r="L778" t="s" s="13">
        <v>4267</v>
      </c>
      <c r="M778" t="s" s="13">
        <v>4268</v>
      </c>
      <c r="N778" t="s" s="13">
        <v>4269</v>
      </c>
      <c r="O778" s="15">
        <v>75.06</v>
      </c>
      <c r="P778" s="17" cm="1">
        <f t="array" ref="P778">(I778-I777)/I777</f>
        <v>-0.0126547265057742</v>
      </c>
      <c r="Q778" s="8"/>
    </row>
    <row r="779" ht="13.65" customHeight="1">
      <c r="A779" t="s" s="27">
        <v>1294</v>
      </c>
      <c r="B779" t="s" s="13">
        <v>22</v>
      </c>
      <c r="C779" s="31">
        <v>45363</v>
      </c>
      <c r="D779" s="14">
        <v>1427.8</v>
      </c>
      <c r="E779" s="14">
        <v>1434</v>
      </c>
      <c r="F779" s="14">
        <v>1464</v>
      </c>
      <c r="G779" s="14">
        <v>1429.25</v>
      </c>
      <c r="H779" s="14">
        <v>1460.75</v>
      </c>
      <c r="I779" s="14">
        <v>1459.55</v>
      </c>
      <c r="J779" s="14">
        <v>1455.21</v>
      </c>
      <c r="K779" t="s" s="13">
        <v>4270</v>
      </c>
      <c r="L779" t="s" s="13">
        <v>4271</v>
      </c>
      <c r="M779" t="s" s="13">
        <v>4272</v>
      </c>
      <c r="N779" t="s" s="13">
        <v>4273</v>
      </c>
      <c r="O779" s="15">
        <v>50.09</v>
      </c>
      <c r="P779" s="17" cm="1">
        <f t="array" ref="P779">(I779-I778)/I778</f>
        <v>0.0222370079843115</v>
      </c>
      <c r="Q779" s="8"/>
    </row>
    <row r="780" ht="13.65" customHeight="1">
      <c r="A780" t="s" s="27">
        <v>1294</v>
      </c>
      <c r="B780" t="s" s="13">
        <v>22</v>
      </c>
      <c r="C780" s="31">
        <v>45364</v>
      </c>
      <c r="D780" s="14">
        <v>1459.55</v>
      </c>
      <c r="E780" s="14">
        <v>1465.5</v>
      </c>
      <c r="F780" s="14">
        <v>1471.6</v>
      </c>
      <c r="G780" s="14">
        <v>1450.1</v>
      </c>
      <c r="H780" s="14">
        <v>1459.7</v>
      </c>
      <c r="I780" s="14">
        <v>1460.4</v>
      </c>
      <c r="J780" s="14">
        <v>1461.57</v>
      </c>
      <c r="K780" t="s" s="13">
        <v>4274</v>
      </c>
      <c r="L780" t="s" s="13">
        <v>4275</v>
      </c>
      <c r="M780" t="s" s="13">
        <v>4276</v>
      </c>
      <c r="N780" t="s" s="13">
        <v>4277</v>
      </c>
      <c r="O780" s="15">
        <v>56.5</v>
      </c>
      <c r="P780" s="17" cm="1">
        <f t="array" ref="P780">(I780-I779)/I779</f>
        <v>0.000582371278818814</v>
      </c>
      <c r="Q780" s="8"/>
    </row>
    <row r="781" ht="13.65" customHeight="1">
      <c r="A781" t="s" s="27">
        <v>1294</v>
      </c>
      <c r="B781" t="s" s="13">
        <v>22</v>
      </c>
      <c r="C781" s="31">
        <v>45365</v>
      </c>
      <c r="D781" s="14">
        <v>1460.4</v>
      </c>
      <c r="E781" s="14">
        <v>1462.1</v>
      </c>
      <c r="F781" s="14">
        <v>1466</v>
      </c>
      <c r="G781" s="14">
        <v>1444.3</v>
      </c>
      <c r="H781" s="14">
        <v>1457</v>
      </c>
      <c r="I781" s="14">
        <v>1455.45</v>
      </c>
      <c r="J781" s="14">
        <v>1452.98</v>
      </c>
      <c r="K781" t="s" s="13">
        <v>4278</v>
      </c>
      <c r="L781" t="s" s="13">
        <v>4279</v>
      </c>
      <c r="M781" t="s" s="13">
        <v>4280</v>
      </c>
      <c r="N781" t="s" s="13">
        <v>4281</v>
      </c>
      <c r="O781" s="15">
        <v>55.33</v>
      </c>
      <c r="P781" s="17" cm="1">
        <f t="array" ref="P781">(I781-I780)/I780</f>
        <v>-0.00338948233360723</v>
      </c>
      <c r="Q781" s="8"/>
    </row>
    <row r="782" ht="13.65" customHeight="1">
      <c r="A782" t="s" s="27">
        <v>1294</v>
      </c>
      <c r="B782" t="s" s="13">
        <v>22</v>
      </c>
      <c r="C782" s="31">
        <v>45366</v>
      </c>
      <c r="D782" s="14">
        <v>1455.45</v>
      </c>
      <c r="E782" s="14">
        <v>1450</v>
      </c>
      <c r="F782" s="14">
        <v>1459.3</v>
      </c>
      <c r="G782" s="14">
        <v>1442.25</v>
      </c>
      <c r="H782" s="14">
        <v>1454.7</v>
      </c>
      <c r="I782" s="14">
        <v>1452.65</v>
      </c>
      <c r="J782" s="14">
        <v>1452.16</v>
      </c>
      <c r="K782" t="s" s="13">
        <v>4282</v>
      </c>
      <c r="L782" t="s" s="13">
        <v>4283</v>
      </c>
      <c r="M782" t="s" s="13">
        <v>4284</v>
      </c>
      <c r="N782" t="s" s="13">
        <v>4285</v>
      </c>
      <c r="O782" s="15">
        <v>70.73999999999999</v>
      </c>
      <c r="P782" s="17" cm="1">
        <f t="array" ref="P782">(I782-I781)/I781</f>
        <v>-0.00192380363461472</v>
      </c>
      <c r="Q782" s="8"/>
    </row>
    <row r="783" ht="13.65" customHeight="1">
      <c r="A783" t="s" s="27">
        <v>1294</v>
      </c>
      <c r="B783" t="s" s="13">
        <v>22</v>
      </c>
      <c r="C783" s="31">
        <v>45369</v>
      </c>
      <c r="D783" s="14">
        <v>1452.65</v>
      </c>
      <c r="E783" s="14">
        <v>1447</v>
      </c>
      <c r="F783" s="14">
        <v>1456</v>
      </c>
      <c r="G783" s="14">
        <v>1435.8</v>
      </c>
      <c r="H783" s="14">
        <v>1445.75</v>
      </c>
      <c r="I783" s="14">
        <v>1446.05</v>
      </c>
      <c r="J783" s="14">
        <v>1447.44</v>
      </c>
      <c r="K783" t="s" s="13">
        <v>4286</v>
      </c>
      <c r="L783" t="s" s="13">
        <v>4287</v>
      </c>
      <c r="M783" t="s" s="13">
        <v>4288</v>
      </c>
      <c r="N783" t="s" s="13">
        <v>4289</v>
      </c>
      <c r="O783" s="15">
        <v>53.1</v>
      </c>
      <c r="P783" s="17" cm="1">
        <f t="array" ref="P783">(I783-I782)/I782</f>
        <v>-0.00454342064502805</v>
      </c>
      <c r="Q783" s="8"/>
    </row>
    <row r="784" ht="13.65" customHeight="1">
      <c r="A784" t="s" s="27">
        <v>1294</v>
      </c>
      <c r="B784" t="s" s="13">
        <v>22</v>
      </c>
      <c r="C784" s="31">
        <v>45370</v>
      </c>
      <c r="D784" s="14">
        <v>1446.05</v>
      </c>
      <c r="E784" s="14">
        <v>1435.5</v>
      </c>
      <c r="F784" s="14">
        <v>1452.4</v>
      </c>
      <c r="G784" s="14">
        <v>1435.5</v>
      </c>
      <c r="H784" s="14">
        <v>1449.95</v>
      </c>
      <c r="I784" s="14">
        <v>1449.35</v>
      </c>
      <c r="J784" s="14">
        <v>1445.73</v>
      </c>
      <c r="K784" t="s" s="13">
        <v>4290</v>
      </c>
      <c r="L784" t="s" s="13">
        <v>4291</v>
      </c>
      <c r="M784" t="s" s="13">
        <v>4292</v>
      </c>
      <c r="N784" t="s" s="13">
        <v>4293</v>
      </c>
      <c r="O784" s="15">
        <v>62.57</v>
      </c>
      <c r="P784" s="17" cm="1">
        <f t="array" ref="P784">(I784-I783)/I783</f>
        <v>0.00228207876629439</v>
      </c>
      <c r="Q784" s="8"/>
    </row>
    <row r="785" ht="13.65" customHeight="1">
      <c r="A785" t="s" s="27">
        <v>1294</v>
      </c>
      <c r="B785" t="s" s="13">
        <v>22</v>
      </c>
      <c r="C785" s="31">
        <v>45371</v>
      </c>
      <c r="D785" s="14">
        <v>1449.35</v>
      </c>
      <c r="E785" s="14">
        <v>1449.05</v>
      </c>
      <c r="F785" s="14">
        <v>1451.65</v>
      </c>
      <c r="G785" s="14">
        <v>1424.65</v>
      </c>
      <c r="H785" s="14">
        <v>1432</v>
      </c>
      <c r="I785" s="14">
        <v>1431.05</v>
      </c>
      <c r="J785" s="14">
        <v>1435.82</v>
      </c>
      <c r="K785" t="s" s="13">
        <v>4294</v>
      </c>
      <c r="L785" t="s" s="13">
        <v>4295</v>
      </c>
      <c r="M785" t="s" s="13">
        <v>4296</v>
      </c>
      <c r="N785" t="s" s="13">
        <v>4297</v>
      </c>
      <c r="O785" s="15">
        <v>56.68</v>
      </c>
      <c r="P785" s="17" cm="1">
        <f t="array" ref="P785">(I785-I784)/I784</f>
        <v>-0.0126263497429882</v>
      </c>
      <c r="Q785" s="8"/>
    </row>
    <row r="786" ht="13.65" customHeight="1">
      <c r="A786" t="s" s="27">
        <v>1294</v>
      </c>
      <c r="B786" t="s" s="13">
        <v>22</v>
      </c>
      <c r="C786" s="31">
        <v>45372</v>
      </c>
      <c r="D786" s="14">
        <v>1431.05</v>
      </c>
      <c r="E786" s="14">
        <v>1442.6</v>
      </c>
      <c r="F786" s="14">
        <v>1451.25</v>
      </c>
      <c r="G786" s="14">
        <v>1438.3</v>
      </c>
      <c r="H786" s="14">
        <v>1445.4</v>
      </c>
      <c r="I786" s="14">
        <v>1445.75</v>
      </c>
      <c r="J786" s="14">
        <v>1445.43</v>
      </c>
      <c r="K786" t="s" s="13">
        <v>4298</v>
      </c>
      <c r="L786" t="s" s="13">
        <v>4299</v>
      </c>
      <c r="M786" t="s" s="13">
        <v>4300</v>
      </c>
      <c r="N786" t="s" s="13">
        <v>4301</v>
      </c>
      <c r="O786" s="15">
        <v>61.87</v>
      </c>
      <c r="P786" s="17" cm="1">
        <f t="array" ref="P786">(I786-I785)/I785</f>
        <v>0.0102721777715663</v>
      </c>
      <c r="Q786" s="8"/>
    </row>
    <row r="787" ht="13.65" customHeight="1">
      <c r="A787" t="s" s="27">
        <v>1294</v>
      </c>
      <c r="B787" t="s" s="13">
        <v>22</v>
      </c>
      <c r="C787" s="31">
        <v>45373</v>
      </c>
      <c r="D787" s="14">
        <v>1445.75</v>
      </c>
      <c r="E787" s="14">
        <v>1441</v>
      </c>
      <c r="F787" s="14">
        <v>1450.75</v>
      </c>
      <c r="G787" s="14">
        <v>1437.75</v>
      </c>
      <c r="H787" s="14">
        <v>1442.55</v>
      </c>
      <c r="I787" s="14">
        <v>1442.85</v>
      </c>
      <c r="J787" s="14">
        <v>1443.79</v>
      </c>
      <c r="K787" t="s" s="13">
        <v>4302</v>
      </c>
      <c r="L787" t="s" s="13">
        <v>4303</v>
      </c>
      <c r="M787" t="s" s="13">
        <v>4304</v>
      </c>
      <c r="N787" t="s" s="13">
        <v>4305</v>
      </c>
      <c r="O787" s="15">
        <v>63.44</v>
      </c>
      <c r="P787" s="17" cm="1">
        <f t="array" ref="P787">(I787-I786)/I786</f>
        <v>-0.00200587930140066</v>
      </c>
      <c r="Q787" s="8"/>
    </row>
    <row r="788" ht="13.65" customHeight="1">
      <c r="A788" t="s" s="27">
        <v>1294</v>
      </c>
      <c r="B788" t="s" s="13">
        <v>22</v>
      </c>
      <c r="C788" s="31">
        <v>45377</v>
      </c>
      <c r="D788" s="14">
        <v>1442.85</v>
      </c>
      <c r="E788" s="14">
        <v>1427.2</v>
      </c>
      <c r="F788" s="14">
        <v>1437.95</v>
      </c>
      <c r="G788" s="14">
        <v>1422.15</v>
      </c>
      <c r="H788" s="14">
        <v>1424.9</v>
      </c>
      <c r="I788" s="14">
        <v>1425.4</v>
      </c>
      <c r="J788" s="14">
        <v>1430.24</v>
      </c>
      <c r="K788" t="s" s="13">
        <v>4306</v>
      </c>
      <c r="L788" t="s" s="13">
        <v>4307</v>
      </c>
      <c r="M788" t="s" s="13">
        <v>4308</v>
      </c>
      <c r="N788" t="s" s="13">
        <v>4309</v>
      </c>
      <c r="O788" s="15">
        <v>72.14</v>
      </c>
      <c r="P788" s="17" cm="1">
        <f t="array" ref="P788">(I788-I787)/I787</f>
        <v>-0.0120941192778182</v>
      </c>
      <c r="Q788" s="8"/>
    </row>
    <row r="789" ht="13.65" customHeight="1">
      <c r="A789" t="s" s="27">
        <v>1294</v>
      </c>
      <c r="B789" t="s" s="13">
        <v>22</v>
      </c>
      <c r="C789" s="31">
        <v>45378</v>
      </c>
      <c r="D789" s="14">
        <v>1425.4</v>
      </c>
      <c r="E789" s="14">
        <v>1423.55</v>
      </c>
      <c r="F789" s="14">
        <v>1447.95</v>
      </c>
      <c r="G789" s="14">
        <v>1421.25</v>
      </c>
      <c r="H789" s="14">
        <v>1443.65</v>
      </c>
      <c r="I789" s="14">
        <v>1440.7</v>
      </c>
      <c r="J789" s="14">
        <v>1436.27</v>
      </c>
      <c r="K789" t="s" s="13">
        <v>4310</v>
      </c>
      <c r="L789" t="s" s="13">
        <v>4311</v>
      </c>
      <c r="M789" t="s" s="13">
        <v>4312</v>
      </c>
      <c r="N789" t="s" s="13">
        <v>4313</v>
      </c>
      <c r="O789" s="15">
        <v>63.64</v>
      </c>
      <c r="P789" s="17" cm="1">
        <f t="array" ref="P789">(I789-I788)/I788</f>
        <v>0.0107338291006033</v>
      </c>
      <c r="Q789" s="8"/>
    </row>
    <row r="790" ht="13.65" customHeight="1">
      <c r="A790" t="s" s="27">
        <v>1294</v>
      </c>
      <c r="B790" t="s" s="13">
        <v>22</v>
      </c>
      <c r="C790" s="31">
        <v>45379</v>
      </c>
      <c r="D790" s="14">
        <v>1440.7</v>
      </c>
      <c r="E790" s="14">
        <v>1440.7</v>
      </c>
      <c r="F790" s="14">
        <v>1460.5</v>
      </c>
      <c r="G790" s="14">
        <v>1440.7</v>
      </c>
      <c r="H790" s="14">
        <v>1447</v>
      </c>
      <c r="I790" s="14">
        <v>1447.9</v>
      </c>
      <c r="J790" s="14">
        <v>1451.6</v>
      </c>
      <c r="K790" t="s" s="13">
        <v>4314</v>
      </c>
      <c r="L790" t="s" s="13">
        <v>4315</v>
      </c>
      <c r="M790" t="s" s="13">
        <v>4316</v>
      </c>
      <c r="N790" t="s" s="13">
        <v>4317</v>
      </c>
      <c r="O790" s="15">
        <v>60.54</v>
      </c>
      <c r="P790" s="17" cm="1">
        <f t="array" ref="P790">(I790-I789)/I789</f>
        <v>0.00499757062539044</v>
      </c>
      <c r="Q790" s="8"/>
    </row>
    <row r="791" ht="13.65" customHeight="1">
      <c r="A791" t="s" s="27">
        <v>1294</v>
      </c>
      <c r="B791" t="s" s="13">
        <v>22</v>
      </c>
      <c r="C791" s="28">
        <v>45383</v>
      </c>
      <c r="D791" s="14">
        <v>1447.9</v>
      </c>
      <c r="E791" s="14">
        <v>1458</v>
      </c>
      <c r="F791" s="14">
        <v>1473.8</v>
      </c>
      <c r="G791" s="14">
        <v>1455.6</v>
      </c>
      <c r="H791" s="14">
        <v>1470</v>
      </c>
      <c r="I791" s="14">
        <v>1470.5</v>
      </c>
      <c r="J791" s="14">
        <v>1466.67</v>
      </c>
      <c r="K791" t="s" s="13">
        <v>4318</v>
      </c>
      <c r="L791" t="s" s="13">
        <v>4319</v>
      </c>
      <c r="M791" t="s" s="13">
        <v>4320</v>
      </c>
      <c r="N791" t="s" s="13">
        <v>4321</v>
      </c>
      <c r="O791" s="15">
        <v>66.92</v>
      </c>
      <c r="P791" s="17" cm="1">
        <f t="array" ref="P791">(I791-I790)/I790</f>
        <v>0.0156088127633124</v>
      </c>
      <c r="Q791" s="8"/>
    </row>
    <row r="792" ht="13.65" customHeight="1">
      <c r="A792" s="21"/>
      <c r="B792" s="21"/>
      <c r="C792" s="21"/>
      <c r="D792" s="21"/>
      <c r="E792" s="21"/>
      <c r="F792" s="21"/>
      <c r="G792" s="21"/>
      <c r="H792" s="21"/>
      <c r="I792" s="21"/>
      <c r="J792" s="21"/>
      <c r="K792" s="21"/>
      <c r="L792" s="21"/>
      <c r="M792" s="21"/>
      <c r="N792" s="21"/>
      <c r="O792" s="21"/>
      <c r="P792" s="8"/>
      <c r="Q792" s="8"/>
    </row>
    <row r="793" ht="13.65" customHeight="1">
      <c r="A793" s="8"/>
      <c r="B793" s="8"/>
      <c r="C793" s="8"/>
      <c r="D793" s="8"/>
      <c r="E793" s="8"/>
      <c r="F793" s="8"/>
      <c r="G793" s="8"/>
      <c r="H793" s="8"/>
      <c r="I793" s="8"/>
      <c r="J793" s="8"/>
      <c r="K793" s="8"/>
      <c r="L793" s="8"/>
      <c r="M793" s="8"/>
      <c r="N793" s="8"/>
      <c r="O793" s="8"/>
      <c r="P793" s="8"/>
      <c r="Q793" s="8"/>
    </row>
    <row r="794" ht="13.65" customHeight="1">
      <c r="A794" t="s" s="7">
        <v>778</v>
      </c>
      <c r="B794" s="8"/>
      <c r="C794" s="8"/>
      <c r="D794" s="8"/>
      <c r="E794" s="8"/>
      <c r="F794" s="8"/>
      <c r="G794" s="8"/>
      <c r="H794" s="8"/>
      <c r="I794" s="8"/>
      <c r="J794" s="8"/>
      <c r="K794" s="8"/>
      <c r="L794" s="8"/>
      <c r="M794" s="8"/>
      <c r="N794" s="8"/>
      <c r="O794" t="s" s="7">
        <v>1028</v>
      </c>
      <c r="P794" s="22" cm="1">
        <f t="array" ref="P794">AVERAGE(P525:P791)</f>
        <v>0.052783168886824</v>
      </c>
      <c r="Q794" s="8"/>
    </row>
    <row r="795" ht="13.65" customHeight="1">
      <c r="A795" s="8"/>
      <c r="B795" s="8"/>
      <c r="C795" s="8"/>
      <c r="D795" s="8"/>
      <c r="E795" s="8"/>
      <c r="F795" s="8"/>
      <c r="G795" s="8"/>
      <c r="H795" s="8"/>
      <c r="I795" s="8"/>
      <c r="J795" s="8"/>
      <c r="K795" s="8"/>
      <c r="L795" s="8"/>
      <c r="M795" s="8"/>
      <c r="N795" s="8"/>
      <c r="O795" t="s" s="7">
        <v>527</v>
      </c>
      <c r="P795" s="22" cm="1">
        <f t="array" ref="P795">STDEV(P525:P791)</f>
        <v>0.404187049904732</v>
      </c>
      <c r="Q795" s="8"/>
    </row>
    <row r="796" ht="13.65" customHeight="1">
      <c r="A796" s="8"/>
      <c r="B796" s="8"/>
      <c r="C796" s="8"/>
      <c r="D796" s="8"/>
      <c r="E796" s="8"/>
      <c r="F796" s="8"/>
      <c r="G796" s="8"/>
      <c r="H796" s="8"/>
      <c r="I796" s="8"/>
      <c r="J796" s="8"/>
      <c r="K796" s="8"/>
      <c r="L796" s="8"/>
      <c r="M796" s="8"/>
      <c r="N796" s="8"/>
      <c r="O796" t="s" s="7">
        <v>275</v>
      </c>
      <c r="P796" s="23" cm="1">
        <f t="array" ref="P796">IF(I791&gt;I524,1,IF(I791&lt;I524,-1,0))</f>
        <v>-1</v>
      </c>
      <c r="Q796" s="8"/>
    </row>
    <row r="797" ht="13.65" customHeight="1">
      <c r="A797" s="8"/>
      <c r="B797" s="8"/>
      <c r="C797" s="8"/>
      <c r="D797" s="8"/>
      <c r="E797" s="8"/>
      <c r="F797" s="8"/>
      <c r="G797" s="8"/>
      <c r="H797" s="8"/>
      <c r="I797" s="8"/>
      <c r="J797" s="8"/>
      <c r="K797" s="8"/>
      <c r="L797" s="8"/>
      <c r="M797" s="8"/>
      <c r="N797" s="8"/>
      <c r="O797" t="s" s="7">
        <v>528</v>
      </c>
      <c r="P797" s="22" cm="1">
        <f t="array" ref="P797">(I791-I524)/I524</f>
        <v>-0.0869578715345689</v>
      </c>
      <c r="Q797" s="8"/>
    </row>
    <row r="798" ht="13.65" customHeight="1">
      <c r="A798" s="9"/>
      <c r="B798" s="9"/>
      <c r="C798" s="9"/>
      <c r="D798" s="9"/>
      <c r="E798" s="9"/>
      <c r="F798" s="9"/>
      <c r="G798" s="9"/>
      <c r="H798" s="9"/>
      <c r="I798" s="9"/>
      <c r="J798" s="9"/>
      <c r="K798" s="9"/>
      <c r="L798" s="9"/>
      <c r="M798" s="9"/>
      <c r="N798" s="9"/>
      <c r="O798" s="9"/>
      <c r="P798" s="8"/>
      <c r="Q798" s="9"/>
    </row>
    <row r="799" ht="13.65" customHeight="1">
      <c r="A799" t="s" s="10">
        <v>1279</v>
      </c>
      <c r="B799" t="s" s="10">
        <v>1280</v>
      </c>
      <c r="C799" t="s" s="10">
        <v>1281</v>
      </c>
      <c r="D799" t="s" s="10">
        <v>1282</v>
      </c>
      <c r="E799" t="s" s="10">
        <v>1283</v>
      </c>
      <c r="F799" t="s" s="10">
        <v>1284</v>
      </c>
      <c r="G799" t="s" s="10">
        <v>1285</v>
      </c>
      <c r="H799" t="s" s="10">
        <v>1286</v>
      </c>
      <c r="I799" t="s" s="10">
        <v>1287</v>
      </c>
      <c r="J799" t="s" s="10">
        <v>1288</v>
      </c>
      <c r="K799" t="s" s="10">
        <v>1289</v>
      </c>
      <c r="L799" t="s" s="10">
        <v>1290</v>
      </c>
      <c r="M799" t="s" s="10">
        <v>1291</v>
      </c>
      <c r="N799" t="s" s="10">
        <v>1292</v>
      </c>
      <c r="O799" t="s" s="10">
        <v>1293</v>
      </c>
      <c r="P799" t="s" s="26">
        <v>21</v>
      </c>
      <c r="Q799" s="15">
        <v>16207857</v>
      </c>
    </row>
    <row r="800" ht="13.65" customHeight="1">
      <c r="A800" t="s" s="27">
        <v>1294</v>
      </c>
      <c r="B800" t="s" s="13">
        <v>22</v>
      </c>
      <c r="C800" s="28">
        <v>45383</v>
      </c>
      <c r="D800" s="14">
        <v>1447.9</v>
      </c>
      <c r="E800" s="14">
        <v>1458</v>
      </c>
      <c r="F800" s="14">
        <v>1473.8</v>
      </c>
      <c r="G800" s="14">
        <v>1455.6</v>
      </c>
      <c r="H800" s="14">
        <v>1470</v>
      </c>
      <c r="I800" s="14">
        <v>1470.5</v>
      </c>
      <c r="J800" s="14">
        <v>1466.67</v>
      </c>
      <c r="K800" t="s" s="13">
        <v>4318</v>
      </c>
      <c r="L800" t="s" s="13">
        <v>4319</v>
      </c>
      <c r="M800" t="s" s="13">
        <v>4320</v>
      </c>
      <c r="N800" t="s" s="13">
        <v>4321</v>
      </c>
      <c r="O800" s="15">
        <v>66.92</v>
      </c>
      <c r="P800" s="30"/>
      <c r="Q800" s="15">
        <v>12770277</v>
      </c>
    </row>
    <row r="801" ht="13.65" customHeight="1">
      <c r="A801" t="s" s="27">
        <v>1294</v>
      </c>
      <c r="B801" t="s" s="13">
        <v>22</v>
      </c>
      <c r="C801" s="28">
        <v>45384</v>
      </c>
      <c r="D801" s="14">
        <v>1470.5</v>
      </c>
      <c r="E801" s="14">
        <v>1465.15</v>
      </c>
      <c r="F801" s="14">
        <v>1494.85</v>
      </c>
      <c r="G801" s="14">
        <v>1463.25</v>
      </c>
      <c r="H801" s="14">
        <v>1479.55</v>
      </c>
      <c r="I801" s="14">
        <v>1480.15</v>
      </c>
      <c r="J801" s="14">
        <v>1483.23</v>
      </c>
      <c r="K801" t="s" s="13">
        <v>4322</v>
      </c>
      <c r="L801" t="s" s="13">
        <v>4323</v>
      </c>
      <c r="M801" t="s" s="13">
        <v>4324</v>
      </c>
      <c r="N801" t="s" s="13">
        <v>4325</v>
      </c>
      <c r="O801" s="15">
        <v>53.17</v>
      </c>
      <c r="P801" s="30" cm="1">
        <f t="array" ref="P801">(I801-I800)/I800</f>
        <v>0.00656239374362462</v>
      </c>
      <c r="Q801" s="15">
        <v>12060096</v>
      </c>
    </row>
    <row r="802" ht="13.65" customHeight="1">
      <c r="A802" t="s" s="27">
        <v>1294</v>
      </c>
      <c r="B802" t="s" s="13">
        <v>22</v>
      </c>
      <c r="C802" s="28">
        <v>45385</v>
      </c>
      <c r="D802" s="14">
        <v>1480.15</v>
      </c>
      <c r="E802" s="14">
        <v>1472.1</v>
      </c>
      <c r="F802" s="14">
        <v>1495.65</v>
      </c>
      <c r="G802" s="14">
        <v>1471.4</v>
      </c>
      <c r="H802" s="14">
        <v>1484.5</v>
      </c>
      <c r="I802" s="14">
        <v>1482.3</v>
      </c>
      <c r="J802" s="14">
        <v>1485.06</v>
      </c>
      <c r="K802" t="s" s="13">
        <v>4326</v>
      </c>
      <c r="L802" t="s" s="13">
        <v>4327</v>
      </c>
      <c r="M802" t="s" s="13">
        <v>4328</v>
      </c>
      <c r="N802" t="s" s="13">
        <v>4329</v>
      </c>
      <c r="O802" s="15">
        <v>60.04</v>
      </c>
      <c r="P802" s="30" cm="1">
        <f t="array" ref="P802">(I802-I801)/I801</f>
        <v>0.00145255548424146</v>
      </c>
      <c r="Q802" s="15">
        <v>19640218</v>
      </c>
    </row>
    <row r="803" ht="13.65" customHeight="1">
      <c r="A803" t="s" s="27">
        <v>1294</v>
      </c>
      <c r="B803" t="s" s="13">
        <v>22</v>
      </c>
      <c r="C803" s="28">
        <v>45386</v>
      </c>
      <c r="D803" s="14">
        <v>1482.3</v>
      </c>
      <c r="E803" s="14">
        <v>1504</v>
      </c>
      <c r="F803" s="14">
        <v>1530</v>
      </c>
      <c r="G803" s="14">
        <v>1504</v>
      </c>
      <c r="H803" s="14">
        <v>1529</v>
      </c>
      <c r="I803" s="14">
        <v>1527.6</v>
      </c>
      <c r="J803" s="14">
        <v>1520.65</v>
      </c>
      <c r="K803" t="s" s="13">
        <v>4330</v>
      </c>
      <c r="L803" t="s" s="13">
        <v>4331</v>
      </c>
      <c r="M803" t="s" s="13">
        <v>4332</v>
      </c>
      <c r="N803" t="s" s="13">
        <v>4333</v>
      </c>
      <c r="O803" s="15">
        <v>57.61</v>
      </c>
      <c r="P803" s="30" cm="1">
        <f t="array" ref="P803">(I803-I802)/I802</f>
        <v>0.0305606152600688</v>
      </c>
      <c r="Q803" s="15">
        <v>14772663</v>
      </c>
    </row>
    <row r="804" ht="13.65" customHeight="1">
      <c r="A804" t="s" s="27">
        <v>1294</v>
      </c>
      <c r="B804" t="s" s="13">
        <v>22</v>
      </c>
      <c r="C804" s="28">
        <v>45387</v>
      </c>
      <c r="D804" s="14">
        <v>1527.6</v>
      </c>
      <c r="E804" s="14">
        <v>1539</v>
      </c>
      <c r="F804" s="14">
        <v>1554.5</v>
      </c>
      <c r="G804" s="14">
        <v>1530.15</v>
      </c>
      <c r="H804" s="14">
        <v>1550.05</v>
      </c>
      <c r="I804" s="14">
        <v>1549.55</v>
      </c>
      <c r="J804" s="14">
        <v>1545.34</v>
      </c>
      <c r="K804" t="s" s="13">
        <v>4334</v>
      </c>
      <c r="L804" t="s" s="13">
        <v>4335</v>
      </c>
      <c r="M804" t="s" s="13">
        <v>4336</v>
      </c>
      <c r="N804" t="s" s="13">
        <v>4337</v>
      </c>
      <c r="O804" s="15">
        <v>71.68000000000001</v>
      </c>
      <c r="P804" s="30" cm="1">
        <f t="array" ref="P804">(I804-I803)/I803</f>
        <v>0.0143689447499345</v>
      </c>
      <c r="Q804" s="15">
        <v>11227029</v>
      </c>
    </row>
    <row r="805" ht="13.65" customHeight="1">
      <c r="A805" t="s" s="27">
        <v>1294</v>
      </c>
      <c r="B805" t="s" s="13">
        <v>22</v>
      </c>
      <c r="C805" s="28">
        <v>45390</v>
      </c>
      <c r="D805" s="14">
        <v>1549.55</v>
      </c>
      <c r="E805" s="14">
        <v>1554.95</v>
      </c>
      <c r="F805" s="14">
        <v>1557.25</v>
      </c>
      <c r="G805" s="14">
        <v>1541.55</v>
      </c>
      <c r="H805" s="14">
        <v>1545</v>
      </c>
      <c r="I805" s="14">
        <v>1546.6</v>
      </c>
      <c r="J805" s="14">
        <v>1546.8</v>
      </c>
      <c r="K805" t="s" s="13">
        <v>4338</v>
      </c>
      <c r="L805" t="s" s="13">
        <v>4339</v>
      </c>
      <c r="M805" t="s" s="13">
        <v>4340</v>
      </c>
      <c r="N805" t="s" s="13">
        <v>4341</v>
      </c>
      <c r="O805" s="15">
        <v>74.89</v>
      </c>
      <c r="P805" s="30" cm="1">
        <f t="array" ref="P805">(I805-I804)/I804</f>
        <v>-0.00190377851634345</v>
      </c>
      <c r="Q805" s="15">
        <v>18356108</v>
      </c>
    </row>
    <row r="806" ht="13.65" customHeight="1">
      <c r="A806" t="s" s="27">
        <v>1294</v>
      </c>
      <c r="B806" t="s" s="13">
        <v>22</v>
      </c>
      <c r="C806" s="28">
        <v>45391</v>
      </c>
      <c r="D806" s="14">
        <v>1546.6</v>
      </c>
      <c r="E806" s="14">
        <v>1554.85</v>
      </c>
      <c r="F806" s="14">
        <v>1554.85</v>
      </c>
      <c r="G806" s="14">
        <v>1540.3</v>
      </c>
      <c r="H806" s="14">
        <v>1544.4</v>
      </c>
      <c r="I806" s="14">
        <v>1548.55</v>
      </c>
      <c r="J806" s="14">
        <v>1547.47</v>
      </c>
      <c r="K806" t="s" s="13">
        <v>4342</v>
      </c>
      <c r="L806" t="s" s="13">
        <v>4343</v>
      </c>
      <c r="M806" t="s" s="13">
        <v>4344</v>
      </c>
      <c r="N806" t="s" s="13">
        <v>4345</v>
      </c>
      <c r="O806" s="15">
        <v>62.28</v>
      </c>
      <c r="P806" s="30" cm="1">
        <f t="array" ref="P806">(I806-I805)/I805</f>
        <v>0.00126083020819863</v>
      </c>
      <c r="Q806" s="15">
        <v>23211435</v>
      </c>
    </row>
    <row r="807" ht="13.65" customHeight="1">
      <c r="A807" t="s" s="27">
        <v>1294</v>
      </c>
      <c r="B807" t="s" s="13">
        <v>1323</v>
      </c>
      <c r="C807" s="28">
        <v>45391</v>
      </c>
      <c r="D807" s="14">
        <v>1445.75</v>
      </c>
      <c r="E807" s="14">
        <v>1546.6</v>
      </c>
      <c r="F807" s="14">
        <v>1546.6</v>
      </c>
      <c r="G807" s="14">
        <v>1546.6</v>
      </c>
      <c r="H807" s="14">
        <v>1546.6</v>
      </c>
      <c r="I807" s="14">
        <v>1546.6</v>
      </c>
      <c r="J807" s="14">
        <v>1546.6</v>
      </c>
      <c r="K807" t="s" s="13">
        <v>4346</v>
      </c>
      <c r="L807" t="s" s="13">
        <v>4347</v>
      </c>
      <c r="M807" s="15">
        <v>1</v>
      </c>
      <c r="N807" t="s" s="13">
        <v>1326</v>
      </c>
      <c r="O807" t="s" s="13">
        <v>1326</v>
      </c>
      <c r="P807" s="30" cm="1">
        <f t="array" ref="P807">(I807-I806)/I806</f>
        <v>-0.0012592425171935</v>
      </c>
      <c r="Q807" s="15">
        <v>40815825</v>
      </c>
    </row>
    <row r="808" ht="13.65" customHeight="1">
      <c r="A808" t="s" s="27">
        <v>1294</v>
      </c>
      <c r="B808" t="s" s="13">
        <v>22</v>
      </c>
      <c r="C808" s="31">
        <v>45392</v>
      </c>
      <c r="D808" s="14">
        <v>1548.55</v>
      </c>
      <c r="E808" s="14">
        <v>1549.9</v>
      </c>
      <c r="F808" s="14">
        <v>1549.9</v>
      </c>
      <c r="G808" s="14">
        <v>1532.95</v>
      </c>
      <c r="H808" s="14">
        <v>1534.95</v>
      </c>
      <c r="I808" s="14">
        <v>1536.35</v>
      </c>
      <c r="J808" s="14">
        <v>1539.41</v>
      </c>
      <c r="K808" t="s" s="13">
        <v>4348</v>
      </c>
      <c r="L808" t="s" s="13">
        <v>4349</v>
      </c>
      <c r="M808" t="s" s="13">
        <v>4350</v>
      </c>
      <c r="N808" t="s" s="13">
        <v>4351</v>
      </c>
      <c r="O808" s="15">
        <v>55.36</v>
      </c>
      <c r="P808" s="30" cm="1">
        <f t="array" ref="P808">(I808-I807)/I807</f>
        <v>-0.00662744083796715</v>
      </c>
      <c r="Q808" s="15">
        <v>44765620</v>
      </c>
    </row>
    <row r="809" ht="13.65" customHeight="1">
      <c r="A809" t="s" s="27">
        <v>1294</v>
      </c>
      <c r="B809" t="s" s="13">
        <v>22</v>
      </c>
      <c r="C809" s="31">
        <v>45394</v>
      </c>
      <c r="D809" s="14">
        <v>1536.35</v>
      </c>
      <c r="E809" s="14">
        <v>1521</v>
      </c>
      <c r="F809" s="14">
        <v>1529.85</v>
      </c>
      <c r="G809" s="14">
        <v>1513.45</v>
      </c>
      <c r="H809" s="14">
        <v>1516.25</v>
      </c>
      <c r="I809" s="14">
        <v>1518.95</v>
      </c>
      <c r="J809" s="14">
        <v>1520.13</v>
      </c>
      <c r="K809" t="s" s="13">
        <v>4352</v>
      </c>
      <c r="L809" t="s" s="13">
        <v>4353</v>
      </c>
      <c r="M809" t="s" s="13">
        <v>4354</v>
      </c>
      <c r="N809" t="s" s="13">
        <v>4355</v>
      </c>
      <c r="O809" s="15">
        <v>62.32</v>
      </c>
      <c r="P809" s="30" cm="1">
        <f t="array" ref="P809">(I809-I808)/I808</f>
        <v>-0.0113255443095649</v>
      </c>
      <c r="Q809" s="15">
        <v>36318628</v>
      </c>
    </row>
    <row r="810" ht="13.65" customHeight="1">
      <c r="A810" t="s" s="27">
        <v>1294</v>
      </c>
      <c r="B810" t="s" s="13">
        <v>22</v>
      </c>
      <c r="C810" s="31">
        <v>45397</v>
      </c>
      <c r="D810" s="14">
        <v>1518.95</v>
      </c>
      <c r="E810" s="14">
        <v>1497.55</v>
      </c>
      <c r="F810" s="14">
        <v>1510</v>
      </c>
      <c r="G810" s="14">
        <v>1492.05</v>
      </c>
      <c r="H810" s="14">
        <v>1493</v>
      </c>
      <c r="I810" s="14">
        <v>1494.7</v>
      </c>
      <c r="J810" s="14">
        <v>1501.19</v>
      </c>
      <c r="K810" t="s" s="13">
        <v>4356</v>
      </c>
      <c r="L810" t="s" s="13">
        <v>4357</v>
      </c>
      <c r="M810" t="s" s="13">
        <v>4358</v>
      </c>
      <c r="N810" t="s" s="13">
        <v>4359</v>
      </c>
      <c r="O810" s="15">
        <v>58.68</v>
      </c>
      <c r="P810" s="30" cm="1">
        <f t="array" ref="P810">(I810-I809)/I809</f>
        <v>-0.0159649758056552</v>
      </c>
      <c r="Q810" s="15">
        <v>37039794</v>
      </c>
    </row>
    <row r="811" ht="13.65" customHeight="1">
      <c r="A811" t="s" s="27">
        <v>1294</v>
      </c>
      <c r="B811" t="s" s="13">
        <v>22</v>
      </c>
      <c r="C811" s="31">
        <v>45398</v>
      </c>
      <c r="D811" s="14">
        <v>1494.7</v>
      </c>
      <c r="E811" s="14">
        <v>1487</v>
      </c>
      <c r="F811" s="14">
        <v>1512.9</v>
      </c>
      <c r="G811" s="14">
        <v>1482.25</v>
      </c>
      <c r="H811" s="14">
        <v>1512</v>
      </c>
      <c r="I811" s="14">
        <v>1509.25</v>
      </c>
      <c r="J811" s="14">
        <v>1499.45</v>
      </c>
      <c r="K811" t="s" s="13">
        <v>4360</v>
      </c>
      <c r="L811" t="s" s="13">
        <v>4361</v>
      </c>
      <c r="M811" t="s" s="13">
        <v>4362</v>
      </c>
      <c r="N811" t="s" s="13">
        <v>4363</v>
      </c>
      <c r="O811" s="15">
        <v>54.73</v>
      </c>
      <c r="P811" s="30" cm="1">
        <f t="array" ref="P811">(I811-I810)/I810</f>
        <v>0.009734394861845189</v>
      </c>
      <c r="Q811" s="15">
        <v>16877675</v>
      </c>
    </row>
    <row r="812" ht="13.65" customHeight="1">
      <c r="A812" t="s" s="27">
        <v>1294</v>
      </c>
      <c r="B812" t="s" s="13">
        <v>22</v>
      </c>
      <c r="C812" s="31">
        <v>45400</v>
      </c>
      <c r="D812" s="14">
        <v>1509.25</v>
      </c>
      <c r="E812" s="14">
        <v>1509.8</v>
      </c>
      <c r="F812" s="14">
        <v>1518.85</v>
      </c>
      <c r="G812" s="14">
        <v>1491.05</v>
      </c>
      <c r="H812" s="14">
        <v>1496.8</v>
      </c>
      <c r="I812" s="14">
        <v>1494.7</v>
      </c>
      <c r="J812" s="14">
        <v>1503.85</v>
      </c>
      <c r="K812" t="s" s="13">
        <v>4364</v>
      </c>
      <c r="L812" t="s" s="13">
        <v>4365</v>
      </c>
      <c r="M812" t="s" s="13">
        <v>4366</v>
      </c>
      <c r="N812" t="s" s="13">
        <v>4367</v>
      </c>
      <c r="O812" s="15">
        <v>52.94</v>
      </c>
      <c r="P812" s="30" cm="1">
        <f t="array" ref="P812">(I812-I811)/I811</f>
        <v>-0.009640549942024179</v>
      </c>
      <c r="Q812" s="15">
        <v>17573853</v>
      </c>
    </row>
    <row r="813" ht="13.65" customHeight="1">
      <c r="A813" t="s" s="27">
        <v>1294</v>
      </c>
      <c r="B813" t="s" s="13">
        <v>22</v>
      </c>
      <c r="C813" s="31">
        <v>45401</v>
      </c>
      <c r="D813" s="14">
        <v>1494.7</v>
      </c>
      <c r="E813" s="14">
        <v>1486.55</v>
      </c>
      <c r="F813" s="14">
        <v>1534.95</v>
      </c>
      <c r="G813" s="14">
        <v>1480.25</v>
      </c>
      <c r="H813" s="14">
        <v>1534.2</v>
      </c>
      <c r="I813" s="14">
        <v>1531.3</v>
      </c>
      <c r="J813" s="14">
        <v>1514.56</v>
      </c>
      <c r="K813" t="s" s="13">
        <v>4368</v>
      </c>
      <c r="L813" t="s" s="13">
        <v>4369</v>
      </c>
      <c r="M813" t="s" s="13">
        <v>4370</v>
      </c>
      <c r="N813" t="s" s="13">
        <v>4371</v>
      </c>
      <c r="O813" s="15">
        <v>55.2</v>
      </c>
      <c r="P813" s="30" cm="1">
        <f t="array" ref="P813">(I813-I812)/I812</f>
        <v>0.0244865190339199</v>
      </c>
      <c r="Q813" s="15">
        <v>13954452</v>
      </c>
    </row>
    <row r="814" ht="13.65" customHeight="1">
      <c r="A814" t="s" s="27">
        <v>1294</v>
      </c>
      <c r="B814" t="s" s="13">
        <v>22</v>
      </c>
      <c r="C814" s="31">
        <v>45404</v>
      </c>
      <c r="D814" s="14">
        <v>1531.3</v>
      </c>
      <c r="E814" s="14">
        <v>1557.4</v>
      </c>
      <c r="F814" s="14">
        <v>1557.4</v>
      </c>
      <c r="G814" s="14">
        <v>1508.3</v>
      </c>
      <c r="H814" s="14">
        <v>1514.35</v>
      </c>
      <c r="I814" s="14">
        <v>1512.2</v>
      </c>
      <c r="J814" s="14">
        <v>1519.66</v>
      </c>
      <c r="K814" t="s" s="13">
        <v>4372</v>
      </c>
      <c r="L814" t="s" s="13">
        <v>4373</v>
      </c>
      <c r="M814" t="s" s="13">
        <v>4374</v>
      </c>
      <c r="N814" t="s" s="13">
        <v>4375</v>
      </c>
      <c r="O814" s="15">
        <v>56.72</v>
      </c>
      <c r="P814" s="30" cm="1">
        <f t="array" ref="P814">(I814-I813)/I813</f>
        <v>-0.0124730621040946</v>
      </c>
      <c r="Q814" s="15">
        <v>14692720</v>
      </c>
    </row>
    <row r="815" ht="13.65" customHeight="1">
      <c r="A815" t="s" s="27">
        <v>1294</v>
      </c>
      <c r="B815" t="s" s="13">
        <v>22</v>
      </c>
      <c r="C815" s="31">
        <v>45405</v>
      </c>
      <c r="D815" s="14">
        <v>1512.2</v>
      </c>
      <c r="E815" s="14">
        <v>1526.3</v>
      </c>
      <c r="F815" s="14">
        <v>1526.5</v>
      </c>
      <c r="G815" s="14">
        <v>1503.25</v>
      </c>
      <c r="H815" s="14">
        <v>1507.5</v>
      </c>
      <c r="I815" s="14">
        <v>1507.6</v>
      </c>
      <c r="J815" s="14">
        <v>1510.64</v>
      </c>
      <c r="K815" t="s" s="13">
        <v>4376</v>
      </c>
      <c r="L815" t="s" s="13">
        <v>4377</v>
      </c>
      <c r="M815" t="s" s="13">
        <v>4378</v>
      </c>
      <c r="N815" t="s" s="13">
        <v>4379</v>
      </c>
      <c r="O815" s="15">
        <v>63.49</v>
      </c>
      <c r="P815" s="30" cm="1">
        <f t="array" ref="P815">(I815-I814)/I814</f>
        <v>-0.00304192567120751</v>
      </c>
      <c r="Q815" s="15">
        <v>15530103</v>
      </c>
    </row>
    <row r="816" ht="13.65" customHeight="1">
      <c r="A816" t="s" s="27">
        <v>1294</v>
      </c>
      <c r="B816" t="s" s="13">
        <v>22</v>
      </c>
      <c r="C816" s="31">
        <v>45406</v>
      </c>
      <c r="D816" s="14">
        <v>1507.6</v>
      </c>
      <c r="E816" s="14">
        <v>1515</v>
      </c>
      <c r="F816" s="14">
        <v>1521.75</v>
      </c>
      <c r="G816" s="14">
        <v>1509.05</v>
      </c>
      <c r="H816" s="14">
        <v>1512.9</v>
      </c>
      <c r="I816" s="14">
        <v>1511.7</v>
      </c>
      <c r="J816" s="14">
        <v>1514.5</v>
      </c>
      <c r="K816" t="s" s="13">
        <v>4380</v>
      </c>
      <c r="L816" t="s" s="13">
        <v>4381</v>
      </c>
      <c r="M816" t="s" s="13">
        <v>4382</v>
      </c>
      <c r="N816" t="s" s="13">
        <v>4383</v>
      </c>
      <c r="O816" s="15">
        <v>57.3</v>
      </c>
      <c r="P816" s="30" cm="1">
        <f t="array" ref="P816">(I816-I815)/I815</f>
        <v>0.00271955425842399</v>
      </c>
      <c r="Q816" s="15">
        <v>20430960</v>
      </c>
    </row>
    <row r="817" ht="13.65" customHeight="1">
      <c r="A817" t="s" s="27">
        <v>1294</v>
      </c>
      <c r="B817" t="s" s="13">
        <v>22</v>
      </c>
      <c r="C817" s="31">
        <v>45407</v>
      </c>
      <c r="D817" s="14">
        <v>1511.7</v>
      </c>
      <c r="E817" s="14">
        <v>1506.25</v>
      </c>
      <c r="F817" s="14">
        <v>1519.7</v>
      </c>
      <c r="G817" s="14">
        <v>1506.25</v>
      </c>
      <c r="H817" s="14">
        <v>1513.8</v>
      </c>
      <c r="I817" s="14">
        <v>1510.75</v>
      </c>
      <c r="J817" s="14">
        <v>1512.64</v>
      </c>
      <c r="K817" t="s" s="13">
        <v>4384</v>
      </c>
      <c r="L817" t="s" s="13">
        <v>4385</v>
      </c>
      <c r="M817" t="s" s="13">
        <v>4386</v>
      </c>
      <c r="N817" t="s" s="13">
        <v>4387</v>
      </c>
      <c r="O817" s="15">
        <v>55.17</v>
      </c>
      <c r="P817" s="30" cm="1">
        <f t="array" ref="P817">(I817-I816)/I816</f>
        <v>-0.000628431567109876</v>
      </c>
      <c r="Q817" s="15">
        <v>19998139</v>
      </c>
    </row>
    <row r="818" ht="13.65" customHeight="1">
      <c r="A818" t="s" s="27">
        <v>1294</v>
      </c>
      <c r="B818" t="s" s="13">
        <v>22</v>
      </c>
      <c r="C818" s="31">
        <v>45408</v>
      </c>
      <c r="D818" s="14">
        <v>1510.75</v>
      </c>
      <c r="E818" s="14">
        <v>1519.8</v>
      </c>
      <c r="F818" s="14">
        <v>1528</v>
      </c>
      <c r="G818" s="14">
        <v>1505.55</v>
      </c>
      <c r="H818" s="14">
        <v>1511</v>
      </c>
      <c r="I818" s="14">
        <v>1509.8</v>
      </c>
      <c r="J818" s="14">
        <v>1515.19</v>
      </c>
      <c r="K818" t="s" s="13">
        <v>4388</v>
      </c>
      <c r="L818" t="s" s="13">
        <v>4389</v>
      </c>
      <c r="M818" t="s" s="13">
        <v>4390</v>
      </c>
      <c r="N818" t="s" s="13">
        <v>4391</v>
      </c>
      <c r="O818" s="15">
        <v>51.88</v>
      </c>
      <c r="P818" s="30" cm="1">
        <f t="array" ref="P818">(I818-I817)/I817</f>
        <v>-0.000628826741684594</v>
      </c>
      <c r="Q818" s="15">
        <v>21884989</v>
      </c>
    </row>
    <row r="819" ht="13.65" customHeight="1">
      <c r="A819" t="s" s="27">
        <v>1294</v>
      </c>
      <c r="B819" t="s" s="13">
        <v>22</v>
      </c>
      <c r="C819" s="31">
        <v>45411</v>
      </c>
      <c r="D819" s="14">
        <v>1509.8</v>
      </c>
      <c r="E819" s="14">
        <v>1515</v>
      </c>
      <c r="F819" s="14">
        <v>1534.45</v>
      </c>
      <c r="G819" s="14">
        <v>1506.55</v>
      </c>
      <c r="H819" s="14">
        <v>1528.55</v>
      </c>
      <c r="I819" s="14">
        <v>1529.5</v>
      </c>
      <c r="J819" s="14">
        <v>1521.15</v>
      </c>
      <c r="K819" t="s" s="13">
        <v>4392</v>
      </c>
      <c r="L819" t="s" s="13">
        <v>4393</v>
      </c>
      <c r="M819" t="s" s="13">
        <v>4394</v>
      </c>
      <c r="N819" t="s" s="13">
        <v>4395</v>
      </c>
      <c r="O819" s="15">
        <v>49.11</v>
      </c>
      <c r="P819" s="30" cm="1">
        <f t="array" ref="P819">(I819-I818)/I818</f>
        <v>0.013048085839184</v>
      </c>
      <c r="Q819" s="15">
        <v>528557</v>
      </c>
    </row>
    <row r="820" ht="13.65" customHeight="1">
      <c r="A820" t="s" s="27">
        <v>1294</v>
      </c>
      <c r="B820" t="s" s="13">
        <v>22</v>
      </c>
      <c r="C820" s="31">
        <v>45412</v>
      </c>
      <c r="D820" s="14">
        <v>1529.5</v>
      </c>
      <c r="E820" s="14">
        <v>1529.2</v>
      </c>
      <c r="F820" s="14">
        <v>1539.5</v>
      </c>
      <c r="G820" s="14">
        <v>1514.9</v>
      </c>
      <c r="H820" s="14">
        <v>1515.45</v>
      </c>
      <c r="I820" s="14">
        <v>1520.1</v>
      </c>
      <c r="J820" s="14">
        <v>1528.27</v>
      </c>
      <c r="K820" t="s" s="13">
        <v>4396</v>
      </c>
      <c r="L820" t="s" s="13">
        <v>4397</v>
      </c>
      <c r="M820" t="s" s="13">
        <v>4398</v>
      </c>
      <c r="N820" t="s" s="13">
        <v>4399</v>
      </c>
      <c r="O820" s="15">
        <v>39.82</v>
      </c>
      <c r="P820" s="30" cm="1">
        <f t="array" ref="P820">(I820-I819)/I819</f>
        <v>-0.00614579928081072</v>
      </c>
      <c r="Q820" s="15">
        <v>10460095</v>
      </c>
    </row>
    <row r="821" ht="13.65" customHeight="1">
      <c r="A821" t="s" s="27">
        <v>1294</v>
      </c>
      <c r="B821" t="s" s="13">
        <v>22</v>
      </c>
      <c r="C821" s="32">
        <v>45414</v>
      </c>
      <c r="D821" s="14">
        <v>1520.1</v>
      </c>
      <c r="E821" s="14">
        <v>1522</v>
      </c>
      <c r="F821" s="14">
        <v>1537</v>
      </c>
      <c r="G821" s="14">
        <v>1520.35</v>
      </c>
      <c r="H821" s="14">
        <v>1532.9</v>
      </c>
      <c r="I821" s="14">
        <v>1532.25</v>
      </c>
      <c r="J821" s="14">
        <v>1531.6</v>
      </c>
      <c r="K821" t="s" s="13">
        <v>4400</v>
      </c>
      <c r="L821" t="s" s="13">
        <v>4401</v>
      </c>
      <c r="M821" t="s" s="13">
        <v>4402</v>
      </c>
      <c r="N821" t="s" s="13">
        <v>4403</v>
      </c>
      <c r="O821" s="15">
        <v>46.37</v>
      </c>
      <c r="P821" s="30" cm="1">
        <f t="array" ref="P821">(I821-I820)/I820</f>
        <v>0.007992895204262881</v>
      </c>
      <c r="Q821" s="15">
        <v>17472618</v>
      </c>
    </row>
    <row r="822" ht="13.65" customHeight="1">
      <c r="A822" t="s" s="27">
        <v>1294</v>
      </c>
      <c r="B822" t="s" s="13">
        <v>22</v>
      </c>
      <c r="C822" s="32">
        <v>45415</v>
      </c>
      <c r="D822" s="14">
        <v>1532.25</v>
      </c>
      <c r="E822" s="14">
        <v>1533.25</v>
      </c>
      <c r="F822" s="14">
        <v>1540.6</v>
      </c>
      <c r="G822" s="14">
        <v>1507.2</v>
      </c>
      <c r="H822" s="14">
        <v>1515.65</v>
      </c>
      <c r="I822" s="14">
        <v>1519.6</v>
      </c>
      <c r="J822" s="14">
        <v>1521.12</v>
      </c>
      <c r="K822" t="s" s="13">
        <v>4404</v>
      </c>
      <c r="L822" t="s" s="13">
        <v>4405</v>
      </c>
      <c r="M822" t="s" s="13">
        <v>4406</v>
      </c>
      <c r="N822" t="s" s="13">
        <v>4407</v>
      </c>
      <c r="O822" s="15">
        <v>46.34</v>
      </c>
      <c r="P822" s="30" cm="1">
        <f t="array" ref="P822">(I822-I821)/I821</f>
        <v>-0.008255832925436451</v>
      </c>
      <c r="Q822" s="15">
        <v>19465998</v>
      </c>
    </row>
    <row r="823" ht="13.65" customHeight="1">
      <c r="A823" t="s" s="27">
        <v>1294</v>
      </c>
      <c r="B823" t="s" s="13">
        <v>22</v>
      </c>
      <c r="C823" s="32">
        <v>45418</v>
      </c>
      <c r="D823" s="14">
        <v>1519.6</v>
      </c>
      <c r="E823" s="14">
        <v>1522</v>
      </c>
      <c r="F823" s="14">
        <v>1534.5</v>
      </c>
      <c r="G823" s="14">
        <v>1517.15</v>
      </c>
      <c r="H823" s="14">
        <v>1523.75</v>
      </c>
      <c r="I823" s="14">
        <v>1522.65</v>
      </c>
      <c r="J823" s="14">
        <v>1525.73</v>
      </c>
      <c r="K823" t="s" s="13">
        <v>4408</v>
      </c>
      <c r="L823" t="s" s="13">
        <v>4409</v>
      </c>
      <c r="M823" t="s" s="13">
        <v>4410</v>
      </c>
      <c r="N823" t="s" s="13">
        <v>4411</v>
      </c>
      <c r="O823" s="15">
        <v>67.18000000000001</v>
      </c>
      <c r="P823" s="30" cm="1">
        <f t="array" ref="P823">(I823-I822)/I822</f>
        <v>0.00200710713345617</v>
      </c>
      <c r="Q823" s="15">
        <v>12832571</v>
      </c>
    </row>
    <row r="824" ht="13.65" customHeight="1">
      <c r="A824" t="s" s="27">
        <v>1294</v>
      </c>
      <c r="B824" t="s" s="13">
        <v>22</v>
      </c>
      <c r="C824" s="32">
        <v>45419</v>
      </c>
      <c r="D824" s="14">
        <v>1522.65</v>
      </c>
      <c r="E824" s="14">
        <v>1521.95</v>
      </c>
      <c r="F824" s="14">
        <v>1524.05</v>
      </c>
      <c r="G824" s="14">
        <v>1504.15</v>
      </c>
      <c r="H824" s="14">
        <v>1505.1</v>
      </c>
      <c r="I824" s="14">
        <v>1506.15</v>
      </c>
      <c r="J824" s="14">
        <v>1510.7</v>
      </c>
      <c r="K824" t="s" s="13">
        <v>4412</v>
      </c>
      <c r="L824" t="s" s="13">
        <v>4413</v>
      </c>
      <c r="M824" t="s" s="13">
        <v>4414</v>
      </c>
      <c r="N824" t="s" s="13">
        <v>4415</v>
      </c>
      <c r="O824" s="15">
        <v>58.68</v>
      </c>
      <c r="P824" s="30" cm="1">
        <f t="array" ref="P824">(I824-I823)/I823</f>
        <v>-0.0108363708009063</v>
      </c>
      <c r="Q824" s="15">
        <v>13523601</v>
      </c>
    </row>
    <row r="825" ht="13.65" customHeight="1">
      <c r="A825" t="s" s="27">
        <v>1294</v>
      </c>
      <c r="B825" t="s" s="13">
        <v>22</v>
      </c>
      <c r="C825" s="32">
        <v>45420</v>
      </c>
      <c r="D825" s="14">
        <v>1506.15</v>
      </c>
      <c r="E825" s="14">
        <v>1495.95</v>
      </c>
      <c r="F825" s="14">
        <v>1496.95</v>
      </c>
      <c r="G825" s="14">
        <v>1480.35</v>
      </c>
      <c r="H825" s="14">
        <v>1483.5</v>
      </c>
      <c r="I825" s="14">
        <v>1482.65</v>
      </c>
      <c r="J825" s="14">
        <v>1486.59</v>
      </c>
      <c r="K825" t="s" s="13">
        <v>4416</v>
      </c>
      <c r="L825" t="s" s="13">
        <v>4417</v>
      </c>
      <c r="M825" t="s" s="13">
        <v>4418</v>
      </c>
      <c r="N825" t="s" s="13">
        <v>4419</v>
      </c>
      <c r="O825" s="15">
        <v>65.22</v>
      </c>
      <c r="P825" s="30" cm="1">
        <f t="array" ref="P825">(I825-I824)/I824</f>
        <v>-0.0156026956146466</v>
      </c>
      <c r="Q825" s="15">
        <v>13638304</v>
      </c>
    </row>
    <row r="826" ht="13.65" customHeight="1">
      <c r="A826" t="s" s="27">
        <v>1294</v>
      </c>
      <c r="B826" t="s" s="13">
        <v>22</v>
      </c>
      <c r="C826" s="32">
        <v>45421</v>
      </c>
      <c r="D826" s="14">
        <v>1482.65</v>
      </c>
      <c r="E826" s="14">
        <v>1474.95</v>
      </c>
      <c r="F826" s="14">
        <v>1486.75</v>
      </c>
      <c r="G826" s="14">
        <v>1445.3</v>
      </c>
      <c r="H826" s="14">
        <v>1450.8</v>
      </c>
      <c r="I826" s="14">
        <v>1447.5</v>
      </c>
      <c r="J826" s="14">
        <v>1461.55</v>
      </c>
      <c r="K826" t="s" s="13">
        <v>4420</v>
      </c>
      <c r="L826" t="s" s="13">
        <v>4421</v>
      </c>
      <c r="M826" t="s" s="13">
        <v>4422</v>
      </c>
      <c r="N826" t="s" s="13">
        <v>4423</v>
      </c>
      <c r="O826" s="15">
        <v>77.28</v>
      </c>
      <c r="P826" s="30" cm="1">
        <f t="array" ref="P826">(I826-I825)/I825</f>
        <v>-0.0237075506694095</v>
      </c>
      <c r="Q826" s="15">
        <v>23140639</v>
      </c>
    </row>
    <row r="827" ht="13.65" customHeight="1">
      <c r="A827" t="s" s="27">
        <v>1294</v>
      </c>
      <c r="B827" t="s" s="13">
        <v>22</v>
      </c>
      <c r="C827" s="33">
        <v>45422</v>
      </c>
      <c r="D827" s="14">
        <v>1447.5</v>
      </c>
      <c r="E827" s="14">
        <v>1439</v>
      </c>
      <c r="F827" s="14">
        <v>1451.95</v>
      </c>
      <c r="G827" s="14">
        <v>1426.8</v>
      </c>
      <c r="H827" s="14">
        <v>1439.85</v>
      </c>
      <c r="I827" s="14">
        <v>1437.9</v>
      </c>
      <c r="J827" s="14">
        <v>1440.93</v>
      </c>
      <c r="K827" t="s" s="13">
        <v>4424</v>
      </c>
      <c r="L827" t="s" s="13">
        <v>4425</v>
      </c>
      <c r="M827" t="s" s="13">
        <v>4426</v>
      </c>
      <c r="N827" t="s" s="13">
        <v>4427</v>
      </c>
      <c r="O827" s="15">
        <v>60.79</v>
      </c>
      <c r="P827" s="30" cm="1">
        <f t="array" ref="P827">(I827-I826)/I826</f>
        <v>-0.00663212435233161</v>
      </c>
      <c r="Q827" s="15">
        <v>20843931</v>
      </c>
    </row>
    <row r="828" ht="13.65" customHeight="1">
      <c r="A828" t="s" s="27">
        <v>1294</v>
      </c>
      <c r="B828" t="s" s="13">
        <v>22</v>
      </c>
      <c r="C828" s="33">
        <v>45425</v>
      </c>
      <c r="D828" s="14">
        <v>1437.9</v>
      </c>
      <c r="E828" s="14">
        <v>1432</v>
      </c>
      <c r="F828" s="14">
        <v>1459.8</v>
      </c>
      <c r="G828" s="14">
        <v>1430.3</v>
      </c>
      <c r="H828" s="14">
        <v>1456.5</v>
      </c>
      <c r="I828" s="14">
        <v>1455.25</v>
      </c>
      <c r="J828" s="14">
        <v>1447.14</v>
      </c>
      <c r="K828" t="s" s="13">
        <v>4428</v>
      </c>
      <c r="L828" t="s" s="13">
        <v>4429</v>
      </c>
      <c r="M828" t="s" s="13">
        <v>4430</v>
      </c>
      <c r="N828" t="s" s="13">
        <v>4431</v>
      </c>
      <c r="O828" s="15">
        <v>57.83</v>
      </c>
      <c r="P828" s="30" cm="1">
        <f t="array" ref="P828">(I828-I827)/I827</f>
        <v>0.0120662076639544</v>
      </c>
      <c r="Q828" s="15">
        <v>14240301</v>
      </c>
    </row>
    <row r="829" ht="13.65" customHeight="1">
      <c r="A829" t="s" s="27">
        <v>1294</v>
      </c>
      <c r="B829" t="s" s="13">
        <v>22</v>
      </c>
      <c r="C829" s="33">
        <v>45426</v>
      </c>
      <c r="D829" s="14">
        <v>1455.25</v>
      </c>
      <c r="E829" s="14">
        <v>1452.25</v>
      </c>
      <c r="F829" s="14">
        <v>1465.5</v>
      </c>
      <c r="G829" s="14">
        <v>1450.3</v>
      </c>
      <c r="H829" s="14">
        <v>1461.6</v>
      </c>
      <c r="I829" s="14">
        <v>1460.95</v>
      </c>
      <c r="J829" s="14">
        <v>1459.59</v>
      </c>
      <c r="K829" t="s" s="13">
        <v>4432</v>
      </c>
      <c r="L829" t="s" s="13">
        <v>4433</v>
      </c>
      <c r="M829" t="s" s="13">
        <v>4434</v>
      </c>
      <c r="N829" t="s" s="13">
        <v>4435</v>
      </c>
      <c r="O829" s="15">
        <v>64.75</v>
      </c>
      <c r="P829" s="30" cm="1">
        <f t="array" ref="P829">(I829-I828)/I828</f>
        <v>0.00391685277443738</v>
      </c>
      <c r="Q829" s="15">
        <v>14396698</v>
      </c>
    </row>
    <row r="830" ht="13.65" customHeight="1">
      <c r="A830" t="s" s="27">
        <v>1294</v>
      </c>
      <c r="B830" t="s" s="13">
        <v>22</v>
      </c>
      <c r="C830" s="33">
        <v>45427</v>
      </c>
      <c r="D830" s="14">
        <v>1460.95</v>
      </c>
      <c r="E830" s="14">
        <v>1459.7</v>
      </c>
      <c r="F830" s="14">
        <v>1459.7</v>
      </c>
      <c r="G830" s="14">
        <v>1435.8</v>
      </c>
      <c r="H830" s="14">
        <v>1440.8</v>
      </c>
      <c r="I830" s="14">
        <v>1438.5</v>
      </c>
      <c r="J830" s="14">
        <v>1443.04</v>
      </c>
      <c r="K830" t="s" s="13">
        <v>4436</v>
      </c>
      <c r="L830" t="s" s="13">
        <v>4437</v>
      </c>
      <c r="M830" t="s" s="13">
        <v>4438</v>
      </c>
      <c r="N830" t="s" s="13">
        <v>4439</v>
      </c>
      <c r="O830" s="15">
        <v>54.66</v>
      </c>
      <c r="P830" s="30" cm="1">
        <f t="array" ref="P830">(I830-I829)/I829</f>
        <v>-0.015366713439885</v>
      </c>
      <c r="Q830" s="15">
        <v>15932621</v>
      </c>
    </row>
    <row r="831" ht="13.65" customHeight="1">
      <c r="A831" t="s" s="27">
        <v>1294</v>
      </c>
      <c r="B831" t="s" s="13">
        <v>22</v>
      </c>
      <c r="C831" s="33">
        <v>45428</v>
      </c>
      <c r="D831" s="14">
        <v>1438.5</v>
      </c>
      <c r="E831" s="14">
        <v>1446.05</v>
      </c>
      <c r="F831" s="14">
        <v>1462.55</v>
      </c>
      <c r="G831" s="14">
        <v>1435.5</v>
      </c>
      <c r="H831" s="14">
        <v>1459.75</v>
      </c>
      <c r="I831" s="14">
        <v>1460.25</v>
      </c>
      <c r="J831" s="14">
        <v>1449.96</v>
      </c>
      <c r="K831" t="s" s="13">
        <v>4440</v>
      </c>
      <c r="L831" t="s" s="13">
        <v>4441</v>
      </c>
      <c r="M831" t="s" s="13">
        <v>4442</v>
      </c>
      <c r="N831" t="s" s="13">
        <v>4443</v>
      </c>
      <c r="O831" s="15">
        <v>50.59</v>
      </c>
      <c r="P831" s="30" cm="1">
        <f t="array" ref="P831">(I831-I830)/I830</f>
        <v>0.0151199165797706</v>
      </c>
      <c r="Q831" s="15">
        <v>16737503</v>
      </c>
    </row>
    <row r="832" ht="13.65" customHeight="1">
      <c r="A832" t="s" s="27">
        <v>1294</v>
      </c>
      <c r="B832" t="s" s="13">
        <v>22</v>
      </c>
      <c r="C832" s="33">
        <v>45429</v>
      </c>
      <c r="D832" s="14">
        <v>1460.25</v>
      </c>
      <c r="E832" s="14">
        <v>1446.2</v>
      </c>
      <c r="F832" s="14">
        <v>1468</v>
      </c>
      <c r="G832" s="14">
        <v>1446.2</v>
      </c>
      <c r="H832" s="14">
        <v>1463</v>
      </c>
      <c r="I832" s="14">
        <v>1464.1</v>
      </c>
      <c r="J832" s="14">
        <v>1461.22</v>
      </c>
      <c r="K832" t="s" s="13">
        <v>4444</v>
      </c>
      <c r="L832" t="s" s="13">
        <v>4445</v>
      </c>
      <c r="M832" t="s" s="13">
        <v>4446</v>
      </c>
      <c r="N832" t="s" s="13">
        <v>4447</v>
      </c>
      <c r="O832" s="15">
        <v>57.74</v>
      </c>
      <c r="P832" s="30" cm="1">
        <f t="array" ref="P832">(I832-I831)/I831</f>
        <v>0.00263653483992467</v>
      </c>
      <c r="Q832" s="15">
        <v>26153691</v>
      </c>
    </row>
    <row r="833" ht="13.65" customHeight="1">
      <c r="A833" t="s" s="27">
        <v>1294</v>
      </c>
      <c r="B833" t="s" s="13">
        <v>22</v>
      </c>
      <c r="C833" s="33">
        <v>45430</v>
      </c>
      <c r="D833" s="14">
        <v>1464.1</v>
      </c>
      <c r="E833" s="14">
        <v>1466</v>
      </c>
      <c r="F833" s="14">
        <v>1467.1</v>
      </c>
      <c r="G833" s="14">
        <v>1463.05</v>
      </c>
      <c r="H833" s="14">
        <v>1466.35</v>
      </c>
      <c r="I833" s="14">
        <v>1466.05</v>
      </c>
      <c r="J833" s="14">
        <v>1465.57</v>
      </c>
      <c r="K833" t="s" s="13">
        <v>4448</v>
      </c>
      <c r="L833" t="s" s="13">
        <v>4449</v>
      </c>
      <c r="M833" s="34">
        <v>15995</v>
      </c>
      <c r="N833" t="s" s="13">
        <v>4450</v>
      </c>
      <c r="O833" s="15">
        <v>52.34</v>
      </c>
      <c r="P833" s="30" cm="1">
        <f t="array" ref="P833">(I833-I832)/I832</f>
        <v>0.00133187623796189</v>
      </c>
      <c r="Q833" s="15">
        <v>18046675</v>
      </c>
    </row>
    <row r="834" ht="13.65" customHeight="1">
      <c r="A834" t="s" s="27">
        <v>1294</v>
      </c>
      <c r="B834" t="s" s="13">
        <v>22</v>
      </c>
      <c r="C834" s="33">
        <v>45433</v>
      </c>
      <c r="D834" s="14">
        <v>1466.05</v>
      </c>
      <c r="E834" s="14">
        <v>1450.1</v>
      </c>
      <c r="F834" s="14">
        <v>1469.7</v>
      </c>
      <c r="G834" s="14">
        <v>1450.1</v>
      </c>
      <c r="H834" s="14">
        <v>1457.2</v>
      </c>
      <c r="I834" s="14">
        <v>1458.8</v>
      </c>
      <c r="J834" s="14">
        <v>1460.08</v>
      </c>
      <c r="K834" t="s" s="13">
        <v>4451</v>
      </c>
      <c r="L834" t="s" s="13">
        <v>4452</v>
      </c>
      <c r="M834" t="s" s="13">
        <v>4453</v>
      </c>
      <c r="N834" t="s" s="13">
        <v>4454</v>
      </c>
      <c r="O834" s="15">
        <v>71.67</v>
      </c>
      <c r="P834" s="30" cm="1">
        <f t="array" ref="P834">(I834-I833)/I833</f>
        <v>-0.00494526107567955</v>
      </c>
      <c r="Q834" s="15">
        <v>12427347</v>
      </c>
    </row>
    <row r="835" ht="13.65" customHeight="1">
      <c r="A835" t="s" s="27">
        <v>1294</v>
      </c>
      <c r="B835" t="s" s="13">
        <v>22</v>
      </c>
      <c r="C835" s="33">
        <v>45434</v>
      </c>
      <c r="D835" s="14">
        <v>1458.8</v>
      </c>
      <c r="E835" s="14">
        <v>1457.85</v>
      </c>
      <c r="F835" s="14">
        <v>1465.6</v>
      </c>
      <c r="G835" s="14">
        <v>1448.15</v>
      </c>
      <c r="H835" s="14">
        <v>1463.75</v>
      </c>
      <c r="I835" s="14">
        <v>1459.2</v>
      </c>
      <c r="J835" s="14">
        <v>1456.24</v>
      </c>
      <c r="K835" t="s" s="13">
        <v>4455</v>
      </c>
      <c r="L835" t="s" s="13">
        <v>4456</v>
      </c>
      <c r="M835" t="s" s="13">
        <v>4457</v>
      </c>
      <c r="N835" t="s" s="13">
        <v>4458</v>
      </c>
      <c r="O835" s="15">
        <v>57.51</v>
      </c>
      <c r="P835" s="30" cm="1">
        <f t="array" ref="P835">(I835-I834)/I834</f>
        <v>0.000274197970935015</v>
      </c>
      <c r="Q835" s="15">
        <v>17722602</v>
      </c>
    </row>
    <row r="836" ht="13.65" customHeight="1">
      <c r="A836" t="s" s="27">
        <v>1294</v>
      </c>
      <c r="B836" t="s" s="13">
        <v>22</v>
      </c>
      <c r="C836" s="33">
        <v>45435</v>
      </c>
      <c r="D836" s="14">
        <v>1459.2</v>
      </c>
      <c r="E836" s="14">
        <v>1458.65</v>
      </c>
      <c r="F836" s="14">
        <v>1495.65</v>
      </c>
      <c r="G836" s="14">
        <v>1457.05</v>
      </c>
      <c r="H836" s="14">
        <v>1492.85</v>
      </c>
      <c r="I836" s="14">
        <v>1492.6</v>
      </c>
      <c r="J836" s="14">
        <v>1477.1</v>
      </c>
      <c r="K836" t="s" s="13">
        <v>4459</v>
      </c>
      <c r="L836" t="s" s="13">
        <v>4460</v>
      </c>
      <c r="M836" t="s" s="13">
        <v>4461</v>
      </c>
      <c r="N836" t="s" s="13">
        <v>4462</v>
      </c>
      <c r="O836" s="15">
        <v>56.74</v>
      </c>
      <c r="P836" s="30" cm="1">
        <f t="array" ref="P836">(I836-I835)/I835</f>
        <v>0.0228892543859649</v>
      </c>
      <c r="Q836" s="15">
        <v>11220790</v>
      </c>
    </row>
    <row r="837" ht="13.65" customHeight="1">
      <c r="A837" t="s" s="27">
        <v>1294</v>
      </c>
      <c r="B837" t="s" s="13">
        <v>22</v>
      </c>
      <c r="C837" s="33">
        <v>45436</v>
      </c>
      <c r="D837" s="14">
        <v>1492.6</v>
      </c>
      <c r="E837" s="14">
        <v>1487.5</v>
      </c>
      <c r="F837" s="14">
        <v>1519.9</v>
      </c>
      <c r="G837" s="14">
        <v>1486</v>
      </c>
      <c r="H837" s="14">
        <v>1516.5</v>
      </c>
      <c r="I837" s="14">
        <v>1517.2</v>
      </c>
      <c r="J837" s="14">
        <v>1507.33</v>
      </c>
      <c r="K837" t="s" s="13">
        <v>4463</v>
      </c>
      <c r="L837" t="s" s="13">
        <v>4464</v>
      </c>
      <c r="M837" t="s" s="13">
        <v>4465</v>
      </c>
      <c r="N837" t="s" s="13">
        <v>4466</v>
      </c>
      <c r="O837" s="15">
        <v>57.47</v>
      </c>
      <c r="P837" s="30" cm="1">
        <f t="array" ref="P837">(I837-I836)/I836</f>
        <v>0.016481307785073</v>
      </c>
      <c r="Q837" s="15">
        <v>13413530</v>
      </c>
    </row>
    <row r="838" ht="13.65" customHeight="1">
      <c r="A838" t="s" s="27">
        <v>1294</v>
      </c>
      <c r="B838" t="s" s="13">
        <v>22</v>
      </c>
      <c r="C838" s="33">
        <v>45439</v>
      </c>
      <c r="D838" s="14">
        <v>1517.2</v>
      </c>
      <c r="E838" s="14">
        <v>1523.35</v>
      </c>
      <c r="F838" s="14">
        <v>1545</v>
      </c>
      <c r="G838" s="14">
        <v>1519.05</v>
      </c>
      <c r="H838" s="14">
        <v>1528</v>
      </c>
      <c r="I838" s="14">
        <v>1527.7</v>
      </c>
      <c r="J838" s="14">
        <v>1533.69</v>
      </c>
      <c r="K838" t="s" s="13">
        <v>4467</v>
      </c>
      <c r="L838" t="s" s="13">
        <v>4468</v>
      </c>
      <c r="M838" t="s" s="13">
        <v>4469</v>
      </c>
      <c r="N838" t="s" s="13">
        <v>4470</v>
      </c>
      <c r="O838" s="15">
        <v>58.39</v>
      </c>
      <c r="P838" s="30" cm="1">
        <f t="array" ref="P838">(I838-I837)/I837</f>
        <v>0.00692064329027155</v>
      </c>
      <c r="Q838" s="15">
        <v>21149219</v>
      </c>
    </row>
    <row r="839" ht="13.65" customHeight="1">
      <c r="A839" t="s" s="27">
        <v>1294</v>
      </c>
      <c r="B839" t="s" s="13">
        <v>22</v>
      </c>
      <c r="C839" s="33">
        <v>45440</v>
      </c>
      <c r="D839" s="14">
        <v>1527.7</v>
      </c>
      <c r="E839" s="14">
        <v>1530.1</v>
      </c>
      <c r="F839" s="14">
        <v>1536.05</v>
      </c>
      <c r="G839" s="14">
        <v>1524.8</v>
      </c>
      <c r="H839" s="14">
        <v>1528.6</v>
      </c>
      <c r="I839" s="14">
        <v>1530.5</v>
      </c>
      <c r="J839" s="14">
        <v>1531.14</v>
      </c>
      <c r="K839" t="s" s="13">
        <v>4471</v>
      </c>
      <c r="L839" t="s" s="13">
        <v>4472</v>
      </c>
      <c r="M839" t="s" s="13">
        <v>4473</v>
      </c>
      <c r="N839" t="s" s="13">
        <v>4474</v>
      </c>
      <c r="O839" s="15">
        <v>59.19</v>
      </c>
      <c r="P839" s="30" cm="1">
        <f t="array" ref="P839">(I839-I838)/I838</f>
        <v>0.0018328205799568</v>
      </c>
      <c r="Q839" s="15">
        <v>17288217</v>
      </c>
    </row>
    <row r="840" ht="13.65" customHeight="1">
      <c r="A840" t="s" s="27">
        <v>1294</v>
      </c>
      <c r="B840" t="s" s="13">
        <v>22</v>
      </c>
      <c r="C840" s="33">
        <v>45441</v>
      </c>
      <c r="D840" s="14">
        <v>1530.5</v>
      </c>
      <c r="E840" s="14">
        <v>1518</v>
      </c>
      <c r="F840" s="14">
        <v>1523.85</v>
      </c>
      <c r="G840" s="14">
        <v>1501.25</v>
      </c>
      <c r="H840" s="14">
        <v>1506</v>
      </c>
      <c r="I840" s="14">
        <v>1508.3</v>
      </c>
      <c r="J840" s="14">
        <v>1510.22</v>
      </c>
      <c r="K840" t="s" s="13">
        <v>4475</v>
      </c>
      <c r="L840" t="s" s="13">
        <v>4476</v>
      </c>
      <c r="M840" t="s" s="13">
        <v>4477</v>
      </c>
      <c r="N840" t="s" s="13">
        <v>4478</v>
      </c>
      <c r="O840" s="15">
        <v>58.44</v>
      </c>
      <c r="P840" s="30" cm="1">
        <f t="array" ref="P840">(I840-I839)/I839</f>
        <v>-0.0145050637046717</v>
      </c>
      <c r="Q840" s="15">
        <v>17117442</v>
      </c>
    </row>
    <row r="841" ht="13.65" customHeight="1">
      <c r="A841" t="s" s="27">
        <v>1294</v>
      </c>
      <c r="B841" t="s" s="13">
        <v>22</v>
      </c>
      <c r="C841" s="33">
        <v>45442</v>
      </c>
      <c r="D841" s="14">
        <v>1508.3</v>
      </c>
      <c r="E841" s="14">
        <v>1499.2</v>
      </c>
      <c r="F841" s="14">
        <v>1523.6</v>
      </c>
      <c r="G841" s="14">
        <v>1497.65</v>
      </c>
      <c r="H841" s="14">
        <v>1518.3</v>
      </c>
      <c r="I841" s="14">
        <v>1514.85</v>
      </c>
      <c r="J841" s="14">
        <v>1513.96</v>
      </c>
      <c r="K841" t="s" s="13">
        <v>4479</v>
      </c>
      <c r="L841" t="s" s="13">
        <v>4480</v>
      </c>
      <c r="M841" t="s" s="13">
        <v>4481</v>
      </c>
      <c r="N841" t="s" s="13">
        <v>4482</v>
      </c>
      <c r="O841" s="15">
        <v>60.22</v>
      </c>
      <c r="P841" s="30" cm="1">
        <f t="array" ref="P841">(I841-I840)/I840</f>
        <v>0.00434263740635152</v>
      </c>
      <c r="Q841" s="15">
        <v>10372443</v>
      </c>
    </row>
    <row r="842" ht="13.65" customHeight="1">
      <c r="A842" t="s" s="27">
        <v>1294</v>
      </c>
      <c r="B842" t="s" s="13">
        <v>22</v>
      </c>
      <c r="C842" s="33">
        <v>45443</v>
      </c>
      <c r="D842" s="14">
        <v>1514.85</v>
      </c>
      <c r="E842" s="14">
        <v>1519</v>
      </c>
      <c r="F842" s="14">
        <v>1536</v>
      </c>
      <c r="G842" s="14">
        <v>1514</v>
      </c>
      <c r="H842" s="14">
        <v>1525.95</v>
      </c>
      <c r="I842" s="14">
        <v>1531.55</v>
      </c>
      <c r="J842" s="14">
        <v>1528.77</v>
      </c>
      <c r="K842" t="s" s="13">
        <v>4483</v>
      </c>
      <c r="L842" t="s" s="13">
        <v>4484</v>
      </c>
      <c r="M842" t="s" s="13">
        <v>4485</v>
      </c>
      <c r="N842" t="s" s="13">
        <v>4486</v>
      </c>
      <c r="O842" s="15">
        <v>66.31</v>
      </c>
      <c r="P842" s="30" cm="1">
        <f t="array" ref="P842">(I842-I841)/I841</f>
        <v>0.0110241938145691</v>
      </c>
      <c r="Q842" s="15">
        <v>11707624</v>
      </c>
    </row>
    <row r="843" ht="13.65" customHeight="1">
      <c r="A843" t="s" s="27">
        <v>1294</v>
      </c>
      <c r="B843" t="s" s="13">
        <v>22</v>
      </c>
      <c r="C843" s="28">
        <v>45446</v>
      </c>
      <c r="D843" s="14">
        <v>1531.55</v>
      </c>
      <c r="E843" s="14">
        <v>1599</v>
      </c>
      <c r="F843" s="14">
        <v>1599</v>
      </c>
      <c r="G843" s="14">
        <v>1550</v>
      </c>
      <c r="H843" s="14">
        <v>1573</v>
      </c>
      <c r="I843" s="14">
        <v>1572.2</v>
      </c>
      <c r="J843" s="14">
        <v>1567.87</v>
      </c>
      <c r="K843" t="s" s="13">
        <v>4487</v>
      </c>
      <c r="L843" t="s" s="13">
        <v>4488</v>
      </c>
      <c r="M843" t="s" s="13">
        <v>4489</v>
      </c>
      <c r="N843" t="s" s="13">
        <v>4490</v>
      </c>
      <c r="O843" s="15">
        <v>57.73</v>
      </c>
      <c r="P843" s="30" cm="1">
        <f t="array" ref="P843">(I843-I842)/I842</f>
        <v>0.0265417387613855</v>
      </c>
      <c r="Q843" s="15">
        <v>20542104</v>
      </c>
    </row>
    <row r="844" ht="13.65" customHeight="1">
      <c r="A844" t="s" s="27">
        <v>1294</v>
      </c>
      <c r="B844" t="s" s="13">
        <v>22</v>
      </c>
      <c r="C844" s="28">
        <v>45447</v>
      </c>
      <c r="D844" s="14">
        <v>1572.2</v>
      </c>
      <c r="E844" s="14">
        <v>1557</v>
      </c>
      <c r="F844" s="14">
        <v>1559</v>
      </c>
      <c r="G844" s="14">
        <v>1454</v>
      </c>
      <c r="H844" s="14">
        <v>1489.75</v>
      </c>
      <c r="I844" s="14">
        <v>1483.15</v>
      </c>
      <c r="J844" s="14">
        <v>1504.91</v>
      </c>
      <c r="K844" t="s" s="13">
        <v>4491</v>
      </c>
      <c r="L844" t="s" s="13">
        <v>4492</v>
      </c>
      <c r="M844" t="s" s="13">
        <v>4493</v>
      </c>
      <c r="N844" t="s" s="13">
        <v>4494</v>
      </c>
      <c r="O844" s="15">
        <v>34.27</v>
      </c>
      <c r="P844" s="30" cm="1">
        <f t="array" ref="P844">(I844-I843)/I843</f>
        <v>-0.0566403765424246</v>
      </c>
      <c r="Q844" s="15">
        <v>13903700</v>
      </c>
    </row>
    <row r="845" ht="13.65" customHeight="1">
      <c r="A845" t="s" s="27">
        <v>1294</v>
      </c>
      <c r="B845" t="s" s="13">
        <v>22</v>
      </c>
      <c r="C845" s="28">
        <v>45448</v>
      </c>
      <c r="D845" s="14">
        <v>1483.15</v>
      </c>
      <c r="E845" s="14">
        <v>1494.05</v>
      </c>
      <c r="F845" s="14">
        <v>1559.6</v>
      </c>
      <c r="G845" s="14">
        <v>1482.35</v>
      </c>
      <c r="H845" s="14">
        <v>1545.85</v>
      </c>
      <c r="I845" s="14">
        <v>1551.8</v>
      </c>
      <c r="J845" s="14">
        <v>1523.83</v>
      </c>
      <c r="K845" t="s" s="13">
        <v>4495</v>
      </c>
      <c r="L845" t="s" s="13">
        <v>4496</v>
      </c>
      <c r="M845" t="s" s="13">
        <v>4497</v>
      </c>
      <c r="N845" t="s" s="13">
        <v>4498</v>
      </c>
      <c r="O845" s="15">
        <v>42.21</v>
      </c>
      <c r="P845" s="30" cm="1">
        <f t="array" ref="P845">(I845-I844)/I844</f>
        <v>0.046286619694569</v>
      </c>
      <c r="Q845" s="15">
        <v>10942247</v>
      </c>
    </row>
    <row r="846" ht="13.65" customHeight="1">
      <c r="A846" t="s" s="27">
        <v>1294</v>
      </c>
      <c r="B846" t="s" s="13">
        <v>22</v>
      </c>
      <c r="C846" s="28">
        <v>45449</v>
      </c>
      <c r="D846" s="14">
        <v>1551.8</v>
      </c>
      <c r="E846" s="14">
        <v>1564.9</v>
      </c>
      <c r="F846" s="14">
        <v>1565.45</v>
      </c>
      <c r="G846" s="14">
        <v>1546.6</v>
      </c>
      <c r="H846" s="14">
        <v>1559.5</v>
      </c>
      <c r="I846" s="14">
        <v>1559.7</v>
      </c>
      <c r="J846" s="14">
        <v>1557</v>
      </c>
      <c r="K846" t="s" s="13">
        <v>4499</v>
      </c>
      <c r="L846" t="s" s="13">
        <v>4500</v>
      </c>
      <c r="M846" t="s" s="13">
        <v>4501</v>
      </c>
      <c r="N846" t="s" s="13">
        <v>4502</v>
      </c>
      <c r="O846" s="15">
        <v>53.97</v>
      </c>
      <c r="P846" s="30" cm="1">
        <f t="array" ref="P846">(I846-I845)/I845</f>
        <v>0.00509086222451347</v>
      </c>
      <c r="Q846" s="15">
        <v>10241470</v>
      </c>
    </row>
    <row r="847" ht="13.65" customHeight="1">
      <c r="A847" t="s" s="27">
        <v>1294</v>
      </c>
      <c r="B847" t="s" s="13">
        <v>22</v>
      </c>
      <c r="C847" s="28">
        <v>45450</v>
      </c>
      <c r="D847" s="14">
        <v>1559.7</v>
      </c>
      <c r="E847" s="14">
        <v>1561.05</v>
      </c>
      <c r="F847" s="14">
        <v>1584.35</v>
      </c>
      <c r="G847" s="14">
        <v>1552.05</v>
      </c>
      <c r="H847" s="14">
        <v>1575</v>
      </c>
      <c r="I847" s="14">
        <v>1573.35</v>
      </c>
      <c r="J847" s="14">
        <v>1572.47</v>
      </c>
      <c r="K847" t="s" s="13">
        <v>4503</v>
      </c>
      <c r="L847" t="s" s="13">
        <v>4504</v>
      </c>
      <c r="M847" t="s" s="13">
        <v>4505</v>
      </c>
      <c r="N847" t="s" s="13">
        <v>4506</v>
      </c>
      <c r="O847" s="15">
        <v>46.63</v>
      </c>
      <c r="P847" s="30" cm="1">
        <f t="array" ref="P847">(I847-I846)/I846</f>
        <v>0.00875168301596461</v>
      </c>
      <c r="Q847" s="15">
        <v>29527951</v>
      </c>
    </row>
    <row r="848" ht="13.65" customHeight="1">
      <c r="A848" t="s" s="27">
        <v>1294</v>
      </c>
      <c r="B848" t="s" s="13">
        <v>22</v>
      </c>
      <c r="C848" s="31">
        <v>45453</v>
      </c>
      <c r="D848" s="14">
        <v>1573.35</v>
      </c>
      <c r="E848" s="14">
        <v>1574</v>
      </c>
      <c r="F848" s="14">
        <v>1580.65</v>
      </c>
      <c r="G848" s="14">
        <v>1557.6</v>
      </c>
      <c r="H848" s="14">
        <v>1559.55</v>
      </c>
      <c r="I848" s="14">
        <v>1561.3</v>
      </c>
      <c r="J848" s="14">
        <v>1566.93</v>
      </c>
      <c r="K848" t="s" s="13">
        <v>4507</v>
      </c>
      <c r="L848" t="s" s="13">
        <v>4508</v>
      </c>
      <c r="M848" t="s" s="13">
        <v>4509</v>
      </c>
      <c r="N848" t="s" s="13">
        <v>4510</v>
      </c>
      <c r="O848" s="15">
        <v>67.12</v>
      </c>
      <c r="P848" s="30" cm="1">
        <f t="array" ref="P848">(I848-I847)/I847</f>
        <v>-0.00765881717354689</v>
      </c>
      <c r="Q848" s="15">
        <v>44467533</v>
      </c>
    </row>
    <row r="849" ht="13.65" customHeight="1">
      <c r="A849" t="s" s="27">
        <v>1294</v>
      </c>
      <c r="B849" t="s" s="13">
        <v>22</v>
      </c>
      <c r="C849" s="31">
        <v>45454</v>
      </c>
      <c r="D849" s="14">
        <v>1561.3</v>
      </c>
      <c r="E849" s="14">
        <v>1556</v>
      </c>
      <c r="F849" s="14">
        <v>1571</v>
      </c>
      <c r="G849" s="14">
        <v>1552.2</v>
      </c>
      <c r="H849" s="14">
        <v>1563.05</v>
      </c>
      <c r="I849" s="14">
        <v>1564.8</v>
      </c>
      <c r="J849" s="14">
        <v>1564.24</v>
      </c>
      <c r="K849" t="s" s="13">
        <v>4511</v>
      </c>
      <c r="L849" t="s" s="13">
        <v>4512</v>
      </c>
      <c r="M849" t="s" s="13">
        <v>4513</v>
      </c>
      <c r="N849" t="s" s="13">
        <v>4514</v>
      </c>
      <c r="O849" s="15">
        <v>56.6</v>
      </c>
      <c r="P849" s="30" cm="1">
        <f t="array" ref="P849">(I849-I848)/I848</f>
        <v>0.00224172164222123</v>
      </c>
      <c r="Q849" s="15">
        <v>22792193</v>
      </c>
    </row>
    <row r="850" ht="13.65" customHeight="1">
      <c r="A850" t="s" s="27">
        <v>1294</v>
      </c>
      <c r="B850" t="s" s="13">
        <v>22</v>
      </c>
      <c r="C850" s="31">
        <v>45455</v>
      </c>
      <c r="D850" s="14">
        <v>1564.8</v>
      </c>
      <c r="E850" s="14">
        <v>1575</v>
      </c>
      <c r="F850" s="14">
        <v>1588.3</v>
      </c>
      <c r="G850" s="14">
        <v>1566.4</v>
      </c>
      <c r="H850" s="14">
        <v>1569</v>
      </c>
      <c r="I850" s="14">
        <v>1574.15</v>
      </c>
      <c r="J850" s="14">
        <v>1576.98</v>
      </c>
      <c r="K850" t="s" s="13">
        <v>4515</v>
      </c>
      <c r="L850" t="s" s="13">
        <v>4516</v>
      </c>
      <c r="M850" t="s" s="13">
        <v>4517</v>
      </c>
      <c r="N850" t="s" s="13">
        <v>4518</v>
      </c>
      <c r="O850" s="15">
        <v>48.73</v>
      </c>
      <c r="P850" s="30" cm="1">
        <f t="array" ref="P850">(I850-I849)/I849</f>
        <v>0.00597520449897751</v>
      </c>
      <c r="Q850" s="15">
        <v>20612723</v>
      </c>
    </row>
    <row r="851" ht="13.65" customHeight="1">
      <c r="A851" t="s" s="27">
        <v>1294</v>
      </c>
      <c r="B851" t="s" s="13">
        <v>22</v>
      </c>
      <c r="C851" s="31">
        <v>45456</v>
      </c>
      <c r="D851" s="14">
        <v>1574.15</v>
      </c>
      <c r="E851" s="14">
        <v>1581.75</v>
      </c>
      <c r="F851" s="14">
        <v>1585.7</v>
      </c>
      <c r="G851" s="14">
        <v>1574</v>
      </c>
      <c r="H851" s="14">
        <v>1581.2</v>
      </c>
      <c r="I851" s="14">
        <v>1580.75</v>
      </c>
      <c r="J851" s="14">
        <v>1581.85</v>
      </c>
      <c r="K851" t="s" s="13">
        <v>4519</v>
      </c>
      <c r="L851" t="s" s="13">
        <v>4520</v>
      </c>
      <c r="M851" t="s" s="13">
        <v>4521</v>
      </c>
      <c r="N851" t="s" s="13">
        <v>4522</v>
      </c>
      <c r="O851" s="15">
        <v>65.11</v>
      </c>
      <c r="P851" s="30" cm="1">
        <f t="array" ref="P851">(I851-I850)/I850</f>
        <v>0.00419273893847473</v>
      </c>
      <c r="Q851" s="15">
        <v>12599785</v>
      </c>
    </row>
    <row r="852" ht="13.65" customHeight="1">
      <c r="A852" t="s" s="27">
        <v>1294</v>
      </c>
      <c r="B852" t="s" s="13">
        <v>22</v>
      </c>
      <c r="C852" s="31">
        <v>45457</v>
      </c>
      <c r="D852" s="14">
        <v>1580.75</v>
      </c>
      <c r="E852" s="14">
        <v>1584</v>
      </c>
      <c r="F852" s="14">
        <v>1599</v>
      </c>
      <c r="G852" s="14">
        <v>1577.7</v>
      </c>
      <c r="H852" s="14">
        <v>1595.6</v>
      </c>
      <c r="I852" s="14">
        <v>1596.9</v>
      </c>
      <c r="J852" s="14">
        <v>1592.12</v>
      </c>
      <c r="K852" t="s" s="13">
        <v>4523</v>
      </c>
      <c r="L852" t="s" s="13">
        <v>4524</v>
      </c>
      <c r="M852" t="s" s="13">
        <v>4525</v>
      </c>
      <c r="N852" t="s" s="13">
        <v>4526</v>
      </c>
      <c r="O852" s="15">
        <v>61.67</v>
      </c>
      <c r="P852" s="17" cm="1">
        <f t="array" ref="P852">(I852-I851)/I851</f>
        <v>0.0102166693025463</v>
      </c>
      <c r="Q852" s="21"/>
    </row>
    <row r="853" ht="13.65" customHeight="1">
      <c r="A853" t="s" s="27">
        <v>1294</v>
      </c>
      <c r="B853" t="s" s="13">
        <v>22</v>
      </c>
      <c r="C853" s="31">
        <v>45461</v>
      </c>
      <c r="D853" s="14">
        <v>1596.9</v>
      </c>
      <c r="E853" s="14">
        <v>1596.9</v>
      </c>
      <c r="F853" s="14">
        <v>1610.5</v>
      </c>
      <c r="G853" s="14">
        <v>1589.45</v>
      </c>
      <c r="H853" s="14">
        <v>1608</v>
      </c>
      <c r="I853" s="14">
        <v>1607.8</v>
      </c>
      <c r="J853" s="14">
        <v>1604.04</v>
      </c>
      <c r="K853" t="s" s="13">
        <v>4527</v>
      </c>
      <c r="L853" t="s" s="13">
        <v>4528</v>
      </c>
      <c r="M853" t="s" s="13">
        <v>4529</v>
      </c>
      <c r="N853" t="s" s="13">
        <v>4530</v>
      </c>
      <c r="O853" s="15">
        <v>57.26</v>
      </c>
      <c r="P853" s="17" cm="1">
        <f t="array" ref="P853">(I853-I852)/I852</f>
        <v>0.00682572484188114</v>
      </c>
      <c r="Q853" s="8" cm="1">
        <f t="array" ref="Q853">AVERAGE('reliance'!B1:B3)</f>
      </c>
    </row>
    <row r="854" ht="13.65" customHeight="1">
      <c r="A854" t="s" s="27">
        <v>1294</v>
      </c>
      <c r="B854" t="s" s="13">
        <v>22</v>
      </c>
      <c r="C854" s="31">
        <v>45462</v>
      </c>
      <c r="D854" s="14">
        <v>1607.8</v>
      </c>
      <c r="E854" s="14">
        <v>1613.4</v>
      </c>
      <c r="F854" s="14">
        <v>1669.9</v>
      </c>
      <c r="G854" s="14">
        <v>1604</v>
      </c>
      <c r="H854" s="14">
        <v>1657</v>
      </c>
      <c r="I854" s="14">
        <v>1657.85</v>
      </c>
      <c r="J854" s="14">
        <v>1644.44</v>
      </c>
      <c r="K854" t="s" s="13">
        <v>4531</v>
      </c>
      <c r="L854" t="s" s="13">
        <v>4532</v>
      </c>
      <c r="M854" t="s" s="13">
        <v>4533</v>
      </c>
      <c r="N854" t="s" s="13">
        <v>4534</v>
      </c>
      <c r="O854" s="15">
        <v>55.14</v>
      </c>
      <c r="P854" s="17" cm="1">
        <f t="array" ref="P854">(I854-I853)/I853</f>
        <v>0.0311294937181241</v>
      </c>
      <c r="Q854" s="8"/>
    </row>
    <row r="855" ht="13.65" customHeight="1">
      <c r="A855" t="s" s="27">
        <v>1294</v>
      </c>
      <c r="B855" t="s" s="13">
        <v>22</v>
      </c>
      <c r="C855" s="31">
        <v>45463</v>
      </c>
      <c r="D855" s="14">
        <v>1657.85</v>
      </c>
      <c r="E855" s="14">
        <v>1669.8</v>
      </c>
      <c r="F855" s="14">
        <v>1681.45</v>
      </c>
      <c r="G855" s="14">
        <v>1652</v>
      </c>
      <c r="H855" s="14">
        <v>1667.25</v>
      </c>
      <c r="I855" s="14">
        <v>1669.35</v>
      </c>
      <c r="J855" s="14">
        <v>1667.89</v>
      </c>
      <c r="K855" t="s" s="13">
        <v>4535</v>
      </c>
      <c r="L855" t="s" s="13">
        <v>4536</v>
      </c>
      <c r="M855" t="s" s="13">
        <v>4537</v>
      </c>
      <c r="N855" t="s" s="13">
        <v>4538</v>
      </c>
      <c r="O855" s="15">
        <v>62.45</v>
      </c>
      <c r="P855" s="17" cm="1">
        <f t="array" ref="P855">(I855-I854)/I854</f>
        <v>0.00693669511716983</v>
      </c>
      <c r="Q855" s="8"/>
    </row>
    <row r="856" ht="13.65" customHeight="1">
      <c r="A856" t="s" s="27">
        <v>1294</v>
      </c>
      <c r="B856" t="s" s="13">
        <v>22</v>
      </c>
      <c r="C856" s="31">
        <v>45464</v>
      </c>
      <c r="D856" s="14">
        <v>1669.35</v>
      </c>
      <c r="E856" s="14">
        <v>1672.85</v>
      </c>
      <c r="F856" s="14">
        <v>1672.85</v>
      </c>
      <c r="G856" s="14">
        <v>1643.15</v>
      </c>
      <c r="H856" s="14">
        <v>1661.65</v>
      </c>
      <c r="I856" s="14">
        <v>1665.75</v>
      </c>
      <c r="J856" s="14">
        <v>1658.68</v>
      </c>
      <c r="K856" t="s" s="13">
        <v>4539</v>
      </c>
      <c r="L856" t="s" s="13">
        <v>4540</v>
      </c>
      <c r="M856" t="s" s="13">
        <v>4541</v>
      </c>
      <c r="N856" t="s" s="13">
        <v>4542</v>
      </c>
      <c r="O856" s="15">
        <v>52.65</v>
      </c>
      <c r="P856" s="17" cm="1">
        <f t="array" ref="P856">(I856-I855)/I855</f>
        <v>-0.0021565279899362</v>
      </c>
      <c r="Q856" s="8"/>
    </row>
    <row r="857" ht="13.65" customHeight="1">
      <c r="A857" t="s" s="27">
        <v>1294</v>
      </c>
      <c r="B857" t="s" s="13">
        <v>22</v>
      </c>
      <c r="C857" s="31">
        <v>45467</v>
      </c>
      <c r="D857" s="14">
        <v>1665.75</v>
      </c>
      <c r="E857" s="14">
        <v>1647</v>
      </c>
      <c r="F857" s="14">
        <v>1675.1</v>
      </c>
      <c r="G857" s="14">
        <v>1645.75</v>
      </c>
      <c r="H857" s="14">
        <v>1671</v>
      </c>
      <c r="I857" s="14">
        <v>1672.4</v>
      </c>
      <c r="J857" s="14">
        <v>1664.93</v>
      </c>
      <c r="K857" t="s" s="13">
        <v>4543</v>
      </c>
      <c r="L857" t="s" s="13">
        <v>4544</v>
      </c>
      <c r="M857" t="s" s="13">
        <v>4545</v>
      </c>
      <c r="N857" t="s" s="13">
        <v>4546</v>
      </c>
      <c r="O857" s="15">
        <v>56.52</v>
      </c>
      <c r="P857" s="17" cm="1">
        <f t="array" ref="P857">(I857-I856)/I856</f>
        <v>0.0039921957076392</v>
      </c>
      <c r="Q857" s="8"/>
    </row>
    <row r="858" ht="13.65" customHeight="1">
      <c r="A858" t="s" s="27">
        <v>1294</v>
      </c>
      <c r="B858" t="s" s="13">
        <v>22</v>
      </c>
      <c r="C858" s="31">
        <v>45468</v>
      </c>
      <c r="D858" s="14">
        <v>1672.4</v>
      </c>
      <c r="E858" s="14">
        <v>1671.1</v>
      </c>
      <c r="F858" s="14">
        <v>1716.95</v>
      </c>
      <c r="G858" s="14">
        <v>1671.1</v>
      </c>
      <c r="H858" s="14">
        <v>1707</v>
      </c>
      <c r="I858" s="14">
        <v>1711.35</v>
      </c>
      <c r="J858" s="14">
        <v>1705.04</v>
      </c>
      <c r="K858" t="s" s="13">
        <v>4547</v>
      </c>
      <c r="L858" t="s" s="13">
        <v>4548</v>
      </c>
      <c r="M858" t="s" s="13">
        <v>4549</v>
      </c>
      <c r="N858" t="s" s="13">
        <v>4550</v>
      </c>
      <c r="O858" s="15">
        <v>51.61</v>
      </c>
      <c r="P858" s="17" cm="1">
        <f t="array" ref="P858">(I858-I857)/I857</f>
        <v>0.0232898828031571</v>
      </c>
      <c r="Q858" s="8"/>
    </row>
    <row r="859" ht="13.65" customHeight="1">
      <c r="A859" t="s" s="27">
        <v>1294</v>
      </c>
      <c r="B859" t="s" s="13">
        <v>22</v>
      </c>
      <c r="C859" s="31">
        <v>45469</v>
      </c>
      <c r="D859" s="14">
        <v>1711.35</v>
      </c>
      <c r="E859" s="14">
        <v>1707.95</v>
      </c>
      <c r="F859" s="14">
        <v>1710.9</v>
      </c>
      <c r="G859" s="14">
        <v>1691.1</v>
      </c>
      <c r="H859" s="14">
        <v>1693.5</v>
      </c>
      <c r="I859" s="14">
        <v>1701.5</v>
      </c>
      <c r="J859" s="14">
        <v>1703.01</v>
      </c>
      <c r="K859" t="s" s="13">
        <v>4551</v>
      </c>
      <c r="L859" t="s" s="13">
        <v>4552</v>
      </c>
      <c r="M859" t="s" s="13">
        <v>4553</v>
      </c>
      <c r="N859" t="s" s="13">
        <v>4554</v>
      </c>
      <c r="O859" s="15">
        <v>63.38</v>
      </c>
      <c r="P859" s="17" cm="1">
        <f t="array" ref="P859">(I859-I858)/I858</f>
        <v>-0.00575568995237678</v>
      </c>
      <c r="Q859" s="8"/>
    </row>
    <row r="860" ht="13.65" customHeight="1">
      <c r="A860" t="s" s="27">
        <v>1294</v>
      </c>
      <c r="B860" t="s" s="13">
        <v>22</v>
      </c>
      <c r="C860" s="31">
        <v>45470</v>
      </c>
      <c r="D860" s="14">
        <v>1701.5</v>
      </c>
      <c r="E860" s="14">
        <v>1696.1</v>
      </c>
      <c r="F860" s="14">
        <v>1713</v>
      </c>
      <c r="G860" s="14">
        <v>1686.6</v>
      </c>
      <c r="H860" s="14">
        <v>1696.45</v>
      </c>
      <c r="I860" s="14">
        <v>1696.15</v>
      </c>
      <c r="J860" s="14">
        <v>1697.92</v>
      </c>
      <c r="K860" t="s" s="13">
        <v>4555</v>
      </c>
      <c r="L860" t="s" s="13">
        <v>4556</v>
      </c>
      <c r="M860" t="s" s="13">
        <v>4557</v>
      </c>
      <c r="N860" t="s" s="13">
        <v>4558</v>
      </c>
      <c r="O860" s="15">
        <v>53.09</v>
      </c>
      <c r="P860" s="17" cm="1">
        <f t="array" ref="P860">(I860-I859)/I859</f>
        <v>-0.00314428445489274</v>
      </c>
      <c r="Q860" s="8"/>
    </row>
    <row r="861" ht="13.65" customHeight="1">
      <c r="A861" t="s" s="27">
        <v>1294</v>
      </c>
      <c r="B861" t="s" s="13">
        <v>22</v>
      </c>
      <c r="C861" s="31">
        <v>45471</v>
      </c>
      <c r="D861" s="14">
        <v>1696.15</v>
      </c>
      <c r="E861" s="14">
        <v>1697.6</v>
      </c>
      <c r="F861" s="14">
        <v>1706.6</v>
      </c>
      <c r="G861" s="14">
        <v>1679</v>
      </c>
      <c r="H861" s="14">
        <v>1685</v>
      </c>
      <c r="I861" s="14">
        <v>1683.8</v>
      </c>
      <c r="J861" s="14">
        <v>1692.59</v>
      </c>
      <c r="K861" t="s" s="13">
        <v>4559</v>
      </c>
      <c r="L861" t="s" s="13">
        <v>4560</v>
      </c>
      <c r="M861" t="s" s="13">
        <v>4561</v>
      </c>
      <c r="N861" t="s" s="13">
        <v>4562</v>
      </c>
      <c r="O861" s="15">
        <v>58.18</v>
      </c>
      <c r="P861" s="17" cm="1">
        <f t="array" ref="P861">(I861-I860)/I860</f>
        <v>-0.00728119564896973</v>
      </c>
      <c r="Q861" s="8"/>
    </row>
    <row r="862" ht="13.65" customHeight="1">
      <c r="A862" t="s" s="27">
        <v>1294</v>
      </c>
      <c r="B862" t="s" s="13">
        <v>22</v>
      </c>
      <c r="C862" s="28">
        <v>45474</v>
      </c>
      <c r="D862" s="14">
        <v>1683.8</v>
      </c>
      <c r="E862" s="14">
        <v>1680</v>
      </c>
      <c r="F862" s="14">
        <v>1707.3</v>
      </c>
      <c r="G862" s="14">
        <v>1680</v>
      </c>
      <c r="H862" s="14">
        <v>1704.2</v>
      </c>
      <c r="I862" s="14">
        <v>1705.2</v>
      </c>
      <c r="J862" s="14">
        <v>1699.74</v>
      </c>
      <c r="K862" t="s" s="13">
        <v>4563</v>
      </c>
      <c r="L862" t="s" s="13">
        <v>4564</v>
      </c>
      <c r="M862" t="s" s="13">
        <v>4565</v>
      </c>
      <c r="N862" t="s" s="13">
        <v>4566</v>
      </c>
      <c r="O862" s="15">
        <v>59</v>
      </c>
      <c r="P862" s="17" cm="1">
        <f t="array" ref="P862">(I862-I861)/I861</f>
        <v>0.0127093479035515</v>
      </c>
      <c r="Q862" s="8"/>
    </row>
    <row r="863" ht="13.65" customHeight="1">
      <c r="A863" t="s" s="27">
        <v>1294</v>
      </c>
      <c r="B863" t="s" s="13">
        <v>22</v>
      </c>
      <c r="C863" s="28">
        <v>45475</v>
      </c>
      <c r="D863" s="14">
        <v>1705.2</v>
      </c>
      <c r="E863" s="14">
        <v>1715</v>
      </c>
      <c r="F863" s="14">
        <v>1734.9</v>
      </c>
      <c r="G863" s="14">
        <v>1702.75</v>
      </c>
      <c r="H863" s="14">
        <v>1728</v>
      </c>
      <c r="I863" s="14">
        <v>1730.6</v>
      </c>
      <c r="J863" s="14">
        <v>1722.46</v>
      </c>
      <c r="K863" t="s" s="13">
        <v>4567</v>
      </c>
      <c r="L863" t="s" s="13">
        <v>4568</v>
      </c>
      <c r="M863" t="s" s="13">
        <v>4569</v>
      </c>
      <c r="N863" t="s" s="13">
        <v>4570</v>
      </c>
      <c r="O863" s="15">
        <v>44.86</v>
      </c>
      <c r="P863" s="17" cm="1">
        <f t="array" ref="P863">(I863-I862)/I862</f>
        <v>0.0148956134177809</v>
      </c>
      <c r="Q863" s="8"/>
    </row>
    <row r="864" ht="13.65" customHeight="1">
      <c r="A864" t="s" s="27">
        <v>1294</v>
      </c>
      <c r="B864" t="s" s="13">
        <v>22</v>
      </c>
      <c r="C864" s="28">
        <v>45476</v>
      </c>
      <c r="D864" s="14">
        <v>1730.6</v>
      </c>
      <c r="E864" s="14">
        <v>1791</v>
      </c>
      <c r="F864" s="14">
        <v>1794</v>
      </c>
      <c r="G864" s="14">
        <v>1764.65</v>
      </c>
      <c r="H864" s="14">
        <v>1767.7</v>
      </c>
      <c r="I864" s="14">
        <v>1768.65</v>
      </c>
      <c r="J864" s="14">
        <v>1776.87</v>
      </c>
      <c r="K864" t="s" s="13">
        <v>4571</v>
      </c>
      <c r="L864" t="s" s="13">
        <v>4572</v>
      </c>
      <c r="M864" t="s" s="13">
        <v>4573</v>
      </c>
      <c r="N864" t="s" s="13">
        <v>4574</v>
      </c>
      <c r="O864" s="15">
        <v>62.81</v>
      </c>
      <c r="P864" s="17" cm="1">
        <f t="array" ref="P864">(I864-I863)/I863</f>
        <v>0.0219865942447706</v>
      </c>
      <c r="Q864" s="8"/>
    </row>
    <row r="865" ht="13.65" customHeight="1">
      <c r="A865" t="s" s="27">
        <v>1294</v>
      </c>
      <c r="B865" t="s" s="13">
        <v>22</v>
      </c>
      <c r="C865" s="28">
        <v>45477</v>
      </c>
      <c r="D865" s="14">
        <v>1768.65</v>
      </c>
      <c r="E865" s="14">
        <v>1759.75</v>
      </c>
      <c r="F865" s="14">
        <v>1759.75</v>
      </c>
      <c r="G865" s="14">
        <v>1724.85</v>
      </c>
      <c r="H865" s="14">
        <v>1728</v>
      </c>
      <c r="I865" s="14">
        <v>1727.15</v>
      </c>
      <c r="J865" s="14">
        <v>1735.22</v>
      </c>
      <c r="K865" t="s" s="13">
        <v>4575</v>
      </c>
      <c r="L865" t="s" s="13">
        <v>4576</v>
      </c>
      <c r="M865" t="s" s="13">
        <v>4577</v>
      </c>
      <c r="N865" t="s" s="13">
        <v>4578</v>
      </c>
      <c r="O865" s="15">
        <v>67.56999999999999</v>
      </c>
      <c r="P865" s="17" cm="1">
        <f t="array" ref="P865">(I865-I864)/I864</f>
        <v>-0.0234642241257456</v>
      </c>
      <c r="Q865" s="8"/>
    </row>
    <row r="866" ht="13.65" customHeight="1">
      <c r="A866" t="s" s="27">
        <v>1294</v>
      </c>
      <c r="B866" t="s" s="13">
        <v>22</v>
      </c>
      <c r="C866" s="28">
        <v>45478</v>
      </c>
      <c r="D866" s="14">
        <v>1727.15</v>
      </c>
      <c r="E866" s="14">
        <v>1685</v>
      </c>
      <c r="F866" s="14">
        <v>1685</v>
      </c>
      <c r="G866" s="14">
        <v>1642.2</v>
      </c>
      <c r="H866" s="14">
        <v>1649.4</v>
      </c>
      <c r="I866" s="14">
        <v>1648.1</v>
      </c>
      <c r="J866" s="14">
        <v>1656.79</v>
      </c>
      <c r="K866" t="s" s="13">
        <v>4579</v>
      </c>
      <c r="L866" t="s" s="13">
        <v>4580</v>
      </c>
      <c r="M866" t="s" s="13">
        <v>4581</v>
      </c>
      <c r="N866" t="s" s="13">
        <v>4582</v>
      </c>
      <c r="O866" s="15">
        <v>64.83</v>
      </c>
      <c r="P866" s="17" cm="1">
        <f t="array" ref="P866">(I866-I865)/I865</f>
        <v>-0.0457690414845265</v>
      </c>
      <c r="Q866" s="8"/>
    </row>
    <row r="867" ht="13.65" customHeight="1">
      <c r="A867" t="s" s="27">
        <v>1294</v>
      </c>
      <c r="B867" t="s" s="13">
        <v>22</v>
      </c>
      <c r="C867" s="28">
        <v>45481</v>
      </c>
      <c r="D867" s="14">
        <v>1648.1</v>
      </c>
      <c r="E867" s="14">
        <v>1645.3</v>
      </c>
      <c r="F867" s="14">
        <v>1654.95</v>
      </c>
      <c r="G867" s="14">
        <v>1627.15</v>
      </c>
      <c r="H867" s="14">
        <v>1636.35</v>
      </c>
      <c r="I867" s="14">
        <v>1635.35</v>
      </c>
      <c r="J867" s="14">
        <v>1640.07</v>
      </c>
      <c r="K867" t="s" s="13">
        <v>4583</v>
      </c>
      <c r="L867" t="s" s="13">
        <v>4584</v>
      </c>
      <c r="M867" t="s" s="13">
        <v>4585</v>
      </c>
      <c r="N867" t="s" s="13">
        <v>4586</v>
      </c>
      <c r="O867" s="15">
        <v>73.16</v>
      </c>
      <c r="P867" s="17" cm="1">
        <f t="array" ref="P867">(I867-I866)/I866</f>
        <v>-0.0077361810569747</v>
      </c>
      <c r="Q867" s="8"/>
    </row>
    <row r="868" ht="13.65" customHeight="1">
      <c r="A868" t="s" s="27">
        <v>1294</v>
      </c>
      <c r="B868" t="s" s="13">
        <v>22</v>
      </c>
      <c r="C868" s="28">
        <v>45482</v>
      </c>
      <c r="D868" s="14">
        <v>1635.35</v>
      </c>
      <c r="E868" s="14">
        <v>1625</v>
      </c>
      <c r="F868" s="14">
        <v>1646.7</v>
      </c>
      <c r="G868" s="14">
        <v>1620.35</v>
      </c>
      <c r="H868" s="14">
        <v>1638.8</v>
      </c>
      <c r="I868" s="14">
        <v>1636.5</v>
      </c>
      <c r="J868" s="14">
        <v>1638.53</v>
      </c>
      <c r="K868" t="s" s="13">
        <v>4587</v>
      </c>
      <c r="L868" t="s" s="13">
        <v>4588</v>
      </c>
      <c r="M868" t="s" s="13">
        <v>4589</v>
      </c>
      <c r="N868" t="s" s="13">
        <v>4590</v>
      </c>
      <c r="O868" s="15">
        <v>68.84</v>
      </c>
      <c r="P868" s="17" cm="1">
        <f t="array" ref="P868">(I868-I867)/I867</f>
        <v>0.000703213379398905</v>
      </c>
      <c r="Q868" s="8"/>
    </row>
    <row r="869" ht="13.65" customHeight="1">
      <c r="A869" t="s" s="27">
        <v>1294</v>
      </c>
      <c r="B869" t="s" s="13">
        <v>22</v>
      </c>
      <c r="C869" s="31">
        <v>45483</v>
      </c>
      <c r="D869" s="14">
        <v>1636.5</v>
      </c>
      <c r="E869" s="14">
        <v>1629.95</v>
      </c>
      <c r="F869" s="14">
        <v>1640</v>
      </c>
      <c r="G869" s="14">
        <v>1620.75</v>
      </c>
      <c r="H869" s="14">
        <v>1628.7</v>
      </c>
      <c r="I869" s="14">
        <v>1626.1</v>
      </c>
      <c r="J869" s="14">
        <v>1627.6</v>
      </c>
      <c r="K869" t="s" s="13">
        <v>4591</v>
      </c>
      <c r="L869" t="s" s="13">
        <v>4592</v>
      </c>
      <c r="M869" t="s" s="13">
        <v>4593</v>
      </c>
      <c r="N869" t="s" s="13">
        <v>4594</v>
      </c>
      <c r="O869" s="15">
        <v>65.83</v>
      </c>
      <c r="P869" s="17" cm="1">
        <f t="array" ref="P869">(I869-I868)/I868</f>
        <v>-0.00635502597005805</v>
      </c>
      <c r="Q869" s="8"/>
    </row>
    <row r="870" ht="13.65" customHeight="1">
      <c r="A870" t="s" s="27">
        <v>1294</v>
      </c>
      <c r="B870" t="s" s="13">
        <v>22</v>
      </c>
      <c r="C870" s="31">
        <v>45484</v>
      </c>
      <c r="D870" s="14">
        <v>1626.1</v>
      </c>
      <c r="E870" s="14">
        <v>1623.95</v>
      </c>
      <c r="F870" s="14">
        <v>1625.85</v>
      </c>
      <c r="G870" s="14">
        <v>1601</v>
      </c>
      <c r="H870" s="14">
        <v>1623</v>
      </c>
      <c r="I870" s="14">
        <v>1621.9</v>
      </c>
      <c r="J870" s="14">
        <v>1612.69</v>
      </c>
      <c r="K870" t="s" s="13">
        <v>4595</v>
      </c>
      <c r="L870" t="s" s="13">
        <v>4596</v>
      </c>
      <c r="M870" t="s" s="13">
        <v>4597</v>
      </c>
      <c r="N870" t="s" s="13">
        <v>4598</v>
      </c>
      <c r="O870" s="15">
        <v>66.61</v>
      </c>
      <c r="P870" s="17" cm="1">
        <f t="array" ref="P870">(I870-I869)/I869</f>
        <v>-0.00258286698235041</v>
      </c>
      <c r="Q870" s="8"/>
    </row>
    <row r="871" ht="13.65" customHeight="1">
      <c r="A871" t="s" s="27">
        <v>1294</v>
      </c>
      <c r="B871" t="s" s="13">
        <v>22</v>
      </c>
      <c r="C871" s="31">
        <v>45485</v>
      </c>
      <c r="D871" s="14">
        <v>1621.9</v>
      </c>
      <c r="E871" s="14">
        <v>1622</v>
      </c>
      <c r="F871" s="14">
        <v>1638.4</v>
      </c>
      <c r="G871" s="14">
        <v>1611.15</v>
      </c>
      <c r="H871" s="14">
        <v>1627.55</v>
      </c>
      <c r="I871" s="14">
        <v>1622.7</v>
      </c>
      <c r="J871" s="14">
        <v>1624.06</v>
      </c>
      <c r="K871" t="s" s="13">
        <v>4599</v>
      </c>
      <c r="L871" t="s" s="13">
        <v>4600</v>
      </c>
      <c r="M871" t="s" s="13">
        <v>4601</v>
      </c>
      <c r="N871" t="s" s="13">
        <v>4602</v>
      </c>
      <c r="O871" s="15">
        <v>59.46</v>
      </c>
      <c r="P871" s="17" cm="1">
        <f t="array" ref="P871">(I871-I870)/I870</f>
        <v>0.000493248658980208</v>
      </c>
      <c r="Q871" s="8"/>
    </row>
    <row r="872" ht="13.65" customHeight="1">
      <c r="A872" t="s" s="27">
        <v>1294</v>
      </c>
      <c r="B872" t="s" s="13">
        <v>22</v>
      </c>
      <c r="C872" s="31">
        <v>45488</v>
      </c>
      <c r="D872" s="14">
        <v>1622.7</v>
      </c>
      <c r="E872" s="14">
        <v>1623.5</v>
      </c>
      <c r="F872" s="14">
        <v>1629.8</v>
      </c>
      <c r="G872" s="14">
        <v>1615.2</v>
      </c>
      <c r="H872" s="14">
        <v>1623</v>
      </c>
      <c r="I872" s="14">
        <v>1622.1</v>
      </c>
      <c r="J872" s="14">
        <v>1622</v>
      </c>
      <c r="K872" t="s" s="13">
        <v>4603</v>
      </c>
      <c r="L872" t="s" s="13">
        <v>4604</v>
      </c>
      <c r="M872" t="s" s="13">
        <v>4605</v>
      </c>
      <c r="N872" t="s" s="13">
        <v>4606</v>
      </c>
      <c r="O872" s="15">
        <v>57.5</v>
      </c>
      <c r="P872" s="17" cm="1">
        <f t="array" ref="P872">(I872-I871)/I871</f>
        <v>-0.000369754113514513</v>
      </c>
      <c r="Q872" s="8"/>
    </row>
    <row r="873" ht="13.65" customHeight="1">
      <c r="A873" t="s" s="27">
        <v>1294</v>
      </c>
      <c r="B873" t="s" s="13">
        <v>22</v>
      </c>
      <c r="C873" s="31">
        <v>45489</v>
      </c>
      <c r="D873" s="14">
        <v>1622.1</v>
      </c>
      <c r="E873" s="14">
        <v>1620.75</v>
      </c>
      <c r="F873" s="14">
        <v>1627</v>
      </c>
      <c r="G873" s="14">
        <v>1616.8</v>
      </c>
      <c r="H873" s="14">
        <v>1621</v>
      </c>
      <c r="I873" s="14">
        <v>1619.75</v>
      </c>
      <c r="J873" s="14">
        <v>1621.84</v>
      </c>
      <c r="K873" t="s" s="13">
        <v>4607</v>
      </c>
      <c r="L873" t="s" s="13">
        <v>4608</v>
      </c>
      <c r="M873" t="s" s="13">
        <v>4609</v>
      </c>
      <c r="N873" t="s" s="13">
        <v>4610</v>
      </c>
      <c r="O873" s="15">
        <v>58.78</v>
      </c>
      <c r="P873" s="17" cm="1">
        <f t="array" ref="P873">(I873-I872)/I872</f>
        <v>-0.00144873928857654</v>
      </c>
      <c r="Q873" s="8"/>
    </row>
    <row r="874" ht="13.65" customHeight="1">
      <c r="A874" t="s" s="27">
        <v>1294</v>
      </c>
      <c r="B874" t="s" s="13">
        <v>22</v>
      </c>
      <c r="C874" s="31">
        <v>45491</v>
      </c>
      <c r="D874" s="14">
        <v>1619.75</v>
      </c>
      <c r="E874" s="14">
        <v>1608</v>
      </c>
      <c r="F874" s="14">
        <v>1623.95</v>
      </c>
      <c r="G874" s="14">
        <v>1599.15</v>
      </c>
      <c r="H874" s="14">
        <v>1615</v>
      </c>
      <c r="I874" s="14">
        <v>1614.8</v>
      </c>
      <c r="J874" s="14">
        <v>1613.29</v>
      </c>
      <c r="K874" t="s" s="13">
        <v>4611</v>
      </c>
      <c r="L874" t="s" s="13">
        <v>4612</v>
      </c>
      <c r="M874" t="s" s="13">
        <v>4613</v>
      </c>
      <c r="N874" t="s" s="13">
        <v>4614</v>
      </c>
      <c r="O874" s="15">
        <v>56.02</v>
      </c>
      <c r="P874" s="17" cm="1">
        <f t="array" ref="P874">(I874-I873)/I873</f>
        <v>-0.00305602716468591</v>
      </c>
      <c r="Q874" s="8"/>
    </row>
    <row r="875" ht="13.65" customHeight="1">
      <c r="A875" t="s" s="27">
        <v>1294</v>
      </c>
      <c r="B875" t="s" s="13">
        <v>22</v>
      </c>
      <c r="C875" s="31">
        <v>45492</v>
      </c>
      <c r="D875" s="14">
        <v>1614.8</v>
      </c>
      <c r="E875" s="14">
        <v>1616</v>
      </c>
      <c r="F875" s="14">
        <v>1623</v>
      </c>
      <c r="G875" s="14">
        <v>1603.5</v>
      </c>
      <c r="H875" s="14">
        <v>1605</v>
      </c>
      <c r="I875" s="14">
        <v>1607.3</v>
      </c>
      <c r="J875" s="14">
        <v>1609.91</v>
      </c>
      <c r="K875" t="s" s="13">
        <v>4615</v>
      </c>
      <c r="L875" t="s" s="13">
        <v>4616</v>
      </c>
      <c r="M875" t="s" s="13">
        <v>4617</v>
      </c>
      <c r="N875" t="s" s="13">
        <v>4618</v>
      </c>
      <c r="O875" s="15">
        <v>62.45</v>
      </c>
      <c r="P875" s="17" cm="1">
        <f t="array" ref="P875">(I875-I874)/I874</f>
        <v>-0.00464453802328462</v>
      </c>
      <c r="Q875" s="8"/>
    </row>
    <row r="876" ht="13.65" customHeight="1">
      <c r="A876" t="s" s="27">
        <v>1294</v>
      </c>
      <c r="B876" t="s" s="13">
        <v>22</v>
      </c>
      <c r="C876" s="31">
        <v>45495</v>
      </c>
      <c r="D876" s="14">
        <v>1607.3</v>
      </c>
      <c r="E876" s="14">
        <v>1617</v>
      </c>
      <c r="F876" s="14">
        <v>1651</v>
      </c>
      <c r="G876" s="14">
        <v>1612.65</v>
      </c>
      <c r="H876" s="14">
        <v>1642</v>
      </c>
      <c r="I876" s="14">
        <v>1642.55</v>
      </c>
      <c r="J876" s="14">
        <v>1637.66</v>
      </c>
      <c r="K876" t="s" s="13">
        <v>4619</v>
      </c>
      <c r="L876" t="s" s="13">
        <v>4620</v>
      </c>
      <c r="M876" t="s" s="13">
        <v>4621</v>
      </c>
      <c r="N876" t="s" s="13">
        <v>4622</v>
      </c>
      <c r="O876" s="15">
        <v>61.77</v>
      </c>
      <c r="P876" s="17" cm="1">
        <f t="array" ref="P876">(I876-I875)/I875</f>
        <v>0.0219311889504137</v>
      </c>
      <c r="Q876" s="8"/>
    </row>
    <row r="877" ht="13.65" customHeight="1">
      <c r="A877" t="s" s="27">
        <v>1294</v>
      </c>
      <c r="B877" t="s" s="13">
        <v>22</v>
      </c>
      <c r="C877" s="31">
        <v>45496</v>
      </c>
      <c r="D877" s="14">
        <v>1642.55</v>
      </c>
      <c r="E877" s="14">
        <v>1647.55</v>
      </c>
      <c r="F877" s="14">
        <v>1647.8</v>
      </c>
      <c r="G877" s="14">
        <v>1605</v>
      </c>
      <c r="H877" s="14">
        <v>1616.6</v>
      </c>
      <c r="I877" s="14">
        <v>1618.4</v>
      </c>
      <c r="J877" s="14">
        <v>1623.96</v>
      </c>
      <c r="K877" t="s" s="13">
        <v>4623</v>
      </c>
      <c r="L877" t="s" s="13">
        <v>4624</v>
      </c>
      <c r="M877" t="s" s="13">
        <v>4625</v>
      </c>
      <c r="N877" t="s" s="13">
        <v>4626</v>
      </c>
      <c r="O877" s="15">
        <v>39.29</v>
      </c>
      <c r="P877" s="17" cm="1">
        <f t="array" ref="P877">(I877-I876)/I876</f>
        <v>-0.0147027487747709</v>
      </c>
      <c r="Q877" s="8"/>
    </row>
    <row r="878" ht="13.65" customHeight="1">
      <c r="A878" t="s" s="27">
        <v>1294</v>
      </c>
      <c r="B878" t="s" s="13">
        <v>22</v>
      </c>
      <c r="C878" s="31">
        <v>45497</v>
      </c>
      <c r="D878" s="14">
        <v>1618.4</v>
      </c>
      <c r="E878" s="14">
        <v>1608.15</v>
      </c>
      <c r="F878" s="14">
        <v>1621</v>
      </c>
      <c r="G878" s="14">
        <v>1588.05</v>
      </c>
      <c r="H878" s="14">
        <v>1608.35</v>
      </c>
      <c r="I878" s="14">
        <v>1604.05</v>
      </c>
      <c r="J878" s="14">
        <v>1604.13</v>
      </c>
      <c r="K878" t="s" s="13">
        <v>4627</v>
      </c>
      <c r="L878" t="s" s="13">
        <v>4628</v>
      </c>
      <c r="M878" t="s" s="13">
        <v>4629</v>
      </c>
      <c r="N878" t="s" s="13">
        <v>4630</v>
      </c>
      <c r="O878" s="15">
        <v>49.96</v>
      </c>
      <c r="P878" s="17" cm="1">
        <f t="array" ref="P878">(I878-I877)/I877</f>
        <v>-0.008866782006920419</v>
      </c>
      <c r="Q878" s="8"/>
    </row>
    <row r="879" ht="13.65" customHeight="1">
      <c r="A879" t="s" s="27">
        <v>1294</v>
      </c>
      <c r="B879" t="s" s="13">
        <v>22</v>
      </c>
      <c r="C879" s="31">
        <v>45498</v>
      </c>
      <c r="D879" s="14">
        <v>1604.05</v>
      </c>
      <c r="E879" s="14">
        <v>1593</v>
      </c>
      <c r="F879" s="14">
        <v>1625</v>
      </c>
      <c r="G879" s="14">
        <v>1593</v>
      </c>
      <c r="H879" s="14">
        <v>1616.75</v>
      </c>
      <c r="I879" s="14">
        <v>1616.6</v>
      </c>
      <c r="J879" s="14">
        <v>1613.59</v>
      </c>
      <c r="K879" t="s" s="13">
        <v>4631</v>
      </c>
      <c r="L879" t="s" s="13">
        <v>4632</v>
      </c>
      <c r="M879" t="s" s="13">
        <v>4633</v>
      </c>
      <c r="N879" t="s" s="13">
        <v>4634</v>
      </c>
      <c r="O879" s="15">
        <v>53.72</v>
      </c>
      <c r="P879" s="17" cm="1">
        <f t="array" ref="P879">(I879-I878)/I878</f>
        <v>0.00782394563760481</v>
      </c>
      <c r="Q879" s="8"/>
    </row>
    <row r="880" ht="13.65" customHeight="1">
      <c r="A880" t="s" s="27">
        <v>1294</v>
      </c>
      <c r="B880" t="s" s="13">
        <v>22</v>
      </c>
      <c r="C880" s="31">
        <v>45499</v>
      </c>
      <c r="D880" s="14">
        <v>1616.6</v>
      </c>
      <c r="E880" s="14">
        <v>1605</v>
      </c>
      <c r="F880" s="14">
        <v>1621.75</v>
      </c>
      <c r="G880" s="14">
        <v>1596.45</v>
      </c>
      <c r="H880" s="14">
        <v>1616.3</v>
      </c>
      <c r="I880" s="14">
        <v>1618.15</v>
      </c>
      <c r="J880" s="14">
        <v>1609.37</v>
      </c>
      <c r="K880" t="s" s="13">
        <v>4635</v>
      </c>
      <c r="L880" t="s" s="13">
        <v>4636</v>
      </c>
      <c r="M880" t="s" s="13">
        <v>4637</v>
      </c>
      <c r="N880" t="s" s="13">
        <v>4638</v>
      </c>
      <c r="O880" s="15">
        <v>63.3</v>
      </c>
      <c r="P880" s="17" cm="1">
        <f t="array" ref="P880">(I880-I879)/I879</f>
        <v>0.000958802424842262</v>
      </c>
      <c r="Q880" s="8"/>
    </row>
    <row r="881" ht="13.65" customHeight="1">
      <c r="A881" t="s" s="27">
        <v>1294</v>
      </c>
      <c r="B881" t="s" s="13">
        <v>22</v>
      </c>
      <c r="C881" s="31">
        <v>45502</v>
      </c>
      <c r="D881" s="14">
        <v>1618.15</v>
      </c>
      <c r="E881" s="14">
        <v>1615</v>
      </c>
      <c r="F881" s="14">
        <v>1631.85</v>
      </c>
      <c r="G881" s="14">
        <v>1598.3</v>
      </c>
      <c r="H881" s="14">
        <v>1605</v>
      </c>
      <c r="I881" s="14">
        <v>1605.05</v>
      </c>
      <c r="J881" s="14">
        <v>1611.97</v>
      </c>
      <c r="K881" t="s" s="13">
        <v>4639</v>
      </c>
      <c r="L881" t="s" s="13">
        <v>4640</v>
      </c>
      <c r="M881" t="s" s="13">
        <v>4641</v>
      </c>
      <c r="N881" t="s" s="13">
        <v>4642</v>
      </c>
      <c r="O881" s="15">
        <v>48.99</v>
      </c>
      <c r="P881" s="17" cm="1">
        <f t="array" ref="P881">(I881-I880)/I880</f>
        <v>-0.0080956648023978</v>
      </c>
      <c r="Q881" s="8"/>
    </row>
    <row r="882" ht="13.65" customHeight="1">
      <c r="A882" t="s" s="27">
        <v>1294</v>
      </c>
      <c r="B882" t="s" s="13">
        <v>22</v>
      </c>
      <c r="C882" s="31">
        <v>45503</v>
      </c>
      <c r="D882" s="14">
        <v>1605.05</v>
      </c>
      <c r="E882" s="14">
        <v>1602</v>
      </c>
      <c r="F882" s="14">
        <v>1634.75</v>
      </c>
      <c r="G882" s="14">
        <v>1599</v>
      </c>
      <c r="H882" s="14">
        <v>1614.2</v>
      </c>
      <c r="I882" s="14">
        <v>1615.55</v>
      </c>
      <c r="J882" s="14">
        <v>1615.74</v>
      </c>
      <c r="K882" t="s" s="13">
        <v>4643</v>
      </c>
      <c r="L882" t="s" s="13">
        <v>4644</v>
      </c>
      <c r="M882" t="s" s="13">
        <v>4645</v>
      </c>
      <c r="N882" t="s" s="13">
        <v>4646</v>
      </c>
      <c r="O882" s="15">
        <v>39.7</v>
      </c>
      <c r="P882" s="17" cm="1">
        <f t="array" ref="P882">(I882-I881)/I881</f>
        <v>0.00654185227874521</v>
      </c>
      <c r="Q882" s="8"/>
    </row>
    <row r="883" ht="13.65" customHeight="1">
      <c r="A883" t="s" s="27">
        <v>1294</v>
      </c>
      <c r="B883" t="s" s="13">
        <v>22</v>
      </c>
      <c r="C883" s="31">
        <v>45504</v>
      </c>
      <c r="D883" s="14">
        <v>1615.55</v>
      </c>
      <c r="E883" s="14">
        <v>1614</v>
      </c>
      <c r="F883" s="14">
        <v>1627.9</v>
      </c>
      <c r="G883" s="14">
        <v>1609.2</v>
      </c>
      <c r="H883" s="14">
        <v>1617.95</v>
      </c>
      <c r="I883" s="14">
        <v>1615.75</v>
      </c>
      <c r="J883" s="14">
        <v>1617.31</v>
      </c>
      <c r="K883" t="s" s="13">
        <v>4647</v>
      </c>
      <c r="L883" t="s" s="13">
        <v>4648</v>
      </c>
      <c r="M883" t="s" s="13">
        <v>4649</v>
      </c>
      <c r="N883" t="s" s="13">
        <v>4650</v>
      </c>
      <c r="O883" s="15">
        <v>52.63</v>
      </c>
      <c r="P883" s="17" cm="1">
        <f t="array" ref="P883">(I883-I882)/I882</f>
        <v>0.000123796849370184</v>
      </c>
      <c r="Q883" s="8"/>
    </row>
    <row r="884" ht="13.65" customHeight="1">
      <c r="A884" t="s" s="27">
        <v>1294</v>
      </c>
      <c r="B884" t="s" s="13">
        <v>22</v>
      </c>
      <c r="C884" s="28">
        <v>45505</v>
      </c>
      <c r="D884" s="14">
        <v>1615.75</v>
      </c>
      <c r="E884" s="14">
        <v>1622.9</v>
      </c>
      <c r="F884" s="14">
        <v>1650.05</v>
      </c>
      <c r="G884" s="14">
        <v>1617.95</v>
      </c>
      <c r="H884" s="14">
        <v>1647.65</v>
      </c>
      <c r="I884" s="14">
        <v>1638.8</v>
      </c>
      <c r="J884" s="14">
        <v>1632.59</v>
      </c>
      <c r="K884" t="s" s="13">
        <v>4651</v>
      </c>
      <c r="L884" t="s" s="13">
        <v>4652</v>
      </c>
      <c r="M884" t="s" s="13">
        <v>4653</v>
      </c>
      <c r="N884" t="s" s="13">
        <v>4654</v>
      </c>
      <c r="O884" s="15">
        <v>65.68000000000001</v>
      </c>
      <c r="P884" s="17" cm="1">
        <f t="array" ref="P884">(I884-I883)/I883</f>
        <v>0.0142658208262417</v>
      </c>
      <c r="Q884" s="8"/>
    </row>
    <row r="885" ht="13.65" customHeight="1">
      <c r="A885" t="s" s="27">
        <v>1294</v>
      </c>
      <c r="B885" t="s" s="13">
        <v>22</v>
      </c>
      <c r="C885" s="28">
        <v>45506</v>
      </c>
      <c r="D885" s="14">
        <v>1638.8</v>
      </c>
      <c r="E885" s="14">
        <v>1631</v>
      </c>
      <c r="F885" s="14">
        <v>1670.5</v>
      </c>
      <c r="G885" s="14">
        <v>1631</v>
      </c>
      <c r="H885" s="14">
        <v>1658.05</v>
      </c>
      <c r="I885" s="14">
        <v>1659.15</v>
      </c>
      <c r="J885" s="14">
        <v>1658.62</v>
      </c>
      <c r="K885" t="s" s="13">
        <v>4655</v>
      </c>
      <c r="L885" t="s" s="13">
        <v>4656</v>
      </c>
      <c r="M885" t="s" s="13">
        <v>4657</v>
      </c>
      <c r="N885" t="s" s="13">
        <v>4658</v>
      </c>
      <c r="O885" s="15">
        <v>56.14</v>
      </c>
      <c r="P885" s="17" cm="1">
        <f t="array" ref="P885">(I885-I884)/I884</f>
        <v>0.01241762265072</v>
      </c>
      <c r="Q885" s="8"/>
    </row>
    <row r="886" ht="13.65" customHeight="1">
      <c r="A886" t="s" s="27">
        <v>1294</v>
      </c>
      <c r="B886" t="s" s="13">
        <v>22</v>
      </c>
      <c r="C886" s="28">
        <v>45509</v>
      </c>
      <c r="D886" s="14">
        <v>1659.15</v>
      </c>
      <c r="E886" s="14">
        <v>1640.1</v>
      </c>
      <c r="F886" s="14">
        <v>1646</v>
      </c>
      <c r="G886" s="14">
        <v>1601</v>
      </c>
      <c r="H886" s="14">
        <v>1616.05</v>
      </c>
      <c r="I886" s="14">
        <v>1615.75</v>
      </c>
      <c r="J886" s="14">
        <v>1622.77</v>
      </c>
      <c r="K886" t="s" s="13">
        <v>4659</v>
      </c>
      <c r="L886" t="s" s="13">
        <v>4660</v>
      </c>
      <c r="M886" t="s" s="13">
        <v>4661</v>
      </c>
      <c r="N886" t="s" s="13">
        <v>4662</v>
      </c>
      <c r="O886" s="15">
        <v>58.61</v>
      </c>
      <c r="P886" s="17" cm="1">
        <f t="array" ref="P886">(I886-I885)/I885</f>
        <v>-0.0261579724557755</v>
      </c>
      <c r="Q886" s="8"/>
    </row>
    <row r="887" ht="13.65" customHeight="1">
      <c r="A887" t="s" s="27">
        <v>1294</v>
      </c>
      <c r="B887" t="s" s="13">
        <v>22</v>
      </c>
      <c r="C887" s="28">
        <v>45510</v>
      </c>
      <c r="D887" s="14">
        <v>1615.75</v>
      </c>
      <c r="E887" s="14">
        <v>1630</v>
      </c>
      <c r="F887" s="14">
        <v>1632.95</v>
      </c>
      <c r="G887" s="14">
        <v>1593.3</v>
      </c>
      <c r="H887" s="14">
        <v>1602.7</v>
      </c>
      <c r="I887" s="14">
        <v>1601.2</v>
      </c>
      <c r="J887" s="14">
        <v>1608.02</v>
      </c>
      <c r="K887" t="s" s="13">
        <v>4663</v>
      </c>
      <c r="L887" t="s" s="13">
        <v>4664</v>
      </c>
      <c r="M887" t="s" s="13">
        <v>4665</v>
      </c>
      <c r="N887" t="s" s="13">
        <v>4666</v>
      </c>
      <c r="O887" s="15">
        <v>64.48</v>
      </c>
      <c r="P887" s="17" cm="1">
        <f t="array" ref="P887">(I887-I886)/I886</f>
        <v>-0.0090051059879313</v>
      </c>
      <c r="Q887" s="8"/>
    </row>
    <row r="888" ht="13.65" customHeight="1">
      <c r="A888" t="s" s="27">
        <v>1294</v>
      </c>
      <c r="B888" t="s" s="13">
        <v>22</v>
      </c>
      <c r="C888" s="28">
        <v>45511</v>
      </c>
      <c r="D888" s="14">
        <v>1601.2</v>
      </c>
      <c r="E888" s="14">
        <v>1617</v>
      </c>
      <c r="F888" s="14">
        <v>1630</v>
      </c>
      <c r="G888" s="14">
        <v>1602.2</v>
      </c>
      <c r="H888" s="14">
        <v>1628.5</v>
      </c>
      <c r="I888" s="14">
        <v>1623.5</v>
      </c>
      <c r="J888" s="14">
        <v>1617.23</v>
      </c>
      <c r="K888" t="s" s="13">
        <v>4667</v>
      </c>
      <c r="L888" t="s" s="13">
        <v>4668</v>
      </c>
      <c r="M888" t="s" s="13">
        <v>4669</v>
      </c>
      <c r="N888" t="s" s="13">
        <v>4670</v>
      </c>
      <c r="O888" s="15">
        <v>57</v>
      </c>
      <c r="P888" s="17" cm="1">
        <f t="array" ref="P888">(I888-I887)/I887</f>
        <v>0.0139270547089683</v>
      </c>
      <c r="Q888" s="8"/>
    </row>
    <row r="889" ht="13.65" customHeight="1">
      <c r="A889" t="s" s="27">
        <v>1294</v>
      </c>
      <c r="B889" t="s" s="13">
        <v>22</v>
      </c>
      <c r="C889" s="28">
        <v>45512</v>
      </c>
      <c r="D889" s="14">
        <v>1623.5</v>
      </c>
      <c r="E889" s="14">
        <v>1624</v>
      </c>
      <c r="F889" s="14">
        <v>1653.3</v>
      </c>
      <c r="G889" s="14">
        <v>1619.25</v>
      </c>
      <c r="H889" s="14">
        <v>1640.2</v>
      </c>
      <c r="I889" s="14">
        <v>1642.7</v>
      </c>
      <c r="J889" s="14">
        <v>1638.73</v>
      </c>
      <c r="K889" t="s" s="13">
        <v>4671</v>
      </c>
      <c r="L889" t="s" s="13">
        <v>4672</v>
      </c>
      <c r="M889" t="s" s="13">
        <v>4673</v>
      </c>
      <c r="N889" t="s" s="13">
        <v>4674</v>
      </c>
      <c r="O889" s="15">
        <v>55.76</v>
      </c>
      <c r="P889" s="17" cm="1">
        <f t="array" ref="P889">(I889-I888)/I888</f>
        <v>0.0118263012011087</v>
      </c>
      <c r="Q889" s="8"/>
    </row>
    <row r="890" ht="13.65" customHeight="1">
      <c r="A890" t="s" s="27">
        <v>1294</v>
      </c>
      <c r="B890" t="s" s="13">
        <v>22</v>
      </c>
      <c r="C890" s="28">
        <v>45513</v>
      </c>
      <c r="D890" s="14">
        <v>1642.7</v>
      </c>
      <c r="E890" s="14">
        <v>1652</v>
      </c>
      <c r="F890" s="14">
        <v>1662.55</v>
      </c>
      <c r="G890" s="14">
        <v>1645.8</v>
      </c>
      <c r="H890" s="14">
        <v>1650</v>
      </c>
      <c r="I890" s="14">
        <v>1650.2</v>
      </c>
      <c r="J890" s="14">
        <v>1655.58</v>
      </c>
      <c r="K890" t="s" s="13">
        <v>4675</v>
      </c>
      <c r="L890" t="s" s="13">
        <v>4676</v>
      </c>
      <c r="M890" t="s" s="13">
        <v>4677</v>
      </c>
      <c r="N890" t="s" s="13">
        <v>4678</v>
      </c>
      <c r="O890" s="15">
        <v>69.26000000000001</v>
      </c>
      <c r="P890" s="17" cm="1">
        <f t="array" ref="P890">(I890-I889)/I889</f>
        <v>0.00456565410604493</v>
      </c>
      <c r="Q890" s="8"/>
    </row>
    <row r="891" ht="13.65" customHeight="1">
      <c r="A891" t="s" s="27">
        <v>1294</v>
      </c>
      <c r="B891" t="s" s="13">
        <v>22</v>
      </c>
      <c r="C891" s="31">
        <v>45516</v>
      </c>
      <c r="D891" s="14">
        <v>1650.2</v>
      </c>
      <c r="E891" s="14">
        <v>1652</v>
      </c>
      <c r="F891" s="14">
        <v>1675.95</v>
      </c>
      <c r="G891" s="14">
        <v>1647.35</v>
      </c>
      <c r="H891" s="14">
        <v>1660</v>
      </c>
      <c r="I891" s="14">
        <v>1660.1</v>
      </c>
      <c r="J891" s="14">
        <v>1664.63</v>
      </c>
      <c r="K891" t="s" s="13">
        <v>4679</v>
      </c>
      <c r="L891" t="s" s="13">
        <v>4680</v>
      </c>
      <c r="M891" t="s" s="13">
        <v>4681</v>
      </c>
      <c r="N891" t="s" s="13">
        <v>4682</v>
      </c>
      <c r="O891" s="15">
        <v>64.23999999999999</v>
      </c>
      <c r="P891" s="17" cm="1">
        <f t="array" ref="P891">(I891-I890)/I890</f>
        <v>0.00599927281541631</v>
      </c>
      <c r="Q891" s="8"/>
    </row>
    <row r="892" ht="13.65" customHeight="1">
      <c r="A892" t="s" s="27">
        <v>1294</v>
      </c>
      <c r="B892" t="s" s="13">
        <v>22</v>
      </c>
      <c r="C892" s="31">
        <v>45517</v>
      </c>
      <c r="D892" s="14">
        <v>1660.1</v>
      </c>
      <c r="E892" s="14">
        <v>1628</v>
      </c>
      <c r="F892" s="14">
        <v>1632.4</v>
      </c>
      <c r="G892" s="14">
        <v>1601.15</v>
      </c>
      <c r="H892" s="14">
        <v>1605.9</v>
      </c>
      <c r="I892" s="14">
        <v>1603.2</v>
      </c>
      <c r="J892" s="14">
        <v>1613.32</v>
      </c>
      <c r="K892" t="s" s="13">
        <v>4683</v>
      </c>
      <c r="L892" t="s" s="13">
        <v>4684</v>
      </c>
      <c r="M892" t="s" s="13">
        <v>4685</v>
      </c>
      <c r="N892" t="s" s="13">
        <v>4686</v>
      </c>
      <c r="O892" s="15">
        <v>55.95</v>
      </c>
      <c r="P892" s="17" cm="1">
        <f t="array" ref="P892">(I892-I891)/I891</f>
        <v>-0.0342750436720679</v>
      </c>
      <c r="Q892" s="8"/>
    </row>
    <row r="893" ht="13.65" customHeight="1">
      <c r="A893" t="s" s="27">
        <v>1294</v>
      </c>
      <c r="B893" t="s" s="13">
        <v>22</v>
      </c>
      <c r="C893" s="31">
        <v>45518</v>
      </c>
      <c r="D893" s="14">
        <v>1603.2</v>
      </c>
      <c r="E893" s="14">
        <v>1606.5</v>
      </c>
      <c r="F893" s="14">
        <v>1613.7</v>
      </c>
      <c r="G893" s="14">
        <v>1603.2</v>
      </c>
      <c r="H893" s="14">
        <v>1607.8</v>
      </c>
      <c r="I893" s="14">
        <v>1607.8</v>
      </c>
      <c r="J893" s="14">
        <v>1607.97</v>
      </c>
      <c r="K893" t="s" s="13">
        <v>4687</v>
      </c>
      <c r="L893" t="s" s="13">
        <v>4688</v>
      </c>
      <c r="M893" t="s" s="13">
        <v>4689</v>
      </c>
      <c r="N893" t="s" s="13">
        <v>4690</v>
      </c>
      <c r="O893" s="15">
        <v>52.07</v>
      </c>
      <c r="P893" s="17" cm="1">
        <f t="array" ref="P893">(I893-I892)/I892</f>
        <v>0.00286926147704591</v>
      </c>
      <c r="Q893" s="8"/>
    </row>
    <row r="894" ht="13.65" customHeight="1">
      <c r="A894" t="s" s="27">
        <v>1294</v>
      </c>
      <c r="B894" t="s" s="13">
        <v>22</v>
      </c>
      <c r="C894" s="31">
        <v>45520</v>
      </c>
      <c r="D894" s="14">
        <v>1607.8</v>
      </c>
      <c r="E894" s="14">
        <v>1628.5</v>
      </c>
      <c r="F894" s="14">
        <v>1634.15</v>
      </c>
      <c r="G894" s="14">
        <v>1611</v>
      </c>
      <c r="H894" s="14">
        <v>1631.5</v>
      </c>
      <c r="I894" s="14">
        <v>1632.1</v>
      </c>
      <c r="J894" s="14">
        <v>1624.71</v>
      </c>
      <c r="K894" t="s" s="13">
        <v>4691</v>
      </c>
      <c r="L894" t="s" s="13">
        <v>4692</v>
      </c>
      <c r="M894" t="s" s="13">
        <v>4693</v>
      </c>
      <c r="N894" t="s" s="13">
        <v>4694</v>
      </c>
      <c r="O894" s="15">
        <v>54.79</v>
      </c>
      <c r="P894" s="17" cm="1">
        <f t="array" ref="P894">(I894-I893)/I893</f>
        <v>0.0151138201268815</v>
      </c>
      <c r="Q894" s="8"/>
    </row>
    <row r="895" ht="13.65" customHeight="1">
      <c r="A895" t="s" s="27">
        <v>1294</v>
      </c>
      <c r="B895" t="s" s="13">
        <v>22</v>
      </c>
      <c r="C895" s="31">
        <v>45523</v>
      </c>
      <c r="D895" s="14">
        <v>1632.1</v>
      </c>
      <c r="E895" s="14">
        <v>1637.65</v>
      </c>
      <c r="F895" s="14">
        <v>1637.65</v>
      </c>
      <c r="G895" s="14">
        <v>1623.7</v>
      </c>
      <c r="H895" s="14">
        <v>1632.75</v>
      </c>
      <c r="I895" s="14">
        <v>1631.55</v>
      </c>
      <c r="J895" s="14">
        <v>1628.46</v>
      </c>
      <c r="K895" t="s" s="13">
        <v>4695</v>
      </c>
      <c r="L895" t="s" s="13">
        <v>4696</v>
      </c>
      <c r="M895" t="s" s="13">
        <v>4697</v>
      </c>
      <c r="N895" t="s" s="13">
        <v>4698</v>
      </c>
      <c r="O895" s="15">
        <v>55.09</v>
      </c>
      <c r="P895" s="17" cm="1">
        <f t="array" ref="P895">(I895-I894)/I894</f>
        <v>-0.000336989155076282</v>
      </c>
      <c r="Q895" s="8"/>
    </row>
    <row r="896" ht="13.65" customHeight="1">
      <c r="A896" t="s" s="27">
        <v>1294</v>
      </c>
      <c r="B896" t="s" s="13">
        <v>22</v>
      </c>
      <c r="C896" s="31">
        <v>45524</v>
      </c>
      <c r="D896" s="14">
        <v>1631.55</v>
      </c>
      <c r="E896" s="14">
        <v>1627.45</v>
      </c>
      <c r="F896" s="14">
        <v>1646</v>
      </c>
      <c r="G896" s="14">
        <v>1627.45</v>
      </c>
      <c r="H896" s="14">
        <v>1634</v>
      </c>
      <c r="I896" s="14">
        <v>1637.7</v>
      </c>
      <c r="J896" s="14">
        <v>1639.14</v>
      </c>
      <c r="K896" t="s" s="13">
        <v>4699</v>
      </c>
      <c r="L896" t="s" s="13">
        <v>4700</v>
      </c>
      <c r="M896" t="s" s="13">
        <v>4701</v>
      </c>
      <c r="N896" t="s" s="13">
        <v>4702</v>
      </c>
      <c r="O896" s="15">
        <v>45.99</v>
      </c>
      <c r="P896" s="17" cm="1">
        <f t="array" ref="P896">(I896-I895)/I895</f>
        <v>0.00376942171554657</v>
      </c>
      <c r="Q896" s="8"/>
    </row>
    <row r="897" ht="13.65" customHeight="1">
      <c r="A897" t="s" s="27">
        <v>1294</v>
      </c>
      <c r="B897" t="s" s="13">
        <v>22</v>
      </c>
      <c r="C897" s="31">
        <v>45525</v>
      </c>
      <c r="D897" s="14">
        <v>1637.7</v>
      </c>
      <c r="E897" s="14">
        <v>1628.1</v>
      </c>
      <c r="F897" s="14">
        <v>1634.55</v>
      </c>
      <c r="G897" s="14">
        <v>1617.8</v>
      </c>
      <c r="H897" s="14">
        <v>1628</v>
      </c>
      <c r="I897" s="14">
        <v>1625.8</v>
      </c>
      <c r="J897" s="14">
        <v>1624.85</v>
      </c>
      <c r="K897" t="s" s="13">
        <v>4703</v>
      </c>
      <c r="L897" t="s" s="13">
        <v>4704</v>
      </c>
      <c r="M897" t="s" s="13">
        <v>4705</v>
      </c>
      <c r="N897" t="s" s="13">
        <v>4706</v>
      </c>
      <c r="O897" s="15">
        <v>61.31</v>
      </c>
      <c r="P897" s="17" cm="1">
        <f t="array" ref="P897">(I897-I896)/I896</f>
        <v>-0.00726628808695121</v>
      </c>
      <c r="Q897" s="8"/>
    </row>
    <row r="898" ht="13.65" customHeight="1">
      <c r="A898" t="s" s="27">
        <v>1294</v>
      </c>
      <c r="B898" t="s" s="13">
        <v>22</v>
      </c>
      <c r="C898" s="31">
        <v>45526</v>
      </c>
      <c r="D898" s="14">
        <v>1625.8</v>
      </c>
      <c r="E898" s="14">
        <v>1632</v>
      </c>
      <c r="F898" s="14">
        <v>1638.3</v>
      </c>
      <c r="G898" s="14">
        <v>1628</v>
      </c>
      <c r="H898" s="14">
        <v>1628.95</v>
      </c>
      <c r="I898" s="14">
        <v>1631.3</v>
      </c>
      <c r="J898" s="14">
        <v>1632.58</v>
      </c>
      <c r="K898" t="s" s="13">
        <v>4707</v>
      </c>
      <c r="L898" t="s" s="13">
        <v>4708</v>
      </c>
      <c r="M898" t="s" s="13">
        <v>4709</v>
      </c>
      <c r="N898" t="s" s="13">
        <v>4710</v>
      </c>
      <c r="O898" s="15">
        <v>64.83</v>
      </c>
      <c r="P898" s="17" cm="1">
        <f t="array" ref="P898">(I898-I897)/I897</f>
        <v>0.003382949932341</v>
      </c>
      <c r="Q898" s="8"/>
    </row>
    <row r="899" ht="13.65" customHeight="1">
      <c r="A899" t="s" s="27">
        <v>1294</v>
      </c>
      <c r="B899" t="s" s="13">
        <v>22</v>
      </c>
      <c r="C899" s="31">
        <v>45527</v>
      </c>
      <c r="D899" s="14">
        <v>1631.3</v>
      </c>
      <c r="E899" s="14">
        <v>1634</v>
      </c>
      <c r="F899" s="14">
        <v>1634</v>
      </c>
      <c r="G899" s="14">
        <v>1623</v>
      </c>
      <c r="H899" s="14">
        <v>1625.2</v>
      </c>
      <c r="I899" s="14">
        <v>1625.05</v>
      </c>
      <c r="J899" s="14">
        <v>1627.63</v>
      </c>
      <c r="K899" t="s" s="13">
        <v>4711</v>
      </c>
      <c r="L899" t="s" s="13">
        <v>4712</v>
      </c>
      <c r="M899" t="s" s="13">
        <v>4713</v>
      </c>
      <c r="N899" t="s" s="13">
        <v>4714</v>
      </c>
      <c r="O899" s="15">
        <v>70.94</v>
      </c>
      <c r="P899" s="17" cm="1">
        <f t="array" ref="P899">(I899-I898)/I898</f>
        <v>-0.00383130019003249</v>
      </c>
      <c r="Q899" s="8"/>
    </row>
    <row r="900" ht="13.65" customHeight="1">
      <c r="A900" t="s" s="27">
        <v>1294</v>
      </c>
      <c r="B900" t="s" s="13">
        <v>22</v>
      </c>
      <c r="C900" s="31">
        <v>45530</v>
      </c>
      <c r="D900" s="14">
        <v>1625.05</v>
      </c>
      <c r="E900" s="14">
        <v>1632.2</v>
      </c>
      <c r="F900" s="14">
        <v>1647.95</v>
      </c>
      <c r="G900" s="14">
        <v>1632.2</v>
      </c>
      <c r="H900" s="14">
        <v>1640</v>
      </c>
      <c r="I900" s="14">
        <v>1639.95</v>
      </c>
      <c r="J900" s="14">
        <v>1642.31</v>
      </c>
      <c r="K900" t="s" s="13">
        <v>4715</v>
      </c>
      <c r="L900" t="s" s="13">
        <v>4716</v>
      </c>
      <c r="M900" t="s" s="13">
        <v>4717</v>
      </c>
      <c r="N900" t="s" s="13">
        <v>4718</v>
      </c>
      <c r="O900" s="15">
        <v>70.17</v>
      </c>
      <c r="P900" s="17" cm="1">
        <f t="array" ref="P900">(I900-I899)/I899</f>
        <v>0.00916894864773392</v>
      </c>
      <c r="Q900" s="8"/>
    </row>
    <row r="901" ht="13.65" customHeight="1">
      <c r="A901" t="s" s="27">
        <v>1294</v>
      </c>
      <c r="B901" t="s" s="13">
        <v>22</v>
      </c>
      <c r="C901" s="31">
        <v>45531</v>
      </c>
      <c r="D901" s="14">
        <v>1639.95</v>
      </c>
      <c r="E901" s="14">
        <v>1643.4</v>
      </c>
      <c r="F901" s="14">
        <v>1647.4</v>
      </c>
      <c r="G901" s="14">
        <v>1632.2</v>
      </c>
      <c r="H901" s="14">
        <v>1634.45</v>
      </c>
      <c r="I901" s="14">
        <v>1637.75</v>
      </c>
      <c r="J901" s="14">
        <v>1639.59</v>
      </c>
      <c r="K901" t="s" s="13">
        <v>4719</v>
      </c>
      <c r="L901" t="s" s="13">
        <v>4720</v>
      </c>
      <c r="M901" t="s" s="13">
        <v>4721</v>
      </c>
      <c r="N901" t="s" s="13">
        <v>4722</v>
      </c>
      <c r="O901" s="15">
        <v>61.61</v>
      </c>
      <c r="P901" s="17" cm="1">
        <f t="array" ref="P901">(I901-I900)/I900</f>
        <v>-0.00134150431415592</v>
      </c>
      <c r="Q901" s="8"/>
    </row>
    <row r="902" ht="13.65" customHeight="1">
      <c r="A902" t="s" s="27">
        <v>1294</v>
      </c>
      <c r="B902" t="s" s="13">
        <v>22</v>
      </c>
      <c r="C902" s="31">
        <v>45532</v>
      </c>
      <c r="D902" s="14">
        <v>1637.75</v>
      </c>
      <c r="E902" s="14">
        <v>1637.75</v>
      </c>
      <c r="F902" s="14">
        <v>1639.75</v>
      </c>
      <c r="G902" s="14">
        <v>1630.2</v>
      </c>
      <c r="H902" s="14">
        <v>1635.95</v>
      </c>
      <c r="I902" s="14">
        <v>1637.1</v>
      </c>
      <c r="J902" s="14">
        <v>1636.29</v>
      </c>
      <c r="K902" t="s" s="13">
        <v>4723</v>
      </c>
      <c r="L902" t="s" s="13">
        <v>4724</v>
      </c>
      <c r="M902" t="s" s="13">
        <v>4725</v>
      </c>
      <c r="N902" t="s" s="13">
        <v>4726</v>
      </c>
      <c r="O902" s="15">
        <v>63.46</v>
      </c>
      <c r="P902" s="17" cm="1">
        <f t="array" ref="P902">(I902-I901)/I901</f>
        <v>-0.000396885971607388</v>
      </c>
      <c r="Q902" s="8"/>
    </row>
    <row r="903" ht="13.65" customHeight="1">
      <c r="A903" t="s" s="27">
        <v>1294</v>
      </c>
      <c r="B903" t="s" s="13">
        <v>22</v>
      </c>
      <c r="C903" s="31">
        <v>45533</v>
      </c>
      <c r="D903" s="14">
        <v>1637.1</v>
      </c>
      <c r="E903" s="14">
        <v>1642</v>
      </c>
      <c r="F903" s="14">
        <v>1644.4</v>
      </c>
      <c r="G903" s="14">
        <v>1631.15</v>
      </c>
      <c r="H903" s="14">
        <v>1639.95</v>
      </c>
      <c r="I903" s="14">
        <v>1638.55</v>
      </c>
      <c r="J903" s="14">
        <v>1637.56</v>
      </c>
      <c r="K903" t="s" s="13">
        <v>4727</v>
      </c>
      <c r="L903" t="s" s="13">
        <v>4728</v>
      </c>
      <c r="M903" t="s" s="13">
        <v>4729</v>
      </c>
      <c r="N903" t="s" s="13">
        <v>4730</v>
      </c>
      <c r="O903" s="15">
        <v>76.48999999999999</v>
      </c>
      <c r="P903" s="17" cm="1">
        <f t="array" ref="P903">(I903-I902)/I902</f>
        <v>0.000885712540467901</v>
      </c>
      <c r="Q903" s="8"/>
    </row>
    <row r="904" ht="13.65" customHeight="1">
      <c r="A904" t="s" s="27">
        <v>1294</v>
      </c>
      <c r="B904" t="s" s="13">
        <v>22</v>
      </c>
      <c r="C904" s="31">
        <v>45534</v>
      </c>
      <c r="D904" s="14">
        <v>1638.55</v>
      </c>
      <c r="E904" s="14">
        <v>1656</v>
      </c>
      <c r="F904" s="14">
        <v>1662</v>
      </c>
      <c r="G904" s="14">
        <v>1621.15</v>
      </c>
      <c r="H904" s="14">
        <v>1625.75</v>
      </c>
      <c r="I904" s="14">
        <v>1636.9</v>
      </c>
      <c r="J904" s="14">
        <v>1638.34</v>
      </c>
      <c r="K904" t="s" s="13">
        <v>4731</v>
      </c>
      <c r="L904" t="s" s="13">
        <v>4732</v>
      </c>
      <c r="M904" t="s" s="13">
        <v>4733</v>
      </c>
      <c r="N904" t="s" s="13">
        <v>4734</v>
      </c>
      <c r="O904" s="15">
        <v>69.33</v>
      </c>
      <c r="P904" s="17" cm="1">
        <f t="array" ref="P904">(I904-I903)/I903</f>
        <v>-0.00100698788563059</v>
      </c>
      <c r="Q904" s="8"/>
    </row>
    <row r="905" ht="13.65" customHeight="1">
      <c r="A905" t="s" s="27">
        <v>1294</v>
      </c>
      <c r="B905" t="s" s="13">
        <v>22</v>
      </c>
      <c r="C905" s="28">
        <v>45537</v>
      </c>
      <c r="D905" s="14">
        <v>1636.9</v>
      </c>
      <c r="E905" s="14">
        <v>1646.8</v>
      </c>
      <c r="F905" s="14">
        <v>1646.8</v>
      </c>
      <c r="G905" s="14">
        <v>1623.2</v>
      </c>
      <c r="H905" s="14">
        <v>1626</v>
      </c>
      <c r="I905" s="14">
        <v>1626.95</v>
      </c>
      <c r="J905" s="14">
        <v>1631.94</v>
      </c>
      <c r="K905" t="s" s="13">
        <v>4735</v>
      </c>
      <c r="L905" t="s" s="13">
        <v>4736</v>
      </c>
      <c r="M905" t="s" s="13">
        <v>4737</v>
      </c>
      <c r="N905" t="s" s="13">
        <v>4738</v>
      </c>
      <c r="O905" s="15">
        <v>70.59</v>
      </c>
      <c r="P905" s="17" cm="1">
        <f t="array" ref="P905">(I905-I904)/I904</f>
        <v>-0.00607856313763822</v>
      </c>
      <c r="Q905" s="8"/>
    </row>
    <row r="906" ht="13.65" customHeight="1">
      <c r="A906" t="s" s="27">
        <v>1294</v>
      </c>
      <c r="B906" t="s" s="13">
        <v>1323</v>
      </c>
      <c r="C906" s="28">
        <v>45537</v>
      </c>
      <c r="D906" s="14">
        <v>1546.6</v>
      </c>
      <c r="E906" s="14">
        <v>1636.9</v>
      </c>
      <c r="F906" s="14">
        <v>1636.9</v>
      </c>
      <c r="G906" s="14">
        <v>1636.9</v>
      </c>
      <c r="H906" s="14">
        <v>1636.9</v>
      </c>
      <c r="I906" s="14">
        <v>1636.9</v>
      </c>
      <c r="J906" s="14">
        <v>1636.9</v>
      </c>
      <c r="K906" t="s" s="13">
        <v>4739</v>
      </c>
      <c r="L906" t="s" s="13">
        <v>4740</v>
      </c>
      <c r="M906" s="15">
        <v>1</v>
      </c>
      <c r="N906" t="s" s="13">
        <v>1326</v>
      </c>
      <c r="O906" t="s" s="13">
        <v>1326</v>
      </c>
      <c r="P906" s="17" cm="1">
        <f t="array" ref="P906">(I906-I905)/I905</f>
        <v>0.006115738037432</v>
      </c>
      <c r="Q906" s="8"/>
    </row>
    <row r="907" ht="13.65" customHeight="1">
      <c r="A907" t="s" s="27">
        <v>1294</v>
      </c>
      <c r="B907" t="s" s="13">
        <v>22</v>
      </c>
      <c r="C907" s="28">
        <v>45538</v>
      </c>
      <c r="D907" s="14">
        <v>1626.95</v>
      </c>
      <c r="E907" s="14">
        <v>1634</v>
      </c>
      <c r="F907" s="14">
        <v>1639.95</v>
      </c>
      <c r="G907" s="14">
        <v>1624.6</v>
      </c>
      <c r="H907" s="14">
        <v>1638</v>
      </c>
      <c r="I907" s="14">
        <v>1637.35</v>
      </c>
      <c r="J907" s="14">
        <v>1632.11</v>
      </c>
      <c r="K907" t="s" s="13">
        <v>4741</v>
      </c>
      <c r="L907" t="s" s="13">
        <v>4742</v>
      </c>
      <c r="M907" t="s" s="13">
        <v>4743</v>
      </c>
      <c r="N907" t="s" s="13">
        <v>4744</v>
      </c>
      <c r="O907" s="15">
        <v>67.33</v>
      </c>
      <c r="P907" s="17" cm="1">
        <f t="array" ref="P907">(I907-I906)/I906</f>
        <v>0.000274909890646955</v>
      </c>
      <c r="Q907" s="8"/>
    </row>
    <row r="908" ht="13.65" customHeight="1">
      <c r="A908" t="s" s="27">
        <v>1294</v>
      </c>
      <c r="B908" t="s" s="13">
        <v>22</v>
      </c>
      <c r="C908" s="28">
        <v>45539</v>
      </c>
      <c r="D908" s="14">
        <v>1637.35</v>
      </c>
      <c r="E908" s="14">
        <v>1639</v>
      </c>
      <c r="F908" s="14">
        <v>1644.8</v>
      </c>
      <c r="G908" s="14">
        <v>1632</v>
      </c>
      <c r="H908" s="14">
        <v>1641.05</v>
      </c>
      <c r="I908" s="14">
        <v>1641.8</v>
      </c>
      <c r="J908" s="14">
        <v>1639.54</v>
      </c>
      <c r="K908" t="s" s="13">
        <v>4745</v>
      </c>
      <c r="L908" t="s" s="13">
        <v>4746</v>
      </c>
      <c r="M908" t="s" s="13">
        <v>4747</v>
      </c>
      <c r="N908" t="s" s="13">
        <v>4748</v>
      </c>
      <c r="O908" s="15">
        <v>50.79</v>
      </c>
      <c r="P908" s="17" cm="1">
        <f t="array" ref="P908">(I908-I907)/I907</f>
        <v>0.00271780621125599</v>
      </c>
      <c r="Q908" s="8"/>
    </row>
    <row r="909" ht="13.65" customHeight="1">
      <c r="A909" t="s" s="27">
        <v>1294</v>
      </c>
      <c r="B909" t="s" s="13">
        <v>22</v>
      </c>
      <c r="C909" s="28">
        <v>45540</v>
      </c>
      <c r="D909" s="14">
        <v>1641.8</v>
      </c>
      <c r="E909" s="14">
        <v>1646</v>
      </c>
      <c r="F909" s="14">
        <v>1649.9</v>
      </c>
      <c r="G909" s="14">
        <v>1642</v>
      </c>
      <c r="H909" s="14">
        <v>1644.4</v>
      </c>
      <c r="I909" s="14">
        <v>1645.45</v>
      </c>
      <c r="J909" s="14">
        <v>1645.43</v>
      </c>
      <c r="K909" t="s" s="13">
        <v>4749</v>
      </c>
      <c r="L909" t="s" s="13">
        <v>4750</v>
      </c>
      <c r="M909" t="s" s="13">
        <v>4751</v>
      </c>
      <c r="N909" t="s" s="13">
        <v>4752</v>
      </c>
      <c r="O909" s="15">
        <v>75.95999999999999</v>
      </c>
      <c r="P909" s="17" cm="1">
        <f t="array" ref="P909">(I909-I908)/I908</f>
        <v>0.00222316969180168</v>
      </c>
      <c r="Q909" s="8"/>
    </row>
    <row r="910" ht="13.65" customHeight="1">
      <c r="A910" t="s" s="27">
        <v>1294</v>
      </c>
      <c r="B910" t="s" s="13">
        <v>22</v>
      </c>
      <c r="C910" s="28">
        <v>45541</v>
      </c>
      <c r="D910" s="14">
        <v>1645.45</v>
      </c>
      <c r="E910" s="14">
        <v>1638.3</v>
      </c>
      <c r="F910" s="14">
        <v>1647.75</v>
      </c>
      <c r="G910" s="14">
        <v>1634.1</v>
      </c>
      <c r="H910" s="14">
        <v>1638.15</v>
      </c>
      <c r="I910" s="14">
        <v>1636.95</v>
      </c>
      <c r="J910" s="14">
        <v>1639.77</v>
      </c>
      <c r="K910" t="s" s="13">
        <v>4753</v>
      </c>
      <c r="L910" t="s" s="13">
        <v>4754</v>
      </c>
      <c r="M910" t="s" s="13">
        <v>4755</v>
      </c>
      <c r="N910" t="s" s="13">
        <v>4756</v>
      </c>
      <c r="O910" s="15">
        <v>65.79000000000001</v>
      </c>
      <c r="P910" s="17" cm="1">
        <f t="array" ref="P910">(I910-I909)/I909</f>
        <v>-0.00516576012640919</v>
      </c>
      <c r="Q910" s="8"/>
    </row>
    <row r="911" ht="13.65" customHeight="1">
      <c r="A911" t="s" s="27">
        <v>1294</v>
      </c>
      <c r="B911" t="s" s="13">
        <v>22</v>
      </c>
      <c r="C911" s="28">
        <v>45544</v>
      </c>
      <c r="D911" s="14">
        <v>1636.95</v>
      </c>
      <c r="E911" s="14">
        <v>1638</v>
      </c>
      <c r="F911" s="14">
        <v>1648.5</v>
      </c>
      <c r="G911" s="14">
        <v>1630.1</v>
      </c>
      <c r="H911" s="14">
        <v>1644.85</v>
      </c>
      <c r="I911" s="14">
        <v>1646.5</v>
      </c>
      <c r="J911" s="14">
        <v>1640.85</v>
      </c>
      <c r="K911" t="s" s="13">
        <v>4757</v>
      </c>
      <c r="L911" t="s" s="13">
        <v>4758</v>
      </c>
      <c r="M911" t="s" s="13">
        <v>4759</v>
      </c>
      <c r="N911" t="s" s="13">
        <v>4760</v>
      </c>
      <c r="O911" s="15">
        <v>65.7</v>
      </c>
      <c r="P911" s="17" cm="1">
        <f t="array" ref="P911">(I911-I910)/I910</f>
        <v>0.00583402058706741</v>
      </c>
      <c r="Q911" s="8"/>
    </row>
    <row r="912" ht="13.65" customHeight="1">
      <c r="A912" t="s" s="27">
        <v>1294</v>
      </c>
      <c r="B912" t="s" s="13">
        <v>22</v>
      </c>
      <c r="C912" s="31">
        <v>45545</v>
      </c>
      <c r="D912" s="14">
        <v>1646.5</v>
      </c>
      <c r="E912" s="14">
        <v>1654</v>
      </c>
      <c r="F912" s="14">
        <v>1654</v>
      </c>
      <c r="G912" s="14">
        <v>1638</v>
      </c>
      <c r="H912" s="14">
        <v>1650.8</v>
      </c>
      <c r="I912" s="14">
        <v>1650.35</v>
      </c>
      <c r="J912" s="14">
        <v>1648.2</v>
      </c>
      <c r="K912" t="s" s="13">
        <v>4761</v>
      </c>
      <c r="L912" t="s" s="13">
        <v>4762</v>
      </c>
      <c r="M912" t="s" s="13">
        <v>4763</v>
      </c>
      <c r="N912" t="s" s="13">
        <v>4764</v>
      </c>
      <c r="O912" s="15">
        <v>52.46</v>
      </c>
      <c r="P912" s="17" cm="1">
        <f t="array" ref="P912">(I912-I911)/I911</f>
        <v>0.0023382933495293</v>
      </c>
      <c r="Q912" s="8"/>
    </row>
    <row r="913" ht="13.65" customHeight="1">
      <c r="A913" t="s" s="27">
        <v>1294</v>
      </c>
      <c r="B913" t="s" s="13">
        <v>22</v>
      </c>
      <c r="C913" s="31">
        <v>45546</v>
      </c>
      <c r="D913" s="14">
        <v>1650.35</v>
      </c>
      <c r="E913" s="14">
        <v>1650.4</v>
      </c>
      <c r="F913" s="14">
        <v>1652.5</v>
      </c>
      <c r="G913" s="14">
        <v>1639.2</v>
      </c>
      <c r="H913" s="14">
        <v>1650</v>
      </c>
      <c r="I913" s="14">
        <v>1643.9</v>
      </c>
      <c r="J913" s="14">
        <v>1645.85</v>
      </c>
      <c r="K913" t="s" s="13">
        <v>4765</v>
      </c>
      <c r="L913" t="s" s="13">
        <v>4766</v>
      </c>
      <c r="M913" t="s" s="13">
        <v>4767</v>
      </c>
      <c r="N913" t="s" s="13">
        <v>4768</v>
      </c>
      <c r="O913" s="15">
        <v>41.04</v>
      </c>
      <c r="P913" s="17" cm="1">
        <f t="array" ref="P913">(I913-I912)/I912</f>
        <v>-0.00390826188384282</v>
      </c>
      <c r="Q913" s="8"/>
    </row>
    <row r="914" ht="13.65" customHeight="1">
      <c r="A914" t="s" s="27">
        <v>1294</v>
      </c>
      <c r="B914" t="s" s="13">
        <v>22</v>
      </c>
      <c r="C914" s="31">
        <v>45547</v>
      </c>
      <c r="D914" s="14">
        <v>1643.9</v>
      </c>
      <c r="E914" s="14">
        <v>1654</v>
      </c>
      <c r="F914" s="14">
        <v>1670</v>
      </c>
      <c r="G914" s="14">
        <v>1647.05</v>
      </c>
      <c r="H914" s="14">
        <v>1661.45</v>
      </c>
      <c r="I914" s="14">
        <v>1666.6</v>
      </c>
      <c r="J914" s="14">
        <v>1659.83</v>
      </c>
      <c r="K914" t="s" s="13">
        <v>4769</v>
      </c>
      <c r="L914" t="s" s="13">
        <v>4770</v>
      </c>
      <c r="M914" t="s" s="13">
        <v>4771</v>
      </c>
      <c r="N914" t="s" s="13">
        <v>4772</v>
      </c>
      <c r="O914" s="15">
        <v>57.21</v>
      </c>
      <c r="P914" s="17" cm="1">
        <f t="array" ref="P914">(I914-I913)/I913</f>
        <v>0.0138086258288217</v>
      </c>
      <c r="Q914" s="8"/>
    </row>
    <row r="915" ht="13.65" customHeight="1">
      <c r="A915" t="s" s="27">
        <v>1294</v>
      </c>
      <c r="B915" t="s" s="13">
        <v>22</v>
      </c>
      <c r="C915" s="31">
        <v>45548</v>
      </c>
      <c r="D915" s="14">
        <v>1666.6</v>
      </c>
      <c r="E915" s="14">
        <v>1674</v>
      </c>
      <c r="F915" s="14">
        <v>1674</v>
      </c>
      <c r="G915" s="14">
        <v>1657.05</v>
      </c>
      <c r="H915" s="14">
        <v>1664.8</v>
      </c>
      <c r="I915" s="14">
        <v>1665.95</v>
      </c>
      <c r="J915" s="14">
        <v>1663.66</v>
      </c>
      <c r="K915" t="s" s="13">
        <v>4773</v>
      </c>
      <c r="L915" t="s" s="13">
        <v>4774</v>
      </c>
      <c r="M915" t="s" s="13">
        <v>4775</v>
      </c>
      <c r="N915" t="s" s="13">
        <v>4776</v>
      </c>
      <c r="O915" s="15">
        <v>59.34</v>
      </c>
      <c r="P915" s="17" cm="1">
        <f t="array" ref="P915">(I915-I914)/I914</f>
        <v>-0.000390015600624025</v>
      </c>
      <c r="Q915" s="8"/>
    </row>
    <row r="916" ht="13.65" customHeight="1">
      <c r="A916" t="s" s="27">
        <v>1294</v>
      </c>
      <c r="B916" t="s" s="13">
        <v>22</v>
      </c>
      <c r="C916" s="31">
        <v>45551</v>
      </c>
      <c r="D916" s="14">
        <v>1665.95</v>
      </c>
      <c r="E916" s="14">
        <v>1667</v>
      </c>
      <c r="F916" s="14">
        <v>1677.8</v>
      </c>
      <c r="G916" s="14">
        <v>1664.05</v>
      </c>
      <c r="H916" s="14">
        <v>1670</v>
      </c>
      <c r="I916" s="14">
        <v>1670.95</v>
      </c>
      <c r="J916" s="14">
        <v>1670.83</v>
      </c>
      <c r="K916" t="s" s="13">
        <v>4777</v>
      </c>
      <c r="L916" t="s" s="13">
        <v>4778</v>
      </c>
      <c r="M916" t="s" s="13">
        <v>4779</v>
      </c>
      <c r="N916" t="s" s="13">
        <v>4780</v>
      </c>
      <c r="O916" s="15">
        <v>69.31</v>
      </c>
      <c r="P916" s="17" cm="1">
        <f t="array" ref="P916">(I916-I915)/I915</f>
        <v>0.00300129055493862</v>
      </c>
      <c r="Q916" s="8"/>
    </row>
    <row r="917" ht="13.65" customHeight="1">
      <c r="A917" t="s" s="27">
        <v>1294</v>
      </c>
      <c r="B917" t="s" s="13">
        <v>22</v>
      </c>
      <c r="C917" s="31">
        <v>45552</v>
      </c>
      <c r="D917" s="14">
        <v>1670.95</v>
      </c>
      <c r="E917" s="14">
        <v>1678</v>
      </c>
      <c r="F917" s="14">
        <v>1678</v>
      </c>
      <c r="G917" s="14">
        <v>1664.15</v>
      </c>
      <c r="H917" s="14">
        <v>1668.3</v>
      </c>
      <c r="I917" s="14">
        <v>1668.8</v>
      </c>
      <c r="J917" s="14">
        <v>1668.9</v>
      </c>
      <c r="K917" t="s" s="13">
        <v>4781</v>
      </c>
      <c r="L917" t="s" s="13">
        <v>4782</v>
      </c>
      <c r="M917" t="s" s="13">
        <v>4783</v>
      </c>
      <c r="N917" t="s" s="13">
        <v>4784</v>
      </c>
      <c r="O917" s="15">
        <v>56.57</v>
      </c>
      <c r="P917" s="17" cm="1">
        <f t="array" ref="P917">(I917-I916)/I916</f>
        <v>-0.00128669319847991</v>
      </c>
      <c r="Q917" s="8"/>
    </row>
    <row r="918" ht="13.65" customHeight="1">
      <c r="A918" t="s" s="27">
        <v>1294</v>
      </c>
      <c r="B918" t="s" s="13">
        <v>22</v>
      </c>
      <c r="C918" s="31">
        <v>45553</v>
      </c>
      <c r="D918" s="14">
        <v>1668.8</v>
      </c>
      <c r="E918" s="14">
        <v>1671.85</v>
      </c>
      <c r="F918" s="14">
        <v>1698.9</v>
      </c>
      <c r="G918" s="14">
        <v>1671.1</v>
      </c>
      <c r="H918" s="14">
        <v>1692.95</v>
      </c>
      <c r="I918" s="14">
        <v>1694.8</v>
      </c>
      <c r="J918" s="14">
        <v>1691.3</v>
      </c>
      <c r="K918" t="s" s="13">
        <v>4785</v>
      </c>
      <c r="L918" t="s" s="13">
        <v>4786</v>
      </c>
      <c r="M918" t="s" s="13">
        <v>4787</v>
      </c>
      <c r="N918" t="s" s="13">
        <v>4788</v>
      </c>
      <c r="O918" s="15">
        <v>59.81</v>
      </c>
      <c r="P918" s="17" cm="1">
        <f t="array" ref="P918">(I918-I917)/I917</f>
        <v>0.0155800575263663</v>
      </c>
      <c r="Q918" s="8"/>
    </row>
    <row r="919" ht="13.65" customHeight="1">
      <c r="A919" t="s" s="27">
        <v>1294</v>
      </c>
      <c r="B919" t="s" s="13">
        <v>22</v>
      </c>
      <c r="C919" s="31">
        <v>45554</v>
      </c>
      <c r="D919" s="14">
        <v>1694.8</v>
      </c>
      <c r="E919" s="14">
        <v>1699.2</v>
      </c>
      <c r="F919" s="14">
        <v>1719</v>
      </c>
      <c r="G919" s="14">
        <v>1699.15</v>
      </c>
      <c r="H919" s="14">
        <v>1707.7</v>
      </c>
      <c r="I919" s="14">
        <v>1708.5</v>
      </c>
      <c r="J919" s="14">
        <v>1710.95</v>
      </c>
      <c r="K919" t="s" s="13">
        <v>4789</v>
      </c>
      <c r="L919" t="s" s="13">
        <v>4790</v>
      </c>
      <c r="M919" t="s" s="13">
        <v>4791</v>
      </c>
      <c r="N919" t="s" s="13">
        <v>4792</v>
      </c>
      <c r="O919" s="15">
        <v>63.38</v>
      </c>
      <c r="P919" s="17" cm="1">
        <f t="array" ref="P919">(I919-I918)/I918</f>
        <v>0.008083549681378329</v>
      </c>
      <c r="Q919" s="8"/>
    </row>
    <row r="920" ht="13.65" customHeight="1">
      <c r="A920" t="s" s="27">
        <v>1294</v>
      </c>
      <c r="B920" t="s" s="13">
        <v>22</v>
      </c>
      <c r="C920" s="31">
        <v>45555</v>
      </c>
      <c r="D920" s="14">
        <v>1708.5</v>
      </c>
      <c r="E920" s="14">
        <v>1716.5</v>
      </c>
      <c r="F920" s="14">
        <v>1744.95</v>
      </c>
      <c r="G920" s="14">
        <v>1707.55</v>
      </c>
      <c r="H920" s="14">
        <v>1737.2</v>
      </c>
      <c r="I920" s="14">
        <v>1741.2</v>
      </c>
      <c r="J920" s="14">
        <v>1734.6</v>
      </c>
      <c r="K920" t="s" s="13">
        <v>4793</v>
      </c>
      <c r="L920" t="s" s="13">
        <v>4794</v>
      </c>
      <c r="M920" t="s" s="13">
        <v>4795</v>
      </c>
      <c r="N920" t="s" s="13">
        <v>4796</v>
      </c>
      <c r="O920" s="15">
        <v>57.62</v>
      </c>
      <c r="P920" s="17" cm="1">
        <f t="array" ref="P920">(I920-I919)/I919</f>
        <v>0.0191395961369622</v>
      </c>
      <c r="Q920" s="8"/>
    </row>
    <row r="921" ht="13.65" customHeight="1">
      <c r="A921" t="s" s="27">
        <v>1294</v>
      </c>
      <c r="B921" t="s" s="13">
        <v>22</v>
      </c>
      <c r="C921" s="31">
        <v>45558</v>
      </c>
      <c r="D921" s="14">
        <v>1741.2</v>
      </c>
      <c r="E921" s="14">
        <v>1749</v>
      </c>
      <c r="F921" s="14">
        <v>1766.35</v>
      </c>
      <c r="G921" s="14">
        <v>1740.25</v>
      </c>
      <c r="H921" s="14">
        <v>1757</v>
      </c>
      <c r="I921" s="14">
        <v>1759.8</v>
      </c>
      <c r="J921" s="14">
        <v>1756.93</v>
      </c>
      <c r="K921" t="s" s="13">
        <v>4797</v>
      </c>
      <c r="L921" t="s" s="13">
        <v>4798</v>
      </c>
      <c r="M921" t="s" s="13">
        <v>4799</v>
      </c>
      <c r="N921" t="s" s="13">
        <v>4800</v>
      </c>
      <c r="O921" s="15">
        <v>65.23</v>
      </c>
      <c r="P921" s="17" cm="1">
        <f t="array" ref="P921">(I921-I920)/I920</f>
        <v>0.0106822880771881</v>
      </c>
      <c r="Q921" s="8"/>
    </row>
    <row r="922" ht="13.65" customHeight="1">
      <c r="A922" t="s" s="27">
        <v>1294</v>
      </c>
      <c r="B922" t="s" s="13">
        <v>22</v>
      </c>
      <c r="C922" s="31">
        <v>45559</v>
      </c>
      <c r="D922" s="14">
        <v>1759.8</v>
      </c>
      <c r="E922" s="14">
        <v>1765</v>
      </c>
      <c r="F922" s="14">
        <v>1781.65</v>
      </c>
      <c r="G922" s="14">
        <v>1754.25</v>
      </c>
      <c r="H922" s="14">
        <v>1766.7</v>
      </c>
      <c r="I922" s="14">
        <v>1768.05</v>
      </c>
      <c r="J922" s="14">
        <v>1768.8</v>
      </c>
      <c r="K922" t="s" s="13">
        <v>4801</v>
      </c>
      <c r="L922" t="s" s="13">
        <v>4802</v>
      </c>
      <c r="M922" t="s" s="13">
        <v>4803</v>
      </c>
      <c r="N922" t="s" s="13">
        <v>4804</v>
      </c>
      <c r="O922" s="15">
        <v>57.06</v>
      </c>
      <c r="P922" s="17" cm="1">
        <f t="array" ref="P922">(I922-I921)/I921</f>
        <v>0.00468803273099216</v>
      </c>
      <c r="Q922" s="8"/>
    </row>
    <row r="923" ht="13.65" customHeight="1">
      <c r="A923" t="s" s="27">
        <v>1294</v>
      </c>
      <c r="B923" t="s" s="13">
        <v>22</v>
      </c>
      <c r="C923" s="31">
        <v>45560</v>
      </c>
      <c r="D923" s="14">
        <v>1768.05</v>
      </c>
      <c r="E923" s="14">
        <v>1760.15</v>
      </c>
      <c r="F923" s="14">
        <v>1788</v>
      </c>
      <c r="G923" s="14">
        <v>1760.15</v>
      </c>
      <c r="H923" s="14">
        <v>1779.85</v>
      </c>
      <c r="I923" s="14">
        <v>1779.1</v>
      </c>
      <c r="J923" s="14">
        <v>1778.97</v>
      </c>
      <c r="K923" t="s" s="13">
        <v>4805</v>
      </c>
      <c r="L923" t="s" s="13">
        <v>4806</v>
      </c>
      <c r="M923" t="s" s="13">
        <v>4807</v>
      </c>
      <c r="N923" t="s" s="13">
        <v>4808</v>
      </c>
      <c r="O923" s="15">
        <v>61.71</v>
      </c>
      <c r="P923" s="17" cm="1">
        <f t="array" ref="P923">(I923-I922)/I922</f>
        <v>0.00624982325160488</v>
      </c>
      <c r="Q923" s="8"/>
    </row>
    <row r="924" ht="13.65" customHeight="1">
      <c r="A924" t="s" s="27">
        <v>1294</v>
      </c>
      <c r="B924" t="s" s="13">
        <v>22</v>
      </c>
      <c r="C924" s="31">
        <v>45561</v>
      </c>
      <c r="D924" s="14">
        <v>1779.1</v>
      </c>
      <c r="E924" s="14">
        <v>1773.05</v>
      </c>
      <c r="F924" s="14">
        <v>1788</v>
      </c>
      <c r="G924" s="14">
        <v>1768.05</v>
      </c>
      <c r="H924" s="14">
        <v>1778</v>
      </c>
      <c r="I924" s="14">
        <v>1783.45</v>
      </c>
      <c r="J924" s="14">
        <v>1778.51</v>
      </c>
      <c r="K924" t="s" s="13">
        <v>4809</v>
      </c>
      <c r="L924" t="s" s="13">
        <v>4810</v>
      </c>
      <c r="M924" t="s" s="13">
        <v>4811</v>
      </c>
      <c r="N924" t="s" s="13">
        <v>4812</v>
      </c>
      <c r="O924" s="15">
        <v>68.88</v>
      </c>
      <c r="P924" s="17" cm="1">
        <f t="array" ref="P924">(I924-I923)/I923</f>
        <v>0.00244505648923613</v>
      </c>
      <c r="Q924" s="8"/>
    </row>
    <row r="925" ht="13.65" customHeight="1">
      <c r="A925" t="s" s="27">
        <v>1294</v>
      </c>
      <c r="B925" t="s" s="13">
        <v>22</v>
      </c>
      <c r="C925" s="31">
        <v>45562</v>
      </c>
      <c r="D925" s="14">
        <v>1783.45</v>
      </c>
      <c r="E925" s="14">
        <v>1777</v>
      </c>
      <c r="F925" s="14">
        <v>1778.2</v>
      </c>
      <c r="G925" s="14">
        <v>1750</v>
      </c>
      <c r="H925" s="14">
        <v>1753</v>
      </c>
      <c r="I925" s="14">
        <v>1752.65</v>
      </c>
      <c r="J925" s="14">
        <v>1759.73</v>
      </c>
      <c r="K925" t="s" s="13">
        <v>4813</v>
      </c>
      <c r="L925" t="s" s="13">
        <v>4814</v>
      </c>
      <c r="M925" t="s" s="13">
        <v>4815</v>
      </c>
      <c r="N925" t="s" s="13">
        <v>4816</v>
      </c>
      <c r="O925" s="15">
        <v>73.02</v>
      </c>
      <c r="P925" s="17" cm="1">
        <f t="array" ref="P925">(I925-I924)/I924</f>
        <v>-0.0172698982309569</v>
      </c>
      <c r="Q925" s="8"/>
    </row>
    <row r="926" ht="13.65" customHeight="1">
      <c r="A926" t="s" s="27">
        <v>1294</v>
      </c>
      <c r="B926" t="s" s="13">
        <v>22</v>
      </c>
      <c r="C926" s="31">
        <v>45565</v>
      </c>
      <c r="D926" s="14">
        <v>1752.65</v>
      </c>
      <c r="E926" s="14">
        <v>1748.8</v>
      </c>
      <c r="F926" s="14">
        <v>1751.45</v>
      </c>
      <c r="G926" s="14">
        <v>1724.4</v>
      </c>
      <c r="H926" s="14">
        <v>1732</v>
      </c>
      <c r="I926" s="14">
        <v>1732.05</v>
      </c>
      <c r="J926" s="14">
        <v>1734.57</v>
      </c>
      <c r="K926" t="s" s="13">
        <v>4817</v>
      </c>
      <c r="L926" t="s" s="13">
        <v>4818</v>
      </c>
      <c r="M926" t="s" s="13">
        <v>4819</v>
      </c>
      <c r="N926" t="s" s="13">
        <v>4820</v>
      </c>
      <c r="O926" s="15">
        <v>72.33</v>
      </c>
      <c r="P926" s="17" cm="1">
        <f t="array" ref="P926">(I926-I925)/I925</f>
        <v>-0.0117536302170998</v>
      </c>
      <c r="Q926" s="8"/>
    </row>
    <row r="927" ht="13.65" customHeight="1">
      <c r="A927" t="s" s="27">
        <v>1294</v>
      </c>
      <c r="B927" t="s" s="13">
        <v>22</v>
      </c>
      <c r="C927" s="28">
        <v>45566</v>
      </c>
      <c r="D927" s="14">
        <v>1732.05</v>
      </c>
      <c r="E927" s="14">
        <v>1724</v>
      </c>
      <c r="F927" s="14">
        <v>1742</v>
      </c>
      <c r="G927" s="14">
        <v>1720.1</v>
      </c>
      <c r="H927" s="14">
        <v>1728.3</v>
      </c>
      <c r="I927" s="14">
        <v>1726.2</v>
      </c>
      <c r="J927" s="14">
        <v>1725.83</v>
      </c>
      <c r="K927" t="s" s="13">
        <v>4821</v>
      </c>
      <c r="L927" t="s" s="13">
        <v>4822</v>
      </c>
      <c r="M927" t="s" s="13">
        <v>4823</v>
      </c>
      <c r="N927" t="s" s="13">
        <v>4824</v>
      </c>
      <c r="O927" s="15">
        <v>56.59</v>
      </c>
      <c r="P927" s="17" cm="1">
        <f t="array" ref="P927">(I927-I926)/I926</f>
        <v>-0.00337750064951936</v>
      </c>
      <c r="Q927" s="8"/>
    </row>
    <row r="928" ht="13.65" customHeight="1">
      <c r="A928" t="s" s="27">
        <v>1294</v>
      </c>
      <c r="B928" t="s" s="13">
        <v>22</v>
      </c>
      <c r="C928" s="28">
        <v>45568</v>
      </c>
      <c r="D928" s="14">
        <v>1726.2</v>
      </c>
      <c r="E928" s="14">
        <v>1715.65</v>
      </c>
      <c r="F928" s="14">
        <v>1726.15</v>
      </c>
      <c r="G928" s="14">
        <v>1673.35</v>
      </c>
      <c r="H928" s="14">
        <v>1681</v>
      </c>
      <c r="I928" s="14">
        <v>1682</v>
      </c>
      <c r="J928" s="14">
        <v>1694.79</v>
      </c>
      <c r="K928" t="s" s="13">
        <v>4825</v>
      </c>
      <c r="L928" t="s" s="13">
        <v>4826</v>
      </c>
      <c r="M928" t="s" s="13">
        <v>4827</v>
      </c>
      <c r="N928" t="s" s="13">
        <v>4828</v>
      </c>
      <c r="O928" s="15">
        <v>72.66</v>
      </c>
      <c r="P928" s="17" cm="1">
        <f t="array" ref="P928">(I928-I927)/I927</f>
        <v>-0.0256053759703395</v>
      </c>
      <c r="Q928" s="8"/>
    </row>
    <row r="929" ht="13.65" customHeight="1">
      <c r="A929" t="s" s="27">
        <v>1294</v>
      </c>
      <c r="B929" t="s" s="13">
        <v>22</v>
      </c>
      <c r="C929" s="28">
        <v>45569</v>
      </c>
      <c r="D929" s="14">
        <v>1682</v>
      </c>
      <c r="E929" s="14">
        <v>1674.5</v>
      </c>
      <c r="F929" s="14">
        <v>1690.65</v>
      </c>
      <c r="G929" s="14">
        <v>1653</v>
      </c>
      <c r="H929" s="14">
        <v>1661.25</v>
      </c>
      <c r="I929" s="14">
        <v>1657.65</v>
      </c>
      <c r="J929" s="14">
        <v>1673.77</v>
      </c>
      <c r="K929" t="s" s="13">
        <v>4829</v>
      </c>
      <c r="L929" t="s" s="13">
        <v>4830</v>
      </c>
      <c r="M929" t="s" s="13">
        <v>4831</v>
      </c>
      <c r="N929" t="s" s="13">
        <v>4832</v>
      </c>
      <c r="O929" s="15">
        <v>56.18</v>
      </c>
      <c r="P929" s="17" cm="1">
        <f t="array" ref="P929">(I929-I928)/I928</f>
        <v>-0.0144768133174792</v>
      </c>
      <c r="Q929" s="8"/>
    </row>
    <row r="930" ht="13.65" customHeight="1">
      <c r="A930" t="s" s="27">
        <v>1294</v>
      </c>
      <c r="B930" t="s" s="13">
        <v>22</v>
      </c>
      <c r="C930" s="28">
        <v>45572</v>
      </c>
      <c r="D930" s="14">
        <v>1657.65</v>
      </c>
      <c r="E930" s="14">
        <v>1652.2</v>
      </c>
      <c r="F930" s="14">
        <v>1659</v>
      </c>
      <c r="G930" s="14">
        <v>1613</v>
      </c>
      <c r="H930" s="14">
        <v>1623.05</v>
      </c>
      <c r="I930" s="14">
        <v>1617.8</v>
      </c>
      <c r="J930" s="14">
        <v>1631.55</v>
      </c>
      <c r="K930" t="s" s="13">
        <v>4833</v>
      </c>
      <c r="L930" t="s" s="13">
        <v>4834</v>
      </c>
      <c r="M930" t="s" s="13">
        <v>4835</v>
      </c>
      <c r="N930" t="s" s="13">
        <v>4836</v>
      </c>
      <c r="O930" s="15">
        <v>59.32</v>
      </c>
      <c r="P930" s="17" cm="1">
        <f t="array" ref="P930">(I930-I929)/I929</f>
        <v>-0.0240400567067837</v>
      </c>
      <c r="Q930" s="8"/>
    </row>
    <row r="931" ht="13.65" customHeight="1">
      <c r="A931" t="s" s="27">
        <v>1294</v>
      </c>
      <c r="B931" t="s" s="13">
        <v>22</v>
      </c>
      <c r="C931" s="28">
        <v>45573</v>
      </c>
      <c r="D931" s="14">
        <v>1617.8</v>
      </c>
      <c r="E931" s="14">
        <v>1630</v>
      </c>
      <c r="F931" s="14">
        <v>1656.8</v>
      </c>
      <c r="G931" s="14">
        <v>1622</v>
      </c>
      <c r="H931" s="14">
        <v>1651.25</v>
      </c>
      <c r="I931" s="14">
        <v>1651.05</v>
      </c>
      <c r="J931" s="14">
        <v>1645.56</v>
      </c>
      <c r="K931" t="s" s="13">
        <v>4837</v>
      </c>
      <c r="L931" t="s" s="13">
        <v>4838</v>
      </c>
      <c r="M931" t="s" s="13">
        <v>4839</v>
      </c>
      <c r="N931" t="s" s="13">
        <v>4840</v>
      </c>
      <c r="O931" s="15">
        <v>63.92</v>
      </c>
      <c r="P931" s="17" cm="1">
        <f t="array" ref="P931">(I931-I930)/I930</f>
        <v>0.020552602299419</v>
      </c>
      <c r="Q931" s="8"/>
    </row>
    <row r="932" ht="13.65" customHeight="1">
      <c r="A932" t="s" s="27">
        <v>1294</v>
      </c>
      <c r="B932" t="s" s="13">
        <v>22</v>
      </c>
      <c r="C932" s="28">
        <v>45574</v>
      </c>
      <c r="D932" s="14">
        <v>1651.05</v>
      </c>
      <c r="E932" s="14">
        <v>1649.5</v>
      </c>
      <c r="F932" s="14">
        <v>1656.75</v>
      </c>
      <c r="G932" s="14">
        <v>1628.7</v>
      </c>
      <c r="H932" s="14">
        <v>1638</v>
      </c>
      <c r="I932" s="14">
        <v>1633.15</v>
      </c>
      <c r="J932" s="14">
        <v>1640.12</v>
      </c>
      <c r="K932" t="s" s="13">
        <v>4841</v>
      </c>
      <c r="L932" t="s" s="13">
        <v>4842</v>
      </c>
      <c r="M932" t="s" s="13">
        <v>4843</v>
      </c>
      <c r="N932" t="s" s="13">
        <v>4844</v>
      </c>
      <c r="O932" s="15">
        <v>46.51</v>
      </c>
      <c r="P932" s="17" cm="1">
        <f t="array" ref="P932">(I932-I931)/I931</f>
        <v>-0.0108415856576118</v>
      </c>
      <c r="Q932" s="8"/>
    </row>
    <row r="933" ht="13.65" customHeight="1">
      <c r="A933" t="s" s="27">
        <v>1294</v>
      </c>
      <c r="B933" t="s" s="13">
        <v>22</v>
      </c>
      <c r="C933" s="31">
        <v>45575</v>
      </c>
      <c r="D933" s="14">
        <v>1633.15</v>
      </c>
      <c r="E933" s="14">
        <v>1639</v>
      </c>
      <c r="F933" s="14">
        <v>1665.45</v>
      </c>
      <c r="G933" s="14">
        <v>1632.5</v>
      </c>
      <c r="H933" s="14">
        <v>1661</v>
      </c>
      <c r="I933" s="14">
        <v>1662.4</v>
      </c>
      <c r="J933" s="14">
        <v>1649.38</v>
      </c>
      <c r="K933" t="s" s="13">
        <v>4845</v>
      </c>
      <c r="L933" t="s" s="13">
        <v>4846</v>
      </c>
      <c r="M933" t="s" s="13">
        <v>4847</v>
      </c>
      <c r="N933" t="s" s="13">
        <v>4848</v>
      </c>
      <c r="O933" s="15">
        <v>47.49</v>
      </c>
      <c r="P933" s="17" cm="1">
        <f t="array" ref="P933">(I933-I932)/I932</f>
        <v>0.0179101735909133</v>
      </c>
      <c r="Q933" s="8"/>
    </row>
    <row r="934" ht="13.65" customHeight="1">
      <c r="A934" t="s" s="27">
        <v>1294</v>
      </c>
      <c r="B934" t="s" s="13">
        <v>22</v>
      </c>
      <c r="C934" s="31">
        <v>45576</v>
      </c>
      <c r="D934" s="14">
        <v>1662.4</v>
      </c>
      <c r="E934" s="14">
        <v>1664.45</v>
      </c>
      <c r="F934" s="14">
        <v>1664.45</v>
      </c>
      <c r="G934" s="14">
        <v>1643.25</v>
      </c>
      <c r="H934" s="14">
        <v>1651.5</v>
      </c>
      <c r="I934" s="14">
        <v>1651</v>
      </c>
      <c r="J934" s="14">
        <v>1651.51</v>
      </c>
      <c r="K934" t="s" s="13">
        <v>4849</v>
      </c>
      <c r="L934" t="s" s="13">
        <v>4850</v>
      </c>
      <c r="M934" t="s" s="13">
        <v>4851</v>
      </c>
      <c r="N934" t="s" s="13">
        <v>4852</v>
      </c>
      <c r="O934" s="15">
        <v>72.06</v>
      </c>
      <c r="P934" s="17" cm="1">
        <f t="array" ref="P934">(I934-I933)/I933</f>
        <v>-0.00685755534167469</v>
      </c>
      <c r="Q934" s="8"/>
    </row>
    <row r="935" ht="13.65" customHeight="1">
      <c r="A935" t="s" s="27">
        <v>1294</v>
      </c>
      <c r="B935" t="s" s="13">
        <v>22</v>
      </c>
      <c r="C935" s="31">
        <v>45579</v>
      </c>
      <c r="D935" s="14">
        <v>1651</v>
      </c>
      <c r="E935" s="14">
        <v>1656.05</v>
      </c>
      <c r="F935" s="14">
        <v>1692.05</v>
      </c>
      <c r="G935" s="14">
        <v>1654</v>
      </c>
      <c r="H935" s="14">
        <v>1689</v>
      </c>
      <c r="I935" s="14">
        <v>1688.1</v>
      </c>
      <c r="J935" s="14">
        <v>1682.72</v>
      </c>
      <c r="K935" t="s" s="13">
        <v>4853</v>
      </c>
      <c r="L935" t="s" s="13">
        <v>4854</v>
      </c>
      <c r="M935" t="s" s="13">
        <v>4855</v>
      </c>
      <c r="N935" t="s" s="13">
        <v>4856</v>
      </c>
      <c r="O935" s="15">
        <v>66.06999999999999</v>
      </c>
      <c r="P935" s="17" cm="1">
        <f t="array" ref="P935">(I935-I934)/I934</f>
        <v>0.0224712295578437</v>
      </c>
      <c r="Q935" s="8"/>
    </row>
    <row r="936" ht="13.65" customHeight="1">
      <c r="A936" t="s" s="27">
        <v>1294</v>
      </c>
      <c r="B936" t="s" s="13">
        <v>22</v>
      </c>
      <c r="C936" s="31">
        <v>45580</v>
      </c>
      <c r="D936" s="14">
        <v>1688.1</v>
      </c>
      <c r="E936" s="14">
        <v>1694</v>
      </c>
      <c r="F936" s="14">
        <v>1698</v>
      </c>
      <c r="G936" s="14">
        <v>1675.5</v>
      </c>
      <c r="H936" s="14">
        <v>1686</v>
      </c>
      <c r="I936" s="14">
        <v>1684.1</v>
      </c>
      <c r="J936" s="14">
        <v>1684.09</v>
      </c>
      <c r="K936" t="s" s="13">
        <v>4857</v>
      </c>
      <c r="L936" t="s" s="13">
        <v>4858</v>
      </c>
      <c r="M936" t="s" s="13">
        <v>4859</v>
      </c>
      <c r="N936" t="s" s="13">
        <v>4860</v>
      </c>
      <c r="O936" s="15">
        <v>60.43</v>
      </c>
      <c r="P936" s="17" cm="1">
        <f t="array" ref="P936">(I936-I935)/I935</f>
        <v>-0.00236952787157159</v>
      </c>
      <c r="Q936" s="8"/>
    </row>
    <row r="937" ht="13.65" customHeight="1">
      <c r="A937" t="s" s="27">
        <v>1294</v>
      </c>
      <c r="B937" t="s" s="13">
        <v>22</v>
      </c>
      <c r="C937" s="31">
        <v>45581</v>
      </c>
      <c r="D937" s="14">
        <v>1684.1</v>
      </c>
      <c r="E937" s="14">
        <v>1680.1</v>
      </c>
      <c r="F937" s="14">
        <v>1707.95</v>
      </c>
      <c r="G937" s="14">
        <v>1680.1</v>
      </c>
      <c r="H937" s="14">
        <v>1700.45</v>
      </c>
      <c r="I937" s="14">
        <v>1699.8</v>
      </c>
      <c r="J937" s="14">
        <v>1698.75</v>
      </c>
      <c r="K937" t="s" s="13">
        <v>4861</v>
      </c>
      <c r="L937" t="s" s="13">
        <v>4862</v>
      </c>
      <c r="M937" t="s" s="13">
        <v>4863</v>
      </c>
      <c r="N937" t="s" s="13">
        <v>4864</v>
      </c>
      <c r="O937" s="15">
        <v>61.19</v>
      </c>
      <c r="P937" s="17" cm="1">
        <f t="array" ref="P937">(I937-I936)/I936</f>
        <v>0.009322486788195481</v>
      </c>
      <c r="Q937" s="8"/>
    </row>
    <row r="938" ht="13.65" customHeight="1">
      <c r="A938" t="s" s="27">
        <v>1294</v>
      </c>
      <c r="B938" t="s" s="13">
        <v>22</v>
      </c>
      <c r="C938" s="31">
        <v>45582</v>
      </c>
      <c r="D938" s="14">
        <v>1699.8</v>
      </c>
      <c r="E938" s="14">
        <v>1694.95</v>
      </c>
      <c r="F938" s="14">
        <v>1697.65</v>
      </c>
      <c r="G938" s="14">
        <v>1665.2</v>
      </c>
      <c r="H938" s="14">
        <v>1672.7</v>
      </c>
      <c r="I938" s="14">
        <v>1673.15</v>
      </c>
      <c r="J938" s="14">
        <v>1676.22</v>
      </c>
      <c r="K938" t="s" s="13">
        <v>4865</v>
      </c>
      <c r="L938" t="s" s="13">
        <v>4866</v>
      </c>
      <c r="M938" t="s" s="13">
        <v>4867</v>
      </c>
      <c r="N938" t="s" s="13">
        <v>4868</v>
      </c>
      <c r="O938" s="15">
        <v>64.2</v>
      </c>
      <c r="P938" s="17" cm="1">
        <f t="array" ref="P938">(I938-I937)/I937</f>
        <v>-0.0156783150958936</v>
      </c>
      <c r="Q938" s="8"/>
    </row>
    <row r="939" ht="13.65" customHeight="1">
      <c r="A939" t="s" s="27">
        <v>1294</v>
      </c>
      <c r="B939" t="s" s="13">
        <v>22</v>
      </c>
      <c r="C939" s="31">
        <v>45583</v>
      </c>
      <c r="D939" s="14">
        <v>1673.15</v>
      </c>
      <c r="E939" s="14">
        <v>1663.1</v>
      </c>
      <c r="F939" s="14">
        <v>1691</v>
      </c>
      <c r="G939" s="14">
        <v>1654.1</v>
      </c>
      <c r="H939" s="14">
        <v>1684.8</v>
      </c>
      <c r="I939" s="14">
        <v>1681.85</v>
      </c>
      <c r="J939" s="14">
        <v>1674.9</v>
      </c>
      <c r="K939" t="s" s="13">
        <v>4869</v>
      </c>
      <c r="L939" t="s" s="13">
        <v>4870</v>
      </c>
      <c r="M939" t="s" s="13">
        <v>4871</v>
      </c>
      <c r="N939" t="s" s="13">
        <v>4872</v>
      </c>
      <c r="O939" s="15">
        <v>66.55</v>
      </c>
      <c r="P939" s="17" cm="1">
        <f t="array" ref="P939">(I939-I938)/I938</f>
        <v>0.00519977288348325</v>
      </c>
      <c r="Q939" s="8"/>
    </row>
    <row r="940" ht="13.65" customHeight="1">
      <c r="A940" t="s" s="27">
        <v>1294</v>
      </c>
      <c r="B940" t="s" s="13">
        <v>22</v>
      </c>
      <c r="C940" s="31">
        <v>45586</v>
      </c>
      <c r="D940" s="14">
        <v>1681.85</v>
      </c>
      <c r="E940" s="14">
        <v>1715</v>
      </c>
      <c r="F940" s="14">
        <v>1748.15</v>
      </c>
      <c r="G940" s="14">
        <v>1711.05</v>
      </c>
      <c r="H940" s="14">
        <v>1725</v>
      </c>
      <c r="I940" s="14">
        <v>1728.7</v>
      </c>
      <c r="J940" s="14">
        <v>1732.82</v>
      </c>
      <c r="K940" t="s" s="13">
        <v>4873</v>
      </c>
      <c r="L940" t="s" s="13">
        <v>4874</v>
      </c>
      <c r="M940" t="s" s="13">
        <v>4875</v>
      </c>
      <c r="N940" t="s" s="13">
        <v>4876</v>
      </c>
      <c r="O940" s="15">
        <v>54.86</v>
      </c>
      <c r="P940" s="17" cm="1">
        <f t="array" ref="P940">(I940-I939)/I939</f>
        <v>0.0278562297470048</v>
      </c>
      <c r="Q940" s="8"/>
    </row>
    <row r="941" ht="13.65" customHeight="1">
      <c r="A941" t="s" s="27">
        <v>1294</v>
      </c>
      <c r="B941" t="s" s="13">
        <v>22</v>
      </c>
      <c r="C941" s="31">
        <v>45587</v>
      </c>
      <c r="D941" s="14">
        <v>1728.7</v>
      </c>
      <c r="E941" s="14">
        <v>1730.05</v>
      </c>
      <c r="F941" s="14">
        <v>1740</v>
      </c>
      <c r="G941" s="14">
        <v>1710.7</v>
      </c>
      <c r="H941" s="14">
        <v>1714.8</v>
      </c>
      <c r="I941" s="14">
        <v>1714.55</v>
      </c>
      <c r="J941" s="14">
        <v>1721.78</v>
      </c>
      <c r="K941" t="s" s="13">
        <v>4877</v>
      </c>
      <c r="L941" t="s" s="13">
        <v>4878</v>
      </c>
      <c r="M941" t="s" s="13">
        <v>4879</v>
      </c>
      <c r="N941" t="s" s="13">
        <v>4880</v>
      </c>
      <c r="O941" s="15">
        <v>53.46</v>
      </c>
      <c r="P941" s="17" cm="1">
        <f t="array" ref="P941">(I941-I940)/I940</f>
        <v>-0.008185341586163009</v>
      </c>
      <c r="Q941" s="8"/>
    </row>
    <row r="942" ht="13.65" customHeight="1">
      <c r="A942" t="s" s="27">
        <v>1294</v>
      </c>
      <c r="B942" t="s" s="13">
        <v>22</v>
      </c>
      <c r="C942" s="31">
        <v>45588</v>
      </c>
      <c r="D942" s="14">
        <v>1714.55</v>
      </c>
      <c r="E942" s="14">
        <v>1705.05</v>
      </c>
      <c r="F942" s="14">
        <v>1746.5</v>
      </c>
      <c r="G942" s="14">
        <v>1705.05</v>
      </c>
      <c r="H942" s="14">
        <v>1736.2</v>
      </c>
      <c r="I942" s="14">
        <v>1735.8</v>
      </c>
      <c r="J942" s="14">
        <v>1736.32</v>
      </c>
      <c r="K942" t="s" s="13">
        <v>4881</v>
      </c>
      <c r="L942" t="s" s="13">
        <v>4882</v>
      </c>
      <c r="M942" t="s" s="13">
        <v>4883</v>
      </c>
      <c r="N942" t="s" s="13">
        <v>4884</v>
      </c>
      <c r="O942" s="15">
        <v>64.72</v>
      </c>
      <c r="P942" s="17" cm="1">
        <f t="array" ref="P942">(I942-I941)/I941</f>
        <v>0.0123939226035986</v>
      </c>
      <c r="Q942" s="8"/>
    </row>
    <row r="943" ht="13.65" customHeight="1">
      <c r="A943" t="s" s="27">
        <v>1294</v>
      </c>
      <c r="B943" t="s" s="13">
        <v>22</v>
      </c>
      <c r="C943" s="31">
        <v>45589</v>
      </c>
      <c r="D943" s="14">
        <v>1735.8</v>
      </c>
      <c r="E943" s="14">
        <v>1738.1</v>
      </c>
      <c r="F943" s="14">
        <v>1768.65</v>
      </c>
      <c r="G943" s="14">
        <v>1738.1</v>
      </c>
      <c r="H943" s="14">
        <v>1750.5</v>
      </c>
      <c r="I943" s="14">
        <v>1749.65</v>
      </c>
      <c r="J943" s="14">
        <v>1755.99</v>
      </c>
      <c r="K943" t="s" s="13">
        <v>4885</v>
      </c>
      <c r="L943" t="s" s="13">
        <v>4886</v>
      </c>
      <c r="M943" t="s" s="13">
        <v>4887</v>
      </c>
      <c r="N943" t="s" s="13">
        <v>4888</v>
      </c>
      <c r="O943" s="15">
        <v>68.29000000000001</v>
      </c>
      <c r="P943" s="17" cm="1">
        <f t="array" ref="P943">(I943-I942)/I942</f>
        <v>0.00797902984214771</v>
      </c>
      <c r="Q943" s="8"/>
    </row>
    <row r="944" ht="13.65" customHeight="1">
      <c r="A944" t="s" s="27">
        <v>1294</v>
      </c>
      <c r="B944" t="s" s="13">
        <v>22</v>
      </c>
      <c r="C944" s="31">
        <v>45590</v>
      </c>
      <c r="D944" s="14">
        <v>1749.65</v>
      </c>
      <c r="E944" s="14">
        <v>1755</v>
      </c>
      <c r="F944" s="14">
        <v>1757.85</v>
      </c>
      <c r="G944" s="14">
        <v>1728.7</v>
      </c>
      <c r="H944" s="14">
        <v>1745.8</v>
      </c>
      <c r="I944" s="14">
        <v>1743.4</v>
      </c>
      <c r="J944" s="14">
        <v>1740.64</v>
      </c>
      <c r="K944" t="s" s="13">
        <v>4889</v>
      </c>
      <c r="L944" t="s" s="13">
        <v>4890</v>
      </c>
      <c r="M944" t="s" s="13">
        <v>4891</v>
      </c>
      <c r="N944" t="s" s="13">
        <v>4892</v>
      </c>
      <c r="O944" s="15">
        <v>60.2</v>
      </c>
      <c r="P944" s="17" cm="1">
        <f t="array" ref="P944">(I944-I943)/I943</f>
        <v>-0.00357214300002858</v>
      </c>
      <c r="Q944" s="8"/>
    </row>
    <row r="945" ht="13.65" customHeight="1">
      <c r="A945" t="s" s="27">
        <v>1294</v>
      </c>
      <c r="B945" t="s" s="13">
        <v>22</v>
      </c>
      <c r="C945" s="31">
        <v>45593</v>
      </c>
      <c r="D945" s="14">
        <v>1743.4</v>
      </c>
      <c r="E945" s="14">
        <v>1742</v>
      </c>
      <c r="F945" s="14">
        <v>1751</v>
      </c>
      <c r="G945" s="14">
        <v>1728.9</v>
      </c>
      <c r="H945" s="14">
        <v>1737</v>
      </c>
      <c r="I945" s="14">
        <v>1734.2</v>
      </c>
      <c r="J945" s="14">
        <v>1738.17</v>
      </c>
      <c r="K945" t="s" s="13">
        <v>4893</v>
      </c>
      <c r="L945" t="s" s="13">
        <v>4894</v>
      </c>
      <c r="M945" t="s" s="13">
        <v>4895</v>
      </c>
      <c r="N945" t="s" s="13">
        <v>4896</v>
      </c>
      <c r="O945" s="15">
        <v>63.59</v>
      </c>
      <c r="P945" s="17" cm="1">
        <f t="array" ref="P945">(I945-I944)/I944</f>
        <v>-0.00527704485488127</v>
      </c>
      <c r="Q945" s="8"/>
    </row>
    <row r="946" ht="13.65" customHeight="1">
      <c r="A946" t="s" s="27">
        <v>1294</v>
      </c>
      <c r="B946" t="s" s="13">
        <v>22</v>
      </c>
      <c r="C946" s="31">
        <v>45594</v>
      </c>
      <c r="D946" s="14">
        <v>1734.2</v>
      </c>
      <c r="E946" s="14">
        <v>1726.15</v>
      </c>
      <c r="F946" s="14">
        <v>1764</v>
      </c>
      <c r="G946" s="14">
        <v>1725.1</v>
      </c>
      <c r="H946" s="14">
        <v>1749.75</v>
      </c>
      <c r="I946" s="14">
        <v>1751.85</v>
      </c>
      <c r="J946" s="14">
        <v>1744.14</v>
      </c>
      <c r="K946" t="s" s="13">
        <v>4897</v>
      </c>
      <c r="L946" t="s" s="13">
        <v>4898</v>
      </c>
      <c r="M946" t="s" s="13">
        <v>4899</v>
      </c>
      <c r="N946" t="s" s="13">
        <v>4900</v>
      </c>
      <c r="O946" s="15">
        <v>59.55</v>
      </c>
      <c r="P946" s="17" cm="1">
        <f t="array" ref="P946">(I946-I945)/I945</f>
        <v>0.0101776035059393</v>
      </c>
      <c r="Q946" s="8"/>
    </row>
    <row r="947" ht="13.65" customHeight="1">
      <c r="A947" t="s" s="27">
        <v>1294</v>
      </c>
      <c r="B947" t="s" s="13">
        <v>22</v>
      </c>
      <c r="C947" s="31">
        <v>45595</v>
      </c>
      <c r="D947" s="14">
        <v>1751.85</v>
      </c>
      <c r="E947" s="14">
        <v>1742</v>
      </c>
      <c r="F947" s="14">
        <v>1754.75</v>
      </c>
      <c r="G947" s="14">
        <v>1724.2</v>
      </c>
      <c r="H947" s="14">
        <v>1737</v>
      </c>
      <c r="I947" s="14">
        <v>1734.6</v>
      </c>
      <c r="J947" s="14">
        <v>1736.38</v>
      </c>
      <c r="K947" t="s" s="13">
        <v>4901</v>
      </c>
      <c r="L947" t="s" s="13">
        <v>4902</v>
      </c>
      <c r="M947" t="s" s="13">
        <v>4903</v>
      </c>
      <c r="N947" t="s" s="13">
        <v>4904</v>
      </c>
      <c r="O947" s="15">
        <v>59.95</v>
      </c>
      <c r="P947" s="17" cm="1">
        <f t="array" ref="P947">(I947-I946)/I946</f>
        <v>-0.009846733453206609</v>
      </c>
      <c r="Q947" s="8"/>
    </row>
    <row r="948" ht="13.65" customHeight="1">
      <c r="A948" t="s" s="27">
        <v>1294</v>
      </c>
      <c r="B948" t="s" s="13">
        <v>22</v>
      </c>
      <c r="C948" s="31">
        <v>45596</v>
      </c>
      <c r="D948" s="14">
        <v>1734.6</v>
      </c>
      <c r="E948" s="14">
        <v>1728</v>
      </c>
      <c r="F948" s="14">
        <v>1738.9</v>
      </c>
      <c r="G948" s="14">
        <v>1719.4</v>
      </c>
      <c r="H948" s="14">
        <v>1734.3</v>
      </c>
      <c r="I948" s="14">
        <v>1735.7</v>
      </c>
      <c r="J948" s="14">
        <v>1731.49</v>
      </c>
      <c r="K948" t="s" s="13">
        <v>4905</v>
      </c>
      <c r="L948" t="s" s="13">
        <v>4906</v>
      </c>
      <c r="M948" t="s" s="13">
        <v>4907</v>
      </c>
      <c r="N948" t="s" s="13">
        <v>4908</v>
      </c>
      <c r="O948" s="15">
        <v>71.22</v>
      </c>
      <c r="P948" s="17" cm="1">
        <f t="array" ref="P948">(I948-I947)/I947</f>
        <v>0.000634151965871094</v>
      </c>
      <c r="Q948" s="8"/>
    </row>
    <row r="949" ht="13.65" customHeight="1">
      <c r="A949" t="s" s="27">
        <v>1294</v>
      </c>
      <c r="B949" t="s" s="13">
        <v>22</v>
      </c>
      <c r="C949" s="28">
        <v>45597</v>
      </c>
      <c r="D949" s="14">
        <v>1735.7</v>
      </c>
      <c r="E949" s="14">
        <v>1733</v>
      </c>
      <c r="F949" s="14">
        <v>1744.1</v>
      </c>
      <c r="G949" s="14">
        <v>1726.1</v>
      </c>
      <c r="H949" s="14">
        <v>1737</v>
      </c>
      <c r="I949" s="14">
        <v>1737.3</v>
      </c>
      <c r="J949" s="14">
        <v>1738.79</v>
      </c>
      <c r="K949" t="s" s="13">
        <v>4909</v>
      </c>
      <c r="L949" t="s" s="13">
        <v>4910</v>
      </c>
      <c r="M949" s="34">
        <v>69860</v>
      </c>
      <c r="N949" t="s" s="13">
        <v>4911</v>
      </c>
      <c r="O949" s="15">
        <v>35.39</v>
      </c>
      <c r="P949" s="17" cm="1">
        <f t="array" ref="P949">(I949-I948)/I948</f>
        <v>0.00092181828657026</v>
      </c>
      <c r="Q949" s="8"/>
    </row>
    <row r="950" ht="13.65" customHeight="1">
      <c r="A950" t="s" s="27">
        <v>1294</v>
      </c>
      <c r="B950" t="s" s="13">
        <v>22</v>
      </c>
      <c r="C950" s="28">
        <v>45600</v>
      </c>
      <c r="D950" s="14">
        <v>1737.3</v>
      </c>
      <c r="E950" s="14">
        <v>1745</v>
      </c>
      <c r="F950" s="14">
        <v>1745</v>
      </c>
      <c r="G950" s="14">
        <v>1710.9</v>
      </c>
      <c r="H950" s="14">
        <v>1716.8</v>
      </c>
      <c r="I950" s="14">
        <v>1714.1</v>
      </c>
      <c r="J950" s="14">
        <v>1723.47</v>
      </c>
      <c r="K950" t="s" s="13">
        <v>4912</v>
      </c>
      <c r="L950" t="s" s="13">
        <v>4913</v>
      </c>
      <c r="M950" t="s" s="13">
        <v>4914</v>
      </c>
      <c r="N950" t="s" s="13">
        <v>4915</v>
      </c>
      <c r="O950" s="15">
        <v>68.55</v>
      </c>
      <c r="P950" s="17" cm="1">
        <f t="array" ref="P950">(I950-I949)/I949</f>
        <v>-0.013354055143038</v>
      </c>
      <c r="Q950" s="8"/>
    </row>
    <row r="951" ht="13.65" customHeight="1">
      <c r="A951" t="s" s="27">
        <v>1294</v>
      </c>
      <c r="B951" t="s" s="13">
        <v>22</v>
      </c>
      <c r="C951" s="28">
        <v>45601</v>
      </c>
      <c r="D951" s="14">
        <v>1714.1</v>
      </c>
      <c r="E951" s="14">
        <v>1703</v>
      </c>
      <c r="F951" s="14">
        <v>1762.7</v>
      </c>
      <c r="G951" s="14">
        <v>1697.9</v>
      </c>
      <c r="H951" s="14">
        <v>1753.5</v>
      </c>
      <c r="I951" s="14">
        <v>1757.85</v>
      </c>
      <c r="J951" s="14">
        <v>1736.4</v>
      </c>
      <c r="K951" t="s" s="13">
        <v>4916</v>
      </c>
      <c r="L951" t="s" s="13">
        <v>4917</v>
      </c>
      <c r="M951" t="s" s="13">
        <v>4918</v>
      </c>
      <c r="N951" t="s" s="13">
        <v>4919</v>
      </c>
      <c r="O951" s="15">
        <v>56.56</v>
      </c>
      <c r="P951" s="17" cm="1">
        <f t="array" ref="P951">(I951-I950)/I950</f>
        <v>0.0255235983898256</v>
      </c>
      <c r="Q951" s="8"/>
    </row>
    <row r="952" ht="13.65" customHeight="1">
      <c r="A952" t="s" s="27">
        <v>1294</v>
      </c>
      <c r="B952" t="s" s="13">
        <v>22</v>
      </c>
      <c r="C952" s="28">
        <v>45602</v>
      </c>
      <c r="D952" s="14">
        <v>1757.85</v>
      </c>
      <c r="E952" s="14">
        <v>1771.5</v>
      </c>
      <c r="F952" s="14">
        <v>1771.5</v>
      </c>
      <c r="G952" s="14">
        <v>1745.35</v>
      </c>
      <c r="H952" s="14">
        <v>1756</v>
      </c>
      <c r="I952" s="14">
        <v>1755.25</v>
      </c>
      <c r="J952" s="14">
        <v>1753.58</v>
      </c>
      <c r="K952" t="s" s="13">
        <v>4920</v>
      </c>
      <c r="L952" t="s" s="13">
        <v>4921</v>
      </c>
      <c r="M952" t="s" s="13">
        <v>4922</v>
      </c>
      <c r="N952" t="s" s="13">
        <v>4923</v>
      </c>
      <c r="O952" s="15">
        <v>58.81</v>
      </c>
      <c r="P952" s="17" cm="1">
        <f t="array" ref="P952">(I952-I951)/I951</f>
        <v>-0.00147907955741389</v>
      </c>
      <c r="Q952" s="8"/>
    </row>
    <row r="953" ht="13.65" customHeight="1">
      <c r="A953" t="s" s="27">
        <v>1294</v>
      </c>
      <c r="B953" t="s" s="13">
        <v>1323</v>
      </c>
      <c r="C953" s="28">
        <v>45602</v>
      </c>
      <c r="D953" s="14">
        <v>1636.9</v>
      </c>
      <c r="E953" s="14">
        <v>1751.55</v>
      </c>
      <c r="F953" s="14">
        <v>1751.55</v>
      </c>
      <c r="G953" s="14">
        <v>1751.55</v>
      </c>
      <c r="H953" s="14">
        <v>1751.55</v>
      </c>
      <c r="I953" s="14">
        <v>1751.55</v>
      </c>
      <c r="J953" s="14">
        <v>1751.55</v>
      </c>
      <c r="K953" t="s" s="13">
        <v>4924</v>
      </c>
      <c r="L953" t="s" s="13">
        <v>4925</v>
      </c>
      <c r="M953" s="15">
        <v>2</v>
      </c>
      <c r="N953" t="s" s="13">
        <v>1326</v>
      </c>
      <c r="O953" t="s" s="13">
        <v>1326</v>
      </c>
      <c r="P953" s="17" cm="1">
        <f t="array" ref="P953">(I953-I952)/I952</f>
        <v>-0.00210796182879932</v>
      </c>
      <c r="Q953" s="8"/>
    </row>
    <row r="954" ht="13.65" customHeight="1">
      <c r="A954" t="s" s="27">
        <v>1294</v>
      </c>
      <c r="B954" t="s" s="13">
        <v>22</v>
      </c>
      <c r="C954" s="28">
        <v>45603</v>
      </c>
      <c r="D954" s="14">
        <v>1755.25</v>
      </c>
      <c r="E954" s="14">
        <v>1744.3</v>
      </c>
      <c r="F954" s="14">
        <v>1760.95</v>
      </c>
      <c r="G954" s="14">
        <v>1738</v>
      </c>
      <c r="H954" s="14">
        <v>1743.5</v>
      </c>
      <c r="I954" s="14">
        <v>1746.55</v>
      </c>
      <c r="J954" s="14">
        <v>1746.6</v>
      </c>
      <c r="K954" t="s" s="13">
        <v>4926</v>
      </c>
      <c r="L954" t="s" s="13">
        <v>4927</v>
      </c>
      <c r="M954" t="s" s="13">
        <v>4928</v>
      </c>
      <c r="N954" t="s" s="13">
        <v>4929</v>
      </c>
      <c r="O954" s="15">
        <v>60.13</v>
      </c>
      <c r="P954" s="17" cm="1">
        <f t="array" ref="P954">(I954-I953)/I953</f>
        <v>-0.00285461448431389</v>
      </c>
      <c r="Q954" s="8"/>
    </row>
    <row r="955" ht="13.65" customHeight="1">
      <c r="A955" t="s" s="27">
        <v>1294</v>
      </c>
      <c r="B955" t="s" s="13">
        <v>1323</v>
      </c>
      <c r="C955" s="28">
        <v>45603</v>
      </c>
      <c r="D955" s="14">
        <v>1751.55</v>
      </c>
      <c r="E955" s="14">
        <v>1743.35</v>
      </c>
      <c r="F955" s="14">
        <v>1743.35</v>
      </c>
      <c r="G955" s="14">
        <v>1743.35</v>
      </c>
      <c r="H955" s="14">
        <v>1743.35</v>
      </c>
      <c r="I955" s="14">
        <v>1743.35</v>
      </c>
      <c r="J955" s="14">
        <v>1743.35</v>
      </c>
      <c r="K955" t="s" s="13">
        <v>4930</v>
      </c>
      <c r="L955" t="s" s="13">
        <v>4931</v>
      </c>
      <c r="M955" s="15">
        <v>2</v>
      </c>
      <c r="N955" t="s" s="13">
        <v>1326</v>
      </c>
      <c r="O955" t="s" s="13">
        <v>1326</v>
      </c>
      <c r="P955" s="17" cm="1">
        <f t="array" ref="P955">(I955-I954)/I954</f>
        <v>-0.00183218344736767</v>
      </c>
      <c r="Q955" s="8"/>
    </row>
    <row r="956" ht="13.65" customHeight="1">
      <c r="A956" t="s" s="27">
        <v>1294</v>
      </c>
      <c r="B956" t="s" s="13">
        <v>22</v>
      </c>
      <c r="C956" s="28">
        <v>45604</v>
      </c>
      <c r="D956" s="14">
        <v>1746.55</v>
      </c>
      <c r="E956" s="14">
        <v>1752</v>
      </c>
      <c r="F956" s="14">
        <v>1761.8</v>
      </c>
      <c r="G956" s="14">
        <v>1745.85</v>
      </c>
      <c r="H956" s="14">
        <v>1751.9</v>
      </c>
      <c r="I956" s="14">
        <v>1754.45</v>
      </c>
      <c r="J956" s="14">
        <v>1754.62</v>
      </c>
      <c r="K956" t="s" s="13">
        <v>4932</v>
      </c>
      <c r="L956" t="s" s="13">
        <v>4933</v>
      </c>
      <c r="M956" t="s" s="13">
        <v>4934</v>
      </c>
      <c r="N956" t="s" s="13">
        <v>4935</v>
      </c>
      <c r="O956" s="15">
        <v>67.20999999999999</v>
      </c>
      <c r="P956" s="17" cm="1">
        <f t="array" ref="P956">(I956-I955)/I955</f>
        <v>0.00636705194023002</v>
      </c>
      <c r="Q956" s="8"/>
    </row>
    <row r="957" ht="13.65" customHeight="1">
      <c r="A957" t="s" s="27">
        <v>1294</v>
      </c>
      <c r="B957" t="s" s="13">
        <v>22</v>
      </c>
      <c r="C957" s="31">
        <v>45607</v>
      </c>
      <c r="D957" s="14">
        <v>1754.45</v>
      </c>
      <c r="E957" s="14">
        <v>1754.55</v>
      </c>
      <c r="F957" s="14">
        <v>1782.8</v>
      </c>
      <c r="G957" s="14">
        <v>1751.2</v>
      </c>
      <c r="H957" s="14">
        <v>1763.9</v>
      </c>
      <c r="I957" s="14">
        <v>1766.3</v>
      </c>
      <c r="J957" s="14">
        <v>1768.85</v>
      </c>
      <c r="K957" t="s" s="13">
        <v>4936</v>
      </c>
      <c r="L957" t="s" s="13">
        <v>4937</v>
      </c>
      <c r="M957" t="s" s="13">
        <v>4938</v>
      </c>
      <c r="N957" t="s" s="13">
        <v>4939</v>
      </c>
      <c r="O957" s="15">
        <v>60.71</v>
      </c>
      <c r="P957" s="17" cm="1">
        <f t="array" ref="P957">(I957-I956)/I956</f>
        <v>0.00675425346974835</v>
      </c>
      <c r="Q957" s="8"/>
    </row>
    <row r="958" ht="13.65" customHeight="1">
      <c r="A958" t="s" s="27">
        <v>1294</v>
      </c>
      <c r="B958" t="s" s="13">
        <v>22</v>
      </c>
      <c r="C958" s="31">
        <v>45608</v>
      </c>
      <c r="D958" s="14">
        <v>1766.3</v>
      </c>
      <c r="E958" s="14">
        <v>1772</v>
      </c>
      <c r="F958" s="14">
        <v>1775</v>
      </c>
      <c r="G958" s="14">
        <v>1708.65</v>
      </c>
      <c r="H958" s="14">
        <v>1719</v>
      </c>
      <c r="I958" s="14">
        <v>1718.2</v>
      </c>
      <c r="J958" s="14">
        <v>1731.71</v>
      </c>
      <c r="K958" t="s" s="13">
        <v>4940</v>
      </c>
      <c r="L958" t="s" s="13">
        <v>4941</v>
      </c>
      <c r="M958" t="s" s="13">
        <v>4942</v>
      </c>
      <c r="N958" t="s" s="13">
        <v>4943</v>
      </c>
      <c r="O958" s="15">
        <v>47.21</v>
      </c>
      <c r="P958" s="17" cm="1">
        <f t="array" ref="P958">(I958-I957)/I957</f>
        <v>-0.0272320670327804</v>
      </c>
      <c r="Q958" s="8"/>
    </row>
    <row r="959" ht="13.65" customHeight="1">
      <c r="A959" t="s" s="27">
        <v>1294</v>
      </c>
      <c r="B959" t="s" s="13">
        <v>22</v>
      </c>
      <c r="C959" s="31">
        <v>45609</v>
      </c>
      <c r="D959" s="14">
        <v>1718.2</v>
      </c>
      <c r="E959" s="14">
        <v>1716.75</v>
      </c>
      <c r="F959" s="14">
        <v>1729.4</v>
      </c>
      <c r="G959" s="14">
        <v>1673</v>
      </c>
      <c r="H959" s="14">
        <v>1688.15</v>
      </c>
      <c r="I959" s="14">
        <v>1681.35</v>
      </c>
      <c r="J959" s="14">
        <v>1699.7</v>
      </c>
      <c r="K959" t="s" s="13">
        <v>4944</v>
      </c>
      <c r="L959" t="s" s="13">
        <v>4945</v>
      </c>
      <c r="M959" t="s" s="13">
        <v>4946</v>
      </c>
      <c r="N959" t="s" s="13">
        <v>4947</v>
      </c>
      <c r="O959" s="15">
        <v>55.3</v>
      </c>
      <c r="P959" s="17" cm="1">
        <f t="array" ref="P959">(I959-I958)/I958</f>
        <v>-0.0214468629961588</v>
      </c>
      <c r="Q959" s="8"/>
    </row>
    <row r="960" ht="13.65" customHeight="1">
      <c r="A960" t="s" s="27">
        <v>1294</v>
      </c>
      <c r="B960" t="s" s="13">
        <v>22</v>
      </c>
      <c r="C960" s="31">
        <v>45610</v>
      </c>
      <c r="D960" s="14">
        <v>1681.35</v>
      </c>
      <c r="E960" s="14">
        <v>1673.1</v>
      </c>
      <c r="F960" s="14">
        <v>1704.85</v>
      </c>
      <c r="G960" s="14">
        <v>1672.1</v>
      </c>
      <c r="H960" s="14">
        <v>1692.4</v>
      </c>
      <c r="I960" s="14">
        <v>1692.75</v>
      </c>
      <c r="J960" s="14">
        <v>1692.96</v>
      </c>
      <c r="K960" t="s" s="13">
        <v>4948</v>
      </c>
      <c r="L960" t="s" s="13">
        <v>4949</v>
      </c>
      <c r="M960" t="s" s="13">
        <v>4950</v>
      </c>
      <c r="N960" t="s" s="13">
        <v>4951</v>
      </c>
      <c r="O960" s="15">
        <v>53.84</v>
      </c>
      <c r="P960" s="17" cm="1">
        <f t="array" ref="P960">(I960-I959)/I959</f>
        <v>0.00678026585779285</v>
      </c>
      <c r="Q960" s="8"/>
    </row>
    <row r="961" ht="13.65" customHeight="1">
      <c r="A961" t="s" s="27">
        <v>1294</v>
      </c>
      <c r="B961" t="s" s="13">
        <v>22</v>
      </c>
      <c r="C961" s="31">
        <v>45614</v>
      </c>
      <c r="D961" s="14">
        <v>1692.75</v>
      </c>
      <c r="E961" s="14">
        <v>1700</v>
      </c>
      <c r="F961" s="14">
        <v>1718.9</v>
      </c>
      <c r="G961" s="14">
        <v>1695</v>
      </c>
      <c r="H961" s="14">
        <v>1708.3</v>
      </c>
      <c r="I961" s="14">
        <v>1705.1</v>
      </c>
      <c r="J961" s="14">
        <v>1707.94</v>
      </c>
      <c r="K961" t="s" s="13">
        <v>4952</v>
      </c>
      <c r="L961" t="s" s="13">
        <v>4953</v>
      </c>
      <c r="M961" t="s" s="13">
        <v>4954</v>
      </c>
      <c r="N961" t="s" s="13">
        <v>4955</v>
      </c>
      <c r="O961" s="15">
        <v>70.62</v>
      </c>
      <c r="P961" s="17" cm="1">
        <f t="array" ref="P961">(I961-I960)/I960</f>
        <v>0.00729582041057451</v>
      </c>
      <c r="Q961" s="8"/>
    </row>
    <row r="962" ht="13.65" customHeight="1">
      <c r="A962" t="s" s="27">
        <v>1294</v>
      </c>
      <c r="B962" t="s" s="13">
        <v>22</v>
      </c>
      <c r="C962" s="31">
        <v>45615</v>
      </c>
      <c r="D962" s="14">
        <v>1705.1</v>
      </c>
      <c r="E962" s="14">
        <v>1714</v>
      </c>
      <c r="F962" s="14">
        <v>1753.75</v>
      </c>
      <c r="G962" s="14">
        <v>1702.7</v>
      </c>
      <c r="H962" s="14">
        <v>1736</v>
      </c>
      <c r="I962" s="14">
        <v>1742.25</v>
      </c>
      <c r="J962" s="14">
        <v>1739.1</v>
      </c>
      <c r="K962" t="s" s="13">
        <v>4956</v>
      </c>
      <c r="L962" t="s" s="13">
        <v>4957</v>
      </c>
      <c r="M962" t="s" s="13">
        <v>4958</v>
      </c>
      <c r="N962" t="s" s="13">
        <v>4959</v>
      </c>
      <c r="O962" s="15">
        <v>74.61</v>
      </c>
      <c r="P962" s="17" cm="1">
        <f t="array" ref="P962">(I962-I961)/I961</f>
        <v>0.0217875784411471</v>
      </c>
      <c r="Q962" s="8"/>
    </row>
    <row r="963" ht="13.65" customHeight="1">
      <c r="A963" t="s" s="27">
        <v>1294</v>
      </c>
      <c r="B963" t="s" s="13">
        <v>22</v>
      </c>
      <c r="C963" s="31">
        <v>45617</v>
      </c>
      <c r="D963" s="14">
        <v>1742.25</v>
      </c>
      <c r="E963" s="14">
        <v>1749.4</v>
      </c>
      <c r="F963" s="14">
        <v>1759</v>
      </c>
      <c r="G963" s="14">
        <v>1734.2</v>
      </c>
      <c r="H963" s="14">
        <v>1739.95</v>
      </c>
      <c r="I963" s="14">
        <v>1741.2</v>
      </c>
      <c r="J963" s="14">
        <v>1743.63</v>
      </c>
      <c r="K963" t="s" s="13">
        <v>4960</v>
      </c>
      <c r="L963" t="s" s="13">
        <v>4961</v>
      </c>
      <c r="M963" t="s" s="13">
        <v>4962</v>
      </c>
      <c r="N963" t="s" s="13">
        <v>4963</v>
      </c>
      <c r="O963" s="15">
        <v>66.65000000000001</v>
      </c>
      <c r="P963" s="17" cm="1">
        <f t="array" ref="P963">(I963-I962)/I962</f>
        <v>-0.000602668962548429</v>
      </c>
      <c r="Q963" s="8"/>
    </row>
    <row r="964" ht="13.65" customHeight="1">
      <c r="A964" t="s" s="27">
        <v>1294</v>
      </c>
      <c r="B964" t="s" s="13">
        <v>22</v>
      </c>
      <c r="C964" s="31">
        <v>45618</v>
      </c>
      <c r="D964" s="14">
        <v>1741.2</v>
      </c>
      <c r="E964" s="14">
        <v>1743.55</v>
      </c>
      <c r="F964" s="14">
        <v>1754.3</v>
      </c>
      <c r="G964" s="14">
        <v>1729.55</v>
      </c>
      <c r="H964" s="14">
        <v>1742.1</v>
      </c>
      <c r="I964" s="14">
        <v>1745.6</v>
      </c>
      <c r="J964" s="14">
        <v>1743.57</v>
      </c>
      <c r="K964" t="s" s="13">
        <v>4964</v>
      </c>
      <c r="L964" t="s" s="13">
        <v>4965</v>
      </c>
      <c r="M964" t="s" s="13">
        <v>4966</v>
      </c>
      <c r="N964" t="s" s="13">
        <v>4967</v>
      </c>
      <c r="O964" s="15">
        <v>65.7</v>
      </c>
      <c r="P964" s="17" cm="1">
        <f t="array" ref="P964">(I964-I963)/I963</f>
        <v>0.00252699287847462</v>
      </c>
      <c r="Q964" s="8"/>
    </row>
    <row r="965" ht="13.65" customHeight="1">
      <c r="A965" t="s" s="27">
        <v>1294</v>
      </c>
      <c r="B965" t="s" s="13">
        <v>22</v>
      </c>
      <c r="C965" s="31">
        <v>45621</v>
      </c>
      <c r="D965" s="14">
        <v>1745.6</v>
      </c>
      <c r="E965" s="14">
        <v>1785.05</v>
      </c>
      <c r="F965" s="14">
        <v>1803.55</v>
      </c>
      <c r="G965" s="14">
        <v>1764.9</v>
      </c>
      <c r="H965" s="14">
        <v>1778.95</v>
      </c>
      <c r="I965" s="14">
        <v>1785.6</v>
      </c>
      <c r="J965" s="14">
        <v>1784.46</v>
      </c>
      <c r="K965" t="s" s="13">
        <v>4968</v>
      </c>
      <c r="L965" t="s" s="13">
        <v>4969</v>
      </c>
      <c r="M965" t="s" s="13">
        <v>4970</v>
      </c>
      <c r="N965" t="s" s="13">
        <v>4971</v>
      </c>
      <c r="O965" s="15">
        <v>81.45999999999999</v>
      </c>
      <c r="P965" s="17" cm="1">
        <f t="array" ref="P965">(I965-I964)/I964</f>
        <v>0.0229147571035747</v>
      </c>
      <c r="Q965" s="8"/>
    </row>
    <row r="966" ht="13.65" customHeight="1">
      <c r="A966" t="s" s="27">
        <v>1294</v>
      </c>
      <c r="B966" t="s" s="13">
        <v>22</v>
      </c>
      <c r="C966" s="31">
        <v>45622</v>
      </c>
      <c r="D966" s="14">
        <v>1785.6</v>
      </c>
      <c r="E966" s="14">
        <v>1810</v>
      </c>
      <c r="F966" s="14">
        <v>1810</v>
      </c>
      <c r="G966" s="14">
        <v>1769.8</v>
      </c>
      <c r="H966" s="14">
        <v>1786.4</v>
      </c>
      <c r="I966" s="14">
        <v>1785.55</v>
      </c>
      <c r="J966" s="14">
        <v>1784.75</v>
      </c>
      <c r="K966" t="s" s="13">
        <v>4972</v>
      </c>
      <c r="L966" t="s" s="13">
        <v>4973</v>
      </c>
      <c r="M966" t="s" s="13">
        <v>4974</v>
      </c>
      <c r="N966" t="s" s="13">
        <v>4975</v>
      </c>
      <c r="O966" s="15">
        <v>58.25</v>
      </c>
      <c r="P966" s="17" cm="1">
        <f t="array" ref="P966">(I966-I965)/I965</f>
        <v>-2.80017921146953e-05</v>
      </c>
      <c r="Q966" s="8"/>
    </row>
    <row r="967" ht="13.65" customHeight="1">
      <c r="A967" t="s" s="27">
        <v>1294</v>
      </c>
      <c r="B967" t="s" s="13">
        <v>22</v>
      </c>
      <c r="C967" s="31">
        <v>45623</v>
      </c>
      <c r="D967" s="14">
        <v>1785.55</v>
      </c>
      <c r="E967" s="14">
        <v>1789.9</v>
      </c>
      <c r="F967" s="14">
        <v>1817.35</v>
      </c>
      <c r="G967" s="14">
        <v>1785.15</v>
      </c>
      <c r="H967" s="14">
        <v>1809.5</v>
      </c>
      <c r="I967" s="14">
        <v>1812.3</v>
      </c>
      <c r="J967" s="14">
        <v>1801.57</v>
      </c>
      <c r="K967" t="s" s="13">
        <v>4976</v>
      </c>
      <c r="L967" t="s" s="13">
        <v>4977</v>
      </c>
      <c r="M967" t="s" s="13">
        <v>4978</v>
      </c>
      <c r="N967" t="s" s="13">
        <v>4979</v>
      </c>
      <c r="O967" s="15">
        <v>53.43</v>
      </c>
      <c r="P967" s="17" cm="1">
        <f t="array" ref="P967">(I967-I966)/I966</f>
        <v>0.0149813782868024</v>
      </c>
      <c r="Q967" s="8"/>
    </row>
    <row r="968" ht="13.65" customHeight="1">
      <c r="A968" t="s" s="27">
        <v>1294</v>
      </c>
      <c r="B968" t="s" s="13">
        <v>22</v>
      </c>
      <c r="C968" s="31">
        <v>45624</v>
      </c>
      <c r="D968" s="14">
        <v>1812.3</v>
      </c>
      <c r="E968" s="14">
        <v>1819</v>
      </c>
      <c r="F968" s="14">
        <v>1836.1</v>
      </c>
      <c r="G968" s="14">
        <v>1788</v>
      </c>
      <c r="H968" s="14">
        <v>1793</v>
      </c>
      <c r="I968" s="14">
        <v>1793.15</v>
      </c>
      <c r="J968" s="14">
        <v>1808.45</v>
      </c>
      <c r="K968" t="s" s="13">
        <v>4980</v>
      </c>
      <c r="L968" t="s" s="13">
        <v>4981</v>
      </c>
      <c r="M968" t="s" s="13">
        <v>4982</v>
      </c>
      <c r="N968" t="s" s="13">
        <v>4983</v>
      </c>
      <c r="O968" s="15">
        <v>56.54</v>
      </c>
      <c r="P968" s="17" cm="1">
        <f t="array" ref="P968">(I968-I967)/I967</f>
        <v>-0.0105666832202174</v>
      </c>
      <c r="Q968" s="8"/>
    </row>
    <row r="969" ht="13.65" customHeight="1">
      <c r="A969" t="s" s="27">
        <v>1294</v>
      </c>
      <c r="B969" t="s" s="13">
        <v>22</v>
      </c>
      <c r="C969" s="31">
        <v>45625</v>
      </c>
      <c r="D969" s="14">
        <v>1793.15</v>
      </c>
      <c r="E969" s="14">
        <v>1801.3</v>
      </c>
      <c r="F969" s="14">
        <v>1804.6</v>
      </c>
      <c r="G969" s="14">
        <v>1782.9</v>
      </c>
      <c r="H969" s="14">
        <v>1795.5</v>
      </c>
      <c r="I969" s="14">
        <v>1796.05</v>
      </c>
      <c r="J969" s="14">
        <v>1793.91</v>
      </c>
      <c r="K969" t="s" s="13">
        <v>4984</v>
      </c>
      <c r="L969" t="s" s="13">
        <v>4985</v>
      </c>
      <c r="M969" t="s" s="13">
        <v>4986</v>
      </c>
      <c r="N969" t="s" s="13">
        <v>4987</v>
      </c>
      <c r="O969" s="15">
        <v>66.09</v>
      </c>
      <c r="P969" s="17" cm="1">
        <f t="array" ref="P969">(I969-I968)/I968</f>
        <v>0.00161726570560187</v>
      </c>
      <c r="Q969" s="8"/>
    </row>
    <row r="970" ht="13.65" customHeight="1">
      <c r="A970" t="s" s="27">
        <v>1294</v>
      </c>
      <c r="B970" t="s" s="13">
        <v>22</v>
      </c>
      <c r="C970" s="28">
        <v>45628</v>
      </c>
      <c r="D970" s="14">
        <v>1796.05</v>
      </c>
      <c r="E970" s="14">
        <v>1803.5</v>
      </c>
      <c r="F970" s="14">
        <v>1808.15</v>
      </c>
      <c r="G970" s="14">
        <v>1775</v>
      </c>
      <c r="H970" s="14">
        <v>1805.95</v>
      </c>
      <c r="I970" s="14">
        <v>1804.7</v>
      </c>
      <c r="J970" s="14">
        <v>1791.81</v>
      </c>
      <c r="K970" t="s" s="13">
        <v>4988</v>
      </c>
      <c r="L970" t="s" s="13">
        <v>4989</v>
      </c>
      <c r="M970" t="s" s="13">
        <v>4990</v>
      </c>
      <c r="N970" t="s" s="13">
        <v>4991</v>
      </c>
      <c r="O970" s="15">
        <v>65.45999999999999</v>
      </c>
      <c r="P970" s="17" cm="1">
        <f t="array" ref="P970">(I970-I969)/I969</f>
        <v>0.00481612427270956</v>
      </c>
      <c r="Q970" s="8"/>
    </row>
    <row r="971" ht="13.65" customHeight="1">
      <c r="A971" t="s" s="27">
        <v>1294</v>
      </c>
      <c r="B971" t="s" s="13">
        <v>22</v>
      </c>
      <c r="C971" s="28">
        <v>45629</v>
      </c>
      <c r="D971" s="14">
        <v>1804.7</v>
      </c>
      <c r="E971" s="14">
        <v>1822.7</v>
      </c>
      <c r="F971" s="14">
        <v>1837.4</v>
      </c>
      <c r="G971" s="14">
        <v>1816.1</v>
      </c>
      <c r="H971" s="14">
        <v>1825.3</v>
      </c>
      <c r="I971" s="14">
        <v>1826.3</v>
      </c>
      <c r="J971" s="14">
        <v>1827.25</v>
      </c>
      <c r="K971" t="s" s="13">
        <v>4992</v>
      </c>
      <c r="L971" t="s" s="13">
        <v>4993</v>
      </c>
      <c r="M971" t="s" s="13">
        <v>4994</v>
      </c>
      <c r="N971" t="s" s="13">
        <v>4995</v>
      </c>
      <c r="O971" s="15">
        <v>72.81999999999999</v>
      </c>
      <c r="P971" s="17" cm="1">
        <f t="array" ref="P971">(I971-I970)/I970</f>
        <v>0.0119687482684103</v>
      </c>
      <c r="Q971" s="8"/>
    </row>
    <row r="972" ht="13.65" customHeight="1">
      <c r="A972" t="s" s="27">
        <v>1294</v>
      </c>
      <c r="B972" t="s" s="13">
        <v>22</v>
      </c>
      <c r="C972" s="28">
        <v>45630</v>
      </c>
      <c r="D972" s="14">
        <v>1826.3</v>
      </c>
      <c r="E972" s="14">
        <v>1838</v>
      </c>
      <c r="F972" s="14">
        <v>1865</v>
      </c>
      <c r="G972" s="14">
        <v>1831.15</v>
      </c>
      <c r="H972" s="14">
        <v>1856.8</v>
      </c>
      <c r="I972" s="14">
        <v>1860.1</v>
      </c>
      <c r="J972" s="14">
        <v>1854.85</v>
      </c>
      <c r="K972" t="s" s="13">
        <v>4996</v>
      </c>
      <c r="L972" t="s" s="13">
        <v>4997</v>
      </c>
      <c r="M972" t="s" s="13">
        <v>4998</v>
      </c>
      <c r="N972" t="s" s="13">
        <v>4999</v>
      </c>
      <c r="O972" s="15">
        <v>70.64</v>
      </c>
      <c r="P972" s="17" cm="1">
        <f t="array" ref="P972">(I972-I971)/I971</f>
        <v>0.0185073646169852</v>
      </c>
      <c r="Q972" s="8"/>
    </row>
    <row r="973" ht="13.65" customHeight="1">
      <c r="A973" t="s" s="27">
        <v>1294</v>
      </c>
      <c r="B973" t="s" s="13">
        <v>22</v>
      </c>
      <c r="C973" s="28">
        <v>45631</v>
      </c>
      <c r="D973" s="14">
        <v>1860.1</v>
      </c>
      <c r="E973" s="14">
        <v>1860</v>
      </c>
      <c r="F973" s="14">
        <v>1879.95</v>
      </c>
      <c r="G973" s="14">
        <v>1835.2</v>
      </c>
      <c r="H973" s="14">
        <v>1864.85</v>
      </c>
      <c r="I973" s="14">
        <v>1865.75</v>
      </c>
      <c r="J973" s="14">
        <v>1862.43</v>
      </c>
      <c r="K973" t="s" s="13">
        <v>5000</v>
      </c>
      <c r="L973" t="s" s="13">
        <v>5001</v>
      </c>
      <c r="M973" t="s" s="13">
        <v>5002</v>
      </c>
      <c r="N973" t="s" s="13">
        <v>5003</v>
      </c>
      <c r="O973" s="15">
        <v>59.11</v>
      </c>
      <c r="P973" s="17" cm="1">
        <f t="array" ref="P973">(I973-I972)/I972</f>
        <v>0.0030374711037041</v>
      </c>
      <c r="Q973" s="8"/>
    </row>
    <row r="974" ht="13.65" customHeight="1">
      <c r="A974" t="s" s="27">
        <v>1294</v>
      </c>
      <c r="B974" t="s" s="13">
        <v>22</v>
      </c>
      <c r="C974" s="28">
        <v>45632</v>
      </c>
      <c r="D974" s="14">
        <v>1865.75</v>
      </c>
      <c r="E974" s="14">
        <v>1857</v>
      </c>
      <c r="F974" s="14">
        <v>1864.2</v>
      </c>
      <c r="G974" s="14">
        <v>1844</v>
      </c>
      <c r="H974" s="14">
        <v>1855.45</v>
      </c>
      <c r="I974" s="14">
        <v>1855.85</v>
      </c>
      <c r="J974" s="14">
        <v>1856.73</v>
      </c>
      <c r="K974" t="s" s="13">
        <v>5004</v>
      </c>
      <c r="L974" t="s" s="13">
        <v>5005</v>
      </c>
      <c r="M974" t="s" s="13">
        <v>5006</v>
      </c>
      <c r="N974" t="s" s="13">
        <v>5007</v>
      </c>
      <c r="O974" s="15">
        <v>62.37</v>
      </c>
      <c r="P974" s="17" cm="1">
        <f t="array" ref="P974">(I974-I973)/I973</f>
        <v>-0.0053061771405601</v>
      </c>
      <c r="Q974" s="8"/>
    </row>
    <row r="975" ht="13.65" customHeight="1">
      <c r="A975" t="s" s="27">
        <v>1294</v>
      </c>
      <c r="B975" t="s" s="13">
        <v>22</v>
      </c>
      <c r="C975" s="28">
        <v>45635</v>
      </c>
      <c r="D975" s="14">
        <v>1855.85</v>
      </c>
      <c r="E975" s="14">
        <v>1853.65</v>
      </c>
      <c r="F975" s="14">
        <v>1880</v>
      </c>
      <c r="G975" s="14">
        <v>1849</v>
      </c>
      <c r="H975" s="14">
        <v>1867.55</v>
      </c>
      <c r="I975" s="14">
        <v>1870</v>
      </c>
      <c r="J975" s="14">
        <v>1871.09</v>
      </c>
      <c r="K975" t="s" s="13">
        <v>5008</v>
      </c>
      <c r="L975" t="s" s="13">
        <v>5009</v>
      </c>
      <c r="M975" t="s" s="13">
        <v>5010</v>
      </c>
      <c r="N975" t="s" s="13">
        <v>5011</v>
      </c>
      <c r="O975" s="15">
        <v>75.06999999999999</v>
      </c>
      <c r="P975" s="17" cm="1">
        <f t="array" ref="P975">(I975-I974)/I974</f>
        <v>0.00762453862111701</v>
      </c>
      <c r="Q975" s="8"/>
    </row>
    <row r="976" ht="13.65" customHeight="1">
      <c r="A976" t="s" s="27">
        <v>1294</v>
      </c>
      <c r="B976" t="s" s="13">
        <v>22</v>
      </c>
      <c r="C976" s="31">
        <v>45636</v>
      </c>
      <c r="D976" s="14">
        <v>1870</v>
      </c>
      <c r="E976" s="14">
        <v>1877.7</v>
      </c>
      <c r="F976" s="14">
        <v>1877.7</v>
      </c>
      <c r="G976" s="14">
        <v>1858.55</v>
      </c>
      <c r="H976" s="14">
        <v>1867.65</v>
      </c>
      <c r="I976" s="14">
        <v>1868.1</v>
      </c>
      <c r="J976" s="14">
        <v>1867.3</v>
      </c>
      <c r="K976" t="s" s="13">
        <v>5012</v>
      </c>
      <c r="L976" t="s" s="13">
        <v>5013</v>
      </c>
      <c r="M976" t="s" s="13">
        <v>5014</v>
      </c>
      <c r="N976" t="s" s="13">
        <v>5015</v>
      </c>
      <c r="O976" s="15">
        <v>61.46</v>
      </c>
      <c r="P976" s="17" cm="1">
        <f t="array" ref="P976">(I976-I975)/I975</f>
        <v>-0.00101604278074866</v>
      </c>
      <c r="Q976" s="8"/>
    </row>
    <row r="977" ht="13.65" customHeight="1">
      <c r="A977" t="s" s="27">
        <v>1294</v>
      </c>
      <c r="B977" t="s" s="13">
        <v>22</v>
      </c>
      <c r="C977" s="31">
        <v>45637</v>
      </c>
      <c r="D977" s="14">
        <v>1868.1</v>
      </c>
      <c r="E977" s="14">
        <v>1861.7</v>
      </c>
      <c r="F977" s="14">
        <v>1871.9</v>
      </c>
      <c r="G977" s="14">
        <v>1856.75</v>
      </c>
      <c r="H977" s="14">
        <v>1862.5</v>
      </c>
      <c r="I977" s="14">
        <v>1863.1</v>
      </c>
      <c r="J977" s="14">
        <v>1864</v>
      </c>
      <c r="K977" t="s" s="13">
        <v>5016</v>
      </c>
      <c r="L977" t="s" s="13">
        <v>5017</v>
      </c>
      <c r="M977" t="s" s="13">
        <v>5018</v>
      </c>
      <c r="N977" t="s" s="13">
        <v>5019</v>
      </c>
      <c r="O977" s="15">
        <v>57.41</v>
      </c>
      <c r="P977" s="17" cm="1">
        <f t="array" ref="P977">(I977-I976)/I976</f>
        <v>-0.00267651624645362</v>
      </c>
      <c r="Q977" s="8"/>
    </row>
    <row r="978" ht="13.65" customHeight="1">
      <c r="A978" t="s" s="27">
        <v>1294</v>
      </c>
      <c r="B978" t="s" s="13">
        <v>22</v>
      </c>
      <c r="C978" s="31">
        <v>45638</v>
      </c>
      <c r="D978" s="14">
        <v>1863.1</v>
      </c>
      <c r="E978" s="14">
        <v>1851</v>
      </c>
      <c r="F978" s="14">
        <v>1868.65</v>
      </c>
      <c r="G978" s="14">
        <v>1848.7</v>
      </c>
      <c r="H978" s="14">
        <v>1858</v>
      </c>
      <c r="I978" s="14">
        <v>1859.25</v>
      </c>
      <c r="J978" s="14">
        <v>1858.38</v>
      </c>
      <c r="K978" t="s" s="13">
        <v>5020</v>
      </c>
      <c r="L978" t="s" s="13">
        <v>5021</v>
      </c>
      <c r="M978" t="s" s="13">
        <v>5022</v>
      </c>
      <c r="N978" t="s" s="13">
        <v>5023</v>
      </c>
      <c r="O978" s="15">
        <v>53.55</v>
      </c>
      <c r="P978" s="17" cm="1">
        <f t="array" ref="P978">(I978-I977)/I977</f>
        <v>-0.00206644839246417</v>
      </c>
      <c r="Q978" s="8"/>
    </row>
    <row r="979" ht="13.65" customHeight="1">
      <c r="A979" t="s" s="27">
        <v>1294</v>
      </c>
      <c r="B979" t="s" s="13">
        <v>22</v>
      </c>
      <c r="C979" s="31">
        <v>45639</v>
      </c>
      <c r="D979" s="14">
        <v>1859.25</v>
      </c>
      <c r="E979" s="14">
        <v>1862.5</v>
      </c>
      <c r="F979" s="14">
        <v>1875</v>
      </c>
      <c r="G979" s="14">
        <v>1829.25</v>
      </c>
      <c r="H979" s="14">
        <v>1873.3</v>
      </c>
      <c r="I979" s="14">
        <v>1871.75</v>
      </c>
      <c r="J979" s="14">
        <v>1858.29</v>
      </c>
      <c r="K979" t="s" s="13">
        <v>5024</v>
      </c>
      <c r="L979" t="s" s="13">
        <v>5025</v>
      </c>
      <c r="M979" t="s" s="13">
        <v>5026</v>
      </c>
      <c r="N979" t="s" s="13">
        <v>5027</v>
      </c>
      <c r="O979" s="15">
        <v>52.45</v>
      </c>
      <c r="P979" s="17" cm="1">
        <f t="array" ref="P979">(I979-I978)/I978</f>
        <v>0.00672314105149926</v>
      </c>
      <c r="Q979" s="8"/>
    </row>
    <row r="980" ht="13.65" customHeight="1">
      <c r="A980" t="s" s="27">
        <v>1294</v>
      </c>
      <c r="B980" t="s" s="13">
        <v>22</v>
      </c>
      <c r="C980" s="31">
        <v>45642</v>
      </c>
      <c r="D980" s="14">
        <v>1871.75</v>
      </c>
      <c r="E980" s="14">
        <v>1865.1</v>
      </c>
      <c r="F980" s="14">
        <v>1869.95</v>
      </c>
      <c r="G980" s="14">
        <v>1855.25</v>
      </c>
      <c r="H980" s="14">
        <v>1862</v>
      </c>
      <c r="I980" s="14">
        <v>1865.2</v>
      </c>
      <c r="J980" s="14">
        <v>1863.37</v>
      </c>
      <c r="K980" t="s" s="13">
        <v>5028</v>
      </c>
      <c r="L980" t="s" s="13">
        <v>5029</v>
      </c>
      <c r="M980" t="s" s="13">
        <v>5030</v>
      </c>
      <c r="N980" t="s" s="13">
        <v>5031</v>
      </c>
      <c r="O980" s="15">
        <v>56.91</v>
      </c>
      <c r="P980" s="17" cm="1">
        <f t="array" ref="P980">(I980-I979)/I979</f>
        <v>-0.0034993989581942</v>
      </c>
      <c r="Q980" s="8"/>
    </row>
    <row r="981" ht="13.65" customHeight="1">
      <c r="A981" t="s" s="27">
        <v>1294</v>
      </c>
      <c r="B981" t="s" s="13">
        <v>22</v>
      </c>
      <c r="C981" s="31">
        <v>45643</v>
      </c>
      <c r="D981" s="14">
        <v>1865.2</v>
      </c>
      <c r="E981" s="14">
        <v>1856.35</v>
      </c>
      <c r="F981" s="14">
        <v>1862.35</v>
      </c>
      <c r="G981" s="14">
        <v>1826.5</v>
      </c>
      <c r="H981" s="14">
        <v>1829.9</v>
      </c>
      <c r="I981" s="14">
        <v>1833.25</v>
      </c>
      <c r="J981" s="14">
        <v>1840.34</v>
      </c>
      <c r="K981" t="s" s="13">
        <v>5032</v>
      </c>
      <c r="L981" t="s" s="13">
        <v>5033</v>
      </c>
      <c r="M981" t="s" s="13">
        <v>5034</v>
      </c>
      <c r="N981" t="s" s="13">
        <v>5035</v>
      </c>
      <c r="O981" s="15">
        <v>56.26</v>
      </c>
      <c r="P981" s="17" cm="1">
        <f t="array" ref="P981">(I981-I980)/I980</f>
        <v>-0.0171295303452713</v>
      </c>
      <c r="Q981" s="8"/>
    </row>
    <row r="982" ht="13.65" customHeight="1">
      <c r="A982" t="s" s="27">
        <v>1294</v>
      </c>
      <c r="B982" t="s" s="13">
        <v>22</v>
      </c>
      <c r="C982" s="31">
        <v>45644</v>
      </c>
      <c r="D982" s="14">
        <v>1833.25</v>
      </c>
      <c r="E982" s="14">
        <v>1829.85</v>
      </c>
      <c r="F982" s="14">
        <v>1836</v>
      </c>
      <c r="G982" s="14">
        <v>1807.15</v>
      </c>
      <c r="H982" s="14">
        <v>1812</v>
      </c>
      <c r="I982" s="14">
        <v>1810.7</v>
      </c>
      <c r="J982" s="14">
        <v>1817.52</v>
      </c>
      <c r="K982" t="s" s="13">
        <v>5036</v>
      </c>
      <c r="L982" t="s" s="13">
        <v>5037</v>
      </c>
      <c r="M982" t="s" s="13">
        <v>5038</v>
      </c>
      <c r="N982" t="s" s="13">
        <v>5039</v>
      </c>
      <c r="O982" s="15">
        <v>68.31</v>
      </c>
      <c r="P982" s="17" cm="1">
        <f t="array" ref="P982">(I982-I981)/I981</f>
        <v>-0.0123005591163235</v>
      </c>
      <c r="Q982" s="8"/>
    </row>
    <row r="983" ht="13.65" customHeight="1">
      <c r="A983" t="s" s="27">
        <v>1294</v>
      </c>
      <c r="B983" t="s" s="13">
        <v>22</v>
      </c>
      <c r="C983" s="31">
        <v>45645</v>
      </c>
      <c r="D983" s="14">
        <v>1810.7</v>
      </c>
      <c r="E983" s="14">
        <v>1799.6</v>
      </c>
      <c r="F983" s="14">
        <v>1801.1</v>
      </c>
      <c r="G983" s="14">
        <v>1779</v>
      </c>
      <c r="H983" s="14">
        <v>1794</v>
      </c>
      <c r="I983" s="14">
        <v>1793.5</v>
      </c>
      <c r="J983" s="14">
        <v>1791.37</v>
      </c>
      <c r="K983" t="s" s="13">
        <v>5040</v>
      </c>
      <c r="L983" t="s" s="13">
        <v>5041</v>
      </c>
      <c r="M983" t="s" s="13">
        <v>5042</v>
      </c>
      <c r="N983" t="s" s="13">
        <v>5043</v>
      </c>
      <c r="O983" s="15">
        <v>68.15000000000001</v>
      </c>
      <c r="P983" s="17" cm="1">
        <f t="array" ref="P983">(I983-I982)/I982</f>
        <v>-0.009499088750207101</v>
      </c>
      <c r="Q983" s="8"/>
    </row>
    <row r="984" ht="13.65" customHeight="1">
      <c r="A984" t="s" s="27">
        <v>1294</v>
      </c>
      <c r="B984" t="s" s="13">
        <v>22</v>
      </c>
      <c r="C984" s="31">
        <v>45646</v>
      </c>
      <c r="D984" s="14">
        <v>1793.5</v>
      </c>
      <c r="E984" s="14">
        <v>1782.2</v>
      </c>
      <c r="F984" s="14">
        <v>1797.55</v>
      </c>
      <c r="G984" s="14">
        <v>1767.05</v>
      </c>
      <c r="H984" s="14">
        <v>1777.1</v>
      </c>
      <c r="I984" s="14">
        <v>1771.5</v>
      </c>
      <c r="J984" s="14">
        <v>1778.49</v>
      </c>
      <c r="K984" t="s" s="13">
        <v>5044</v>
      </c>
      <c r="L984" t="s" s="13">
        <v>5045</v>
      </c>
      <c r="M984" t="s" s="13">
        <v>5046</v>
      </c>
      <c r="N984" t="s" s="13">
        <v>5047</v>
      </c>
      <c r="O984" s="15">
        <v>59.94</v>
      </c>
      <c r="P984" s="17" cm="1">
        <f t="array" ref="P984">(I984-I983)/I983</f>
        <v>-0.0122665179816002</v>
      </c>
      <c r="Q984" s="8"/>
    </row>
    <row r="985" ht="13.65" customHeight="1">
      <c r="A985" t="s" s="27">
        <v>1294</v>
      </c>
      <c r="B985" t="s" s="13">
        <v>22</v>
      </c>
      <c r="C985" s="31">
        <v>45649</v>
      </c>
      <c r="D985" s="14">
        <v>1771.5</v>
      </c>
      <c r="E985" s="14">
        <v>1782</v>
      </c>
      <c r="F985" s="14">
        <v>1806</v>
      </c>
      <c r="G985" s="14">
        <v>1781.3</v>
      </c>
      <c r="H985" s="14">
        <v>1802</v>
      </c>
      <c r="I985" s="14">
        <v>1801</v>
      </c>
      <c r="J985" s="14">
        <v>1798.41</v>
      </c>
      <c r="K985" t="s" s="13">
        <v>5048</v>
      </c>
      <c r="L985" t="s" s="13">
        <v>5049</v>
      </c>
      <c r="M985" t="s" s="13">
        <v>5050</v>
      </c>
      <c r="N985" t="s" s="13">
        <v>5051</v>
      </c>
      <c r="O985" s="15">
        <v>54.2</v>
      </c>
      <c r="P985" s="17" cm="1">
        <f t="array" ref="P985">(I985-I984)/I984</f>
        <v>0.0166525543324866</v>
      </c>
      <c r="Q985" s="8"/>
    </row>
    <row r="986" ht="13.65" customHeight="1">
      <c r="A986" t="s" s="27">
        <v>1294</v>
      </c>
      <c r="B986" t="s" s="13">
        <v>22</v>
      </c>
      <c r="C986" s="31">
        <v>45650</v>
      </c>
      <c r="D986" s="14">
        <v>1801</v>
      </c>
      <c r="E986" s="14">
        <v>1802.05</v>
      </c>
      <c r="F986" s="14">
        <v>1808.7</v>
      </c>
      <c r="G986" s="14">
        <v>1789.55</v>
      </c>
      <c r="H986" s="14">
        <v>1799.65</v>
      </c>
      <c r="I986" s="14">
        <v>1798.1</v>
      </c>
      <c r="J986" s="14">
        <v>1798.76</v>
      </c>
      <c r="K986" t="s" s="13">
        <v>5052</v>
      </c>
      <c r="L986" t="s" s="13">
        <v>5053</v>
      </c>
      <c r="M986" t="s" s="13">
        <v>5054</v>
      </c>
      <c r="N986" t="s" s="13">
        <v>5055</v>
      </c>
      <c r="O986" s="15">
        <v>45.13</v>
      </c>
      <c r="P986" s="17" cm="1">
        <f t="array" ref="P986">(I986-I985)/I985</f>
        <v>-0.00161021654636313</v>
      </c>
      <c r="Q986" s="8"/>
    </row>
    <row r="987" ht="13.65" customHeight="1">
      <c r="A987" t="s" s="27">
        <v>1294</v>
      </c>
      <c r="B987" t="s" s="13">
        <v>22</v>
      </c>
      <c r="C987" s="31">
        <v>45652</v>
      </c>
      <c r="D987" s="14">
        <v>1798.1</v>
      </c>
      <c r="E987" s="14">
        <v>1798.55</v>
      </c>
      <c r="F987" s="14">
        <v>1812</v>
      </c>
      <c r="G987" s="14">
        <v>1780.75</v>
      </c>
      <c r="H987" s="14">
        <v>1792.5</v>
      </c>
      <c r="I987" s="14">
        <v>1790.75</v>
      </c>
      <c r="J987" s="14">
        <v>1793.76</v>
      </c>
      <c r="K987" t="s" s="13">
        <v>5056</v>
      </c>
      <c r="L987" t="s" s="13">
        <v>5057</v>
      </c>
      <c r="M987" t="s" s="13">
        <v>5058</v>
      </c>
      <c r="N987" t="s" s="13">
        <v>5059</v>
      </c>
      <c r="O987" s="15">
        <v>51.83</v>
      </c>
      <c r="P987" s="17" cm="1">
        <f t="array" ref="P987">(I987-I986)/I986</f>
        <v>-0.00408764807296591</v>
      </c>
      <c r="Q987" s="8"/>
    </row>
    <row r="988" ht="13.65" customHeight="1">
      <c r="A988" t="s" s="27">
        <v>1294</v>
      </c>
      <c r="B988" t="s" s="13">
        <v>22</v>
      </c>
      <c r="C988" s="31">
        <v>45653</v>
      </c>
      <c r="D988" s="14">
        <v>1790.75</v>
      </c>
      <c r="E988" s="14">
        <v>1794.8</v>
      </c>
      <c r="F988" s="14">
        <v>1805.95</v>
      </c>
      <c r="G988" s="14">
        <v>1789.1</v>
      </c>
      <c r="H988" s="14">
        <v>1801</v>
      </c>
      <c r="I988" s="14">
        <v>1798.25</v>
      </c>
      <c r="J988" s="14">
        <v>1796.11</v>
      </c>
      <c r="K988" t="s" s="13">
        <v>5060</v>
      </c>
      <c r="L988" t="s" s="13">
        <v>5061</v>
      </c>
      <c r="M988" t="s" s="13">
        <v>5062</v>
      </c>
      <c r="N988" t="s" s="13">
        <v>5063</v>
      </c>
      <c r="O988" s="15">
        <v>52.39</v>
      </c>
      <c r="P988" s="17" cm="1">
        <f t="array" ref="P988">(I988-I987)/I987</f>
        <v>0.00418818930615664</v>
      </c>
      <c r="Q988" s="8"/>
    </row>
    <row r="989" ht="13.65" customHeight="1">
      <c r="A989" t="s" s="27">
        <v>1294</v>
      </c>
      <c r="B989" t="s" s="13">
        <v>22</v>
      </c>
      <c r="C989" s="31">
        <v>45656</v>
      </c>
      <c r="D989" s="14">
        <v>1798.25</v>
      </c>
      <c r="E989" s="14">
        <v>1792.2</v>
      </c>
      <c r="F989" s="14">
        <v>1815</v>
      </c>
      <c r="G989" s="14">
        <v>1771</v>
      </c>
      <c r="H989" s="14">
        <v>1784</v>
      </c>
      <c r="I989" s="14">
        <v>1777.9</v>
      </c>
      <c r="J989" s="14">
        <v>1785.2</v>
      </c>
      <c r="K989" t="s" s="13">
        <v>5064</v>
      </c>
      <c r="L989" t="s" s="13">
        <v>5065</v>
      </c>
      <c r="M989" t="s" s="13">
        <v>5066</v>
      </c>
      <c r="N989" t="s" s="13">
        <v>5067</v>
      </c>
      <c r="O989" s="15">
        <v>55.67</v>
      </c>
      <c r="P989" s="17" cm="1">
        <f t="array" ref="P989">(I989-I988)/I988</f>
        <v>-0.0113165577644933</v>
      </c>
      <c r="Q989" s="8"/>
    </row>
    <row r="990" ht="13.65" customHeight="1">
      <c r="A990" t="s" s="27">
        <v>1294</v>
      </c>
      <c r="B990" t="s" s="13">
        <v>22</v>
      </c>
      <c r="C990" s="31">
        <v>45657</v>
      </c>
      <c r="D990" s="14">
        <v>1777.9</v>
      </c>
      <c r="E990" s="14">
        <v>1770.3</v>
      </c>
      <c r="F990" s="14">
        <v>1781.8</v>
      </c>
      <c r="G990" s="14">
        <v>1765.6</v>
      </c>
      <c r="H990" s="14">
        <v>1772</v>
      </c>
      <c r="I990" s="14">
        <v>1772.85</v>
      </c>
      <c r="J990" s="14">
        <v>1773.08</v>
      </c>
      <c r="K990" t="s" s="13">
        <v>5068</v>
      </c>
      <c r="L990" t="s" s="13">
        <v>5069</v>
      </c>
      <c r="M990" t="s" s="13">
        <v>5070</v>
      </c>
      <c r="N990" t="s" s="13">
        <v>5071</v>
      </c>
      <c r="O990" s="15">
        <v>60.91</v>
      </c>
      <c r="P990" s="17" cm="1">
        <f t="array" ref="P990">(I990-I989)/I989</f>
        <v>-0.00284042972045672</v>
      </c>
      <c r="Q990" s="8"/>
    </row>
    <row r="991" ht="13.65" customHeight="1">
      <c r="A991" t="s" s="27">
        <v>1294</v>
      </c>
      <c r="B991" t="s" s="13">
        <v>22</v>
      </c>
      <c r="C991" s="28">
        <v>45658</v>
      </c>
      <c r="D991" s="14">
        <v>1772.85</v>
      </c>
      <c r="E991" s="14">
        <v>1773.45</v>
      </c>
      <c r="F991" s="14">
        <v>1794</v>
      </c>
      <c r="G991" s="14">
        <v>1761.1</v>
      </c>
      <c r="H991" s="14">
        <v>1784.95</v>
      </c>
      <c r="I991" s="14">
        <v>1782.75</v>
      </c>
      <c r="J991" s="14">
        <v>1781.22</v>
      </c>
      <c r="K991" t="s" s="13">
        <v>5072</v>
      </c>
      <c r="L991" t="s" s="13">
        <v>5073</v>
      </c>
      <c r="M991" t="s" s="13">
        <v>5074</v>
      </c>
      <c r="N991" t="s" s="13">
        <v>5075</v>
      </c>
      <c r="O991" s="15">
        <v>45.02</v>
      </c>
      <c r="P991" s="17" cm="1">
        <f t="array" ref="P991">(I991-I990)/I990</f>
        <v>0.0055842287841611</v>
      </c>
      <c r="Q991" s="8"/>
    </row>
    <row r="992" ht="13.65" customHeight="1">
      <c r="A992" t="s" s="27">
        <v>1294</v>
      </c>
      <c r="B992" t="s" s="13">
        <v>22</v>
      </c>
      <c r="C992" s="28">
        <v>45659</v>
      </c>
      <c r="D992" s="14">
        <v>1782.75</v>
      </c>
      <c r="E992" s="14">
        <v>1777.1</v>
      </c>
      <c r="F992" s="14">
        <v>1803.45</v>
      </c>
      <c r="G992" s="14">
        <v>1773</v>
      </c>
      <c r="H992" s="14">
        <v>1792.35</v>
      </c>
      <c r="I992" s="14">
        <v>1793.75</v>
      </c>
      <c r="J992" s="14">
        <v>1792</v>
      </c>
      <c r="K992" t="s" s="13">
        <v>5076</v>
      </c>
      <c r="L992" t="s" s="13">
        <v>5077</v>
      </c>
      <c r="M992" t="s" s="13">
        <v>5078</v>
      </c>
      <c r="N992" t="s" s="13">
        <v>5079</v>
      </c>
      <c r="O992" s="15">
        <v>62.55</v>
      </c>
      <c r="P992" s="17" cm="1">
        <f t="array" ref="P992">(I992-I991)/I991</f>
        <v>0.00617024260272052</v>
      </c>
      <c r="Q992" s="8"/>
    </row>
    <row r="993" ht="13.65" customHeight="1">
      <c r="A993" t="s" s="27">
        <v>1294</v>
      </c>
      <c r="B993" t="s" s="13">
        <v>22</v>
      </c>
      <c r="C993" s="28">
        <v>45660</v>
      </c>
      <c r="D993" s="14">
        <v>1793.75</v>
      </c>
      <c r="E993" s="14">
        <v>1791</v>
      </c>
      <c r="F993" s="14">
        <v>1795.25</v>
      </c>
      <c r="G993" s="14">
        <v>1746.3</v>
      </c>
      <c r="H993" s="14">
        <v>1748.4</v>
      </c>
      <c r="I993" s="14">
        <v>1749.2</v>
      </c>
      <c r="J993" s="14">
        <v>1758.6</v>
      </c>
      <c r="K993" t="s" s="13">
        <v>5080</v>
      </c>
      <c r="L993" t="s" s="13">
        <v>5081</v>
      </c>
      <c r="M993" t="s" s="13">
        <v>5082</v>
      </c>
      <c r="N993" t="s" s="13">
        <v>5083</v>
      </c>
      <c r="O993" s="15">
        <v>61.02</v>
      </c>
      <c r="P993" s="17" cm="1">
        <f t="array" ref="P993">(I993-I992)/I992</f>
        <v>-0.0248362369337979</v>
      </c>
      <c r="Q993" s="8"/>
    </row>
    <row r="994" ht="13.65" customHeight="1">
      <c r="A994" t="s" s="27">
        <v>1294</v>
      </c>
      <c r="B994" t="s" s="13">
        <v>22</v>
      </c>
      <c r="C994" s="28">
        <v>45663</v>
      </c>
      <c r="D994" s="14">
        <v>1749.2</v>
      </c>
      <c r="E994" s="14">
        <v>1740.1</v>
      </c>
      <c r="F994" s="14">
        <v>1757.2</v>
      </c>
      <c r="G994" s="14">
        <v>1705.8</v>
      </c>
      <c r="H994" s="14">
        <v>1711</v>
      </c>
      <c r="I994" s="14">
        <v>1710.5</v>
      </c>
      <c r="J994" s="14">
        <v>1725.21</v>
      </c>
      <c r="K994" t="s" s="13">
        <v>5084</v>
      </c>
      <c r="L994" t="s" s="13">
        <v>5085</v>
      </c>
      <c r="M994" t="s" s="13">
        <v>5086</v>
      </c>
      <c r="N994" t="s" s="13">
        <v>5087</v>
      </c>
      <c r="O994" s="15">
        <v>59.94</v>
      </c>
      <c r="P994" s="17" cm="1">
        <f t="array" ref="P994">(I994-I993)/I993</f>
        <v>-0.0221243997255888</v>
      </c>
      <c r="Q994" s="8"/>
    </row>
    <row r="995" ht="13.65" customHeight="1">
      <c r="A995" t="s" s="27">
        <v>1294</v>
      </c>
      <c r="B995" t="s" s="13">
        <v>22</v>
      </c>
      <c r="C995" s="28">
        <v>45664</v>
      </c>
      <c r="D995" s="14">
        <v>1710.5</v>
      </c>
      <c r="E995" s="14">
        <v>1715</v>
      </c>
      <c r="F995" s="14">
        <v>1721</v>
      </c>
      <c r="G995" s="14">
        <v>1700</v>
      </c>
      <c r="H995" s="14">
        <v>1712.95</v>
      </c>
      <c r="I995" s="14">
        <v>1713.4</v>
      </c>
      <c r="J995" s="14">
        <v>1712.76</v>
      </c>
      <c r="K995" t="s" s="13">
        <v>5088</v>
      </c>
      <c r="L995" t="s" s="13">
        <v>5089</v>
      </c>
      <c r="M995" t="s" s="13">
        <v>5090</v>
      </c>
      <c r="N995" t="s" s="13">
        <v>5091</v>
      </c>
      <c r="O995" s="15">
        <v>64.75</v>
      </c>
      <c r="P995" s="17" cm="1">
        <f t="array" ref="P995">(I995-I994)/I994</f>
        <v>0.00169541069862613</v>
      </c>
      <c r="Q995" s="8"/>
    </row>
    <row r="996" ht="13.65" customHeight="1">
      <c r="A996" t="s" s="27">
        <v>1294</v>
      </c>
      <c r="B996" t="s" s="13">
        <v>22</v>
      </c>
      <c r="C996" s="28">
        <v>45665</v>
      </c>
      <c r="D996" s="14">
        <v>1713.4</v>
      </c>
      <c r="E996" s="14">
        <v>1708.25</v>
      </c>
      <c r="F996" s="14">
        <v>1711.65</v>
      </c>
      <c r="G996" s="14">
        <v>1683.35</v>
      </c>
      <c r="H996" s="14">
        <v>1694.2</v>
      </c>
      <c r="I996" s="14">
        <v>1694.3</v>
      </c>
      <c r="J996" s="14">
        <v>1694.07</v>
      </c>
      <c r="K996" t="s" s="13">
        <v>5092</v>
      </c>
      <c r="L996" t="s" s="13">
        <v>5093</v>
      </c>
      <c r="M996" t="s" s="13">
        <v>5094</v>
      </c>
      <c r="N996" t="s" s="13">
        <v>5095</v>
      </c>
      <c r="O996" s="15">
        <v>74.56999999999999</v>
      </c>
      <c r="P996" s="17" cm="1">
        <f t="array" ref="P996">(I996-I995)/I995</f>
        <v>-0.0111474261701879</v>
      </c>
      <c r="Q996" s="8"/>
    </row>
    <row r="997" ht="13.65" customHeight="1">
      <c r="A997" t="s" s="27">
        <v>1294</v>
      </c>
      <c r="B997" t="s" s="13">
        <v>22</v>
      </c>
      <c r="C997" s="28">
        <v>45666</v>
      </c>
      <c r="D997" s="14">
        <v>1694.3</v>
      </c>
      <c r="E997" s="14">
        <v>1684.15</v>
      </c>
      <c r="F997" s="14">
        <v>1689</v>
      </c>
      <c r="G997" s="14">
        <v>1658.1</v>
      </c>
      <c r="H997" s="14">
        <v>1668.8</v>
      </c>
      <c r="I997" s="14">
        <v>1667.8</v>
      </c>
      <c r="J997" s="14">
        <v>1668.1</v>
      </c>
      <c r="K997" t="s" s="13">
        <v>5096</v>
      </c>
      <c r="L997" t="s" s="13">
        <v>5097</v>
      </c>
      <c r="M997" t="s" s="13">
        <v>5098</v>
      </c>
      <c r="N997" t="s" s="13">
        <v>5099</v>
      </c>
      <c r="O997" s="15">
        <v>78.69</v>
      </c>
      <c r="P997" s="17" cm="1">
        <f t="array" ref="P997">(I997-I996)/I996</f>
        <v>-0.0156406775659564</v>
      </c>
      <c r="Q997" s="8"/>
    </row>
    <row r="998" ht="13.65" customHeight="1">
      <c r="A998" t="s" s="27">
        <v>1294</v>
      </c>
      <c r="B998" t="s" s="13">
        <v>22</v>
      </c>
      <c r="C998" s="31">
        <v>45667</v>
      </c>
      <c r="D998" s="14">
        <v>1667.8</v>
      </c>
      <c r="E998" s="14">
        <v>1671</v>
      </c>
      <c r="F998" s="14">
        <v>1674.9</v>
      </c>
      <c r="G998" s="14">
        <v>1654</v>
      </c>
      <c r="H998" s="14">
        <v>1657</v>
      </c>
      <c r="I998" s="14">
        <v>1656.75</v>
      </c>
      <c r="J998" s="14">
        <v>1664.65</v>
      </c>
      <c r="K998" t="s" s="13">
        <v>5100</v>
      </c>
      <c r="L998" t="s" s="13">
        <v>5101</v>
      </c>
      <c r="M998" t="s" s="13">
        <v>5102</v>
      </c>
      <c r="N998" t="s" s="13">
        <v>5103</v>
      </c>
      <c r="O998" s="15">
        <v>69.88</v>
      </c>
      <c r="P998" s="17" cm="1">
        <f t="array" ref="P998">(I998-I997)/I997</f>
        <v>-0.00662549466362873</v>
      </c>
      <c r="Q998" s="8"/>
    </row>
    <row r="999" ht="13.65" customHeight="1">
      <c r="A999" t="s" s="27">
        <v>1294</v>
      </c>
      <c r="B999" t="s" s="13">
        <v>22</v>
      </c>
      <c r="C999" s="31">
        <v>45670</v>
      </c>
      <c r="D999" s="14">
        <v>1656.75</v>
      </c>
      <c r="E999" s="14">
        <v>1640</v>
      </c>
      <c r="F999" s="14">
        <v>1646.75</v>
      </c>
      <c r="G999" s="14">
        <v>1624.3</v>
      </c>
      <c r="H999" s="14">
        <v>1632.1</v>
      </c>
      <c r="I999" s="14">
        <v>1630.85</v>
      </c>
      <c r="J999" s="14">
        <v>1634.5</v>
      </c>
      <c r="K999" t="s" s="13">
        <v>5104</v>
      </c>
      <c r="L999" t="s" s="13">
        <v>5105</v>
      </c>
      <c r="M999" t="s" s="13">
        <v>5106</v>
      </c>
      <c r="N999" t="s" s="13">
        <v>5107</v>
      </c>
      <c r="O999" s="15">
        <v>67.92</v>
      </c>
      <c r="P999" s="17" cm="1">
        <f t="array" ref="P999">(I999-I998)/I998</f>
        <v>-0.0156330164478648</v>
      </c>
      <c r="Q999" s="8"/>
    </row>
    <row r="1000" ht="13.65" customHeight="1">
      <c r="A1000" t="s" s="27">
        <v>1294</v>
      </c>
      <c r="B1000" t="s" s="13">
        <v>22</v>
      </c>
      <c r="C1000" s="31">
        <v>45671</v>
      </c>
      <c r="D1000" s="14">
        <v>1630.85</v>
      </c>
      <c r="E1000" s="14">
        <v>1639.9</v>
      </c>
      <c r="F1000" s="14">
        <v>1656.2</v>
      </c>
      <c r="G1000" s="14">
        <v>1637</v>
      </c>
      <c r="H1000" s="14">
        <v>1650.75</v>
      </c>
      <c r="I1000" s="14">
        <v>1646.6</v>
      </c>
      <c r="J1000" s="14">
        <v>1646.85</v>
      </c>
      <c r="K1000" t="s" s="13">
        <v>5108</v>
      </c>
      <c r="L1000" t="s" s="13">
        <v>5109</v>
      </c>
      <c r="M1000" t="s" s="13">
        <v>5110</v>
      </c>
      <c r="N1000" t="s" s="13">
        <v>5111</v>
      </c>
      <c r="O1000" s="15">
        <v>70.23</v>
      </c>
      <c r="P1000" s="17" cm="1">
        <f t="array" ref="P1000">(I1000-I999)/I999</f>
        <v>0.009657540546340869</v>
      </c>
      <c r="Q1000" s="8"/>
    </row>
    <row r="1001" ht="13.65" customHeight="1">
      <c r="A1001" t="s" s="27">
        <v>1294</v>
      </c>
      <c r="B1001" t="s" s="13">
        <v>22</v>
      </c>
      <c r="C1001" s="31">
        <v>45672</v>
      </c>
      <c r="D1001" s="14">
        <v>1646.6</v>
      </c>
      <c r="E1001" s="14">
        <v>1656.5</v>
      </c>
      <c r="F1001" s="14">
        <v>1662.7</v>
      </c>
      <c r="G1001" s="14">
        <v>1636.3</v>
      </c>
      <c r="H1001" s="14">
        <v>1645.7</v>
      </c>
      <c r="I1001" s="14">
        <v>1643.05</v>
      </c>
      <c r="J1001" s="14">
        <v>1648.56</v>
      </c>
      <c r="K1001" t="s" s="13">
        <v>5112</v>
      </c>
      <c r="L1001" t="s" s="13">
        <v>5113</v>
      </c>
      <c r="M1001" t="s" s="13">
        <v>2648</v>
      </c>
      <c r="N1001" t="s" s="13">
        <v>5114</v>
      </c>
      <c r="O1001" s="15">
        <v>64.86</v>
      </c>
      <c r="P1001" s="17" cm="1">
        <f t="array" ref="P1001">(I1001-I1000)/I1000</f>
        <v>-0.00215595773108223</v>
      </c>
      <c r="Q1001" s="8"/>
    </row>
    <row r="1002" ht="13.65" customHeight="1">
      <c r="A1002" t="s" s="27">
        <v>1294</v>
      </c>
      <c r="B1002" t="s" s="13">
        <v>22</v>
      </c>
      <c r="C1002" s="31">
        <v>45673</v>
      </c>
      <c r="D1002" s="14">
        <v>1643.05</v>
      </c>
      <c r="E1002" s="14">
        <v>1652.85</v>
      </c>
      <c r="F1002" s="14">
        <v>1660.55</v>
      </c>
      <c r="G1002" s="14">
        <v>1642.85</v>
      </c>
      <c r="H1002" s="14">
        <v>1654.85</v>
      </c>
      <c r="I1002" s="14">
        <v>1652.05</v>
      </c>
      <c r="J1002" s="14">
        <v>1650.92</v>
      </c>
      <c r="K1002" t="s" s="13">
        <v>5115</v>
      </c>
      <c r="L1002" t="s" s="13">
        <v>5116</v>
      </c>
      <c r="M1002" t="s" s="13">
        <v>5117</v>
      </c>
      <c r="N1002" t="s" s="13">
        <v>5118</v>
      </c>
      <c r="O1002" s="15">
        <v>63.92</v>
      </c>
      <c r="P1002" s="17" cm="1">
        <f t="array" ref="P1002">(I1002-I1001)/I1001</f>
        <v>0.00547761784486169</v>
      </c>
      <c r="Q1002" s="8"/>
    </row>
    <row r="1003" ht="13.65" customHeight="1">
      <c r="A1003" t="s" s="27">
        <v>1294</v>
      </c>
      <c r="B1003" t="s" s="13">
        <v>22</v>
      </c>
      <c r="C1003" s="31">
        <v>45674</v>
      </c>
      <c r="D1003" s="14">
        <v>1652.05</v>
      </c>
      <c r="E1003" s="14">
        <v>1643.5</v>
      </c>
      <c r="F1003" s="14">
        <v>1650.5</v>
      </c>
      <c r="G1003" s="14">
        <v>1628.5</v>
      </c>
      <c r="H1003" s="14">
        <v>1636.7</v>
      </c>
      <c r="I1003" s="14">
        <v>1636.75</v>
      </c>
      <c r="J1003" s="14">
        <v>1636.01</v>
      </c>
      <c r="K1003" t="s" s="13">
        <v>5119</v>
      </c>
      <c r="L1003" t="s" s="13">
        <v>5120</v>
      </c>
      <c r="M1003" t="s" s="13">
        <v>5121</v>
      </c>
      <c r="N1003" t="s" s="13">
        <v>5122</v>
      </c>
      <c r="O1003" s="15">
        <v>72.33</v>
      </c>
      <c r="P1003" s="17" cm="1">
        <f t="array" ref="P1003">(I1003-I1002)/I1002</f>
        <v>-0.00926122090735753</v>
      </c>
      <c r="Q1003" s="8"/>
    </row>
    <row r="1004" ht="13.65" customHeight="1">
      <c r="A1004" t="s" s="27">
        <v>1294</v>
      </c>
      <c r="B1004" t="s" s="13">
        <v>22</v>
      </c>
      <c r="C1004" s="31">
        <v>45677</v>
      </c>
      <c r="D1004" s="14">
        <v>1636.75</v>
      </c>
      <c r="E1004" s="14">
        <v>1626</v>
      </c>
      <c r="F1004" s="14">
        <v>1660.95</v>
      </c>
      <c r="G1004" s="14">
        <v>1626</v>
      </c>
      <c r="H1004" s="14">
        <v>1652.85</v>
      </c>
      <c r="I1004" s="14">
        <v>1651.25</v>
      </c>
      <c r="J1004" s="14">
        <v>1646.81</v>
      </c>
      <c r="K1004" t="s" s="13">
        <v>5123</v>
      </c>
      <c r="L1004" t="s" s="13">
        <v>5124</v>
      </c>
      <c r="M1004" t="s" s="13">
        <v>5125</v>
      </c>
      <c r="N1004" t="s" s="13">
        <v>5126</v>
      </c>
      <c r="O1004" s="15">
        <v>67.94</v>
      </c>
      <c r="P1004" s="17" cm="1">
        <f t="array" ref="P1004">(I1004-I1003)/I1003</f>
        <v>0.008859019398197649</v>
      </c>
      <c r="Q1004" s="8"/>
    </row>
    <row r="1005" ht="13.65" customHeight="1">
      <c r="A1005" t="s" s="27">
        <v>1294</v>
      </c>
      <c r="B1005" t="s" s="13">
        <v>22</v>
      </c>
      <c r="C1005" s="31">
        <v>45678</v>
      </c>
      <c r="D1005" s="14">
        <v>1651.25</v>
      </c>
      <c r="E1005" s="14">
        <v>1658.25</v>
      </c>
      <c r="F1005" s="14">
        <v>1661.05</v>
      </c>
      <c r="G1005" s="14">
        <v>1633.05</v>
      </c>
      <c r="H1005" s="14">
        <v>1645.75</v>
      </c>
      <c r="I1005" s="14">
        <v>1642.4</v>
      </c>
      <c r="J1005" s="14">
        <v>1645.24</v>
      </c>
      <c r="K1005" t="s" s="13">
        <v>5127</v>
      </c>
      <c r="L1005" t="s" s="13">
        <v>5128</v>
      </c>
      <c r="M1005" t="s" s="13">
        <v>5129</v>
      </c>
      <c r="N1005" t="s" s="13">
        <v>5130</v>
      </c>
      <c r="O1005" s="15">
        <v>46.29</v>
      </c>
      <c r="P1005" s="17" cm="1">
        <f t="array" ref="P1005">(I1005-I1004)/I1004</f>
        <v>-0.00535957607872824</v>
      </c>
      <c r="Q1005" s="8"/>
    </row>
    <row r="1006" ht="13.65" customHeight="1">
      <c r="A1006" t="s" s="27">
        <v>1294</v>
      </c>
      <c r="B1006" t="s" s="13">
        <v>22</v>
      </c>
      <c r="C1006" s="31">
        <v>45679</v>
      </c>
      <c r="D1006" s="14">
        <v>1642.4</v>
      </c>
      <c r="E1006" s="14">
        <v>1642.4</v>
      </c>
      <c r="F1006" s="14">
        <v>1671.9</v>
      </c>
      <c r="G1006" s="14">
        <v>1625.45</v>
      </c>
      <c r="H1006" s="14">
        <v>1671.9</v>
      </c>
      <c r="I1006" s="14">
        <v>1666.05</v>
      </c>
      <c r="J1006" s="14">
        <v>1653.85</v>
      </c>
      <c r="K1006" t="s" s="13">
        <v>5131</v>
      </c>
      <c r="L1006" t="s" s="13">
        <v>5132</v>
      </c>
      <c r="M1006" t="s" s="13">
        <v>5133</v>
      </c>
      <c r="N1006" t="s" s="13">
        <v>5134</v>
      </c>
      <c r="O1006" s="15">
        <v>50.28</v>
      </c>
      <c r="P1006" s="17" cm="1">
        <f t="array" ref="P1006">(I1006-I1005)/I1005</f>
        <v>0.0143996590355577</v>
      </c>
      <c r="Q1006" s="8"/>
    </row>
    <row r="1007" ht="13.65" customHeight="1">
      <c r="A1007" t="s" s="27">
        <v>1294</v>
      </c>
      <c r="B1007" t="s" s="13">
        <v>22</v>
      </c>
      <c r="C1007" s="31">
        <v>45680</v>
      </c>
      <c r="D1007" s="14">
        <v>1666.05</v>
      </c>
      <c r="E1007" s="14">
        <v>1687</v>
      </c>
      <c r="F1007" s="14">
        <v>1687</v>
      </c>
      <c r="G1007" s="14">
        <v>1651.25</v>
      </c>
      <c r="H1007" s="14">
        <v>1665</v>
      </c>
      <c r="I1007" s="14">
        <v>1664.9</v>
      </c>
      <c r="J1007" s="14">
        <v>1665.84</v>
      </c>
      <c r="K1007" t="s" s="13">
        <v>5135</v>
      </c>
      <c r="L1007" t="s" s="13">
        <v>5136</v>
      </c>
      <c r="M1007" t="s" s="13">
        <v>5137</v>
      </c>
      <c r="N1007" t="s" s="13">
        <v>5138</v>
      </c>
      <c r="O1007" s="15">
        <v>68.02</v>
      </c>
      <c r="P1007" s="17" cm="1">
        <f t="array" ref="P1007">(I1007-I1006)/I1006</f>
        <v>-0.000690255394495964</v>
      </c>
      <c r="Q1007" s="8"/>
    </row>
    <row r="1008" ht="13.65" customHeight="1">
      <c r="A1008" t="s" s="27">
        <v>1294</v>
      </c>
      <c r="B1008" t="s" s="13">
        <v>22</v>
      </c>
      <c r="C1008" s="31">
        <v>45681</v>
      </c>
      <c r="D1008" s="14">
        <v>1664.9</v>
      </c>
      <c r="E1008" s="14">
        <v>1660</v>
      </c>
      <c r="F1008" s="14">
        <v>1670.3</v>
      </c>
      <c r="G1008" s="14">
        <v>1644.5</v>
      </c>
      <c r="H1008" s="14">
        <v>1645</v>
      </c>
      <c r="I1008" s="14">
        <v>1649.8</v>
      </c>
      <c r="J1008" s="14">
        <v>1658.68</v>
      </c>
      <c r="K1008" t="s" s="13">
        <v>5139</v>
      </c>
      <c r="L1008" t="s" s="13">
        <v>5140</v>
      </c>
      <c r="M1008" t="s" s="13">
        <v>5141</v>
      </c>
      <c r="N1008" t="s" s="13">
        <v>5142</v>
      </c>
      <c r="O1008" s="15">
        <v>74.7</v>
      </c>
      <c r="P1008" s="17" cm="1">
        <f t="array" ref="P1008">(I1008-I1007)/I1007</f>
        <v>-0.00906961379061806</v>
      </c>
      <c r="Q1008" s="8"/>
    </row>
    <row r="1009" ht="13.65" customHeight="1">
      <c r="A1009" t="s" s="27">
        <v>1294</v>
      </c>
      <c r="B1009" t="s" s="13">
        <v>22</v>
      </c>
      <c r="C1009" s="31">
        <v>45684</v>
      </c>
      <c r="D1009" s="14">
        <v>1649.8</v>
      </c>
      <c r="E1009" s="14">
        <v>1641.1</v>
      </c>
      <c r="F1009" s="14">
        <v>1643.6</v>
      </c>
      <c r="G1009" s="14">
        <v>1626</v>
      </c>
      <c r="H1009" s="14">
        <v>1629.5</v>
      </c>
      <c r="I1009" s="14">
        <v>1629.8</v>
      </c>
      <c r="J1009" s="14">
        <v>1632.37</v>
      </c>
      <c r="K1009" t="s" s="13">
        <v>5143</v>
      </c>
      <c r="L1009" t="s" s="13">
        <v>5144</v>
      </c>
      <c r="M1009" t="s" s="13">
        <v>5145</v>
      </c>
      <c r="N1009" t="s" s="13">
        <v>5146</v>
      </c>
      <c r="O1009" s="15">
        <v>74.95</v>
      </c>
      <c r="P1009" s="17" cm="1">
        <f t="array" ref="P1009">(I1009-I1008)/I1008</f>
        <v>-0.012122681537156</v>
      </c>
      <c r="Q1009" s="8"/>
    </row>
    <row r="1010" ht="13.65" customHeight="1">
      <c r="A1010" t="s" s="27">
        <v>1294</v>
      </c>
      <c r="B1010" t="s" s="13">
        <v>22</v>
      </c>
      <c r="C1010" s="31">
        <v>45685</v>
      </c>
      <c r="D1010" s="14">
        <v>1629.8</v>
      </c>
      <c r="E1010" s="14">
        <v>1647</v>
      </c>
      <c r="F1010" s="14">
        <v>1684.3</v>
      </c>
      <c r="G1010" s="14">
        <v>1647</v>
      </c>
      <c r="H1010" s="14">
        <v>1673.3</v>
      </c>
      <c r="I1010" s="14">
        <v>1670.4</v>
      </c>
      <c r="J1010" s="14">
        <v>1670.57</v>
      </c>
      <c r="K1010" t="s" s="13">
        <v>5147</v>
      </c>
      <c r="L1010" t="s" s="13">
        <v>5148</v>
      </c>
      <c r="M1010" t="s" s="13">
        <v>5149</v>
      </c>
      <c r="N1010" t="s" s="13">
        <v>5150</v>
      </c>
      <c r="O1010" s="15">
        <v>56.84</v>
      </c>
      <c r="P1010" s="17" cm="1">
        <f t="array" ref="P1010">(I1010-I1009)/I1009</f>
        <v>0.0249110320284698</v>
      </c>
      <c r="Q1010" s="8"/>
    </row>
    <row r="1011" ht="13.65" customHeight="1">
      <c r="A1011" t="s" s="27">
        <v>1294</v>
      </c>
      <c r="B1011" t="s" s="13">
        <v>22</v>
      </c>
      <c r="C1011" s="31">
        <v>45686</v>
      </c>
      <c r="D1011" s="14">
        <v>1670.4</v>
      </c>
      <c r="E1011" s="14">
        <v>1675</v>
      </c>
      <c r="F1011" s="14">
        <v>1681.15</v>
      </c>
      <c r="G1011" s="14">
        <v>1668.85</v>
      </c>
      <c r="H1011" s="14">
        <v>1676</v>
      </c>
      <c r="I1011" s="14">
        <v>1677.3</v>
      </c>
      <c r="J1011" s="14">
        <v>1675.45</v>
      </c>
      <c r="K1011" t="s" s="13">
        <v>5151</v>
      </c>
      <c r="L1011" t="s" s="13">
        <v>5152</v>
      </c>
      <c r="M1011" t="s" s="13">
        <v>5153</v>
      </c>
      <c r="N1011" t="s" s="13">
        <v>5154</v>
      </c>
      <c r="O1011" s="15">
        <v>68.89</v>
      </c>
      <c r="P1011" s="17" cm="1">
        <f t="array" ref="P1011">(I1011-I1010)/I1010</f>
        <v>0.00413074712643678</v>
      </c>
      <c r="Q1011" s="8"/>
    </row>
    <row r="1012" ht="13.65" customHeight="1">
      <c r="A1012" t="s" s="27">
        <v>1294</v>
      </c>
      <c r="B1012" t="s" s="13">
        <v>22</v>
      </c>
      <c r="C1012" s="31">
        <v>45687</v>
      </c>
      <c r="D1012" s="14">
        <v>1677.3</v>
      </c>
      <c r="E1012" s="14">
        <v>1681</v>
      </c>
      <c r="F1012" s="14">
        <v>1697.9</v>
      </c>
      <c r="G1012" s="14">
        <v>1672.55</v>
      </c>
      <c r="H1012" s="14">
        <v>1693.1</v>
      </c>
      <c r="I1012" s="14">
        <v>1691.5</v>
      </c>
      <c r="J1012" s="14">
        <v>1685.73</v>
      </c>
      <c r="K1012" t="s" s="13">
        <v>5155</v>
      </c>
      <c r="L1012" t="s" s="13">
        <v>5156</v>
      </c>
      <c r="M1012" t="s" s="13">
        <v>5157</v>
      </c>
      <c r="N1012" t="s" s="13">
        <v>5158</v>
      </c>
      <c r="O1012" s="15">
        <v>56.15</v>
      </c>
      <c r="P1012" s="17" cm="1">
        <f t="array" ref="P1012">(I1012-I1011)/I1011</f>
        <v>0.008465987002921361</v>
      </c>
      <c r="Q1012" s="8"/>
    </row>
    <row r="1013" ht="13.65" customHeight="1">
      <c r="A1013" t="s" s="27">
        <v>1294</v>
      </c>
      <c r="B1013" t="s" s="13">
        <v>22</v>
      </c>
      <c r="C1013" s="31">
        <v>45688</v>
      </c>
      <c r="D1013" s="14">
        <v>1691.5</v>
      </c>
      <c r="E1013" s="14">
        <v>1687.25</v>
      </c>
      <c r="F1013" s="14">
        <v>1704.7</v>
      </c>
      <c r="G1013" s="14">
        <v>1683.95</v>
      </c>
      <c r="H1013" s="14">
        <v>1699.5</v>
      </c>
      <c r="I1013" s="14">
        <v>1698.75</v>
      </c>
      <c r="J1013" s="14">
        <v>1696.52</v>
      </c>
      <c r="K1013" t="s" s="13">
        <v>5159</v>
      </c>
      <c r="L1013" t="s" s="13">
        <v>5160</v>
      </c>
      <c r="M1013" t="s" s="13">
        <v>5161</v>
      </c>
      <c r="N1013" t="s" s="13">
        <v>5162</v>
      </c>
      <c r="O1013" s="15">
        <v>70.08</v>
      </c>
      <c r="P1013" s="17" cm="1">
        <f t="array" ref="P1013">(I1013-I1012)/I1012</f>
        <v>0.00428613656517884</v>
      </c>
      <c r="Q1013" s="8"/>
    </row>
    <row r="1014" ht="13.65" customHeight="1">
      <c r="A1014" t="s" s="27">
        <v>1294</v>
      </c>
      <c r="B1014" t="s" s="13">
        <v>22</v>
      </c>
      <c r="C1014" s="28">
        <v>45689</v>
      </c>
      <c r="D1014" s="14">
        <v>1698.75</v>
      </c>
      <c r="E1014" s="14">
        <v>1697.5</v>
      </c>
      <c r="F1014" s="14">
        <v>1713</v>
      </c>
      <c r="G1014" s="14">
        <v>1676.05</v>
      </c>
      <c r="H1014" s="14">
        <v>1692</v>
      </c>
      <c r="I1014" s="14">
        <v>1690.95</v>
      </c>
      <c r="J1014" s="14">
        <v>1694.22</v>
      </c>
      <c r="K1014" t="s" s="13">
        <v>5163</v>
      </c>
      <c r="L1014" t="s" s="13">
        <v>5164</v>
      </c>
      <c r="M1014" s="34">
        <v>88839</v>
      </c>
      <c r="N1014" t="s" s="13">
        <v>5165</v>
      </c>
      <c r="O1014" s="15">
        <v>37.2</v>
      </c>
      <c r="P1014" s="17" cm="1">
        <f t="array" ref="P1014">(I1014-I1013)/I1013</f>
        <v>-0.0045916114790287</v>
      </c>
      <c r="Q1014" s="8"/>
    </row>
    <row r="1015" ht="13.65" customHeight="1">
      <c r="A1015" t="s" s="27">
        <v>1294</v>
      </c>
      <c r="B1015" t="s" s="13">
        <v>22</v>
      </c>
      <c r="C1015" s="28">
        <v>45691</v>
      </c>
      <c r="D1015" s="14">
        <v>1690.95</v>
      </c>
      <c r="E1015" s="14">
        <v>1670</v>
      </c>
      <c r="F1015" s="14">
        <v>1686.8</v>
      </c>
      <c r="G1015" s="14">
        <v>1663.45</v>
      </c>
      <c r="H1015" s="14">
        <v>1679.6</v>
      </c>
      <c r="I1015" s="14">
        <v>1678</v>
      </c>
      <c r="J1015" s="14">
        <v>1679.49</v>
      </c>
      <c r="K1015" t="s" s="13">
        <v>5166</v>
      </c>
      <c r="L1015" t="s" s="13">
        <v>5167</v>
      </c>
      <c r="M1015" t="s" s="13">
        <v>5168</v>
      </c>
      <c r="N1015" t="s" s="13">
        <v>5169</v>
      </c>
      <c r="O1015" s="15">
        <v>77.86</v>
      </c>
      <c r="P1015" s="17" cm="1">
        <f t="array" ref="P1015">(I1015-I1014)/I1014</f>
        <v>-0.00765841686625861</v>
      </c>
      <c r="Q1015" s="8"/>
    </row>
    <row r="1016" ht="13.65" customHeight="1">
      <c r="A1016" t="s" s="27">
        <v>1294</v>
      </c>
      <c r="B1016" t="s" s="13">
        <v>22</v>
      </c>
      <c r="C1016" s="28">
        <v>45692</v>
      </c>
      <c r="D1016" s="14">
        <v>1678</v>
      </c>
      <c r="E1016" s="14">
        <v>1688.7</v>
      </c>
      <c r="F1016" s="14">
        <v>1725.8</v>
      </c>
      <c r="G1016" s="14">
        <v>1680.05</v>
      </c>
      <c r="H1016" s="14">
        <v>1716.3</v>
      </c>
      <c r="I1016" s="14">
        <v>1720.9</v>
      </c>
      <c r="J1016" s="14">
        <v>1710.93</v>
      </c>
      <c r="K1016" t="s" s="13">
        <v>5170</v>
      </c>
      <c r="L1016" t="s" s="13">
        <v>5171</v>
      </c>
      <c r="M1016" t="s" s="13">
        <v>5172</v>
      </c>
      <c r="N1016" t="s" s="13">
        <v>5173</v>
      </c>
      <c r="O1016" s="15">
        <v>71.98999999999999</v>
      </c>
      <c r="P1016" s="17" cm="1">
        <f t="array" ref="P1016">(I1016-I1015)/I1015</f>
        <v>0.0255661501787843</v>
      </c>
      <c r="Q1016" s="8"/>
    </row>
    <row r="1017" ht="13.65" customHeight="1">
      <c r="A1017" t="s" s="27">
        <v>1294</v>
      </c>
      <c r="B1017" t="s" s="13">
        <v>22</v>
      </c>
      <c r="C1017" s="28">
        <v>45693</v>
      </c>
      <c r="D1017" s="14">
        <v>1720.9</v>
      </c>
      <c r="E1017" s="14">
        <v>1733</v>
      </c>
      <c r="F1017" s="14">
        <v>1744.2</v>
      </c>
      <c r="G1017" s="14">
        <v>1718.9</v>
      </c>
      <c r="H1017" s="14">
        <v>1734.8</v>
      </c>
      <c r="I1017" s="14">
        <v>1737.8</v>
      </c>
      <c r="J1017" s="14">
        <v>1733.84</v>
      </c>
      <c r="K1017" t="s" s="13">
        <v>5174</v>
      </c>
      <c r="L1017" t="s" s="13">
        <v>5175</v>
      </c>
      <c r="M1017" t="s" s="13">
        <v>5176</v>
      </c>
      <c r="N1017" t="s" s="13">
        <v>5177</v>
      </c>
      <c r="O1017" s="15">
        <v>79.62</v>
      </c>
      <c r="P1017" s="17" cm="1">
        <f t="array" ref="P1017">(I1017-I1016)/I1016</f>
        <v>0.00982044279156255</v>
      </c>
      <c r="Q1017" s="8"/>
    </row>
    <row r="1018" ht="13.65" customHeight="1">
      <c r="A1018" t="s" s="27">
        <v>1294</v>
      </c>
      <c r="B1018" t="s" s="13">
        <v>22</v>
      </c>
      <c r="C1018" s="28">
        <v>45694</v>
      </c>
      <c r="D1018" s="14">
        <v>1737.8</v>
      </c>
      <c r="E1018" s="14">
        <v>1735.5</v>
      </c>
      <c r="F1018" s="14">
        <v>1749</v>
      </c>
      <c r="G1018" s="14">
        <v>1724</v>
      </c>
      <c r="H1018" s="14">
        <v>1746.5</v>
      </c>
      <c r="I1018" s="14">
        <v>1743.85</v>
      </c>
      <c r="J1018" s="14">
        <v>1735.75</v>
      </c>
      <c r="K1018" t="s" s="13">
        <v>5178</v>
      </c>
      <c r="L1018" t="s" s="13">
        <v>5179</v>
      </c>
      <c r="M1018" t="s" s="13">
        <v>5180</v>
      </c>
      <c r="N1018" t="s" s="13">
        <v>5181</v>
      </c>
      <c r="O1018" s="15">
        <v>64.98</v>
      </c>
      <c r="P1018" s="17" cm="1">
        <f t="array" ref="P1018">(I1018-I1017)/I1017</f>
        <v>0.00348141328116009</v>
      </c>
      <c r="Q1018" s="8"/>
    </row>
    <row r="1019" ht="13.65" customHeight="1">
      <c r="A1019" t="s" s="27">
        <v>1294</v>
      </c>
      <c r="B1019" t="s" s="13">
        <v>22</v>
      </c>
      <c r="C1019" s="28">
        <v>45695</v>
      </c>
      <c r="D1019" s="14">
        <v>1743.85</v>
      </c>
      <c r="E1019" s="14">
        <v>1750</v>
      </c>
      <c r="F1019" s="14">
        <v>1767</v>
      </c>
      <c r="G1019" s="14">
        <v>1725</v>
      </c>
      <c r="H1019" s="14">
        <v>1732</v>
      </c>
      <c r="I1019" s="14">
        <v>1732.75</v>
      </c>
      <c r="J1019" s="14">
        <v>1744.99</v>
      </c>
      <c r="K1019" t="s" s="13">
        <v>5182</v>
      </c>
      <c r="L1019" t="s" s="13">
        <v>5183</v>
      </c>
      <c r="M1019" t="s" s="13">
        <v>5184</v>
      </c>
      <c r="N1019" t="s" s="13">
        <v>5185</v>
      </c>
      <c r="O1019" s="15">
        <v>67.76000000000001</v>
      </c>
      <c r="P1019" s="17" cm="1">
        <f t="array" ref="P1019">(I1019-I1018)/I1018</f>
        <v>-0.0063652263669467</v>
      </c>
      <c r="Q1019" s="8"/>
    </row>
    <row r="1020" ht="13.65" customHeight="1">
      <c r="A1020" t="s" s="27">
        <v>1294</v>
      </c>
      <c r="B1020" t="s" s="13">
        <v>22</v>
      </c>
      <c r="C1020" s="31">
        <v>45698</v>
      </c>
      <c r="D1020" s="14">
        <v>1732.75</v>
      </c>
      <c r="E1020" s="14">
        <v>1717.3</v>
      </c>
      <c r="F1020" s="14">
        <v>1723.45</v>
      </c>
      <c r="G1020" s="14">
        <v>1708.5</v>
      </c>
      <c r="H1020" s="14">
        <v>1716.6</v>
      </c>
      <c r="I1020" s="14">
        <v>1715.75</v>
      </c>
      <c r="J1020" s="14">
        <v>1715.57</v>
      </c>
      <c r="K1020" t="s" s="13">
        <v>5186</v>
      </c>
      <c r="L1020" t="s" s="13">
        <v>5187</v>
      </c>
      <c r="M1020" t="s" s="13">
        <v>5188</v>
      </c>
      <c r="N1020" t="s" s="13">
        <v>5189</v>
      </c>
      <c r="O1020" s="15">
        <v>74.03</v>
      </c>
      <c r="P1020" s="17" cm="1">
        <f t="array" ref="P1020">(I1020-I1019)/I1019</f>
        <v>-0.00981099408454768</v>
      </c>
      <c r="Q1020" s="8"/>
    </row>
    <row r="1021" ht="13.65" customHeight="1">
      <c r="A1021" t="s" s="27">
        <v>1294</v>
      </c>
      <c r="B1021" t="s" s="13">
        <v>22</v>
      </c>
      <c r="C1021" s="31">
        <v>45699</v>
      </c>
      <c r="D1021" s="14">
        <v>1715.75</v>
      </c>
      <c r="E1021" s="14">
        <v>1703</v>
      </c>
      <c r="F1021" s="14">
        <v>1711</v>
      </c>
      <c r="G1021" s="14">
        <v>1688.7</v>
      </c>
      <c r="H1021" s="14">
        <v>1700.95</v>
      </c>
      <c r="I1021" s="14">
        <v>1701.4</v>
      </c>
      <c r="J1021" s="14">
        <v>1700.06</v>
      </c>
      <c r="K1021" t="s" s="13">
        <v>5190</v>
      </c>
      <c r="L1021" t="s" s="13">
        <v>5191</v>
      </c>
      <c r="M1021" t="s" s="13">
        <v>5192</v>
      </c>
      <c r="N1021" t="s" s="13">
        <v>5193</v>
      </c>
      <c r="O1021" s="15">
        <v>68.70999999999999</v>
      </c>
      <c r="P1021" s="17" cm="1">
        <f t="array" ref="P1021">(I1021-I1020)/I1020</f>
        <v>-0.008363689348681329</v>
      </c>
      <c r="Q1021" s="8"/>
    </row>
    <row r="1022" ht="13.65" customHeight="1">
      <c r="A1022" t="s" s="27">
        <v>1294</v>
      </c>
      <c r="B1022" t="s" s="13">
        <v>22</v>
      </c>
      <c r="C1022" s="31">
        <v>45700</v>
      </c>
      <c r="D1022" s="14">
        <v>1701.4</v>
      </c>
      <c r="E1022" s="14">
        <v>1693</v>
      </c>
      <c r="F1022" s="14">
        <v>1712</v>
      </c>
      <c r="G1022" s="14">
        <v>1681.2</v>
      </c>
      <c r="H1022" s="14">
        <v>1710.65</v>
      </c>
      <c r="I1022" s="14">
        <v>1706.8</v>
      </c>
      <c r="J1022" s="14">
        <v>1696.59</v>
      </c>
      <c r="K1022" t="s" s="13">
        <v>5194</v>
      </c>
      <c r="L1022" t="s" s="13">
        <v>5195</v>
      </c>
      <c r="M1022" t="s" s="13">
        <v>5196</v>
      </c>
      <c r="N1022" t="s" s="13">
        <v>5197</v>
      </c>
      <c r="O1022" s="15">
        <v>71.31999999999999</v>
      </c>
      <c r="P1022" s="17" cm="1">
        <f t="array" ref="P1022">(I1022-I1021)/I1021</f>
        <v>0.00317385682379217</v>
      </c>
      <c r="Q1022" s="8"/>
    </row>
    <row r="1023" ht="13.65" customHeight="1">
      <c r="A1023" t="s" s="27">
        <v>1294</v>
      </c>
      <c r="B1023" t="s" s="13">
        <v>22</v>
      </c>
      <c r="C1023" s="31">
        <v>45701</v>
      </c>
      <c r="D1023" s="14">
        <v>1706.8</v>
      </c>
      <c r="E1023" s="14">
        <v>1699</v>
      </c>
      <c r="F1023" s="14">
        <v>1714.25</v>
      </c>
      <c r="G1023" s="14">
        <v>1693.55</v>
      </c>
      <c r="H1023" s="14">
        <v>1698.95</v>
      </c>
      <c r="I1023" s="14">
        <v>1697.7</v>
      </c>
      <c r="J1023" s="14">
        <v>1702.88</v>
      </c>
      <c r="K1023" t="s" s="13">
        <v>5198</v>
      </c>
      <c r="L1023" t="s" s="13">
        <v>5199</v>
      </c>
      <c r="M1023" t="s" s="13">
        <v>5200</v>
      </c>
      <c r="N1023" t="s" s="13">
        <v>5201</v>
      </c>
      <c r="O1023" s="15">
        <v>56.82</v>
      </c>
      <c r="P1023" s="17" cm="1">
        <f t="array" ref="P1023">(I1023-I1022)/I1022</f>
        <v>-0.00533161471760019</v>
      </c>
      <c r="Q1023" s="8"/>
    </row>
    <row r="1024" ht="13.65" customHeight="1">
      <c r="A1024" t="s" s="27">
        <v>1294</v>
      </c>
      <c r="B1024" t="s" s="13">
        <v>22</v>
      </c>
      <c r="C1024" s="31">
        <v>45702</v>
      </c>
      <c r="D1024" s="14">
        <v>1697.7</v>
      </c>
      <c r="E1024" s="14">
        <v>1701.9</v>
      </c>
      <c r="F1024" s="14">
        <v>1701.9</v>
      </c>
      <c r="G1024" s="14">
        <v>1680</v>
      </c>
      <c r="H1024" s="14">
        <v>1694.4</v>
      </c>
      <c r="I1024" s="14">
        <v>1694.85</v>
      </c>
      <c r="J1024" s="14">
        <v>1690.46</v>
      </c>
      <c r="K1024" t="s" s="13">
        <v>5202</v>
      </c>
      <c r="L1024" t="s" s="13">
        <v>5203</v>
      </c>
      <c r="M1024" t="s" s="13">
        <v>5204</v>
      </c>
      <c r="N1024" t="s" s="13">
        <v>5205</v>
      </c>
      <c r="O1024" s="15">
        <v>78.20999999999999</v>
      </c>
      <c r="P1024" s="17" cm="1">
        <f t="array" ref="P1024">(I1024-I1023)/I1023</f>
        <v>-0.00167874182717795</v>
      </c>
      <c r="Q1024" s="8"/>
    </row>
    <row r="1025" ht="13.65" customHeight="1">
      <c r="A1025" t="s" s="27">
        <v>1294</v>
      </c>
      <c r="B1025" t="s" s="13">
        <v>22</v>
      </c>
      <c r="C1025" s="31">
        <v>45705</v>
      </c>
      <c r="D1025" s="14">
        <v>1694.85</v>
      </c>
      <c r="E1025" s="14">
        <v>1685.2</v>
      </c>
      <c r="F1025" s="14">
        <v>1720</v>
      </c>
      <c r="G1025" s="14">
        <v>1681.25</v>
      </c>
      <c r="H1025" s="14">
        <v>1719</v>
      </c>
      <c r="I1025" s="14">
        <v>1717.35</v>
      </c>
      <c r="J1025" s="14">
        <v>1702.14</v>
      </c>
      <c r="K1025" t="s" s="13">
        <v>5206</v>
      </c>
      <c r="L1025" t="s" s="13">
        <v>5207</v>
      </c>
      <c r="M1025" t="s" s="13">
        <v>5208</v>
      </c>
      <c r="N1025" t="s" s="13">
        <v>5209</v>
      </c>
      <c r="O1025" s="15">
        <v>64.95</v>
      </c>
      <c r="P1025" s="17" cm="1">
        <f t="array" ref="P1025">(I1025-I1024)/I1024</f>
        <v>0.0132755111071776</v>
      </c>
      <c r="Q1025" s="8"/>
    </row>
    <row r="1026" ht="13.65" customHeight="1">
      <c r="A1026" t="s" s="27">
        <v>1294</v>
      </c>
      <c r="B1026" t="s" s="13">
        <v>22</v>
      </c>
      <c r="C1026" s="31">
        <v>45706</v>
      </c>
      <c r="D1026" s="14">
        <v>1717.35</v>
      </c>
      <c r="E1026" s="14">
        <v>1713.05</v>
      </c>
      <c r="F1026" s="14">
        <v>1731.55</v>
      </c>
      <c r="G1026" s="14">
        <v>1706.15</v>
      </c>
      <c r="H1026" s="14">
        <v>1723</v>
      </c>
      <c r="I1026" s="14">
        <v>1723.05</v>
      </c>
      <c r="J1026" s="14">
        <v>1721.09</v>
      </c>
      <c r="K1026" t="s" s="13">
        <v>5210</v>
      </c>
      <c r="L1026" t="s" s="13">
        <v>5211</v>
      </c>
      <c r="M1026" t="s" s="13">
        <v>5212</v>
      </c>
      <c r="N1026" t="s" s="13">
        <v>5213</v>
      </c>
      <c r="O1026" s="15">
        <v>72.11</v>
      </c>
      <c r="P1026" s="17" cm="1">
        <f t="array" ref="P1026">(I1026-I1025)/I1025</f>
        <v>0.0033190671674382</v>
      </c>
      <c r="Q1026" s="8"/>
    </row>
    <row r="1027" ht="13.65" customHeight="1">
      <c r="A1027" t="s" s="27">
        <v>1294</v>
      </c>
      <c r="B1027" t="s" s="13">
        <v>22</v>
      </c>
      <c r="C1027" s="31">
        <v>45707</v>
      </c>
      <c r="D1027" s="14">
        <v>1723.05</v>
      </c>
      <c r="E1027" s="14">
        <v>1717</v>
      </c>
      <c r="F1027" s="14">
        <v>1737.9</v>
      </c>
      <c r="G1027" s="14">
        <v>1712.45</v>
      </c>
      <c r="H1027" s="14">
        <v>1725.05</v>
      </c>
      <c r="I1027" s="14">
        <v>1727.2</v>
      </c>
      <c r="J1027" s="14">
        <v>1727.42</v>
      </c>
      <c r="K1027" t="s" s="13">
        <v>5214</v>
      </c>
      <c r="L1027" t="s" s="13">
        <v>5215</v>
      </c>
      <c r="M1027" t="s" s="13">
        <v>5216</v>
      </c>
      <c r="N1027" t="s" s="13">
        <v>5217</v>
      </c>
      <c r="O1027" s="15">
        <v>67.78</v>
      </c>
      <c r="P1027" s="17" cm="1">
        <f t="array" ref="P1027">(I1027-I1026)/I1026</f>
        <v>0.00240851977597864</v>
      </c>
      <c r="Q1027" s="8"/>
    </row>
    <row r="1028" ht="13.65" customHeight="1">
      <c r="A1028" t="s" s="27">
        <v>1294</v>
      </c>
      <c r="B1028" t="s" s="13">
        <v>22</v>
      </c>
      <c r="C1028" s="31">
        <v>45708</v>
      </c>
      <c r="D1028" s="14">
        <v>1727.2</v>
      </c>
      <c r="E1028" s="14">
        <v>1711</v>
      </c>
      <c r="F1028" s="14">
        <v>1714.7</v>
      </c>
      <c r="G1028" s="14">
        <v>1685.3</v>
      </c>
      <c r="H1028" s="14">
        <v>1685.95</v>
      </c>
      <c r="I1028" s="14">
        <v>1687.1</v>
      </c>
      <c r="J1028" s="14">
        <v>1695.04</v>
      </c>
      <c r="K1028" t="s" s="13">
        <v>5218</v>
      </c>
      <c r="L1028" t="s" s="13">
        <v>5219</v>
      </c>
      <c r="M1028" t="s" s="13">
        <v>5220</v>
      </c>
      <c r="N1028" t="s" s="13">
        <v>5221</v>
      </c>
      <c r="O1028" s="15">
        <v>71.2</v>
      </c>
      <c r="P1028" s="17" cm="1">
        <f t="array" ref="P1028">(I1028-I1027)/I1027</f>
        <v>-0.0232167670217693</v>
      </c>
      <c r="Q1028" s="8"/>
    </row>
    <row r="1029" ht="13.65" customHeight="1">
      <c r="A1029" t="s" s="27">
        <v>1294</v>
      </c>
      <c r="B1029" t="s" s="13">
        <v>22</v>
      </c>
      <c r="C1029" s="31">
        <v>45709</v>
      </c>
      <c r="D1029" s="14">
        <v>1687.1</v>
      </c>
      <c r="E1029" s="14">
        <v>1680.9</v>
      </c>
      <c r="F1029" s="14">
        <v>1694.95</v>
      </c>
      <c r="G1029" s="14">
        <v>1677.25</v>
      </c>
      <c r="H1029" s="14">
        <v>1690</v>
      </c>
      <c r="I1029" s="14">
        <v>1692.5</v>
      </c>
      <c r="J1029" s="14">
        <v>1686.23</v>
      </c>
      <c r="K1029" t="s" s="13">
        <v>5222</v>
      </c>
      <c r="L1029" t="s" s="13">
        <v>5223</v>
      </c>
      <c r="M1029" t="s" s="13">
        <v>5224</v>
      </c>
      <c r="N1029" t="s" s="13">
        <v>5225</v>
      </c>
      <c r="O1029" s="15">
        <v>67.36</v>
      </c>
      <c r="P1029" s="17" cm="1">
        <f t="array" ref="P1029">(I1029-I1028)/I1028</f>
        <v>0.00320075869835813</v>
      </c>
      <c r="Q1029" s="8"/>
    </row>
    <row r="1030" ht="13.65" customHeight="1">
      <c r="A1030" t="s" s="27">
        <v>1294</v>
      </c>
      <c r="B1030" t="s" s="13">
        <v>22</v>
      </c>
      <c r="C1030" s="31">
        <v>45712</v>
      </c>
      <c r="D1030" s="14">
        <v>1692.5</v>
      </c>
      <c r="E1030" s="14">
        <v>1681.1</v>
      </c>
      <c r="F1030" s="14">
        <v>1684.2</v>
      </c>
      <c r="G1030" s="14">
        <v>1661.1</v>
      </c>
      <c r="H1030" s="14">
        <v>1677</v>
      </c>
      <c r="I1030" s="14">
        <v>1677.1</v>
      </c>
      <c r="J1030" s="14">
        <v>1672.34</v>
      </c>
      <c r="K1030" t="s" s="13">
        <v>5226</v>
      </c>
      <c r="L1030" t="s" s="13">
        <v>5227</v>
      </c>
      <c r="M1030" t="s" s="13">
        <v>5228</v>
      </c>
      <c r="N1030" t="s" s="13">
        <v>5229</v>
      </c>
      <c r="O1030" s="15">
        <v>74.8</v>
      </c>
      <c r="P1030" s="17" cm="1">
        <f t="array" ref="P1030">(I1030-I1029)/I1029</f>
        <v>-0.00909896602658789</v>
      </c>
      <c r="Q1030" s="8"/>
    </row>
    <row r="1031" ht="13.65" customHeight="1">
      <c r="A1031" t="s" s="27">
        <v>1294</v>
      </c>
      <c r="B1031" t="s" s="13">
        <v>22</v>
      </c>
      <c r="C1031" s="31">
        <v>45713</v>
      </c>
      <c r="D1031" s="14">
        <v>1677.1</v>
      </c>
      <c r="E1031" s="14">
        <v>1671.1</v>
      </c>
      <c r="F1031" s="14">
        <v>1688</v>
      </c>
      <c r="G1031" s="14">
        <v>1671.1</v>
      </c>
      <c r="H1031" s="14">
        <v>1680.85</v>
      </c>
      <c r="I1031" s="14">
        <v>1682.35</v>
      </c>
      <c r="J1031" s="14">
        <v>1681.8</v>
      </c>
      <c r="K1031" t="s" s="13">
        <v>5230</v>
      </c>
      <c r="L1031" t="s" s="13">
        <v>5231</v>
      </c>
      <c r="M1031" t="s" s="13">
        <v>5232</v>
      </c>
      <c r="N1031" t="s" s="13">
        <v>5233</v>
      </c>
      <c r="O1031" s="15">
        <v>59.16</v>
      </c>
      <c r="P1031" s="17" cm="1">
        <f t="array" ref="P1031">(I1031-I1030)/I1030</f>
        <v>0.00313040367300698</v>
      </c>
      <c r="Q1031" s="8"/>
    </row>
    <row r="1032" ht="13.65" customHeight="1">
      <c r="A1032" t="s" s="27">
        <v>1294</v>
      </c>
      <c r="B1032" t="s" s="13">
        <v>22</v>
      </c>
      <c r="C1032" s="31">
        <v>45715</v>
      </c>
      <c r="D1032" s="14">
        <v>1682.35</v>
      </c>
      <c r="E1032" s="14">
        <v>1682.55</v>
      </c>
      <c r="F1032" s="14">
        <v>1710.75</v>
      </c>
      <c r="G1032" s="14">
        <v>1682.55</v>
      </c>
      <c r="H1032" s="14">
        <v>1698.25</v>
      </c>
      <c r="I1032" s="14">
        <v>1700.7</v>
      </c>
      <c r="J1032" s="14">
        <v>1701.04</v>
      </c>
      <c r="K1032" t="s" s="13">
        <v>5234</v>
      </c>
      <c r="L1032" t="s" s="13">
        <v>5235</v>
      </c>
      <c r="M1032" t="s" s="13">
        <v>5236</v>
      </c>
      <c r="N1032" t="s" s="13">
        <v>5237</v>
      </c>
      <c r="O1032" s="15">
        <v>74.04000000000001</v>
      </c>
      <c r="P1032" s="17" cm="1">
        <f t="array" ref="P1032">(I1032-I1031)/I1031</f>
        <v>0.0109073617261569</v>
      </c>
      <c r="Q1032" s="8"/>
    </row>
    <row r="1033" ht="13.65" customHeight="1">
      <c r="A1033" t="s" s="27">
        <v>1294</v>
      </c>
      <c r="B1033" t="s" s="13">
        <v>22</v>
      </c>
      <c r="C1033" s="31">
        <v>45716</v>
      </c>
      <c r="D1033" s="14">
        <v>1700.7</v>
      </c>
      <c r="E1033" s="14">
        <v>1685</v>
      </c>
      <c r="F1033" s="14">
        <v>1737.25</v>
      </c>
      <c r="G1033" s="14">
        <v>1685</v>
      </c>
      <c r="H1033" s="14">
        <v>1730.15</v>
      </c>
      <c r="I1033" s="14">
        <v>1732.4</v>
      </c>
      <c r="J1033" s="14">
        <v>1721.14</v>
      </c>
      <c r="K1033" t="s" s="13">
        <v>5238</v>
      </c>
      <c r="L1033" t="s" s="13">
        <v>5239</v>
      </c>
      <c r="M1033" t="s" s="13">
        <v>5240</v>
      </c>
      <c r="N1033" t="s" s="13">
        <v>5241</v>
      </c>
      <c r="O1033" s="15">
        <v>71.72</v>
      </c>
      <c r="P1033" s="17" cm="1">
        <f t="array" ref="P1033">(I1033-I1032)/I1032</f>
        <v>0.0186393837831481</v>
      </c>
      <c r="Q1033" s="8"/>
    </row>
    <row r="1034" ht="13.65" customHeight="1">
      <c r="A1034" t="s" s="27">
        <v>1294</v>
      </c>
      <c r="B1034" t="s" s="13">
        <v>22</v>
      </c>
      <c r="C1034" s="28">
        <v>45719</v>
      </c>
      <c r="D1034" s="14">
        <v>1732.4</v>
      </c>
      <c r="E1034" s="14">
        <v>1739.8</v>
      </c>
      <c r="F1034" s="14">
        <v>1743.05</v>
      </c>
      <c r="G1034" s="14">
        <v>1694.1</v>
      </c>
      <c r="H1034" s="14">
        <v>1703.55</v>
      </c>
      <c r="I1034" s="14">
        <v>1701.55</v>
      </c>
      <c r="J1034" s="14">
        <v>1709.27</v>
      </c>
      <c r="K1034" t="s" s="13">
        <v>5242</v>
      </c>
      <c r="L1034" t="s" s="13">
        <v>5243</v>
      </c>
      <c r="M1034" t="s" s="13">
        <v>5244</v>
      </c>
      <c r="N1034" t="s" s="13">
        <v>5245</v>
      </c>
      <c r="O1034" s="15">
        <v>67.67</v>
      </c>
      <c r="P1034" s="17" cm="1">
        <f t="array" ref="P1034">(I1034-I1033)/I1033</f>
        <v>-0.0178076656661279</v>
      </c>
      <c r="Q1034" s="8"/>
    </row>
    <row r="1035" ht="13.65" customHeight="1">
      <c r="A1035" t="s" s="27">
        <v>1294</v>
      </c>
      <c r="B1035" t="s" s="13">
        <v>22</v>
      </c>
      <c r="C1035" s="28">
        <v>45720</v>
      </c>
      <c r="D1035" s="14">
        <v>1701.55</v>
      </c>
      <c r="E1035" s="14">
        <v>1698</v>
      </c>
      <c r="F1035" s="14">
        <v>1714.3</v>
      </c>
      <c r="G1035" s="14">
        <v>1693.25</v>
      </c>
      <c r="H1035" s="14">
        <v>1711.3</v>
      </c>
      <c r="I1035" s="14">
        <v>1710</v>
      </c>
      <c r="J1035" s="14">
        <v>1706.3</v>
      </c>
      <c r="K1035" t="s" s="13">
        <v>5246</v>
      </c>
      <c r="L1035" t="s" s="13">
        <v>5247</v>
      </c>
      <c r="M1035" t="s" s="13">
        <v>5248</v>
      </c>
      <c r="N1035" t="s" s="13">
        <v>5249</v>
      </c>
      <c r="O1035" s="15">
        <v>73.06</v>
      </c>
      <c r="P1035" s="17" cm="1">
        <f t="array" ref="P1035">(I1035-I1034)/I1034</f>
        <v>0.00496606035673357</v>
      </c>
      <c r="Q1035" s="8"/>
    </row>
    <row r="1036" ht="13.65" customHeight="1">
      <c r="A1036" t="s" s="27">
        <v>1294</v>
      </c>
      <c r="B1036" t="s" s="13">
        <v>22</v>
      </c>
      <c r="C1036" s="28">
        <v>45721</v>
      </c>
      <c r="D1036" s="14">
        <v>1710</v>
      </c>
      <c r="E1036" s="14">
        <v>1701.95</v>
      </c>
      <c r="F1036" s="14">
        <v>1710.8</v>
      </c>
      <c r="G1036" s="14">
        <v>1688.25</v>
      </c>
      <c r="H1036" s="14">
        <v>1692.1</v>
      </c>
      <c r="I1036" s="14">
        <v>1690</v>
      </c>
      <c r="J1036" s="14">
        <v>1695.97</v>
      </c>
      <c r="K1036" t="s" s="13">
        <v>5250</v>
      </c>
      <c r="L1036" t="s" s="13">
        <v>5251</v>
      </c>
      <c r="M1036" t="s" s="13">
        <v>5252</v>
      </c>
      <c r="N1036" t="s" s="13">
        <v>5253</v>
      </c>
      <c r="O1036" s="15">
        <v>71.89</v>
      </c>
      <c r="P1036" s="17" cm="1">
        <f t="array" ref="P1036">(I1036-I1035)/I1035</f>
        <v>-0.0116959064327485</v>
      </c>
      <c r="Q1036" s="8"/>
    </row>
    <row r="1037" ht="13.65" customHeight="1">
      <c r="A1037" t="s" s="27">
        <v>1294</v>
      </c>
      <c r="B1037" t="s" s="13">
        <v>22</v>
      </c>
      <c r="C1037" s="28">
        <v>45722</v>
      </c>
      <c r="D1037" s="14">
        <v>1690</v>
      </c>
      <c r="E1037" s="14">
        <v>1687</v>
      </c>
      <c r="F1037" s="14">
        <v>1699.9</v>
      </c>
      <c r="G1037" s="14">
        <v>1672.25</v>
      </c>
      <c r="H1037" s="14">
        <v>1692.4</v>
      </c>
      <c r="I1037" s="14">
        <v>1691.2</v>
      </c>
      <c r="J1037" s="14">
        <v>1686.14</v>
      </c>
      <c r="K1037" t="s" s="13">
        <v>5254</v>
      </c>
      <c r="L1037" t="s" s="13">
        <v>5255</v>
      </c>
      <c r="M1037" t="s" s="13">
        <v>5256</v>
      </c>
      <c r="N1037" t="s" s="13">
        <v>5257</v>
      </c>
      <c r="O1037" s="15">
        <v>60.9</v>
      </c>
      <c r="P1037" s="17" cm="1">
        <f t="array" ref="P1037">(I1037-I1036)/I1036</f>
        <v>0.000710059171597633</v>
      </c>
      <c r="Q1037" s="8"/>
    </row>
    <row r="1038" ht="13.65" customHeight="1">
      <c r="A1038" t="s" s="27">
        <v>1294</v>
      </c>
      <c r="B1038" t="s" s="13">
        <v>22</v>
      </c>
      <c r="C1038" s="28">
        <v>45723</v>
      </c>
      <c r="D1038" s="14">
        <v>1691.2</v>
      </c>
      <c r="E1038" s="14">
        <v>1682</v>
      </c>
      <c r="F1038" s="14">
        <v>1701.15</v>
      </c>
      <c r="G1038" s="14">
        <v>1677.6</v>
      </c>
      <c r="H1038" s="14">
        <v>1688</v>
      </c>
      <c r="I1038" s="14">
        <v>1689.25</v>
      </c>
      <c r="J1038" s="14">
        <v>1690.66</v>
      </c>
      <c r="K1038" t="s" s="13">
        <v>5258</v>
      </c>
      <c r="L1038" t="s" s="13">
        <v>5259</v>
      </c>
      <c r="M1038" t="s" s="13">
        <v>5260</v>
      </c>
      <c r="N1038" t="s" s="13">
        <v>5261</v>
      </c>
      <c r="O1038" s="15">
        <v>64.81</v>
      </c>
      <c r="P1038" s="17" cm="1">
        <f t="array" ref="P1038">(I1038-I1037)/I1037</f>
        <v>-0.00115302743614002</v>
      </c>
      <c r="Q1038" s="8"/>
    </row>
    <row r="1039" ht="13.65" customHeight="1">
      <c r="A1039" t="s" s="27">
        <v>1294</v>
      </c>
      <c r="B1039" t="s" s="13">
        <v>22</v>
      </c>
      <c r="C1039" s="31">
        <v>45726</v>
      </c>
      <c r="D1039" s="14">
        <v>1689.25</v>
      </c>
      <c r="E1039" s="14">
        <v>1689</v>
      </c>
      <c r="F1039" s="14">
        <v>1699.9</v>
      </c>
      <c r="G1039" s="14">
        <v>1683.05</v>
      </c>
      <c r="H1039" s="14">
        <v>1688.7</v>
      </c>
      <c r="I1039" s="14">
        <v>1687.5</v>
      </c>
      <c r="J1039" s="14">
        <v>1689.67</v>
      </c>
      <c r="K1039" t="s" s="13">
        <v>5262</v>
      </c>
      <c r="L1039" t="s" s="13">
        <v>5263</v>
      </c>
      <c r="M1039" t="s" s="13">
        <v>5264</v>
      </c>
      <c r="N1039" t="s" s="13">
        <v>5265</v>
      </c>
      <c r="O1039" s="15">
        <v>73.89</v>
      </c>
      <c r="P1039" s="17" cm="1">
        <f t="array" ref="P1039">(I1039-I1038)/I1038</f>
        <v>-0.00103596270534261</v>
      </c>
      <c r="Q1039" s="8"/>
    </row>
    <row r="1040" ht="13.65" customHeight="1">
      <c r="A1040" t="s" s="27">
        <v>1294</v>
      </c>
      <c r="B1040" t="s" s="13">
        <v>22</v>
      </c>
      <c r="C1040" s="31">
        <v>45727</v>
      </c>
      <c r="D1040" s="14">
        <v>1687.5</v>
      </c>
      <c r="E1040" s="14">
        <v>1682.4</v>
      </c>
      <c r="F1040" s="14">
        <v>1694</v>
      </c>
      <c r="G1040" s="14">
        <v>1670.05</v>
      </c>
      <c r="H1040" s="14">
        <v>1687.9</v>
      </c>
      <c r="I1040" s="14">
        <v>1685.5</v>
      </c>
      <c r="J1040" s="14">
        <v>1685.65</v>
      </c>
      <c r="K1040" t="s" s="13">
        <v>5266</v>
      </c>
      <c r="L1040" t="s" s="13">
        <v>5267</v>
      </c>
      <c r="M1040" t="s" s="13">
        <v>5268</v>
      </c>
      <c r="N1040" t="s" s="13">
        <v>5269</v>
      </c>
      <c r="O1040" s="15">
        <v>71.06999999999999</v>
      </c>
      <c r="P1040" s="17" cm="1">
        <f t="array" ref="P1040">(I1040-I1039)/I1039</f>
        <v>-0.00118518518518519</v>
      </c>
      <c r="Q1040" s="8"/>
    </row>
    <row r="1041" ht="13.65" customHeight="1">
      <c r="A1041" t="s" s="27">
        <v>1294</v>
      </c>
      <c r="B1041" t="s" s="13">
        <v>22</v>
      </c>
      <c r="C1041" s="31">
        <v>45728</v>
      </c>
      <c r="D1041" s="14">
        <v>1685.5</v>
      </c>
      <c r="E1041" s="14">
        <v>1691.55</v>
      </c>
      <c r="F1041" s="14">
        <v>1718.5</v>
      </c>
      <c r="G1041" s="14">
        <v>1691.55</v>
      </c>
      <c r="H1041" s="14">
        <v>1711.8</v>
      </c>
      <c r="I1041" s="14">
        <v>1711.15</v>
      </c>
      <c r="J1041" s="14">
        <v>1710.44</v>
      </c>
      <c r="K1041" t="s" s="13">
        <v>5270</v>
      </c>
      <c r="L1041" t="s" s="13">
        <v>5271</v>
      </c>
      <c r="M1041" t="s" s="13">
        <v>5272</v>
      </c>
      <c r="N1041" t="s" s="13">
        <v>5273</v>
      </c>
      <c r="O1041" s="15">
        <v>72.2</v>
      </c>
      <c r="P1041" s="17" cm="1">
        <f t="array" ref="P1041">(I1041-I1040)/I1040</f>
        <v>0.0152180361910412</v>
      </c>
      <c r="Q1041" s="8"/>
    </row>
    <row r="1042" ht="13.65" customHeight="1">
      <c r="A1042" t="s" s="27">
        <v>1294</v>
      </c>
      <c r="B1042" t="s" s="13">
        <v>22</v>
      </c>
      <c r="C1042" s="31">
        <v>45729</v>
      </c>
      <c r="D1042" s="14">
        <v>1711.15</v>
      </c>
      <c r="E1042" s="14">
        <v>1716.05</v>
      </c>
      <c r="F1042" s="14">
        <v>1720.8</v>
      </c>
      <c r="G1042" s="14">
        <v>1700.05</v>
      </c>
      <c r="H1042" s="14">
        <v>1705</v>
      </c>
      <c r="I1042" s="14">
        <v>1706.6</v>
      </c>
      <c r="J1042" s="14">
        <v>1711.11</v>
      </c>
      <c r="K1042" t="s" s="13">
        <v>5274</v>
      </c>
      <c r="L1042" t="s" s="13">
        <v>5275</v>
      </c>
      <c r="M1042" t="s" s="13">
        <v>5276</v>
      </c>
      <c r="N1042" t="s" s="13">
        <v>5277</v>
      </c>
      <c r="O1042" s="15">
        <v>66.58</v>
      </c>
      <c r="P1042" s="17" cm="1">
        <f t="array" ref="P1042">(I1042-I1041)/I1041</f>
        <v>-0.00265903047658008</v>
      </c>
      <c r="Q1042" s="8"/>
    </row>
    <row r="1043" ht="13.65" customHeight="1">
      <c r="A1043" t="s" s="27">
        <v>1294</v>
      </c>
      <c r="B1043" t="s" s="13">
        <v>22</v>
      </c>
      <c r="C1043" s="31">
        <v>45733</v>
      </c>
      <c r="D1043" s="14">
        <v>1706.6</v>
      </c>
      <c r="E1043" s="14">
        <v>1705</v>
      </c>
      <c r="F1043" s="14">
        <v>1724</v>
      </c>
      <c r="G1043" s="14">
        <v>1705</v>
      </c>
      <c r="H1043" s="14">
        <v>1710.5</v>
      </c>
      <c r="I1043" s="14">
        <v>1710.4</v>
      </c>
      <c r="J1043" s="14">
        <v>1711.13</v>
      </c>
      <c r="K1043" t="s" s="13">
        <v>5278</v>
      </c>
      <c r="L1043" t="s" s="13">
        <v>5279</v>
      </c>
      <c r="M1043" t="s" s="13">
        <v>5280</v>
      </c>
      <c r="N1043" t="s" s="13">
        <v>5281</v>
      </c>
      <c r="O1043" s="15">
        <v>75.04000000000001</v>
      </c>
      <c r="P1043" s="17" cm="1">
        <f t="array" ref="P1043">(I1043-I1042)/I1042</f>
        <v>0.00222664947849525</v>
      </c>
      <c r="Q1043" s="8"/>
    </row>
    <row r="1044" ht="13.65" customHeight="1">
      <c r="A1044" t="s" s="27">
        <v>1294</v>
      </c>
      <c r="B1044" t="s" s="13">
        <v>22</v>
      </c>
      <c r="C1044" s="31">
        <v>45734</v>
      </c>
      <c r="D1044" s="14">
        <v>1710.4</v>
      </c>
      <c r="E1044" s="14">
        <v>1728</v>
      </c>
      <c r="F1044" s="14">
        <v>1737.4</v>
      </c>
      <c r="G1044" s="14">
        <v>1715.05</v>
      </c>
      <c r="H1044" s="14">
        <v>1735.6</v>
      </c>
      <c r="I1044" s="14">
        <v>1732.2</v>
      </c>
      <c r="J1044" s="14">
        <v>1729.28</v>
      </c>
      <c r="K1044" t="s" s="13">
        <v>5282</v>
      </c>
      <c r="L1044" t="s" s="13">
        <v>5283</v>
      </c>
      <c r="M1044" t="s" s="13">
        <v>5284</v>
      </c>
      <c r="N1044" t="s" s="13">
        <v>5285</v>
      </c>
      <c r="O1044" s="15">
        <v>62.4</v>
      </c>
      <c r="P1044" s="17" cm="1">
        <f t="array" ref="P1044">(I1044-I1043)/I1043</f>
        <v>0.0127455565949486</v>
      </c>
      <c r="Q1044" s="8"/>
    </row>
    <row r="1045" ht="13.65" customHeight="1">
      <c r="A1045" t="s" s="27">
        <v>1294</v>
      </c>
      <c r="B1045" t="s" s="13">
        <v>22</v>
      </c>
      <c r="C1045" s="31">
        <v>45735</v>
      </c>
      <c r="D1045" s="14">
        <v>1732.2</v>
      </c>
      <c r="E1045" s="14">
        <v>1735</v>
      </c>
      <c r="F1045" s="14">
        <v>1751</v>
      </c>
      <c r="G1045" s="14">
        <v>1732.2</v>
      </c>
      <c r="H1045" s="14">
        <v>1743.95</v>
      </c>
      <c r="I1045" s="14">
        <v>1744.1</v>
      </c>
      <c r="J1045" s="14">
        <v>1743.72</v>
      </c>
      <c r="K1045" t="s" s="13">
        <v>5286</v>
      </c>
      <c r="L1045" t="s" s="13">
        <v>5287</v>
      </c>
      <c r="M1045" t="s" s="13">
        <v>5288</v>
      </c>
      <c r="N1045" t="s" s="13">
        <v>5289</v>
      </c>
      <c r="O1045" s="15">
        <v>76.37</v>
      </c>
      <c r="P1045" s="17" cm="1">
        <f t="array" ref="P1045">(I1045-I1044)/I1044</f>
        <v>0.00686987645768387</v>
      </c>
      <c r="Q1045" s="8"/>
    </row>
    <row r="1046" ht="13.65" customHeight="1">
      <c r="A1046" t="s" s="27">
        <v>1294</v>
      </c>
      <c r="B1046" t="s" s="13">
        <v>22</v>
      </c>
      <c r="C1046" s="31">
        <v>45736</v>
      </c>
      <c r="D1046" s="14">
        <v>1744.1</v>
      </c>
      <c r="E1046" s="14">
        <v>1754</v>
      </c>
      <c r="F1046" s="14">
        <v>1774</v>
      </c>
      <c r="G1046" s="14">
        <v>1749.3</v>
      </c>
      <c r="H1046" s="14">
        <v>1766.6</v>
      </c>
      <c r="I1046" s="14">
        <v>1768.75</v>
      </c>
      <c r="J1046" s="14">
        <v>1760.62</v>
      </c>
      <c r="K1046" t="s" s="13">
        <v>5290</v>
      </c>
      <c r="L1046" t="s" s="13">
        <v>5291</v>
      </c>
      <c r="M1046" t="s" s="13">
        <v>5292</v>
      </c>
      <c r="N1046" t="s" s="13">
        <v>5293</v>
      </c>
      <c r="O1046" s="15">
        <v>66.22</v>
      </c>
      <c r="P1046" s="17" cm="1">
        <f t="array" ref="P1046">(I1046-I1045)/I1045</f>
        <v>0.0141333639126197</v>
      </c>
      <c r="Q1046" s="8"/>
    </row>
    <row r="1047" ht="13.65" customHeight="1">
      <c r="A1047" t="s" s="27">
        <v>1294</v>
      </c>
      <c r="B1047" t="s" s="13">
        <v>22</v>
      </c>
      <c r="C1047" s="31">
        <v>45737</v>
      </c>
      <c r="D1047" s="14">
        <v>1768.75</v>
      </c>
      <c r="E1047" s="14">
        <v>1755.55</v>
      </c>
      <c r="F1047" s="14">
        <v>1774.1</v>
      </c>
      <c r="G1047" s="14">
        <v>1755.55</v>
      </c>
      <c r="H1047" s="14">
        <v>1772.5</v>
      </c>
      <c r="I1047" s="14">
        <v>1770.35</v>
      </c>
      <c r="J1047" s="14">
        <v>1766.98</v>
      </c>
      <c r="K1047" t="s" s="13">
        <v>5294</v>
      </c>
      <c r="L1047" t="s" s="13">
        <v>5295</v>
      </c>
      <c r="M1047" t="s" s="13">
        <v>5296</v>
      </c>
      <c r="N1047" t="s" s="13">
        <v>5297</v>
      </c>
      <c r="O1047" s="15">
        <v>76.69</v>
      </c>
      <c r="P1047" s="17" cm="1">
        <f t="array" ref="P1047">(I1047-I1046)/I1046</f>
        <v>0.000904593639575972</v>
      </c>
      <c r="Q1047" s="8"/>
    </row>
    <row r="1048" ht="13.65" customHeight="1">
      <c r="A1048" t="s" s="27">
        <v>1294</v>
      </c>
      <c r="B1048" t="s" s="13">
        <v>22</v>
      </c>
      <c r="C1048" s="31">
        <v>45740</v>
      </c>
      <c r="D1048" s="14">
        <v>1770.35</v>
      </c>
      <c r="E1048" s="14">
        <v>1779</v>
      </c>
      <c r="F1048" s="14">
        <v>1804.4</v>
      </c>
      <c r="G1048" s="14">
        <v>1773.65</v>
      </c>
      <c r="H1048" s="14">
        <v>1802.8</v>
      </c>
      <c r="I1048" s="14">
        <v>1800</v>
      </c>
      <c r="J1048" s="14">
        <v>1794.28</v>
      </c>
      <c r="K1048" t="s" s="13">
        <v>5298</v>
      </c>
      <c r="L1048" t="s" s="13">
        <v>5299</v>
      </c>
      <c r="M1048" t="s" s="13">
        <v>5300</v>
      </c>
      <c r="N1048" t="s" s="13">
        <v>5301</v>
      </c>
      <c r="O1048" s="15">
        <v>66.31</v>
      </c>
      <c r="P1048" s="17" cm="1">
        <f t="array" ref="P1048">(I1048-I1047)/I1047</f>
        <v>0.016748100658062</v>
      </c>
      <c r="Q1048" s="8"/>
    </row>
    <row r="1049" ht="13.65" customHeight="1">
      <c r="A1049" t="s" s="27">
        <v>1294</v>
      </c>
      <c r="B1049" t="s" s="13">
        <v>22</v>
      </c>
      <c r="C1049" s="31">
        <v>45741</v>
      </c>
      <c r="D1049" s="14">
        <v>1800</v>
      </c>
      <c r="E1049" s="14">
        <v>1804.9</v>
      </c>
      <c r="F1049" s="14">
        <v>1843.7</v>
      </c>
      <c r="G1049" s="14">
        <v>1801.5</v>
      </c>
      <c r="H1049" s="14">
        <v>1816</v>
      </c>
      <c r="I1049" s="14">
        <v>1821.45</v>
      </c>
      <c r="J1049" s="14">
        <v>1825.84</v>
      </c>
      <c r="K1049" t="s" s="13">
        <v>5302</v>
      </c>
      <c r="L1049" t="s" s="13">
        <v>5303</v>
      </c>
      <c r="M1049" t="s" s="13">
        <v>5304</v>
      </c>
      <c r="N1049" t="s" s="13">
        <v>5305</v>
      </c>
      <c r="O1049" s="15">
        <v>61.25</v>
      </c>
      <c r="P1049" s="17" cm="1">
        <f t="array" ref="P1049">(I1049-I1048)/I1048</f>
        <v>0.0119166666666667</v>
      </c>
      <c r="Q1049" s="8"/>
    </row>
    <row r="1050" ht="13.65" customHeight="1">
      <c r="A1050" t="s" s="27">
        <v>1294</v>
      </c>
      <c r="B1050" t="s" s="13">
        <v>22</v>
      </c>
      <c r="C1050" s="31">
        <v>45742</v>
      </c>
      <c r="D1050" s="14">
        <v>1821.45</v>
      </c>
      <c r="E1050" s="14">
        <v>1825</v>
      </c>
      <c r="F1050" s="14">
        <v>1827.5</v>
      </c>
      <c r="G1050" s="14">
        <v>1802</v>
      </c>
      <c r="H1050" s="14">
        <v>1803</v>
      </c>
      <c r="I1050" s="14">
        <v>1806.55</v>
      </c>
      <c r="J1050" s="14">
        <v>1814.11</v>
      </c>
      <c r="K1050" t="s" s="13">
        <v>5306</v>
      </c>
      <c r="L1050" t="s" s="13">
        <v>5307</v>
      </c>
      <c r="M1050" t="s" s="13">
        <v>5308</v>
      </c>
      <c r="N1050" t="s" s="13">
        <v>5309</v>
      </c>
      <c r="O1050" s="15">
        <v>71.76000000000001</v>
      </c>
      <c r="P1050" s="17" cm="1">
        <f t="array" ref="P1050">(I1050-I1049)/I1049</f>
        <v>-0.008180295918087241</v>
      </c>
      <c r="Q1050" s="8"/>
    </row>
    <row r="1051" ht="13.65" customHeight="1">
      <c r="A1051" t="s" s="27">
        <v>1294</v>
      </c>
      <c r="B1051" t="s" s="13">
        <v>22</v>
      </c>
      <c r="C1051" s="31">
        <v>45743</v>
      </c>
      <c r="D1051" s="14">
        <v>1806.55</v>
      </c>
      <c r="E1051" s="14">
        <v>1800</v>
      </c>
      <c r="F1051" s="14">
        <v>1841</v>
      </c>
      <c r="G1051" s="14">
        <v>1798.1</v>
      </c>
      <c r="H1051" s="14">
        <v>1821.2</v>
      </c>
      <c r="I1051" s="14">
        <v>1825.35</v>
      </c>
      <c r="J1051" s="14">
        <v>1827.55</v>
      </c>
      <c r="K1051" t="s" s="13">
        <v>5310</v>
      </c>
      <c r="L1051" t="s" s="13">
        <v>5311</v>
      </c>
      <c r="M1051" t="s" s="13">
        <v>5312</v>
      </c>
      <c r="N1051" t="s" s="13">
        <v>5313</v>
      </c>
      <c r="O1051" s="15">
        <v>71.13</v>
      </c>
      <c r="P1051" s="17" cm="1">
        <f t="array" ref="P1051">(I1051-I1050)/I1050</f>
        <v>0.0104065760704105</v>
      </c>
      <c r="Q1051" s="8"/>
    </row>
    <row r="1052" ht="13.65" customHeight="1">
      <c r="A1052" t="s" s="27">
        <v>1294</v>
      </c>
      <c r="B1052" t="s" s="13">
        <v>22</v>
      </c>
      <c r="C1052" s="31">
        <v>45744</v>
      </c>
      <c r="D1052" s="14">
        <v>1825.35</v>
      </c>
      <c r="E1052" s="14">
        <v>1829</v>
      </c>
      <c r="F1052" s="14">
        <v>1836</v>
      </c>
      <c r="G1052" s="14">
        <v>1805.85</v>
      </c>
      <c r="H1052" s="14">
        <v>1825.5</v>
      </c>
      <c r="I1052" s="14">
        <v>1828.2</v>
      </c>
      <c r="J1052" s="14">
        <v>1821.88</v>
      </c>
      <c r="K1052" t="s" s="13">
        <v>5314</v>
      </c>
      <c r="L1052" t="s" s="13">
        <v>5315</v>
      </c>
      <c r="M1052" t="s" s="13">
        <v>5316</v>
      </c>
      <c r="N1052" t="s" s="13">
        <v>5317</v>
      </c>
      <c r="O1052" s="15">
        <v>71.8</v>
      </c>
      <c r="P1052" s="17" cm="1">
        <f t="array" ref="P1052">(I1052-I1051)/I1051</f>
        <v>0.00156134439970417</v>
      </c>
      <c r="Q1052" s="8"/>
    </row>
    <row r="1053" ht="13.65" customHeight="1">
      <c r="A1053" t="s" s="27">
        <v>1294</v>
      </c>
      <c r="B1053" t="s" s="13">
        <v>22</v>
      </c>
      <c r="C1053" s="28">
        <v>45748</v>
      </c>
      <c r="D1053" s="14">
        <v>1828.2</v>
      </c>
      <c r="E1053" s="14">
        <v>1802</v>
      </c>
      <c r="F1053" s="14">
        <v>1809.9</v>
      </c>
      <c r="G1053" s="14">
        <v>1765.35</v>
      </c>
      <c r="H1053" s="14">
        <v>1769.9</v>
      </c>
      <c r="I1053" s="14">
        <v>1767.85</v>
      </c>
      <c r="J1053" s="14">
        <v>1781.74</v>
      </c>
      <c r="K1053" t="s" s="13">
        <v>5318</v>
      </c>
      <c r="L1053" t="s" s="13">
        <v>5319</v>
      </c>
      <c r="M1053" t="s" s="13">
        <v>5320</v>
      </c>
      <c r="N1053" t="s" s="13">
        <v>5321</v>
      </c>
      <c r="O1053" s="15">
        <v>65.25</v>
      </c>
      <c r="P1053" s="17" cm="1">
        <f t="array" ref="P1053">(I1053-I1052)/I1052</f>
        <v>-0.0330106115304671</v>
      </c>
      <c r="Q1053" s="8"/>
    </row>
    <row r="1054" ht="13.65" customHeight="1">
      <c r="A1054" s="21"/>
      <c r="B1054" s="21"/>
      <c r="C1054" s="21"/>
      <c r="D1054" s="21"/>
      <c r="E1054" s="21"/>
      <c r="F1054" s="21"/>
      <c r="G1054" s="21"/>
      <c r="H1054" s="21"/>
      <c r="I1054" s="21"/>
      <c r="J1054" s="21"/>
      <c r="K1054" s="21"/>
      <c r="L1054" s="21"/>
      <c r="M1054" s="21"/>
      <c r="N1054" s="21"/>
      <c r="O1054" s="21"/>
      <c r="P1054" s="8"/>
      <c r="Q1054" s="8"/>
    </row>
    <row r="1055" ht="13.65" customHeight="1">
      <c r="A1055" s="8"/>
      <c r="B1055" s="8"/>
      <c r="C1055" s="8"/>
      <c r="D1055" s="8"/>
      <c r="E1055" s="8"/>
      <c r="F1055" s="8"/>
      <c r="G1055" s="8"/>
      <c r="H1055" s="8"/>
      <c r="I1055" s="8"/>
      <c r="J1055" s="8"/>
      <c r="K1055" s="8"/>
      <c r="L1055" s="8"/>
      <c r="M1055" s="8"/>
      <c r="N1055" s="8"/>
      <c r="O1055" t="s" s="7">
        <v>5322</v>
      </c>
      <c r="P1055" s="22" cm="1">
        <f t="array" ref="P1055">AVERAGE(P801:P1053)</f>
        <v>0.000810468821774515</v>
      </c>
      <c r="Q1055" s="8"/>
    </row>
    <row r="1056" ht="13.65" customHeight="1">
      <c r="A1056" s="8"/>
      <c r="B1056" s="8"/>
      <c r="C1056" s="8"/>
      <c r="D1056" s="8"/>
      <c r="E1056" s="8"/>
      <c r="F1056" s="8"/>
      <c r="G1056" s="8"/>
      <c r="H1056" s="8"/>
      <c r="I1056" s="8"/>
      <c r="J1056" s="8"/>
      <c r="K1056" s="8"/>
      <c r="L1056" s="8"/>
      <c r="M1056" s="8"/>
      <c r="N1056" s="8"/>
      <c r="O1056" t="s" s="7">
        <v>5323</v>
      </c>
      <c r="P1056" s="22" cm="1">
        <f t="array" ref="P1056">STDEV(P801:P1053)</f>
        <v>0.0128351025230291</v>
      </c>
      <c r="Q1056" s="8"/>
    </row>
    <row r="1057" ht="13.65" customHeight="1">
      <c r="A1057" s="8"/>
      <c r="B1057" s="8"/>
      <c r="C1057" s="8"/>
      <c r="D1057" s="8"/>
      <c r="E1057" s="8"/>
      <c r="F1057" s="8"/>
      <c r="G1057" s="8"/>
      <c r="H1057" s="8"/>
      <c r="I1057" s="8"/>
      <c r="J1057" s="8"/>
      <c r="K1057" s="8"/>
      <c r="L1057" s="8"/>
      <c r="M1057" s="8"/>
      <c r="N1057" s="8"/>
      <c r="O1057" t="s" s="7">
        <v>275</v>
      </c>
      <c r="P1057" s="23" cm="1">
        <f t="array" ref="P1057">IF(I1053&gt;I800,1,IF(I1053&lt;I800,-1,0))</f>
        <v>1</v>
      </c>
      <c r="Q1057" s="8"/>
    </row>
    <row r="1058" ht="13.65" customHeight="1">
      <c r="A1058" s="8"/>
      <c r="B1058" s="8"/>
      <c r="C1058" s="8"/>
      <c r="D1058" s="8"/>
      <c r="E1058" s="8"/>
      <c r="F1058" s="8"/>
      <c r="G1058" s="8"/>
      <c r="H1058" s="8"/>
      <c r="I1058" s="8"/>
      <c r="J1058" s="8"/>
      <c r="K1058" s="8"/>
      <c r="L1058" s="8"/>
      <c r="M1058" s="8"/>
      <c r="N1058" s="8"/>
      <c r="O1058" t="s" s="7">
        <v>528</v>
      </c>
      <c r="P1058" s="22" cm="1">
        <f t="array" ref="P1058">(I1053-I800)/I800</f>
        <v>0.202210132607956</v>
      </c>
      <c r="Q1058" s="8"/>
    </row>
    <row r="1059" ht="13.65" customHeight="1">
      <c r="A1059" t="s" s="7">
        <v>1029</v>
      </c>
      <c r="B1059" s="8"/>
      <c r="C1059" s="8"/>
      <c r="D1059" s="8"/>
      <c r="E1059" s="8"/>
      <c r="F1059" s="8"/>
      <c r="G1059" s="8"/>
      <c r="H1059" s="8"/>
      <c r="I1059" s="8"/>
      <c r="J1059" s="8"/>
      <c r="K1059" s="8"/>
      <c r="L1059" s="8"/>
      <c r="M1059" s="8"/>
      <c r="N1059" s="8"/>
      <c r="O1059" s="8"/>
      <c r="P1059" s="8"/>
      <c r="Q1059" s="8"/>
    </row>
    <row r="1060" ht="13.65" customHeight="1">
      <c r="A1060" s="9"/>
      <c r="B1060" s="9"/>
      <c r="C1060" s="9"/>
      <c r="D1060" s="9"/>
      <c r="E1060" s="9"/>
      <c r="F1060" s="9"/>
      <c r="G1060" s="9"/>
      <c r="H1060" s="9"/>
      <c r="I1060" s="9"/>
      <c r="J1060" s="9"/>
      <c r="K1060" s="9"/>
      <c r="L1060" s="9"/>
      <c r="M1060" s="9"/>
      <c r="N1060" s="9"/>
      <c r="O1060" s="9"/>
      <c r="P1060" s="8"/>
      <c r="Q1060" s="9"/>
    </row>
    <row r="1061" ht="13.65" customHeight="1">
      <c r="A1061" t="s" s="10">
        <v>1279</v>
      </c>
      <c r="B1061" t="s" s="10">
        <v>1280</v>
      </c>
      <c r="C1061" t="s" s="10">
        <v>1281</v>
      </c>
      <c r="D1061" t="s" s="10">
        <v>1282</v>
      </c>
      <c r="E1061" t="s" s="10">
        <v>1283</v>
      </c>
      <c r="F1061" t="s" s="10">
        <v>1284</v>
      </c>
      <c r="G1061" t="s" s="10">
        <v>1285</v>
      </c>
      <c r="H1061" t="s" s="10">
        <v>1286</v>
      </c>
      <c r="I1061" t="s" s="10">
        <v>1287</v>
      </c>
      <c r="J1061" t="s" s="10">
        <v>1288</v>
      </c>
      <c r="K1061" t="s" s="10">
        <v>1289</v>
      </c>
      <c r="L1061" t="s" s="10">
        <v>1290</v>
      </c>
      <c r="M1061" t="s" s="10">
        <v>1291</v>
      </c>
      <c r="N1061" t="s" s="10">
        <v>1292</v>
      </c>
      <c r="O1061" t="s" s="10">
        <v>1293</v>
      </c>
      <c r="P1061" t="s" s="26">
        <v>5324</v>
      </c>
      <c r="Q1061" t="s" s="10">
        <v>18</v>
      </c>
    </row>
    <row r="1062" ht="13.65" customHeight="1">
      <c r="A1062" t="s" s="27">
        <v>1294</v>
      </c>
      <c r="B1062" t="s" s="13">
        <v>22</v>
      </c>
      <c r="C1062" s="28">
        <v>45748</v>
      </c>
      <c r="D1062" s="14">
        <v>1828.2</v>
      </c>
      <c r="E1062" s="14">
        <v>1802</v>
      </c>
      <c r="F1062" s="14">
        <v>1809.9</v>
      </c>
      <c r="G1062" s="14">
        <v>1765.35</v>
      </c>
      <c r="H1062" s="14">
        <v>1769.9</v>
      </c>
      <c r="I1062" s="14">
        <v>1767.85</v>
      </c>
      <c r="J1062" s="14">
        <v>1781.74</v>
      </c>
      <c r="K1062" t="s" s="13">
        <v>5318</v>
      </c>
      <c r="L1062" t="s" s="13">
        <v>5319</v>
      </c>
      <c r="M1062" t="s" s="13">
        <v>5320</v>
      </c>
      <c r="N1062" t="s" s="13">
        <v>5321</v>
      </c>
      <c r="O1062" s="15">
        <v>65.25</v>
      </c>
      <c r="P1062" s="29"/>
      <c r="Q1062" s="15">
        <v>78862761</v>
      </c>
    </row>
    <row r="1063" ht="13.65" customHeight="1">
      <c r="A1063" t="s" s="27">
        <v>1294</v>
      </c>
      <c r="B1063" t="s" s="13">
        <v>22</v>
      </c>
      <c r="C1063" s="28">
        <v>45749</v>
      </c>
      <c r="D1063" s="14">
        <v>1767.85</v>
      </c>
      <c r="E1063" s="14">
        <v>1770.7</v>
      </c>
      <c r="F1063" s="14">
        <v>1799.2</v>
      </c>
      <c r="G1063" s="14">
        <v>1770.7</v>
      </c>
      <c r="H1063" s="14">
        <v>1798.9</v>
      </c>
      <c r="I1063" s="14">
        <v>1796.9</v>
      </c>
      <c r="J1063" s="14">
        <v>1791.24</v>
      </c>
      <c r="K1063" t="s" s="13">
        <v>5325</v>
      </c>
      <c r="L1063" t="s" s="13">
        <v>5326</v>
      </c>
      <c r="M1063" t="s" s="13">
        <v>5327</v>
      </c>
      <c r="N1063" t="s" s="13">
        <v>5328</v>
      </c>
      <c r="O1063" s="15">
        <v>65.3</v>
      </c>
      <c r="P1063" s="30" cm="1">
        <f t="array" ref="P1063">(I1063-I1062)/I1062</f>
        <v>0.0164323896258167</v>
      </c>
      <c r="Q1063" s="15">
        <v>103500135</v>
      </c>
    </row>
    <row r="1064" ht="13.65" customHeight="1">
      <c r="A1064" t="s" s="27">
        <v>1294</v>
      </c>
      <c r="B1064" t="s" s="13">
        <v>22</v>
      </c>
      <c r="C1064" s="28">
        <v>45750</v>
      </c>
      <c r="D1064" s="14">
        <v>1796.9</v>
      </c>
      <c r="E1064" s="14">
        <v>1781.1</v>
      </c>
      <c r="F1064" s="14">
        <v>1804</v>
      </c>
      <c r="G1064" s="14">
        <v>1777</v>
      </c>
      <c r="H1064" s="14">
        <v>1792.8</v>
      </c>
      <c r="I1064" s="14">
        <v>1794.85</v>
      </c>
      <c r="J1064" s="14">
        <v>1794.09</v>
      </c>
      <c r="K1064" t="s" s="13">
        <v>5329</v>
      </c>
      <c r="L1064" t="s" s="13">
        <v>5330</v>
      </c>
      <c r="M1064" t="s" s="13">
        <v>5331</v>
      </c>
      <c r="N1064" t="s" s="13">
        <v>5332</v>
      </c>
      <c r="O1064" s="15">
        <v>66.17</v>
      </c>
      <c r="P1064" s="30" cm="1">
        <f t="array" ref="P1064">(I1064-I1063)/I1063</f>
        <v>-0.00114085369247037</v>
      </c>
      <c r="Q1064" s="15">
        <v>65485199</v>
      </c>
    </row>
    <row r="1065" ht="13.65" customHeight="1">
      <c r="A1065" t="s" s="27">
        <v>1294</v>
      </c>
      <c r="B1065" t="s" s="13">
        <v>22</v>
      </c>
      <c r="C1065" s="28">
        <v>45751</v>
      </c>
      <c r="D1065" s="14">
        <v>1794.85</v>
      </c>
      <c r="E1065" s="14">
        <v>1813</v>
      </c>
      <c r="F1065" s="14">
        <v>1841.95</v>
      </c>
      <c r="G1065" s="14">
        <v>1811.1</v>
      </c>
      <c r="H1065" s="14">
        <v>1816.8</v>
      </c>
      <c r="I1065" s="14">
        <v>1817.3</v>
      </c>
      <c r="J1065" s="14">
        <v>1824.22</v>
      </c>
      <c r="K1065" t="s" s="13">
        <v>5333</v>
      </c>
      <c r="L1065" t="s" s="13">
        <v>5334</v>
      </c>
      <c r="M1065" t="s" s="13">
        <v>5335</v>
      </c>
      <c r="N1065" t="s" s="13">
        <v>5336</v>
      </c>
      <c r="O1065" s="15">
        <v>68.68000000000001</v>
      </c>
      <c r="P1065" s="30" cm="1">
        <f t="array" ref="P1065">(I1065-I1064)/I1064</f>
        <v>0.0125080090258239</v>
      </c>
      <c r="Q1065" s="15">
        <v>59230640</v>
      </c>
    </row>
    <row r="1066" ht="13.65" customHeight="1">
      <c r="A1066" t="s" s="27">
        <v>1294</v>
      </c>
      <c r="B1066" t="s" s="13">
        <v>22</v>
      </c>
      <c r="C1066" s="28">
        <v>45754</v>
      </c>
      <c r="D1066" s="14">
        <v>1817.3</v>
      </c>
      <c r="E1066" s="14">
        <v>1762.8</v>
      </c>
      <c r="F1066" s="14">
        <v>1779.85</v>
      </c>
      <c r="G1066" s="14">
        <v>1738.2</v>
      </c>
      <c r="H1066" s="14">
        <v>1760.05</v>
      </c>
      <c r="I1066" s="14">
        <v>1757.7</v>
      </c>
      <c r="J1066" s="14">
        <v>1759.15</v>
      </c>
      <c r="K1066" t="s" s="13">
        <v>5337</v>
      </c>
      <c r="L1066" t="s" s="13">
        <v>5338</v>
      </c>
      <c r="M1066" t="s" s="13">
        <v>5339</v>
      </c>
      <c r="N1066" t="s" s="13">
        <v>5340</v>
      </c>
      <c r="O1066" s="15">
        <v>64.48999999999999</v>
      </c>
      <c r="P1066" s="30" cm="1">
        <f t="array" ref="P1066">(I1066-I1065)/I1065</f>
        <v>-0.032795906014417</v>
      </c>
      <c r="Q1066" s="15">
        <v>61269986</v>
      </c>
    </row>
    <row r="1067" ht="13.65" customHeight="1">
      <c r="A1067" t="s" s="27">
        <v>1294</v>
      </c>
      <c r="B1067" t="s" s="13">
        <v>22</v>
      </c>
      <c r="C1067" s="28">
        <v>45755</v>
      </c>
      <c r="D1067" s="14">
        <v>1757.7</v>
      </c>
      <c r="E1067" s="14">
        <v>1765</v>
      </c>
      <c r="F1067" s="14">
        <v>1782</v>
      </c>
      <c r="G1067" s="14">
        <v>1750.3</v>
      </c>
      <c r="H1067" s="14">
        <v>1770.15</v>
      </c>
      <c r="I1067" s="14">
        <v>1769.15</v>
      </c>
      <c r="J1067" s="14">
        <v>1769.16</v>
      </c>
      <c r="K1067" t="s" s="13">
        <v>5341</v>
      </c>
      <c r="L1067" t="s" s="13">
        <v>5342</v>
      </c>
      <c r="M1067" t="s" s="13">
        <v>5343</v>
      </c>
      <c r="N1067" t="s" s="13">
        <v>5344</v>
      </c>
      <c r="O1067" s="15">
        <v>57.65</v>
      </c>
      <c r="P1067" s="30" cm="1">
        <f t="array" ref="P1067">(I1067-I1066)/I1066</f>
        <v>0.0065141946862377</v>
      </c>
      <c r="Q1067" s="15">
        <v>72341738</v>
      </c>
    </row>
    <row r="1068" ht="13.65" customHeight="1">
      <c r="A1068" t="s" s="27">
        <v>1294</v>
      </c>
      <c r="B1068" t="s" s="13">
        <v>22</v>
      </c>
      <c r="C1068" s="28">
        <v>45756</v>
      </c>
      <c r="D1068" s="14">
        <v>1769.15</v>
      </c>
      <c r="E1068" s="14">
        <v>1765</v>
      </c>
      <c r="F1068" s="14">
        <v>1775</v>
      </c>
      <c r="G1068" s="14">
        <v>1753.5</v>
      </c>
      <c r="H1068" s="14">
        <v>1765.3</v>
      </c>
      <c r="I1068" s="14">
        <v>1765</v>
      </c>
      <c r="J1068" s="14">
        <v>1761.66</v>
      </c>
      <c r="K1068" t="s" s="13">
        <v>5345</v>
      </c>
      <c r="L1068" t="s" s="13">
        <v>5346</v>
      </c>
      <c r="M1068" t="s" s="13">
        <v>5347</v>
      </c>
      <c r="N1068" t="s" s="13">
        <v>5348</v>
      </c>
      <c r="O1068" s="15">
        <v>68.36</v>
      </c>
      <c r="P1068" s="30" cm="1">
        <f t="array" ref="P1068">(I1068-I1067)/I1067</f>
        <v>-0.00234575926292287</v>
      </c>
      <c r="Q1068" s="15">
        <v>103129469</v>
      </c>
    </row>
    <row r="1069" ht="13.65" customHeight="1">
      <c r="A1069" t="s" s="27">
        <v>1294</v>
      </c>
      <c r="B1069" t="s" s="13">
        <v>22</v>
      </c>
      <c r="C1069" s="31">
        <v>45758</v>
      </c>
      <c r="D1069" s="14">
        <v>1765</v>
      </c>
      <c r="E1069" s="14">
        <v>1774.75</v>
      </c>
      <c r="F1069" s="14">
        <v>1819.4</v>
      </c>
      <c r="G1069" s="14">
        <v>1774.75</v>
      </c>
      <c r="H1069" s="14">
        <v>1805.2</v>
      </c>
      <c r="I1069" s="14">
        <v>1806.75</v>
      </c>
      <c r="J1069" s="14">
        <v>1803.31</v>
      </c>
      <c r="K1069" t="s" s="13">
        <v>5349</v>
      </c>
      <c r="L1069" t="s" s="13">
        <v>5350</v>
      </c>
      <c r="M1069" t="s" s="13">
        <v>5351</v>
      </c>
      <c r="N1069" t="s" s="13">
        <v>5352</v>
      </c>
      <c r="O1069" s="15">
        <v>69.36</v>
      </c>
      <c r="P1069" s="30" cm="1">
        <f t="array" ref="P1069">(I1069-I1068)/I1068</f>
        <v>0.0236543909348442</v>
      </c>
      <c r="Q1069" s="15">
        <v>171637393</v>
      </c>
    </row>
    <row r="1070" ht="13.65" customHeight="1">
      <c r="A1070" t="s" s="27">
        <v>1294</v>
      </c>
      <c r="B1070" t="s" s="13">
        <v>22</v>
      </c>
      <c r="C1070" s="31">
        <v>45762</v>
      </c>
      <c r="D1070" s="14">
        <v>1806.75</v>
      </c>
      <c r="E1070" s="14">
        <v>1865</v>
      </c>
      <c r="F1070" s="14">
        <v>1876.8</v>
      </c>
      <c r="G1070" s="14">
        <v>1855</v>
      </c>
      <c r="H1070" s="14">
        <v>1865.6</v>
      </c>
      <c r="I1070" s="14">
        <v>1864.9</v>
      </c>
      <c r="J1070" s="14">
        <v>1866.76</v>
      </c>
      <c r="K1070" t="s" s="13">
        <v>5353</v>
      </c>
      <c r="L1070" t="s" s="13">
        <v>5354</v>
      </c>
      <c r="M1070" t="s" s="13">
        <v>5355</v>
      </c>
      <c r="N1070" t="s" s="13">
        <v>5356</v>
      </c>
      <c r="O1070" s="15">
        <v>72.97</v>
      </c>
      <c r="P1070" s="30" cm="1">
        <f t="array" ref="P1070">(I1070-I1069)/I1069</f>
        <v>0.0321848623218486</v>
      </c>
      <c r="Q1070" s="15">
        <v>23507063</v>
      </c>
    </row>
    <row r="1071" ht="13.65" customHeight="1">
      <c r="A1071" t="s" s="27">
        <v>1294</v>
      </c>
      <c r="B1071" t="s" s="13">
        <v>22</v>
      </c>
      <c r="C1071" s="31">
        <v>45763</v>
      </c>
      <c r="D1071" s="14">
        <v>1864.9</v>
      </c>
      <c r="E1071" s="14">
        <v>1883.8</v>
      </c>
      <c r="F1071" s="14">
        <v>1883.8</v>
      </c>
      <c r="G1071" s="14">
        <v>1860.5</v>
      </c>
      <c r="H1071" s="14">
        <v>1875.9</v>
      </c>
      <c r="I1071" s="14">
        <v>1878</v>
      </c>
      <c r="J1071" s="14">
        <v>1874.15</v>
      </c>
      <c r="K1071" t="s" s="13">
        <v>5357</v>
      </c>
      <c r="L1071" t="s" s="13">
        <v>5358</v>
      </c>
      <c r="M1071" t="s" s="13">
        <v>5359</v>
      </c>
      <c r="N1071" t="s" s="13">
        <v>5360</v>
      </c>
      <c r="O1071" s="15">
        <v>62.95</v>
      </c>
      <c r="P1071" s="30" cm="1">
        <f t="array" ref="P1071">(I1071-I1070)/I1070</f>
        <v>0.00702450533540672</v>
      </c>
      <c r="Q1071" s="15">
        <v>38826979</v>
      </c>
    </row>
    <row r="1072" ht="13.65" customHeight="1">
      <c r="A1072" t="s" s="27">
        <v>1294</v>
      </c>
      <c r="B1072" t="s" s="13">
        <v>22</v>
      </c>
      <c r="C1072" s="31">
        <v>45764</v>
      </c>
      <c r="D1072" s="14">
        <v>1878</v>
      </c>
      <c r="E1072" s="14">
        <v>1882</v>
      </c>
      <c r="F1072" s="14">
        <v>1919.7</v>
      </c>
      <c r="G1072" s="14">
        <v>1876.7</v>
      </c>
      <c r="H1072" s="14">
        <v>1905.8</v>
      </c>
      <c r="I1072" s="14">
        <v>1906.7</v>
      </c>
      <c r="J1072" s="14">
        <v>1901.41</v>
      </c>
      <c r="K1072" t="s" s="13">
        <v>5361</v>
      </c>
      <c r="L1072" t="s" s="13">
        <v>5362</v>
      </c>
      <c r="M1072" t="s" s="13">
        <v>5363</v>
      </c>
      <c r="N1072" t="s" s="13">
        <v>5364</v>
      </c>
      <c r="O1072" s="15">
        <v>63.3</v>
      </c>
      <c r="P1072" s="30" cm="1">
        <f t="array" ref="P1072">(I1072-I1071)/I1071</f>
        <v>0.0152822151224707</v>
      </c>
      <c r="Q1072" s="15">
        <v>52182605</v>
      </c>
    </row>
    <row r="1073" ht="13.65" customHeight="1">
      <c r="A1073" t="s" s="27">
        <v>1294</v>
      </c>
      <c r="B1073" t="s" s="13">
        <v>22</v>
      </c>
      <c r="C1073" s="31">
        <v>45768</v>
      </c>
      <c r="D1073" s="14">
        <v>1906.7</v>
      </c>
      <c r="E1073" s="14">
        <v>1924</v>
      </c>
      <c r="F1073" s="14">
        <v>1950.7</v>
      </c>
      <c r="G1073" s="14">
        <v>1910</v>
      </c>
      <c r="H1073" s="14">
        <v>1925.2</v>
      </c>
      <c r="I1073" s="14">
        <v>1927.1</v>
      </c>
      <c r="J1073" s="14">
        <v>1930.83</v>
      </c>
      <c r="K1073" t="s" s="13">
        <v>5365</v>
      </c>
      <c r="L1073" t="s" s="13">
        <v>5366</v>
      </c>
      <c r="M1073" t="s" s="13">
        <v>5367</v>
      </c>
      <c r="N1073" t="s" s="13">
        <v>5368</v>
      </c>
      <c r="O1073" s="15">
        <v>67.75</v>
      </c>
      <c r="P1073" s="30" cm="1">
        <f t="array" ref="P1073">(I1073-I1072)/I1072</f>
        <v>0.0106991136518592</v>
      </c>
      <c r="Q1073" s="15">
        <v>41700464</v>
      </c>
    </row>
    <row r="1074" ht="13.65" customHeight="1">
      <c r="A1074" t="s" s="27">
        <v>1294</v>
      </c>
      <c r="B1074" t="s" s="13">
        <v>22</v>
      </c>
      <c r="C1074" s="31">
        <v>45769</v>
      </c>
      <c r="D1074" s="14">
        <v>1927.1</v>
      </c>
      <c r="E1074" s="14">
        <v>1935</v>
      </c>
      <c r="F1074" s="14">
        <v>1970.6</v>
      </c>
      <c r="G1074" s="14">
        <v>1935</v>
      </c>
      <c r="H1074" s="14">
        <v>1960</v>
      </c>
      <c r="I1074" s="14">
        <v>1961.7</v>
      </c>
      <c r="J1074" s="14">
        <v>1957.16</v>
      </c>
      <c r="K1074" t="s" s="13">
        <v>5369</v>
      </c>
      <c r="L1074" t="s" s="13">
        <v>5370</v>
      </c>
      <c r="M1074" t="s" s="13">
        <v>5371</v>
      </c>
      <c r="N1074" t="s" s="13">
        <v>5372</v>
      </c>
      <c r="O1074" s="15">
        <v>71.86</v>
      </c>
      <c r="P1074" s="30" cm="1">
        <f t="array" ref="P1074">(I1074-I1073)/I1073</f>
        <v>0.0179544393129573</v>
      </c>
      <c r="Q1074" s="15">
        <v>46107561</v>
      </c>
    </row>
    <row r="1075" ht="13.65" customHeight="1">
      <c r="A1075" t="s" s="27">
        <v>1294</v>
      </c>
      <c r="B1075" t="s" s="13">
        <v>22</v>
      </c>
      <c r="C1075" s="31">
        <v>45770</v>
      </c>
      <c r="D1075" s="14">
        <v>1961.7</v>
      </c>
      <c r="E1075" s="14">
        <v>1978.9</v>
      </c>
      <c r="F1075" s="14">
        <v>1978.9</v>
      </c>
      <c r="G1075" s="14">
        <v>1920.5</v>
      </c>
      <c r="H1075" s="14">
        <v>1920.7</v>
      </c>
      <c r="I1075" s="14">
        <v>1923.9</v>
      </c>
      <c r="J1075" s="14">
        <v>1939.04</v>
      </c>
      <c r="K1075" t="s" s="13">
        <v>5373</v>
      </c>
      <c r="L1075" t="s" s="13">
        <v>5374</v>
      </c>
      <c r="M1075" t="s" s="13">
        <v>5375</v>
      </c>
      <c r="N1075" t="s" s="13">
        <v>5376</v>
      </c>
      <c r="O1075" s="15">
        <v>73.01000000000001</v>
      </c>
      <c r="P1075" s="30" cm="1">
        <f t="array" ref="P1075">(I1075-I1074)/I1074</f>
        <v>-0.0192690013763572</v>
      </c>
      <c r="Q1075" s="15">
        <v>42261076</v>
      </c>
    </row>
    <row r="1076" ht="13.65" customHeight="1">
      <c r="A1076" t="s" s="27">
        <v>1294</v>
      </c>
      <c r="B1076" t="s" s="13">
        <v>22</v>
      </c>
      <c r="C1076" s="31">
        <v>45771</v>
      </c>
      <c r="D1076" s="14">
        <v>1923.9</v>
      </c>
      <c r="E1076" s="14">
        <v>1910</v>
      </c>
      <c r="F1076" s="14">
        <v>1923.9</v>
      </c>
      <c r="G1076" s="14">
        <v>1905.1</v>
      </c>
      <c r="H1076" s="14">
        <v>1914.9</v>
      </c>
      <c r="I1076" s="14">
        <v>1916.8</v>
      </c>
      <c r="J1076" s="14">
        <v>1916.73</v>
      </c>
      <c r="K1076" t="s" s="13">
        <v>5377</v>
      </c>
      <c r="L1076" t="s" s="13">
        <v>5378</v>
      </c>
      <c r="M1076" t="s" s="13">
        <v>5379</v>
      </c>
      <c r="N1076" t="s" s="13">
        <v>5380</v>
      </c>
      <c r="O1076" s="15">
        <v>59.1</v>
      </c>
      <c r="P1076" s="30" cm="1">
        <f t="array" ref="P1076">(I1076-I1075)/I1075</f>
        <v>-0.00369042050002599</v>
      </c>
      <c r="Q1076" s="15">
        <v>52866024</v>
      </c>
    </row>
    <row r="1077" ht="13.65" customHeight="1">
      <c r="A1077" t="s" s="27">
        <v>1294</v>
      </c>
      <c r="B1077" t="s" s="13">
        <v>22</v>
      </c>
      <c r="C1077" s="31">
        <v>45772</v>
      </c>
      <c r="D1077" s="14">
        <v>1916.8</v>
      </c>
      <c r="E1077" s="14">
        <v>1924.8</v>
      </c>
      <c r="F1077" s="14">
        <v>1933</v>
      </c>
      <c r="G1077" s="14">
        <v>1891.8</v>
      </c>
      <c r="H1077" s="14">
        <v>1908</v>
      </c>
      <c r="I1077" s="14">
        <v>1911.2</v>
      </c>
      <c r="J1077" s="14">
        <v>1911.37</v>
      </c>
      <c r="K1077" t="s" s="13">
        <v>5381</v>
      </c>
      <c r="L1077" t="s" s="13">
        <v>5382</v>
      </c>
      <c r="M1077" t="s" s="13">
        <v>5383</v>
      </c>
      <c r="N1077" t="s" s="13">
        <v>5384</v>
      </c>
      <c r="O1077" s="15">
        <v>64.84999999999999</v>
      </c>
      <c r="P1077" s="30" cm="1">
        <f t="array" ref="P1077">(I1077-I1076)/I1076</f>
        <v>-0.00292153589315526</v>
      </c>
      <c r="Q1077" s="15">
        <v>35592613</v>
      </c>
    </row>
    <row r="1078" ht="13.65" customHeight="1">
      <c r="A1078" t="s" s="27">
        <v>1294</v>
      </c>
      <c r="B1078" t="s" s="13">
        <v>22</v>
      </c>
      <c r="C1078" s="31">
        <v>45775</v>
      </c>
      <c r="D1078" s="14">
        <v>1911.2</v>
      </c>
      <c r="E1078" s="14">
        <v>1911.2</v>
      </c>
      <c r="F1078" s="14">
        <v>1929.7</v>
      </c>
      <c r="G1078" s="14">
        <v>1908.4</v>
      </c>
      <c r="H1078" s="14">
        <v>1921</v>
      </c>
      <c r="I1078" s="14">
        <v>1920.2</v>
      </c>
      <c r="J1078" s="14">
        <v>1922.17</v>
      </c>
      <c r="K1078" t="s" s="13">
        <v>5385</v>
      </c>
      <c r="L1078" t="s" s="13">
        <v>5386</v>
      </c>
      <c r="M1078" t="s" s="13">
        <v>5387</v>
      </c>
      <c r="N1078" t="s" s="13">
        <v>5388</v>
      </c>
      <c r="O1078" s="15">
        <v>69.81999999999999</v>
      </c>
      <c r="P1078" s="30" cm="1">
        <f t="array" ref="P1078">(I1078-I1077)/I1077</f>
        <v>0.00470908329845123</v>
      </c>
      <c r="Q1078" s="15">
        <v>34439647</v>
      </c>
    </row>
    <row r="1079" ht="13.65" customHeight="1">
      <c r="A1079" t="s" s="27">
        <v>1294</v>
      </c>
      <c r="B1079" t="s" s="13">
        <v>22</v>
      </c>
      <c r="C1079" s="31">
        <v>45776</v>
      </c>
      <c r="D1079" s="14">
        <v>1920.2</v>
      </c>
      <c r="E1079" s="14">
        <v>1918.8</v>
      </c>
      <c r="F1079" s="14">
        <v>1928.8</v>
      </c>
      <c r="G1079" s="14">
        <v>1900.2</v>
      </c>
      <c r="H1079" s="14">
        <v>1906</v>
      </c>
      <c r="I1079" s="14">
        <v>1908.8</v>
      </c>
      <c r="J1079" s="14">
        <v>1909.52</v>
      </c>
      <c r="K1079" t="s" s="13">
        <v>5389</v>
      </c>
      <c r="L1079" t="s" s="13">
        <v>5390</v>
      </c>
      <c r="M1079" t="s" s="13">
        <v>5391</v>
      </c>
      <c r="N1079" t="s" s="13">
        <v>5392</v>
      </c>
      <c r="O1079" s="15">
        <v>63.64</v>
      </c>
      <c r="P1079" s="30" cm="1">
        <f t="array" ref="P1079">(I1079-I1078)/I1078</f>
        <v>-0.00593688157483595</v>
      </c>
      <c r="Q1079" s="15">
        <v>31324582</v>
      </c>
    </row>
    <row r="1080" ht="13.65" customHeight="1">
      <c r="A1080" t="s" s="27">
        <v>1294</v>
      </c>
      <c r="B1080" t="s" s="13">
        <v>22</v>
      </c>
      <c r="C1080" s="31">
        <v>45777</v>
      </c>
      <c r="D1080" s="14">
        <v>1908.8</v>
      </c>
      <c r="E1080" s="14">
        <v>1913</v>
      </c>
      <c r="F1080" s="14">
        <v>1936.9</v>
      </c>
      <c r="G1080" s="14">
        <v>1910.3</v>
      </c>
      <c r="H1080" s="14">
        <v>1920.1</v>
      </c>
      <c r="I1080" s="14">
        <v>1925</v>
      </c>
      <c r="J1080" s="14">
        <v>1925.02</v>
      </c>
      <c r="K1080" t="s" s="13">
        <v>5393</v>
      </c>
      <c r="L1080" t="s" s="13">
        <v>5394</v>
      </c>
      <c r="M1080" t="s" s="13">
        <v>5395</v>
      </c>
      <c r="N1080" t="s" s="13">
        <v>5396</v>
      </c>
      <c r="O1080" s="15">
        <v>71.26000000000001</v>
      </c>
      <c r="P1080" s="30" cm="1">
        <f t="array" ref="P1080">(I1080-I1079)/I1079</f>
        <v>0.008487007544006711</v>
      </c>
      <c r="Q1080" s="15">
        <v>39862322</v>
      </c>
    </row>
    <row r="1081" ht="13.65" customHeight="1">
      <c r="A1081" t="s" s="27">
        <v>1294</v>
      </c>
      <c r="B1081" t="s" s="13">
        <v>22</v>
      </c>
      <c r="C1081" s="32">
        <v>45779</v>
      </c>
      <c r="D1081" s="14">
        <v>1925</v>
      </c>
      <c r="E1081" s="14">
        <v>1929.8</v>
      </c>
      <c r="F1081" s="14">
        <v>1941.9</v>
      </c>
      <c r="G1081" s="14">
        <v>1920</v>
      </c>
      <c r="H1081" s="14">
        <v>1923.5</v>
      </c>
      <c r="I1081" s="14">
        <v>1925</v>
      </c>
      <c r="J1081" s="14">
        <v>1930.63</v>
      </c>
      <c r="K1081" t="s" s="13">
        <v>5397</v>
      </c>
      <c r="L1081" t="s" s="13">
        <v>5398</v>
      </c>
      <c r="M1081" t="s" s="13">
        <v>5399</v>
      </c>
      <c r="N1081" t="s" s="13">
        <v>5400</v>
      </c>
      <c r="O1081" s="15">
        <v>75.81</v>
      </c>
      <c r="P1081" s="30" cm="1">
        <f t="array" ref="P1081">(I1081-I1080)/I1080</f>
        <v>0</v>
      </c>
      <c r="Q1081" s="15">
        <v>38378924</v>
      </c>
    </row>
    <row r="1082" ht="13.65" customHeight="1">
      <c r="A1082" t="s" s="27">
        <v>1294</v>
      </c>
      <c r="B1082" t="s" s="13">
        <v>22</v>
      </c>
      <c r="C1082" s="32">
        <v>45782</v>
      </c>
      <c r="D1082" s="14">
        <v>1925</v>
      </c>
      <c r="E1082" s="14">
        <v>1939</v>
      </c>
      <c r="F1082" s="14">
        <v>1952</v>
      </c>
      <c r="G1082" s="14">
        <v>1932.3</v>
      </c>
      <c r="H1082" s="14">
        <v>1935.8</v>
      </c>
      <c r="I1082" s="14">
        <v>1936.8</v>
      </c>
      <c r="J1082" s="14">
        <v>1940.79</v>
      </c>
      <c r="K1082" t="s" s="13">
        <v>5401</v>
      </c>
      <c r="L1082" t="s" s="13">
        <v>5402</v>
      </c>
      <c r="M1082" t="s" s="13">
        <v>5403</v>
      </c>
      <c r="N1082" t="s" s="13">
        <v>5404</v>
      </c>
      <c r="O1082" s="15">
        <v>63.35</v>
      </c>
      <c r="P1082" s="30" cm="1">
        <f t="array" ref="P1082">(I1082-I1081)/I1081</f>
        <v>0.00612987012987013</v>
      </c>
      <c r="Q1082" s="15">
        <v>34620755</v>
      </c>
    </row>
    <row r="1083" ht="13.65" customHeight="1">
      <c r="A1083" t="s" s="27">
        <v>1294</v>
      </c>
      <c r="B1083" t="s" s="13">
        <v>22</v>
      </c>
      <c r="C1083" s="32">
        <v>45783</v>
      </c>
      <c r="D1083" s="14">
        <v>1936.8</v>
      </c>
      <c r="E1083" s="14">
        <v>1930</v>
      </c>
      <c r="F1083" s="14">
        <v>1940.1</v>
      </c>
      <c r="G1083" s="14">
        <v>1924.3</v>
      </c>
      <c r="H1083" s="14">
        <v>1928.6</v>
      </c>
      <c r="I1083" s="14">
        <v>1931.7</v>
      </c>
      <c r="J1083" s="14">
        <v>1931.89</v>
      </c>
      <c r="K1083" t="s" s="13">
        <v>5405</v>
      </c>
      <c r="L1083" t="s" s="13">
        <v>5406</v>
      </c>
      <c r="M1083" t="s" s="13">
        <v>5407</v>
      </c>
      <c r="N1083" t="s" s="13">
        <v>5408</v>
      </c>
      <c r="O1083" s="15">
        <v>72.93000000000001</v>
      </c>
      <c r="P1083" s="30" cm="1">
        <f t="array" ref="P1083">(I1083-I1082)/I1082</f>
        <v>-0.00263320941759603</v>
      </c>
      <c r="Q1083" s="15">
        <v>41165937</v>
      </c>
    </row>
    <row r="1084" ht="13.65" customHeight="1">
      <c r="A1084" t="s" s="27">
        <v>1294</v>
      </c>
      <c r="B1084" t="s" s="13">
        <v>22</v>
      </c>
      <c r="C1084" s="32">
        <v>45784</v>
      </c>
      <c r="D1084" s="14">
        <v>1931.7</v>
      </c>
      <c r="E1084" s="14">
        <v>1934</v>
      </c>
      <c r="F1084" s="14">
        <v>1948.7</v>
      </c>
      <c r="G1084" s="14">
        <v>1922.4</v>
      </c>
      <c r="H1084" s="14">
        <v>1945</v>
      </c>
      <c r="I1084" s="14">
        <v>1945.6</v>
      </c>
      <c r="J1084" s="14">
        <v>1939.91</v>
      </c>
      <c r="K1084" t="s" s="13">
        <v>5409</v>
      </c>
      <c r="L1084" t="s" s="13">
        <v>5410</v>
      </c>
      <c r="M1084" t="s" s="13">
        <v>5411</v>
      </c>
      <c r="N1084" t="s" s="13">
        <v>5412</v>
      </c>
      <c r="O1084" s="15">
        <v>72.98</v>
      </c>
      <c r="P1084" s="30" cm="1">
        <f t="array" ref="P1084">(I1084-I1083)/I1083</f>
        <v>0.00719573432727649</v>
      </c>
      <c r="Q1084" s="15">
        <v>27884303</v>
      </c>
    </row>
    <row r="1085" ht="13.65" customHeight="1">
      <c r="A1085" t="s" s="27">
        <v>1294</v>
      </c>
      <c r="B1085" t="s" s="13">
        <v>22</v>
      </c>
      <c r="C1085" s="32">
        <v>45785</v>
      </c>
      <c r="D1085" s="14">
        <v>1945.6</v>
      </c>
      <c r="E1085" s="14">
        <v>1954.8</v>
      </c>
      <c r="F1085" s="14">
        <v>1954.8</v>
      </c>
      <c r="G1085" s="14">
        <v>1919.1</v>
      </c>
      <c r="H1085" s="14">
        <v>1921.5</v>
      </c>
      <c r="I1085" s="14">
        <v>1928.5</v>
      </c>
      <c r="J1085" s="14">
        <v>1933.8</v>
      </c>
      <c r="K1085" t="s" s="13">
        <v>5413</v>
      </c>
      <c r="L1085" t="s" s="13">
        <v>5414</v>
      </c>
      <c r="M1085" t="s" s="13">
        <v>5415</v>
      </c>
      <c r="N1085" t="s" s="13">
        <v>5416</v>
      </c>
      <c r="O1085" s="15">
        <v>68.92</v>
      </c>
      <c r="P1085" s="30" cm="1">
        <f t="array" ref="P1085">(I1085-I1084)/I1084</f>
        <v>-0.0087890625</v>
      </c>
      <c r="Q1085" s="15">
        <v>31313985</v>
      </c>
    </row>
    <row r="1086" ht="13.65" customHeight="1">
      <c r="A1086" t="s" s="27">
        <v>1294</v>
      </c>
      <c r="B1086" t="s" s="13">
        <v>22</v>
      </c>
      <c r="C1086" s="32">
        <v>45786</v>
      </c>
      <c r="D1086" s="14">
        <v>1928.5</v>
      </c>
      <c r="E1086" s="14">
        <v>1910.1</v>
      </c>
      <c r="F1086" s="14">
        <v>1919</v>
      </c>
      <c r="G1086" s="14">
        <v>1886.8</v>
      </c>
      <c r="H1086" s="14">
        <v>1893.3</v>
      </c>
      <c r="I1086" s="14">
        <v>1889.7</v>
      </c>
      <c r="J1086" s="14">
        <v>1894.97</v>
      </c>
      <c r="K1086" t="s" s="13">
        <v>5417</v>
      </c>
      <c r="L1086" t="s" s="13">
        <v>5418</v>
      </c>
      <c r="M1086" t="s" s="13">
        <v>5419</v>
      </c>
      <c r="N1086" t="s" s="13">
        <v>5420</v>
      </c>
      <c r="O1086" s="15">
        <v>74.68000000000001</v>
      </c>
      <c r="P1086" s="30" cm="1">
        <f t="array" ref="P1086">(I1086-I1085)/I1085</f>
        <v>-0.0201192636764325</v>
      </c>
      <c r="Q1086" s="15">
        <v>23270122</v>
      </c>
    </row>
    <row r="1087" ht="13.65" customHeight="1">
      <c r="A1087" t="s" s="27">
        <v>1294</v>
      </c>
      <c r="B1087" t="s" s="13">
        <v>22</v>
      </c>
      <c r="C1087" s="33">
        <v>45789</v>
      </c>
      <c r="D1087" s="14">
        <v>1889.7</v>
      </c>
      <c r="E1087" s="14">
        <v>1917.6</v>
      </c>
      <c r="F1087" s="14">
        <v>1959.9</v>
      </c>
      <c r="G1087" s="14">
        <v>1912.3</v>
      </c>
      <c r="H1087" s="14">
        <v>1956.4</v>
      </c>
      <c r="I1087" s="14">
        <v>1957.2</v>
      </c>
      <c r="J1087" s="14">
        <v>1948.86</v>
      </c>
      <c r="K1087" t="s" s="13">
        <v>5421</v>
      </c>
      <c r="L1087" t="s" s="13">
        <v>5422</v>
      </c>
      <c r="M1087" t="s" s="13">
        <v>5423</v>
      </c>
      <c r="N1087" t="s" s="13">
        <v>5424</v>
      </c>
      <c r="O1087" s="15">
        <v>69.65000000000001</v>
      </c>
      <c r="P1087" s="30" cm="1">
        <f t="array" ref="P1087">(I1087-I1086)/I1086</f>
        <v>0.0357199555484998</v>
      </c>
      <c r="Q1087" s="15">
        <v>22654907</v>
      </c>
    </row>
    <row r="1088" ht="13.65" customHeight="1">
      <c r="A1088" t="s" s="27">
        <v>1294</v>
      </c>
      <c r="B1088" t="s" s="13">
        <v>22</v>
      </c>
      <c r="C1088" s="33">
        <v>45790</v>
      </c>
      <c r="D1088" s="14">
        <v>1957.2</v>
      </c>
      <c r="E1088" s="14">
        <v>1950</v>
      </c>
      <c r="F1088" s="14">
        <v>1961.7</v>
      </c>
      <c r="G1088" s="14">
        <v>1920</v>
      </c>
      <c r="H1088" s="14">
        <v>1924.9</v>
      </c>
      <c r="I1088" s="14">
        <v>1922.6</v>
      </c>
      <c r="J1088" s="14">
        <v>1930.6</v>
      </c>
      <c r="K1088" t="s" s="13">
        <v>5425</v>
      </c>
      <c r="L1088" t="s" s="13">
        <v>5426</v>
      </c>
      <c r="M1088" t="s" s="13">
        <v>5427</v>
      </c>
      <c r="N1088" t="s" s="13">
        <v>5428</v>
      </c>
      <c r="O1088" s="15">
        <v>66.92</v>
      </c>
      <c r="P1088" s="30" cm="1">
        <f t="array" ref="P1088">(I1088-I1087)/I1087</f>
        <v>-0.0176783159615778</v>
      </c>
      <c r="Q1088" s="15">
        <v>21209234</v>
      </c>
    </row>
    <row r="1089" ht="13.65" customHeight="1">
      <c r="A1089" t="s" s="27">
        <v>1294</v>
      </c>
      <c r="B1089" t="s" s="13">
        <v>22</v>
      </c>
      <c r="C1089" s="33">
        <v>45791</v>
      </c>
      <c r="D1089" s="14">
        <v>1922.6</v>
      </c>
      <c r="E1089" s="14">
        <v>1922.1</v>
      </c>
      <c r="F1089" s="14">
        <v>1930.2</v>
      </c>
      <c r="G1089" s="14">
        <v>1903</v>
      </c>
      <c r="H1089" s="14">
        <v>1913.5</v>
      </c>
      <c r="I1089" s="14">
        <v>1910.6</v>
      </c>
      <c r="J1089" s="14">
        <v>1914.76</v>
      </c>
      <c r="K1089" t="s" s="13">
        <v>5429</v>
      </c>
      <c r="L1089" t="s" s="13">
        <v>5430</v>
      </c>
      <c r="M1089" t="s" s="13">
        <v>5431</v>
      </c>
      <c r="N1089" t="s" s="13">
        <v>5432</v>
      </c>
      <c r="O1089" s="15">
        <v>68.95</v>
      </c>
      <c r="P1089" s="30" cm="1">
        <f t="array" ref="P1089">(I1089-I1088)/I1088</f>
        <v>-0.00624154790388016</v>
      </c>
      <c r="Q1089" s="15">
        <v>12738702</v>
      </c>
    </row>
    <row r="1090" ht="13.65" customHeight="1">
      <c r="A1090" t="s" s="27">
        <v>1294</v>
      </c>
      <c r="B1090" t="s" s="13">
        <v>22</v>
      </c>
      <c r="C1090" s="33">
        <v>45792</v>
      </c>
      <c r="D1090" s="14">
        <v>1910.6</v>
      </c>
      <c r="E1090" s="14">
        <v>1913.5</v>
      </c>
      <c r="F1090" s="14">
        <v>1944.8</v>
      </c>
      <c r="G1090" s="14">
        <v>1897</v>
      </c>
      <c r="H1090" s="14">
        <v>1933.8</v>
      </c>
      <c r="I1090" s="14">
        <v>1933.8</v>
      </c>
      <c r="J1090" s="14">
        <v>1923.01</v>
      </c>
      <c r="K1090" t="s" s="13">
        <v>5433</v>
      </c>
      <c r="L1090" t="s" s="13">
        <v>5434</v>
      </c>
      <c r="M1090" t="s" s="13">
        <v>5435</v>
      </c>
      <c r="N1090" t="s" s="13">
        <v>5436</v>
      </c>
      <c r="O1090" s="15">
        <v>55.05</v>
      </c>
      <c r="P1090" s="30" cm="1">
        <f t="array" ref="P1090">(I1090-I1089)/I1089</f>
        <v>0.0121427823720297</v>
      </c>
      <c r="Q1090" s="15">
        <v>22599629</v>
      </c>
    </row>
    <row r="1091" ht="13.65" customHeight="1">
      <c r="A1091" t="s" s="27">
        <v>1294</v>
      </c>
      <c r="B1091" t="s" s="13">
        <v>22</v>
      </c>
      <c r="C1091" s="33">
        <v>45793</v>
      </c>
      <c r="D1091" s="14">
        <v>1933.8</v>
      </c>
      <c r="E1091" s="14">
        <v>1933.8</v>
      </c>
      <c r="F1091" s="14">
        <v>1943.8</v>
      </c>
      <c r="G1091" s="14">
        <v>1928.4</v>
      </c>
      <c r="H1091" s="14">
        <v>1934.5</v>
      </c>
      <c r="I1091" s="14">
        <v>1934.7</v>
      </c>
      <c r="J1091" s="14">
        <v>1933.5</v>
      </c>
      <c r="K1091" t="s" s="13">
        <v>5437</v>
      </c>
      <c r="L1091" t="s" s="13">
        <v>5438</v>
      </c>
      <c r="M1091" t="s" s="13">
        <v>5439</v>
      </c>
      <c r="N1091" t="s" s="13">
        <v>5440</v>
      </c>
      <c r="O1091" s="15">
        <v>73.37</v>
      </c>
      <c r="P1091" s="30" cm="1">
        <f t="array" ref="P1091">(I1091-I1090)/I1090</f>
        <v>0.000465404902264971</v>
      </c>
      <c r="Q1091" s="15">
        <v>18806989</v>
      </c>
    </row>
    <row r="1092" ht="13.65" customHeight="1">
      <c r="A1092" t="s" s="27">
        <v>1294</v>
      </c>
      <c r="B1092" t="s" s="13">
        <v>22</v>
      </c>
      <c r="C1092" s="33">
        <v>45796</v>
      </c>
      <c r="D1092" s="14">
        <v>1934.7</v>
      </c>
      <c r="E1092" s="14">
        <v>1937</v>
      </c>
      <c r="F1092" s="14">
        <v>1945</v>
      </c>
      <c r="G1092" s="14">
        <v>1931</v>
      </c>
      <c r="H1092" s="14">
        <v>1937.1</v>
      </c>
      <c r="I1092" s="14">
        <v>1938.7</v>
      </c>
      <c r="J1092" s="14">
        <v>1938.13</v>
      </c>
      <c r="K1092" t="s" s="13">
        <v>5441</v>
      </c>
      <c r="L1092" t="s" s="13">
        <v>5442</v>
      </c>
      <c r="M1092" t="s" s="13">
        <v>5443</v>
      </c>
      <c r="N1092" t="s" s="13">
        <v>5444</v>
      </c>
      <c r="O1092" s="15">
        <v>63.52</v>
      </c>
      <c r="P1092" s="30" cm="1">
        <f t="array" ref="P1092">(I1092-I1091)/I1091</f>
        <v>0.00206750400578901</v>
      </c>
      <c r="Q1092" s="15">
        <v>50188359</v>
      </c>
    </row>
    <row r="1093" ht="13.65" customHeight="1">
      <c r="A1093" t="s" s="27">
        <v>1294</v>
      </c>
      <c r="B1093" t="s" s="13">
        <v>22</v>
      </c>
      <c r="C1093" s="33">
        <v>45797</v>
      </c>
      <c r="D1093" s="14">
        <v>1938.7</v>
      </c>
      <c r="E1093" s="14">
        <v>1928.1</v>
      </c>
      <c r="F1093" s="14">
        <v>1934.6</v>
      </c>
      <c r="G1093" s="14">
        <v>1913</v>
      </c>
      <c r="H1093" s="14">
        <v>1917.1</v>
      </c>
      <c r="I1093" s="14">
        <v>1914.9</v>
      </c>
      <c r="J1093" s="14">
        <v>1918.55</v>
      </c>
      <c r="K1093" t="s" s="13">
        <v>5445</v>
      </c>
      <c r="L1093" t="s" s="13">
        <v>5446</v>
      </c>
      <c r="M1093" t="s" s="13">
        <v>5447</v>
      </c>
      <c r="N1093" t="s" s="13">
        <v>5448</v>
      </c>
      <c r="O1093" s="15">
        <v>69.25</v>
      </c>
      <c r="P1093" s="30" cm="1">
        <f t="array" ref="P1093">(I1093-I1092)/I1092</f>
        <v>-0.0122762676020013</v>
      </c>
      <c r="Q1093" s="15">
        <v>33872203</v>
      </c>
    </row>
    <row r="1094" ht="13.65" customHeight="1">
      <c r="A1094" t="s" s="27">
        <v>1294</v>
      </c>
      <c r="B1094" t="s" s="13">
        <v>22</v>
      </c>
      <c r="C1094" s="33">
        <v>45798</v>
      </c>
      <c r="D1094" s="14">
        <v>1914.9</v>
      </c>
      <c r="E1094" s="14">
        <v>1927</v>
      </c>
      <c r="F1094" s="14">
        <v>1946.9</v>
      </c>
      <c r="G1094" s="14">
        <v>1921.1</v>
      </c>
      <c r="H1094" s="14">
        <v>1925.2</v>
      </c>
      <c r="I1094" s="14">
        <v>1926.8</v>
      </c>
      <c r="J1094" s="14">
        <v>1930.42</v>
      </c>
      <c r="K1094" t="s" s="13">
        <v>5449</v>
      </c>
      <c r="L1094" t="s" s="13">
        <v>5450</v>
      </c>
      <c r="M1094" t="s" s="13">
        <v>5451</v>
      </c>
      <c r="N1094" t="s" s="13">
        <v>5452</v>
      </c>
      <c r="O1094" s="15">
        <v>59.24</v>
      </c>
      <c r="P1094" s="30" cm="1">
        <f t="array" ref="P1094">(I1094-I1093)/I1093</f>
        <v>0.00621442372969868</v>
      </c>
      <c r="Q1094" s="15">
        <v>24869804</v>
      </c>
    </row>
    <row r="1095" ht="13.65" customHeight="1">
      <c r="A1095" t="s" s="27">
        <v>1294</v>
      </c>
      <c r="B1095" t="s" s="13">
        <v>22</v>
      </c>
      <c r="C1095" s="33">
        <v>45799</v>
      </c>
      <c r="D1095" s="14">
        <v>1926.8</v>
      </c>
      <c r="E1095" s="14">
        <v>1915.2</v>
      </c>
      <c r="F1095" s="14">
        <v>1924.2</v>
      </c>
      <c r="G1095" s="14">
        <v>1905.2</v>
      </c>
      <c r="H1095" s="14">
        <v>1924</v>
      </c>
      <c r="I1095" s="14">
        <v>1919.9</v>
      </c>
      <c r="J1095" s="14">
        <v>1914.84</v>
      </c>
      <c r="K1095" t="s" s="13">
        <v>5453</v>
      </c>
      <c r="L1095" t="s" s="13">
        <v>5454</v>
      </c>
      <c r="M1095" t="s" s="13">
        <v>5455</v>
      </c>
      <c r="N1095" t="s" s="13">
        <v>5456</v>
      </c>
      <c r="O1095" s="15">
        <v>65.65000000000001</v>
      </c>
      <c r="P1095" s="30" cm="1">
        <f t="array" ref="P1095">(I1095-I1094)/I1094</f>
        <v>-0.0035810670541831</v>
      </c>
      <c r="Q1095" s="15">
        <v>31525385</v>
      </c>
    </row>
    <row r="1096" ht="13.65" customHeight="1">
      <c r="A1096" t="s" s="27">
        <v>1294</v>
      </c>
      <c r="B1096" t="s" s="13">
        <v>22</v>
      </c>
      <c r="C1096" s="33">
        <v>45800</v>
      </c>
      <c r="D1096" s="14">
        <v>1919.9</v>
      </c>
      <c r="E1096" s="14">
        <v>1920.1</v>
      </c>
      <c r="F1096" s="14">
        <v>1937</v>
      </c>
      <c r="G1096" s="14">
        <v>1914.5</v>
      </c>
      <c r="H1096" s="14">
        <v>1933.5</v>
      </c>
      <c r="I1096" s="14">
        <v>1933.6</v>
      </c>
      <c r="J1096" s="14">
        <v>1929.98</v>
      </c>
      <c r="K1096" t="s" s="13">
        <v>5457</v>
      </c>
      <c r="L1096" t="s" s="13">
        <v>5458</v>
      </c>
      <c r="M1096" t="s" s="13">
        <v>5459</v>
      </c>
      <c r="N1096" t="s" s="13">
        <v>5460</v>
      </c>
      <c r="O1096" s="15">
        <v>69.51000000000001</v>
      </c>
      <c r="P1096" s="30" cm="1">
        <f t="array" ref="P1096">(I1096-I1095)/I1095</f>
        <v>0.00713578832230845</v>
      </c>
      <c r="Q1096" s="15">
        <v>23947829</v>
      </c>
    </row>
    <row r="1097" ht="13.65" customHeight="1">
      <c r="A1097" t="s" s="27">
        <v>1294</v>
      </c>
      <c r="B1097" t="s" s="13">
        <v>22</v>
      </c>
      <c r="C1097" s="33">
        <v>45803</v>
      </c>
      <c r="D1097" s="14">
        <v>1933.6</v>
      </c>
      <c r="E1097" s="14">
        <v>1935</v>
      </c>
      <c r="F1097" s="14">
        <v>1949.9</v>
      </c>
      <c r="G1097" s="14">
        <v>1926.9</v>
      </c>
      <c r="H1097" s="14">
        <v>1940.3</v>
      </c>
      <c r="I1097" s="14">
        <v>1940.2</v>
      </c>
      <c r="J1097" s="14">
        <v>1939.47</v>
      </c>
      <c r="K1097" t="s" s="13">
        <v>5461</v>
      </c>
      <c r="L1097" t="s" s="13">
        <v>5462</v>
      </c>
      <c r="M1097" t="s" s="13">
        <v>5463</v>
      </c>
      <c r="N1097" t="s" s="13">
        <v>5464</v>
      </c>
      <c r="O1097" s="15">
        <v>62.69</v>
      </c>
      <c r="P1097" s="30" cm="1">
        <f t="array" ref="P1097">(I1097-I1096)/I1096</f>
        <v>0.00341332230037236</v>
      </c>
      <c r="Q1097" s="15">
        <v>18120272</v>
      </c>
    </row>
    <row r="1098" ht="13.65" customHeight="1">
      <c r="A1098" t="s" s="27">
        <v>1294</v>
      </c>
      <c r="B1098" t="s" s="13">
        <v>22</v>
      </c>
      <c r="C1098" s="33">
        <v>45804</v>
      </c>
      <c r="D1098" s="14">
        <v>1940.2</v>
      </c>
      <c r="E1098" s="14">
        <v>1931.6</v>
      </c>
      <c r="F1098" s="14">
        <v>1948</v>
      </c>
      <c r="G1098" s="14">
        <v>1916.3</v>
      </c>
      <c r="H1098" s="14">
        <v>1926.8</v>
      </c>
      <c r="I1098" s="14">
        <v>1926.3</v>
      </c>
      <c r="J1098" s="14">
        <v>1927.12</v>
      </c>
      <c r="K1098" t="s" s="13">
        <v>5465</v>
      </c>
      <c r="L1098" t="s" s="13">
        <v>5466</v>
      </c>
      <c r="M1098" t="s" s="13">
        <v>5467</v>
      </c>
      <c r="N1098" t="s" s="13">
        <v>5468</v>
      </c>
      <c r="O1098" s="15">
        <v>57.8</v>
      </c>
      <c r="P1098" s="30" cm="1">
        <f t="array" ref="P1098">(I1098-I1097)/I1097</f>
        <v>-0.00716420987527059</v>
      </c>
      <c r="Q1098" s="15">
        <v>28103169</v>
      </c>
    </row>
    <row r="1099" ht="13.65" customHeight="1">
      <c r="A1099" t="s" s="27">
        <v>1294</v>
      </c>
      <c r="B1099" t="s" s="13">
        <v>22</v>
      </c>
      <c r="C1099" s="33">
        <v>45805</v>
      </c>
      <c r="D1099" s="14">
        <v>1926.3</v>
      </c>
      <c r="E1099" s="14">
        <v>1920.2</v>
      </c>
      <c r="F1099" s="14">
        <v>1934.5</v>
      </c>
      <c r="G1099" s="14">
        <v>1917.7</v>
      </c>
      <c r="H1099" s="14">
        <v>1928.4</v>
      </c>
      <c r="I1099" s="14">
        <v>1923.5</v>
      </c>
      <c r="J1099" s="14">
        <v>1922.92</v>
      </c>
      <c r="K1099" t="s" s="13">
        <v>5469</v>
      </c>
      <c r="L1099" t="s" s="13">
        <v>5470</v>
      </c>
      <c r="M1099" t="s" s="13">
        <v>5471</v>
      </c>
      <c r="N1099" t="s" s="13">
        <v>5472</v>
      </c>
      <c r="O1099" s="15">
        <v>73.28</v>
      </c>
      <c r="P1099" s="30" cm="1">
        <f t="array" ref="P1099">(I1099-I1098)/I1098</f>
        <v>-0.0014535638270259</v>
      </c>
      <c r="Q1099" s="15">
        <v>24366770</v>
      </c>
    </row>
    <row r="1100" ht="13.65" customHeight="1">
      <c r="A1100" t="s" s="27">
        <v>1294</v>
      </c>
      <c r="B1100" t="s" s="13">
        <v>22</v>
      </c>
      <c r="C1100" s="33">
        <v>45806</v>
      </c>
      <c r="D1100" s="14">
        <v>1923.5</v>
      </c>
      <c r="E1100" s="14">
        <v>1928</v>
      </c>
      <c r="F1100" s="14">
        <v>1940.8</v>
      </c>
      <c r="G1100" s="14">
        <v>1907.3</v>
      </c>
      <c r="H1100" s="14">
        <v>1937.6</v>
      </c>
      <c r="I1100" s="14">
        <v>1927.5</v>
      </c>
      <c r="J1100" s="14">
        <v>1921.28</v>
      </c>
      <c r="K1100" t="s" s="13">
        <v>5473</v>
      </c>
      <c r="L1100" t="s" s="13">
        <v>5474</v>
      </c>
      <c r="M1100" t="s" s="13">
        <v>5475</v>
      </c>
      <c r="N1100" t="s" s="13">
        <v>5476</v>
      </c>
      <c r="O1100" s="15">
        <v>55.91</v>
      </c>
      <c r="P1100" s="30" cm="1">
        <f t="array" ref="P1100">(I1100-I1099)/I1099</f>
        <v>0.00207954250064986</v>
      </c>
      <c r="Q1100" s="15">
        <v>50336968</v>
      </c>
    </row>
    <row r="1101" ht="13.65" customHeight="1">
      <c r="A1101" t="s" s="27">
        <v>1294</v>
      </c>
      <c r="B1101" t="s" s="13">
        <v>22</v>
      </c>
      <c r="C1101" s="33">
        <v>45807</v>
      </c>
      <c r="D1101" s="14">
        <v>1927.5</v>
      </c>
      <c r="E1101" s="14">
        <v>1931.9</v>
      </c>
      <c r="F1101" s="14">
        <v>1948.8</v>
      </c>
      <c r="G1101" s="14">
        <v>1925.4</v>
      </c>
      <c r="H1101" s="14">
        <v>1941.5</v>
      </c>
      <c r="I1101" s="14">
        <v>1944.9</v>
      </c>
      <c r="J1101" s="14">
        <v>1939.36</v>
      </c>
      <c r="K1101" t="s" s="13">
        <v>5477</v>
      </c>
      <c r="L1101" t="s" s="13">
        <v>5478</v>
      </c>
      <c r="M1101" t="s" s="13">
        <v>5479</v>
      </c>
      <c r="N1101" t="s" s="13">
        <v>5480</v>
      </c>
      <c r="O1101" s="15">
        <v>74.31</v>
      </c>
      <c r="P1101" s="30" cm="1">
        <f t="array" ref="P1101">(I1101-I1100)/I1100</f>
        <v>0.0090272373540856</v>
      </c>
      <c r="Q1101" s="15">
        <v>28032106</v>
      </c>
    </row>
    <row r="1102" ht="13.65" customHeight="1">
      <c r="A1102" t="s" s="27">
        <v>1294</v>
      </c>
      <c r="B1102" t="s" s="13">
        <v>22</v>
      </c>
      <c r="C1102" s="28">
        <v>45810</v>
      </c>
      <c r="D1102" s="14">
        <v>1944.9</v>
      </c>
      <c r="E1102" s="14">
        <v>1930.1</v>
      </c>
      <c r="F1102" s="14">
        <v>1936</v>
      </c>
      <c r="G1102" s="14">
        <v>1908</v>
      </c>
      <c r="H1102" s="14">
        <v>1931</v>
      </c>
      <c r="I1102" s="14">
        <v>1932.1</v>
      </c>
      <c r="J1102" s="14">
        <v>1924.65</v>
      </c>
      <c r="K1102" t="s" s="13">
        <v>5481</v>
      </c>
      <c r="L1102" t="s" s="13">
        <v>5482</v>
      </c>
      <c r="M1102" t="s" s="13">
        <v>5483</v>
      </c>
      <c r="N1102" t="s" s="13">
        <v>5484</v>
      </c>
      <c r="O1102" s="15">
        <v>65.53</v>
      </c>
      <c r="P1102" s="30" cm="1">
        <f t="array" ref="P1102">(I1102-I1101)/I1101</f>
        <v>-0.00658131523471644</v>
      </c>
      <c r="Q1102" s="15">
        <v>9856486</v>
      </c>
    </row>
    <row r="1103" ht="13.65" customHeight="1">
      <c r="A1103" t="s" s="27">
        <v>1294</v>
      </c>
      <c r="B1103" t="s" s="13">
        <v>22</v>
      </c>
      <c r="C1103" s="28">
        <v>45811</v>
      </c>
      <c r="D1103" s="14">
        <v>1932.1</v>
      </c>
      <c r="E1103" s="14">
        <v>1938</v>
      </c>
      <c r="F1103" s="14">
        <v>1952</v>
      </c>
      <c r="G1103" s="14">
        <v>1920</v>
      </c>
      <c r="H1103" s="14">
        <v>1923.5</v>
      </c>
      <c r="I1103" s="14">
        <v>1924.6</v>
      </c>
      <c r="J1103" s="14">
        <v>1933.85</v>
      </c>
      <c r="K1103" t="s" s="13">
        <v>5485</v>
      </c>
      <c r="L1103" t="s" s="13">
        <v>5486</v>
      </c>
      <c r="M1103" t="s" s="13">
        <v>5487</v>
      </c>
      <c r="N1103" t="s" s="13">
        <v>5488</v>
      </c>
      <c r="O1103" s="15">
        <v>72.89</v>
      </c>
      <c r="P1103" s="30" cm="1">
        <f t="array" ref="P1103">(I1103-I1102)/I1102</f>
        <v>-0.00388178665700533</v>
      </c>
      <c r="Q1103" s="15">
        <v>29691233</v>
      </c>
    </row>
    <row r="1104" ht="13.65" customHeight="1">
      <c r="A1104" t="s" s="27">
        <v>1294</v>
      </c>
      <c r="B1104" t="s" s="13">
        <v>22</v>
      </c>
      <c r="C1104" s="28">
        <v>45812</v>
      </c>
      <c r="D1104" s="14">
        <v>1924.6</v>
      </c>
      <c r="E1104" s="14">
        <v>1921</v>
      </c>
      <c r="F1104" s="14">
        <v>1943.3</v>
      </c>
      <c r="G1104" s="14">
        <v>1920.9</v>
      </c>
      <c r="H1104" s="14">
        <v>1939.5</v>
      </c>
      <c r="I1104" s="14">
        <v>1941.2</v>
      </c>
      <c r="J1104" s="14">
        <v>1935.52</v>
      </c>
      <c r="K1104" t="s" s="13">
        <v>5489</v>
      </c>
      <c r="L1104" t="s" s="13">
        <v>5490</v>
      </c>
      <c r="M1104" t="s" s="13">
        <v>5491</v>
      </c>
      <c r="N1104" t="s" s="13">
        <v>5492</v>
      </c>
      <c r="O1104" s="15">
        <v>71.73</v>
      </c>
      <c r="P1104" s="30" cm="1">
        <f t="array" ref="P1104">(I1104-I1103)/I1103</f>
        <v>0.00862516886625792</v>
      </c>
      <c r="Q1104" s="15">
        <v>37175628</v>
      </c>
    </row>
    <row r="1105" ht="13.65" customHeight="1">
      <c r="A1105" t="s" s="27">
        <v>1294</v>
      </c>
      <c r="B1105" t="s" s="13">
        <v>22</v>
      </c>
      <c r="C1105" s="28">
        <v>45813</v>
      </c>
      <c r="D1105" s="14">
        <v>1941.2</v>
      </c>
      <c r="E1105" s="14">
        <v>1948</v>
      </c>
      <c r="F1105" s="14">
        <v>1958.9</v>
      </c>
      <c r="G1105" s="14">
        <v>1940.2</v>
      </c>
      <c r="H1105" s="14">
        <v>1952</v>
      </c>
      <c r="I1105" s="14">
        <v>1949.6</v>
      </c>
      <c r="J1105" s="14">
        <v>1950.15</v>
      </c>
      <c r="K1105" t="s" s="13">
        <v>5493</v>
      </c>
      <c r="L1105" t="s" s="13">
        <v>5494</v>
      </c>
      <c r="M1105" t="s" s="13">
        <v>5495</v>
      </c>
      <c r="N1105" t="s" s="13">
        <v>5496</v>
      </c>
      <c r="O1105" s="15">
        <v>56.15</v>
      </c>
      <c r="P1105" s="30" cm="1">
        <f t="array" ref="P1105">(I1105-I1104)/I1104</f>
        <v>0.00432722027611787</v>
      </c>
      <c r="Q1105" s="15">
        <v>35347138</v>
      </c>
    </row>
    <row r="1106" ht="13.65" customHeight="1">
      <c r="A1106" t="s" s="27">
        <v>1294</v>
      </c>
      <c r="B1106" t="s" s="13">
        <v>22</v>
      </c>
      <c r="C1106" s="28">
        <v>45814</v>
      </c>
      <c r="D1106" s="14">
        <v>1949.6</v>
      </c>
      <c r="E1106" s="14">
        <v>1944</v>
      </c>
      <c r="F1106" s="14">
        <v>1996.3</v>
      </c>
      <c r="G1106" s="14">
        <v>1942.7</v>
      </c>
      <c r="H1106" s="14">
        <v>1978</v>
      </c>
      <c r="I1106" s="14">
        <v>1978.7</v>
      </c>
      <c r="J1106" s="14">
        <v>1976.03</v>
      </c>
      <c r="K1106" t="s" s="13">
        <v>5497</v>
      </c>
      <c r="L1106" t="s" s="13">
        <v>5498</v>
      </c>
      <c r="M1106" t="s" s="13">
        <v>5499</v>
      </c>
      <c r="N1106" t="s" s="13">
        <v>5500</v>
      </c>
      <c r="O1106" s="15">
        <v>61.13</v>
      </c>
      <c r="P1106" s="30" cm="1">
        <f t="array" ref="P1106">(I1106-I1105)/I1105</f>
        <v>0.0149261386951169</v>
      </c>
      <c r="Q1106" s="15">
        <v>44753093</v>
      </c>
    </row>
    <row r="1107" ht="13.65" customHeight="1">
      <c r="A1107" t="s" s="27">
        <v>1294</v>
      </c>
      <c r="B1107" t="s" s="13">
        <v>22</v>
      </c>
      <c r="C1107" s="28">
        <v>45817</v>
      </c>
      <c r="D1107" s="14">
        <v>1978.7</v>
      </c>
      <c r="E1107" s="14">
        <v>1995</v>
      </c>
      <c r="F1107" s="14">
        <v>1995</v>
      </c>
      <c r="G1107" s="14">
        <v>1975.9</v>
      </c>
      <c r="H1107" s="14">
        <v>1980.1</v>
      </c>
      <c r="I1107" s="14">
        <v>1978.9</v>
      </c>
      <c r="J1107" s="14">
        <v>1982.15</v>
      </c>
      <c r="K1107" t="s" s="13">
        <v>5501</v>
      </c>
      <c r="L1107" t="s" s="13">
        <v>5502</v>
      </c>
      <c r="M1107" t="s" s="13">
        <v>5503</v>
      </c>
      <c r="N1107" t="s" s="13">
        <v>5504</v>
      </c>
      <c r="O1107" s="15">
        <v>65.3</v>
      </c>
      <c r="P1107" s="30" cm="1">
        <f t="array" ref="P1107">(I1107-I1106)/I1106</f>
        <v>0.000101076464345277</v>
      </c>
      <c r="Q1107" s="15">
        <v>30985247</v>
      </c>
    </row>
    <row r="1108" ht="13.65" customHeight="1">
      <c r="A1108" t="s" s="27">
        <v>1294</v>
      </c>
      <c r="B1108" t="s" s="13">
        <v>22</v>
      </c>
      <c r="C1108" s="31">
        <v>45818</v>
      </c>
      <c r="D1108" s="14">
        <v>1978.9</v>
      </c>
      <c r="E1108" s="14">
        <v>1982.8</v>
      </c>
      <c r="F1108" s="14">
        <v>1982.8</v>
      </c>
      <c r="G1108" s="14">
        <v>1961.1</v>
      </c>
      <c r="H1108" s="14">
        <v>1962.8</v>
      </c>
      <c r="I1108" s="14">
        <v>1965.3</v>
      </c>
      <c r="J1108" s="14">
        <v>1967.94</v>
      </c>
      <c r="K1108" t="s" s="13">
        <v>5505</v>
      </c>
      <c r="L1108" t="s" s="13">
        <v>5506</v>
      </c>
      <c r="M1108" t="s" s="13">
        <v>5507</v>
      </c>
      <c r="N1108" t="s" s="13">
        <v>5508</v>
      </c>
      <c r="O1108" s="15">
        <v>69.95</v>
      </c>
      <c r="P1108" s="30" cm="1">
        <f t="array" ref="P1108">(I1108-I1107)/I1107</f>
        <v>-0.00687250492697964</v>
      </c>
      <c r="Q1108" s="15">
        <v>44444755</v>
      </c>
    </row>
    <row r="1109" ht="13.65" customHeight="1">
      <c r="A1109" t="s" s="27">
        <v>1294</v>
      </c>
      <c r="B1109" t="s" s="13">
        <v>22</v>
      </c>
      <c r="C1109" s="31">
        <v>45819</v>
      </c>
      <c r="D1109" s="14">
        <v>1965.3</v>
      </c>
      <c r="E1109" s="14">
        <v>1967.6</v>
      </c>
      <c r="F1109" s="14">
        <v>1967.6</v>
      </c>
      <c r="G1109" s="14">
        <v>1947</v>
      </c>
      <c r="H1109" s="14">
        <v>1947.9</v>
      </c>
      <c r="I1109" s="14">
        <v>1950.4</v>
      </c>
      <c r="J1109" s="14">
        <v>1956.28</v>
      </c>
      <c r="K1109" t="s" s="13">
        <v>5509</v>
      </c>
      <c r="L1109" t="s" s="13">
        <v>5510</v>
      </c>
      <c r="M1109" t="s" s="13">
        <v>5511</v>
      </c>
      <c r="N1109" t="s" s="13">
        <v>5512</v>
      </c>
      <c r="O1109" s="15">
        <v>78.97</v>
      </c>
      <c r="P1109" s="30" cm="1">
        <f t="array" ref="P1109">(I1109-I1108)/I1108</f>
        <v>-0.00758153971403857</v>
      </c>
      <c r="Q1109" s="15">
        <v>32766854</v>
      </c>
    </row>
    <row r="1110" ht="13.65" customHeight="1">
      <c r="A1110" t="s" s="27">
        <v>1294</v>
      </c>
      <c r="B1110" t="s" s="13">
        <v>22</v>
      </c>
      <c r="C1110" s="31">
        <v>45820</v>
      </c>
      <c r="D1110" s="14">
        <v>1950.4</v>
      </c>
      <c r="E1110" s="14">
        <v>1950</v>
      </c>
      <c r="F1110" s="14">
        <v>1961</v>
      </c>
      <c r="G1110" s="14">
        <v>1935.3</v>
      </c>
      <c r="H1110" s="14">
        <v>1940</v>
      </c>
      <c r="I1110" s="14">
        <v>1943.4</v>
      </c>
      <c r="J1110" s="14">
        <v>1945.18</v>
      </c>
      <c r="K1110" t="s" s="13">
        <v>5513</v>
      </c>
      <c r="L1110" t="s" s="13">
        <v>5514</v>
      </c>
      <c r="M1110" t="s" s="13">
        <v>5515</v>
      </c>
      <c r="N1110" t="s" s="13">
        <v>5516</v>
      </c>
      <c r="O1110" s="15">
        <v>57.61</v>
      </c>
      <c r="P1110" s="30" cm="1">
        <f t="array" ref="P1110">(I1110-I1109)/I1109</f>
        <v>-0.0035890073831009</v>
      </c>
      <c r="Q1110" s="15">
        <v>36022727</v>
      </c>
    </row>
    <row r="1111" ht="13.65" customHeight="1">
      <c r="A1111" t="s" s="27">
        <v>1294</v>
      </c>
      <c r="B1111" t="s" s="13">
        <v>22</v>
      </c>
      <c r="C1111" s="31">
        <v>45821</v>
      </c>
      <c r="D1111" s="14">
        <v>1943.4</v>
      </c>
      <c r="E1111" s="14">
        <v>1920</v>
      </c>
      <c r="F1111" s="14">
        <v>1933</v>
      </c>
      <c r="G1111" s="14">
        <v>1913</v>
      </c>
      <c r="H1111" s="14">
        <v>1919.5</v>
      </c>
      <c r="I1111" s="14">
        <v>1917.6</v>
      </c>
      <c r="J1111" s="14">
        <v>1920.08</v>
      </c>
      <c r="K1111" t="s" s="13">
        <v>5517</v>
      </c>
      <c r="L1111" t="s" s="13">
        <v>5518</v>
      </c>
      <c r="M1111" t="s" s="13">
        <v>5519</v>
      </c>
      <c r="N1111" t="s" s="13">
        <v>5520</v>
      </c>
      <c r="O1111" s="15">
        <v>68.62</v>
      </c>
      <c r="P1111" s="30" cm="1">
        <f t="array" ref="P1111">(I1111-I1110)/I1110</f>
        <v>-0.0132757023772769</v>
      </c>
      <c r="Q1111" s="15">
        <v>38191942</v>
      </c>
    </row>
    <row r="1112" ht="13.65" customHeight="1">
      <c r="A1112" t="s" s="27">
        <v>1294</v>
      </c>
      <c r="B1112" t="s" s="13">
        <v>22</v>
      </c>
      <c r="C1112" s="31">
        <v>45824</v>
      </c>
      <c r="D1112" s="14">
        <v>1917.6</v>
      </c>
      <c r="E1112" s="14">
        <v>1924</v>
      </c>
      <c r="F1112" s="14">
        <v>1938.9</v>
      </c>
      <c r="G1112" s="14">
        <v>1920.1</v>
      </c>
      <c r="H1112" s="14">
        <v>1936.9</v>
      </c>
      <c r="I1112" s="14">
        <v>1935.4</v>
      </c>
      <c r="J1112" s="14">
        <v>1933.31</v>
      </c>
      <c r="K1112" t="s" s="13">
        <v>5521</v>
      </c>
      <c r="L1112" t="s" s="13">
        <v>5522</v>
      </c>
      <c r="M1112" t="s" s="13">
        <v>5523</v>
      </c>
      <c r="N1112" t="s" s="13">
        <v>5524</v>
      </c>
      <c r="O1112" s="15">
        <v>81.81999999999999</v>
      </c>
      <c r="P1112" s="30" cm="1">
        <f t="array" ref="P1112">(I1112-I1111)/I1111</f>
        <v>0.00928243637880684</v>
      </c>
      <c r="Q1112" s="15">
        <v>37780235</v>
      </c>
    </row>
    <row r="1113" ht="13.65" customHeight="1">
      <c r="A1113" t="s" s="27">
        <v>1294</v>
      </c>
      <c r="B1113" t="s" s="13">
        <v>22</v>
      </c>
      <c r="C1113" s="31">
        <v>45825</v>
      </c>
      <c r="D1113" s="14">
        <v>1935.4</v>
      </c>
      <c r="E1113" s="14">
        <v>1937</v>
      </c>
      <c r="F1113" s="14">
        <v>1941.6</v>
      </c>
      <c r="G1113" s="14">
        <v>1919.1</v>
      </c>
      <c r="H1113" s="14">
        <v>1926</v>
      </c>
      <c r="I1113" s="14">
        <v>1929.6</v>
      </c>
      <c r="J1113" s="14">
        <v>1927.55</v>
      </c>
      <c r="K1113" t="s" s="13">
        <v>5525</v>
      </c>
      <c r="L1113" t="s" s="13">
        <v>5526</v>
      </c>
      <c r="M1113" t="s" s="13">
        <v>5527</v>
      </c>
      <c r="N1113" t="s" s="13">
        <v>5528</v>
      </c>
      <c r="O1113" s="15">
        <v>68.76000000000001</v>
      </c>
      <c r="P1113" s="30" cm="1">
        <f t="array" ref="P1113">(I1113-I1112)/I1112</f>
        <v>-0.00299679652784954</v>
      </c>
      <c r="Q1113" s="15">
        <v>36688248</v>
      </c>
    </row>
    <row r="1114" ht="13.65" customHeight="1">
      <c r="A1114" t="s" s="27">
        <v>1294</v>
      </c>
      <c r="B1114" t="s" s="13">
        <v>22</v>
      </c>
      <c r="C1114" s="31">
        <v>45826</v>
      </c>
      <c r="D1114" s="14">
        <v>1929.6</v>
      </c>
      <c r="E1114" s="14">
        <v>1917</v>
      </c>
      <c r="F1114" s="14">
        <v>1936.3</v>
      </c>
      <c r="G1114" s="14">
        <v>1917</v>
      </c>
      <c r="H1114" s="14">
        <v>1932.5</v>
      </c>
      <c r="I1114" s="14">
        <v>1933.9</v>
      </c>
      <c r="J1114" s="14">
        <v>1928.12</v>
      </c>
      <c r="K1114" t="s" s="13">
        <v>5529</v>
      </c>
      <c r="L1114" t="s" s="13">
        <v>5530</v>
      </c>
      <c r="M1114" t="s" s="13">
        <v>5531</v>
      </c>
      <c r="N1114" t="s" s="13">
        <v>5532</v>
      </c>
      <c r="O1114" s="15">
        <v>79.34999999999999</v>
      </c>
      <c r="P1114" s="30" cm="1">
        <f t="array" ref="P1114">(I1114-I1113)/I1113</f>
        <v>0.00222844112769486</v>
      </c>
      <c r="Q1114" s="15">
        <v>32042827</v>
      </c>
    </row>
    <row r="1115" ht="13.65" customHeight="1">
      <c r="A1115" t="s" s="27">
        <v>1294</v>
      </c>
      <c r="B1115" t="s" s="13">
        <v>22</v>
      </c>
      <c r="C1115" s="31">
        <v>45827</v>
      </c>
      <c r="D1115" s="14">
        <v>1933.9</v>
      </c>
      <c r="E1115" s="14">
        <v>1933.9</v>
      </c>
      <c r="F1115" s="14">
        <v>1946.8</v>
      </c>
      <c r="G1115" s="14">
        <v>1925.6</v>
      </c>
      <c r="H1115" s="14">
        <v>1933.1</v>
      </c>
      <c r="I1115" s="14">
        <v>1935.3</v>
      </c>
      <c r="J1115" s="14">
        <v>1937.61</v>
      </c>
      <c r="K1115" t="s" s="13">
        <v>5533</v>
      </c>
      <c r="L1115" t="s" s="13">
        <v>5534</v>
      </c>
      <c r="M1115" t="s" s="13">
        <v>5535</v>
      </c>
      <c r="N1115" t="s" s="13">
        <v>5536</v>
      </c>
      <c r="O1115" s="15">
        <v>60.24</v>
      </c>
      <c r="P1115" s="30" cm="1">
        <f t="array" ref="P1115">(I1115-I1114)/I1114</f>
        <v>0.000723925745902063</v>
      </c>
      <c r="Q1115" s="15">
        <v>21071666</v>
      </c>
    </row>
    <row r="1116" ht="13.65" customHeight="1">
      <c r="A1116" t="s" s="27">
        <v>1294</v>
      </c>
      <c r="B1116" t="s" s="13">
        <v>22</v>
      </c>
      <c r="C1116" s="31">
        <v>45828</v>
      </c>
      <c r="D1116" s="14">
        <v>1935.3</v>
      </c>
      <c r="E1116" s="14">
        <v>1931.6</v>
      </c>
      <c r="F1116" s="14">
        <v>1969.9</v>
      </c>
      <c r="G1116" s="14">
        <v>1931.6</v>
      </c>
      <c r="H1116" s="14">
        <v>1963.1</v>
      </c>
      <c r="I1116" s="14">
        <v>1964.7</v>
      </c>
      <c r="J1116" s="14">
        <v>1960.39</v>
      </c>
      <c r="K1116" t="s" s="13">
        <v>5537</v>
      </c>
      <c r="L1116" t="s" s="13">
        <v>5538</v>
      </c>
      <c r="M1116" t="s" s="13">
        <v>5539</v>
      </c>
      <c r="N1116" t="s" s="13">
        <v>5540</v>
      </c>
      <c r="O1116" s="15">
        <v>80.45</v>
      </c>
      <c r="P1116" s="30" cm="1">
        <f t="array" ref="P1116">(I1116-I1115)/I1115</f>
        <v>0.0151914431871028</v>
      </c>
      <c r="Q1116" s="15">
        <v>38183839</v>
      </c>
    </row>
    <row r="1117" ht="13.65" customHeight="1">
      <c r="A1117" t="s" s="27">
        <v>1294</v>
      </c>
      <c r="B1117" t="s" s="13">
        <v>22</v>
      </c>
      <c r="C1117" s="31">
        <v>45831</v>
      </c>
      <c r="D1117" s="14">
        <v>1964.7</v>
      </c>
      <c r="E1117" s="14">
        <v>1948.4</v>
      </c>
      <c r="F1117" s="14">
        <v>1957.9</v>
      </c>
      <c r="G1117" s="14">
        <v>1941.8</v>
      </c>
      <c r="H1117" s="14">
        <v>1948.1</v>
      </c>
      <c r="I1117" s="14">
        <v>1948.4</v>
      </c>
      <c r="J1117" s="14">
        <v>1948.19</v>
      </c>
      <c r="K1117" t="s" s="13">
        <v>5541</v>
      </c>
      <c r="L1117" t="s" s="13">
        <v>5542</v>
      </c>
      <c r="M1117" t="s" s="13">
        <v>5543</v>
      </c>
      <c r="N1117" t="s" s="13">
        <v>5544</v>
      </c>
      <c r="O1117" s="15">
        <v>70.47</v>
      </c>
      <c r="P1117" s="30" cm="1">
        <f t="array" ref="P1117">(I1117-I1116)/I1116</f>
        <v>-0.008296432025245579</v>
      </c>
      <c r="Q1117" s="15">
        <v>21928849</v>
      </c>
    </row>
    <row r="1118" ht="13.65" customHeight="1">
      <c r="A1118" t="s" s="27">
        <v>1294</v>
      </c>
      <c r="B1118" t="s" s="13">
        <v>22</v>
      </c>
      <c r="C1118" s="31">
        <v>45832</v>
      </c>
      <c r="D1118" s="14">
        <v>1948.4</v>
      </c>
      <c r="E1118" s="14">
        <v>1965</v>
      </c>
      <c r="F1118" s="14">
        <v>1979</v>
      </c>
      <c r="G1118" s="14">
        <v>1955.6</v>
      </c>
      <c r="H1118" s="14">
        <v>1963.7</v>
      </c>
      <c r="I1118" s="14">
        <v>1960.9</v>
      </c>
      <c r="J1118" s="14">
        <v>1964.12</v>
      </c>
      <c r="K1118" t="s" s="13">
        <v>5545</v>
      </c>
      <c r="L1118" t="s" s="13">
        <v>5546</v>
      </c>
      <c r="M1118" t="s" s="13">
        <v>5547</v>
      </c>
      <c r="N1118" t="s" s="13">
        <v>5548</v>
      </c>
      <c r="O1118" s="15">
        <v>49.42</v>
      </c>
      <c r="P1118" s="30" cm="1">
        <f t="array" ref="P1118">(I1118-I1117)/I1117</f>
        <v>0.00641552042701704</v>
      </c>
      <c r="Q1118" s="15">
        <v>52884712</v>
      </c>
    </row>
    <row r="1119" ht="13.65" customHeight="1">
      <c r="A1119" t="s" s="27">
        <v>1294</v>
      </c>
      <c r="B1119" t="s" s="13">
        <v>22</v>
      </c>
      <c r="C1119" s="31">
        <v>45833</v>
      </c>
      <c r="D1119" s="14">
        <v>1960.9</v>
      </c>
      <c r="E1119" s="14">
        <v>1966</v>
      </c>
      <c r="F1119" s="14">
        <v>1982</v>
      </c>
      <c r="G1119" s="14">
        <v>1963.9</v>
      </c>
      <c r="H1119" s="14">
        <v>1980</v>
      </c>
      <c r="I1119" s="14">
        <v>1980.2</v>
      </c>
      <c r="J1119" s="14">
        <v>1977.13</v>
      </c>
      <c r="K1119" t="s" s="13">
        <v>5549</v>
      </c>
      <c r="L1119" t="s" s="13">
        <v>5550</v>
      </c>
      <c r="M1119" t="s" s="13">
        <v>5551</v>
      </c>
      <c r="N1119" t="s" s="13">
        <v>5552</v>
      </c>
      <c r="O1119" s="15">
        <v>74.51000000000001</v>
      </c>
      <c r="P1119" s="30" cm="1">
        <f t="array" ref="P1119">(I1119-I1118)/I1118</f>
        <v>0.00984241929726146</v>
      </c>
      <c r="Q1119" s="15">
        <v>31988783</v>
      </c>
    </row>
    <row r="1120" ht="13.65" customHeight="1">
      <c r="A1120" t="s" s="27">
        <v>1294</v>
      </c>
      <c r="B1120" t="s" s="13">
        <v>22</v>
      </c>
      <c r="C1120" s="31">
        <v>45834</v>
      </c>
      <c r="D1120" s="14">
        <v>1980.2</v>
      </c>
      <c r="E1120" s="14">
        <v>1981.4</v>
      </c>
      <c r="F1120" s="14">
        <v>2027.1</v>
      </c>
      <c r="G1120" s="14">
        <v>1980</v>
      </c>
      <c r="H1120" s="14">
        <v>2017.7</v>
      </c>
      <c r="I1120" s="14">
        <v>2021.8</v>
      </c>
      <c r="J1120" s="14">
        <v>2011.21</v>
      </c>
      <c r="K1120" t="s" s="13">
        <v>5553</v>
      </c>
      <c r="L1120" t="s" s="13">
        <v>5554</v>
      </c>
      <c r="M1120" t="s" s="13">
        <v>5555</v>
      </c>
      <c r="N1120" t="s" s="13">
        <v>5556</v>
      </c>
      <c r="O1120" s="15">
        <v>68.20999999999999</v>
      </c>
      <c r="P1120" s="30" cm="1">
        <f t="array" ref="P1120">(I1120-I1119)/I1119</f>
        <v>0.021007978992021</v>
      </c>
      <c r="Q1120" s="15">
        <v>27647379</v>
      </c>
    </row>
    <row r="1121" ht="13.65" customHeight="1">
      <c r="A1121" t="s" s="27">
        <v>1294</v>
      </c>
      <c r="B1121" t="s" s="13">
        <v>22</v>
      </c>
      <c r="C1121" s="31">
        <v>45835</v>
      </c>
      <c r="D1121" s="14">
        <v>2021.8</v>
      </c>
      <c r="E1121" s="14">
        <v>2013</v>
      </c>
      <c r="F1121" s="14">
        <v>2019.8</v>
      </c>
      <c r="G1121" s="14">
        <v>1993.4</v>
      </c>
      <c r="H1121" s="14">
        <v>2011.5</v>
      </c>
      <c r="I1121" s="14">
        <v>2014.9</v>
      </c>
      <c r="J1121" s="14">
        <v>2011.75</v>
      </c>
      <c r="K1121" t="s" s="13">
        <v>5557</v>
      </c>
      <c r="L1121" t="s" s="13">
        <v>5558</v>
      </c>
      <c r="M1121" t="s" s="13">
        <v>5559</v>
      </c>
      <c r="N1121" t="s" s="13">
        <v>5560</v>
      </c>
      <c r="O1121" s="15">
        <v>83.58</v>
      </c>
      <c r="P1121" s="30" cm="1">
        <f t="array" ref="P1121">(I1121-I1120)/I1120</f>
        <v>-0.00341280047482441</v>
      </c>
      <c r="Q1121" s="15">
        <v>11751459</v>
      </c>
    </row>
    <row r="1122" ht="13.65" customHeight="1">
      <c r="A1122" t="s" s="27">
        <v>1294</v>
      </c>
      <c r="B1122" t="s" s="13">
        <v>22</v>
      </c>
      <c r="C1122" s="31">
        <v>45838</v>
      </c>
      <c r="D1122" s="14">
        <v>2014.9</v>
      </c>
      <c r="E1122" s="14">
        <v>2011.5</v>
      </c>
      <c r="F1122" s="14">
        <v>2013.8</v>
      </c>
      <c r="G1122" s="14">
        <v>1995.5</v>
      </c>
      <c r="H1122" s="14">
        <v>2000</v>
      </c>
      <c r="I1122" s="14">
        <v>2001.5</v>
      </c>
      <c r="J1122" s="14">
        <v>2001.16</v>
      </c>
      <c r="K1122" t="s" s="13">
        <v>5561</v>
      </c>
      <c r="L1122" t="s" s="13">
        <v>5562</v>
      </c>
      <c r="M1122" t="s" s="13">
        <v>5563</v>
      </c>
      <c r="N1122" t="s" s="13">
        <v>5564</v>
      </c>
      <c r="O1122" s="15">
        <v>73.64</v>
      </c>
      <c r="P1122" s="30" cm="1">
        <f t="array" ref="P1122">(I1122-I1121)/I1121</f>
        <v>-0.00665045411682962</v>
      </c>
      <c r="Q1122" s="15">
        <v>7132074</v>
      </c>
    </row>
    <row r="1123" ht="13.65" customHeight="1">
      <c r="A1123" t="s" s="27">
        <v>1294</v>
      </c>
      <c r="B1123" t="s" s="13">
        <v>22</v>
      </c>
      <c r="C1123" s="28">
        <v>45839</v>
      </c>
      <c r="D1123" s="14">
        <v>2001.5</v>
      </c>
      <c r="E1123" s="14">
        <v>2005</v>
      </c>
      <c r="F1123" s="14">
        <v>2016</v>
      </c>
      <c r="G1123" s="14">
        <v>2004</v>
      </c>
      <c r="H1123" s="14">
        <v>2011.1</v>
      </c>
      <c r="I1123" s="14">
        <v>2012.1</v>
      </c>
      <c r="J1123" s="14">
        <v>2010.15</v>
      </c>
      <c r="K1123" t="s" s="13">
        <v>5565</v>
      </c>
      <c r="L1123" t="s" s="13">
        <v>5566</v>
      </c>
      <c r="M1123" t="s" s="13">
        <v>5567</v>
      </c>
      <c r="N1123" t="s" s="13">
        <v>5568</v>
      </c>
      <c r="O1123" s="15">
        <v>68.04000000000001</v>
      </c>
      <c r="P1123" s="30" cm="1">
        <f t="array" ref="P1123">(I1123-I1122)/I1122</f>
        <v>0.00529602797901574</v>
      </c>
      <c r="Q1123" s="15">
        <v>10963454</v>
      </c>
    </row>
    <row r="1124" ht="13.65" customHeight="1">
      <c r="A1124" t="s" s="27">
        <v>1294</v>
      </c>
      <c r="B1124" t="s" s="13">
        <v>22</v>
      </c>
      <c r="C1124" s="28">
        <v>45840</v>
      </c>
      <c r="D1124" s="14">
        <v>2012.1</v>
      </c>
      <c r="E1124" s="14">
        <v>2019.9</v>
      </c>
      <c r="F1124" s="14">
        <v>2019.9</v>
      </c>
      <c r="G1124" s="14">
        <v>1977.9</v>
      </c>
      <c r="H1124" s="14">
        <v>1985.5</v>
      </c>
      <c r="I1124" s="14">
        <v>1986</v>
      </c>
      <c r="J1124" s="14">
        <v>1990.25</v>
      </c>
      <c r="K1124" t="s" s="13">
        <v>5569</v>
      </c>
      <c r="L1124" t="s" s="13">
        <v>5570</v>
      </c>
      <c r="M1124" t="s" s="13">
        <v>5571</v>
      </c>
      <c r="N1124" t="s" s="13">
        <v>5572</v>
      </c>
      <c r="O1124" s="15">
        <v>69.04000000000001</v>
      </c>
      <c r="P1124" s="30" cm="1">
        <f t="array" ref="P1124">(I1124-I1123)/I1123</f>
        <v>-0.0129715222901446</v>
      </c>
      <c r="Q1124" s="15">
        <v>33155849</v>
      </c>
    </row>
    <row r="1125" ht="13.65" customHeight="1">
      <c r="A1125" t="s" s="27">
        <v>1294</v>
      </c>
      <c r="B1125" t="s" s="13">
        <v>22</v>
      </c>
      <c r="C1125" s="28">
        <v>45841</v>
      </c>
      <c r="D1125" s="14">
        <v>1986</v>
      </c>
      <c r="E1125" s="14">
        <v>1994.9</v>
      </c>
      <c r="F1125" s="14">
        <v>2008</v>
      </c>
      <c r="G1125" s="14">
        <v>1984.3</v>
      </c>
      <c r="H1125" s="14">
        <v>1985.9</v>
      </c>
      <c r="I1125" s="14">
        <v>1987.1</v>
      </c>
      <c r="J1125" s="14">
        <v>1993.22</v>
      </c>
      <c r="K1125" t="s" s="13">
        <v>5573</v>
      </c>
      <c r="L1125" t="s" s="13">
        <v>5574</v>
      </c>
      <c r="M1125" t="s" s="13">
        <v>5575</v>
      </c>
      <c r="N1125" t="s" s="13">
        <v>5576</v>
      </c>
      <c r="O1125" s="15">
        <v>47.7</v>
      </c>
      <c r="P1125" s="30" cm="1">
        <f t="array" ref="P1125">(I1125-I1124)/I1124</f>
        <v>0.000553877139979859</v>
      </c>
      <c r="Q1125" s="15">
        <v>13545749</v>
      </c>
    </row>
    <row r="1126" ht="13.65" customHeight="1">
      <c r="A1126" t="s" s="27">
        <v>1294</v>
      </c>
      <c r="B1126" t="s" s="13">
        <v>22</v>
      </c>
      <c r="C1126" s="28">
        <v>45842</v>
      </c>
      <c r="D1126" s="14">
        <v>1987.1</v>
      </c>
      <c r="E1126" s="14">
        <v>1987.1</v>
      </c>
      <c r="F1126" s="14">
        <v>2003.5</v>
      </c>
      <c r="G1126" s="14">
        <v>1980</v>
      </c>
      <c r="H1126" s="14">
        <v>1992.7</v>
      </c>
      <c r="I1126" s="14">
        <v>1989.3</v>
      </c>
      <c r="J1126" s="14">
        <v>1987.51</v>
      </c>
      <c r="K1126" t="s" s="13">
        <v>5577</v>
      </c>
      <c r="L1126" t="s" s="13">
        <v>5578</v>
      </c>
      <c r="M1126" t="s" s="13">
        <v>5579</v>
      </c>
      <c r="N1126" t="s" s="13">
        <v>5580</v>
      </c>
      <c r="O1126" s="15">
        <v>60.69</v>
      </c>
      <c r="P1126" s="30" cm="1">
        <f t="array" ref="P1126">(I1126-I1125)/I1125</f>
        <v>0.00110714105983594</v>
      </c>
      <c r="Q1126" s="15">
        <v>9360853</v>
      </c>
    </row>
    <row r="1127" ht="13.65" customHeight="1">
      <c r="A1127" t="s" s="27">
        <v>1294</v>
      </c>
      <c r="B1127" t="s" s="13">
        <v>22</v>
      </c>
      <c r="C1127" s="28">
        <v>45845</v>
      </c>
      <c r="D1127" s="14">
        <v>1989.3</v>
      </c>
      <c r="E1127" s="14">
        <v>1989</v>
      </c>
      <c r="F1127" s="14">
        <v>1998.4</v>
      </c>
      <c r="G1127" s="14">
        <v>1983.8</v>
      </c>
      <c r="H1127" s="14">
        <v>1985.5</v>
      </c>
      <c r="I1127" s="14">
        <v>1987.4</v>
      </c>
      <c r="J1127" s="14">
        <v>1989.37</v>
      </c>
      <c r="K1127" t="s" s="13">
        <v>5581</v>
      </c>
      <c r="L1127" t="s" s="13">
        <v>5582</v>
      </c>
      <c r="M1127" t="s" s="13">
        <v>5583</v>
      </c>
      <c r="N1127" t="s" s="13">
        <v>5584</v>
      </c>
      <c r="O1127" s="15">
        <v>63.09</v>
      </c>
      <c r="P1127" s="30" cm="1">
        <f t="array" ref="P1127">(I1127-I1126)/I1126</f>
        <v>-0.000955109837631328</v>
      </c>
      <c r="Q1127" s="15">
        <v>13699996</v>
      </c>
    </row>
    <row r="1128" ht="13.65" customHeight="1">
      <c r="A1128" t="s" s="27">
        <v>1294</v>
      </c>
      <c r="B1128" t="s" s="13">
        <v>22</v>
      </c>
      <c r="C1128" s="28">
        <v>45846</v>
      </c>
      <c r="D1128" s="14">
        <v>1987.4</v>
      </c>
      <c r="E1128" s="14">
        <v>1977</v>
      </c>
      <c r="F1128" s="14">
        <v>2005</v>
      </c>
      <c r="G1128" s="14">
        <v>1977</v>
      </c>
      <c r="H1128" s="14">
        <v>1999.4</v>
      </c>
      <c r="I1128" s="14">
        <v>2001.4</v>
      </c>
      <c r="J1128" s="14">
        <v>1992.88</v>
      </c>
      <c r="K1128" t="s" s="13">
        <v>5585</v>
      </c>
      <c r="L1128" t="s" s="13">
        <v>5586</v>
      </c>
      <c r="M1128" t="s" s="13">
        <v>5587</v>
      </c>
      <c r="N1128" t="s" s="13">
        <v>5588</v>
      </c>
      <c r="O1128" s="15">
        <v>62</v>
      </c>
      <c r="P1128" s="30" cm="1">
        <f t="array" ref="P1128">(I1128-I1127)/I1127</f>
        <v>0.00704437959142598</v>
      </c>
      <c r="Q1128" s="15">
        <v>17927849</v>
      </c>
    </row>
    <row r="1129" ht="13.65" customHeight="1">
      <c r="A1129" t="s" s="27">
        <v>1294</v>
      </c>
      <c r="B1129" t="s" s="13">
        <v>22</v>
      </c>
      <c r="C1129" s="28">
        <v>45847</v>
      </c>
      <c r="D1129" s="14">
        <v>2001.4</v>
      </c>
      <c r="E1129" s="14">
        <v>2007</v>
      </c>
      <c r="F1129" s="14">
        <v>2013.8</v>
      </c>
      <c r="G1129" s="14">
        <v>1998.1</v>
      </c>
      <c r="H1129" s="14">
        <v>2008.5</v>
      </c>
      <c r="I1129" s="14">
        <v>2011.2</v>
      </c>
      <c r="J1129" s="14">
        <v>2007.1</v>
      </c>
      <c r="K1129" t="s" s="13">
        <v>5589</v>
      </c>
      <c r="L1129" t="s" s="13">
        <v>5590</v>
      </c>
      <c r="M1129" t="s" s="13">
        <v>5591</v>
      </c>
      <c r="N1129" t="s" s="13">
        <v>5592</v>
      </c>
      <c r="O1129" s="15">
        <v>68.91</v>
      </c>
      <c r="P1129" s="30" cm="1">
        <f t="array" ref="P1129">(I1129-I1128)/I1128</f>
        <v>0.00489657239932048</v>
      </c>
      <c r="Q1129" s="15">
        <v>13540411</v>
      </c>
    </row>
    <row r="1130" ht="13.65" customHeight="1">
      <c r="A1130" t="s" s="27">
        <v>1294</v>
      </c>
      <c r="B1130" t="s" s="13">
        <v>22</v>
      </c>
      <c r="C1130" s="31">
        <v>45848</v>
      </c>
      <c r="D1130" s="14">
        <v>2011.2</v>
      </c>
      <c r="E1130" s="14">
        <v>2016</v>
      </c>
      <c r="F1130" s="14">
        <v>2017</v>
      </c>
      <c r="G1130" s="14">
        <v>2000</v>
      </c>
      <c r="H1130" s="14">
        <v>2002.8</v>
      </c>
      <c r="I1130" s="14">
        <v>2006.2</v>
      </c>
      <c r="J1130" s="14">
        <v>2008.54</v>
      </c>
      <c r="K1130" t="s" s="13">
        <v>5593</v>
      </c>
      <c r="L1130" t="s" s="13">
        <v>5594</v>
      </c>
      <c r="M1130" t="s" s="13">
        <v>5595</v>
      </c>
      <c r="N1130" t="s" s="13">
        <v>5596</v>
      </c>
      <c r="O1130" s="15">
        <v>54.07</v>
      </c>
      <c r="P1130" s="30" cm="1">
        <f t="array" ref="P1130">(I1130-I1129)/I1129</f>
        <v>-0.00248607796340493</v>
      </c>
      <c r="Q1130" s="15">
        <v>25952384</v>
      </c>
    </row>
    <row r="1131" ht="13.65" customHeight="1">
      <c r="A1131" t="s" s="27">
        <v>1294</v>
      </c>
      <c r="B1131" t="s" s="13">
        <v>22</v>
      </c>
      <c r="C1131" s="31">
        <v>45849</v>
      </c>
      <c r="D1131" s="14">
        <v>2006.2</v>
      </c>
      <c r="E1131" s="14">
        <v>1998</v>
      </c>
      <c r="F1131" s="14">
        <v>2004.8</v>
      </c>
      <c r="G1131" s="14">
        <v>1980.9</v>
      </c>
      <c r="H1131" s="14">
        <v>1983</v>
      </c>
      <c r="I1131" s="14">
        <v>1983.7</v>
      </c>
      <c r="J1131" s="14">
        <v>1987.41</v>
      </c>
      <c r="K1131" t="s" s="13">
        <v>5597</v>
      </c>
      <c r="L1131" t="s" s="13">
        <v>5598</v>
      </c>
      <c r="M1131" t="s" s="13">
        <v>5599</v>
      </c>
      <c r="N1131" t="s" s="13">
        <v>5600</v>
      </c>
      <c r="O1131" s="15">
        <v>79.23999999999999</v>
      </c>
      <c r="P1131" s="30" cm="1">
        <f t="array" ref="P1131">(I1131-I1130)/I1130</f>
        <v>-0.011215232778387</v>
      </c>
      <c r="Q1131" s="15">
        <v>14912404</v>
      </c>
    </row>
    <row r="1132" ht="13.65" customHeight="1">
      <c r="A1132" t="s" s="27">
        <v>1294</v>
      </c>
      <c r="B1132" t="s" s="13">
        <v>1323</v>
      </c>
      <c r="C1132" s="31">
        <v>45852</v>
      </c>
      <c r="D1132" s="14">
        <v>1743.35</v>
      </c>
      <c r="E1132" s="14">
        <v>1983</v>
      </c>
      <c r="F1132" s="14">
        <v>1983</v>
      </c>
      <c r="G1132" s="14">
        <v>1983</v>
      </c>
      <c r="H1132" s="14">
        <v>1983</v>
      </c>
      <c r="I1132" s="14">
        <v>1983</v>
      </c>
      <c r="J1132" s="14">
        <v>1983</v>
      </c>
      <c r="K1132" t="s" s="13">
        <v>5601</v>
      </c>
      <c r="L1132" t="s" s="13">
        <v>5602</v>
      </c>
      <c r="M1132" s="15">
        <v>1</v>
      </c>
      <c r="N1132" t="s" s="13">
        <v>1326</v>
      </c>
      <c r="O1132" t="s" s="13">
        <v>1326</v>
      </c>
      <c r="P1132" s="30" cm="1">
        <f t="array" ref="P1132">(I1132-I1131)/I1131</f>
        <v>-0.000352875938902052</v>
      </c>
      <c r="Q1132" s="15">
        <v>19080922</v>
      </c>
    </row>
    <row r="1133" ht="13.65" customHeight="1">
      <c r="A1133" t="s" s="27">
        <v>1294</v>
      </c>
      <c r="B1133" t="s" s="13">
        <v>22</v>
      </c>
      <c r="C1133" s="31">
        <v>45852</v>
      </c>
      <c r="D1133" s="14">
        <v>1983.7</v>
      </c>
      <c r="E1133" s="14">
        <v>1983</v>
      </c>
      <c r="F1133" s="14">
        <v>1988.7</v>
      </c>
      <c r="G1133" s="14">
        <v>1970.6</v>
      </c>
      <c r="H1133" s="14">
        <v>1982.9</v>
      </c>
      <c r="I1133" s="14">
        <v>1983</v>
      </c>
      <c r="J1133" s="14">
        <v>1978.8</v>
      </c>
      <c r="K1133" t="s" s="13">
        <v>5603</v>
      </c>
      <c r="L1133" t="s" s="13">
        <v>5604</v>
      </c>
      <c r="M1133" t="s" s="13">
        <v>5605</v>
      </c>
      <c r="N1133" t="s" s="13">
        <v>5606</v>
      </c>
      <c r="O1133" s="15">
        <v>75.37</v>
      </c>
      <c r="P1133" s="30" cm="1">
        <f t="array" ref="P1133">(I1133-I1132)/I1132</f>
        <v>0</v>
      </c>
      <c r="Q1133" s="15">
        <v>20049088</v>
      </c>
    </row>
    <row r="1134" ht="13.65" customHeight="1">
      <c r="A1134" t="s" s="27">
        <v>1294</v>
      </c>
      <c r="B1134" t="s" s="13">
        <v>22</v>
      </c>
      <c r="C1134" s="31">
        <v>45853</v>
      </c>
      <c r="D1134" s="14">
        <v>1983</v>
      </c>
      <c r="E1134" s="14">
        <v>1973</v>
      </c>
      <c r="F1134" s="14">
        <v>2003.6</v>
      </c>
      <c r="G1134" s="14">
        <v>1973</v>
      </c>
      <c r="H1134" s="14">
        <v>1998</v>
      </c>
      <c r="I1134" s="14">
        <v>1995.5</v>
      </c>
      <c r="J1134" s="14">
        <v>1993.02</v>
      </c>
      <c r="K1134" t="s" s="13">
        <v>5607</v>
      </c>
      <c r="L1134" t="s" s="13">
        <v>5608</v>
      </c>
      <c r="M1134" t="s" s="13">
        <v>5609</v>
      </c>
      <c r="N1134" t="s" s="13">
        <v>5610</v>
      </c>
      <c r="O1134" s="15">
        <v>56.15</v>
      </c>
      <c r="P1134" s="30" cm="1">
        <f t="array" ref="P1134">(I1134-I1133)/I1133</f>
        <v>0.00630358043368633</v>
      </c>
      <c r="Q1134" s="15">
        <v>9790060</v>
      </c>
    </row>
    <row r="1135" ht="13.65" customHeight="1">
      <c r="A1135" t="s" s="27">
        <v>1294</v>
      </c>
      <c r="B1135" t="s" s="13">
        <v>22</v>
      </c>
      <c r="C1135" s="31">
        <v>45854</v>
      </c>
      <c r="D1135" s="14">
        <v>1995.5</v>
      </c>
      <c r="E1135" s="14">
        <v>2018</v>
      </c>
      <c r="F1135" s="14">
        <v>2022.7</v>
      </c>
      <c r="G1135" s="14">
        <v>1992.6</v>
      </c>
      <c r="H1135" s="14">
        <v>1996</v>
      </c>
      <c r="I1135" s="14">
        <v>1996.3</v>
      </c>
      <c r="J1135" s="14">
        <v>2005.54</v>
      </c>
      <c r="K1135" t="s" s="13">
        <v>5611</v>
      </c>
      <c r="L1135" t="s" s="13">
        <v>5612</v>
      </c>
      <c r="M1135" t="s" s="13">
        <v>5613</v>
      </c>
      <c r="N1135" t="s" s="13">
        <v>5614</v>
      </c>
      <c r="O1135" s="15">
        <v>58.52</v>
      </c>
      <c r="P1135" s="30" cm="1">
        <f t="array" ref="P1135">(I1135-I1134)/I1134</f>
        <v>0.000400902029566525</v>
      </c>
      <c r="Q1135" s="15">
        <v>11988618</v>
      </c>
    </row>
    <row r="1136" ht="13.65" customHeight="1">
      <c r="A1136" t="s" s="27">
        <v>1294</v>
      </c>
      <c r="B1136" t="s" s="13">
        <v>22</v>
      </c>
      <c r="C1136" s="31">
        <v>45855</v>
      </c>
      <c r="D1136" s="14">
        <v>1996.3</v>
      </c>
      <c r="E1136" s="14">
        <v>2004</v>
      </c>
      <c r="F1136" s="14">
        <v>2004.8</v>
      </c>
      <c r="G1136" s="14">
        <v>1982.7</v>
      </c>
      <c r="H1136" s="14">
        <v>1986</v>
      </c>
      <c r="I1136" s="14">
        <v>1986.9</v>
      </c>
      <c r="J1136" s="14">
        <v>1991.85</v>
      </c>
      <c r="K1136" t="s" s="13">
        <v>5615</v>
      </c>
      <c r="L1136" t="s" s="13">
        <v>5616</v>
      </c>
      <c r="M1136" t="s" s="13">
        <v>5617</v>
      </c>
      <c r="N1136" t="s" s="13">
        <v>5618</v>
      </c>
      <c r="O1136" s="15">
        <v>56.52</v>
      </c>
      <c r="P1136" s="30" cm="1">
        <f t="array" ref="P1136">(I1136-I1135)/I1135</f>
        <v>-0.00470871111556379</v>
      </c>
      <c r="Q1136" s="15">
        <v>11844809</v>
      </c>
    </row>
    <row r="1137" ht="13.65" customHeight="1">
      <c r="A1137" t="s" s="27">
        <v>1294</v>
      </c>
      <c r="B1137" t="s" s="13">
        <v>22</v>
      </c>
      <c r="C1137" s="31">
        <v>45856</v>
      </c>
      <c r="D1137" s="14">
        <v>1986.9</v>
      </c>
      <c r="E1137" s="14">
        <v>1986.9</v>
      </c>
      <c r="F1137" s="14">
        <v>1997</v>
      </c>
      <c r="G1137" s="14">
        <v>1953</v>
      </c>
      <c r="H1137" s="14">
        <v>1956</v>
      </c>
      <c r="I1137" s="14">
        <v>1957.4</v>
      </c>
      <c r="J1137" s="14">
        <v>1968.8</v>
      </c>
      <c r="K1137" t="s" s="13">
        <v>5619</v>
      </c>
      <c r="L1137" t="s" s="13">
        <v>5620</v>
      </c>
      <c r="M1137" t="s" s="13">
        <v>5621</v>
      </c>
      <c r="N1137" t="s" s="13">
        <v>5622</v>
      </c>
      <c r="O1137" s="15">
        <v>68.51000000000001</v>
      </c>
      <c r="P1137" s="30" cm="1">
        <f t="array" ref="P1137">(I1137-I1136)/I1136</f>
        <v>-0.014847249484121</v>
      </c>
      <c r="Q1137" s="15">
        <v>15322830</v>
      </c>
    </row>
    <row r="1138" ht="13.65" customHeight="1">
      <c r="A1138" t="s" s="27">
        <v>1294</v>
      </c>
      <c r="B1138" t="s" s="13">
        <v>22</v>
      </c>
      <c r="C1138" s="31">
        <v>45859</v>
      </c>
      <c r="D1138" s="14">
        <v>1957.4</v>
      </c>
      <c r="E1138" s="14">
        <v>1978.2</v>
      </c>
      <c r="F1138" s="14">
        <v>2002</v>
      </c>
      <c r="G1138" s="14">
        <v>1976.5</v>
      </c>
      <c r="H1138" s="14">
        <v>2001.5</v>
      </c>
      <c r="I1138" s="14">
        <v>2000.5</v>
      </c>
      <c r="J1138" s="14">
        <v>1993.45</v>
      </c>
      <c r="K1138" t="s" s="13">
        <v>5623</v>
      </c>
      <c r="L1138" t="s" s="13">
        <v>5624</v>
      </c>
      <c r="M1138" t="s" s="13">
        <v>5625</v>
      </c>
      <c r="N1138" t="s" s="13">
        <v>5626</v>
      </c>
      <c r="O1138" s="15">
        <v>58.6</v>
      </c>
      <c r="P1138" s="30" cm="1">
        <f t="array" ref="P1138">(I1138-I1137)/I1137</f>
        <v>0.0220190048022888</v>
      </c>
      <c r="Q1138" s="15">
        <v>15294322</v>
      </c>
    </row>
    <row r="1139" ht="13.65" customHeight="1">
      <c r="A1139" t="s" s="27">
        <v>1294</v>
      </c>
      <c r="B1139" t="s" s="13">
        <v>22</v>
      </c>
      <c r="C1139" s="31">
        <v>45860</v>
      </c>
      <c r="D1139" s="14">
        <v>2000.5</v>
      </c>
      <c r="E1139" s="14">
        <v>2013.1</v>
      </c>
      <c r="F1139" s="14">
        <v>2018</v>
      </c>
      <c r="G1139" s="14">
        <v>2003</v>
      </c>
      <c r="H1139" s="14">
        <v>2005</v>
      </c>
      <c r="I1139" s="14">
        <v>2007.1</v>
      </c>
      <c r="J1139" s="14">
        <v>2009.05</v>
      </c>
      <c r="K1139" t="s" s="13">
        <v>5627</v>
      </c>
      <c r="L1139" t="s" s="13">
        <v>5628</v>
      </c>
      <c r="M1139" t="s" s="13">
        <v>5629</v>
      </c>
      <c r="N1139" t="s" s="13">
        <v>5630</v>
      </c>
      <c r="O1139" s="15">
        <v>71.27</v>
      </c>
      <c r="P1139" s="30" cm="1">
        <f t="array" ref="P1139">(I1139-I1138)/I1138</f>
        <v>0.00329917520619845</v>
      </c>
      <c r="Q1139" s="15">
        <v>12901022</v>
      </c>
    </row>
    <row r="1140" ht="13.65" customHeight="1">
      <c r="A1140" t="s" s="27">
        <v>1294</v>
      </c>
      <c r="B1140" t="s" s="13">
        <v>22</v>
      </c>
      <c r="C1140" s="31">
        <v>45861</v>
      </c>
      <c r="D1140" s="14">
        <v>2007.1</v>
      </c>
      <c r="E1140" s="14">
        <v>2011</v>
      </c>
      <c r="F1140" s="14">
        <v>2029.8</v>
      </c>
      <c r="G1140" s="14">
        <v>2003</v>
      </c>
      <c r="H1140" s="14">
        <v>2024.5</v>
      </c>
      <c r="I1140" s="14">
        <v>2024.3</v>
      </c>
      <c r="J1140" s="14">
        <v>2019.97</v>
      </c>
      <c r="K1140" t="s" s="13">
        <v>5631</v>
      </c>
      <c r="L1140" t="s" s="13">
        <v>5632</v>
      </c>
      <c r="M1140" t="s" s="13">
        <v>5633</v>
      </c>
      <c r="N1140" t="s" s="13">
        <v>5634</v>
      </c>
      <c r="O1140" s="15">
        <v>71.69</v>
      </c>
      <c r="P1140" s="30" cm="1">
        <f t="array" ref="P1140">(I1140-I1139)/I1139</f>
        <v>0.008569577998106721</v>
      </c>
      <c r="Q1140" s="15">
        <v>12843366</v>
      </c>
    </row>
    <row r="1141" ht="13.65" customHeight="1">
      <c r="A1141" t="s" s="27">
        <v>1294</v>
      </c>
      <c r="B1141" t="s" s="13">
        <v>22</v>
      </c>
      <c r="C1141" s="31">
        <v>45862</v>
      </c>
      <c r="D1141" s="14">
        <v>2024.3</v>
      </c>
      <c r="E1141" s="14">
        <v>2037.7</v>
      </c>
      <c r="F1141" s="14">
        <v>2037.7</v>
      </c>
      <c r="G1141" s="14">
        <v>2008.4</v>
      </c>
      <c r="H1141" s="14">
        <v>2011.7</v>
      </c>
      <c r="I1141" s="14">
        <v>2014.2</v>
      </c>
      <c r="J1141" s="14">
        <v>2019.12</v>
      </c>
      <c r="K1141" t="s" s="13">
        <v>5635</v>
      </c>
      <c r="L1141" t="s" s="13">
        <v>5636</v>
      </c>
      <c r="M1141" t="s" s="13">
        <v>5637</v>
      </c>
      <c r="N1141" t="s" s="13">
        <v>5638</v>
      </c>
      <c r="O1141" s="15">
        <v>62.24</v>
      </c>
      <c r="P1141" s="30" cm="1">
        <f t="array" ref="P1141">(I1141-I1140)/I1140</f>
        <v>-0.00498937904460801</v>
      </c>
      <c r="Q1141" s="15">
        <v>14528169</v>
      </c>
    </row>
    <row r="1142" ht="13.65" customHeight="1">
      <c r="A1142" t="s" s="27">
        <v>1294</v>
      </c>
      <c r="B1142" t="s" s="13">
        <v>22</v>
      </c>
      <c r="C1142" s="31">
        <v>45863</v>
      </c>
      <c r="D1142" s="14">
        <v>2014.2</v>
      </c>
      <c r="E1142" s="14">
        <v>2015</v>
      </c>
      <c r="F1142" s="14">
        <v>2015</v>
      </c>
      <c r="G1142" s="14">
        <v>1999</v>
      </c>
      <c r="H1142" s="14">
        <v>2005</v>
      </c>
      <c r="I1142" s="14">
        <v>2004.6</v>
      </c>
      <c r="J1142" s="14">
        <v>2005.63</v>
      </c>
      <c r="K1142" t="s" s="13">
        <v>5639</v>
      </c>
      <c r="L1142" t="s" s="13">
        <v>5640</v>
      </c>
      <c r="M1142" t="s" s="13">
        <v>5641</v>
      </c>
      <c r="N1142" t="s" s="13">
        <v>5642</v>
      </c>
      <c r="O1142" s="15">
        <v>57.38</v>
      </c>
      <c r="P1142" s="30" cm="1">
        <f t="array" ref="P1142">(I1142-I1141)/I1141</f>
        <v>-0.00476616026213881</v>
      </c>
      <c r="Q1142" s="15">
        <v>15448777</v>
      </c>
    </row>
    <row r="1143" ht="13.65" customHeight="1">
      <c r="A1143" t="s" s="27">
        <v>1294</v>
      </c>
      <c r="B1143" t="s" s="13">
        <v>22</v>
      </c>
      <c r="C1143" s="31">
        <v>45866</v>
      </c>
      <c r="D1143" s="14">
        <v>2004.6</v>
      </c>
      <c r="E1143" s="14">
        <v>2003</v>
      </c>
      <c r="F1143" s="14">
        <v>2021.4</v>
      </c>
      <c r="G1143" s="14">
        <v>2000.5</v>
      </c>
      <c r="H1143" s="14">
        <v>2009.9</v>
      </c>
      <c r="I1143" s="14">
        <v>2008.5</v>
      </c>
      <c r="J1143" s="14">
        <v>2011.08</v>
      </c>
      <c r="K1143" t="s" s="13">
        <v>5643</v>
      </c>
      <c r="L1143" t="s" s="13">
        <v>5644</v>
      </c>
      <c r="M1143" t="s" s="13">
        <v>5645</v>
      </c>
      <c r="N1143" t="s" s="13">
        <v>5646</v>
      </c>
      <c r="O1143" s="15">
        <v>70.8</v>
      </c>
      <c r="P1143" s="30" cm="1">
        <f t="array" ref="P1143">(I1143-I1142)/I1142</f>
        <v>0.00194552529182879</v>
      </c>
      <c r="Q1143" s="15">
        <v>27316662</v>
      </c>
    </row>
    <row r="1144" ht="13.65" customHeight="1">
      <c r="A1144" t="s" s="27">
        <v>1294</v>
      </c>
      <c r="B1144" t="s" s="13">
        <v>22</v>
      </c>
      <c r="C1144" s="31">
        <v>45867</v>
      </c>
      <c r="D1144" s="14">
        <v>2008.5</v>
      </c>
      <c r="E1144" s="14">
        <v>1999.9</v>
      </c>
      <c r="F1144" s="14">
        <v>2026.5</v>
      </c>
      <c r="G1144" s="14">
        <v>1996.3</v>
      </c>
      <c r="H1144" s="14">
        <v>2023</v>
      </c>
      <c r="I1144" s="14">
        <v>2021.6</v>
      </c>
      <c r="J1144" s="14">
        <v>2015.07</v>
      </c>
      <c r="K1144" t="s" s="13">
        <v>5647</v>
      </c>
      <c r="L1144" t="s" s="13">
        <v>5648</v>
      </c>
      <c r="M1144" t="s" s="13">
        <v>5649</v>
      </c>
      <c r="N1144" t="s" s="13">
        <v>5650</v>
      </c>
      <c r="O1144" s="15">
        <v>69.48999999999999</v>
      </c>
      <c r="P1144" s="30" cm="1">
        <f t="array" ref="P1144">(I1144-I1143)/I1143</f>
        <v>0.00652228030868808</v>
      </c>
      <c r="Q1144" s="15">
        <v>16746566</v>
      </c>
    </row>
    <row r="1145" ht="13.65" customHeight="1">
      <c r="A1145" t="s" s="27">
        <v>1294</v>
      </c>
      <c r="B1145" t="s" s="13">
        <v>22</v>
      </c>
      <c r="C1145" s="31">
        <v>45868</v>
      </c>
      <c r="D1145" s="14">
        <v>2021.6</v>
      </c>
      <c r="E1145" s="14">
        <v>2028</v>
      </c>
      <c r="F1145" s="14">
        <v>2032.6</v>
      </c>
      <c r="G1145" s="14">
        <v>2017</v>
      </c>
      <c r="H1145" s="14">
        <v>2025.9</v>
      </c>
      <c r="I1145" s="14">
        <v>2025.8</v>
      </c>
      <c r="J1145" s="14">
        <v>2023.94</v>
      </c>
      <c r="K1145" t="s" s="13">
        <v>5651</v>
      </c>
      <c r="L1145" t="s" s="13">
        <v>5652</v>
      </c>
      <c r="M1145" t="s" s="13">
        <v>5653</v>
      </c>
      <c r="N1145" t="s" s="13">
        <v>5654</v>
      </c>
      <c r="O1145" s="15">
        <v>69.84</v>
      </c>
      <c r="P1145" s="30" cm="1">
        <f t="array" ref="P1145">(I1145-I1144)/I1144</f>
        <v>0.00207756232686981</v>
      </c>
      <c r="Q1145" s="15">
        <v>15988807</v>
      </c>
    </row>
    <row r="1146" ht="13.65" customHeight="1">
      <c r="A1146" t="s" s="27">
        <v>1294</v>
      </c>
      <c r="B1146" t="s" s="13">
        <v>22</v>
      </c>
      <c r="C1146" s="31">
        <v>45869</v>
      </c>
      <c r="D1146" s="14">
        <v>2025.8</v>
      </c>
      <c r="E1146" s="14">
        <v>2014.6</v>
      </c>
      <c r="F1146" s="14">
        <v>2031.4</v>
      </c>
      <c r="G1146" s="14">
        <v>2008</v>
      </c>
      <c r="H1146" s="14">
        <v>2018</v>
      </c>
      <c r="I1146" s="14">
        <v>2018.2</v>
      </c>
      <c r="J1146" s="14">
        <v>2020.81</v>
      </c>
      <c r="K1146" t="s" s="13">
        <v>5655</v>
      </c>
      <c r="L1146" t="s" s="13">
        <v>5656</v>
      </c>
      <c r="M1146" t="s" s="13">
        <v>5657</v>
      </c>
      <c r="N1146" t="s" s="13">
        <v>5658</v>
      </c>
      <c r="O1146" s="15">
        <v>42.05</v>
      </c>
      <c r="P1146" s="30" cm="1">
        <f t="array" ref="P1146">(I1146-I1145)/I1145</f>
        <v>-0.00375160430447231</v>
      </c>
      <c r="Q1146" s="15">
        <v>25536848</v>
      </c>
    </row>
    <row r="1147" ht="13.65" customHeight="1">
      <c r="A1147" t="s" s="27">
        <v>1294</v>
      </c>
      <c r="B1147" t="s" s="13">
        <v>22</v>
      </c>
      <c r="C1147" s="28">
        <v>45870</v>
      </c>
      <c r="D1147" s="14">
        <v>2018.2</v>
      </c>
      <c r="E1147" s="14">
        <v>2014</v>
      </c>
      <c r="F1147" s="14">
        <v>2028.3</v>
      </c>
      <c r="G1147" s="14">
        <v>2009.3</v>
      </c>
      <c r="H1147" s="14">
        <v>2016.9</v>
      </c>
      <c r="I1147" s="14">
        <v>2012.2</v>
      </c>
      <c r="J1147" s="14">
        <v>2015.24</v>
      </c>
      <c r="K1147" t="s" s="13">
        <v>5659</v>
      </c>
      <c r="L1147" t="s" s="13">
        <v>5660</v>
      </c>
      <c r="M1147" t="s" s="13">
        <v>5661</v>
      </c>
      <c r="N1147" t="s" s="13">
        <v>5662</v>
      </c>
      <c r="O1147" s="15">
        <v>68.53</v>
      </c>
      <c r="P1147" s="30" cm="1">
        <f t="array" ref="P1147">(I1147-I1146)/I1146</f>
        <v>-0.00297294618967397</v>
      </c>
      <c r="Q1147" s="15">
        <v>19494356</v>
      </c>
    </row>
    <row r="1148" ht="13.65" customHeight="1">
      <c r="A1148" t="s" s="27">
        <v>1294</v>
      </c>
      <c r="B1148" t="s" s="13">
        <v>22</v>
      </c>
      <c r="C1148" s="28">
        <v>45873</v>
      </c>
      <c r="D1148" s="14">
        <v>2012.2</v>
      </c>
      <c r="E1148" s="14">
        <v>2010.1</v>
      </c>
      <c r="F1148" s="14">
        <v>2018.5</v>
      </c>
      <c r="G1148" s="14">
        <v>1988.1</v>
      </c>
      <c r="H1148" s="14">
        <v>1994.4</v>
      </c>
      <c r="I1148" s="14">
        <v>1992</v>
      </c>
      <c r="J1148" s="14">
        <v>1997.96</v>
      </c>
      <c r="K1148" t="s" s="13">
        <v>5663</v>
      </c>
      <c r="L1148" t="s" s="13">
        <v>5664</v>
      </c>
      <c r="M1148" t="s" s="13">
        <v>5665</v>
      </c>
      <c r="N1148" t="s" s="13">
        <v>5666</v>
      </c>
      <c r="O1148" s="15">
        <v>77.40000000000001</v>
      </c>
      <c r="P1148" s="30" cm="1">
        <f t="array" ref="P1148">(I1148-I1147)/I1147</f>
        <v>-0.0100387635423914</v>
      </c>
      <c r="Q1148" s="15">
        <v>24989383</v>
      </c>
    </row>
    <row r="1149" ht="13.65" customHeight="1">
      <c r="A1149" t="s" s="27">
        <v>1294</v>
      </c>
      <c r="B1149" t="s" s="13">
        <v>22</v>
      </c>
      <c r="C1149" s="28">
        <v>45874</v>
      </c>
      <c r="D1149" s="14">
        <v>1992</v>
      </c>
      <c r="E1149" s="14">
        <v>1986.5</v>
      </c>
      <c r="F1149" s="14">
        <v>1994.4</v>
      </c>
      <c r="G1149" s="14">
        <v>1965.5</v>
      </c>
      <c r="H1149" s="14">
        <v>1981</v>
      </c>
      <c r="I1149" s="14">
        <v>1977.6</v>
      </c>
      <c r="J1149" s="14">
        <v>1975.61</v>
      </c>
      <c r="K1149" t="s" s="13">
        <v>5667</v>
      </c>
      <c r="L1149" t="s" s="13">
        <v>5668</v>
      </c>
      <c r="M1149" t="s" s="13">
        <v>5669</v>
      </c>
      <c r="N1149" t="s" s="13">
        <v>5670</v>
      </c>
      <c r="O1149" s="15">
        <v>72.45</v>
      </c>
      <c r="P1149" s="30" cm="1">
        <f t="array" ref="P1149">(I1149-I1148)/I1148</f>
        <v>-0.0072289156626506</v>
      </c>
      <c r="Q1149" s="15">
        <v>32204053</v>
      </c>
    </row>
    <row r="1150" ht="13.65" customHeight="1">
      <c r="A1150" t="s" s="27">
        <v>1294</v>
      </c>
      <c r="B1150" t="s" s="13">
        <v>22</v>
      </c>
      <c r="C1150" s="28">
        <v>45875</v>
      </c>
      <c r="D1150" s="14">
        <v>1977.6</v>
      </c>
      <c r="E1150" s="14">
        <v>1971.1</v>
      </c>
      <c r="F1150" s="14">
        <v>1988</v>
      </c>
      <c r="G1150" s="14">
        <v>1970</v>
      </c>
      <c r="H1150" s="14">
        <v>1987</v>
      </c>
      <c r="I1150" s="14">
        <v>1985.3</v>
      </c>
      <c r="J1150" s="14">
        <v>1978.39</v>
      </c>
      <c r="K1150" t="s" s="13">
        <v>5671</v>
      </c>
      <c r="L1150" t="s" s="13">
        <v>5672</v>
      </c>
      <c r="M1150" t="s" s="13">
        <v>5673</v>
      </c>
      <c r="N1150" t="s" s="13">
        <v>5674</v>
      </c>
      <c r="O1150" s="15">
        <v>73.77</v>
      </c>
      <c r="P1150" s="30" cm="1">
        <f t="array" ref="P1150">(I1150-I1149)/I1149</f>
        <v>0.00389360841423948</v>
      </c>
      <c r="Q1150" s="15">
        <v>17499897</v>
      </c>
    </row>
    <row r="1151" ht="13.65" customHeight="1">
      <c r="A1151" t="s" s="27">
        <v>1294</v>
      </c>
      <c r="B1151" t="s" s="13">
        <v>22</v>
      </c>
      <c r="C1151" s="28">
        <v>45876</v>
      </c>
      <c r="D1151" s="14">
        <v>1985.3</v>
      </c>
      <c r="E1151" s="14">
        <v>1980.1</v>
      </c>
      <c r="F1151" s="14">
        <v>2001.6</v>
      </c>
      <c r="G1151" s="14">
        <v>1976.8</v>
      </c>
      <c r="H1151" s="14">
        <v>1998</v>
      </c>
      <c r="I1151" s="14">
        <v>1995.4</v>
      </c>
      <c r="J1151" s="14">
        <v>1986.09</v>
      </c>
      <c r="K1151" t="s" s="13">
        <v>5675</v>
      </c>
      <c r="L1151" t="s" s="13">
        <v>5676</v>
      </c>
      <c r="M1151" t="s" s="13">
        <v>5677</v>
      </c>
      <c r="N1151" t="s" s="13">
        <v>5678</v>
      </c>
      <c r="O1151" s="15">
        <v>60.51</v>
      </c>
      <c r="P1151" s="30" cm="1">
        <f t="array" ref="P1151">(I1151-I1150)/I1150</f>
        <v>0.00508739233365234</v>
      </c>
      <c r="Q1151" s="15">
        <v>19850865</v>
      </c>
    </row>
    <row r="1152" ht="13.65" customHeight="1">
      <c r="A1152" t="s" s="27">
        <v>1294</v>
      </c>
      <c r="B1152" t="s" s="13">
        <v>22</v>
      </c>
      <c r="C1152" s="28">
        <v>45877</v>
      </c>
      <c r="D1152" s="14">
        <v>1995.4</v>
      </c>
      <c r="E1152" s="14">
        <v>1987.1</v>
      </c>
      <c r="F1152" s="14">
        <v>1992.8</v>
      </c>
      <c r="G1152" s="14">
        <v>1970</v>
      </c>
      <c r="H1152" s="14">
        <v>1972</v>
      </c>
      <c r="I1152" s="14">
        <v>1973.9</v>
      </c>
      <c r="J1152" s="14">
        <v>1978.99</v>
      </c>
      <c r="K1152" t="s" s="13">
        <v>5679</v>
      </c>
      <c r="L1152" t="s" s="13">
        <v>5680</v>
      </c>
      <c r="M1152" t="s" s="13">
        <v>5681</v>
      </c>
      <c r="N1152" t="s" s="13">
        <v>5682</v>
      </c>
      <c r="O1152" s="15">
        <v>70.83</v>
      </c>
      <c r="P1152" s="30" cm="1">
        <f t="array" ref="P1152">(I1152-I1151)/I1151</f>
        <v>-0.0107747819985968</v>
      </c>
      <c r="Q1152" s="15">
        <v>19813847</v>
      </c>
    </row>
    <row r="1153" ht="13.65" customHeight="1">
      <c r="A1153" t="s" s="27">
        <v>1294</v>
      </c>
      <c r="B1153" t="s" s="13">
        <v>22</v>
      </c>
      <c r="C1153" s="31">
        <v>45880</v>
      </c>
      <c r="D1153" s="14">
        <v>1973.9</v>
      </c>
      <c r="E1153" s="14">
        <v>1975.9</v>
      </c>
      <c r="F1153" s="14">
        <v>1997.6</v>
      </c>
      <c r="G1153" s="14">
        <v>1973.1</v>
      </c>
      <c r="H1153" s="14">
        <v>1992</v>
      </c>
      <c r="I1153" s="14">
        <v>1995.6</v>
      </c>
      <c r="J1153" s="14">
        <v>1986.89</v>
      </c>
      <c r="K1153" t="s" s="13">
        <v>5683</v>
      </c>
      <c r="L1153" t="s" s="13">
        <v>5684</v>
      </c>
      <c r="M1153" t="s" s="13">
        <v>5685</v>
      </c>
      <c r="N1153" t="s" s="13">
        <v>5686</v>
      </c>
      <c r="O1153" s="15">
        <v>63.56</v>
      </c>
      <c r="P1153" s="30" cm="1">
        <f t="array" ref="P1153">(I1153-I1152)/I1152</f>
        <v>0.0109934647145245</v>
      </c>
      <c r="Q1153" s="15">
        <v>20002640</v>
      </c>
    </row>
    <row r="1154" ht="13.65" customHeight="1">
      <c r="A1154" t="s" s="27">
        <v>1294</v>
      </c>
      <c r="B1154" t="s" s="13">
        <v>22</v>
      </c>
      <c r="C1154" s="31">
        <v>45881</v>
      </c>
      <c r="D1154" s="14">
        <v>1995.6</v>
      </c>
      <c r="E1154" s="14">
        <v>1991.9</v>
      </c>
      <c r="F1154" s="14">
        <v>1996</v>
      </c>
      <c r="G1154" s="14">
        <v>1967.5</v>
      </c>
      <c r="H1154" s="14">
        <v>1969.7</v>
      </c>
      <c r="I1154" s="14">
        <v>1969.9</v>
      </c>
      <c r="J1154" s="14">
        <v>1978.54</v>
      </c>
      <c r="K1154" t="s" s="13">
        <v>5687</v>
      </c>
      <c r="L1154" t="s" s="13">
        <v>5688</v>
      </c>
      <c r="M1154" t="s" s="13">
        <v>5689</v>
      </c>
      <c r="N1154" t="s" s="13">
        <v>5690</v>
      </c>
      <c r="O1154" s="15">
        <v>58.18</v>
      </c>
      <c r="P1154" s="30" cm="1">
        <f t="array" ref="P1154">(I1154-I1153)/I1153</f>
        <v>-0.0128783323311285</v>
      </c>
      <c r="Q1154" s="15">
        <v>18396408</v>
      </c>
    </row>
    <row r="1155" ht="13.65" customHeight="1">
      <c r="A1155" t="s" s="27">
        <v>1294</v>
      </c>
      <c r="B1155" t="s" s="13">
        <v>22</v>
      </c>
      <c r="C1155" s="31">
        <v>45882</v>
      </c>
      <c r="D1155" s="14">
        <v>1969.9</v>
      </c>
      <c r="E1155" s="14">
        <v>1994</v>
      </c>
      <c r="F1155" s="14">
        <v>1994</v>
      </c>
      <c r="G1155" s="14">
        <v>1969.1</v>
      </c>
      <c r="H1155" s="14">
        <v>1979.9</v>
      </c>
      <c r="I1155" s="14">
        <v>1980.3</v>
      </c>
      <c r="J1155" s="14">
        <v>1977.14</v>
      </c>
      <c r="K1155" t="s" s="13">
        <v>5691</v>
      </c>
      <c r="L1155" t="s" s="13">
        <v>5692</v>
      </c>
      <c r="M1155" t="s" s="13">
        <v>5693</v>
      </c>
      <c r="N1155" t="s" s="13">
        <v>5694</v>
      </c>
      <c r="O1155" s="15">
        <v>68.63</v>
      </c>
      <c r="P1155" s="30" cm="1">
        <f t="array" ref="P1155">(I1155-I1154)/I1154</f>
        <v>0.00527945580993959</v>
      </c>
      <c r="Q1155" s="15">
        <v>21386965</v>
      </c>
    </row>
    <row r="1156" ht="13.65" customHeight="1">
      <c r="A1156" t="s" s="27">
        <v>1294</v>
      </c>
      <c r="B1156" t="s" s="13">
        <v>22</v>
      </c>
      <c r="C1156" s="31">
        <v>45883</v>
      </c>
      <c r="D1156" s="14">
        <v>1980.3</v>
      </c>
      <c r="E1156" s="14">
        <v>1978</v>
      </c>
      <c r="F1156" s="14">
        <v>1996</v>
      </c>
      <c r="G1156" s="14">
        <v>1971.2</v>
      </c>
      <c r="H1156" s="14">
        <v>1989.5</v>
      </c>
      <c r="I1156" s="14">
        <v>1991.1</v>
      </c>
      <c r="J1156" s="14">
        <v>1990.18</v>
      </c>
      <c r="K1156" t="s" s="13">
        <v>5695</v>
      </c>
      <c r="L1156" t="s" s="13">
        <v>5696</v>
      </c>
      <c r="M1156" t="s" s="13">
        <v>5697</v>
      </c>
      <c r="N1156" t="s" s="13">
        <v>5698</v>
      </c>
      <c r="O1156" s="15">
        <v>61.67</v>
      </c>
      <c r="P1156" s="30" cm="1">
        <f t="array" ref="P1156">(I1156-I1155)/I1155</f>
        <v>0.00545371913346463</v>
      </c>
      <c r="Q1156" s="15">
        <v>14124839</v>
      </c>
    </row>
    <row r="1157" ht="13.65" customHeight="1">
      <c r="A1157" t="s" s="27">
        <v>1294</v>
      </c>
      <c r="B1157" t="s" s="13">
        <v>22</v>
      </c>
      <c r="C1157" s="31">
        <v>45887</v>
      </c>
      <c r="D1157" s="14">
        <v>1991.1</v>
      </c>
      <c r="E1157" s="14">
        <v>2010</v>
      </c>
      <c r="F1157" s="14">
        <v>2026.6</v>
      </c>
      <c r="G1157" s="14">
        <v>1995.6</v>
      </c>
      <c r="H1157" s="14">
        <v>2005</v>
      </c>
      <c r="I1157" s="14">
        <v>2003.6</v>
      </c>
      <c r="J1157" s="14">
        <v>2008.73</v>
      </c>
      <c r="K1157" t="s" s="13">
        <v>5699</v>
      </c>
      <c r="L1157" t="s" s="13">
        <v>5700</v>
      </c>
      <c r="M1157" t="s" s="13">
        <v>5701</v>
      </c>
      <c r="N1157" t="s" s="13">
        <v>5702</v>
      </c>
      <c r="O1157" s="15">
        <v>61.09</v>
      </c>
      <c r="P1157" s="30" cm="1">
        <f t="array" ref="P1157">(I1157-I1156)/I1156</f>
        <v>0.00627793681884386</v>
      </c>
      <c r="Q1157" s="15">
        <v>13137263</v>
      </c>
    </row>
    <row r="1158" ht="13.65" customHeight="1">
      <c r="A1158" t="s" s="27">
        <v>1294</v>
      </c>
      <c r="B1158" t="s" s="13">
        <v>22</v>
      </c>
      <c r="C1158" s="31">
        <v>45888</v>
      </c>
      <c r="D1158" s="14">
        <v>2003.6</v>
      </c>
      <c r="E1158" s="14">
        <v>1998.3</v>
      </c>
      <c r="F1158" s="14">
        <v>2006.1</v>
      </c>
      <c r="G1158" s="14">
        <v>1986.7</v>
      </c>
      <c r="H1158" s="14">
        <v>1990</v>
      </c>
      <c r="I1158" s="14">
        <v>1991.1</v>
      </c>
      <c r="J1158" s="14">
        <v>1995.49</v>
      </c>
      <c r="K1158" t="s" s="13">
        <v>5703</v>
      </c>
      <c r="L1158" t="s" s="13">
        <v>5704</v>
      </c>
      <c r="M1158" t="s" s="13">
        <v>5705</v>
      </c>
      <c r="N1158" t="s" s="13">
        <v>5706</v>
      </c>
      <c r="O1158" s="15">
        <v>54.35</v>
      </c>
      <c r="P1158" s="30" cm="1">
        <f t="array" ref="P1158">(I1158-I1157)/I1157</f>
        <v>-0.00623877021361549</v>
      </c>
      <c r="Q1158" s="15">
        <v>10200530</v>
      </c>
    </row>
    <row r="1159" ht="13.65" customHeight="1">
      <c r="A1159" t="s" s="27">
        <v>1294</v>
      </c>
      <c r="B1159" t="s" s="13">
        <v>22</v>
      </c>
      <c r="C1159" s="31">
        <v>45889</v>
      </c>
      <c r="D1159" s="14">
        <v>1991.1</v>
      </c>
      <c r="E1159" s="14">
        <v>1987</v>
      </c>
      <c r="F1159" s="14">
        <v>1992</v>
      </c>
      <c r="G1159" s="14">
        <v>1979</v>
      </c>
      <c r="H1159" s="14">
        <v>1988.3</v>
      </c>
      <c r="I1159" s="14">
        <v>1988.2</v>
      </c>
      <c r="J1159" s="14">
        <v>1985.13</v>
      </c>
      <c r="K1159" t="s" s="13">
        <v>5707</v>
      </c>
      <c r="L1159" t="s" s="13">
        <v>5708</v>
      </c>
      <c r="M1159" t="s" s="13">
        <v>5709</v>
      </c>
      <c r="N1159" t="s" s="13">
        <v>5710</v>
      </c>
      <c r="O1159" s="15">
        <v>65.56999999999999</v>
      </c>
      <c r="P1159" s="30" cm="1">
        <f t="array" ref="P1159">(I1159-I1158)/I1158</f>
        <v>-0.00145648134197177</v>
      </c>
      <c r="Q1159" s="15">
        <v>15988262</v>
      </c>
    </row>
    <row r="1160" ht="13.65" customHeight="1">
      <c r="A1160" t="s" s="27">
        <v>1294</v>
      </c>
      <c r="B1160" t="s" s="13">
        <v>22</v>
      </c>
      <c r="C1160" s="31">
        <v>45890</v>
      </c>
      <c r="D1160" s="14">
        <v>1988.2</v>
      </c>
      <c r="E1160" s="14">
        <v>1997.5</v>
      </c>
      <c r="F1160" s="14">
        <v>1997.5</v>
      </c>
      <c r="G1160" s="14">
        <v>1983.2</v>
      </c>
      <c r="H1160" s="14">
        <v>1990.5</v>
      </c>
      <c r="I1160" s="14">
        <v>1991.2</v>
      </c>
      <c r="J1160" s="14">
        <v>1991.62</v>
      </c>
      <c r="K1160" t="s" s="13">
        <v>5711</v>
      </c>
      <c r="L1160" t="s" s="13">
        <v>5712</v>
      </c>
      <c r="M1160" t="s" s="13">
        <v>5713</v>
      </c>
      <c r="N1160" t="s" s="13">
        <v>5714</v>
      </c>
      <c r="O1160" s="15">
        <v>63.32</v>
      </c>
      <c r="P1160" s="30" cm="1">
        <f t="array" ref="P1160">(I1160-I1159)/I1159</f>
        <v>0.00150890252489689</v>
      </c>
      <c r="Q1160" s="15">
        <v>15004568</v>
      </c>
    </row>
    <row r="1161" ht="13.65" customHeight="1">
      <c r="A1161" t="s" s="27">
        <v>1294</v>
      </c>
      <c r="B1161" t="s" s="13">
        <v>22</v>
      </c>
      <c r="C1161" s="31">
        <v>45891</v>
      </c>
      <c r="D1161" s="14">
        <v>1991.2</v>
      </c>
      <c r="E1161" s="14">
        <v>1989.9</v>
      </c>
      <c r="F1161" s="14">
        <v>1996</v>
      </c>
      <c r="G1161" s="14">
        <v>1957.1</v>
      </c>
      <c r="H1161" s="14">
        <v>1965.5</v>
      </c>
      <c r="I1161" s="14">
        <v>1964.6</v>
      </c>
      <c r="J1161" s="14">
        <v>1968.66</v>
      </c>
      <c r="K1161" t="s" s="13">
        <v>5715</v>
      </c>
      <c r="L1161" t="s" s="13">
        <v>5716</v>
      </c>
      <c r="M1161" t="s" s="13">
        <v>5717</v>
      </c>
      <c r="N1161" t="s" s="13">
        <v>5718</v>
      </c>
      <c r="O1161" s="15">
        <v>73.56999999999999</v>
      </c>
      <c r="P1161" s="30" cm="1">
        <f t="array" ref="P1161">(I1161-I1160)/I1160</f>
        <v>-0.0133587786259542</v>
      </c>
      <c r="Q1161" s="15">
        <v>22279516</v>
      </c>
    </row>
    <row r="1162" ht="13.65" customHeight="1">
      <c r="A1162" t="s" s="27">
        <v>1294</v>
      </c>
      <c r="B1162" t="s" s="13">
        <v>22</v>
      </c>
      <c r="C1162" s="31">
        <v>45894</v>
      </c>
      <c r="D1162" s="14">
        <v>1964.6</v>
      </c>
      <c r="E1162" s="14">
        <v>1960.2</v>
      </c>
      <c r="F1162" s="14">
        <v>1977.4</v>
      </c>
      <c r="G1162" s="14">
        <v>1957</v>
      </c>
      <c r="H1162" s="14">
        <v>1969.2</v>
      </c>
      <c r="I1162" s="14">
        <v>1964.1</v>
      </c>
      <c r="J1162" s="14">
        <v>1967.27</v>
      </c>
      <c r="K1162" t="s" s="13">
        <v>5719</v>
      </c>
      <c r="L1162" t="s" s="13">
        <v>5720</v>
      </c>
      <c r="M1162" t="s" s="13">
        <v>5721</v>
      </c>
      <c r="N1162" t="s" s="13">
        <v>5722</v>
      </c>
      <c r="O1162" s="15">
        <v>71.77</v>
      </c>
      <c r="P1162" s="30" cm="1">
        <f t="array" ref="P1162">(I1162-I1161)/I1161</f>
        <v>-0.000254504733788048</v>
      </c>
      <c r="Q1162" s="15">
        <v>20024544</v>
      </c>
    </row>
    <row r="1163" ht="13.65" customHeight="1">
      <c r="A1163" t="s" s="27">
        <v>1294</v>
      </c>
      <c r="B1163" t="s" s="13">
        <v>22</v>
      </c>
      <c r="C1163" s="31">
        <v>45895</v>
      </c>
      <c r="D1163" s="14">
        <v>1964.1</v>
      </c>
      <c r="E1163" s="15">
        <v>979.5</v>
      </c>
      <c r="F1163" s="15">
        <v>985.7</v>
      </c>
      <c r="G1163" s="15">
        <v>968</v>
      </c>
      <c r="H1163" s="15">
        <v>972.3</v>
      </c>
      <c r="I1163" s="15">
        <v>973.4</v>
      </c>
      <c r="J1163" s="15">
        <v>973.26</v>
      </c>
      <c r="K1163" t="s" s="13">
        <v>5723</v>
      </c>
      <c r="L1163" t="s" s="13">
        <v>5724</v>
      </c>
      <c r="M1163" t="s" s="13">
        <v>5725</v>
      </c>
      <c r="N1163" t="s" s="13">
        <v>5726</v>
      </c>
      <c r="O1163" s="15">
        <v>65.70999999999999</v>
      </c>
      <c r="P1163" s="30" cm="1">
        <f t="array" ref="P1163">(I1163-I1162)/I1162</f>
        <v>-0.504404052746805</v>
      </c>
      <c r="Q1163" s="15">
        <v>16607180</v>
      </c>
    </row>
    <row r="1164" ht="13.65" customHeight="1">
      <c r="A1164" t="s" s="27">
        <v>1294</v>
      </c>
      <c r="B1164" t="s" s="13">
        <v>22</v>
      </c>
      <c r="C1164" s="31">
        <v>45897</v>
      </c>
      <c r="D1164" s="15">
        <v>973.4</v>
      </c>
      <c r="E1164" s="15">
        <v>967</v>
      </c>
      <c r="F1164" s="15">
        <v>972.2</v>
      </c>
      <c r="G1164" s="15">
        <v>955</v>
      </c>
      <c r="H1164" s="15">
        <v>961.8</v>
      </c>
      <c r="I1164" s="15">
        <v>957.8</v>
      </c>
      <c r="J1164" s="15">
        <v>962.09</v>
      </c>
      <c r="K1164" t="s" s="13">
        <v>5727</v>
      </c>
      <c r="L1164" t="s" s="13">
        <v>5728</v>
      </c>
      <c r="M1164" t="s" s="13">
        <v>5729</v>
      </c>
      <c r="N1164" t="s" s="13">
        <v>5730</v>
      </c>
      <c r="O1164" s="15">
        <v>58.1</v>
      </c>
      <c r="P1164" s="30" cm="1">
        <f t="array" ref="P1164">(I1164-I1163)/I1163</f>
        <v>-0.0160262995685227</v>
      </c>
      <c r="Q1164" s="15">
        <v>23221330</v>
      </c>
    </row>
    <row r="1165" ht="13.65" customHeight="1">
      <c r="A1165" t="s" s="27">
        <v>1294</v>
      </c>
      <c r="B1165" t="s" s="13">
        <v>22</v>
      </c>
      <c r="C1165" s="31">
        <v>45898</v>
      </c>
      <c r="D1165" s="15">
        <v>957.8</v>
      </c>
      <c r="E1165" s="15">
        <v>954</v>
      </c>
      <c r="F1165" s="15">
        <v>963.3</v>
      </c>
      <c r="G1165" s="15">
        <v>950.1</v>
      </c>
      <c r="H1165" s="15">
        <v>953.4</v>
      </c>
      <c r="I1165" s="15">
        <v>951.6</v>
      </c>
      <c r="J1165" s="15">
        <v>955.24</v>
      </c>
      <c r="K1165" t="s" s="13">
        <v>5731</v>
      </c>
      <c r="L1165" t="s" s="13">
        <v>5732</v>
      </c>
      <c r="M1165" t="s" s="13">
        <v>5733</v>
      </c>
      <c r="N1165" t="s" s="13">
        <v>5734</v>
      </c>
      <c r="O1165" s="15">
        <v>73.68000000000001</v>
      </c>
      <c r="P1165" s="30" cm="1">
        <f t="array" ref="P1165">(I1165-I1164)/I1164</f>
        <v>-0.00647316767592399</v>
      </c>
      <c r="Q1165" s="15">
        <v>19962917</v>
      </c>
    </row>
    <row r="1166" ht="13.65" customHeight="1">
      <c r="A1166" t="s" s="27">
        <v>1294</v>
      </c>
      <c r="B1166" t="s" s="13">
        <v>22</v>
      </c>
      <c r="C1166" s="28">
        <v>45901</v>
      </c>
      <c r="D1166" s="15">
        <v>951.6</v>
      </c>
      <c r="E1166" s="15">
        <v>949.6</v>
      </c>
      <c r="F1166" s="15">
        <v>957.45</v>
      </c>
      <c r="G1166" s="15">
        <v>946.35</v>
      </c>
      <c r="H1166" s="15">
        <v>950.8</v>
      </c>
      <c r="I1166" s="15">
        <v>950.6</v>
      </c>
      <c r="J1166" s="15">
        <v>950.62</v>
      </c>
      <c r="K1166" t="s" s="13">
        <v>5735</v>
      </c>
      <c r="L1166" t="s" s="13">
        <v>5736</v>
      </c>
      <c r="M1166" t="s" s="13">
        <v>5737</v>
      </c>
      <c r="N1166" t="s" s="13">
        <v>5738</v>
      </c>
      <c r="O1166" s="15">
        <v>76.67</v>
      </c>
      <c r="P1166" s="30" cm="1">
        <f t="array" ref="P1166">(I1166-I1165)/I1165</f>
        <v>-0.00105086170659941</v>
      </c>
      <c r="Q1166" s="15">
        <v>17769445</v>
      </c>
    </row>
    <row r="1167" ht="13.65" customHeight="1">
      <c r="A1167" t="s" s="27">
        <v>1294</v>
      </c>
      <c r="B1167" t="s" s="13">
        <v>22</v>
      </c>
      <c r="C1167" s="28">
        <v>45902</v>
      </c>
      <c r="D1167" s="15">
        <v>950.6</v>
      </c>
      <c r="E1167" s="15">
        <v>951</v>
      </c>
      <c r="F1167" s="15">
        <v>954.8</v>
      </c>
      <c r="G1167" s="15">
        <v>944</v>
      </c>
      <c r="H1167" s="15">
        <v>944.7</v>
      </c>
      <c r="I1167" s="15">
        <v>944.5</v>
      </c>
      <c r="J1167" s="15">
        <v>948.8</v>
      </c>
      <c r="K1167" t="s" s="13">
        <v>5739</v>
      </c>
      <c r="L1167" t="s" s="13">
        <v>5740</v>
      </c>
      <c r="M1167" t="s" s="13">
        <v>5741</v>
      </c>
      <c r="N1167" t="s" s="13">
        <v>5742</v>
      </c>
      <c r="O1167" s="15">
        <v>60.3</v>
      </c>
      <c r="P1167" s="30" cm="1">
        <f t="array" ref="P1167">(I1167-I1166)/I1166</f>
        <v>-0.00641699978960656</v>
      </c>
      <c r="Q1167" s="15">
        <v>33904289</v>
      </c>
    </row>
    <row r="1168" ht="13.65" customHeight="1">
      <c r="A1168" t="s" s="27">
        <v>1294</v>
      </c>
      <c r="B1168" t="s" s="13">
        <v>22</v>
      </c>
      <c r="C1168" s="28">
        <v>45903</v>
      </c>
      <c r="D1168" s="15">
        <v>944.5</v>
      </c>
      <c r="E1168" s="15">
        <v>945</v>
      </c>
      <c r="F1168" s="15">
        <v>956.3</v>
      </c>
      <c r="G1168" s="15">
        <v>940</v>
      </c>
      <c r="H1168" s="15">
        <v>953.95</v>
      </c>
      <c r="I1168" s="15">
        <v>954.45</v>
      </c>
      <c r="J1168" s="15">
        <v>947.66</v>
      </c>
      <c r="K1168" t="s" s="13">
        <v>5743</v>
      </c>
      <c r="L1168" t="s" s="13">
        <v>5744</v>
      </c>
      <c r="M1168" t="s" s="13">
        <v>5745</v>
      </c>
      <c r="N1168" t="s" s="13">
        <v>5746</v>
      </c>
      <c r="O1168" s="15">
        <v>68.94</v>
      </c>
      <c r="P1168" s="30" cm="1">
        <f t="array" ref="P1168">(I1168-I1167)/I1167</f>
        <v>0.0105346744309158</v>
      </c>
      <c r="Q1168" s="15">
        <v>15700796</v>
      </c>
    </row>
    <row r="1169" ht="13.65" customHeight="1">
      <c r="A1169" t="s" s="27">
        <v>1294</v>
      </c>
      <c r="B1169" t="s" s="13">
        <v>22</v>
      </c>
      <c r="C1169" s="28">
        <v>45904</v>
      </c>
      <c r="D1169" s="15">
        <v>954.45</v>
      </c>
      <c r="E1169" s="15">
        <v>960.2</v>
      </c>
      <c r="F1169" s="15">
        <v>965.7</v>
      </c>
      <c r="G1169" s="15">
        <v>956.25</v>
      </c>
      <c r="H1169" s="15">
        <v>960.95</v>
      </c>
      <c r="I1169" s="15">
        <v>961.25</v>
      </c>
      <c r="J1169" s="15">
        <v>961.34</v>
      </c>
      <c r="K1169" t="s" s="13">
        <v>5747</v>
      </c>
      <c r="L1169" t="s" s="13">
        <v>5748</v>
      </c>
      <c r="M1169" t="s" s="13">
        <v>5749</v>
      </c>
      <c r="N1169" t="s" s="13">
        <v>5750</v>
      </c>
      <c r="O1169" s="15">
        <v>55.83</v>
      </c>
      <c r="P1169" s="30" cm="1">
        <f t="array" ref="P1169">(I1169-I1168)/I1168</f>
        <v>0.00712452197600712</v>
      </c>
      <c r="Q1169" s="15">
        <v>17707768</v>
      </c>
    </row>
    <row r="1170" ht="13.65" customHeight="1">
      <c r="A1170" t="s" s="27">
        <v>1294</v>
      </c>
      <c r="B1170" t="s" s="13">
        <v>22</v>
      </c>
      <c r="C1170" s="28">
        <v>45905</v>
      </c>
      <c r="D1170" s="15">
        <v>961.25</v>
      </c>
      <c r="E1170" s="15">
        <v>967.5</v>
      </c>
      <c r="F1170" s="15">
        <v>967.5</v>
      </c>
      <c r="G1170" s="15">
        <v>954.05</v>
      </c>
      <c r="H1170" s="15">
        <v>962.6</v>
      </c>
      <c r="I1170" s="15">
        <v>963.4</v>
      </c>
      <c r="J1170" s="15">
        <v>960.7</v>
      </c>
      <c r="K1170" t="s" s="13">
        <v>5751</v>
      </c>
      <c r="L1170" t="s" s="13">
        <v>5752</v>
      </c>
      <c r="M1170" t="s" s="13">
        <v>5753</v>
      </c>
      <c r="N1170" t="s" s="13">
        <v>5754</v>
      </c>
      <c r="O1170" s="15">
        <v>69.18000000000001</v>
      </c>
      <c r="P1170" s="30" cm="1">
        <f t="array" ref="P1170">(I1170-I1169)/I1169</f>
        <v>0.00223667100130039</v>
      </c>
      <c r="Q1170" s="15">
        <v>43526526</v>
      </c>
    </row>
    <row r="1171" ht="13.65" customHeight="1">
      <c r="A1171" t="s" s="27">
        <v>1294</v>
      </c>
      <c r="B1171" t="s" s="13">
        <v>22</v>
      </c>
      <c r="C1171" s="28">
        <v>45908</v>
      </c>
      <c r="D1171" s="15">
        <v>963.4</v>
      </c>
      <c r="E1171" s="15">
        <v>969</v>
      </c>
      <c r="F1171" s="15">
        <v>973.15</v>
      </c>
      <c r="G1171" s="15">
        <v>960.45</v>
      </c>
      <c r="H1171" s="15">
        <v>967.35</v>
      </c>
      <c r="I1171" s="15">
        <v>966</v>
      </c>
      <c r="J1171" s="15">
        <v>967.58</v>
      </c>
      <c r="K1171" t="s" s="13">
        <v>5755</v>
      </c>
      <c r="L1171" t="s" s="13">
        <v>5756</v>
      </c>
      <c r="M1171" t="s" s="13">
        <v>5757</v>
      </c>
      <c r="N1171" t="s" s="13">
        <v>5758</v>
      </c>
      <c r="O1171" s="15">
        <v>65.95</v>
      </c>
      <c r="P1171" s="30" cm="1">
        <f t="array" ref="P1171">(I1171-I1170)/I1170</f>
        <v>0.00269877517126842</v>
      </c>
      <c r="Q1171" s="15">
        <v>3471600</v>
      </c>
    </row>
    <row r="1172" ht="13.65" customHeight="1">
      <c r="A1172" t="s" s="27">
        <v>1294</v>
      </c>
      <c r="B1172" t="s" s="13">
        <v>22</v>
      </c>
      <c r="C1172" s="28">
        <v>45909</v>
      </c>
      <c r="D1172" s="15">
        <v>966</v>
      </c>
      <c r="E1172" s="15">
        <v>974</v>
      </c>
      <c r="F1172" s="15">
        <v>974.4</v>
      </c>
      <c r="G1172" s="15">
        <v>962.7</v>
      </c>
      <c r="H1172" s="15">
        <v>966.45</v>
      </c>
      <c r="I1172" s="15">
        <v>965.15</v>
      </c>
      <c r="J1172" s="15">
        <v>967.8099999999999</v>
      </c>
      <c r="K1172" t="s" s="13">
        <v>5759</v>
      </c>
      <c r="L1172" t="s" s="13">
        <v>5760</v>
      </c>
      <c r="M1172" t="s" s="13">
        <v>5761</v>
      </c>
      <c r="N1172" t="s" s="13">
        <v>5762</v>
      </c>
      <c r="O1172" s="15">
        <v>62.02</v>
      </c>
      <c r="P1172" s="30" cm="1">
        <f t="array" ref="P1172">(I1172-I1171)/I1171</f>
        <v>-0.00087991718426501</v>
      </c>
      <c r="Q1172" s="15">
        <v>22195202</v>
      </c>
    </row>
    <row r="1173" ht="13.65" customHeight="1">
      <c r="A1173" t="s" s="27">
        <v>1294</v>
      </c>
      <c r="B1173" t="s" s="13">
        <v>22</v>
      </c>
      <c r="C1173" s="31">
        <v>45910</v>
      </c>
      <c r="D1173" s="15">
        <v>965.15</v>
      </c>
      <c r="E1173" s="15">
        <v>973.9</v>
      </c>
      <c r="F1173" s="15">
        <v>973.9</v>
      </c>
      <c r="G1173" s="15">
        <v>961.7</v>
      </c>
      <c r="H1173" s="15">
        <v>965.5</v>
      </c>
      <c r="I1173" s="15">
        <v>965.9</v>
      </c>
      <c r="J1173" s="15">
        <v>966.21</v>
      </c>
      <c r="K1173" t="s" s="13">
        <v>5763</v>
      </c>
      <c r="L1173" t="s" s="13">
        <v>5764</v>
      </c>
      <c r="M1173" t="s" s="13">
        <v>5765</v>
      </c>
      <c r="N1173" t="s" s="13">
        <v>5766</v>
      </c>
      <c r="O1173" s="15">
        <v>73.15000000000001</v>
      </c>
      <c r="P1173" s="30" cm="1">
        <f t="array" ref="P1173">(I1173-I1172)/I1172</f>
        <v>0.000777081282702171</v>
      </c>
      <c r="Q1173" s="15">
        <v>25210511</v>
      </c>
    </row>
    <row r="1174" ht="13.65" customHeight="1">
      <c r="A1174" t="s" s="27">
        <v>1294</v>
      </c>
      <c r="B1174" t="s" s="13">
        <v>22</v>
      </c>
      <c r="C1174" s="31">
        <v>45911</v>
      </c>
      <c r="D1174" s="15">
        <v>965.9</v>
      </c>
      <c r="E1174" s="15">
        <v>960.3</v>
      </c>
      <c r="F1174" s="15">
        <v>969.25</v>
      </c>
      <c r="G1174" s="15">
        <v>959.9</v>
      </c>
      <c r="H1174" s="15">
        <v>966.5</v>
      </c>
      <c r="I1174" s="15">
        <v>967.8</v>
      </c>
      <c r="J1174" s="15">
        <v>965.95</v>
      </c>
      <c r="K1174" t="s" s="13">
        <v>5767</v>
      </c>
      <c r="L1174" t="s" s="13">
        <v>5768</v>
      </c>
      <c r="M1174" t="s" s="13">
        <v>5769</v>
      </c>
      <c r="N1174" t="s" s="13">
        <v>5770</v>
      </c>
      <c r="O1174" s="15">
        <v>51.77</v>
      </c>
      <c r="P1174" s="30" cm="1">
        <f t="array" ref="P1174">(I1174-I1173)/I1173</f>
        <v>0.00196707733719847</v>
      </c>
      <c r="Q1174" s="15">
        <v>22936566</v>
      </c>
    </row>
    <row r="1175" ht="13.65" customHeight="1">
      <c r="A1175" t="s" s="27">
        <v>1294</v>
      </c>
      <c r="B1175" t="s" s="13">
        <v>22</v>
      </c>
      <c r="C1175" s="31">
        <v>45912</v>
      </c>
      <c r="D1175" s="15">
        <v>967.8</v>
      </c>
      <c r="E1175" s="15">
        <v>969.9</v>
      </c>
      <c r="F1175" s="15">
        <v>970.75</v>
      </c>
      <c r="G1175" s="15">
        <v>962.25</v>
      </c>
      <c r="H1175" s="15">
        <v>966.9</v>
      </c>
      <c r="I1175" s="15">
        <v>967.3</v>
      </c>
      <c r="J1175" s="15">
        <v>966.65</v>
      </c>
      <c r="K1175" t="s" s="13">
        <v>5771</v>
      </c>
      <c r="L1175" t="s" s="13">
        <v>5772</v>
      </c>
      <c r="M1175" t="s" s="13">
        <v>5773</v>
      </c>
      <c r="N1175" t="s" s="13">
        <v>5774</v>
      </c>
      <c r="O1175" s="15">
        <v>75.45</v>
      </c>
      <c r="P1175" s="30" cm="1">
        <f t="array" ref="P1175">(I1175-I1174)/I1174</f>
        <v>-0.000516635668526555</v>
      </c>
      <c r="Q1175" s="15">
        <v>23310447</v>
      </c>
    </row>
    <row r="1176" ht="13.65" customHeight="1">
      <c r="A1176" t="s" s="27">
        <v>1294</v>
      </c>
      <c r="B1176" t="s" s="13">
        <v>22</v>
      </c>
      <c r="C1176" s="31">
        <v>45915</v>
      </c>
      <c r="D1176" s="15">
        <v>967.3</v>
      </c>
      <c r="E1176" s="15">
        <v>969.6</v>
      </c>
      <c r="F1176" s="15">
        <v>972.35</v>
      </c>
      <c r="G1176" s="15">
        <v>965</v>
      </c>
      <c r="H1176" s="15">
        <v>966.1</v>
      </c>
      <c r="I1176" s="15">
        <v>967.05</v>
      </c>
      <c r="J1176" s="15">
        <v>968.58</v>
      </c>
      <c r="K1176" t="s" s="13">
        <v>5775</v>
      </c>
      <c r="L1176" t="s" s="13">
        <v>5776</v>
      </c>
      <c r="M1176" t="s" s="13">
        <v>5777</v>
      </c>
      <c r="N1176" t="s" s="13">
        <v>5778</v>
      </c>
      <c r="O1176" s="15">
        <v>64.72</v>
      </c>
      <c r="P1176" s="30" cm="1">
        <f t="array" ref="P1176">(I1176-I1175)/I1175</f>
        <v>-0.000258451359454151</v>
      </c>
      <c r="Q1176" s="15">
        <v>22934382</v>
      </c>
    </row>
    <row r="1177" ht="13.65" customHeight="1">
      <c r="A1177" t="s" s="27">
        <v>1294</v>
      </c>
      <c r="B1177" t="s" s="13">
        <v>22</v>
      </c>
      <c r="C1177" s="31">
        <v>45916</v>
      </c>
      <c r="D1177" s="15">
        <v>967.05</v>
      </c>
      <c r="E1177" s="15">
        <v>961.2</v>
      </c>
      <c r="F1177" s="15">
        <v>969.35</v>
      </c>
      <c r="G1177" s="15">
        <v>961.2</v>
      </c>
      <c r="H1177" s="15">
        <v>966.3</v>
      </c>
      <c r="I1177" s="15">
        <v>966.85</v>
      </c>
      <c r="J1177" s="15">
        <v>966.3200000000001</v>
      </c>
      <c r="K1177" t="s" s="13">
        <v>5779</v>
      </c>
      <c r="L1177" t="s" s="13">
        <v>5780</v>
      </c>
      <c r="M1177" t="s" s="13">
        <v>5781</v>
      </c>
      <c r="N1177" t="s" s="13">
        <v>5782</v>
      </c>
      <c r="O1177" s="15">
        <v>71.66</v>
      </c>
      <c r="P1177" s="30" cm="1">
        <f t="array" ref="P1177">(I1177-I1176)/I1176</f>
        <v>-0.000206814539062096</v>
      </c>
      <c r="Q1177" s="15">
        <v>18634254</v>
      </c>
    </row>
    <row r="1178" ht="13.65" customHeight="1">
      <c r="A1178" t="s" s="27">
        <v>1294</v>
      </c>
      <c r="B1178" t="s" s="13">
        <v>22</v>
      </c>
      <c r="C1178" s="31">
        <v>45917</v>
      </c>
      <c r="D1178" s="15">
        <v>966.85</v>
      </c>
      <c r="E1178" s="15">
        <v>965.15</v>
      </c>
      <c r="F1178" s="15">
        <v>974.4</v>
      </c>
      <c r="G1178" s="15">
        <v>964.35</v>
      </c>
      <c r="H1178" s="15">
        <v>967</v>
      </c>
      <c r="I1178" s="15">
        <v>966.5</v>
      </c>
      <c r="J1178" s="15">
        <v>968.39</v>
      </c>
      <c r="K1178" t="s" s="13">
        <v>5783</v>
      </c>
      <c r="L1178" t="s" s="13">
        <v>5784</v>
      </c>
      <c r="M1178" t="s" s="13">
        <v>5785</v>
      </c>
      <c r="N1178" t="s" s="13">
        <v>5786</v>
      </c>
      <c r="O1178" s="15">
        <v>71.87</v>
      </c>
      <c r="P1178" s="30" cm="1">
        <f t="array" ref="P1178">(I1178-I1177)/I1177</f>
        <v>-0.00036200031028598</v>
      </c>
      <c r="Q1178" s="15">
        <v>13757080</v>
      </c>
    </row>
    <row r="1179" ht="13.65" customHeight="1">
      <c r="A1179" t="s" s="27">
        <v>1294</v>
      </c>
      <c r="B1179" t="s" s="13">
        <v>22</v>
      </c>
      <c r="C1179" s="31">
        <v>45918</v>
      </c>
      <c r="D1179" s="15">
        <v>966.5</v>
      </c>
      <c r="E1179" s="15">
        <v>973.3</v>
      </c>
      <c r="F1179" s="15">
        <v>979.65</v>
      </c>
      <c r="G1179" s="15">
        <v>969.25</v>
      </c>
      <c r="H1179" s="15">
        <v>976</v>
      </c>
      <c r="I1179" s="15">
        <v>976.9</v>
      </c>
      <c r="J1179" s="15">
        <v>974.66</v>
      </c>
      <c r="K1179" t="s" s="13">
        <v>5787</v>
      </c>
      <c r="L1179" t="s" s="13">
        <v>5788</v>
      </c>
      <c r="M1179" t="s" s="13">
        <v>5789</v>
      </c>
      <c r="N1179" t="s" s="13">
        <v>5790</v>
      </c>
      <c r="O1179" s="15">
        <v>53.81</v>
      </c>
      <c r="P1179" s="30" cm="1">
        <f t="array" ref="P1179">(I1179-I1178)/I1178</f>
        <v>0.0107604759441283</v>
      </c>
      <c r="Q1179" s="15">
        <v>15370950</v>
      </c>
    </row>
    <row r="1180" ht="13.65" customHeight="1">
      <c r="A1180" t="s" s="27">
        <v>1294</v>
      </c>
      <c r="B1180" t="s" s="13">
        <v>22</v>
      </c>
      <c r="C1180" s="31">
        <v>45919</v>
      </c>
      <c r="D1180" s="15">
        <v>976.9</v>
      </c>
      <c r="E1180" s="15">
        <v>974.9</v>
      </c>
      <c r="F1180" s="15">
        <v>976.7</v>
      </c>
      <c r="G1180" s="15">
        <v>962.1</v>
      </c>
      <c r="H1180" s="15">
        <v>967</v>
      </c>
      <c r="I1180" s="15">
        <v>966.9</v>
      </c>
      <c r="J1180" s="15">
        <v>967.22</v>
      </c>
      <c r="K1180" t="s" s="13">
        <v>5791</v>
      </c>
      <c r="L1180" t="s" s="13">
        <v>5792</v>
      </c>
      <c r="M1180" t="s" s="13">
        <v>5793</v>
      </c>
      <c r="N1180" t="s" s="13">
        <v>5794</v>
      </c>
      <c r="O1180" s="15">
        <v>74.52</v>
      </c>
      <c r="P1180" s="30" cm="1">
        <f t="array" ref="P1180">(I1180-I1179)/I1179</f>
        <v>-0.0102364622786365</v>
      </c>
      <c r="Q1180" s="15">
        <v>15939710</v>
      </c>
    </row>
    <row r="1181" ht="13.65" customHeight="1">
      <c r="A1181" t="s" s="27">
        <v>1294</v>
      </c>
      <c r="B1181" t="s" s="13">
        <v>22</v>
      </c>
      <c r="C1181" s="31">
        <v>45922</v>
      </c>
      <c r="D1181" s="15">
        <v>966.9</v>
      </c>
      <c r="E1181" s="15">
        <v>964</v>
      </c>
      <c r="F1181" s="15">
        <v>971.2</v>
      </c>
      <c r="G1181" s="15">
        <v>961.95</v>
      </c>
      <c r="H1181" s="15">
        <v>965.4</v>
      </c>
      <c r="I1181" s="15">
        <v>964.2</v>
      </c>
      <c r="J1181" s="15">
        <v>966.4</v>
      </c>
      <c r="K1181" t="s" s="13">
        <v>5795</v>
      </c>
      <c r="L1181" t="s" s="13">
        <v>5796</v>
      </c>
      <c r="M1181" t="s" s="13">
        <v>5797</v>
      </c>
      <c r="N1181" t="s" s="13">
        <v>5798</v>
      </c>
      <c r="O1181" s="15">
        <v>56.68</v>
      </c>
      <c r="P1181" s="30" cm="1">
        <f t="array" ref="P1181">(I1181-I1180)/I1180</f>
        <v>-0.00279242941358982</v>
      </c>
      <c r="Q1181" s="15">
        <v>25535736</v>
      </c>
    </row>
    <row r="1182" ht="13.65" customHeight="1">
      <c r="A1182" t="s" s="27">
        <v>1294</v>
      </c>
      <c r="B1182" t="s" s="13">
        <v>22</v>
      </c>
      <c r="C1182" s="31">
        <v>45923</v>
      </c>
      <c r="D1182" s="15">
        <v>964.2</v>
      </c>
      <c r="E1182" s="15">
        <v>967</v>
      </c>
      <c r="F1182" s="15">
        <v>968.2</v>
      </c>
      <c r="G1182" s="15">
        <v>955.5</v>
      </c>
      <c r="H1182" s="15">
        <v>958.45</v>
      </c>
      <c r="I1182" s="15">
        <v>957.2</v>
      </c>
      <c r="J1182" s="15">
        <v>960.1</v>
      </c>
      <c r="K1182" t="s" s="13">
        <v>5799</v>
      </c>
      <c r="L1182" t="s" s="13">
        <v>5800</v>
      </c>
      <c r="M1182" t="s" s="13">
        <v>5801</v>
      </c>
      <c r="N1182" t="s" s="13">
        <v>5802</v>
      </c>
      <c r="O1182" s="15">
        <v>53.84</v>
      </c>
      <c r="P1182" s="30" cm="1">
        <f t="array" ref="P1182">(I1182-I1181)/I1181</f>
        <v>-0.00725990458411118</v>
      </c>
      <c r="Q1182" s="15">
        <v>18542683</v>
      </c>
    </row>
    <row r="1183" ht="13.65" customHeight="1">
      <c r="A1183" t="s" s="27">
        <v>1294</v>
      </c>
      <c r="B1183" t="s" s="13">
        <v>22</v>
      </c>
      <c r="C1183" s="31">
        <v>45924</v>
      </c>
      <c r="D1183" s="15">
        <v>957.2</v>
      </c>
      <c r="E1183" s="15">
        <v>952.2</v>
      </c>
      <c r="F1183" s="15">
        <v>956.45</v>
      </c>
      <c r="G1183" s="15">
        <v>943</v>
      </c>
      <c r="H1183" s="15">
        <v>951</v>
      </c>
      <c r="I1183" s="15">
        <v>951.05</v>
      </c>
      <c r="J1183" s="15">
        <v>949.21</v>
      </c>
      <c r="K1183" t="s" s="13">
        <v>5803</v>
      </c>
      <c r="L1183" t="s" s="13">
        <v>5804</v>
      </c>
      <c r="M1183" t="s" s="13">
        <v>5805</v>
      </c>
      <c r="N1183" t="s" s="13">
        <v>5806</v>
      </c>
      <c r="O1183" s="15">
        <v>64.8</v>
      </c>
      <c r="P1183" s="30" cm="1">
        <f t="array" ref="P1183">(I1183-I1182)/I1182</f>
        <v>-0.00642498955286252</v>
      </c>
      <c r="Q1183" s="15">
        <v>26658296</v>
      </c>
    </row>
    <row r="1184" ht="13.65" customHeight="1">
      <c r="A1184" t="s" s="27">
        <v>1294</v>
      </c>
      <c r="B1184" t="s" s="13">
        <v>22</v>
      </c>
      <c r="C1184" s="31">
        <v>45925</v>
      </c>
      <c r="D1184" s="15">
        <v>951.05</v>
      </c>
      <c r="E1184" s="15">
        <v>952.5</v>
      </c>
      <c r="F1184" s="15">
        <v>958</v>
      </c>
      <c r="G1184" s="15">
        <v>947.4</v>
      </c>
      <c r="H1184" s="15">
        <v>951.2</v>
      </c>
      <c r="I1184" s="15">
        <v>949.85</v>
      </c>
      <c r="J1184" s="15">
        <v>952.03</v>
      </c>
      <c r="K1184" t="s" s="13">
        <v>5807</v>
      </c>
      <c r="L1184" t="s" s="13">
        <v>5808</v>
      </c>
      <c r="M1184" t="s" s="13">
        <v>5809</v>
      </c>
      <c r="N1184" t="s" s="13">
        <v>5810</v>
      </c>
      <c r="O1184" s="15">
        <v>66.31999999999999</v>
      </c>
      <c r="P1184" s="30" cm="1">
        <f t="array" ref="P1184">(I1184-I1183)/I1183</f>
        <v>-0.00126176331423164</v>
      </c>
      <c r="Q1184" s="15">
        <v>25350832</v>
      </c>
    </row>
    <row r="1185" ht="13.65" customHeight="1">
      <c r="A1185" t="s" s="27">
        <v>1294</v>
      </c>
      <c r="B1185" t="s" s="13">
        <v>22</v>
      </c>
      <c r="C1185" s="31">
        <v>45926</v>
      </c>
      <c r="D1185" s="15">
        <v>949.85</v>
      </c>
      <c r="E1185" s="15">
        <v>945.1</v>
      </c>
      <c r="F1185" s="15">
        <v>951.45</v>
      </c>
      <c r="G1185" s="15">
        <v>941.3</v>
      </c>
      <c r="H1185" s="15">
        <v>944.25</v>
      </c>
      <c r="I1185" s="15">
        <v>945.05</v>
      </c>
      <c r="J1185" s="15">
        <v>945.96</v>
      </c>
      <c r="K1185" t="s" s="13">
        <v>5811</v>
      </c>
      <c r="L1185" t="s" s="13">
        <v>5812</v>
      </c>
      <c r="M1185" t="s" s="13">
        <v>5813</v>
      </c>
      <c r="N1185" t="s" s="13">
        <v>5814</v>
      </c>
      <c r="O1185" s="15">
        <v>60.75</v>
      </c>
      <c r="P1185" s="30" cm="1">
        <f t="array" ref="P1185">(I1185-I1184)/I1184</f>
        <v>-0.00505342948886666</v>
      </c>
      <c r="Q1185" s="15">
        <v>28296687</v>
      </c>
    </row>
    <row r="1186" ht="13.65" customHeight="1">
      <c r="A1186" t="s" s="27">
        <v>1294</v>
      </c>
      <c r="B1186" t="s" s="13">
        <v>22</v>
      </c>
      <c r="C1186" s="31">
        <v>45929</v>
      </c>
      <c r="D1186" s="15">
        <v>945.05</v>
      </c>
      <c r="E1186" s="15">
        <v>946.05</v>
      </c>
      <c r="F1186" s="15">
        <v>956.8</v>
      </c>
      <c r="G1186" s="15">
        <v>939.1</v>
      </c>
      <c r="H1186" s="15">
        <v>953.4</v>
      </c>
      <c r="I1186" s="15">
        <v>950.3</v>
      </c>
      <c r="J1186" s="15">
        <v>950.17</v>
      </c>
      <c r="K1186" t="s" s="13">
        <v>5815</v>
      </c>
      <c r="L1186" t="s" s="13">
        <v>5816</v>
      </c>
      <c r="M1186" t="s" s="13">
        <v>5817</v>
      </c>
      <c r="N1186" t="s" s="13">
        <v>5818</v>
      </c>
      <c r="O1186" s="15">
        <v>70.44</v>
      </c>
      <c r="P1186" s="30" cm="1">
        <f t="array" ref="P1186">(I1186-I1185)/I1185</f>
        <v>0.00555526162636898</v>
      </c>
      <c r="Q1186" s="15">
        <v>32398179</v>
      </c>
    </row>
    <row r="1187" ht="13.65" customHeight="1">
      <c r="A1187" t="s" s="27">
        <v>1294</v>
      </c>
      <c r="B1187" t="s" s="13">
        <v>22</v>
      </c>
      <c r="C1187" s="31">
        <v>45930</v>
      </c>
      <c r="D1187" s="15">
        <v>950.3</v>
      </c>
      <c r="E1187" s="15">
        <v>958.05</v>
      </c>
      <c r="F1187" s="15">
        <v>960</v>
      </c>
      <c r="G1187" s="15">
        <v>946.3</v>
      </c>
      <c r="H1187" s="15">
        <v>952.5</v>
      </c>
      <c r="I1187" s="15">
        <v>951</v>
      </c>
      <c r="J1187" s="15">
        <v>951.48</v>
      </c>
      <c r="K1187" t="s" s="13">
        <v>5819</v>
      </c>
      <c r="L1187" t="s" s="13">
        <v>5820</v>
      </c>
      <c r="M1187" t="s" s="13">
        <v>5821</v>
      </c>
      <c r="N1187" t="s" s="13">
        <v>5822</v>
      </c>
      <c r="O1187" s="15">
        <v>58.33</v>
      </c>
      <c r="P1187" s="30" cm="1">
        <f t="array" ref="P1187">(I1187-I1186)/I1186</f>
        <v>0.000736609491739451</v>
      </c>
      <c r="Q1187" s="15">
        <v>14874656</v>
      </c>
    </row>
    <row r="1188" ht="13.65" customHeight="1">
      <c r="A1188" t="s" s="27">
        <v>1294</v>
      </c>
      <c r="B1188" t="s" s="13">
        <v>22</v>
      </c>
      <c r="C1188" s="28">
        <v>45931</v>
      </c>
      <c r="D1188" s="15">
        <v>951</v>
      </c>
      <c r="E1188" s="15">
        <v>952.7</v>
      </c>
      <c r="F1188" s="15">
        <v>969.6</v>
      </c>
      <c r="G1188" s="15">
        <v>946</v>
      </c>
      <c r="H1188" s="15">
        <v>965.8</v>
      </c>
      <c r="I1188" s="15">
        <v>965.25</v>
      </c>
      <c r="J1188" s="15">
        <v>961.75</v>
      </c>
      <c r="K1188" t="s" s="13">
        <v>5823</v>
      </c>
      <c r="L1188" t="s" s="13">
        <v>5824</v>
      </c>
      <c r="M1188" t="s" s="13">
        <v>5825</v>
      </c>
      <c r="N1188" t="s" s="13">
        <v>5826</v>
      </c>
      <c r="O1188" s="15">
        <v>66.04000000000001</v>
      </c>
      <c r="P1188" s="30" cm="1">
        <f t="array" ref="P1188">(I1188-I1187)/I1187</f>
        <v>0.0149842271293375</v>
      </c>
      <c r="Q1188" s="15">
        <v>31413279</v>
      </c>
    </row>
    <row r="1189" ht="13.65" customHeight="1">
      <c r="A1189" t="s" s="27">
        <v>1294</v>
      </c>
      <c r="B1189" t="s" s="13">
        <v>22</v>
      </c>
      <c r="C1189" s="28">
        <v>45933</v>
      </c>
      <c r="D1189" s="15">
        <v>965.25</v>
      </c>
      <c r="E1189" s="15">
        <v>952</v>
      </c>
      <c r="F1189" s="15">
        <v>966.75</v>
      </c>
      <c r="G1189" s="15">
        <v>952</v>
      </c>
      <c r="H1189" s="15">
        <v>963.7</v>
      </c>
      <c r="I1189" s="15">
        <v>965.15</v>
      </c>
      <c r="J1189" s="15">
        <v>960.8099999999999</v>
      </c>
      <c r="K1189" t="s" s="13">
        <v>5827</v>
      </c>
      <c r="L1189" t="s" s="13">
        <v>5828</v>
      </c>
      <c r="M1189" t="s" s="13">
        <v>5829</v>
      </c>
      <c r="N1189" t="s" s="13">
        <v>5830</v>
      </c>
      <c r="O1189" s="15">
        <v>67.59</v>
      </c>
      <c r="P1189" s="30" cm="1">
        <f t="array" ref="P1189">(I1189-I1188)/I1188</f>
        <v>-0.000103600103600104</v>
      </c>
      <c r="Q1189" s="15">
        <v>15117220</v>
      </c>
    </row>
    <row r="1190" ht="13.65" customHeight="1">
      <c r="A1190" t="s" s="27">
        <v>1294</v>
      </c>
      <c r="B1190" t="s" s="13">
        <v>22</v>
      </c>
      <c r="C1190" s="28">
        <v>45936</v>
      </c>
      <c r="D1190" s="15">
        <v>965.15</v>
      </c>
      <c r="E1190" s="15">
        <v>971.9</v>
      </c>
      <c r="F1190" s="15">
        <v>977.4</v>
      </c>
      <c r="G1190" s="15">
        <v>962</v>
      </c>
      <c r="H1190" s="15">
        <v>973.9</v>
      </c>
      <c r="I1190" s="15">
        <v>973.45</v>
      </c>
      <c r="J1190" s="15">
        <v>973.33</v>
      </c>
      <c r="K1190" t="s" s="13">
        <v>5831</v>
      </c>
      <c r="L1190" t="s" s="13">
        <v>5832</v>
      </c>
      <c r="M1190" t="s" s="13">
        <v>5833</v>
      </c>
      <c r="N1190" t="s" s="13">
        <v>5834</v>
      </c>
      <c r="O1190" s="15">
        <v>61.59</v>
      </c>
      <c r="P1190" s="30" cm="1">
        <f t="array" ref="P1190">(I1190-I1189)/I1189</f>
        <v>0.00859969952857069</v>
      </c>
      <c r="Q1190" s="15">
        <v>21022298</v>
      </c>
    </row>
    <row r="1191" ht="13.65" customHeight="1">
      <c r="A1191" t="s" s="27">
        <v>1294</v>
      </c>
      <c r="B1191" t="s" s="13">
        <v>22</v>
      </c>
      <c r="C1191" s="28">
        <v>45937</v>
      </c>
      <c r="D1191" s="15">
        <v>973.45</v>
      </c>
      <c r="E1191" s="15">
        <v>974</v>
      </c>
      <c r="F1191" s="15">
        <v>989.85</v>
      </c>
      <c r="G1191" s="15">
        <v>971</v>
      </c>
      <c r="H1191" s="15">
        <v>981.8</v>
      </c>
      <c r="I1191" s="15">
        <v>982.5</v>
      </c>
      <c r="J1191" s="15">
        <v>983.54</v>
      </c>
      <c r="K1191" t="s" s="13">
        <v>5835</v>
      </c>
      <c r="L1191" t="s" s="13">
        <v>5836</v>
      </c>
      <c r="M1191" t="s" s="13">
        <v>5837</v>
      </c>
      <c r="N1191" t="s" s="13">
        <v>5838</v>
      </c>
      <c r="O1191" s="15">
        <v>60.54</v>
      </c>
      <c r="P1191" s="30" cm="1">
        <f t="array" ref="P1191">(I1191-I1190)/I1190</f>
        <v>0.009296830859314809</v>
      </c>
      <c r="Q1191" s="15">
        <v>10854415</v>
      </c>
    </row>
    <row r="1192" ht="13.65" customHeight="1">
      <c r="A1192" t="s" s="27">
        <v>1294</v>
      </c>
      <c r="B1192" t="s" s="13">
        <v>22</v>
      </c>
      <c r="C1192" s="28">
        <v>45938</v>
      </c>
      <c r="D1192" s="15">
        <v>982.5</v>
      </c>
      <c r="E1192" s="15">
        <v>976</v>
      </c>
      <c r="F1192" s="15">
        <v>985.9</v>
      </c>
      <c r="G1192" s="15">
        <v>974.55</v>
      </c>
      <c r="H1192" s="15">
        <v>977.2</v>
      </c>
      <c r="I1192" s="15">
        <v>978.7</v>
      </c>
      <c r="J1192" s="15">
        <v>979.5700000000001</v>
      </c>
      <c r="K1192" t="s" s="13">
        <v>5839</v>
      </c>
      <c r="L1192" t="s" s="13">
        <v>5840</v>
      </c>
      <c r="M1192" t="s" s="13">
        <v>5841</v>
      </c>
      <c r="N1192" t="s" s="13">
        <v>5842</v>
      </c>
      <c r="O1192" s="15">
        <v>61.3</v>
      </c>
      <c r="P1192" s="30" cm="1">
        <f t="array" ref="P1192">(I1192-I1191)/I1191</f>
        <v>-0.0038676844783715</v>
      </c>
      <c r="Q1192" s="15">
        <v>31243267</v>
      </c>
    </row>
    <row r="1193" ht="13.65" customHeight="1">
      <c r="A1193" t="s" s="27">
        <v>1294</v>
      </c>
      <c r="B1193" t="s" s="13">
        <v>22</v>
      </c>
      <c r="C1193" s="28">
        <v>45939</v>
      </c>
      <c r="D1193" s="15">
        <v>978.7</v>
      </c>
      <c r="E1193" s="15">
        <v>974.5</v>
      </c>
      <c r="F1193" s="15">
        <v>979</v>
      </c>
      <c r="G1193" s="15">
        <v>970.15</v>
      </c>
      <c r="H1193" s="15">
        <v>975</v>
      </c>
      <c r="I1193" s="15">
        <v>977.1</v>
      </c>
      <c r="J1193" s="15">
        <v>976</v>
      </c>
      <c r="K1193" t="s" s="13">
        <v>5843</v>
      </c>
      <c r="L1193" t="s" s="13">
        <v>5844</v>
      </c>
      <c r="M1193" t="s" s="13">
        <v>5845</v>
      </c>
      <c r="N1193" t="s" s="13">
        <v>5846</v>
      </c>
      <c r="O1193" s="15">
        <v>53</v>
      </c>
      <c r="P1193" s="30" cm="1">
        <f t="array" ref="P1193">(I1193-I1192)/I1192</f>
        <v>-0.0016348217022581</v>
      </c>
      <c r="Q1193" s="15">
        <v>17791598</v>
      </c>
    </row>
    <row r="1194" ht="13.65" customHeight="1">
      <c r="A1194" t="s" s="27">
        <v>1294</v>
      </c>
      <c r="B1194" t="s" s="13">
        <v>1323</v>
      </c>
      <c r="C1194" s="28">
        <v>45939</v>
      </c>
      <c r="D1194" s="14">
        <v>1983</v>
      </c>
      <c r="E1194" s="15">
        <v>978.7</v>
      </c>
      <c r="F1194" s="15">
        <v>978.7</v>
      </c>
      <c r="G1194" s="15">
        <v>978.7</v>
      </c>
      <c r="H1194" s="15">
        <v>978.7</v>
      </c>
      <c r="I1194" s="15">
        <v>978.7</v>
      </c>
      <c r="J1194" s="15">
        <v>978.7</v>
      </c>
      <c r="K1194" t="s" s="13">
        <v>5847</v>
      </c>
      <c r="L1194" t="s" s="13">
        <v>5848</v>
      </c>
      <c r="M1194" s="15">
        <v>1</v>
      </c>
      <c r="N1194" t="s" s="13">
        <v>1326</v>
      </c>
      <c r="O1194" t="s" s="13">
        <v>1326</v>
      </c>
      <c r="P1194" s="30" cm="1">
        <f t="array" ref="P1194">(I1194-I1193)/I1193</f>
        <v>0.00163749872070412</v>
      </c>
      <c r="Q1194" s="15">
        <v>17361476</v>
      </c>
    </row>
    <row r="1195" ht="13.65" customHeight="1">
      <c r="A1195" t="s" s="27">
        <v>1294</v>
      </c>
      <c r="B1195" t="s" s="13">
        <v>22</v>
      </c>
      <c r="C1195" s="31">
        <v>45940</v>
      </c>
      <c r="D1195" s="15">
        <v>977.1</v>
      </c>
      <c r="E1195" s="15">
        <v>979</v>
      </c>
      <c r="F1195" s="15">
        <v>986.2</v>
      </c>
      <c r="G1195" s="15">
        <v>978.1</v>
      </c>
      <c r="H1195" s="15">
        <v>981.45</v>
      </c>
      <c r="I1195" s="15">
        <v>980.9</v>
      </c>
      <c r="J1195" s="15">
        <v>982.5599999999999</v>
      </c>
      <c r="K1195" t="s" s="13">
        <v>5849</v>
      </c>
      <c r="L1195" t="s" s="13">
        <v>5850</v>
      </c>
      <c r="M1195" t="s" s="13">
        <v>5851</v>
      </c>
      <c r="N1195" t="s" s="13">
        <v>5852</v>
      </c>
      <c r="O1195" s="15">
        <v>61.78</v>
      </c>
      <c r="P1195" s="30" cm="1">
        <f t="array" ref="P1195">(I1195-I1194)/I1194</f>
        <v>0.00224787984060488</v>
      </c>
      <c r="Q1195" s="15">
        <v>18661794</v>
      </c>
    </row>
    <row r="1196" ht="13.65" customHeight="1">
      <c r="A1196" t="s" s="27">
        <v>1294</v>
      </c>
      <c r="B1196" t="s" s="13">
        <v>1323</v>
      </c>
      <c r="C1196" s="31">
        <v>45943</v>
      </c>
      <c r="D1196" s="15">
        <v>978.7</v>
      </c>
      <c r="E1196" s="15">
        <v>978.5</v>
      </c>
      <c r="F1196" s="15">
        <v>978.5</v>
      </c>
      <c r="G1196" s="15">
        <v>978.5</v>
      </c>
      <c r="H1196" s="15">
        <v>978.5</v>
      </c>
      <c r="I1196" s="15">
        <v>978.5</v>
      </c>
      <c r="J1196" s="15">
        <v>978.5</v>
      </c>
      <c r="K1196" t="s" s="13">
        <v>5853</v>
      </c>
      <c r="L1196" t="s" s="13">
        <v>5854</v>
      </c>
      <c r="M1196" s="15">
        <v>1</v>
      </c>
      <c r="N1196" t="s" s="13">
        <v>1326</v>
      </c>
      <c r="O1196" t="s" s="13">
        <v>1326</v>
      </c>
      <c r="P1196" s="30" cm="1">
        <f t="array" ref="P1196">(I1196-I1195)/I1195</f>
        <v>-0.00244673259251708</v>
      </c>
      <c r="Q1196" s="15">
        <v>14486377</v>
      </c>
    </row>
    <row r="1197" ht="13.65" customHeight="1">
      <c r="A1197" t="s" s="27">
        <v>1294</v>
      </c>
      <c r="B1197" t="s" s="13">
        <v>22</v>
      </c>
      <c r="C1197" s="31">
        <v>45943</v>
      </c>
      <c r="D1197" s="15">
        <v>980.9</v>
      </c>
      <c r="E1197" s="15">
        <v>974.3</v>
      </c>
      <c r="F1197" s="15">
        <v>981</v>
      </c>
      <c r="G1197" s="15">
        <v>972</v>
      </c>
      <c r="H1197" s="15">
        <v>977.1</v>
      </c>
      <c r="I1197" s="15">
        <v>977</v>
      </c>
      <c r="J1197" s="15">
        <v>977.15</v>
      </c>
      <c r="K1197" t="s" s="13">
        <v>5855</v>
      </c>
      <c r="L1197" t="s" s="13">
        <v>5856</v>
      </c>
      <c r="M1197" t="s" s="13">
        <v>5857</v>
      </c>
      <c r="N1197" t="s" s="13">
        <v>5858</v>
      </c>
      <c r="O1197" s="15">
        <v>64.31999999999999</v>
      </c>
      <c r="P1197" s="30" cm="1">
        <f t="array" ref="P1197">(I1197-I1196)/I1196</f>
        <v>-0.00153295861011753</v>
      </c>
      <c r="Q1197" s="15">
        <v>14363519</v>
      </c>
    </row>
    <row r="1198" ht="13.65" customHeight="1">
      <c r="A1198" t="s" s="27">
        <v>1294</v>
      </c>
      <c r="B1198" t="s" s="13">
        <v>22</v>
      </c>
      <c r="C1198" s="31">
        <v>45944</v>
      </c>
      <c r="D1198" s="15">
        <v>977</v>
      </c>
      <c r="E1198" s="15">
        <v>970</v>
      </c>
      <c r="F1198" s="15">
        <v>980.45</v>
      </c>
      <c r="G1198" s="15">
        <v>967</v>
      </c>
      <c r="H1198" s="15">
        <v>976.25</v>
      </c>
      <c r="I1198" s="15">
        <v>977.15</v>
      </c>
      <c r="J1198" s="15">
        <v>975.4299999999999</v>
      </c>
      <c r="K1198" t="s" s="13">
        <v>5859</v>
      </c>
      <c r="L1198" t="s" s="13">
        <v>5860</v>
      </c>
      <c r="M1198" t="s" s="13">
        <v>5861</v>
      </c>
      <c r="N1198" t="s" s="13">
        <v>5862</v>
      </c>
      <c r="O1198" s="15">
        <v>56.53</v>
      </c>
      <c r="P1198" s="30" cm="1">
        <f t="array" ref="P1198">(I1198-I1197)/I1197</f>
        <v>0.00015353121801433</v>
      </c>
      <c r="Q1198" s="15">
        <v>15113633</v>
      </c>
    </row>
    <row r="1199" ht="13.65" customHeight="1">
      <c r="A1199" t="s" s="27">
        <v>1294</v>
      </c>
      <c r="B1199" t="s" s="13">
        <v>22</v>
      </c>
      <c r="C1199" s="31">
        <v>45945</v>
      </c>
      <c r="D1199" s="15">
        <v>977.15</v>
      </c>
      <c r="E1199" s="15">
        <v>975</v>
      </c>
      <c r="F1199" s="15">
        <v>984.9</v>
      </c>
      <c r="G1199" s="15">
        <v>973.35</v>
      </c>
      <c r="H1199" s="15">
        <v>978.5</v>
      </c>
      <c r="I1199" s="15">
        <v>978.25</v>
      </c>
      <c r="J1199" s="15">
        <v>979.29</v>
      </c>
      <c r="K1199" t="s" s="13">
        <v>5863</v>
      </c>
      <c r="L1199" t="s" s="13">
        <v>5864</v>
      </c>
      <c r="M1199" t="s" s="13">
        <v>5865</v>
      </c>
      <c r="N1199" t="s" s="13">
        <v>5866</v>
      </c>
      <c r="O1199" s="15">
        <v>68.34</v>
      </c>
      <c r="P1199" s="30" cm="1">
        <f t="array" ref="P1199">(I1199-I1198)/I1198</f>
        <v>0.00112572276518447</v>
      </c>
      <c r="Q1199" s="15">
        <v>18091100</v>
      </c>
    </row>
    <row r="1200" ht="13.65" customHeight="1">
      <c r="A1200" t="s" s="27">
        <v>1294</v>
      </c>
      <c r="B1200" t="s" s="13">
        <v>22</v>
      </c>
      <c r="C1200" s="31">
        <v>45946</v>
      </c>
      <c r="D1200" s="15">
        <v>978.25</v>
      </c>
      <c r="E1200" s="15">
        <v>982.65</v>
      </c>
      <c r="F1200" s="15">
        <v>996.6</v>
      </c>
      <c r="G1200" s="15">
        <v>981.5</v>
      </c>
      <c r="H1200" s="15">
        <v>993.6</v>
      </c>
      <c r="I1200" s="15">
        <v>994.35</v>
      </c>
      <c r="J1200" s="15">
        <v>989.28</v>
      </c>
      <c r="K1200" t="s" s="13">
        <v>5867</v>
      </c>
      <c r="L1200" t="s" s="13">
        <v>5868</v>
      </c>
      <c r="M1200" t="s" s="13">
        <v>5869</v>
      </c>
      <c r="N1200" t="s" s="13">
        <v>5870</v>
      </c>
      <c r="O1200" s="15">
        <v>64.64</v>
      </c>
      <c r="P1200" s="30" cm="1">
        <f t="array" ref="P1200">(I1200-I1199)/I1199</f>
        <v>0.0164579606440072</v>
      </c>
      <c r="Q1200" s="15">
        <v>13985539</v>
      </c>
    </row>
    <row r="1201" ht="13.65" customHeight="1">
      <c r="A1201" t="s" s="27">
        <v>1294</v>
      </c>
      <c r="B1201" t="s" s="13">
        <v>22</v>
      </c>
      <c r="C1201" s="31">
        <v>45947</v>
      </c>
      <c r="D1201" s="15">
        <v>994.35</v>
      </c>
      <c r="E1201" s="15">
        <v>993.95</v>
      </c>
      <c r="F1201" s="14">
        <v>1009</v>
      </c>
      <c r="G1201" s="15">
        <v>986</v>
      </c>
      <c r="H1201" s="14">
        <v>1000.6</v>
      </c>
      <c r="I1201" s="14">
        <v>1002.55</v>
      </c>
      <c r="J1201" s="14">
        <v>1001.76</v>
      </c>
      <c r="K1201" t="s" s="13">
        <v>5871</v>
      </c>
      <c r="L1201" t="s" s="13">
        <v>5872</v>
      </c>
      <c r="M1201" t="s" s="13">
        <v>5873</v>
      </c>
      <c r="N1201" t="s" s="13">
        <v>5874</v>
      </c>
      <c r="O1201" s="15">
        <v>55.88</v>
      </c>
      <c r="P1201" s="30" cm="1">
        <f t="array" ref="P1201">(I1201-I1200)/I1200</f>
        <v>0.00824659325187308</v>
      </c>
      <c r="Q1201" s="15">
        <v>11711307</v>
      </c>
    </row>
    <row r="1202" ht="13.65" customHeight="1">
      <c r="A1202" t="s" s="27">
        <v>1294</v>
      </c>
      <c r="B1202" t="s" s="13">
        <v>22</v>
      </c>
      <c r="C1202" s="31">
        <v>45950</v>
      </c>
      <c r="D1202" s="14">
        <v>1002.55</v>
      </c>
      <c r="E1202" s="15">
        <v>997</v>
      </c>
      <c r="F1202" s="14">
        <v>1020</v>
      </c>
      <c r="G1202" s="15">
        <v>997</v>
      </c>
      <c r="H1202" s="14">
        <v>1003.6</v>
      </c>
      <c r="I1202" s="14">
        <v>1002.95</v>
      </c>
      <c r="J1202" s="14">
        <v>1005.08</v>
      </c>
      <c r="K1202" t="s" s="13">
        <v>5875</v>
      </c>
      <c r="L1202" t="s" s="13">
        <v>5876</v>
      </c>
      <c r="M1202" t="s" s="13">
        <v>5877</v>
      </c>
      <c r="N1202" t="s" s="13">
        <v>5878</v>
      </c>
      <c r="O1202" s="15">
        <v>53.84</v>
      </c>
      <c r="P1202" s="30" cm="1">
        <f t="array" ref="P1202">(I1202-I1201)/I1201</f>
        <v>0.00039898259438432</v>
      </c>
      <c r="Q1202" s="15">
        <v>11602111</v>
      </c>
    </row>
    <row r="1203" ht="13.65" customHeight="1">
      <c r="A1203" t="s" s="27">
        <v>1294</v>
      </c>
      <c r="B1203" t="s" s="13">
        <v>22</v>
      </c>
      <c r="C1203" s="31">
        <v>45951</v>
      </c>
      <c r="D1203" s="14">
        <v>1002.95</v>
      </c>
      <c r="E1203" s="14">
        <v>1006</v>
      </c>
      <c r="F1203" s="14">
        <v>1010</v>
      </c>
      <c r="G1203" s="14">
        <v>1004</v>
      </c>
      <c r="H1203" s="14">
        <v>1004</v>
      </c>
      <c r="I1203" s="14">
        <v>1007.7</v>
      </c>
      <c r="J1203" s="14">
        <v>1008.15</v>
      </c>
      <c r="K1203" t="s" s="13">
        <v>5879</v>
      </c>
      <c r="L1203" t="s" s="13">
        <v>5880</v>
      </c>
      <c r="M1203" s="34">
        <v>88749</v>
      </c>
      <c r="N1203" t="s" s="13">
        <v>5881</v>
      </c>
      <c r="O1203" s="15">
        <v>63.63</v>
      </c>
      <c r="P1203" s="30" cm="1">
        <f t="array" ref="P1203">(I1203-I1202)/I1202</f>
        <v>0.00473602871528989</v>
      </c>
      <c r="Q1203" s="15">
        <v>17597657</v>
      </c>
    </row>
    <row r="1204" ht="13.65" customHeight="1">
      <c r="A1204" t="s" s="27">
        <v>1294</v>
      </c>
      <c r="B1204" t="s" s="13">
        <v>22</v>
      </c>
      <c r="C1204" s="31">
        <v>45953</v>
      </c>
      <c r="D1204" s="14">
        <v>1007.7</v>
      </c>
      <c r="E1204" s="14">
        <v>1016</v>
      </c>
      <c r="F1204" s="14">
        <v>1020.5</v>
      </c>
      <c r="G1204" s="14">
        <v>1006</v>
      </c>
      <c r="H1204" s="14">
        <v>1006.6</v>
      </c>
      <c r="I1204" s="14">
        <v>1008.8</v>
      </c>
      <c r="J1204" s="14">
        <v>1013.19</v>
      </c>
      <c r="K1204" t="s" s="13">
        <v>5882</v>
      </c>
      <c r="L1204" t="s" s="13">
        <v>5883</v>
      </c>
      <c r="M1204" t="s" s="13">
        <v>5884</v>
      </c>
      <c r="N1204" t="s" s="13">
        <v>5885</v>
      </c>
      <c r="O1204" s="15">
        <v>67.61</v>
      </c>
      <c r="P1204" s="30" cm="1">
        <f t="array" ref="P1204">(I1204-I1203)/I1203</f>
        <v>0.00109159472065099</v>
      </c>
      <c r="Q1204" s="15">
        <v>16083481</v>
      </c>
    </row>
    <row r="1205" ht="13.65" customHeight="1">
      <c r="A1205" t="s" s="27">
        <v>1294</v>
      </c>
      <c r="B1205" t="s" s="13">
        <v>22</v>
      </c>
      <c r="C1205" s="31">
        <v>45954</v>
      </c>
      <c r="D1205" s="14">
        <v>1008.8</v>
      </c>
      <c r="E1205" s="14">
        <v>1011</v>
      </c>
      <c r="F1205" s="14">
        <v>1011.95</v>
      </c>
      <c r="G1205" s="15">
        <v>991.3</v>
      </c>
      <c r="H1205" s="15">
        <v>995.9</v>
      </c>
      <c r="I1205" s="15">
        <v>994.75</v>
      </c>
      <c r="J1205" s="15">
        <v>999.4</v>
      </c>
      <c r="K1205" t="s" s="13">
        <v>5886</v>
      </c>
      <c r="L1205" t="s" s="13">
        <v>5887</v>
      </c>
      <c r="M1205" t="s" s="13">
        <v>5888</v>
      </c>
      <c r="N1205" t="s" s="13">
        <v>5889</v>
      </c>
      <c r="O1205" s="15">
        <v>58.31</v>
      </c>
      <c r="P1205" s="30" cm="1">
        <f t="array" ref="P1205">(I1205-I1204)/I1204</f>
        <v>-0.0139274385408406</v>
      </c>
      <c r="Q1205" s="15">
        <v>14196320</v>
      </c>
    </row>
    <row r="1206" ht="13.65" customHeight="1">
      <c r="A1206" t="s" s="27">
        <v>1294</v>
      </c>
      <c r="B1206" t="s" s="13">
        <v>22</v>
      </c>
      <c r="C1206" s="31">
        <v>45957</v>
      </c>
      <c r="D1206" s="15">
        <v>994.75</v>
      </c>
      <c r="E1206" s="15">
        <v>996.5</v>
      </c>
      <c r="F1206" s="14">
        <v>1009.05</v>
      </c>
      <c r="G1206" s="15">
        <v>996.2</v>
      </c>
      <c r="H1206" s="14">
        <v>1003.5</v>
      </c>
      <c r="I1206" s="14">
        <v>1002.95</v>
      </c>
      <c r="J1206" s="14">
        <v>1003.92</v>
      </c>
      <c r="K1206" t="s" s="13">
        <v>5890</v>
      </c>
      <c r="L1206" t="s" s="13">
        <v>5891</v>
      </c>
      <c r="M1206" t="s" s="13">
        <v>5892</v>
      </c>
      <c r="N1206" t="s" s="13">
        <v>5893</v>
      </c>
      <c r="O1206" s="15">
        <v>69.27</v>
      </c>
      <c r="P1206" s="30" cm="1">
        <f t="array" ref="P1206">(I1206-I1205)/I1205</f>
        <v>0.00824327720532797</v>
      </c>
      <c r="Q1206" s="15">
        <v>20178344</v>
      </c>
    </row>
    <row r="1207" ht="13.65" customHeight="1">
      <c r="A1207" t="s" s="27">
        <v>1294</v>
      </c>
      <c r="B1207" t="s" s="13">
        <v>22</v>
      </c>
      <c r="C1207" s="31">
        <v>45958</v>
      </c>
      <c r="D1207" s="14">
        <v>1002.95</v>
      </c>
      <c r="E1207" s="15">
        <v>997.65</v>
      </c>
      <c r="F1207" s="14">
        <v>1008</v>
      </c>
      <c r="G1207" s="15">
        <v>995</v>
      </c>
      <c r="H1207" s="14">
        <v>1004.9</v>
      </c>
      <c r="I1207" s="14">
        <v>1003.55</v>
      </c>
      <c r="J1207" s="14">
        <v>1001.18</v>
      </c>
      <c r="K1207" t="s" s="13">
        <v>5894</v>
      </c>
      <c r="L1207" t="s" s="13">
        <v>5895</v>
      </c>
      <c r="M1207" t="s" s="13">
        <v>5896</v>
      </c>
      <c r="N1207" t="s" s="13">
        <v>5897</v>
      </c>
      <c r="O1207" s="15">
        <v>52.51</v>
      </c>
      <c r="P1207" s="30" cm="1">
        <f t="array" ref="P1207">(I1207-I1206)/I1206</f>
        <v>0.000598235206141881</v>
      </c>
      <c r="Q1207" s="15">
        <v>14823813</v>
      </c>
    </row>
    <row r="1208" ht="13.65" customHeight="1">
      <c r="A1208" t="s" s="27">
        <v>1294</v>
      </c>
      <c r="B1208" t="s" s="13">
        <v>22</v>
      </c>
      <c r="C1208" s="31">
        <v>45959</v>
      </c>
      <c r="D1208" s="14">
        <v>1003.55</v>
      </c>
      <c r="E1208" s="14">
        <v>1004.9</v>
      </c>
      <c r="F1208" s="14">
        <v>1012.5</v>
      </c>
      <c r="G1208" s="14">
        <v>1000</v>
      </c>
      <c r="H1208" s="14">
        <v>1008.5</v>
      </c>
      <c r="I1208" s="14">
        <v>1007.85</v>
      </c>
      <c r="J1208" s="14">
        <v>1007.89</v>
      </c>
      <c r="K1208" t="s" s="13">
        <v>5898</v>
      </c>
      <c r="L1208" t="s" s="13">
        <v>5899</v>
      </c>
      <c r="M1208" t="s" s="13">
        <v>5900</v>
      </c>
      <c r="N1208" t="s" s="13">
        <v>5901</v>
      </c>
      <c r="O1208" s="15">
        <v>57.31</v>
      </c>
      <c r="P1208" s="30" cm="1">
        <f t="array" ref="P1208">(I1208-I1207)/I1207</f>
        <v>0.00428478899905336</v>
      </c>
      <c r="Q1208" s="15">
        <v>25438255</v>
      </c>
    </row>
    <row r="1209" ht="13.65" customHeight="1">
      <c r="A1209" t="s" s="27">
        <v>1294</v>
      </c>
      <c r="B1209" t="s" s="13">
        <v>22</v>
      </c>
      <c r="C1209" s="31">
        <v>45960</v>
      </c>
      <c r="D1209" s="14">
        <v>1007.85</v>
      </c>
      <c r="E1209" s="14">
        <v>1000</v>
      </c>
      <c r="F1209" s="14">
        <v>1009.5</v>
      </c>
      <c r="G1209" s="15">
        <v>997.1</v>
      </c>
      <c r="H1209" s="15">
        <v>999.95</v>
      </c>
      <c r="I1209" s="15">
        <v>998.15</v>
      </c>
      <c r="J1209" s="14">
        <v>1001.53</v>
      </c>
      <c r="K1209" t="s" s="13">
        <v>5902</v>
      </c>
      <c r="L1209" t="s" s="13">
        <v>5903</v>
      </c>
      <c r="M1209" t="s" s="13">
        <v>5904</v>
      </c>
      <c r="N1209" t="s" s="13">
        <v>5905</v>
      </c>
      <c r="O1209" s="15">
        <v>55.19</v>
      </c>
      <c r="P1209" s="30" cm="1">
        <f t="array" ref="P1209">(I1209-I1208)/I1208</f>
        <v>-0.009624448082551969</v>
      </c>
      <c r="Q1209" s="15">
        <v>16917731</v>
      </c>
    </row>
    <row r="1210" ht="13.65" customHeight="1">
      <c r="A1210" t="s" s="27">
        <v>1294</v>
      </c>
      <c r="B1210" t="s" s="13">
        <v>5906</v>
      </c>
      <c r="C1210" s="31">
        <v>45960</v>
      </c>
      <c r="D1210" s="14">
        <v>1007.85</v>
      </c>
      <c r="E1210" s="14">
        <v>1007.85</v>
      </c>
      <c r="F1210" s="14">
        <v>1007.85</v>
      </c>
      <c r="G1210" s="14">
        <v>1007.85</v>
      </c>
      <c r="H1210" s="14">
        <v>1007.85</v>
      </c>
      <c r="I1210" s="15">
        <v>998.15</v>
      </c>
      <c r="J1210" s="14">
        <v>1007.85</v>
      </c>
      <c r="K1210" s="15">
        <v>1</v>
      </c>
      <c r="L1210" s="14">
        <v>1007.85</v>
      </c>
      <c r="M1210" s="15">
        <v>1</v>
      </c>
      <c r="N1210" s="15">
        <v>1</v>
      </c>
      <c r="O1210" s="15">
        <v>100</v>
      </c>
      <c r="P1210" s="30" cm="1">
        <f t="array" ref="P1210">(I1210-I1209)/I1209</f>
        <v>0</v>
      </c>
      <c r="Q1210" s="15">
        <v>8759022</v>
      </c>
    </row>
    <row r="1211" ht="13.65" customHeight="1">
      <c r="A1211" t="s" s="27">
        <v>1294</v>
      </c>
      <c r="B1211" t="s" s="13">
        <v>22</v>
      </c>
      <c r="C1211" s="31">
        <v>45961</v>
      </c>
      <c r="D1211" s="15">
        <v>998.15</v>
      </c>
      <c r="E1211" s="15">
        <v>994</v>
      </c>
      <c r="F1211" s="14">
        <v>1004.45</v>
      </c>
      <c r="G1211" s="15">
        <v>981.15</v>
      </c>
      <c r="H1211" s="15">
        <v>987.95</v>
      </c>
      <c r="I1211" s="15">
        <v>987.3</v>
      </c>
      <c r="J1211" s="15">
        <v>989.37</v>
      </c>
      <c r="K1211" t="s" s="13">
        <v>5907</v>
      </c>
      <c r="L1211" t="s" s="13">
        <v>5908</v>
      </c>
      <c r="M1211" t="s" s="13">
        <v>5909</v>
      </c>
      <c r="N1211" t="s" s="13">
        <v>5910</v>
      </c>
      <c r="O1211" s="15">
        <v>62.57</v>
      </c>
      <c r="P1211" s="30" cm="1">
        <f t="array" ref="P1211">(I1211-I1210)/I1210</f>
        <v>-0.0108701097029505</v>
      </c>
      <c r="Q1211" s="15">
        <v>9916751</v>
      </c>
    </row>
    <row r="1212" ht="13.65" customHeight="1">
      <c r="A1212" t="s" s="27">
        <v>1294</v>
      </c>
      <c r="B1212" t="s" s="13">
        <v>22</v>
      </c>
      <c r="C1212" s="28">
        <v>45964</v>
      </c>
      <c r="D1212" s="15">
        <v>987.3</v>
      </c>
      <c r="E1212" s="15">
        <v>985</v>
      </c>
      <c r="F1212" s="15">
        <v>994.55</v>
      </c>
      <c r="G1212" s="15">
        <v>983.3</v>
      </c>
      <c r="H1212" s="15">
        <v>993.4</v>
      </c>
      <c r="I1212" s="15">
        <v>992.65</v>
      </c>
      <c r="J1212" s="15">
        <v>991.15</v>
      </c>
      <c r="K1212" t="s" s="13">
        <v>5911</v>
      </c>
      <c r="L1212" t="s" s="13">
        <v>5912</v>
      </c>
      <c r="M1212" t="s" s="13">
        <v>5913</v>
      </c>
      <c r="N1212" t="s" s="13">
        <v>5914</v>
      </c>
      <c r="O1212" s="15">
        <v>60.19</v>
      </c>
      <c r="P1212" s="30" cm="1">
        <f t="array" ref="P1212">(I1212-I1211)/I1211</f>
        <v>0.00541881900131672</v>
      </c>
      <c r="Q1212" s="15">
        <v>6219925</v>
      </c>
    </row>
    <row r="1213" ht="13.65" customHeight="1">
      <c r="A1213" t="s" s="27">
        <v>1294</v>
      </c>
      <c r="B1213" t="s" s="13">
        <v>22</v>
      </c>
      <c r="C1213" s="28">
        <v>45965</v>
      </c>
      <c r="D1213" s="15">
        <v>992.65</v>
      </c>
      <c r="E1213" s="15">
        <v>987</v>
      </c>
      <c r="F1213" s="15">
        <v>997</v>
      </c>
      <c r="G1213" s="15">
        <v>983.7</v>
      </c>
      <c r="H1213" s="15">
        <v>985.7</v>
      </c>
      <c r="I1213" s="15">
        <v>985.25</v>
      </c>
      <c r="J1213" s="15">
        <v>990.21</v>
      </c>
      <c r="K1213" t="s" s="13">
        <v>5915</v>
      </c>
      <c r="L1213" t="s" s="13">
        <v>5916</v>
      </c>
      <c r="M1213" t="s" s="13">
        <v>5917</v>
      </c>
      <c r="N1213" t="s" s="13">
        <v>5918</v>
      </c>
      <c r="O1213" s="15">
        <v>53.9</v>
      </c>
      <c r="P1213" s="30" cm="1">
        <f t="array" ref="P1213">(I1213-I1212)/I1212</f>
        <v>-0.00745479272654007</v>
      </c>
      <c r="Q1213" s="15">
        <v>4975114</v>
      </c>
    </row>
    <row r="1214" ht="13.65" customHeight="1">
      <c r="A1214" t="s" s="27">
        <v>1294</v>
      </c>
      <c r="B1214" t="s" s="13">
        <v>22</v>
      </c>
      <c r="C1214" s="28">
        <v>45967</v>
      </c>
      <c r="D1214" s="15">
        <v>985.25</v>
      </c>
      <c r="E1214" s="15">
        <v>981</v>
      </c>
      <c r="F1214" s="15">
        <v>991.05</v>
      </c>
      <c r="G1214" s="15">
        <v>974</v>
      </c>
      <c r="H1214" s="15">
        <v>987.5</v>
      </c>
      <c r="I1214" s="15">
        <v>984.65</v>
      </c>
      <c r="J1214" s="15">
        <v>984.48</v>
      </c>
      <c r="K1214" t="s" s="13">
        <v>5919</v>
      </c>
      <c r="L1214" t="s" s="13">
        <v>5920</v>
      </c>
      <c r="M1214" t="s" s="13">
        <v>5921</v>
      </c>
      <c r="N1214" t="s" s="13">
        <v>5922</v>
      </c>
      <c r="O1214" s="15">
        <v>51.17</v>
      </c>
      <c r="P1214" s="30" cm="1">
        <f t="array" ref="P1214">(I1214-I1213)/I1213</f>
        <v>-0.000608982491753362</v>
      </c>
      <c r="Q1214" s="15">
        <v>6176219</v>
      </c>
    </row>
    <row r="1215" ht="13.65" customHeight="1">
      <c r="A1215" t="s" s="27">
        <v>1294</v>
      </c>
      <c r="B1215" t="s" s="13">
        <v>22</v>
      </c>
      <c r="C1215" s="28">
        <v>45968</v>
      </c>
      <c r="D1215" s="15">
        <v>984.65</v>
      </c>
      <c r="E1215" s="15">
        <v>980</v>
      </c>
      <c r="F1215" s="15">
        <v>984.9</v>
      </c>
      <c r="G1215" s="15">
        <v>974.75</v>
      </c>
      <c r="H1215" s="15">
        <v>984.3</v>
      </c>
      <c r="I1215" s="15">
        <v>982.3</v>
      </c>
      <c r="J1215" s="15">
        <v>979.96</v>
      </c>
      <c r="K1215" t="s" s="13">
        <v>5923</v>
      </c>
      <c r="L1215" t="s" s="13">
        <v>5924</v>
      </c>
      <c r="M1215" t="s" s="13">
        <v>5925</v>
      </c>
      <c r="N1215" t="s" s="13">
        <v>5926</v>
      </c>
      <c r="O1215" s="15">
        <v>71.11</v>
      </c>
      <c r="P1215" s="30" cm="1">
        <f t="array" ref="P1215">(I1215-I1214)/I1214</f>
        <v>-0.00238663484486874</v>
      </c>
      <c r="Q1215" s="15">
        <v>9642398</v>
      </c>
    </row>
    <row r="1216" ht="13.65" customHeight="1">
      <c r="A1216" t="s" s="27">
        <v>1294</v>
      </c>
      <c r="B1216" t="s" s="13">
        <v>22</v>
      </c>
      <c r="C1216" s="31">
        <v>45971</v>
      </c>
      <c r="D1216" s="15">
        <v>982.3</v>
      </c>
      <c r="E1216" s="15">
        <v>982.3</v>
      </c>
      <c r="F1216" s="15">
        <v>990.95</v>
      </c>
      <c r="G1216" s="15">
        <v>980.2</v>
      </c>
      <c r="H1216" s="15">
        <v>984.6</v>
      </c>
      <c r="I1216" s="15">
        <v>984.5</v>
      </c>
      <c r="J1216" s="15">
        <v>986.1900000000001</v>
      </c>
      <c r="K1216" t="s" s="13">
        <v>5927</v>
      </c>
      <c r="L1216" t="s" s="13">
        <v>5928</v>
      </c>
      <c r="M1216" t="s" s="13">
        <v>5929</v>
      </c>
      <c r="N1216" t="s" s="13">
        <v>5930</v>
      </c>
      <c r="O1216" s="15">
        <v>70.86</v>
      </c>
      <c r="P1216" s="30" cm="1">
        <f t="array" ref="P1216">(I1216-I1215)/I1215</f>
        <v>0.00223964165733483</v>
      </c>
      <c r="Q1216" s="15">
        <v>8755858</v>
      </c>
    </row>
    <row r="1217" ht="13.65" customHeight="1">
      <c r="A1217" t="s" s="27">
        <v>1294</v>
      </c>
      <c r="B1217" t="s" s="13">
        <v>22</v>
      </c>
      <c r="C1217" s="31">
        <v>45972</v>
      </c>
      <c r="D1217" s="15">
        <v>984.5</v>
      </c>
      <c r="E1217" s="15">
        <v>983.5</v>
      </c>
      <c r="F1217" s="15">
        <v>993.5</v>
      </c>
      <c r="G1217" s="15">
        <v>978</v>
      </c>
      <c r="H1217" s="15">
        <v>992</v>
      </c>
      <c r="I1217" s="15">
        <v>991.7</v>
      </c>
      <c r="J1217" s="15">
        <v>987.26</v>
      </c>
      <c r="K1217" t="s" s="13">
        <v>5931</v>
      </c>
      <c r="L1217" t="s" s="13">
        <v>5932</v>
      </c>
      <c r="M1217" t="s" s="13">
        <v>5933</v>
      </c>
      <c r="N1217" t="s" s="13">
        <v>5934</v>
      </c>
      <c r="O1217" s="15">
        <v>50.76</v>
      </c>
      <c r="P1217" s="30" cm="1">
        <f t="array" ref="P1217">(I1217-I1216)/I1216</f>
        <v>0.00731335703402743</v>
      </c>
      <c r="Q1217" s="15">
        <v>6788698</v>
      </c>
    </row>
    <row r="1218" ht="13.65" customHeight="1">
      <c r="A1218" t="s" s="27">
        <v>1294</v>
      </c>
      <c r="B1218" t="s" s="13">
        <v>22</v>
      </c>
      <c r="C1218" s="31">
        <v>45973</v>
      </c>
      <c r="D1218" s="15">
        <v>991.7</v>
      </c>
      <c r="E1218" s="15">
        <v>998.8</v>
      </c>
      <c r="F1218" s="15">
        <v>999</v>
      </c>
      <c r="G1218" s="15">
        <v>987.7</v>
      </c>
      <c r="H1218" s="15">
        <v>990.25</v>
      </c>
      <c r="I1218" s="15">
        <v>989.5</v>
      </c>
      <c r="J1218" s="15">
        <v>992.14</v>
      </c>
      <c r="K1218" t="s" s="13">
        <v>5935</v>
      </c>
      <c r="L1218" t="s" s="13">
        <v>5936</v>
      </c>
      <c r="M1218" t="s" s="13">
        <v>5937</v>
      </c>
      <c r="N1218" t="s" s="13">
        <v>5938</v>
      </c>
      <c r="O1218" s="15">
        <v>69</v>
      </c>
      <c r="P1218" s="30" cm="1">
        <f t="array" ref="P1218">(I1218-I1217)/I1217</f>
        <v>-0.00221841282645961</v>
      </c>
      <c r="Q1218" s="15">
        <v>6468901</v>
      </c>
    </row>
    <row r="1219" ht="13.65" customHeight="1">
      <c r="A1219" t="s" s="27">
        <v>1294</v>
      </c>
      <c r="B1219" t="s" s="13">
        <v>22</v>
      </c>
      <c r="C1219" s="31">
        <v>45974</v>
      </c>
      <c r="D1219" s="15">
        <v>989.5</v>
      </c>
      <c r="E1219" s="15">
        <v>984</v>
      </c>
      <c r="F1219" s="15">
        <v>990.1</v>
      </c>
      <c r="G1219" s="15">
        <v>982.6</v>
      </c>
      <c r="H1219" s="15">
        <v>985.75</v>
      </c>
      <c r="I1219" s="15">
        <v>986.65</v>
      </c>
      <c r="J1219" s="15">
        <v>986.34</v>
      </c>
      <c r="K1219" t="s" s="13">
        <v>5939</v>
      </c>
      <c r="L1219" t="s" s="13">
        <v>5940</v>
      </c>
      <c r="M1219" t="s" s="13">
        <v>5941</v>
      </c>
      <c r="N1219" t="s" s="13">
        <v>5942</v>
      </c>
      <c r="O1219" s="15">
        <v>59.48</v>
      </c>
      <c r="P1219" s="30" cm="1">
        <f t="array" ref="P1219">(I1219-I1218)/I1218</f>
        <v>-0.00288024254674078</v>
      </c>
      <c r="Q1219" s="15">
        <v>4552927</v>
      </c>
    </row>
    <row r="1220" ht="13.65" customHeight="1">
      <c r="A1220" t="s" s="27">
        <v>1294</v>
      </c>
      <c r="B1220" t="s" s="13">
        <v>22</v>
      </c>
      <c r="C1220" s="31">
        <v>45975</v>
      </c>
      <c r="D1220" s="15">
        <v>986.65</v>
      </c>
      <c r="E1220" s="15">
        <v>976.05</v>
      </c>
      <c r="F1220" s="15">
        <v>991.65</v>
      </c>
      <c r="G1220" s="15">
        <v>976.05</v>
      </c>
      <c r="H1220" s="15">
        <v>989</v>
      </c>
      <c r="I1220" s="15">
        <v>989.6</v>
      </c>
      <c r="J1220" s="15">
        <v>984.95</v>
      </c>
      <c r="K1220" t="s" s="13">
        <v>5943</v>
      </c>
      <c r="L1220" t="s" s="13">
        <v>5944</v>
      </c>
      <c r="M1220" t="s" s="13">
        <v>5945</v>
      </c>
      <c r="N1220" t="s" s="13">
        <v>5946</v>
      </c>
      <c r="O1220" s="15">
        <v>73.26000000000001</v>
      </c>
      <c r="P1220" s="30" cm="1">
        <f t="array" ref="P1220">(I1220-I1219)/I1219</f>
        <v>0.00298991537019206</v>
      </c>
      <c r="Q1220" s="15">
        <v>6947632</v>
      </c>
    </row>
    <row r="1221" ht="13.65" customHeight="1">
      <c r="A1221" t="s" s="27">
        <v>1294</v>
      </c>
      <c r="B1221" t="s" s="13">
        <v>22</v>
      </c>
      <c r="C1221" s="31">
        <v>45978</v>
      </c>
      <c r="D1221" s="15">
        <v>989.6</v>
      </c>
      <c r="E1221" s="15">
        <v>991.25</v>
      </c>
      <c r="F1221" s="15">
        <v>997.95</v>
      </c>
      <c r="G1221" s="15">
        <v>985.6</v>
      </c>
      <c r="H1221" s="15">
        <v>996.45</v>
      </c>
      <c r="I1221" s="15">
        <v>996.55</v>
      </c>
      <c r="J1221" s="15">
        <v>993.87</v>
      </c>
      <c r="K1221" t="s" s="13">
        <v>5947</v>
      </c>
      <c r="L1221" t="s" s="13">
        <v>5948</v>
      </c>
      <c r="M1221" t="s" s="13">
        <v>5949</v>
      </c>
      <c r="N1221" t="s" s="13">
        <v>5950</v>
      </c>
      <c r="O1221" s="15">
        <v>67.86</v>
      </c>
      <c r="P1221" s="30" cm="1">
        <f t="array" ref="P1221">(I1221-I1220)/I1220</f>
        <v>0.00702303961196443</v>
      </c>
      <c r="Q1221" s="15">
        <v>6540593</v>
      </c>
    </row>
    <row r="1222" ht="13.65" customHeight="1">
      <c r="A1222" t="s" s="27">
        <v>1294</v>
      </c>
      <c r="B1222" t="s" s="13">
        <v>22</v>
      </c>
      <c r="C1222" s="31">
        <v>45979</v>
      </c>
      <c r="D1222" s="15">
        <v>996.55</v>
      </c>
      <c r="E1222" s="15">
        <v>997.65</v>
      </c>
      <c r="F1222" s="15">
        <v>999</v>
      </c>
      <c r="G1222" s="15">
        <v>990</v>
      </c>
      <c r="H1222" s="15">
        <v>990.85</v>
      </c>
      <c r="I1222" s="15">
        <v>992.45</v>
      </c>
      <c r="J1222" s="15">
        <v>994.6799999999999</v>
      </c>
      <c r="K1222" t="s" s="13">
        <v>5951</v>
      </c>
      <c r="L1222" t="s" s="13">
        <v>5952</v>
      </c>
      <c r="M1222" t="s" s="13">
        <v>5953</v>
      </c>
      <c r="N1222" t="s" s="13">
        <v>5954</v>
      </c>
      <c r="O1222" s="15">
        <v>66.37</v>
      </c>
      <c r="P1222" s="30" cm="1">
        <f t="array" ref="P1222">(I1222-I1221)/I1221</f>
        <v>-0.00411419396919372</v>
      </c>
      <c r="Q1222" s="15">
        <v>7040102</v>
      </c>
    </row>
    <row r="1223" ht="13.65" customHeight="1">
      <c r="A1223" t="s" s="27">
        <v>1294</v>
      </c>
      <c r="B1223" t="s" s="13">
        <v>22</v>
      </c>
      <c r="C1223" s="31">
        <v>45980</v>
      </c>
      <c r="D1223" s="15">
        <v>992.45</v>
      </c>
      <c r="E1223" s="15">
        <v>990</v>
      </c>
      <c r="F1223" s="15">
        <v>996.55</v>
      </c>
      <c r="G1223" s="15">
        <v>984</v>
      </c>
      <c r="H1223" s="15">
        <v>994.8</v>
      </c>
      <c r="I1223" s="15">
        <v>994.6</v>
      </c>
      <c r="J1223" s="15">
        <v>989.67</v>
      </c>
      <c r="K1223" t="s" s="13">
        <v>5955</v>
      </c>
      <c r="L1223" t="s" s="13">
        <v>5956</v>
      </c>
      <c r="M1223" t="s" s="13">
        <v>5957</v>
      </c>
      <c r="N1223" t="s" s="13">
        <v>5958</v>
      </c>
      <c r="O1223" s="15">
        <v>72.58</v>
      </c>
      <c r="P1223" s="30" cm="1">
        <f t="array" ref="P1223">(I1223-I1222)/I1222</f>
        <v>0.00216635598770719</v>
      </c>
      <c r="Q1223" s="15">
        <v>11989029</v>
      </c>
    </row>
    <row r="1224" ht="13.65" customHeight="1">
      <c r="A1224" t="s" s="27">
        <v>1294</v>
      </c>
      <c r="B1224" t="s" s="13">
        <v>1323</v>
      </c>
      <c r="C1224" s="31">
        <v>45980</v>
      </c>
      <c r="D1224" s="15">
        <v>978.5</v>
      </c>
      <c r="E1224" s="15">
        <v>992.45</v>
      </c>
      <c r="F1224" s="15">
        <v>992.45</v>
      </c>
      <c r="G1224" s="15">
        <v>992.45</v>
      </c>
      <c r="H1224" s="15">
        <v>992.45</v>
      </c>
      <c r="I1224" s="15">
        <v>992.45</v>
      </c>
      <c r="J1224" s="15">
        <v>992.45</v>
      </c>
      <c r="K1224" t="s" s="13">
        <v>5959</v>
      </c>
      <c r="L1224" t="s" s="13">
        <v>5960</v>
      </c>
      <c r="M1224" s="15">
        <v>1</v>
      </c>
      <c r="N1224" t="s" s="13">
        <v>1326</v>
      </c>
      <c r="O1224" t="s" s="13">
        <v>1326</v>
      </c>
      <c r="P1224" s="30" cm="1">
        <f t="array" ref="P1224">(I1224-I1223)/I1223</f>
        <v>-0.00216167303438568</v>
      </c>
      <c r="Q1224" s="15">
        <v>6966973</v>
      </c>
    </row>
    <row r="1225" ht="13.65" customHeight="1">
      <c r="A1225" t="s" s="27">
        <v>1294</v>
      </c>
      <c r="B1225" t="s" s="13">
        <v>22</v>
      </c>
      <c r="C1225" s="31">
        <v>45981</v>
      </c>
      <c r="D1225" s="15">
        <v>994.6</v>
      </c>
      <c r="E1225" s="15">
        <v>995.3</v>
      </c>
      <c r="F1225" s="14">
        <v>1011.6</v>
      </c>
      <c r="G1225" s="15">
        <v>992.45</v>
      </c>
      <c r="H1225" s="14">
        <v>1008.6</v>
      </c>
      <c r="I1225" s="14">
        <v>1008.85</v>
      </c>
      <c r="J1225" s="14">
        <v>1003.81</v>
      </c>
      <c r="K1225" t="s" s="13">
        <v>5961</v>
      </c>
      <c r="L1225" t="s" s="13">
        <v>5962</v>
      </c>
      <c r="M1225" t="s" s="13">
        <v>5963</v>
      </c>
      <c r="N1225" t="s" s="13">
        <v>5964</v>
      </c>
      <c r="O1225" s="15">
        <v>62.01</v>
      </c>
      <c r="P1225" s="30" cm="1">
        <f t="array" ref="P1225">(I1225-I1224)/I1224</f>
        <v>0.0165247619527432</v>
      </c>
      <c r="Q1225" s="15">
        <v>5658629</v>
      </c>
    </row>
    <row r="1226" ht="13.65" customHeight="1">
      <c r="A1226" t="s" s="27">
        <v>1294</v>
      </c>
      <c r="B1226" t="s" s="13">
        <v>22</v>
      </c>
      <c r="C1226" s="31">
        <v>45982</v>
      </c>
      <c r="D1226" s="14">
        <v>1008.85</v>
      </c>
      <c r="E1226" s="14">
        <v>1003.1</v>
      </c>
      <c r="F1226" s="14">
        <v>1008.3</v>
      </c>
      <c r="G1226" s="15">
        <v>996.55</v>
      </c>
      <c r="H1226" s="15">
        <v>998</v>
      </c>
      <c r="I1226" s="15">
        <v>998.05</v>
      </c>
      <c r="J1226" s="14">
        <v>1001.07</v>
      </c>
      <c r="K1226" t="s" s="13">
        <v>5965</v>
      </c>
      <c r="L1226" t="s" s="13">
        <v>5966</v>
      </c>
      <c r="M1226" t="s" s="13">
        <v>5967</v>
      </c>
      <c r="N1226" t="s" s="13">
        <v>5968</v>
      </c>
      <c r="O1226" s="15">
        <v>67.33</v>
      </c>
      <c r="P1226" s="30" cm="1">
        <f t="array" ref="P1226">(I1226-I1225)/I1225</f>
        <v>-0.0107052584626059</v>
      </c>
      <c r="Q1226" s="15">
        <v>11091516</v>
      </c>
    </row>
    <row r="1227" ht="13.65" customHeight="1">
      <c r="A1227" t="s" s="27">
        <v>1294</v>
      </c>
      <c r="B1227" t="s" s="13">
        <v>22</v>
      </c>
      <c r="C1227" s="31">
        <v>45985</v>
      </c>
      <c r="D1227" s="15">
        <v>998.05</v>
      </c>
      <c r="E1227" s="14">
        <v>1000</v>
      </c>
      <c r="F1227" s="14">
        <v>1011.45</v>
      </c>
      <c r="G1227" s="15">
        <v>993.6</v>
      </c>
      <c r="H1227" s="15">
        <v>997.85</v>
      </c>
      <c r="I1227" s="15">
        <v>999.15</v>
      </c>
      <c r="J1227" s="14">
        <v>1001.79</v>
      </c>
      <c r="K1227" t="s" s="13">
        <v>5969</v>
      </c>
      <c r="L1227" t="s" s="13">
        <v>5970</v>
      </c>
      <c r="M1227" t="s" s="13">
        <v>5971</v>
      </c>
      <c r="N1227" t="s" s="13">
        <v>5972</v>
      </c>
      <c r="O1227" s="15">
        <v>71.91</v>
      </c>
      <c r="P1227" s="30" cm="1">
        <f t="array" ref="P1227">(I1227-I1226)/I1226</f>
        <v>0.0011021491909223</v>
      </c>
      <c r="Q1227" s="15">
        <v>7577018</v>
      </c>
    </row>
    <row r="1228" ht="13.65" customHeight="1">
      <c r="A1228" t="s" s="27">
        <v>1294</v>
      </c>
      <c r="B1228" t="s" s="13">
        <v>22</v>
      </c>
      <c r="C1228" s="31">
        <v>45986</v>
      </c>
      <c r="D1228" s="15">
        <v>999.15</v>
      </c>
      <c r="E1228" s="14">
        <v>1004</v>
      </c>
      <c r="F1228" s="14">
        <v>1006.1</v>
      </c>
      <c r="G1228" s="15">
        <v>988.4</v>
      </c>
      <c r="H1228" s="15">
        <v>989.45</v>
      </c>
      <c r="I1228" s="15">
        <v>989.8</v>
      </c>
      <c r="J1228" s="15">
        <v>995.08</v>
      </c>
      <c r="K1228" t="s" s="13">
        <v>5973</v>
      </c>
      <c r="L1228" t="s" s="13">
        <v>5974</v>
      </c>
      <c r="M1228" t="s" s="13">
        <v>5975</v>
      </c>
      <c r="N1228" t="s" s="13">
        <v>5976</v>
      </c>
      <c r="O1228" s="15">
        <v>57.41</v>
      </c>
      <c r="P1228" s="30" cm="1">
        <f t="array" ref="P1228">(I1228-I1227)/I1227</f>
        <v>-0.00935795426112195</v>
      </c>
      <c r="Q1228" s="15">
        <v>9947848</v>
      </c>
    </row>
    <row r="1229" ht="13.65" customHeight="1">
      <c r="A1229" t="s" s="27">
        <v>1294</v>
      </c>
      <c r="B1229" t="s" s="13">
        <v>22</v>
      </c>
      <c r="C1229" s="31">
        <v>45987</v>
      </c>
      <c r="D1229" s="15">
        <v>989.8</v>
      </c>
      <c r="E1229" s="15">
        <v>981.3</v>
      </c>
      <c r="F1229" s="14">
        <v>1006.95</v>
      </c>
      <c r="G1229" s="15">
        <v>981.3</v>
      </c>
      <c r="H1229" s="14">
        <v>1005</v>
      </c>
      <c r="I1229" s="14">
        <v>1003.9</v>
      </c>
      <c r="J1229" s="15">
        <v>999.58</v>
      </c>
      <c r="K1229" t="s" s="13">
        <v>5977</v>
      </c>
      <c r="L1229" t="s" s="13">
        <v>5978</v>
      </c>
      <c r="M1229" t="s" s="13">
        <v>5979</v>
      </c>
      <c r="N1229" t="s" s="13">
        <v>5980</v>
      </c>
      <c r="O1229" s="15">
        <v>54.14</v>
      </c>
      <c r="P1229" s="30" cm="1">
        <f t="array" ref="P1229">(I1229-I1228)/I1228</f>
        <v>0.0142453020812285</v>
      </c>
      <c r="Q1229" s="15">
        <v>6029790</v>
      </c>
    </row>
    <row r="1230" ht="13.65" customHeight="1">
      <c r="A1230" t="s" s="27">
        <v>1294</v>
      </c>
      <c r="B1230" t="s" s="13">
        <v>22</v>
      </c>
      <c r="C1230" s="31">
        <v>45988</v>
      </c>
      <c r="D1230" s="14">
        <v>1003.9</v>
      </c>
      <c r="E1230" s="14">
        <v>1002.1</v>
      </c>
      <c r="F1230" s="14">
        <v>1016.8</v>
      </c>
      <c r="G1230" s="14">
        <v>1001</v>
      </c>
      <c r="H1230" s="14">
        <v>1009.05</v>
      </c>
      <c r="I1230" s="14">
        <v>1009.5</v>
      </c>
      <c r="J1230" s="14">
        <v>1010.95</v>
      </c>
      <c r="K1230" t="s" s="13">
        <v>5981</v>
      </c>
      <c r="L1230" t="s" s="13">
        <v>5982</v>
      </c>
      <c r="M1230" t="s" s="13">
        <v>5983</v>
      </c>
      <c r="N1230" t="s" s="13">
        <v>5984</v>
      </c>
      <c r="O1230" s="15">
        <v>65.91</v>
      </c>
      <c r="P1230" s="30" cm="1">
        <f t="array" ref="P1230">(I1230-I1229)/I1229</f>
        <v>0.00557824484510409</v>
      </c>
      <c r="Q1230" s="15">
        <v>4653299</v>
      </c>
    </row>
    <row r="1231" ht="13.65" customHeight="1">
      <c r="A1231" t="s" s="27">
        <v>1294</v>
      </c>
      <c r="B1231" t="s" s="13">
        <v>22</v>
      </c>
      <c r="C1231" s="31">
        <v>45989</v>
      </c>
      <c r="D1231" s="14">
        <v>1009.5</v>
      </c>
      <c r="E1231" s="14">
        <v>1007</v>
      </c>
      <c r="F1231" s="14">
        <v>1012.05</v>
      </c>
      <c r="G1231" s="14">
        <v>1004.2</v>
      </c>
      <c r="H1231" s="14">
        <v>1006.7</v>
      </c>
      <c r="I1231" s="14">
        <v>1007.6</v>
      </c>
      <c r="J1231" s="14">
        <v>1008.93</v>
      </c>
      <c r="K1231" t="s" s="13">
        <v>5985</v>
      </c>
      <c r="L1231" t="s" s="13">
        <v>5986</v>
      </c>
      <c r="M1231" t="s" s="13">
        <v>5987</v>
      </c>
      <c r="N1231" t="s" s="13">
        <v>5988</v>
      </c>
      <c r="O1231" s="15">
        <v>69.92</v>
      </c>
      <c r="P1231" s="30" cm="1">
        <f t="array" ref="P1231">(I1231-I1230)/I1230</f>
        <v>-0.00188211986131748</v>
      </c>
      <c r="Q1231" s="15">
        <v>9553588</v>
      </c>
    </row>
    <row r="1232" ht="13.65" customHeight="1">
      <c r="A1232" t="s" s="27">
        <v>1294</v>
      </c>
      <c r="B1232" t="s" s="13">
        <v>22</v>
      </c>
      <c r="C1232" s="28">
        <v>45992</v>
      </c>
      <c r="D1232" s="14">
        <v>1007.6</v>
      </c>
      <c r="E1232" s="14">
        <v>1017.5</v>
      </c>
      <c r="F1232" s="14">
        <v>1017.5</v>
      </c>
      <c r="G1232" s="15">
        <v>999.3</v>
      </c>
      <c r="H1232" s="14">
        <v>1002.9</v>
      </c>
      <c r="I1232" s="14">
        <v>1002.1</v>
      </c>
      <c r="J1232" s="14">
        <v>1005.66</v>
      </c>
      <c r="K1232" t="s" s="13">
        <v>5989</v>
      </c>
      <c r="L1232" t="s" s="13">
        <v>5990</v>
      </c>
      <c r="M1232" t="s" s="13">
        <v>5991</v>
      </c>
      <c r="N1232" t="s" s="13">
        <v>5992</v>
      </c>
      <c r="O1232" s="15">
        <v>62.18</v>
      </c>
      <c r="P1232" s="30" cm="1">
        <f t="array" ref="P1232">(I1232-I1231)/I1231</f>
        <v>-0.00545851528384279</v>
      </c>
      <c r="Q1232" s="15">
        <v>6817458</v>
      </c>
    </row>
    <row r="1233" ht="13.65" customHeight="1">
      <c r="A1233" t="s" s="27">
        <v>1294</v>
      </c>
      <c r="B1233" t="s" s="13">
        <v>22</v>
      </c>
      <c r="C1233" s="28">
        <v>45993</v>
      </c>
      <c r="D1233" s="14">
        <v>1002.1</v>
      </c>
      <c r="E1233" s="15">
        <v>988</v>
      </c>
      <c r="F1233" s="15">
        <v>994.4</v>
      </c>
      <c r="G1233" s="15">
        <v>985</v>
      </c>
      <c r="H1233" s="15">
        <v>991.4</v>
      </c>
      <c r="I1233" s="15">
        <v>989.8</v>
      </c>
      <c r="J1233" s="15">
        <v>990.24</v>
      </c>
      <c r="K1233" t="s" s="13">
        <v>5993</v>
      </c>
      <c r="L1233" t="s" s="13">
        <v>5994</v>
      </c>
      <c r="M1233" t="s" s="13">
        <v>5995</v>
      </c>
      <c r="N1233" t="s" s="13">
        <v>5996</v>
      </c>
      <c r="O1233" s="15">
        <v>65.98999999999999</v>
      </c>
      <c r="P1233" s="30" cm="1">
        <f t="array" ref="P1233">(I1233-I1232)/I1232</f>
        <v>-0.0122742241293284</v>
      </c>
      <c r="Q1233" s="15">
        <v>7418407</v>
      </c>
    </row>
    <row r="1234" ht="13.65" customHeight="1">
      <c r="A1234" t="s" s="27">
        <v>1294</v>
      </c>
      <c r="B1234" t="s" s="13">
        <v>22</v>
      </c>
      <c r="C1234" s="28">
        <v>45994</v>
      </c>
      <c r="D1234" s="15">
        <v>989.8</v>
      </c>
      <c r="E1234" s="15">
        <v>986</v>
      </c>
      <c r="F1234" s="14">
        <v>1002.3</v>
      </c>
      <c r="G1234" s="15">
        <v>986</v>
      </c>
      <c r="H1234" s="14">
        <v>1000.1</v>
      </c>
      <c r="I1234" s="14">
        <v>1000.5</v>
      </c>
      <c r="J1234" s="15">
        <v>993.84</v>
      </c>
      <c r="K1234" t="s" s="13">
        <v>5997</v>
      </c>
      <c r="L1234" t="s" s="13">
        <v>5998</v>
      </c>
      <c r="M1234" t="s" s="13">
        <v>5999</v>
      </c>
      <c r="N1234" t="s" s="13">
        <v>6000</v>
      </c>
      <c r="O1234" s="15">
        <v>69.02</v>
      </c>
      <c r="P1234" s="30" cm="1">
        <f t="array" ref="P1234">(I1234-I1233)/I1233</f>
        <v>0.0108102646999394</v>
      </c>
      <c r="Q1234" s="15">
        <v>11154539</v>
      </c>
    </row>
    <row r="1235" ht="13.65" customHeight="1">
      <c r="A1235" t="s" s="27">
        <v>1294</v>
      </c>
      <c r="B1235" t="s" s="13">
        <v>22</v>
      </c>
      <c r="C1235" s="28">
        <v>45995</v>
      </c>
      <c r="D1235" s="14">
        <v>1000.5</v>
      </c>
      <c r="E1235" s="14">
        <v>1000</v>
      </c>
      <c r="F1235" s="14">
        <v>1004.7</v>
      </c>
      <c r="G1235" s="15">
        <v>993</v>
      </c>
      <c r="H1235" s="15">
        <v>998.5</v>
      </c>
      <c r="I1235" s="15">
        <v>997.2</v>
      </c>
      <c r="J1235" s="15">
        <v>998.28</v>
      </c>
      <c r="K1235" t="s" s="13">
        <v>6001</v>
      </c>
      <c r="L1235" t="s" s="13">
        <v>6002</v>
      </c>
      <c r="M1235" t="s" s="13">
        <v>6003</v>
      </c>
      <c r="N1235" t="s" s="13">
        <v>6004</v>
      </c>
      <c r="O1235" s="15">
        <v>69.64</v>
      </c>
      <c r="P1235" s="30" cm="1">
        <f t="array" ref="P1235">(I1235-I1234)/I1234</f>
        <v>-0.00329835082458771</v>
      </c>
      <c r="Q1235" s="15">
        <v>8064723</v>
      </c>
    </row>
    <row r="1236" ht="13.65" customHeight="1">
      <c r="A1236" t="s" s="27">
        <v>1294</v>
      </c>
      <c r="B1236" t="s" s="13">
        <v>22</v>
      </c>
      <c r="C1236" s="28">
        <v>45996</v>
      </c>
      <c r="D1236" s="15">
        <v>997.2</v>
      </c>
      <c r="E1236" s="15">
        <v>992</v>
      </c>
      <c r="F1236" s="14">
        <v>1008</v>
      </c>
      <c r="G1236" s="15">
        <v>990.2</v>
      </c>
      <c r="H1236" s="14">
        <v>1001.2</v>
      </c>
      <c r="I1236" s="14">
        <v>1003.3</v>
      </c>
      <c r="J1236" s="14">
        <v>1000.86</v>
      </c>
      <c r="K1236" t="s" s="13">
        <v>6005</v>
      </c>
      <c r="L1236" t="s" s="13">
        <v>6006</v>
      </c>
      <c r="M1236" t="s" s="13">
        <v>6007</v>
      </c>
      <c r="N1236" t="s" s="13">
        <v>6008</v>
      </c>
      <c r="O1236" s="15">
        <v>60.6</v>
      </c>
      <c r="P1236" s="30" cm="1">
        <f t="array" ref="P1236">(I1236-I1235)/I1235</f>
        <v>0.00611712795828319</v>
      </c>
      <c r="Q1236" s="15">
        <v>11264579</v>
      </c>
    </row>
    <row r="1237" ht="13.65" customHeight="1">
      <c r="A1237" t="s" s="27">
        <v>1294</v>
      </c>
      <c r="B1237" t="s" s="13">
        <v>22</v>
      </c>
      <c r="C1237" s="28">
        <v>45999</v>
      </c>
      <c r="D1237" s="14">
        <v>1003.3</v>
      </c>
      <c r="E1237" s="14">
        <v>1000</v>
      </c>
      <c r="F1237" s="14">
        <v>1006.5</v>
      </c>
      <c r="G1237" s="15">
        <v>997.5</v>
      </c>
      <c r="H1237" s="14">
        <v>1001.8</v>
      </c>
      <c r="I1237" s="14">
        <v>1003.1</v>
      </c>
      <c r="J1237" s="14">
        <v>1002.21</v>
      </c>
      <c r="K1237" t="s" s="13">
        <v>6009</v>
      </c>
      <c r="L1237" t="s" s="13">
        <v>6010</v>
      </c>
      <c r="M1237" t="s" s="13">
        <v>6011</v>
      </c>
      <c r="N1237" t="s" s="13">
        <v>6012</v>
      </c>
      <c r="O1237" s="15">
        <v>66.2</v>
      </c>
      <c r="P1237" s="30" cm="1">
        <f t="array" ref="P1237">(I1237-I1236)/I1236</f>
        <v>-0.00019934217083624</v>
      </c>
      <c r="Q1237" s="15">
        <v>8997306</v>
      </c>
    </row>
    <row r="1238" ht="13.65" customHeight="1">
      <c r="A1238" t="s" s="27">
        <v>1294</v>
      </c>
      <c r="B1238" t="s" s="13">
        <v>22</v>
      </c>
      <c r="C1238" s="28">
        <v>46000</v>
      </c>
      <c r="D1238" s="14">
        <v>1003.1</v>
      </c>
      <c r="E1238" s="15">
        <v>994.9</v>
      </c>
      <c r="F1238" s="14">
        <v>1002.8</v>
      </c>
      <c r="G1238" s="15">
        <v>994</v>
      </c>
      <c r="H1238" s="15">
        <v>997</v>
      </c>
      <c r="I1238" s="15">
        <v>997.1</v>
      </c>
      <c r="J1238" s="15">
        <v>998.6799999999999</v>
      </c>
      <c r="K1238" t="s" s="13">
        <v>6013</v>
      </c>
      <c r="L1238" t="s" s="13">
        <v>6014</v>
      </c>
      <c r="M1238" t="s" s="13">
        <v>6015</v>
      </c>
      <c r="N1238" t="s" s="13">
        <v>6016</v>
      </c>
      <c r="O1238" s="15">
        <v>57.88</v>
      </c>
      <c r="P1238" s="30" cm="1">
        <f t="array" ref="P1238">(I1238-I1237)/I1237</f>
        <v>-0.0059814574818064</v>
      </c>
      <c r="Q1238" s="15">
        <v>7249084</v>
      </c>
    </row>
    <row r="1239" ht="13.65" customHeight="1">
      <c r="A1239" t="s" s="27">
        <v>1294</v>
      </c>
      <c r="B1239" t="s" s="13">
        <v>22</v>
      </c>
      <c r="C1239" s="31">
        <v>46001</v>
      </c>
      <c r="D1239" s="15">
        <v>997.1</v>
      </c>
      <c r="E1239" s="15">
        <v>997.5</v>
      </c>
      <c r="F1239" s="15">
        <v>998.5</v>
      </c>
      <c r="G1239" s="15">
        <v>985.3</v>
      </c>
      <c r="H1239" s="15">
        <v>990.4</v>
      </c>
      <c r="I1239" s="15">
        <v>989.8</v>
      </c>
      <c r="J1239" s="15">
        <v>990.9</v>
      </c>
      <c r="K1239" t="s" s="13">
        <v>6017</v>
      </c>
      <c r="L1239" t="s" s="13">
        <v>6018</v>
      </c>
      <c r="M1239" t="s" s="13">
        <v>6019</v>
      </c>
      <c r="N1239" t="s" s="13">
        <v>6020</v>
      </c>
      <c r="O1239" s="15">
        <v>67.87</v>
      </c>
      <c r="P1239" s="30" cm="1">
        <f t="array" ref="P1239">(I1239-I1238)/I1238</f>
        <v>-0.00732123157155752</v>
      </c>
      <c r="Q1239" s="15">
        <v>6544425</v>
      </c>
    </row>
    <row r="1240" ht="13.65" customHeight="1">
      <c r="A1240" t="s" s="27">
        <v>1294</v>
      </c>
      <c r="B1240" t="s" s="13">
        <v>22</v>
      </c>
      <c r="C1240" s="31">
        <v>46002</v>
      </c>
      <c r="D1240" s="15">
        <v>989.8</v>
      </c>
      <c r="E1240" s="15">
        <v>990</v>
      </c>
      <c r="F1240" s="14">
        <v>1002.7</v>
      </c>
      <c r="G1240" s="15">
        <v>988.5</v>
      </c>
      <c r="H1240" s="15">
        <v>999.9</v>
      </c>
      <c r="I1240" s="14">
        <v>1000.3</v>
      </c>
      <c r="J1240" s="15">
        <v>996.96</v>
      </c>
      <c r="K1240" t="s" s="13">
        <v>6021</v>
      </c>
      <c r="L1240" t="s" s="13">
        <v>6022</v>
      </c>
      <c r="M1240" t="s" s="13">
        <v>6023</v>
      </c>
      <c r="N1240" t="s" s="13">
        <v>6024</v>
      </c>
      <c r="O1240" s="15">
        <v>63.77</v>
      </c>
      <c r="P1240" s="30" cm="1">
        <f t="array" ref="P1240">(I1240-I1239)/I1239</f>
        <v>0.0106082036775106</v>
      </c>
      <c r="Q1240" s="15">
        <v>6258461</v>
      </c>
    </row>
    <row r="1241" ht="13.65" customHeight="1">
      <c r="A1241" t="s" s="27">
        <v>1294</v>
      </c>
      <c r="B1241" t="s" s="13">
        <v>22</v>
      </c>
      <c r="C1241" s="31">
        <v>46003</v>
      </c>
      <c r="D1241" s="14">
        <v>1000.3</v>
      </c>
      <c r="E1241" s="14">
        <v>1003</v>
      </c>
      <c r="F1241" s="14">
        <v>1004.7</v>
      </c>
      <c r="G1241" s="15">
        <v>998.2</v>
      </c>
      <c r="H1241" s="14">
        <v>1002.9</v>
      </c>
      <c r="I1241" s="14">
        <v>1001.5</v>
      </c>
      <c r="J1241" s="14">
        <v>1001.52</v>
      </c>
      <c r="K1241" t="s" s="13">
        <v>6025</v>
      </c>
      <c r="L1241" t="s" s="13">
        <v>6026</v>
      </c>
      <c r="M1241" t="s" s="13">
        <v>6027</v>
      </c>
      <c r="N1241" t="s" s="13">
        <v>6028</v>
      </c>
      <c r="O1241" s="15">
        <v>74.86</v>
      </c>
      <c r="P1241" s="30" cm="1">
        <f t="array" ref="P1241">(I1241-I1240)/I1240</f>
        <v>0.00119964010796761</v>
      </c>
      <c r="Q1241" s="15">
        <v>8515155</v>
      </c>
    </row>
    <row r="1242" ht="13.65" customHeight="1">
      <c r="A1242" t="s" s="27">
        <v>1294</v>
      </c>
      <c r="B1242" t="s" s="13">
        <v>22</v>
      </c>
      <c r="C1242" s="31">
        <v>46006</v>
      </c>
      <c r="D1242" s="14">
        <v>1001.5</v>
      </c>
      <c r="E1242" s="15">
        <v>992</v>
      </c>
      <c r="F1242" s="14">
        <v>1001.8</v>
      </c>
      <c r="G1242" s="15">
        <v>992</v>
      </c>
      <c r="H1242" s="15">
        <v>995</v>
      </c>
      <c r="I1242" s="15">
        <v>996.1</v>
      </c>
      <c r="J1242" s="15">
        <v>995.95</v>
      </c>
      <c r="K1242" t="s" s="13">
        <v>6029</v>
      </c>
      <c r="L1242" t="s" s="13">
        <v>6030</v>
      </c>
      <c r="M1242" t="s" s="13">
        <v>6031</v>
      </c>
      <c r="N1242" t="s" s="13">
        <v>6032</v>
      </c>
      <c r="O1242" s="15">
        <v>58.11</v>
      </c>
      <c r="P1242" s="30" cm="1">
        <f t="array" ref="P1242">(I1242-I1241)/I1241</f>
        <v>-0.0053919121318023</v>
      </c>
      <c r="Q1242" s="15">
        <v>6930714</v>
      </c>
    </row>
    <row r="1243" ht="13.65" customHeight="1">
      <c r="A1243" t="s" s="27">
        <v>1294</v>
      </c>
      <c r="B1243" t="s" s="13">
        <v>22</v>
      </c>
      <c r="C1243" s="31">
        <v>46007</v>
      </c>
      <c r="D1243" s="15">
        <v>996.1</v>
      </c>
      <c r="E1243" s="15">
        <v>990.1</v>
      </c>
      <c r="F1243" s="15">
        <v>998.7</v>
      </c>
      <c r="G1243" s="15">
        <v>990.1</v>
      </c>
      <c r="H1243" s="15">
        <v>994.2</v>
      </c>
      <c r="I1243" s="15">
        <v>994.3</v>
      </c>
      <c r="J1243" s="15">
        <v>994.74</v>
      </c>
      <c r="K1243" t="s" s="13">
        <v>6033</v>
      </c>
      <c r="L1243" t="s" s="13">
        <v>6034</v>
      </c>
      <c r="M1243" t="s" s="13">
        <v>6035</v>
      </c>
      <c r="N1243" t="s" s="13">
        <v>6036</v>
      </c>
      <c r="O1243" s="15">
        <v>52.76</v>
      </c>
      <c r="P1243" s="30" cm="1">
        <f t="array" ref="P1243">(I1243-I1242)/I1242</f>
        <v>-0.00180704748519225</v>
      </c>
      <c r="Q1243" s="15">
        <v>7612158</v>
      </c>
    </row>
    <row r="1244" ht="13.65" customHeight="1">
      <c r="A1244" t="s" s="27">
        <v>1294</v>
      </c>
      <c r="B1244" t="s" s="13">
        <v>22</v>
      </c>
      <c r="C1244" s="31">
        <v>46008</v>
      </c>
      <c r="D1244" s="15">
        <v>994.3</v>
      </c>
      <c r="E1244" s="15">
        <v>996</v>
      </c>
      <c r="F1244" s="15">
        <v>996</v>
      </c>
      <c r="G1244" s="15">
        <v>980.8</v>
      </c>
      <c r="H1244" s="15">
        <v>985.2</v>
      </c>
      <c r="I1244" s="15">
        <v>984</v>
      </c>
      <c r="J1244" s="15">
        <v>985.22</v>
      </c>
      <c r="K1244" t="s" s="13">
        <v>6037</v>
      </c>
      <c r="L1244" t="s" s="13">
        <v>6038</v>
      </c>
      <c r="M1244" t="s" s="13">
        <v>6039</v>
      </c>
      <c r="N1244" t="s" s="13">
        <v>6040</v>
      </c>
      <c r="O1244" s="15">
        <v>72.06</v>
      </c>
      <c r="P1244" s="30" cm="1">
        <f t="array" ref="P1244">(I1244-I1243)/I1243</f>
        <v>-0.0103590465654229</v>
      </c>
      <c r="Q1244" s="15">
        <v>5674713</v>
      </c>
    </row>
    <row r="1245" ht="13.65" customHeight="1">
      <c r="A1245" t="s" s="27">
        <v>1294</v>
      </c>
      <c r="B1245" t="s" s="13">
        <v>22</v>
      </c>
      <c r="C1245" s="31">
        <v>46009</v>
      </c>
      <c r="D1245" s="15">
        <v>984</v>
      </c>
      <c r="E1245" s="15">
        <v>973.3</v>
      </c>
      <c r="F1245" s="15">
        <v>987.4</v>
      </c>
      <c r="G1245" s="15">
        <v>973.3</v>
      </c>
      <c r="H1245" s="15">
        <v>980</v>
      </c>
      <c r="I1245" s="15">
        <v>979.7</v>
      </c>
      <c r="J1245" s="15">
        <v>981.48</v>
      </c>
      <c r="K1245" t="s" s="13">
        <v>6041</v>
      </c>
      <c r="L1245" t="s" s="13">
        <v>6042</v>
      </c>
      <c r="M1245" t="s" s="13">
        <v>6043</v>
      </c>
      <c r="N1245" t="s" s="13">
        <v>6044</v>
      </c>
      <c r="O1245" s="15">
        <v>64.11</v>
      </c>
      <c r="P1245" s="30" cm="1">
        <f t="array" ref="P1245">(I1245-I1244)/I1244</f>
        <v>-0.00436991869918699</v>
      </c>
      <c r="Q1245" s="15">
        <v>3931972</v>
      </c>
    </row>
    <row r="1246" ht="13.65" customHeight="1">
      <c r="A1246" t="s" s="27">
        <v>1294</v>
      </c>
      <c r="B1246" t="s" s="13">
        <v>22</v>
      </c>
      <c r="C1246" s="31">
        <v>46010</v>
      </c>
      <c r="D1246" s="15">
        <v>979.7</v>
      </c>
      <c r="E1246" s="15">
        <v>987</v>
      </c>
      <c r="F1246" s="15">
        <v>988</v>
      </c>
      <c r="G1246" s="15">
        <v>978.7</v>
      </c>
      <c r="H1246" s="15">
        <v>985.2</v>
      </c>
      <c r="I1246" s="15">
        <v>985.5</v>
      </c>
      <c r="J1246" s="15">
        <v>984.91</v>
      </c>
      <c r="K1246" t="s" s="13">
        <v>6045</v>
      </c>
      <c r="L1246" t="s" s="13">
        <v>6046</v>
      </c>
      <c r="M1246" t="s" s="13">
        <v>6047</v>
      </c>
      <c r="N1246" t="s" s="13">
        <v>6048</v>
      </c>
      <c r="O1246" s="15">
        <v>73.22</v>
      </c>
      <c r="P1246" s="30" cm="1">
        <f t="array" ref="P1246">(I1246-I1245)/I1245</f>
        <v>0.00592017964683066</v>
      </c>
      <c r="Q1246" s="15">
        <v>8430253</v>
      </c>
    </row>
    <row r="1247" ht="13.65" customHeight="1">
      <c r="A1247" t="s" s="27">
        <v>1294</v>
      </c>
      <c r="B1247" t="s" s="13">
        <v>22</v>
      </c>
      <c r="C1247" s="31">
        <v>46013</v>
      </c>
      <c r="D1247" s="15">
        <v>985.5</v>
      </c>
      <c r="E1247" s="15">
        <v>988</v>
      </c>
      <c r="F1247" s="15">
        <v>992.9</v>
      </c>
      <c r="G1247" s="15">
        <v>983.9</v>
      </c>
      <c r="H1247" s="15">
        <v>987.2</v>
      </c>
      <c r="I1247" s="15">
        <v>987.7</v>
      </c>
      <c r="J1247" s="15">
        <v>987.63</v>
      </c>
      <c r="K1247" t="s" s="13">
        <v>6049</v>
      </c>
      <c r="L1247" t="s" s="13">
        <v>6050</v>
      </c>
      <c r="M1247" t="s" s="13">
        <v>6051</v>
      </c>
      <c r="N1247" t="s" s="13">
        <v>6052</v>
      </c>
      <c r="O1247" s="15">
        <v>60.47</v>
      </c>
      <c r="P1247" s="30" cm="1">
        <f t="array" ref="P1247">(I1247-I1246)/I1246</f>
        <v>0.00223236935565703</v>
      </c>
      <c r="Q1247" s="15">
        <v>9439125</v>
      </c>
    </row>
    <row r="1248" ht="13.65" customHeight="1">
      <c r="A1248" t="s" s="27">
        <v>1294</v>
      </c>
      <c r="B1248" t="s" s="13">
        <v>22</v>
      </c>
      <c r="C1248" s="31">
        <v>46014</v>
      </c>
      <c r="D1248" s="15">
        <v>987.7</v>
      </c>
      <c r="E1248" s="15">
        <v>990.5</v>
      </c>
      <c r="F1248" s="15">
        <v>998.9</v>
      </c>
      <c r="G1248" s="15">
        <v>987.7</v>
      </c>
      <c r="H1248" s="15">
        <v>997</v>
      </c>
      <c r="I1248" s="15">
        <v>996.6</v>
      </c>
      <c r="J1248" s="15">
        <v>994.8099999999999</v>
      </c>
      <c r="K1248" t="s" s="13">
        <v>6053</v>
      </c>
      <c r="L1248" t="s" s="13">
        <v>6054</v>
      </c>
      <c r="M1248" t="s" s="13">
        <v>6055</v>
      </c>
      <c r="N1248" t="s" s="13">
        <v>6056</v>
      </c>
      <c r="O1248" s="15">
        <v>52.62</v>
      </c>
      <c r="P1248" s="30" cm="1">
        <f t="array" ref="P1248">(I1248-I1247)/I1247</f>
        <v>0.009010833248962241</v>
      </c>
      <c r="Q1248" s="15">
        <v>7194693</v>
      </c>
    </row>
    <row r="1249" ht="13.65" customHeight="1">
      <c r="A1249" t="s" s="27">
        <v>1294</v>
      </c>
      <c r="B1249" t="s" s="13">
        <v>22</v>
      </c>
      <c r="C1249" s="31">
        <v>46015</v>
      </c>
      <c r="D1249" s="15">
        <v>996.6</v>
      </c>
      <c r="E1249" s="15">
        <v>993</v>
      </c>
      <c r="F1249" s="15">
        <v>999.4</v>
      </c>
      <c r="G1249" s="15">
        <v>993</v>
      </c>
      <c r="H1249" s="15">
        <v>995.3</v>
      </c>
      <c r="I1249" s="15">
        <v>997.2</v>
      </c>
      <c r="J1249" s="15">
        <v>996.34</v>
      </c>
      <c r="K1249" t="s" s="13">
        <v>6057</v>
      </c>
      <c r="L1249" t="s" s="13">
        <v>6058</v>
      </c>
      <c r="M1249" t="s" s="13">
        <v>6059</v>
      </c>
      <c r="N1249" t="s" s="13">
        <v>6060</v>
      </c>
      <c r="O1249" s="15">
        <v>44.25</v>
      </c>
      <c r="P1249" s="30" cm="1">
        <f t="array" ref="P1249">(I1249-I1248)/I1248</f>
        <v>0.000602046959662854</v>
      </c>
      <c r="Q1249" s="15">
        <v>6824510</v>
      </c>
    </row>
    <row r="1250" ht="13.65" customHeight="1">
      <c r="A1250" t="s" s="27">
        <v>1294</v>
      </c>
      <c r="B1250" t="s" s="13">
        <v>22</v>
      </c>
      <c r="C1250" s="31">
        <v>46017</v>
      </c>
      <c r="D1250" s="15">
        <v>997.2</v>
      </c>
      <c r="E1250" s="15">
        <v>996</v>
      </c>
      <c r="F1250" s="15">
        <v>997.2</v>
      </c>
      <c r="G1250" s="15">
        <v>987.7</v>
      </c>
      <c r="H1250" s="15">
        <v>992</v>
      </c>
      <c r="I1250" s="15">
        <v>992.1</v>
      </c>
      <c r="J1250" s="15">
        <v>992.3200000000001</v>
      </c>
      <c r="K1250" t="s" s="13">
        <v>6061</v>
      </c>
      <c r="L1250" t="s" s="13">
        <v>6062</v>
      </c>
      <c r="M1250" t="s" s="13">
        <v>6063</v>
      </c>
      <c r="N1250" t="s" s="13">
        <v>6064</v>
      </c>
      <c r="O1250" s="15">
        <v>75.11</v>
      </c>
      <c r="P1250" s="30" cm="1">
        <f t="array" ref="P1250">(I1250-I1249)/I1249</f>
        <v>-0.00511432009626955</v>
      </c>
      <c r="Q1250" s="15">
        <v>14106692</v>
      </c>
    </row>
    <row r="1251" ht="13.65" customHeight="1">
      <c r="A1251" t="s" s="27">
        <v>1294</v>
      </c>
      <c r="B1251" t="s" s="13">
        <v>22</v>
      </c>
      <c r="C1251" s="31">
        <v>46020</v>
      </c>
      <c r="D1251" s="15">
        <v>992.1</v>
      </c>
      <c r="E1251" s="15">
        <v>993.1</v>
      </c>
      <c r="F1251" s="15">
        <v>997.4</v>
      </c>
      <c r="G1251" s="15">
        <v>987.2</v>
      </c>
      <c r="H1251" s="15">
        <v>992.8</v>
      </c>
      <c r="I1251" s="15">
        <v>991.7</v>
      </c>
      <c r="J1251" s="15">
        <v>991.3099999999999</v>
      </c>
      <c r="K1251" t="s" s="13">
        <v>6065</v>
      </c>
      <c r="L1251" t="s" s="13">
        <v>6066</v>
      </c>
      <c r="M1251" t="s" s="13">
        <v>6067</v>
      </c>
      <c r="N1251" t="s" s="13">
        <v>6068</v>
      </c>
      <c r="O1251" s="15">
        <v>62.28</v>
      </c>
      <c r="P1251" s="30" cm="1">
        <f t="array" ref="P1251">(I1251-I1250)/I1250</f>
        <v>-0.000403185162786009</v>
      </c>
      <c r="Q1251" s="15">
        <v>25042415</v>
      </c>
    </row>
    <row r="1252" ht="13.65" customHeight="1">
      <c r="A1252" t="s" s="27">
        <v>1294</v>
      </c>
      <c r="B1252" t="s" s="13">
        <v>22</v>
      </c>
      <c r="C1252" s="31">
        <v>46021</v>
      </c>
      <c r="D1252" s="15">
        <v>991.7</v>
      </c>
      <c r="E1252" s="15">
        <v>990.2</v>
      </c>
      <c r="F1252" s="15">
        <v>995</v>
      </c>
      <c r="G1252" s="15">
        <v>982.2</v>
      </c>
      <c r="H1252" s="15">
        <v>995</v>
      </c>
      <c r="I1252" s="15">
        <v>990.9</v>
      </c>
      <c r="J1252" s="15">
        <v>989.16</v>
      </c>
      <c r="K1252" t="s" s="13">
        <v>6069</v>
      </c>
      <c r="L1252" t="s" s="13">
        <v>6070</v>
      </c>
      <c r="M1252" t="s" s="13">
        <v>6071</v>
      </c>
      <c r="N1252" t="s" s="13">
        <v>6072</v>
      </c>
      <c r="O1252" s="15">
        <v>66.89</v>
      </c>
      <c r="P1252" s="30" cm="1">
        <f t="array" ref="P1252">(I1252-I1251)/I1251</f>
        <v>-0.000806695573258042</v>
      </c>
      <c r="Q1252" s="15">
        <v>9202966</v>
      </c>
    </row>
    <row r="1253" ht="13.65" customHeight="1">
      <c r="A1253" t="s" s="27">
        <v>1294</v>
      </c>
      <c r="B1253" t="s" s="13">
        <v>22</v>
      </c>
      <c r="C1253" s="31">
        <v>46022</v>
      </c>
      <c r="D1253" s="15">
        <v>990.9</v>
      </c>
      <c r="E1253" s="15">
        <v>991</v>
      </c>
      <c r="F1253" s="15">
        <v>997.6</v>
      </c>
      <c r="G1253" s="15">
        <v>987.6</v>
      </c>
      <c r="H1253" s="15">
        <v>992.9</v>
      </c>
      <c r="I1253" s="15">
        <v>991.2</v>
      </c>
      <c r="J1253" s="15">
        <v>992.61</v>
      </c>
      <c r="K1253" t="s" s="13">
        <v>6073</v>
      </c>
      <c r="L1253" t="s" s="13">
        <v>6074</v>
      </c>
      <c r="M1253" t="s" s="13">
        <v>6075</v>
      </c>
      <c r="N1253" t="s" s="13">
        <v>6076</v>
      </c>
      <c r="O1253" s="15">
        <v>64.20999999999999</v>
      </c>
      <c r="P1253" s="30" cm="1">
        <f t="array" ref="P1253">(I1253-I1252)/I1252</f>
        <v>0.000302755071147442</v>
      </c>
      <c r="Q1253" s="15">
        <v>11312661</v>
      </c>
    </row>
    <row r="1254" ht="13.65" customHeight="1">
      <c r="A1254" t="s" s="27">
        <v>1294</v>
      </c>
      <c r="B1254" t="s" s="13">
        <v>22</v>
      </c>
      <c r="C1254" s="28">
        <v>46023</v>
      </c>
      <c r="D1254" s="15">
        <v>991.2</v>
      </c>
      <c r="E1254" s="15">
        <v>993.5</v>
      </c>
      <c r="F1254" s="15">
        <v>997.55</v>
      </c>
      <c r="G1254" s="15">
        <v>989.5</v>
      </c>
      <c r="H1254" s="15">
        <v>991.15</v>
      </c>
      <c r="I1254" s="15">
        <v>991.15</v>
      </c>
      <c r="J1254" s="15">
        <v>991.88</v>
      </c>
      <c r="K1254" t="s" s="13">
        <v>6077</v>
      </c>
      <c r="L1254" t="s" s="13">
        <v>6078</v>
      </c>
      <c r="M1254" t="s" s="13">
        <v>6079</v>
      </c>
      <c r="N1254" t="s" s="13">
        <v>6080</v>
      </c>
      <c r="O1254" s="15">
        <v>34.85</v>
      </c>
      <c r="P1254" s="30" cm="1">
        <f t="array" ref="P1254">(I1254-I1253)/I1253</f>
        <v>-5.04439063761098e-05</v>
      </c>
      <c r="Q1254" s="15">
        <v>5869759</v>
      </c>
    </row>
    <row r="1255" ht="13.65" customHeight="1">
      <c r="A1255" t="s" s="27">
        <v>1294</v>
      </c>
      <c r="B1255" t="s" s="13">
        <v>22</v>
      </c>
      <c r="C1255" s="28">
        <v>46024</v>
      </c>
      <c r="D1255" s="15">
        <v>991.15</v>
      </c>
      <c r="E1255" s="15">
        <v>991.15</v>
      </c>
      <c r="F1255" s="14">
        <v>1003.2</v>
      </c>
      <c r="G1255" s="15">
        <v>988.8</v>
      </c>
      <c r="H1255" s="14">
        <v>1000.25</v>
      </c>
      <c r="I1255" s="14">
        <v>1001.6</v>
      </c>
      <c r="J1255" s="15">
        <v>998.46</v>
      </c>
      <c r="K1255" t="s" s="13">
        <v>6081</v>
      </c>
      <c r="L1255" t="s" s="13">
        <v>6082</v>
      </c>
      <c r="M1255" t="s" s="13">
        <v>6083</v>
      </c>
      <c r="N1255" t="s" s="13">
        <v>6084</v>
      </c>
      <c r="O1255" s="15">
        <v>66.5</v>
      </c>
      <c r="P1255" s="30" cm="1">
        <f t="array" ref="P1255">(I1255-I1254)/I1254</f>
        <v>0.0105433082782626</v>
      </c>
      <c r="Q1255" s="15">
        <v>16450204</v>
      </c>
    </row>
    <row r="1256" ht="13.65" customHeight="1">
      <c r="A1256" t="s" s="27">
        <v>1294</v>
      </c>
      <c r="B1256" t="s" s="13">
        <v>22</v>
      </c>
      <c r="C1256" s="28">
        <v>46027</v>
      </c>
      <c r="D1256" s="14">
        <v>1001.6</v>
      </c>
      <c r="E1256" s="14">
        <v>1005.75</v>
      </c>
      <c r="F1256" s="14">
        <v>1006.4</v>
      </c>
      <c r="G1256" s="15">
        <v>976.3</v>
      </c>
      <c r="H1256" s="15">
        <v>978.5</v>
      </c>
      <c r="I1256" s="15">
        <v>977.5</v>
      </c>
      <c r="J1256" s="15">
        <v>984.33</v>
      </c>
      <c r="K1256" t="s" s="13">
        <v>6085</v>
      </c>
      <c r="L1256" t="s" s="13">
        <v>6086</v>
      </c>
      <c r="M1256" t="s" s="13">
        <v>6087</v>
      </c>
      <c r="N1256" t="s" s="13">
        <v>6088</v>
      </c>
      <c r="O1256" s="15">
        <v>75.8</v>
      </c>
      <c r="P1256" s="30" cm="1">
        <f t="array" ref="P1256">(I1256-I1255)/I1255</f>
        <v>-0.0240615015974441</v>
      </c>
      <c r="Q1256" s="15">
        <v>8438110</v>
      </c>
    </row>
    <row r="1257" ht="13.65" customHeight="1">
      <c r="A1257" t="s" s="27">
        <v>1294</v>
      </c>
      <c r="B1257" t="s" s="13">
        <v>22</v>
      </c>
      <c r="C1257" s="28">
        <v>46028</v>
      </c>
      <c r="D1257" s="15">
        <v>977.5</v>
      </c>
      <c r="E1257" s="15">
        <v>962.7</v>
      </c>
      <c r="F1257" s="15">
        <v>966.7</v>
      </c>
      <c r="G1257" s="15">
        <v>956</v>
      </c>
      <c r="H1257" s="15">
        <v>962.95</v>
      </c>
      <c r="I1257" s="15">
        <v>962.2</v>
      </c>
      <c r="J1257" s="15">
        <v>962.45</v>
      </c>
      <c r="K1257" t="s" s="13">
        <v>6089</v>
      </c>
      <c r="L1257" t="s" s="13">
        <v>6090</v>
      </c>
      <c r="M1257" t="s" s="13">
        <v>6091</v>
      </c>
      <c r="N1257" t="s" s="13">
        <v>6092</v>
      </c>
      <c r="O1257" s="15">
        <v>70.81</v>
      </c>
      <c r="P1257" s="30" cm="1">
        <f t="array" ref="P1257">(I1257-I1256)/I1256</f>
        <v>-0.0156521739130435</v>
      </c>
      <c r="Q1257" s="15">
        <v>9216908</v>
      </c>
    </row>
    <row r="1258" ht="13.65" customHeight="1">
      <c r="A1258" t="s" s="27">
        <v>1294</v>
      </c>
      <c r="B1258" t="s" s="13">
        <v>22</v>
      </c>
      <c r="C1258" s="28">
        <v>46029</v>
      </c>
      <c r="D1258" s="15">
        <v>962.2</v>
      </c>
      <c r="E1258" s="15">
        <v>956</v>
      </c>
      <c r="F1258" s="15">
        <v>956.45</v>
      </c>
      <c r="G1258" s="15">
        <v>946</v>
      </c>
      <c r="H1258" s="15">
        <v>950.25</v>
      </c>
      <c r="I1258" s="15">
        <v>949.05</v>
      </c>
      <c r="J1258" s="15">
        <v>950.1</v>
      </c>
      <c r="K1258" t="s" s="13">
        <v>6093</v>
      </c>
      <c r="L1258" t="s" s="13">
        <v>6094</v>
      </c>
      <c r="M1258" t="s" s="13">
        <v>6095</v>
      </c>
      <c r="N1258" t="s" s="13">
        <v>6096</v>
      </c>
      <c r="O1258" s="15">
        <v>83.2</v>
      </c>
      <c r="P1258" s="30" cm="1">
        <f t="array" ref="P1258">(I1258-I1257)/I1257</f>
        <v>-0.0136665973810019</v>
      </c>
      <c r="Q1258" s="15">
        <v>8489368</v>
      </c>
    </row>
    <row r="1259" ht="13.65" customHeight="1">
      <c r="A1259" t="s" s="27">
        <v>1294</v>
      </c>
      <c r="B1259" t="s" s="13">
        <v>22</v>
      </c>
      <c r="C1259" s="28">
        <v>46030</v>
      </c>
      <c r="D1259" s="15">
        <v>949.05</v>
      </c>
      <c r="E1259" s="15">
        <v>944.7</v>
      </c>
      <c r="F1259" s="15">
        <v>953</v>
      </c>
      <c r="G1259" s="15">
        <v>941.4</v>
      </c>
      <c r="H1259" s="15">
        <v>948</v>
      </c>
      <c r="I1259" s="15">
        <v>946.7</v>
      </c>
      <c r="J1259" s="15">
        <v>947.59</v>
      </c>
      <c r="K1259" t="s" s="13">
        <v>6097</v>
      </c>
      <c r="L1259" t="s" s="13">
        <v>6098</v>
      </c>
      <c r="M1259" t="s" s="13">
        <v>6099</v>
      </c>
      <c r="N1259" t="s" s="13">
        <v>6100</v>
      </c>
      <c r="O1259" s="15">
        <v>65.40000000000001</v>
      </c>
      <c r="P1259" s="30" cm="1">
        <f t="array" ref="P1259">(I1259-I1258)/I1258</f>
        <v>-0.00247616037089721</v>
      </c>
      <c r="Q1259" s="15">
        <v>8256873</v>
      </c>
    </row>
    <row r="1260" ht="13.65" customHeight="1">
      <c r="A1260" t="s" s="27">
        <v>1294</v>
      </c>
      <c r="B1260" t="s" s="13">
        <v>22</v>
      </c>
      <c r="C1260" s="28">
        <v>46031</v>
      </c>
      <c r="D1260" s="15">
        <v>946.7</v>
      </c>
      <c r="E1260" s="15">
        <v>945</v>
      </c>
      <c r="F1260" s="15">
        <v>950.6</v>
      </c>
      <c r="G1260" s="15">
        <v>933.3</v>
      </c>
      <c r="H1260" s="15">
        <v>939</v>
      </c>
      <c r="I1260" s="15">
        <v>939</v>
      </c>
      <c r="J1260" s="15">
        <v>940.91</v>
      </c>
      <c r="K1260" t="s" s="13">
        <v>6101</v>
      </c>
      <c r="L1260" t="s" s="13">
        <v>6102</v>
      </c>
      <c r="M1260" t="s" s="13">
        <v>6103</v>
      </c>
      <c r="N1260" t="s" s="13">
        <v>6104</v>
      </c>
      <c r="O1260" s="15">
        <v>81.02</v>
      </c>
      <c r="P1260" s="30" cm="1">
        <f t="array" ref="P1260">(I1260-I1259)/I1259</f>
        <v>-0.00813351642547798</v>
      </c>
      <c r="Q1260" s="15">
        <v>6058881</v>
      </c>
    </row>
    <row r="1261" ht="13.65" customHeight="1">
      <c r="A1261" t="s" s="27">
        <v>1294</v>
      </c>
      <c r="B1261" t="s" s="13">
        <v>22</v>
      </c>
      <c r="C1261" s="31">
        <v>46034</v>
      </c>
      <c r="D1261" s="15">
        <v>939</v>
      </c>
      <c r="E1261" s="15">
        <v>937.5</v>
      </c>
      <c r="F1261" s="15">
        <v>942</v>
      </c>
      <c r="G1261" s="15">
        <v>929.6</v>
      </c>
      <c r="H1261" s="15">
        <v>936.4</v>
      </c>
      <c r="I1261" s="15">
        <v>936.95</v>
      </c>
      <c r="J1261" s="15">
        <v>936.87</v>
      </c>
      <c r="K1261" t="s" s="13">
        <v>6105</v>
      </c>
      <c r="L1261" t="s" s="13">
        <v>6106</v>
      </c>
      <c r="M1261" t="s" s="13">
        <v>6107</v>
      </c>
      <c r="N1261" t="s" s="13">
        <v>6108</v>
      </c>
      <c r="O1261" s="15">
        <v>75.51000000000001</v>
      </c>
      <c r="P1261" s="30" cm="1">
        <f t="array" ref="P1261">(I1261-I1260)/I1260</f>
        <v>-0.00218317358892439</v>
      </c>
      <c r="Q1261" s="15">
        <v>8174565</v>
      </c>
    </row>
    <row r="1262" ht="13.65" customHeight="1">
      <c r="A1262" t="s" s="27">
        <v>1294</v>
      </c>
      <c r="B1262" t="s" s="13">
        <v>22</v>
      </c>
      <c r="C1262" s="31">
        <v>46035</v>
      </c>
      <c r="D1262" s="15">
        <v>936.95</v>
      </c>
      <c r="E1262" s="15">
        <v>947.7</v>
      </c>
      <c r="F1262" s="15">
        <v>947.7</v>
      </c>
      <c r="G1262" s="15">
        <v>932.6</v>
      </c>
      <c r="H1262" s="15">
        <v>934.75</v>
      </c>
      <c r="I1262" s="15">
        <v>937.35</v>
      </c>
      <c r="J1262" s="15">
        <v>940.27</v>
      </c>
      <c r="K1262" t="s" s="13">
        <v>6109</v>
      </c>
      <c r="L1262" t="s" s="13">
        <v>6110</v>
      </c>
      <c r="M1262" t="s" s="13">
        <v>6111</v>
      </c>
      <c r="N1262" t="s" s="13">
        <v>6112</v>
      </c>
      <c r="O1262" s="15">
        <v>61.43</v>
      </c>
      <c r="P1262" s="30" cm="1">
        <f t="array" ref="P1262">(I1262-I1261)/I1261</f>
        <v>0.000426917124713165</v>
      </c>
      <c r="Q1262" s="15">
        <v>5548197</v>
      </c>
    </row>
    <row r="1263" ht="13.65" customHeight="1">
      <c r="A1263" t="s" s="27">
        <v>1294</v>
      </c>
      <c r="B1263" t="s" s="13">
        <v>22</v>
      </c>
      <c r="C1263" s="31">
        <v>46036</v>
      </c>
      <c r="D1263" s="15">
        <v>937.35</v>
      </c>
      <c r="E1263" s="15">
        <v>930</v>
      </c>
      <c r="F1263" s="15">
        <v>940.05</v>
      </c>
      <c r="G1263" s="15">
        <v>920.2</v>
      </c>
      <c r="H1263" s="15">
        <v>925</v>
      </c>
      <c r="I1263" s="15">
        <v>925.45</v>
      </c>
      <c r="J1263" s="15">
        <v>929.85</v>
      </c>
      <c r="K1263" t="s" s="13">
        <v>6113</v>
      </c>
      <c r="L1263" t="s" s="13">
        <v>6114</v>
      </c>
      <c r="M1263" t="s" s="13">
        <v>6115</v>
      </c>
      <c r="N1263" t="s" s="13">
        <v>6116</v>
      </c>
      <c r="O1263" s="15">
        <v>75.5</v>
      </c>
      <c r="P1263" s="30" cm="1">
        <f t="array" ref="P1263">(I1263-I1262)/I1262</f>
        <v>-0.012695364591668</v>
      </c>
      <c r="Q1263" s="15">
        <v>7766563</v>
      </c>
    </row>
    <row r="1264" ht="13.65" customHeight="1">
      <c r="A1264" t="s" s="27">
        <v>1294</v>
      </c>
      <c r="B1264" t="s" s="13">
        <v>22</v>
      </c>
      <c r="C1264" s="31">
        <v>46038</v>
      </c>
      <c r="D1264" s="15">
        <v>925.45</v>
      </c>
      <c r="E1264" s="15">
        <v>922</v>
      </c>
      <c r="F1264" s="15">
        <v>935.95</v>
      </c>
      <c r="G1264" s="15">
        <v>919.2</v>
      </c>
      <c r="H1264" s="15">
        <v>930.55</v>
      </c>
      <c r="I1264" s="15">
        <v>931.1</v>
      </c>
      <c r="J1264" s="15">
        <v>929.1799999999999</v>
      </c>
      <c r="K1264" t="s" s="13">
        <v>6117</v>
      </c>
      <c r="L1264" t="s" s="13">
        <v>6118</v>
      </c>
      <c r="M1264" t="s" s="13">
        <v>6119</v>
      </c>
      <c r="N1264" t="s" s="13">
        <v>6120</v>
      </c>
      <c r="O1264" s="15">
        <v>74.01000000000001</v>
      </c>
      <c r="P1264" s="30" cm="1">
        <f t="array" ref="P1264">(I1264-I1263)/I1263</f>
        <v>0.00610513804095305</v>
      </c>
      <c r="Q1264" s="15">
        <v>6601294</v>
      </c>
    </row>
    <row r="1265" ht="13.65" customHeight="1">
      <c r="A1265" t="s" s="27">
        <v>1294</v>
      </c>
      <c r="B1265" t="s" s="13">
        <v>22</v>
      </c>
      <c r="C1265" s="31">
        <v>46041</v>
      </c>
      <c r="D1265" s="15">
        <v>931.1</v>
      </c>
      <c r="E1265" s="15">
        <v>935.9</v>
      </c>
      <c r="F1265" s="15">
        <v>936.15</v>
      </c>
      <c r="G1265" s="15">
        <v>919.5</v>
      </c>
      <c r="H1265" s="15">
        <v>925.95</v>
      </c>
      <c r="I1265" s="15">
        <v>927.9</v>
      </c>
      <c r="J1265" s="15">
        <v>927.58</v>
      </c>
      <c r="K1265" t="s" s="13">
        <v>6121</v>
      </c>
      <c r="L1265" t="s" s="13">
        <v>6122</v>
      </c>
      <c r="M1265" t="s" s="13">
        <v>6123</v>
      </c>
      <c r="N1265" t="s" s="13">
        <v>6124</v>
      </c>
      <c r="O1265" s="15">
        <v>67</v>
      </c>
      <c r="P1265" s="30" cm="1">
        <f t="array" ref="P1265">(I1265-I1264)/I1264</f>
        <v>-0.00343679518848674</v>
      </c>
      <c r="Q1265" s="15">
        <v>15063504</v>
      </c>
    </row>
    <row r="1266" ht="13.65" customHeight="1">
      <c r="A1266" t="s" s="27">
        <v>1294</v>
      </c>
      <c r="B1266" t="s" s="13">
        <v>22</v>
      </c>
      <c r="C1266" s="31">
        <v>46042</v>
      </c>
      <c r="D1266" s="15">
        <v>927.9</v>
      </c>
      <c r="E1266" s="15">
        <v>929.3</v>
      </c>
      <c r="F1266" s="15">
        <v>934.5</v>
      </c>
      <c r="G1266" s="15">
        <v>919.6</v>
      </c>
      <c r="H1266" s="15">
        <v>930.5</v>
      </c>
      <c r="I1266" s="15">
        <v>931.2</v>
      </c>
      <c r="J1266" s="15">
        <v>930.12</v>
      </c>
      <c r="K1266" t="s" s="13">
        <v>6125</v>
      </c>
      <c r="L1266" t="s" s="13">
        <v>6126</v>
      </c>
      <c r="M1266" t="s" s="13">
        <v>6127</v>
      </c>
      <c r="N1266" t="s" s="13">
        <v>6128</v>
      </c>
      <c r="O1266" s="15">
        <v>70.48</v>
      </c>
      <c r="P1266" s="30" cm="1">
        <f t="array" ref="P1266">(I1266-I1265)/I1265</f>
        <v>0.00355641771742645</v>
      </c>
      <c r="Q1266" s="15">
        <v>11127709</v>
      </c>
    </row>
    <row r="1267" ht="13.65" customHeight="1">
      <c r="A1267" t="s" s="27">
        <v>1294</v>
      </c>
      <c r="B1267" t="s" s="13">
        <v>22</v>
      </c>
      <c r="C1267" s="31">
        <v>46043</v>
      </c>
      <c r="D1267" s="15">
        <v>931.2</v>
      </c>
      <c r="E1267" s="15">
        <v>925</v>
      </c>
      <c r="F1267" s="15">
        <v>932.15</v>
      </c>
      <c r="G1267" s="15">
        <v>915.5</v>
      </c>
      <c r="H1267" s="15">
        <v>921</v>
      </c>
      <c r="I1267" s="15">
        <v>920.35</v>
      </c>
      <c r="J1267" s="15">
        <v>924.64</v>
      </c>
      <c r="K1267" t="s" s="13">
        <v>6129</v>
      </c>
      <c r="L1267" t="s" s="13">
        <v>6130</v>
      </c>
      <c r="M1267" t="s" s="13">
        <v>6131</v>
      </c>
      <c r="N1267" t="s" s="13">
        <v>6132</v>
      </c>
      <c r="O1267" s="15">
        <v>56.43</v>
      </c>
      <c r="P1267" s="30" cm="1">
        <f t="array" ref="P1267">(I1267-I1266)/I1266</f>
        <v>-0.0116516323024055</v>
      </c>
      <c r="Q1267" s="15">
        <v>6480771</v>
      </c>
    </row>
    <row r="1268" ht="13.65" customHeight="1">
      <c r="A1268" t="s" s="27">
        <v>1294</v>
      </c>
      <c r="B1268" t="s" s="13">
        <v>22</v>
      </c>
      <c r="C1268" s="31">
        <v>46044</v>
      </c>
      <c r="D1268" s="15">
        <v>920.35</v>
      </c>
      <c r="E1268" s="15">
        <v>928</v>
      </c>
      <c r="F1268" s="15">
        <v>928.3</v>
      </c>
      <c r="G1268" s="15">
        <v>913.2</v>
      </c>
      <c r="H1268" s="15">
        <v>921</v>
      </c>
      <c r="I1268" s="15">
        <v>918.7</v>
      </c>
      <c r="J1268" s="15">
        <v>918.5599999999999</v>
      </c>
      <c r="K1268" t="s" s="13">
        <v>6133</v>
      </c>
      <c r="L1268" t="s" s="13">
        <v>6134</v>
      </c>
      <c r="M1268" t="s" s="13">
        <v>6135</v>
      </c>
      <c r="N1268" t="s" s="13">
        <v>6136</v>
      </c>
      <c r="O1268" s="15">
        <v>62.98</v>
      </c>
      <c r="P1268" s="30" cm="1">
        <f t="array" ref="P1268">(I1268-I1267)/I1267</f>
        <v>-0.00179279621882979</v>
      </c>
      <c r="Q1268" s="15">
        <v>12188792</v>
      </c>
    </row>
    <row r="1269" ht="13.65" customHeight="1">
      <c r="A1269" t="s" s="27">
        <v>1294</v>
      </c>
      <c r="B1269" t="s" s="13">
        <v>22</v>
      </c>
      <c r="C1269" s="31">
        <v>46045</v>
      </c>
      <c r="D1269" s="15">
        <v>918.7</v>
      </c>
      <c r="E1269" s="15">
        <v>920</v>
      </c>
      <c r="F1269" s="15">
        <v>926.1</v>
      </c>
      <c r="G1269" s="15">
        <v>909.25</v>
      </c>
      <c r="H1269" s="15">
        <v>915.8</v>
      </c>
      <c r="I1269" s="15">
        <v>916.1</v>
      </c>
      <c r="J1269" s="15">
        <v>916.45</v>
      </c>
      <c r="K1269" t="s" s="13">
        <v>6137</v>
      </c>
      <c r="L1269" t="s" s="13">
        <v>6138</v>
      </c>
      <c r="M1269" t="s" s="13">
        <v>6139</v>
      </c>
      <c r="N1269" t="s" s="13">
        <v>6140</v>
      </c>
      <c r="O1269" s="15">
        <v>64.67</v>
      </c>
      <c r="P1269" s="30" cm="1">
        <f t="array" ref="P1269">(I1269-I1268)/I1268</f>
        <v>-0.00283008599107434</v>
      </c>
      <c r="Q1269" s="15">
        <v>7334411</v>
      </c>
    </row>
    <row r="1270" ht="13.65" customHeight="1">
      <c r="A1270" t="s" s="27">
        <v>1294</v>
      </c>
      <c r="B1270" t="s" s="13">
        <v>22</v>
      </c>
      <c r="C1270" s="31">
        <v>46049</v>
      </c>
      <c r="D1270" s="15">
        <v>916.1</v>
      </c>
      <c r="E1270" s="15">
        <v>906</v>
      </c>
      <c r="F1270" s="15">
        <v>931.2</v>
      </c>
      <c r="G1270" s="15">
        <v>905</v>
      </c>
      <c r="H1270" s="15">
        <v>928</v>
      </c>
      <c r="I1270" s="15">
        <v>926.4</v>
      </c>
      <c r="J1270" s="15">
        <v>917.11</v>
      </c>
      <c r="K1270" t="s" s="13">
        <v>6141</v>
      </c>
      <c r="L1270" t="s" s="13">
        <v>6142</v>
      </c>
      <c r="M1270" t="s" s="13">
        <v>6143</v>
      </c>
      <c r="N1270" t="s" s="13">
        <v>6144</v>
      </c>
      <c r="O1270" s="15">
        <v>55.56</v>
      </c>
      <c r="P1270" s="30" cm="1">
        <f t="array" ref="P1270">(I1270-I1269)/I1269</f>
        <v>0.0112433140486846</v>
      </c>
      <c r="Q1270" s="15">
        <v>14374039</v>
      </c>
    </row>
    <row r="1271" ht="13.65" customHeight="1">
      <c r="A1271" t="s" s="27">
        <v>1294</v>
      </c>
      <c r="B1271" t="s" s="13">
        <v>22</v>
      </c>
      <c r="C1271" s="31">
        <v>46050</v>
      </c>
      <c r="D1271" s="15">
        <v>926.4</v>
      </c>
      <c r="E1271" s="15">
        <v>932.5</v>
      </c>
      <c r="F1271" s="15">
        <v>941.45</v>
      </c>
      <c r="G1271" s="15">
        <v>928.4</v>
      </c>
      <c r="H1271" s="15">
        <v>932.4</v>
      </c>
      <c r="I1271" s="15">
        <v>932.7</v>
      </c>
      <c r="J1271" s="15">
        <v>934.95</v>
      </c>
      <c r="K1271" t="s" s="13">
        <v>6145</v>
      </c>
      <c r="L1271" t="s" s="13">
        <v>6146</v>
      </c>
      <c r="M1271" t="s" s="13">
        <v>6147</v>
      </c>
      <c r="N1271" t="s" s="13">
        <v>6148</v>
      </c>
      <c r="O1271" s="15">
        <v>72.90000000000001</v>
      </c>
      <c r="P1271" s="30" cm="1">
        <f t="array" ref="P1271">(I1271-I1270)/I1270</f>
        <v>0.00680051813471503</v>
      </c>
      <c r="Q1271" s="15">
        <v>14458897</v>
      </c>
    </row>
    <row r="1272" ht="13.65" customHeight="1">
      <c r="A1272" t="s" s="27">
        <v>1294</v>
      </c>
      <c r="B1272" t="s" s="13">
        <v>22</v>
      </c>
      <c r="C1272" s="31">
        <v>46051</v>
      </c>
      <c r="D1272" s="15">
        <v>932.7</v>
      </c>
      <c r="E1272" s="15">
        <v>930.1</v>
      </c>
      <c r="F1272" s="15">
        <v>939.3</v>
      </c>
      <c r="G1272" s="15">
        <v>924.35</v>
      </c>
      <c r="H1272" s="15">
        <v>935</v>
      </c>
      <c r="I1272" s="15">
        <v>935.5</v>
      </c>
      <c r="J1272" s="15">
        <v>933.24</v>
      </c>
      <c r="K1272" t="s" s="13">
        <v>6149</v>
      </c>
      <c r="L1272" t="s" s="13">
        <v>6150</v>
      </c>
      <c r="M1272" t="s" s="13">
        <v>6151</v>
      </c>
      <c r="N1272" t="s" s="13">
        <v>6152</v>
      </c>
      <c r="O1272" s="15">
        <v>62.78</v>
      </c>
      <c r="P1272" s="30" cm="1">
        <f t="array" ref="P1272">(I1272-I1271)/I1271</f>
        <v>0.00300203709660127</v>
      </c>
      <c r="Q1272" s="15">
        <v>9078797</v>
      </c>
    </row>
    <row r="1273" ht="13.65" customHeight="1">
      <c r="A1273" t="s" s="27">
        <v>1294</v>
      </c>
      <c r="B1273" t="s" s="13">
        <v>22</v>
      </c>
      <c r="C1273" s="31">
        <v>46052</v>
      </c>
      <c r="D1273" s="15">
        <v>935.5</v>
      </c>
      <c r="E1273" s="15">
        <v>930</v>
      </c>
      <c r="F1273" s="15">
        <v>938.9</v>
      </c>
      <c r="G1273" s="15">
        <v>927.75</v>
      </c>
      <c r="H1273" s="15">
        <v>929</v>
      </c>
      <c r="I1273" s="15">
        <v>929.25</v>
      </c>
      <c r="J1273" s="15">
        <v>931.84</v>
      </c>
      <c r="K1273" t="s" s="13">
        <v>6153</v>
      </c>
      <c r="L1273" t="s" s="13">
        <v>6154</v>
      </c>
      <c r="M1273" t="s" s="13">
        <v>6155</v>
      </c>
      <c r="N1273" t="s" s="13">
        <v>6156</v>
      </c>
      <c r="O1273" s="15">
        <v>73.40000000000001</v>
      </c>
      <c r="P1273" s="30" cm="1">
        <f t="array" ref="P1273">(I1273-I1272)/I1272</f>
        <v>-0.00668091929449492</v>
      </c>
      <c r="Q1273" s="15">
        <v>13081074</v>
      </c>
    </row>
    <row r="1274" ht="13.65" customHeight="1">
      <c r="A1274" t="s" s="27">
        <v>1294</v>
      </c>
      <c r="B1274" t="s" s="13">
        <v>22</v>
      </c>
      <c r="C1274" s="28">
        <v>46054</v>
      </c>
      <c r="D1274" s="15">
        <v>929.25</v>
      </c>
      <c r="E1274" s="15">
        <v>932</v>
      </c>
      <c r="F1274" s="15">
        <v>939.65</v>
      </c>
      <c r="G1274" s="15">
        <v>912.65</v>
      </c>
      <c r="H1274" s="15">
        <v>918.05</v>
      </c>
      <c r="I1274" s="15">
        <v>922.1</v>
      </c>
      <c r="J1274" s="15">
        <v>929.2</v>
      </c>
      <c r="K1274" t="s" s="13">
        <v>6157</v>
      </c>
      <c r="L1274" t="s" s="13">
        <v>6158</v>
      </c>
      <c r="M1274" t="s" s="13">
        <v>6159</v>
      </c>
      <c r="N1274" t="s" s="13">
        <v>6160</v>
      </c>
      <c r="O1274" s="15">
        <v>46.25</v>
      </c>
      <c r="P1274" s="30" cm="1">
        <f t="array" ref="P1274">(I1274-I1273)/I1273</f>
        <v>-0.00769437718590261</v>
      </c>
      <c r="Q1274" s="15">
        <v>5401430</v>
      </c>
    </row>
    <row r="1275" ht="13.65" customHeight="1">
      <c r="A1275" t="s" s="27">
        <v>1294</v>
      </c>
      <c r="B1275" t="s" s="13">
        <v>22</v>
      </c>
      <c r="C1275" s="28">
        <v>46055</v>
      </c>
      <c r="D1275" s="15">
        <v>922.1</v>
      </c>
      <c r="E1275" s="15">
        <v>915</v>
      </c>
      <c r="F1275" s="15">
        <v>929.8</v>
      </c>
      <c r="G1275" s="15">
        <v>909.3</v>
      </c>
      <c r="H1275" s="15">
        <v>928.1</v>
      </c>
      <c r="I1275" s="15">
        <v>928.1</v>
      </c>
      <c r="J1275" s="15">
        <v>924.14</v>
      </c>
      <c r="K1275" t="s" s="13">
        <v>6161</v>
      </c>
      <c r="L1275" t="s" s="13">
        <v>6162</v>
      </c>
      <c r="M1275" t="s" s="13">
        <v>6163</v>
      </c>
      <c r="N1275" t="s" s="13">
        <v>6164</v>
      </c>
      <c r="O1275" s="15">
        <v>63.96</v>
      </c>
      <c r="P1275" s="30" cm="1">
        <f t="array" ref="P1275">(I1275-I1274)/I1274</f>
        <v>0.00650688645483136</v>
      </c>
      <c r="Q1275" s="15">
        <v>4783036</v>
      </c>
    </row>
    <row r="1276" ht="13.65" customHeight="1">
      <c r="A1276" t="s" s="27">
        <v>1294</v>
      </c>
      <c r="B1276" t="s" s="13">
        <v>22</v>
      </c>
      <c r="C1276" s="28">
        <v>46056</v>
      </c>
      <c r="D1276" s="15">
        <v>928.1</v>
      </c>
      <c r="E1276" s="15">
        <v>983.75</v>
      </c>
      <c r="F1276" s="15">
        <v>994</v>
      </c>
      <c r="G1276" s="15">
        <v>945</v>
      </c>
      <c r="H1276" s="15">
        <v>947.65</v>
      </c>
      <c r="I1276" s="15">
        <v>948.7</v>
      </c>
      <c r="J1276" s="15">
        <v>954.45</v>
      </c>
      <c r="K1276" t="s" s="13">
        <v>6165</v>
      </c>
      <c r="L1276" t="s" s="13">
        <v>6166</v>
      </c>
      <c r="M1276" t="s" s="13">
        <v>6167</v>
      </c>
      <c r="N1276" t="s" s="13">
        <v>6168</v>
      </c>
      <c r="O1276" s="15">
        <v>67.53</v>
      </c>
      <c r="P1276" s="30" cm="1">
        <f t="array" ref="P1276">(I1276-I1275)/I1275</f>
        <v>0.0221958840642172</v>
      </c>
      <c r="Q1276" s="15">
        <v>10653335</v>
      </c>
    </row>
    <row r="1277" ht="13.65" customHeight="1">
      <c r="A1277" t="s" s="27">
        <v>1294</v>
      </c>
      <c r="B1277" t="s" s="13">
        <v>22</v>
      </c>
      <c r="C1277" s="28">
        <v>46057</v>
      </c>
      <c r="D1277" s="15">
        <v>948.7</v>
      </c>
      <c r="E1277" s="15">
        <v>952.5</v>
      </c>
      <c r="F1277" s="15">
        <v>957.2</v>
      </c>
      <c r="G1277" s="15">
        <v>947.95</v>
      </c>
      <c r="H1277" s="15">
        <v>949</v>
      </c>
      <c r="I1277" s="15">
        <v>953.1</v>
      </c>
      <c r="J1277" s="15">
        <v>952.91</v>
      </c>
      <c r="K1277" t="s" s="13">
        <v>6169</v>
      </c>
      <c r="L1277" t="s" s="13">
        <v>6170</v>
      </c>
      <c r="M1277" t="s" s="13">
        <v>6171</v>
      </c>
      <c r="N1277" t="s" s="13">
        <v>6172</v>
      </c>
      <c r="O1277" s="15">
        <v>75.06999999999999</v>
      </c>
      <c r="P1277" s="30" cm="1">
        <f t="array" ref="P1277">(I1277-I1276)/I1276</f>
        <v>0.00463792558237588</v>
      </c>
      <c r="Q1277" s="15">
        <v>7566020</v>
      </c>
    </row>
    <row r="1278" ht="13.65" customHeight="1">
      <c r="A1278" t="s" s="27">
        <v>1294</v>
      </c>
      <c r="B1278" t="s" s="13">
        <v>22</v>
      </c>
      <c r="C1278" s="28">
        <v>46058</v>
      </c>
      <c r="D1278" s="15">
        <v>953.1</v>
      </c>
      <c r="E1278" s="15">
        <v>956</v>
      </c>
      <c r="F1278" s="15">
        <v>956.05</v>
      </c>
      <c r="G1278" s="15">
        <v>946.7</v>
      </c>
      <c r="H1278" s="15">
        <v>949.7</v>
      </c>
      <c r="I1278" s="15">
        <v>949.7</v>
      </c>
      <c r="J1278" s="15">
        <v>950.22</v>
      </c>
      <c r="K1278" t="s" s="13">
        <v>6173</v>
      </c>
      <c r="L1278" t="s" s="13">
        <v>6174</v>
      </c>
      <c r="M1278" t="s" s="13">
        <v>6175</v>
      </c>
      <c r="N1278" t="s" s="13">
        <v>6176</v>
      </c>
      <c r="O1278" s="15">
        <v>70.42</v>
      </c>
      <c r="P1278" s="30" cm="1">
        <f t="array" ref="P1278">(I1278-I1277)/I1277</f>
        <v>-0.00356730668345399</v>
      </c>
      <c r="Q1278" s="15">
        <v>11939545</v>
      </c>
    </row>
    <row r="1279" ht="13.65" customHeight="1">
      <c r="A1279" t="s" s="27">
        <v>1294</v>
      </c>
      <c r="B1279" t="s" s="13">
        <v>22</v>
      </c>
      <c r="C1279" s="28">
        <v>46059</v>
      </c>
      <c r="D1279" s="15">
        <v>949.7</v>
      </c>
      <c r="E1279" s="15">
        <v>945</v>
      </c>
      <c r="F1279" s="15">
        <v>948.1</v>
      </c>
      <c r="G1279" s="15">
        <v>937.6</v>
      </c>
      <c r="H1279" s="15">
        <v>941</v>
      </c>
      <c r="I1279" s="15">
        <v>941.1</v>
      </c>
      <c r="J1279" s="15">
        <v>941.73</v>
      </c>
      <c r="K1279" t="s" s="13">
        <v>6177</v>
      </c>
      <c r="L1279" t="s" s="13">
        <v>6178</v>
      </c>
      <c r="M1279" t="s" s="13">
        <v>6179</v>
      </c>
      <c r="N1279" t="s" s="13">
        <v>6180</v>
      </c>
      <c r="O1279" s="15">
        <v>62.52</v>
      </c>
      <c r="P1279" s="30" cm="1">
        <f t="array" ref="P1279">(I1279-I1278)/I1278</f>
        <v>-0.00905549120774982</v>
      </c>
      <c r="Q1279" s="15">
        <v>5101482</v>
      </c>
    </row>
    <row r="1280" ht="13.65" customHeight="1">
      <c r="A1280" t="s" s="27">
        <v>1294</v>
      </c>
      <c r="B1280" t="s" s="13">
        <v>22</v>
      </c>
      <c r="C1280" s="28">
        <v>46062</v>
      </c>
      <c r="D1280" s="15">
        <v>941.1</v>
      </c>
      <c r="E1280" s="15">
        <v>945</v>
      </c>
      <c r="F1280" s="15">
        <v>950</v>
      </c>
      <c r="G1280" s="15">
        <v>935.35</v>
      </c>
      <c r="H1280" s="15">
        <v>938.8</v>
      </c>
      <c r="I1280" s="15">
        <v>937.25</v>
      </c>
      <c r="J1280" s="15">
        <v>938.27</v>
      </c>
      <c r="K1280" t="s" s="13">
        <v>6181</v>
      </c>
      <c r="L1280" t="s" s="13">
        <v>6182</v>
      </c>
      <c r="M1280" t="s" s="13">
        <v>6183</v>
      </c>
      <c r="N1280" t="s" s="13">
        <v>6184</v>
      </c>
      <c r="O1280" s="15">
        <v>73.77</v>
      </c>
      <c r="P1280" s="30" cm="1">
        <f t="array" ref="P1280">(I1280-I1279)/I1279</f>
        <v>-0.00409095739028796</v>
      </c>
      <c r="Q1280" s="15">
        <v>7934005</v>
      </c>
    </row>
    <row r="1281" ht="13.65" customHeight="1">
      <c r="A1281" t="s" s="27">
        <v>1294</v>
      </c>
      <c r="B1281" t="s" s="13">
        <v>22</v>
      </c>
      <c r="C1281" s="31">
        <v>46063</v>
      </c>
      <c r="D1281" s="15">
        <v>937.25</v>
      </c>
      <c r="E1281" s="15">
        <v>930</v>
      </c>
      <c r="F1281" s="15">
        <v>940.9</v>
      </c>
      <c r="G1281" s="15">
        <v>929.95</v>
      </c>
      <c r="H1281" s="15">
        <v>932.6</v>
      </c>
      <c r="I1281" s="15">
        <v>932.4</v>
      </c>
      <c r="J1281" s="15">
        <v>933.9299999999999</v>
      </c>
      <c r="K1281" t="s" s="13">
        <v>6185</v>
      </c>
      <c r="L1281" t="s" s="13">
        <v>6186</v>
      </c>
      <c r="M1281" t="s" s="13">
        <v>6187</v>
      </c>
      <c r="N1281" t="s" s="13">
        <v>6188</v>
      </c>
      <c r="O1281" s="15">
        <v>57.87</v>
      </c>
      <c r="P1281" s="30" cm="1">
        <f t="array" ref="P1281">(I1281-I1280)/I1280</f>
        <v>-0.0051747132568685</v>
      </c>
      <c r="Q1281" s="15">
        <v>16120729</v>
      </c>
    </row>
    <row r="1282" ht="13.65" customHeight="1">
      <c r="A1282" t="s" s="27">
        <v>1294</v>
      </c>
      <c r="B1282" t="s" s="13">
        <v>22</v>
      </c>
      <c r="C1282" s="31">
        <v>46064</v>
      </c>
      <c r="D1282" s="15">
        <v>932.4</v>
      </c>
      <c r="E1282" s="15">
        <v>931.25</v>
      </c>
      <c r="F1282" s="15">
        <v>936</v>
      </c>
      <c r="G1282" s="15">
        <v>925.3</v>
      </c>
      <c r="H1282" s="15">
        <v>926.8</v>
      </c>
      <c r="I1282" s="15">
        <v>927.1</v>
      </c>
      <c r="J1282" s="15">
        <v>928.91</v>
      </c>
      <c r="K1282" t="s" s="13">
        <v>6189</v>
      </c>
      <c r="L1282" t="s" s="13">
        <v>6190</v>
      </c>
      <c r="M1282" t="s" s="13">
        <v>6191</v>
      </c>
      <c r="N1282" t="s" s="13">
        <v>6192</v>
      </c>
      <c r="O1282" s="15">
        <v>67.86</v>
      </c>
      <c r="P1282" s="30" cm="1">
        <f t="array" ref="P1282">(I1282-I1281)/I1281</f>
        <v>-0.00568425568425568</v>
      </c>
      <c r="Q1282" s="15">
        <v>7722654</v>
      </c>
    </row>
    <row r="1283" ht="13.65" customHeight="1">
      <c r="A1283" t="s" s="27">
        <v>1294</v>
      </c>
      <c r="B1283" t="s" s="13">
        <v>22</v>
      </c>
      <c r="C1283" s="31">
        <v>46065</v>
      </c>
      <c r="D1283" s="15">
        <v>927.1</v>
      </c>
      <c r="E1283" s="15">
        <v>927</v>
      </c>
      <c r="F1283" s="15">
        <v>928.6</v>
      </c>
      <c r="G1283" s="15">
        <v>918.5</v>
      </c>
      <c r="H1283" s="15">
        <v>919.75</v>
      </c>
      <c r="I1283" s="15">
        <v>920.6</v>
      </c>
      <c r="J1283" s="15">
        <v>922.37</v>
      </c>
      <c r="K1283" t="s" s="13">
        <v>6193</v>
      </c>
      <c r="L1283" t="s" s="13">
        <v>6194</v>
      </c>
      <c r="M1283" t="s" s="13">
        <v>6195</v>
      </c>
      <c r="N1283" t="s" s="13">
        <v>6196</v>
      </c>
      <c r="O1283" s="15">
        <v>61.05</v>
      </c>
      <c r="P1283" s="30" cm="1">
        <f t="array" ref="P1283">(I1283-I1282)/I1282</f>
        <v>-0.00701110991263078</v>
      </c>
      <c r="Q1283" s="15">
        <v>12121051</v>
      </c>
    </row>
    <row r="1284" ht="13.65" customHeight="1">
      <c r="A1284" t="s" s="27">
        <v>1294</v>
      </c>
      <c r="B1284" t="s" s="13">
        <v>22</v>
      </c>
      <c r="C1284" s="31">
        <v>46066</v>
      </c>
      <c r="D1284" s="15">
        <v>920.6</v>
      </c>
      <c r="E1284" s="15">
        <v>913</v>
      </c>
      <c r="F1284" s="15">
        <v>928.2</v>
      </c>
      <c r="G1284" s="15">
        <v>901</v>
      </c>
      <c r="H1284" s="15">
        <v>903.9</v>
      </c>
      <c r="I1284" s="15">
        <v>903.9</v>
      </c>
      <c r="J1284" s="15">
        <v>912.26</v>
      </c>
      <c r="K1284" t="s" s="13">
        <v>6197</v>
      </c>
      <c r="L1284" t="s" s="13">
        <v>6198</v>
      </c>
      <c r="M1284" t="s" s="13">
        <v>6199</v>
      </c>
      <c r="N1284" t="s" s="13">
        <v>6200</v>
      </c>
      <c r="O1284" s="15">
        <v>79.52</v>
      </c>
      <c r="P1284" s="30" cm="1">
        <f t="array" ref="P1284">(I1284-I1283)/I1283</f>
        <v>-0.0181403432543993</v>
      </c>
      <c r="Q1284" s="15">
        <v>9309486</v>
      </c>
    </row>
    <row r="1285" ht="13.65" customHeight="1">
      <c r="A1285" t="s" s="27">
        <v>1294</v>
      </c>
      <c r="B1285" t="s" s="13">
        <v>22</v>
      </c>
      <c r="C1285" s="31">
        <v>46069</v>
      </c>
      <c r="D1285" s="15">
        <v>903.9</v>
      </c>
      <c r="E1285" s="15">
        <v>903.9</v>
      </c>
      <c r="F1285" s="15">
        <v>929.5</v>
      </c>
      <c r="G1285" s="15">
        <v>902.1</v>
      </c>
      <c r="H1285" s="15">
        <v>925.5</v>
      </c>
      <c r="I1285" s="15">
        <v>925.8</v>
      </c>
      <c r="J1285" s="15">
        <v>922.1799999999999</v>
      </c>
      <c r="K1285" t="s" s="13">
        <v>6201</v>
      </c>
      <c r="L1285" t="s" s="13">
        <v>6202</v>
      </c>
      <c r="M1285" t="s" s="13">
        <v>6203</v>
      </c>
      <c r="N1285" t="s" s="13">
        <v>6204</v>
      </c>
      <c r="O1285" s="15">
        <v>56.05</v>
      </c>
      <c r="P1285" s="30" cm="1">
        <f t="array" ref="P1285">(I1285-I1284)/I1284</f>
        <v>0.0242283438433455</v>
      </c>
      <c r="Q1285" s="15">
        <v>8594398</v>
      </c>
    </row>
    <row r="1286" ht="13.65" customHeight="1">
      <c r="A1286" t="s" s="27">
        <v>1294</v>
      </c>
      <c r="B1286" t="s" s="13">
        <v>22</v>
      </c>
      <c r="C1286" s="31">
        <v>46070</v>
      </c>
      <c r="D1286" s="15">
        <v>925.8</v>
      </c>
      <c r="E1286" s="15">
        <v>923</v>
      </c>
      <c r="F1286" s="15">
        <v>928.1</v>
      </c>
      <c r="G1286" s="15">
        <v>918.6</v>
      </c>
      <c r="H1286" s="15">
        <v>926.45</v>
      </c>
      <c r="I1286" s="15">
        <v>925.7</v>
      </c>
      <c r="J1286" s="15">
        <v>925.3200000000001</v>
      </c>
      <c r="K1286" t="s" s="13">
        <v>6205</v>
      </c>
      <c r="L1286" t="s" s="13">
        <v>6206</v>
      </c>
      <c r="M1286" t="s" s="13">
        <v>6207</v>
      </c>
      <c r="N1286" t="s" s="13">
        <v>6208</v>
      </c>
      <c r="O1286" s="15">
        <v>39.31</v>
      </c>
      <c r="P1286" s="30" cm="1">
        <f t="array" ref="P1286">(I1286-I1285)/I1285</f>
        <v>-0.00010801468999784</v>
      </c>
      <c r="Q1286" s="15">
        <v>17401715</v>
      </c>
    </row>
    <row r="1287" ht="13.65" customHeight="1">
      <c r="A1287" t="s" s="27">
        <v>1294</v>
      </c>
      <c r="B1287" t="s" s="13">
        <v>22</v>
      </c>
      <c r="C1287" s="31">
        <v>46071</v>
      </c>
      <c r="D1287" s="15">
        <v>925.7</v>
      </c>
      <c r="E1287" s="15">
        <v>923.2</v>
      </c>
      <c r="F1287" s="15">
        <v>925.5</v>
      </c>
      <c r="G1287" s="15">
        <v>919.55</v>
      </c>
      <c r="H1287" s="15">
        <v>923.7</v>
      </c>
      <c r="I1287" s="15">
        <v>924.7</v>
      </c>
      <c r="J1287" s="15">
        <v>922.79</v>
      </c>
      <c r="K1287" t="s" s="13">
        <v>6209</v>
      </c>
      <c r="L1287" t="s" s="13">
        <v>6210</v>
      </c>
      <c r="M1287" t="s" s="13">
        <v>6211</v>
      </c>
      <c r="N1287" t="s" s="13">
        <v>6212</v>
      </c>
      <c r="O1287" s="15">
        <v>56.35</v>
      </c>
      <c r="P1287" s="30" cm="1">
        <f t="array" ref="P1287">(I1287-I1286)/I1286</f>
        <v>-0.00108026358431457</v>
      </c>
      <c r="Q1287" s="15">
        <v>10710389</v>
      </c>
    </row>
    <row r="1288" ht="13.65" customHeight="1">
      <c r="A1288" t="s" s="27">
        <v>1294</v>
      </c>
      <c r="B1288" t="s" s="13">
        <v>22</v>
      </c>
      <c r="C1288" s="31">
        <v>46072</v>
      </c>
      <c r="D1288" s="15">
        <v>924.7</v>
      </c>
      <c r="E1288" s="15">
        <v>929</v>
      </c>
      <c r="F1288" s="15">
        <v>929.2</v>
      </c>
      <c r="G1288" s="15">
        <v>912.45</v>
      </c>
      <c r="H1288" s="15">
        <v>914.3</v>
      </c>
      <c r="I1288" s="15">
        <v>915.6</v>
      </c>
      <c r="J1288" s="15">
        <v>918.86</v>
      </c>
      <c r="K1288" t="s" s="13">
        <v>6213</v>
      </c>
      <c r="L1288" t="s" s="13">
        <v>6214</v>
      </c>
      <c r="M1288" t="s" s="13">
        <v>6215</v>
      </c>
      <c r="N1288" t="s" s="13">
        <v>6216</v>
      </c>
      <c r="O1288" s="15">
        <v>40.35</v>
      </c>
      <c r="P1288" s="30" cm="1">
        <f t="array" ref="P1288">(I1288-I1287)/I1287</f>
        <v>-0.00984102952308857</v>
      </c>
      <c r="Q1288" s="15">
        <v>8745078</v>
      </c>
    </row>
    <row r="1289" ht="13.65" customHeight="1">
      <c r="A1289" t="s" s="27">
        <v>1294</v>
      </c>
      <c r="B1289" t="s" s="13">
        <v>22</v>
      </c>
      <c r="C1289" s="31">
        <v>46073</v>
      </c>
      <c r="D1289" s="15">
        <v>915.6</v>
      </c>
      <c r="E1289" s="15">
        <v>911</v>
      </c>
      <c r="F1289" s="15">
        <v>917.85</v>
      </c>
      <c r="G1289" s="15">
        <v>908.4</v>
      </c>
      <c r="H1289" s="15">
        <v>913.15</v>
      </c>
      <c r="I1289" s="15">
        <v>911.85</v>
      </c>
      <c r="J1289" s="15">
        <v>913.52</v>
      </c>
      <c r="K1289" t="s" s="13">
        <v>6217</v>
      </c>
      <c r="L1289" t="s" s="13">
        <v>6218</v>
      </c>
      <c r="M1289" t="s" s="13">
        <v>6219</v>
      </c>
      <c r="N1289" t="s" s="13">
        <v>6220</v>
      </c>
      <c r="O1289" s="15">
        <v>56.54</v>
      </c>
      <c r="P1289" s="30" cm="1">
        <f t="array" ref="P1289">(I1289-I1288)/I1288</f>
        <v>-0.0040956749672346</v>
      </c>
      <c r="Q1289" s="15">
        <v>7534012</v>
      </c>
    </row>
    <row r="1290" ht="13.65" customHeight="1">
      <c r="A1290" t="s" s="27">
        <v>1294</v>
      </c>
      <c r="B1290" t="s" s="13">
        <v>22</v>
      </c>
      <c r="C1290" s="31">
        <v>46076</v>
      </c>
      <c r="D1290" s="15">
        <v>911.85</v>
      </c>
      <c r="E1290" s="15">
        <v>916.5</v>
      </c>
      <c r="F1290" s="15">
        <v>925.65</v>
      </c>
      <c r="G1290" s="15">
        <v>915.25</v>
      </c>
      <c r="H1290" s="15">
        <v>924.1</v>
      </c>
      <c r="I1290" s="15">
        <v>923.6</v>
      </c>
      <c r="J1290" s="15">
        <v>921.17</v>
      </c>
      <c r="K1290" t="s" s="13">
        <v>6221</v>
      </c>
      <c r="L1290" t="s" s="13">
        <v>6222</v>
      </c>
      <c r="M1290" t="s" s="13">
        <v>6223</v>
      </c>
      <c r="N1290" t="s" s="13">
        <v>6224</v>
      </c>
      <c r="O1290" s="15">
        <v>64.41</v>
      </c>
      <c r="P1290" s="30" cm="1">
        <f t="array" ref="P1290">(I1290-I1289)/I1289</f>
        <v>0.0128858913198443</v>
      </c>
      <c r="Q1290" s="15">
        <v>11406024</v>
      </c>
    </row>
    <row r="1291" ht="13.65" customHeight="1">
      <c r="A1291" t="s" s="27">
        <v>1294</v>
      </c>
      <c r="B1291" t="s" s="13">
        <v>22</v>
      </c>
      <c r="C1291" s="31">
        <v>46077</v>
      </c>
      <c r="D1291" s="15">
        <v>923.6</v>
      </c>
      <c r="E1291" s="15">
        <v>927.95</v>
      </c>
      <c r="F1291" s="15">
        <v>927.95</v>
      </c>
      <c r="G1291" s="15">
        <v>909.15</v>
      </c>
      <c r="H1291" s="15">
        <v>911.5</v>
      </c>
      <c r="I1291" s="15">
        <v>910.5</v>
      </c>
      <c r="J1291" s="15">
        <v>915.33</v>
      </c>
      <c r="K1291" t="s" s="13">
        <v>6225</v>
      </c>
      <c r="L1291" t="s" s="13">
        <v>6226</v>
      </c>
      <c r="M1291" t="s" s="13">
        <v>6227</v>
      </c>
      <c r="N1291" t="s" s="13">
        <v>6228</v>
      </c>
      <c r="O1291" s="15">
        <v>54.27</v>
      </c>
      <c r="P1291" s="30" cm="1">
        <f t="array" ref="P1291">(I1291-I1290)/I1290</f>
        <v>-0.0141836292767432</v>
      </c>
      <c r="Q1291" s="15">
        <v>15968435</v>
      </c>
    </row>
    <row r="1292" ht="13.65" customHeight="1">
      <c r="A1292" t="s" s="27">
        <v>1294</v>
      </c>
      <c r="B1292" t="s" s="13">
        <v>22</v>
      </c>
      <c r="C1292" s="31">
        <v>46078</v>
      </c>
      <c r="D1292" s="15">
        <v>910.5</v>
      </c>
      <c r="E1292" s="15">
        <v>910.55</v>
      </c>
      <c r="F1292" s="15">
        <v>916</v>
      </c>
      <c r="G1292" s="15">
        <v>903.1</v>
      </c>
      <c r="H1292" s="15">
        <v>907.4</v>
      </c>
      <c r="I1292" s="15">
        <v>907.6</v>
      </c>
      <c r="J1292" s="15">
        <v>909</v>
      </c>
      <c r="K1292" t="s" s="13">
        <v>6229</v>
      </c>
      <c r="L1292" t="s" s="13">
        <v>6230</v>
      </c>
      <c r="M1292" t="s" s="13">
        <v>6231</v>
      </c>
      <c r="N1292" t="s" s="13">
        <v>6232</v>
      </c>
      <c r="O1292" s="15">
        <v>72.48999999999999</v>
      </c>
      <c r="P1292" s="30" cm="1">
        <f t="array" ref="P1292">(I1292-I1291)/I1291</f>
        <v>-0.00318506315211422</v>
      </c>
      <c r="Q1292" s="15">
        <v>9459154</v>
      </c>
    </row>
    <row r="1293" ht="13.65" customHeight="1">
      <c r="A1293" t="s" s="27">
        <v>1294</v>
      </c>
      <c r="B1293" t="s" s="13">
        <v>22</v>
      </c>
      <c r="C1293" s="31">
        <v>46079</v>
      </c>
      <c r="D1293" s="15">
        <v>907.6</v>
      </c>
      <c r="E1293" s="15">
        <v>912</v>
      </c>
      <c r="F1293" s="15">
        <v>912</v>
      </c>
      <c r="G1293" s="15">
        <v>895</v>
      </c>
      <c r="H1293" s="15">
        <v>896</v>
      </c>
      <c r="I1293" s="15">
        <v>898.6</v>
      </c>
      <c r="J1293" s="15">
        <v>901.3200000000001</v>
      </c>
      <c r="K1293" t="s" s="13">
        <v>6233</v>
      </c>
      <c r="L1293" t="s" s="13">
        <v>6234</v>
      </c>
      <c r="M1293" t="s" s="13">
        <v>6235</v>
      </c>
      <c r="N1293" t="s" s="13">
        <v>6236</v>
      </c>
      <c r="O1293" s="15">
        <v>58.37</v>
      </c>
      <c r="P1293" s="30" cm="1">
        <f t="array" ref="P1293">(I1293-I1292)/I1292</f>
        <v>-0.009916262670780079</v>
      </c>
      <c r="Q1293" s="15">
        <v>6960246</v>
      </c>
    </row>
    <row r="1294" ht="13.65" customHeight="1">
      <c r="A1294" t="s" s="27">
        <v>1294</v>
      </c>
      <c r="B1294" t="s" s="13">
        <v>22</v>
      </c>
      <c r="C1294" s="31">
        <v>46080</v>
      </c>
      <c r="D1294" s="15">
        <v>898.6</v>
      </c>
      <c r="E1294" s="15">
        <v>898.6</v>
      </c>
      <c r="F1294" s="15">
        <v>898.95</v>
      </c>
      <c r="G1294" s="15">
        <v>885</v>
      </c>
      <c r="H1294" s="15">
        <v>887.45</v>
      </c>
      <c r="I1294" s="15">
        <v>887.75</v>
      </c>
      <c r="J1294" s="15">
        <v>889.6900000000001</v>
      </c>
      <c r="K1294" t="s" s="13">
        <v>6237</v>
      </c>
      <c r="L1294" t="s" s="13">
        <v>6238</v>
      </c>
      <c r="M1294" t="s" s="13">
        <v>6239</v>
      </c>
      <c r="N1294" t="s" s="13">
        <v>6240</v>
      </c>
      <c r="O1294" s="15">
        <v>77.31</v>
      </c>
      <c r="P1294" s="30" cm="1">
        <f t="array" ref="P1294">(I1294-I1293)/I1293</f>
        <v>-0.0120743378588916</v>
      </c>
      <c r="Q1294" s="15">
        <v>9250439</v>
      </c>
    </row>
    <row r="1295" ht="13.65" customHeight="1">
      <c r="A1295" t="s" s="27">
        <v>1294</v>
      </c>
      <c r="B1295" t="s" s="13">
        <v>22</v>
      </c>
      <c r="C1295" s="28">
        <v>46083</v>
      </c>
      <c r="D1295" s="15">
        <v>887.75</v>
      </c>
      <c r="E1295" s="15">
        <v>876.2</v>
      </c>
      <c r="F1295" s="15">
        <v>887.75</v>
      </c>
      <c r="G1295" s="15">
        <v>871.55</v>
      </c>
      <c r="H1295" s="15">
        <v>882.1</v>
      </c>
      <c r="I1295" s="15">
        <v>879.4</v>
      </c>
      <c r="J1295" s="15">
        <v>879.38</v>
      </c>
      <c r="K1295" t="s" s="13">
        <v>6241</v>
      </c>
      <c r="L1295" t="s" s="13">
        <v>6242</v>
      </c>
      <c r="M1295" t="s" s="13">
        <v>6243</v>
      </c>
      <c r="N1295" t="s" s="13">
        <v>6244</v>
      </c>
      <c r="O1295" s="15">
        <v>50.79</v>
      </c>
      <c r="P1295" s="30" cm="1">
        <f t="array" ref="P1295">(I1295-I1294)/I1294</f>
        <v>-0.009405801182765419</v>
      </c>
      <c r="Q1295" s="15">
        <v>12965877</v>
      </c>
    </row>
    <row r="1296" ht="13.65" customHeight="1">
      <c r="A1296" t="s" s="27">
        <v>1294</v>
      </c>
      <c r="B1296" t="s" s="13">
        <v>22</v>
      </c>
      <c r="C1296" s="28">
        <v>46085</v>
      </c>
      <c r="D1296" s="15">
        <v>879.4</v>
      </c>
      <c r="E1296" s="15">
        <v>848</v>
      </c>
      <c r="F1296" s="15">
        <v>879.3</v>
      </c>
      <c r="G1296" s="15">
        <v>848</v>
      </c>
      <c r="H1296" s="15">
        <v>869</v>
      </c>
      <c r="I1296" s="15">
        <v>868.65</v>
      </c>
      <c r="J1296" s="15">
        <v>866</v>
      </c>
      <c r="K1296" t="s" s="13">
        <v>6245</v>
      </c>
      <c r="L1296" t="s" s="13">
        <v>6246</v>
      </c>
      <c r="M1296" t="s" s="13">
        <v>6247</v>
      </c>
      <c r="N1296" t="s" s="13">
        <v>6248</v>
      </c>
      <c r="O1296" s="15">
        <v>56.1</v>
      </c>
      <c r="P1296" s="30" cm="1">
        <f t="array" ref="P1296">(I1296-I1295)/I1295</f>
        <v>-0.0122242438025927</v>
      </c>
      <c r="Q1296" s="15">
        <v>15285321</v>
      </c>
    </row>
    <row r="1297" ht="13.65" customHeight="1">
      <c r="A1297" t="s" s="27">
        <v>1294</v>
      </c>
      <c r="B1297" t="s" s="13">
        <v>1323</v>
      </c>
      <c r="C1297" s="28">
        <v>46086</v>
      </c>
      <c r="D1297" s="15">
        <v>992.45</v>
      </c>
      <c r="E1297" s="15">
        <v>868.65</v>
      </c>
      <c r="F1297" s="15">
        <v>868.65</v>
      </c>
      <c r="G1297" s="15">
        <v>868.65</v>
      </c>
      <c r="H1297" s="15">
        <v>868.65</v>
      </c>
      <c r="I1297" s="15">
        <v>868.65</v>
      </c>
      <c r="J1297" s="15">
        <v>868.65</v>
      </c>
      <c r="K1297" t="s" s="13">
        <v>6249</v>
      </c>
      <c r="L1297" t="s" s="13">
        <v>6250</v>
      </c>
      <c r="M1297" s="15">
        <v>1</v>
      </c>
      <c r="N1297" t="s" s="13">
        <v>1326</v>
      </c>
      <c r="O1297" t="s" s="13">
        <v>1326</v>
      </c>
      <c r="P1297" s="30" cm="1">
        <f t="array" ref="P1297">(I1297-I1296)/I1296</f>
        <v>0</v>
      </c>
      <c r="Q1297" s="15">
        <v>22980875</v>
      </c>
    </row>
    <row r="1298" ht="13.65" customHeight="1">
      <c r="A1298" t="s" s="27">
        <v>1294</v>
      </c>
      <c r="B1298" t="s" s="13">
        <v>22</v>
      </c>
      <c r="C1298" s="28">
        <v>46086</v>
      </c>
      <c r="D1298" s="15">
        <v>868.65</v>
      </c>
      <c r="E1298" s="15">
        <v>873.85</v>
      </c>
      <c r="F1298" s="15">
        <v>881.4</v>
      </c>
      <c r="G1298" s="15">
        <v>863.5</v>
      </c>
      <c r="H1298" s="15">
        <v>875.1</v>
      </c>
      <c r="I1298" s="15">
        <v>877.75</v>
      </c>
      <c r="J1298" s="15">
        <v>873.4400000000001</v>
      </c>
      <c r="K1298" t="s" s="13">
        <v>6251</v>
      </c>
      <c r="L1298" t="s" s="13">
        <v>6252</v>
      </c>
      <c r="M1298" t="s" s="13">
        <v>6253</v>
      </c>
      <c r="N1298" t="s" s="13">
        <v>6254</v>
      </c>
      <c r="O1298" s="15">
        <v>43.16</v>
      </c>
      <c r="P1298" s="30" cm="1">
        <f t="array" ref="P1298">(I1298-I1297)/I1297</f>
        <v>0.0104760260173833</v>
      </c>
      <c r="Q1298" s="15">
        <v>17123649</v>
      </c>
    </row>
    <row r="1299" ht="13.65" customHeight="1">
      <c r="A1299" t="s" s="27">
        <v>1294</v>
      </c>
      <c r="B1299" t="s" s="13">
        <v>22</v>
      </c>
      <c r="C1299" s="28">
        <v>46087</v>
      </c>
      <c r="D1299" s="15">
        <v>877.75</v>
      </c>
      <c r="E1299" s="15">
        <v>868.05</v>
      </c>
      <c r="F1299" s="15">
        <v>871.7</v>
      </c>
      <c r="G1299" s="15">
        <v>855.1</v>
      </c>
      <c r="H1299" s="15">
        <v>857.2</v>
      </c>
      <c r="I1299" s="15">
        <v>857.05</v>
      </c>
      <c r="J1299" s="15">
        <v>862.5</v>
      </c>
      <c r="K1299" t="s" s="13">
        <v>6255</v>
      </c>
      <c r="L1299" t="s" s="13">
        <v>6256</v>
      </c>
      <c r="M1299" t="s" s="13">
        <v>6257</v>
      </c>
      <c r="N1299" t="s" s="13">
        <v>6258</v>
      </c>
      <c r="O1299" s="15">
        <v>62.8</v>
      </c>
      <c r="P1299" s="30" cm="1">
        <f t="array" ref="P1299">(I1299-I1298)/I1298</f>
        <v>-0.0235830247792652</v>
      </c>
      <c r="Q1299" s="15">
        <v>17851542</v>
      </c>
    </row>
    <row r="1300" ht="13.65" customHeight="1">
      <c r="A1300" t="s" s="27">
        <v>1294</v>
      </c>
      <c r="B1300" t="s" s="13">
        <v>22</v>
      </c>
      <c r="C1300" s="28">
        <v>46090</v>
      </c>
      <c r="D1300" s="15">
        <v>857.05</v>
      </c>
      <c r="E1300" s="15">
        <v>825</v>
      </c>
      <c r="F1300" s="15">
        <v>842.45</v>
      </c>
      <c r="G1300" s="15">
        <v>821.5</v>
      </c>
      <c r="H1300" s="15">
        <v>839.1</v>
      </c>
      <c r="I1300" s="15">
        <v>840.7</v>
      </c>
      <c r="J1300" s="15">
        <v>833.63</v>
      </c>
      <c r="K1300" t="s" s="13">
        <v>6259</v>
      </c>
      <c r="L1300" t="s" s="13">
        <v>6260</v>
      </c>
      <c r="M1300" t="s" s="13">
        <v>6261</v>
      </c>
      <c r="N1300" t="s" s="13">
        <v>6262</v>
      </c>
      <c r="O1300" s="15">
        <v>52.5</v>
      </c>
      <c r="P1300" s="30" cm="1">
        <f t="array" ref="P1300">(I1300-I1299)/I1299</f>
        <v>-0.0190770666822239</v>
      </c>
      <c r="Q1300" s="15">
        <v>9568410</v>
      </c>
    </row>
    <row r="1301" ht="13.65" customHeight="1">
      <c r="A1301" t="s" s="27">
        <v>1294</v>
      </c>
      <c r="B1301" t="s" s="13">
        <v>22</v>
      </c>
      <c r="C1301" s="31">
        <v>46091</v>
      </c>
      <c r="D1301" s="15">
        <v>840.7</v>
      </c>
      <c r="E1301" s="15">
        <v>850.05</v>
      </c>
      <c r="F1301" s="15">
        <v>856.8</v>
      </c>
      <c r="G1301" s="15">
        <v>840.6</v>
      </c>
      <c r="H1301" s="15">
        <v>849</v>
      </c>
      <c r="I1301" s="15">
        <v>849.45</v>
      </c>
      <c r="J1301" s="15">
        <v>849.47</v>
      </c>
      <c r="K1301" t="s" s="13">
        <v>6263</v>
      </c>
      <c r="L1301" t="s" s="13">
        <v>6264</v>
      </c>
      <c r="M1301" t="s" s="13">
        <v>6265</v>
      </c>
      <c r="N1301" t="s" s="13">
        <v>6266</v>
      </c>
      <c r="O1301" s="15">
        <v>56.36</v>
      </c>
      <c r="P1301" s="30" cm="1">
        <f t="array" ref="P1301">(I1301-I1300)/I1300</f>
        <v>0.0104079933388843</v>
      </c>
      <c r="Q1301" s="15">
        <v>24649172</v>
      </c>
    </row>
    <row r="1302" ht="13.65" customHeight="1">
      <c r="A1302" t="s" s="27">
        <v>1294</v>
      </c>
      <c r="B1302" t="s" s="13">
        <v>22</v>
      </c>
      <c r="C1302" s="31">
        <v>46092</v>
      </c>
      <c r="D1302" s="15">
        <v>849.45</v>
      </c>
      <c r="E1302" s="15">
        <v>845</v>
      </c>
      <c r="F1302" s="15">
        <v>848.85</v>
      </c>
      <c r="G1302" s="15">
        <v>827.6</v>
      </c>
      <c r="H1302" s="15">
        <v>834.4</v>
      </c>
      <c r="I1302" s="15">
        <v>833.95</v>
      </c>
      <c r="J1302" s="15">
        <v>834.3200000000001</v>
      </c>
      <c r="K1302" t="s" s="13">
        <v>6267</v>
      </c>
      <c r="L1302" t="s" s="13">
        <v>6268</v>
      </c>
      <c r="M1302" t="s" s="13">
        <v>6269</v>
      </c>
      <c r="N1302" t="s" s="13">
        <v>6270</v>
      </c>
      <c r="O1302" s="15">
        <v>63.25</v>
      </c>
      <c r="P1302" s="30" cm="1">
        <f t="array" ref="P1302">(I1302-I1301)/I1301</f>
        <v>-0.0182471010653953</v>
      </c>
      <c r="Q1302" s="15">
        <v>16387883</v>
      </c>
    </row>
    <row r="1303" ht="13.65" customHeight="1">
      <c r="A1303" t="s" s="27">
        <v>1294</v>
      </c>
      <c r="B1303" t="s" s="13">
        <v>22</v>
      </c>
      <c r="C1303" s="31">
        <v>46093</v>
      </c>
      <c r="D1303" s="15">
        <v>833.95</v>
      </c>
      <c r="E1303" s="15">
        <v>820.1</v>
      </c>
      <c r="F1303" s="15">
        <v>836.4</v>
      </c>
      <c r="G1303" s="15">
        <v>820.1</v>
      </c>
      <c r="H1303" s="15">
        <v>833.3</v>
      </c>
      <c r="I1303" s="15">
        <v>832.75</v>
      </c>
      <c r="J1303" s="15">
        <v>831.86</v>
      </c>
      <c r="K1303" t="s" s="13">
        <v>6271</v>
      </c>
      <c r="L1303" t="s" s="13">
        <v>6272</v>
      </c>
      <c r="M1303" t="s" s="13">
        <v>6273</v>
      </c>
      <c r="N1303" t="s" s="13">
        <v>6274</v>
      </c>
      <c r="O1303" s="15">
        <v>59.83</v>
      </c>
      <c r="P1303" s="30" cm="1">
        <f t="array" ref="P1303">(I1303-I1302)/I1302</f>
        <v>-0.00143893518796091</v>
      </c>
      <c r="Q1303" s="15">
        <v>11227304</v>
      </c>
    </row>
    <row r="1304" ht="13.65" customHeight="1">
      <c r="A1304" t="s" s="27">
        <v>1294</v>
      </c>
      <c r="B1304" t="s" s="13">
        <v>22</v>
      </c>
      <c r="C1304" s="31">
        <v>46094</v>
      </c>
      <c r="D1304" s="15">
        <v>832.75</v>
      </c>
      <c r="E1304" s="15">
        <v>820</v>
      </c>
      <c r="F1304" s="15">
        <v>823.8</v>
      </c>
      <c r="G1304" s="15">
        <v>812</v>
      </c>
      <c r="H1304" s="15">
        <v>816.7</v>
      </c>
      <c r="I1304" s="15">
        <v>817</v>
      </c>
      <c r="J1304" s="15">
        <v>817.73</v>
      </c>
      <c r="K1304" t="s" s="13">
        <v>6275</v>
      </c>
      <c r="L1304" t="s" s="13">
        <v>6276</v>
      </c>
      <c r="M1304" t="s" s="13">
        <v>6277</v>
      </c>
      <c r="N1304" t="s" s="13">
        <v>6278</v>
      </c>
      <c r="O1304" s="15">
        <v>54.42</v>
      </c>
      <c r="P1304" s="30" cm="1">
        <f t="array" ref="P1304">(I1304-I1303)/I1303</f>
        <v>-0.0189132392674872</v>
      </c>
      <c r="Q1304" s="15">
        <v>17781936</v>
      </c>
    </row>
    <row r="1305" ht="13.65" customHeight="1">
      <c r="A1305" t="s" s="27">
        <v>1294</v>
      </c>
      <c r="B1305" t="s" s="13">
        <v>22</v>
      </c>
      <c r="C1305" s="31">
        <v>46097</v>
      </c>
      <c r="D1305" s="15">
        <v>817</v>
      </c>
      <c r="E1305" s="15">
        <v>817</v>
      </c>
      <c r="F1305" s="15">
        <v>844.5</v>
      </c>
      <c r="G1305" s="15">
        <v>815.65</v>
      </c>
      <c r="H1305" s="15">
        <v>838.8</v>
      </c>
      <c r="I1305" s="15">
        <v>840.6</v>
      </c>
      <c r="J1305" s="15">
        <v>832</v>
      </c>
      <c r="K1305" t="s" s="13">
        <v>6279</v>
      </c>
      <c r="L1305" t="s" s="13">
        <v>6280</v>
      </c>
      <c r="M1305" t="s" s="13">
        <v>6281</v>
      </c>
      <c r="N1305" t="s" s="13">
        <v>6282</v>
      </c>
      <c r="O1305" s="15">
        <v>55.36</v>
      </c>
      <c r="P1305" s="30" cm="1">
        <f t="array" ref="P1305">(I1305-I1304)/I1304</f>
        <v>0.0288861689106487</v>
      </c>
      <c r="Q1305" s="15">
        <v>18997725</v>
      </c>
    </row>
    <row r="1306" ht="13.65" customHeight="1">
      <c r="A1306" t="s" s="27">
        <v>1294</v>
      </c>
      <c r="B1306" t="s" s="13">
        <v>22</v>
      </c>
      <c r="C1306" s="31">
        <v>46098</v>
      </c>
      <c r="D1306" s="15">
        <v>840.6</v>
      </c>
      <c r="E1306" s="15">
        <v>847.7</v>
      </c>
      <c r="F1306" s="15">
        <v>848.9</v>
      </c>
      <c r="G1306" s="15">
        <v>835.1</v>
      </c>
      <c r="H1306" s="15">
        <v>842.8</v>
      </c>
      <c r="I1306" s="15">
        <v>845.35</v>
      </c>
      <c r="J1306" s="15">
        <v>843.42</v>
      </c>
      <c r="K1306" t="s" s="13">
        <v>6283</v>
      </c>
      <c r="L1306" t="s" s="13">
        <v>6284</v>
      </c>
      <c r="M1306" t="s" s="13">
        <v>6285</v>
      </c>
      <c r="N1306" t="s" s="13">
        <v>6286</v>
      </c>
      <c r="O1306" s="15">
        <v>51.7</v>
      </c>
      <c r="P1306" s="30" cm="1">
        <f t="array" ref="P1306">(I1306-I1305)/I1305</f>
        <v>0.00565072567213895</v>
      </c>
      <c r="Q1306" s="15">
        <v>16770227</v>
      </c>
    </row>
    <row r="1307" ht="13.65" customHeight="1">
      <c r="A1307" t="s" s="27">
        <v>1294</v>
      </c>
      <c r="B1307" t="s" s="13">
        <v>22</v>
      </c>
      <c r="C1307" s="31">
        <v>46099</v>
      </c>
      <c r="D1307" s="15">
        <v>845.35</v>
      </c>
      <c r="E1307" s="15">
        <v>845.35</v>
      </c>
      <c r="F1307" s="15">
        <v>846.8</v>
      </c>
      <c r="G1307" s="15">
        <v>831.6</v>
      </c>
      <c r="H1307" s="15">
        <v>842</v>
      </c>
      <c r="I1307" s="15">
        <v>843.05</v>
      </c>
      <c r="J1307" s="15">
        <v>840.38</v>
      </c>
      <c r="K1307" t="s" s="13">
        <v>6287</v>
      </c>
      <c r="L1307" t="s" s="13">
        <v>6288</v>
      </c>
      <c r="M1307" t="s" s="13">
        <v>6289</v>
      </c>
      <c r="N1307" t="s" s="13">
        <v>6290</v>
      </c>
      <c r="O1307" s="15">
        <v>57.63</v>
      </c>
      <c r="P1307" s="30" cm="1">
        <f t="array" ref="P1307">(I1307-I1306)/I1306</f>
        <v>-0.0027207665464009</v>
      </c>
      <c r="Q1307" s="15">
        <v>5625019</v>
      </c>
    </row>
    <row r="1308" ht="13.65" customHeight="1">
      <c r="A1308" t="s" s="27">
        <v>1294</v>
      </c>
      <c r="B1308" t="s" s="13">
        <v>22</v>
      </c>
      <c r="C1308" s="31">
        <v>46100</v>
      </c>
      <c r="D1308" s="15">
        <v>843.05</v>
      </c>
      <c r="E1308" s="15">
        <v>770</v>
      </c>
      <c r="F1308" s="15">
        <v>815.65</v>
      </c>
      <c r="G1308" s="15">
        <v>770</v>
      </c>
      <c r="H1308" s="15">
        <v>800</v>
      </c>
      <c r="I1308" s="15">
        <v>798.2</v>
      </c>
      <c r="J1308" s="15">
        <v>801.78</v>
      </c>
      <c r="K1308" t="s" s="13">
        <v>6291</v>
      </c>
      <c r="L1308" t="s" s="13">
        <v>6292</v>
      </c>
      <c r="M1308" t="s" s="13">
        <v>6293</v>
      </c>
      <c r="N1308" t="s" s="13">
        <v>6294</v>
      </c>
      <c r="O1308" s="15">
        <v>58.05</v>
      </c>
      <c r="P1308" s="30" cm="1">
        <f t="array" ref="P1308">(I1308-I1307)/I1307</f>
        <v>-0.0531996915959907</v>
      </c>
      <c r="Q1308" s="15">
        <v>5786782</v>
      </c>
    </row>
    <row r="1309" ht="13.65" customHeight="1">
      <c r="A1309" t="s" s="27">
        <v>1294</v>
      </c>
      <c r="B1309" t="s" s="13">
        <v>22</v>
      </c>
      <c r="C1309" s="31">
        <v>46101</v>
      </c>
      <c r="D1309" s="15">
        <v>798.2</v>
      </c>
      <c r="E1309" s="15">
        <v>785</v>
      </c>
      <c r="F1309" s="15">
        <v>793.75</v>
      </c>
      <c r="G1309" s="15">
        <v>778.2</v>
      </c>
      <c r="H1309" s="15">
        <v>781</v>
      </c>
      <c r="I1309" s="15">
        <v>780.45</v>
      </c>
      <c r="J1309" s="15">
        <v>784.12</v>
      </c>
      <c r="K1309" t="s" s="13">
        <v>6295</v>
      </c>
      <c r="L1309" t="s" s="13">
        <v>6296</v>
      </c>
      <c r="M1309" t="s" s="13">
        <v>6297</v>
      </c>
      <c r="N1309" t="s" s="13">
        <v>6298</v>
      </c>
      <c r="O1309" s="15">
        <v>64.11</v>
      </c>
      <c r="P1309" s="30" cm="1">
        <f t="array" ref="P1309">(I1309-I1308)/I1308</f>
        <v>-0.0222375344525182</v>
      </c>
      <c r="Q1309" s="15">
        <v>14255503</v>
      </c>
    </row>
    <row r="1310" ht="13.65" customHeight="1">
      <c r="A1310" t="s" s="27">
        <v>1294</v>
      </c>
      <c r="B1310" t="s" s="13">
        <v>22</v>
      </c>
      <c r="C1310" s="31">
        <v>46104</v>
      </c>
      <c r="D1310" s="15">
        <v>780.45</v>
      </c>
      <c r="E1310" s="15">
        <v>763.15</v>
      </c>
      <c r="F1310" s="15">
        <v>768.7</v>
      </c>
      <c r="G1310" s="15">
        <v>741.05</v>
      </c>
      <c r="H1310" s="15">
        <v>742.3</v>
      </c>
      <c r="I1310" s="15">
        <v>744.15</v>
      </c>
      <c r="J1310" s="15">
        <v>752.37</v>
      </c>
      <c r="K1310" t="s" s="13">
        <v>6299</v>
      </c>
      <c r="L1310" t="s" s="13">
        <v>6300</v>
      </c>
      <c r="M1310" t="s" s="13">
        <v>6301</v>
      </c>
      <c r="N1310" t="s" s="13">
        <v>6302</v>
      </c>
      <c r="O1310" s="15">
        <v>60.97</v>
      </c>
      <c r="P1310" s="17" cm="1">
        <f t="array" ref="P1310">(I1310-I1309)/I1309</f>
        <v>-0.0465116279069767</v>
      </c>
      <c r="Q1310" s="21"/>
    </row>
    <row r="1311" ht="13.65" customHeight="1">
      <c r="A1311" t="s" s="27">
        <v>1294</v>
      </c>
      <c r="B1311" t="s" s="13">
        <v>22</v>
      </c>
      <c r="C1311" s="31">
        <v>46105</v>
      </c>
      <c r="D1311" s="15">
        <v>744.15</v>
      </c>
      <c r="E1311" s="15">
        <v>755</v>
      </c>
      <c r="F1311" s="15">
        <v>772.75</v>
      </c>
      <c r="G1311" s="15">
        <v>747.7</v>
      </c>
      <c r="H1311" s="15">
        <v>766.5</v>
      </c>
      <c r="I1311" s="15">
        <v>764.9</v>
      </c>
      <c r="J1311" s="15">
        <v>761.63</v>
      </c>
      <c r="K1311" t="s" s="13">
        <v>6303</v>
      </c>
      <c r="L1311" t="s" s="13">
        <v>6304</v>
      </c>
      <c r="M1311" t="s" s="13">
        <v>6305</v>
      </c>
      <c r="N1311" t="s" s="13">
        <v>6306</v>
      </c>
      <c r="O1311" s="15">
        <v>56.27</v>
      </c>
      <c r="P1311" s="17" cm="1">
        <f t="array" ref="P1311">(I1311-I1310)/I1310</f>
        <v>0.0278841631391521</v>
      </c>
      <c r="Q1311" s="8"/>
    </row>
    <row r="1312" ht="13.65" customHeight="1">
      <c r="A1312" t="s" s="27">
        <v>1294</v>
      </c>
      <c r="B1312" t="s" s="13">
        <v>22</v>
      </c>
      <c r="C1312" s="31">
        <v>46106</v>
      </c>
      <c r="D1312" s="15">
        <v>764.9</v>
      </c>
      <c r="E1312" s="15">
        <v>768.2</v>
      </c>
      <c r="F1312" s="15">
        <v>794.8</v>
      </c>
      <c r="G1312" s="15">
        <v>768.2</v>
      </c>
      <c r="H1312" s="15">
        <v>780.1</v>
      </c>
      <c r="I1312" s="15">
        <v>782.3</v>
      </c>
      <c r="J1312" s="15">
        <v>785.22</v>
      </c>
      <c r="K1312" t="s" s="13">
        <v>6307</v>
      </c>
      <c r="L1312" t="s" s="13">
        <v>6308</v>
      </c>
      <c r="M1312" t="s" s="13">
        <v>6309</v>
      </c>
      <c r="N1312" t="s" s="13">
        <v>6310</v>
      </c>
      <c r="O1312" s="15">
        <v>60.53</v>
      </c>
      <c r="P1312" s="17" cm="1">
        <f t="array" ref="P1312">(I1312-I1311)/I1311</f>
        <v>0.0227480716433521</v>
      </c>
      <c r="Q1312" s="8"/>
    </row>
    <row r="1313" ht="13.65" customHeight="1">
      <c r="A1313" t="s" s="27">
        <v>1294</v>
      </c>
      <c r="B1313" t="s" s="13">
        <v>22</v>
      </c>
      <c r="C1313" s="31">
        <v>46108</v>
      </c>
      <c r="D1313" s="15">
        <v>782.3</v>
      </c>
      <c r="E1313" s="15">
        <v>773.2</v>
      </c>
      <c r="F1313" s="15">
        <v>774.9</v>
      </c>
      <c r="G1313" s="15">
        <v>754.55</v>
      </c>
      <c r="H1313" s="15">
        <v>757.95</v>
      </c>
      <c r="I1313" s="15">
        <v>756.2</v>
      </c>
      <c r="J1313" s="15">
        <v>761.3</v>
      </c>
      <c r="K1313" t="s" s="13">
        <v>6311</v>
      </c>
      <c r="L1313" t="s" s="13">
        <v>6312</v>
      </c>
      <c r="M1313" t="s" s="13">
        <v>6313</v>
      </c>
      <c r="N1313" t="s" s="13">
        <v>6314</v>
      </c>
      <c r="O1313" s="15">
        <v>64.03</v>
      </c>
      <c r="P1313" s="17" cm="1">
        <f t="array" ref="P1313">(I1313-I1312)/I1312</f>
        <v>-0.0333631599130768</v>
      </c>
      <c r="Q1313" s="23" cm="1">
        <f t="array" ref="Q1313">AVERAGE(Q1062:Q1309)</f>
        <v>20341602.9556452</v>
      </c>
    </row>
    <row r="1314" ht="13.65" customHeight="1">
      <c r="A1314" t="s" s="27">
        <v>1294</v>
      </c>
      <c r="B1314" t="s" s="13">
        <v>22</v>
      </c>
      <c r="C1314" s="31">
        <v>46111</v>
      </c>
      <c r="D1314" s="15">
        <v>756.2</v>
      </c>
      <c r="E1314" s="15">
        <v>745.2</v>
      </c>
      <c r="F1314" s="15">
        <v>751</v>
      </c>
      <c r="G1314" s="15">
        <v>726.65</v>
      </c>
      <c r="H1314" s="15">
        <v>735</v>
      </c>
      <c r="I1314" s="15">
        <v>731.55</v>
      </c>
      <c r="J1314" s="15">
        <v>737.88</v>
      </c>
      <c r="K1314" t="s" s="13">
        <v>6315</v>
      </c>
      <c r="L1314" t="s" s="13">
        <v>6316</v>
      </c>
      <c r="M1314" t="s" s="13">
        <v>6317</v>
      </c>
      <c r="N1314" t="s" s="13">
        <v>6318</v>
      </c>
      <c r="O1314" s="15">
        <v>60.31</v>
      </c>
      <c r="P1314" s="17" cm="1">
        <f t="array" ref="P1314">(I1314-I1313)/I1313</f>
        <v>-0.0325971965088601</v>
      </c>
      <c r="Q1314" s="8"/>
    </row>
    <row r="1315" ht="13.65" customHeight="1">
      <c r="A1315" t="s" s="27">
        <v>1294</v>
      </c>
      <c r="B1315" t="s" s="13">
        <v>22</v>
      </c>
      <c r="C1315" s="28">
        <v>46113</v>
      </c>
      <c r="D1315" s="15">
        <v>731.55</v>
      </c>
      <c r="E1315" s="15">
        <v>743</v>
      </c>
      <c r="F1315" s="15">
        <v>755.9</v>
      </c>
      <c r="G1315" s="15">
        <v>739.1</v>
      </c>
      <c r="H1315" s="15">
        <v>744</v>
      </c>
      <c r="I1315" s="15">
        <v>742.25</v>
      </c>
      <c r="J1315" s="15">
        <v>745.52</v>
      </c>
      <c r="K1315" t="s" s="13">
        <v>6319</v>
      </c>
      <c r="L1315" t="s" s="13">
        <v>6320</v>
      </c>
      <c r="M1315" t="s" s="13">
        <v>6321</v>
      </c>
      <c r="N1315" t="s" s="13">
        <v>6322</v>
      </c>
      <c r="O1315" s="15">
        <v>63.42</v>
      </c>
      <c r="P1315" s="17" cm="1">
        <f t="array" ref="P1315">(I1315-I1314)/I1314</f>
        <v>0.0146264780261089</v>
      </c>
      <c r="Q1315" s="8"/>
    </row>
    <row r="1316" ht="13.65" customHeight="1">
      <c r="A1316" s="21"/>
      <c r="B1316" s="21"/>
      <c r="C1316" s="21"/>
      <c r="D1316" s="21"/>
      <c r="E1316" s="21"/>
      <c r="F1316" s="21"/>
      <c r="G1316" s="21"/>
      <c r="H1316" s="21"/>
      <c r="I1316" s="21"/>
      <c r="J1316" s="21"/>
      <c r="K1316" s="21"/>
      <c r="L1316" s="21"/>
      <c r="M1316" s="21"/>
      <c r="N1316" s="21"/>
      <c r="O1316" s="21"/>
      <c r="P1316" s="8"/>
      <c r="Q1316" s="8"/>
    </row>
    <row r="1317" ht="13.65" customHeight="1">
      <c r="A1317" s="8"/>
      <c r="B1317" s="8"/>
      <c r="C1317" s="8"/>
      <c r="D1317" s="8"/>
      <c r="E1317" s="8"/>
      <c r="F1317" s="8"/>
      <c r="G1317" s="8"/>
      <c r="H1317" s="8"/>
      <c r="I1317" s="8"/>
      <c r="J1317" s="8"/>
      <c r="K1317" s="8"/>
      <c r="L1317" s="8"/>
      <c r="M1317" s="8"/>
      <c r="N1317" s="8"/>
      <c r="O1317" s="8"/>
      <c r="P1317" s="8"/>
      <c r="Q1317" s="8"/>
    </row>
    <row r="1318" ht="13.65" customHeight="1">
      <c r="A1318" s="8"/>
      <c r="B1318" s="8"/>
      <c r="C1318" s="8"/>
      <c r="D1318" s="8"/>
      <c r="E1318" s="8"/>
      <c r="F1318" s="8"/>
      <c r="G1318" s="8"/>
      <c r="H1318" s="8"/>
      <c r="I1318" s="8"/>
      <c r="J1318" s="8"/>
      <c r="K1318" s="8"/>
      <c r="L1318" s="8"/>
      <c r="M1318" s="8"/>
      <c r="N1318" s="8"/>
      <c r="O1318" t="s" s="7">
        <v>6323</v>
      </c>
      <c r="P1318" s="22" cm="1">
        <f t="array" ref="P1318">AVERAGE(P1063:P1315)</f>
        <v>-0.00258651154421392</v>
      </c>
      <c r="Q1318" s="8"/>
    </row>
    <row r="1319" ht="13.65" customHeight="1">
      <c r="A1319" s="8"/>
      <c r="B1319" s="8"/>
      <c r="C1319" s="8"/>
      <c r="D1319" s="8"/>
      <c r="E1319" s="8"/>
      <c r="F1319" s="8"/>
      <c r="G1319" s="8"/>
      <c r="H1319" s="8"/>
      <c r="I1319" s="8"/>
      <c r="J1319" s="8"/>
      <c r="K1319" s="8"/>
      <c r="L1319" s="8"/>
      <c r="M1319" s="8"/>
      <c r="N1319" s="8"/>
      <c r="O1319" t="s" s="7">
        <v>2292</v>
      </c>
      <c r="P1319" s="22" cm="1">
        <f t="array" ref="P1319">STDEV(P1063:P1315)</f>
        <v>0.0335865486428562</v>
      </c>
      <c r="Q1319" s="8"/>
    </row>
    <row r="1320" ht="13.65" customHeight="1">
      <c r="A1320" s="8"/>
      <c r="B1320" s="8"/>
      <c r="C1320" s="8"/>
      <c r="D1320" s="8"/>
      <c r="E1320" s="8"/>
      <c r="F1320" s="8"/>
      <c r="G1320" s="8"/>
      <c r="H1320" s="8"/>
      <c r="I1320" s="8"/>
      <c r="J1320" s="8"/>
      <c r="K1320" s="8"/>
      <c r="L1320" s="8"/>
      <c r="M1320" s="8"/>
      <c r="N1320" s="8"/>
      <c r="O1320" t="s" s="7">
        <v>275</v>
      </c>
      <c r="P1320" s="23" cm="1">
        <f t="array" ref="P1320">IF(I1315&gt;I1062,1,IF(I1315&lt;I1062,-1,0))</f>
        <v>-1</v>
      </c>
      <c r="Q1320" s="8"/>
    </row>
    <row r="1321" ht="13.65" customHeight="1">
      <c r="A1321" s="8"/>
      <c r="B1321" s="8"/>
      <c r="C1321" s="8"/>
      <c r="D1321" s="8"/>
      <c r="E1321" s="8"/>
      <c r="F1321" s="8"/>
      <c r="G1321" s="8"/>
      <c r="H1321" s="8"/>
      <c r="I1321" s="8"/>
      <c r="J1321" s="8"/>
      <c r="K1321" s="8"/>
      <c r="L1321" s="8"/>
      <c r="M1321" s="8"/>
      <c r="N1321" s="8"/>
      <c r="O1321" t="s" s="7">
        <v>528</v>
      </c>
      <c r="P1321" s="22" cm="1">
        <f t="array" ref="P1321">(I1315-I1062)/I1062</f>
        <v>-0.580139717736233</v>
      </c>
      <c r="Q1321" s="8"/>
    </row>
    <row r="1322" ht="13.65" customHeight="1">
      <c r="A1322" s="8"/>
      <c r="B1322" s="8"/>
      <c r="C1322" s="8"/>
      <c r="D1322" s="8"/>
      <c r="E1322" s="8"/>
      <c r="F1322" s="8"/>
      <c r="G1322" s="8"/>
      <c r="H1322" s="8"/>
      <c r="I1322" s="8"/>
      <c r="J1322" s="8"/>
      <c r="K1322" s="8"/>
      <c r="L1322" s="8"/>
      <c r="M1322" s="8"/>
      <c r="N1322" s="8"/>
      <c r="O1322" s="8"/>
      <c r="P1322" s="8"/>
      <c r="Q1322" s="8"/>
    </row>
    <row r="1323" ht="13.65" customHeight="1">
      <c r="A1323" s="8"/>
      <c r="B1323" s="8"/>
      <c r="C1323" s="8"/>
      <c r="D1323" s="8"/>
      <c r="E1323" s="8"/>
      <c r="F1323" s="8"/>
      <c r="G1323" s="8"/>
      <c r="H1323" s="8"/>
      <c r="I1323" s="8"/>
      <c r="J1323" s="8"/>
      <c r="K1323" s="8"/>
      <c r="L1323" s="8"/>
      <c r="M1323" s="8"/>
      <c r="N1323" s="8"/>
      <c r="O1323" s="8"/>
      <c r="P1323" s="8"/>
      <c r="Q1323" s="8"/>
    </row>
    <row r="1324" ht="13.65" customHeight="1">
      <c r="A1324" s="8"/>
      <c r="B1324" s="8"/>
      <c r="C1324" s="8"/>
      <c r="D1324" s="8"/>
      <c r="E1324" s="8"/>
      <c r="F1324" s="8"/>
      <c r="G1324" s="8"/>
      <c r="H1324" s="8"/>
      <c r="I1324" s="8"/>
      <c r="J1324" s="8"/>
      <c r="K1324" s="8"/>
      <c r="L1324" s="8"/>
      <c r="M1324" s="8"/>
      <c r="N1324" s="8"/>
      <c r="O1324" s="8"/>
      <c r="P1324" s="8"/>
      <c r="Q1324" s="8"/>
    </row>
    <row r="1325" ht="13.65" customHeight="1">
      <c r="A1325" s="8"/>
      <c r="B1325" s="8"/>
      <c r="C1325" s="8"/>
      <c r="D1325" s="8"/>
      <c r="E1325" s="8"/>
      <c r="F1325" s="8"/>
      <c r="G1325" s="8"/>
      <c r="H1325" s="8"/>
      <c r="I1325" s="8"/>
      <c r="J1325" s="8"/>
      <c r="K1325" s="8"/>
      <c r="L1325" s="8"/>
      <c r="M1325" s="8"/>
      <c r="N1325" s="8"/>
      <c r="O1325" s="8"/>
      <c r="P1325" s="8"/>
      <c r="Q1325" s="8"/>
    </row>
    <row r="1326" ht="13.65" customHeight="1">
      <c r="A1326" s="8"/>
      <c r="B1326" s="8"/>
      <c r="C1326" s="8"/>
      <c r="D1326" s="8"/>
      <c r="E1326" s="8"/>
      <c r="F1326" s="8"/>
      <c r="G1326" s="8"/>
      <c r="H1326" s="8"/>
      <c r="I1326" s="8"/>
      <c r="J1326" s="8"/>
      <c r="K1326" s="8"/>
      <c r="L1326" s="8"/>
      <c r="M1326" s="8"/>
      <c r="N1326" s="8"/>
      <c r="O1326" s="8"/>
      <c r="P1326" s="8"/>
      <c r="Q1326" s="8"/>
    </row>
    <row r="1327" ht="13.65" customHeight="1">
      <c r="A1327" s="8"/>
      <c r="B1327" s="8"/>
      <c r="C1327" s="8"/>
      <c r="D1327" s="8"/>
      <c r="E1327" s="8"/>
      <c r="F1327" s="8"/>
      <c r="G1327" s="8"/>
      <c r="H1327" s="8"/>
      <c r="I1327" s="8"/>
      <c r="J1327" s="8"/>
      <c r="K1327" s="8"/>
      <c r="L1327" s="8"/>
      <c r="M1327" s="8"/>
      <c r="N1327" s="8"/>
      <c r="O1327" s="8"/>
      <c r="P1327" s="8"/>
      <c r="Q1327" s="8"/>
    </row>
    <row r="1328" ht="13.65" customHeight="1">
      <c r="A1328" s="8"/>
      <c r="B1328" s="8"/>
      <c r="C1328" s="8"/>
      <c r="D1328" s="8"/>
      <c r="E1328" s="8"/>
      <c r="F1328" s="8"/>
      <c r="G1328" s="8"/>
      <c r="H1328" s="8"/>
      <c r="I1328" s="8"/>
      <c r="J1328" s="8"/>
      <c r="K1328" s="8"/>
      <c r="L1328" s="8"/>
      <c r="M1328" s="8"/>
      <c r="N1328" s="8"/>
      <c r="O1328" s="8"/>
      <c r="P1328" s="8"/>
      <c r="Q1328" s="8"/>
    </row>
    <row r="1329" ht="13.65" customHeight="1">
      <c r="A1329" s="8"/>
      <c r="B1329" s="8"/>
      <c r="C1329" s="8"/>
      <c r="D1329" s="8"/>
      <c r="E1329" s="8"/>
      <c r="F1329" s="8"/>
      <c r="G1329" s="8"/>
      <c r="H1329" s="8"/>
      <c r="I1329" s="8"/>
      <c r="J1329" s="8"/>
      <c r="K1329" s="8"/>
      <c r="L1329" s="8"/>
      <c r="M1329" s="8"/>
      <c r="N1329" s="8"/>
      <c r="O1329" s="8"/>
      <c r="P1329" s="8"/>
      <c r="Q1329" s="8"/>
    </row>
    <row r="1330" ht="13.65" customHeight="1">
      <c r="A1330" s="8"/>
      <c r="B1330" s="8"/>
      <c r="C1330" s="8"/>
      <c r="D1330" s="8"/>
      <c r="E1330" s="8"/>
      <c r="F1330" s="8"/>
      <c r="G1330" s="8"/>
      <c r="H1330" s="8"/>
      <c r="I1330" s="8"/>
      <c r="J1330" s="8"/>
      <c r="K1330" s="8"/>
      <c r="L1330" s="8"/>
      <c r="M1330" s="8"/>
      <c r="N1330" s="8"/>
      <c r="O1330" s="8"/>
      <c r="P1330" s="8"/>
      <c r="Q1330" s="8"/>
    </row>
    <row r="1331" ht="13.65" customHeight="1">
      <c r="A1331" s="8"/>
      <c r="B1331" s="8"/>
      <c r="C1331" s="8"/>
      <c r="D1331" s="8"/>
      <c r="E1331" s="8"/>
      <c r="F1331" s="8"/>
      <c r="G1331" s="8"/>
      <c r="H1331" s="8"/>
      <c r="I1331" s="8"/>
      <c r="J1331" s="8"/>
      <c r="K1331" s="8"/>
      <c r="L1331" s="8"/>
      <c r="M1331" s="8"/>
      <c r="N1331" s="8"/>
      <c r="O1331" s="8"/>
      <c r="P1331" s="8"/>
      <c r="Q1331" s="8"/>
    </row>
    <row r="1332" ht="13.65" customHeight="1">
      <c r="A1332" s="8"/>
      <c r="B1332" s="8"/>
      <c r="C1332" s="8"/>
      <c r="D1332" s="8"/>
      <c r="E1332" s="8"/>
      <c r="F1332" s="8"/>
      <c r="G1332" s="8"/>
      <c r="H1332" s="8"/>
      <c r="I1332" s="8"/>
      <c r="J1332" s="8"/>
      <c r="K1332" s="8"/>
      <c r="L1332" s="8"/>
      <c r="M1332" s="8"/>
      <c r="N1332" s="8"/>
      <c r="O1332" s="8"/>
      <c r="P1332" s="8"/>
      <c r="Q1332" s="8"/>
    </row>
    <row r="1333" ht="13.65" customHeight="1">
      <c r="A1333" s="8"/>
      <c r="B1333" s="8"/>
      <c r="C1333" s="8"/>
      <c r="D1333" s="8"/>
      <c r="E1333" s="8"/>
      <c r="F1333" s="8"/>
      <c r="G1333" s="8"/>
      <c r="H1333" s="8"/>
      <c r="I1333" s="8"/>
      <c r="J1333" s="8"/>
      <c r="K1333" s="8"/>
      <c r="L1333" s="8"/>
      <c r="M1333" s="8"/>
      <c r="N1333" s="8"/>
      <c r="O1333" s="8"/>
      <c r="P1333" s="8"/>
      <c r="Q1333" s="8"/>
    </row>
    <row r="1334" ht="13.65" customHeight="1">
      <c r="A1334" s="8"/>
      <c r="B1334" s="8"/>
      <c r="C1334" s="8"/>
      <c r="D1334" s="8"/>
      <c r="E1334" s="8"/>
      <c r="F1334" s="8"/>
      <c r="G1334" s="8"/>
      <c r="H1334" s="8"/>
      <c r="I1334" s="8"/>
      <c r="J1334" s="8"/>
      <c r="K1334" s="8"/>
      <c r="L1334" s="8"/>
      <c r="M1334" s="8"/>
      <c r="N1334" s="8"/>
      <c r="O1334" s="8"/>
      <c r="P1334" s="8"/>
      <c r="Q1334" s="8"/>
    </row>
    <row r="1335" ht="13.65" customHeight="1">
      <c r="A1335" s="8"/>
      <c r="B1335" s="8"/>
      <c r="C1335" s="8"/>
      <c r="D1335" s="8"/>
      <c r="E1335" s="8"/>
      <c r="F1335" s="8"/>
      <c r="G1335" s="8"/>
      <c r="H1335" s="8"/>
      <c r="I1335" s="8"/>
      <c r="J1335" s="8"/>
      <c r="K1335" s="8"/>
      <c r="L1335" s="8"/>
      <c r="M1335" s="8"/>
      <c r="N1335" s="8"/>
      <c r="O1335" s="8"/>
      <c r="P1335" s="8"/>
      <c r="Q1335" s="8"/>
    </row>
    <row r="1336" ht="13.65" customHeight="1">
      <c r="A1336" s="8"/>
      <c r="B1336" s="8"/>
      <c r="C1336" s="8"/>
      <c r="D1336" s="8"/>
      <c r="E1336" s="8"/>
      <c r="F1336" s="8"/>
      <c r="G1336" s="8"/>
      <c r="H1336" s="8"/>
      <c r="I1336" s="8"/>
      <c r="J1336" s="8"/>
      <c r="K1336" s="8"/>
      <c r="L1336" s="8"/>
      <c r="M1336" s="8"/>
      <c r="N1336" s="8"/>
      <c r="O1336" s="8"/>
      <c r="P1336" s="8"/>
      <c r="Q1336" s="8"/>
    </row>
    <row r="1337" ht="13.65" customHeight="1">
      <c r="A1337" s="8"/>
      <c r="B1337" s="8"/>
      <c r="C1337" s="8"/>
      <c r="D1337" s="8"/>
      <c r="E1337" s="8"/>
      <c r="F1337" s="8"/>
      <c r="G1337" s="8"/>
      <c r="H1337" s="8"/>
      <c r="I1337" s="8"/>
      <c r="J1337" s="8"/>
      <c r="K1337" s="8"/>
      <c r="L1337" s="8"/>
      <c r="M1337" s="8"/>
      <c r="N1337" s="8"/>
      <c r="O1337" s="8"/>
      <c r="P1337" s="8"/>
      <c r="Q1337" s="8"/>
    </row>
    <row r="1338" ht="13.65" customHeight="1">
      <c r="A1338" s="8"/>
      <c r="B1338" s="8"/>
      <c r="C1338" s="8"/>
      <c r="D1338" s="8"/>
      <c r="E1338" s="8"/>
      <c r="F1338" s="8"/>
      <c r="G1338" s="8"/>
      <c r="H1338" s="8"/>
      <c r="I1338" s="8"/>
      <c r="J1338" s="8"/>
      <c r="K1338" s="8"/>
      <c r="L1338" s="8"/>
      <c r="M1338" s="8"/>
      <c r="N1338" s="8"/>
      <c r="O1338" s="8"/>
      <c r="P1338" s="8"/>
      <c r="Q1338" s="8"/>
    </row>
    <row r="1339" ht="13.65" customHeight="1">
      <c r="A1339" s="8"/>
      <c r="B1339" s="8"/>
      <c r="C1339" s="8"/>
      <c r="D1339" s="8"/>
      <c r="E1339" s="8"/>
      <c r="F1339" s="8"/>
      <c r="G1339" s="8"/>
      <c r="H1339" s="8"/>
      <c r="I1339" s="8"/>
      <c r="J1339" s="8"/>
      <c r="K1339" s="8"/>
      <c r="L1339" s="8"/>
      <c r="M1339" s="8"/>
      <c r="N1339" s="8"/>
      <c r="O1339" s="8"/>
      <c r="P1339" s="8"/>
      <c r="Q1339" s="8"/>
    </row>
    <row r="1340" ht="13.65" customHeight="1">
      <c r="A1340" s="8"/>
      <c r="B1340" s="8"/>
      <c r="C1340" s="8"/>
      <c r="D1340" s="8"/>
      <c r="E1340" s="8"/>
      <c r="F1340" s="8"/>
      <c r="G1340" s="8"/>
      <c r="H1340" s="8"/>
      <c r="I1340" s="8"/>
      <c r="J1340" s="8"/>
      <c r="K1340" s="8"/>
      <c r="L1340" s="8"/>
      <c r="M1340" s="8"/>
      <c r="N1340" s="8"/>
      <c r="O1340" s="8"/>
      <c r="P1340" s="8"/>
      <c r="Q1340" s="8"/>
    </row>
    <row r="1341" ht="13.65" customHeight="1">
      <c r="A1341" s="8"/>
      <c r="B1341" s="8"/>
      <c r="C1341" s="8"/>
      <c r="D1341" s="8"/>
      <c r="E1341" s="8"/>
      <c r="F1341" s="8"/>
      <c r="G1341" s="8"/>
      <c r="H1341" s="8"/>
      <c r="I1341" s="8"/>
      <c r="J1341" s="8"/>
      <c r="K1341" s="8"/>
      <c r="L1341" s="8"/>
      <c r="M1341" s="8"/>
      <c r="N1341" s="8"/>
      <c r="O1341" s="8"/>
      <c r="P1341" s="8"/>
      <c r="Q1341" s="8"/>
    </row>
    <row r="1342" ht="13.65" customHeight="1">
      <c r="A1342" s="8"/>
      <c r="B1342" s="8"/>
      <c r="C1342" s="8"/>
      <c r="D1342" s="8"/>
      <c r="E1342" s="8"/>
      <c r="F1342" s="8"/>
      <c r="G1342" s="8"/>
      <c r="H1342" s="8"/>
      <c r="I1342" s="8"/>
      <c r="J1342" s="8"/>
      <c r="K1342" s="8"/>
      <c r="L1342" s="8"/>
      <c r="M1342" s="8"/>
      <c r="N1342" s="8"/>
      <c r="O1342" s="8"/>
      <c r="P1342" s="8"/>
      <c r="Q1342" s="8"/>
    </row>
    <row r="1343" ht="13.65" customHeight="1">
      <c r="A1343" s="8"/>
      <c r="B1343" s="8"/>
      <c r="C1343" s="8"/>
      <c r="D1343" s="8"/>
      <c r="E1343" s="8"/>
      <c r="F1343" s="8"/>
      <c r="G1343" s="8"/>
      <c r="H1343" s="8"/>
      <c r="I1343" s="8"/>
      <c r="J1343" s="8"/>
      <c r="K1343" s="8"/>
      <c r="L1343" s="8"/>
      <c r="M1343" s="8"/>
      <c r="N1343" s="8"/>
      <c r="O1343" s="8"/>
      <c r="P1343" s="8"/>
      <c r="Q1343" s="8"/>
    </row>
    <row r="1344" ht="13.65" customHeight="1">
      <c r="A1344" s="8"/>
      <c r="B1344" s="8"/>
      <c r="C1344" s="8"/>
      <c r="D1344" s="8"/>
      <c r="E1344" s="8"/>
      <c r="F1344" s="8"/>
      <c r="G1344" s="8"/>
      <c r="H1344" s="8"/>
      <c r="I1344" s="8"/>
      <c r="J1344" s="8"/>
      <c r="K1344" s="8"/>
      <c r="L1344" s="8"/>
      <c r="M1344" s="8"/>
      <c r="N1344" s="8"/>
      <c r="O1344" s="8"/>
      <c r="P1344" s="8"/>
      <c r="Q1344" s="8"/>
    </row>
    <row r="1345" ht="13.65" customHeight="1">
      <c r="A1345" s="8"/>
      <c r="B1345" s="8"/>
      <c r="C1345" s="8"/>
      <c r="D1345" s="8"/>
      <c r="E1345" s="8"/>
      <c r="F1345" s="8"/>
      <c r="G1345" s="8"/>
      <c r="H1345" s="8"/>
      <c r="I1345" s="8"/>
      <c r="J1345" s="8"/>
      <c r="K1345" s="8"/>
      <c r="L1345" s="8"/>
      <c r="M1345" s="8"/>
      <c r="N1345" s="8"/>
      <c r="O1345" s="8"/>
      <c r="P1345" s="8"/>
      <c r="Q1345" s="8"/>
    </row>
    <row r="1346" ht="13.65" customHeight="1">
      <c r="A1346" s="8"/>
      <c r="B1346" s="8"/>
      <c r="C1346" s="8"/>
      <c r="D1346" s="8"/>
      <c r="E1346" s="8"/>
      <c r="F1346" s="8"/>
      <c r="G1346" s="8"/>
      <c r="H1346" s="8"/>
      <c r="I1346" s="8"/>
      <c r="J1346" s="8"/>
      <c r="K1346" s="8"/>
      <c r="L1346" s="8"/>
      <c r="M1346" s="8"/>
      <c r="N1346" s="8"/>
      <c r="O1346" s="8"/>
      <c r="P1346" s="8"/>
      <c r="Q1346" s="8"/>
    </row>
    <row r="1347" ht="13.65" customHeight="1">
      <c r="A1347" s="8"/>
      <c r="B1347" s="8"/>
      <c r="C1347" s="8"/>
      <c r="D1347" s="8"/>
      <c r="E1347" s="8"/>
      <c r="F1347" s="8"/>
      <c r="G1347" s="8"/>
      <c r="H1347" s="8"/>
      <c r="I1347" s="8"/>
      <c r="J1347" s="8"/>
      <c r="K1347" s="8"/>
      <c r="L1347" s="8"/>
      <c r="M1347" s="8"/>
      <c r="N1347" s="8"/>
      <c r="O1347" s="8"/>
      <c r="P1347" s="8"/>
      <c r="Q1347" s="8"/>
    </row>
    <row r="1348" ht="13.65" customHeight="1">
      <c r="A1348" s="8"/>
      <c r="B1348" s="8"/>
      <c r="C1348" s="8"/>
      <c r="D1348" s="8"/>
      <c r="E1348" s="8"/>
      <c r="F1348" s="8"/>
      <c r="G1348" s="8"/>
      <c r="H1348" s="8"/>
      <c r="I1348" s="8"/>
      <c r="J1348" s="8"/>
      <c r="K1348" s="8"/>
      <c r="L1348" s="8"/>
      <c r="M1348" s="8"/>
      <c r="N1348" s="8"/>
      <c r="O1348" s="8"/>
      <c r="P1348" s="8"/>
      <c r="Q1348" s="8"/>
    </row>
    <row r="1349" ht="13.65" customHeight="1">
      <c r="A1349" s="8"/>
      <c r="B1349" s="8"/>
      <c r="C1349" s="8"/>
      <c r="D1349" s="8"/>
      <c r="E1349" s="8"/>
      <c r="F1349" s="8"/>
      <c r="G1349" s="8"/>
      <c r="H1349" s="8"/>
      <c r="I1349" s="8"/>
      <c r="J1349" s="8"/>
      <c r="K1349" s="8"/>
      <c r="L1349" s="8"/>
      <c r="M1349" s="8"/>
      <c r="N1349" s="8"/>
      <c r="O1349" s="8"/>
      <c r="P1349" s="8"/>
      <c r="Q1349" s="8"/>
    </row>
    <row r="1350" ht="13.65" customHeight="1">
      <c r="A1350" s="8"/>
      <c r="B1350" s="8"/>
      <c r="C1350" s="8"/>
      <c r="D1350" s="8"/>
      <c r="E1350" s="8"/>
      <c r="F1350" s="8"/>
      <c r="G1350" s="8"/>
      <c r="H1350" s="8"/>
      <c r="I1350" s="8"/>
      <c r="J1350" s="8"/>
      <c r="K1350" s="8"/>
      <c r="L1350" s="8"/>
      <c r="M1350" s="8"/>
      <c r="N1350" s="8"/>
      <c r="O1350" s="8"/>
      <c r="P1350" s="8"/>
      <c r="Q1350" s="8"/>
    </row>
    <row r="1351" ht="13.65" customHeight="1">
      <c r="A1351" s="8"/>
      <c r="B1351" s="8"/>
      <c r="C1351" s="8"/>
      <c r="D1351" s="8"/>
      <c r="E1351" s="8"/>
      <c r="F1351" s="8"/>
      <c r="G1351" s="8"/>
      <c r="H1351" s="8"/>
      <c r="I1351" s="8"/>
      <c r="J1351" s="8"/>
      <c r="K1351" s="8"/>
      <c r="L1351" s="8"/>
      <c r="M1351" s="8"/>
      <c r="N1351" s="8"/>
      <c r="O1351" s="8"/>
      <c r="P1351" s="8"/>
      <c r="Q1351" s="8"/>
    </row>
    <row r="1352" ht="13.65" customHeight="1">
      <c r="A1352" s="8"/>
      <c r="B1352" s="8"/>
      <c r="C1352" s="8"/>
      <c r="D1352" s="8"/>
      <c r="E1352" s="8"/>
      <c r="F1352" s="8"/>
      <c r="G1352" s="8"/>
      <c r="H1352" s="8"/>
      <c r="I1352" s="8"/>
      <c r="J1352" s="8"/>
      <c r="K1352" s="8"/>
      <c r="L1352" s="8"/>
      <c r="M1352" s="8"/>
      <c r="N1352" s="8"/>
      <c r="O1352" s="8"/>
      <c r="P1352" s="8"/>
      <c r="Q1352" s="8"/>
    </row>
    <row r="1353" ht="13.65" customHeight="1">
      <c r="A1353" s="8"/>
      <c r="B1353" s="8"/>
      <c r="C1353" s="8"/>
      <c r="D1353" s="8"/>
      <c r="E1353" s="8"/>
      <c r="F1353" s="8"/>
      <c r="G1353" s="8"/>
      <c r="H1353" s="8"/>
      <c r="I1353" s="8"/>
      <c r="J1353" s="8"/>
      <c r="K1353" s="8"/>
      <c r="L1353" s="8"/>
      <c r="M1353" s="8"/>
      <c r="N1353" s="8"/>
      <c r="O1353" s="8"/>
      <c r="P1353" s="8"/>
      <c r="Q1353" s="8"/>
    </row>
    <row r="1354" ht="13.65" customHeight="1">
      <c r="A1354" s="8"/>
      <c r="B1354" s="8"/>
      <c r="C1354" s="8"/>
      <c r="D1354" s="8"/>
      <c r="E1354" s="8"/>
      <c r="F1354" s="8"/>
      <c r="G1354" s="8"/>
      <c r="H1354" s="8"/>
      <c r="I1354" s="8"/>
      <c r="J1354" s="8"/>
      <c r="K1354" s="8"/>
      <c r="L1354" s="8"/>
      <c r="M1354" s="8"/>
      <c r="N1354" s="8"/>
      <c r="O1354" s="8"/>
      <c r="P1354" s="8"/>
      <c r="Q1354" s="8"/>
    </row>
    <row r="1355" ht="13.65" customHeight="1">
      <c r="A1355" s="8"/>
      <c r="B1355" s="8"/>
      <c r="C1355" s="8"/>
      <c r="D1355" s="8"/>
      <c r="E1355" s="8"/>
      <c r="F1355" s="8"/>
      <c r="G1355" s="8"/>
      <c r="H1355" s="8"/>
      <c r="I1355" s="8"/>
      <c r="J1355" s="8"/>
      <c r="K1355" s="8"/>
      <c r="L1355" s="8"/>
      <c r="M1355" s="8"/>
      <c r="N1355" s="8"/>
      <c r="O1355" s="8"/>
      <c r="P1355" s="8"/>
      <c r="Q1355" s="8"/>
    </row>
    <row r="1356" ht="13.65" customHeight="1">
      <c r="A1356" s="8"/>
      <c r="B1356" s="8"/>
      <c r="C1356" s="8"/>
      <c r="D1356" s="8"/>
      <c r="E1356" s="8"/>
      <c r="F1356" s="8"/>
      <c r="G1356" s="8"/>
      <c r="H1356" s="8"/>
      <c r="I1356" s="8"/>
      <c r="J1356" s="8"/>
      <c r="K1356" s="8"/>
      <c r="L1356" s="8"/>
      <c r="M1356" s="8"/>
      <c r="N1356" s="8"/>
      <c r="O1356" s="8"/>
      <c r="P1356" s="8"/>
      <c r="Q1356" s="8"/>
    </row>
    <row r="1357" ht="13.65" customHeight="1">
      <c r="A1357" s="8"/>
      <c r="B1357" s="8"/>
      <c r="C1357" s="8"/>
      <c r="D1357" s="8"/>
      <c r="E1357" s="8"/>
      <c r="F1357" s="8"/>
      <c r="G1357" s="8"/>
      <c r="H1357" s="8"/>
      <c r="I1357" s="8"/>
      <c r="J1357" s="8"/>
      <c r="K1357" s="8"/>
      <c r="L1357" s="8"/>
      <c r="M1357" s="8"/>
      <c r="N1357" s="8"/>
      <c r="O1357" s="8"/>
      <c r="P1357" s="8"/>
      <c r="Q1357" s="8"/>
    </row>
    <row r="1358" ht="13.65" customHeight="1">
      <c r="A1358" s="8"/>
      <c r="B1358" s="8"/>
      <c r="C1358" s="8"/>
      <c r="D1358" s="8"/>
      <c r="E1358" s="8"/>
      <c r="F1358" s="8"/>
      <c r="G1358" s="8"/>
      <c r="H1358" s="8"/>
      <c r="I1358" s="8"/>
      <c r="J1358" s="8"/>
      <c r="K1358" s="8"/>
      <c r="L1358" s="8"/>
      <c r="M1358" s="8"/>
      <c r="N1358" s="8"/>
      <c r="O1358" s="8"/>
      <c r="P1358" s="8"/>
      <c r="Q1358" s="8"/>
    </row>
    <row r="1359" ht="13.65" customHeight="1">
      <c r="A1359" s="8"/>
      <c r="B1359" s="8"/>
      <c r="C1359" s="8"/>
      <c r="D1359" s="8"/>
      <c r="E1359" s="8"/>
      <c r="F1359" s="8"/>
      <c r="G1359" s="8"/>
      <c r="H1359" s="8"/>
      <c r="I1359" s="8"/>
      <c r="J1359" s="8"/>
      <c r="K1359" s="8"/>
      <c r="L1359" s="8"/>
      <c r="M1359" s="8"/>
      <c r="N1359" s="8"/>
      <c r="O1359" s="8"/>
      <c r="P1359" s="8"/>
      <c r="Q1359" s="8"/>
    </row>
    <row r="1360" ht="13.65" customHeight="1">
      <c r="A1360" s="8"/>
      <c r="B1360" s="8"/>
      <c r="C1360" s="8"/>
      <c r="D1360" s="8"/>
      <c r="E1360" s="8"/>
      <c r="F1360" s="8"/>
      <c r="G1360" s="8"/>
      <c r="H1360" s="8"/>
      <c r="I1360" s="8"/>
      <c r="J1360" s="8"/>
      <c r="K1360" s="8"/>
      <c r="L1360" s="8"/>
      <c r="M1360" s="8"/>
      <c r="N1360" s="8"/>
      <c r="O1360" s="8"/>
      <c r="P1360" s="8"/>
      <c r="Q1360" s="8"/>
    </row>
    <row r="1361" ht="13.65" customHeight="1">
      <c r="A1361" s="8"/>
      <c r="B1361" s="8"/>
      <c r="C1361" s="8"/>
      <c r="D1361" s="8"/>
      <c r="E1361" s="8"/>
      <c r="F1361" s="8"/>
      <c r="G1361" s="8"/>
      <c r="H1361" s="8"/>
      <c r="I1361" s="8"/>
      <c r="J1361" s="8"/>
      <c r="K1361" s="8"/>
      <c r="L1361" s="8"/>
      <c r="M1361" s="8"/>
      <c r="N1361" s="8"/>
      <c r="O1361" s="8"/>
      <c r="P1361" s="8"/>
      <c r="Q1361" s="8"/>
    </row>
    <row r="1362" ht="13.65" customHeight="1">
      <c r="A1362" s="8"/>
      <c r="B1362" s="8"/>
      <c r="C1362" s="8"/>
      <c r="D1362" s="8"/>
      <c r="E1362" s="8"/>
      <c r="F1362" s="8"/>
      <c r="G1362" s="8"/>
      <c r="H1362" s="8"/>
      <c r="I1362" s="8"/>
      <c r="J1362" s="8"/>
      <c r="K1362" s="8"/>
      <c r="L1362" s="8"/>
      <c r="M1362" s="8"/>
      <c r="N1362" s="8"/>
      <c r="O1362" s="8"/>
      <c r="P1362" s="8"/>
      <c r="Q1362" s="8"/>
    </row>
    <row r="1363" ht="13.65" customHeight="1">
      <c r="A1363" s="8"/>
      <c r="B1363" s="8"/>
      <c r="C1363" s="8"/>
      <c r="D1363" s="8"/>
      <c r="E1363" s="8"/>
      <c r="F1363" s="8"/>
      <c r="G1363" s="8"/>
      <c r="H1363" s="8"/>
      <c r="I1363" s="8"/>
      <c r="J1363" s="8"/>
      <c r="K1363" s="8"/>
      <c r="L1363" s="8"/>
      <c r="M1363" s="8"/>
      <c r="N1363" s="8"/>
      <c r="O1363" s="8"/>
      <c r="P1363" s="8"/>
      <c r="Q1363" s="8"/>
    </row>
    <row r="1364" ht="13.65" customHeight="1">
      <c r="A1364" s="8"/>
      <c r="B1364" s="8"/>
      <c r="C1364" s="8"/>
      <c r="D1364" s="8"/>
      <c r="E1364" s="8"/>
      <c r="F1364" s="8"/>
      <c r="G1364" s="8"/>
      <c r="H1364" s="8"/>
      <c r="I1364" s="8"/>
      <c r="J1364" s="8"/>
      <c r="K1364" s="8"/>
      <c r="L1364" s="8"/>
      <c r="M1364" s="8"/>
      <c r="N1364" s="8"/>
      <c r="O1364" s="8"/>
      <c r="P1364" s="8"/>
      <c r="Q1364" s="8"/>
    </row>
    <row r="1365" ht="13.65" customHeight="1">
      <c r="A1365" s="8"/>
      <c r="B1365" s="8"/>
      <c r="C1365" s="8"/>
      <c r="D1365" s="8"/>
      <c r="E1365" s="8"/>
      <c r="F1365" s="8"/>
      <c r="G1365" s="8"/>
      <c r="H1365" s="8"/>
      <c r="I1365" s="8"/>
      <c r="J1365" s="8"/>
      <c r="K1365" s="8"/>
      <c r="L1365" s="8"/>
      <c r="M1365" s="8"/>
      <c r="N1365" s="8"/>
      <c r="O1365" s="8"/>
      <c r="P1365" s="8"/>
      <c r="Q1365" s="8"/>
    </row>
    <row r="1366" ht="13.65" customHeight="1">
      <c r="A1366" s="8"/>
      <c r="B1366" s="8"/>
      <c r="C1366" s="8"/>
      <c r="D1366" s="8"/>
      <c r="E1366" s="8"/>
      <c r="F1366" s="8"/>
      <c r="G1366" s="8"/>
      <c r="H1366" s="8"/>
      <c r="I1366" s="8"/>
      <c r="J1366" s="8"/>
      <c r="K1366" s="8"/>
      <c r="L1366" s="8"/>
      <c r="M1366" s="8"/>
      <c r="N1366" s="8"/>
      <c r="O1366" s="8"/>
      <c r="P1366" s="8"/>
      <c r="Q1366" s="8"/>
    </row>
    <row r="1367" ht="13.65" customHeight="1">
      <c r="A1367" s="8"/>
      <c r="B1367" s="8"/>
      <c r="C1367" s="8"/>
      <c r="D1367" s="8"/>
      <c r="E1367" s="8"/>
      <c r="F1367" s="8"/>
      <c r="G1367" s="8"/>
      <c r="H1367" s="8"/>
      <c r="I1367" s="8"/>
      <c r="J1367" s="8"/>
      <c r="K1367" s="8"/>
      <c r="L1367" s="8"/>
      <c r="M1367" s="8"/>
      <c r="N1367" s="8"/>
      <c r="O1367" s="8"/>
      <c r="P1367" s="8"/>
      <c r="Q1367" s="8"/>
    </row>
    <row r="1368" ht="13.65" customHeight="1">
      <c r="A1368" s="8"/>
      <c r="B1368" s="8"/>
      <c r="C1368" s="8"/>
      <c r="D1368" s="8"/>
      <c r="E1368" s="8"/>
      <c r="F1368" s="8"/>
      <c r="G1368" s="8"/>
      <c r="H1368" s="8"/>
      <c r="I1368" s="8"/>
      <c r="J1368" s="8"/>
      <c r="K1368" s="8"/>
      <c r="L1368" s="8"/>
      <c r="M1368" s="8"/>
      <c r="N1368" s="8"/>
      <c r="O1368" s="8"/>
      <c r="P1368" s="8"/>
      <c r="Q1368" s="8"/>
    </row>
    <row r="1369" ht="13.65" customHeight="1">
      <c r="A1369" s="8"/>
      <c r="B1369" s="8"/>
      <c r="C1369" s="8"/>
      <c r="D1369" s="8"/>
      <c r="E1369" s="8"/>
      <c r="F1369" s="8"/>
      <c r="G1369" s="8"/>
      <c r="H1369" s="8"/>
      <c r="I1369" s="8"/>
      <c r="J1369" s="8"/>
      <c r="K1369" s="8"/>
      <c r="L1369" s="8"/>
      <c r="M1369" s="8"/>
      <c r="N1369" s="8"/>
      <c r="O1369" s="8"/>
      <c r="P1369" s="8"/>
      <c r="Q1369" s="8"/>
    </row>
    <row r="1370" ht="13.65" customHeight="1">
      <c r="A1370" s="8"/>
      <c r="B1370" s="8"/>
      <c r="C1370" s="8"/>
      <c r="D1370" s="8"/>
      <c r="E1370" s="8"/>
      <c r="F1370" s="8"/>
      <c r="G1370" s="8"/>
      <c r="H1370" s="8"/>
      <c r="I1370" s="8"/>
      <c r="J1370" s="8"/>
      <c r="K1370" s="8"/>
      <c r="L1370" s="8"/>
      <c r="M1370" s="8"/>
      <c r="N1370" s="8"/>
      <c r="O1370" s="8"/>
      <c r="P1370" s="8"/>
      <c r="Q1370" s="8"/>
    </row>
    <row r="1371" ht="13.65" customHeight="1">
      <c r="A1371" s="8"/>
      <c r="B1371" s="8"/>
      <c r="C1371" s="8"/>
      <c r="D1371" s="8"/>
      <c r="E1371" s="8"/>
      <c r="F1371" s="8"/>
      <c r="G1371" s="8"/>
      <c r="H1371" s="8"/>
      <c r="I1371" s="8"/>
      <c r="J1371" s="8"/>
      <c r="K1371" s="8"/>
      <c r="L1371" s="8"/>
      <c r="M1371" s="8"/>
      <c r="N1371" s="8"/>
      <c r="O1371" s="8"/>
      <c r="P1371" s="8"/>
      <c r="Q1371" s="8"/>
    </row>
    <row r="1372" ht="13.65" customHeight="1">
      <c r="A1372" s="8"/>
      <c r="B1372" s="8"/>
      <c r="C1372" s="8"/>
      <c r="D1372" s="8"/>
      <c r="E1372" s="8"/>
      <c r="F1372" s="8"/>
      <c r="G1372" s="8"/>
      <c r="H1372" s="8"/>
      <c r="I1372" s="8"/>
      <c r="J1372" s="8"/>
      <c r="K1372" s="8"/>
      <c r="L1372" s="8"/>
      <c r="M1372" s="8"/>
      <c r="N1372" s="8"/>
      <c r="O1372" s="8"/>
      <c r="P1372" s="8"/>
      <c r="Q1372" s="8"/>
    </row>
    <row r="1373" ht="13.65" customHeight="1">
      <c r="A1373" s="8"/>
      <c r="B1373" s="8"/>
      <c r="C1373" s="8"/>
      <c r="D1373" s="8"/>
      <c r="E1373" s="8"/>
      <c r="F1373" s="8"/>
      <c r="G1373" s="8"/>
      <c r="H1373" s="8"/>
      <c r="I1373" s="8"/>
      <c r="J1373" s="8"/>
      <c r="K1373" s="8"/>
      <c r="L1373" s="8"/>
      <c r="M1373" s="8"/>
      <c r="N1373" s="8"/>
      <c r="O1373" s="8"/>
      <c r="P1373" s="8"/>
      <c r="Q1373" s="8"/>
    </row>
    <row r="1374" ht="13.65" customHeight="1">
      <c r="A1374" s="8"/>
      <c r="B1374" s="8"/>
      <c r="C1374" s="8"/>
      <c r="D1374" s="8"/>
      <c r="E1374" s="8"/>
      <c r="F1374" s="8"/>
      <c r="G1374" s="8"/>
      <c r="H1374" s="8"/>
      <c r="I1374" s="8"/>
      <c r="J1374" s="8"/>
      <c r="K1374" s="8"/>
      <c r="L1374" s="8"/>
      <c r="M1374" s="8"/>
      <c r="N1374" s="8"/>
      <c r="O1374" s="8"/>
      <c r="P1374" s="8"/>
      <c r="Q1374" s="8"/>
    </row>
    <row r="1375" ht="13.65" customHeight="1">
      <c r="A1375" s="8"/>
      <c r="B1375" s="8"/>
      <c r="C1375" s="8"/>
      <c r="D1375" s="8"/>
      <c r="E1375" s="8"/>
      <c r="F1375" s="8"/>
      <c r="G1375" s="8"/>
      <c r="H1375" s="8"/>
      <c r="I1375" s="8"/>
      <c r="J1375" s="8"/>
      <c r="K1375" s="8"/>
      <c r="L1375" s="8"/>
      <c r="M1375" s="8"/>
      <c r="N1375" s="8"/>
      <c r="O1375" s="8"/>
      <c r="P1375" s="8"/>
      <c r="Q1375" s="8"/>
    </row>
    <row r="1376" ht="13.65" customHeight="1">
      <c r="A1376" s="8"/>
      <c r="B1376" s="8"/>
      <c r="C1376" s="8"/>
      <c r="D1376" s="8"/>
      <c r="E1376" s="8"/>
      <c r="F1376" s="8"/>
      <c r="G1376" s="8"/>
      <c r="H1376" s="8"/>
      <c r="I1376" s="8"/>
      <c r="J1376" s="8"/>
      <c r="K1376" s="8"/>
      <c r="L1376" s="8"/>
      <c r="M1376" s="8"/>
      <c r="N1376" s="8"/>
      <c r="O1376" s="8"/>
      <c r="P1376" s="8"/>
      <c r="Q1376" s="8"/>
    </row>
    <row r="1377" ht="13.65" customHeight="1">
      <c r="A1377" s="8"/>
      <c r="B1377" s="8"/>
      <c r="C1377" s="8"/>
      <c r="D1377" s="8"/>
      <c r="E1377" s="8"/>
      <c r="F1377" s="8"/>
      <c r="G1377" s="8"/>
      <c r="H1377" s="8"/>
      <c r="I1377" s="8"/>
      <c r="J1377" s="8"/>
      <c r="K1377" s="8"/>
      <c r="L1377" s="8"/>
      <c r="M1377" s="8"/>
      <c r="N1377" s="8"/>
      <c r="O1377" s="8"/>
      <c r="P1377" s="8"/>
      <c r="Q1377" s="8"/>
    </row>
    <row r="1378" ht="13.65" customHeight="1">
      <c r="A1378" s="8"/>
      <c r="B1378" s="8"/>
      <c r="C1378" s="8"/>
      <c r="D1378" s="8"/>
      <c r="E1378" s="8"/>
      <c r="F1378" s="8"/>
      <c r="G1378" s="8"/>
      <c r="H1378" s="8"/>
      <c r="I1378" s="8"/>
      <c r="J1378" s="8"/>
      <c r="K1378" s="8"/>
      <c r="L1378" s="8"/>
      <c r="M1378" s="8"/>
      <c r="N1378" s="8"/>
      <c r="O1378" s="8"/>
      <c r="P1378" s="8"/>
      <c r="Q1378" s="8"/>
    </row>
    <row r="1379" ht="13.65" customHeight="1">
      <c r="A1379" s="8"/>
      <c r="B1379" s="8"/>
      <c r="C1379" s="8"/>
      <c r="D1379" s="8"/>
      <c r="E1379" s="8"/>
      <c r="F1379" s="8"/>
      <c r="G1379" s="8"/>
      <c r="H1379" s="8"/>
      <c r="I1379" s="8"/>
      <c r="J1379" s="8"/>
      <c r="K1379" s="8"/>
      <c r="L1379" s="8"/>
      <c r="M1379" s="8"/>
      <c r="N1379" s="8"/>
      <c r="O1379" s="8"/>
      <c r="P1379" s="8"/>
      <c r="Q1379" s="8"/>
    </row>
    <row r="1380" ht="13.65" customHeight="1">
      <c r="A1380" s="8"/>
      <c r="B1380" s="8"/>
      <c r="C1380" s="8"/>
      <c r="D1380" s="8"/>
      <c r="E1380" s="8"/>
      <c r="F1380" s="8"/>
      <c r="G1380" s="8"/>
      <c r="H1380" s="8"/>
      <c r="I1380" s="8"/>
      <c r="J1380" s="8"/>
      <c r="K1380" s="8"/>
      <c r="L1380" s="8"/>
      <c r="M1380" s="8"/>
      <c r="N1380" s="8"/>
      <c r="O1380" s="8"/>
      <c r="P1380" s="8"/>
      <c r="Q1380" s="8"/>
    </row>
    <row r="1381" ht="13.65" customHeight="1">
      <c r="A1381" s="8"/>
      <c r="B1381" s="8"/>
      <c r="C1381" s="8"/>
      <c r="D1381" s="8"/>
      <c r="E1381" s="8"/>
      <c r="F1381" s="8"/>
      <c r="G1381" s="8"/>
      <c r="H1381" s="8"/>
      <c r="I1381" s="8"/>
      <c r="J1381" s="8"/>
      <c r="K1381" s="8"/>
      <c r="L1381" s="8"/>
      <c r="M1381" s="8"/>
      <c r="N1381" s="8"/>
      <c r="O1381" s="8"/>
      <c r="P1381" s="8"/>
      <c r="Q1381" s="8"/>
    </row>
    <row r="1382" ht="13.65" customHeight="1">
      <c r="A1382" s="8"/>
      <c r="B1382" s="8"/>
      <c r="C1382" s="8"/>
      <c r="D1382" s="8"/>
      <c r="E1382" s="8"/>
      <c r="F1382" s="8"/>
      <c r="G1382" s="8"/>
      <c r="H1382" s="8"/>
      <c r="I1382" s="8"/>
      <c r="J1382" s="8"/>
      <c r="K1382" s="8"/>
      <c r="L1382" s="8"/>
      <c r="M1382" s="8"/>
      <c r="N1382" s="8"/>
      <c r="O1382" s="8"/>
      <c r="P1382" s="8"/>
      <c r="Q1382" s="8"/>
    </row>
    <row r="1383" ht="13.65" customHeight="1">
      <c r="A1383" s="8"/>
      <c r="B1383" s="8"/>
      <c r="C1383" s="8"/>
      <c r="D1383" s="8"/>
      <c r="E1383" s="8"/>
      <c r="F1383" s="8"/>
      <c r="G1383" s="8"/>
      <c r="H1383" s="8"/>
      <c r="I1383" s="8"/>
      <c r="J1383" s="8"/>
      <c r="K1383" s="8"/>
      <c r="L1383" s="8"/>
      <c r="M1383" s="8"/>
      <c r="N1383" s="8"/>
      <c r="O1383" s="8"/>
      <c r="P1383" s="8"/>
      <c r="Q1383" s="8"/>
    </row>
    <row r="1384" ht="13.65" customHeight="1">
      <c r="A1384" s="8"/>
      <c r="B1384" s="8"/>
      <c r="C1384" s="8"/>
      <c r="D1384" s="8"/>
      <c r="E1384" s="8"/>
      <c r="F1384" s="8"/>
      <c r="G1384" s="8"/>
      <c r="H1384" s="8"/>
      <c r="I1384" s="8"/>
      <c r="J1384" s="8"/>
      <c r="K1384" s="8"/>
      <c r="L1384" s="8"/>
      <c r="M1384" s="8"/>
      <c r="N1384" s="8"/>
      <c r="O1384" s="8"/>
      <c r="P1384" s="8"/>
      <c r="Q1384" s="8"/>
    </row>
    <row r="1385" ht="13.65" customHeight="1">
      <c r="A1385" s="8"/>
      <c r="B1385" s="8"/>
      <c r="C1385" s="8"/>
      <c r="D1385" s="8"/>
      <c r="E1385" s="8"/>
      <c r="F1385" s="8"/>
      <c r="G1385" s="8"/>
      <c r="H1385" s="8"/>
      <c r="I1385" s="8"/>
      <c r="J1385" s="8"/>
      <c r="K1385" s="8"/>
      <c r="L1385" s="8"/>
      <c r="M1385" s="8"/>
      <c r="N1385" s="8"/>
      <c r="O1385" s="8"/>
      <c r="P1385" s="8"/>
      <c r="Q1385" s="8"/>
    </row>
    <row r="1386" ht="13.65" customHeight="1">
      <c r="A1386" s="8"/>
      <c r="B1386" s="8"/>
      <c r="C1386" s="8"/>
      <c r="D1386" s="8"/>
      <c r="E1386" s="8"/>
      <c r="F1386" s="8"/>
      <c r="G1386" s="8"/>
      <c r="H1386" s="8"/>
      <c r="I1386" s="8"/>
      <c r="J1386" s="8"/>
      <c r="K1386" s="8"/>
      <c r="L1386" s="8"/>
      <c r="M1386" s="8"/>
      <c r="N1386" s="8"/>
      <c r="O1386" s="8"/>
      <c r="P1386" s="8"/>
      <c r="Q1386" s="8"/>
    </row>
    <row r="1387" ht="13.65" customHeight="1">
      <c r="A1387" s="8"/>
      <c r="B1387" s="8"/>
      <c r="C1387" s="8"/>
      <c r="D1387" s="8"/>
      <c r="E1387" s="8"/>
      <c r="F1387" s="8"/>
      <c r="G1387" s="8"/>
      <c r="H1387" s="8"/>
      <c r="I1387" s="8"/>
      <c r="J1387" s="8"/>
      <c r="K1387" s="8"/>
      <c r="L1387" s="8"/>
      <c r="M1387" s="8"/>
      <c r="N1387" s="8"/>
      <c r="O1387" s="8"/>
      <c r="P1387" s="8"/>
      <c r="Q1387" s="8"/>
    </row>
    <row r="1388" ht="13.65" customHeight="1">
      <c r="A1388" s="8"/>
      <c r="B1388" s="8"/>
      <c r="C1388" s="8"/>
      <c r="D1388" s="8"/>
      <c r="E1388" s="8"/>
      <c r="F1388" s="8"/>
      <c r="G1388" s="8"/>
      <c r="H1388" s="8"/>
      <c r="I1388" s="8"/>
      <c r="J1388" s="8"/>
      <c r="K1388" s="8"/>
      <c r="L1388" s="8"/>
      <c r="M1388" s="8"/>
      <c r="N1388" s="8"/>
      <c r="O1388" s="8"/>
      <c r="P1388" s="8"/>
      <c r="Q1388" s="8"/>
    </row>
    <row r="1389" ht="13.65" customHeight="1">
      <c r="A1389" s="8"/>
      <c r="B1389" s="8"/>
      <c r="C1389" s="8"/>
      <c r="D1389" s="8"/>
      <c r="E1389" s="8"/>
      <c r="F1389" s="8"/>
      <c r="G1389" s="8"/>
      <c r="H1389" s="8"/>
      <c r="I1389" s="8"/>
      <c r="J1389" s="8"/>
      <c r="K1389" s="8"/>
      <c r="L1389" s="8"/>
      <c r="M1389" s="8"/>
      <c r="N1389" s="8"/>
      <c r="O1389" s="8"/>
      <c r="P1389" s="8"/>
      <c r="Q1389" s="8"/>
    </row>
    <row r="1390" ht="13.65" customHeight="1">
      <c r="A1390" s="8"/>
      <c r="B1390" s="8"/>
      <c r="C1390" s="8"/>
      <c r="D1390" s="8"/>
      <c r="E1390" s="8"/>
      <c r="F1390" s="8"/>
      <c r="G1390" s="8"/>
      <c r="H1390" s="8"/>
      <c r="I1390" s="8"/>
      <c r="J1390" s="8"/>
      <c r="K1390" s="8"/>
      <c r="L1390" s="8"/>
      <c r="M1390" s="8"/>
      <c r="N1390" s="8"/>
      <c r="O1390" s="8"/>
      <c r="P1390" s="8"/>
      <c r="Q1390" s="8"/>
    </row>
    <row r="1391" ht="13.65" customHeight="1">
      <c r="A1391" s="8"/>
      <c r="B1391" s="8"/>
      <c r="C1391" s="8"/>
      <c r="D1391" s="8"/>
      <c r="E1391" s="8"/>
      <c r="F1391" s="8"/>
      <c r="G1391" s="8"/>
      <c r="H1391" s="8"/>
      <c r="I1391" s="8"/>
      <c r="J1391" s="8"/>
      <c r="K1391" s="8"/>
      <c r="L1391" s="8"/>
      <c r="M1391" s="8"/>
      <c r="N1391" s="8"/>
      <c r="O1391" s="8"/>
      <c r="P1391" s="8"/>
      <c r="Q1391" s="8"/>
    </row>
    <row r="1392" ht="13.65" customHeight="1">
      <c r="A1392" s="8"/>
      <c r="B1392" s="8"/>
      <c r="C1392" s="8"/>
      <c r="D1392" s="8"/>
      <c r="E1392" s="8"/>
      <c r="F1392" s="8"/>
      <c r="G1392" s="8"/>
      <c r="H1392" s="8"/>
      <c r="I1392" s="8"/>
      <c r="J1392" s="8"/>
      <c r="K1392" s="8"/>
      <c r="L1392" s="8"/>
      <c r="M1392" s="8"/>
      <c r="N1392" s="8"/>
      <c r="O1392" s="8"/>
      <c r="P1392" s="8"/>
      <c r="Q1392" s="8"/>
    </row>
    <row r="1393" ht="13.65" customHeight="1">
      <c r="A1393" s="8"/>
      <c r="B1393" s="8"/>
      <c r="C1393" s="8"/>
      <c r="D1393" s="8"/>
      <c r="E1393" s="8"/>
      <c r="F1393" s="8"/>
      <c r="G1393" s="8"/>
      <c r="H1393" s="8"/>
      <c r="I1393" s="8"/>
      <c r="J1393" s="8"/>
      <c r="K1393" s="8"/>
      <c r="L1393" s="8"/>
      <c r="M1393" s="8"/>
      <c r="N1393" s="8"/>
      <c r="O1393" s="8"/>
      <c r="P1393" s="8"/>
      <c r="Q1393" s="8"/>
    </row>
    <row r="1394" ht="13.65" customHeight="1">
      <c r="A1394" s="8"/>
      <c r="B1394" s="8"/>
      <c r="C1394" s="8"/>
      <c r="D1394" s="8"/>
      <c r="E1394" s="8"/>
      <c r="F1394" s="8"/>
      <c r="G1394" s="8"/>
      <c r="H1394" s="8"/>
      <c r="I1394" s="8"/>
      <c r="J1394" s="8"/>
      <c r="K1394" s="8"/>
      <c r="L1394" s="8"/>
      <c r="M1394" s="8"/>
      <c r="N1394" s="8"/>
      <c r="O1394" s="8"/>
      <c r="P1394" s="8"/>
      <c r="Q1394" s="8"/>
    </row>
    <row r="1395" ht="13.65" customHeight="1">
      <c r="A1395" s="8"/>
      <c r="B1395" s="8"/>
      <c r="C1395" s="8"/>
      <c r="D1395" s="8"/>
      <c r="E1395" s="8"/>
      <c r="F1395" s="8"/>
      <c r="G1395" s="8"/>
      <c r="H1395" s="8"/>
      <c r="I1395" s="8"/>
      <c r="J1395" s="8"/>
      <c r="K1395" s="8"/>
      <c r="L1395" s="8"/>
      <c r="M1395" s="8"/>
      <c r="N1395" s="8"/>
      <c r="O1395" s="8"/>
      <c r="P1395" s="8"/>
      <c r="Q1395" s="8"/>
    </row>
    <row r="1396" ht="13.65" customHeight="1">
      <c r="A1396" s="8"/>
      <c r="B1396" s="8"/>
      <c r="C1396" s="8"/>
      <c r="D1396" s="8"/>
      <c r="E1396" s="8"/>
      <c r="F1396" s="8"/>
      <c r="G1396" s="8"/>
      <c r="H1396" s="8"/>
      <c r="I1396" s="8"/>
      <c r="J1396" s="8"/>
      <c r="K1396" s="8"/>
      <c r="L1396" s="8"/>
      <c r="M1396" s="8"/>
      <c r="N1396" s="8"/>
      <c r="O1396" s="8"/>
      <c r="P1396" s="8"/>
      <c r="Q1396" s="8"/>
    </row>
    <row r="1397" ht="13.65" customHeight="1">
      <c r="A1397" s="8"/>
      <c r="B1397" s="8"/>
      <c r="C1397" s="8"/>
      <c r="D1397" s="8"/>
      <c r="E1397" s="8"/>
      <c r="F1397" s="8"/>
      <c r="G1397" s="8"/>
      <c r="H1397" s="8"/>
      <c r="I1397" s="8"/>
      <c r="J1397" s="8"/>
      <c r="K1397" s="8"/>
      <c r="L1397" s="8"/>
      <c r="M1397" s="8"/>
      <c r="N1397" s="8"/>
      <c r="O1397" s="8"/>
      <c r="P1397" s="8"/>
      <c r="Q1397" s="8"/>
    </row>
    <row r="1398" ht="13.65" customHeight="1">
      <c r="A1398" s="8"/>
      <c r="B1398" s="8"/>
      <c r="C1398" s="8"/>
      <c r="D1398" s="8"/>
      <c r="E1398" s="8"/>
      <c r="F1398" s="8"/>
      <c r="G1398" s="8"/>
      <c r="H1398" s="8"/>
      <c r="I1398" s="8"/>
      <c r="J1398" s="8"/>
      <c r="K1398" s="8"/>
      <c r="L1398" s="8"/>
      <c r="M1398" s="8"/>
      <c r="N1398" s="8"/>
      <c r="O1398" s="8"/>
      <c r="P1398" s="8"/>
      <c r="Q1398" s="8"/>
    </row>
    <row r="1399" ht="13.65" customHeight="1">
      <c r="A1399" s="8"/>
      <c r="B1399" s="8"/>
      <c r="C1399" s="8"/>
      <c r="D1399" s="8"/>
      <c r="E1399" s="8"/>
      <c r="F1399" s="8"/>
      <c r="G1399" s="8"/>
      <c r="H1399" s="8"/>
      <c r="I1399" s="8"/>
      <c r="J1399" s="8"/>
      <c r="K1399" s="8"/>
      <c r="L1399" s="8"/>
      <c r="M1399" s="8"/>
      <c r="N1399" s="8"/>
      <c r="O1399" s="8"/>
      <c r="P1399" s="8"/>
      <c r="Q1399" s="8"/>
    </row>
    <row r="1400" ht="13.65" customHeight="1">
      <c r="A1400" s="8"/>
      <c r="B1400" s="8"/>
      <c r="C1400" s="8"/>
      <c r="D1400" s="8"/>
      <c r="E1400" s="8"/>
      <c r="F1400" s="8"/>
      <c r="G1400" s="8"/>
      <c r="H1400" s="8"/>
      <c r="I1400" s="8"/>
      <c r="J1400" s="8"/>
      <c r="K1400" s="8"/>
      <c r="L1400" s="8"/>
      <c r="M1400" s="8"/>
      <c r="N1400" s="8"/>
      <c r="O1400" s="8"/>
      <c r="P1400" s="8"/>
      <c r="Q1400" s="8"/>
    </row>
    <row r="1401" ht="13.65" customHeight="1">
      <c r="A1401" s="8"/>
      <c r="B1401" s="8"/>
      <c r="C1401" s="8"/>
      <c r="D1401" s="8"/>
      <c r="E1401" s="8"/>
      <c r="F1401" s="8"/>
      <c r="G1401" s="8"/>
      <c r="H1401" s="8"/>
      <c r="I1401" s="8"/>
      <c r="J1401" s="8"/>
      <c r="K1401" s="8"/>
      <c r="L1401" s="8"/>
      <c r="M1401" s="8"/>
      <c r="N1401" s="8"/>
      <c r="O1401" s="8"/>
      <c r="P1401" s="8"/>
      <c r="Q1401" s="8"/>
    </row>
    <row r="1402" ht="13.65" customHeight="1">
      <c r="A1402" s="8"/>
      <c r="B1402" s="8"/>
      <c r="C1402" s="8"/>
      <c r="D1402" s="8"/>
      <c r="E1402" s="8"/>
      <c r="F1402" s="8"/>
      <c r="G1402" s="8"/>
      <c r="H1402" s="8"/>
      <c r="I1402" s="8"/>
      <c r="J1402" s="8"/>
      <c r="K1402" s="8"/>
      <c r="L1402" s="8"/>
      <c r="M1402" s="8"/>
      <c r="N1402" s="8"/>
      <c r="O1402" s="8"/>
      <c r="P1402" s="8"/>
      <c r="Q1402" s="8"/>
    </row>
    <row r="1403" ht="13.65" customHeight="1">
      <c r="A1403" s="8"/>
      <c r="B1403" s="8"/>
      <c r="C1403" s="8"/>
      <c r="D1403" s="8"/>
      <c r="E1403" s="8"/>
      <c r="F1403" s="8"/>
      <c r="G1403" s="8"/>
      <c r="H1403" s="8"/>
      <c r="I1403" s="8"/>
      <c r="J1403" s="8"/>
      <c r="K1403" s="8"/>
      <c r="L1403" s="8"/>
      <c r="M1403" s="8"/>
      <c r="N1403" s="8"/>
      <c r="O1403" s="8"/>
      <c r="P1403" s="8"/>
      <c r="Q1403" s="8"/>
    </row>
    <row r="1404" ht="13.65" customHeight="1">
      <c r="A1404" s="8"/>
      <c r="B1404" s="8"/>
      <c r="C1404" s="8"/>
      <c r="D1404" s="8"/>
      <c r="E1404" s="8"/>
      <c r="F1404" s="8"/>
      <c r="G1404" s="8"/>
      <c r="H1404" s="8"/>
      <c r="I1404" s="8"/>
      <c r="J1404" s="8"/>
      <c r="K1404" s="8"/>
      <c r="L1404" s="8"/>
      <c r="M1404" s="8"/>
      <c r="N1404" s="8"/>
      <c r="O1404" s="8"/>
      <c r="P1404" s="8"/>
      <c r="Q1404" s="8"/>
    </row>
    <row r="1405" ht="13.65" customHeight="1">
      <c r="A1405" s="8"/>
      <c r="B1405" s="8"/>
      <c r="C1405" s="8"/>
      <c r="D1405" s="8"/>
      <c r="E1405" s="8"/>
      <c r="F1405" s="8"/>
      <c r="G1405" s="8"/>
      <c r="H1405" s="8"/>
      <c r="I1405" s="8"/>
      <c r="J1405" s="8"/>
      <c r="K1405" s="8"/>
      <c r="L1405" s="8"/>
      <c r="M1405" s="8"/>
      <c r="N1405" s="8"/>
      <c r="O1405" s="8"/>
      <c r="P1405" s="8"/>
      <c r="Q1405" s="8"/>
    </row>
    <row r="1406" ht="13.65" customHeight="1">
      <c r="A1406" s="8"/>
      <c r="B1406" s="8"/>
      <c r="C1406" s="8"/>
      <c r="D1406" s="8"/>
      <c r="E1406" s="8"/>
      <c r="F1406" s="8"/>
      <c r="G1406" s="8"/>
      <c r="H1406" s="8"/>
      <c r="I1406" s="8"/>
      <c r="J1406" s="8"/>
      <c r="K1406" s="8"/>
      <c r="L1406" s="8"/>
      <c r="M1406" s="8"/>
      <c r="N1406" s="8"/>
      <c r="O1406" s="8"/>
      <c r="P1406" s="8"/>
      <c r="Q1406" s="8"/>
    </row>
    <row r="1407" ht="13.65" customHeight="1">
      <c r="A1407" s="8"/>
      <c r="B1407" s="8"/>
      <c r="C1407" s="8"/>
      <c r="D1407" s="8"/>
      <c r="E1407" s="8"/>
      <c r="F1407" s="8"/>
      <c r="G1407" s="8"/>
      <c r="H1407" s="8"/>
      <c r="I1407" s="8"/>
      <c r="J1407" s="8"/>
      <c r="K1407" s="8"/>
      <c r="L1407" s="8"/>
      <c r="M1407" s="8"/>
      <c r="N1407" s="8"/>
      <c r="O1407" s="8"/>
      <c r="P1407" s="8"/>
      <c r="Q1407" s="8"/>
    </row>
    <row r="1408" ht="13.65" customHeight="1">
      <c r="A1408" s="8"/>
      <c r="B1408" s="8"/>
      <c r="C1408" s="8"/>
      <c r="D1408" s="8"/>
      <c r="E1408" s="8"/>
      <c r="F1408" s="8"/>
      <c r="G1408" s="8"/>
      <c r="H1408" s="8"/>
      <c r="I1408" s="8"/>
      <c r="J1408" s="8"/>
      <c r="K1408" s="8"/>
      <c r="L1408" s="8"/>
      <c r="M1408" s="8"/>
      <c r="N1408" s="8"/>
      <c r="O1408" s="8"/>
      <c r="P1408" s="8"/>
      <c r="Q1408" s="8"/>
    </row>
    <row r="1409" ht="13.65" customHeight="1">
      <c r="A1409" s="8"/>
      <c r="B1409" s="8"/>
      <c r="C1409" s="8"/>
      <c r="D1409" s="8"/>
      <c r="E1409" s="8"/>
      <c r="F1409" s="8"/>
      <c r="G1409" s="8"/>
      <c r="H1409" s="8"/>
      <c r="I1409" s="8"/>
      <c r="J1409" s="8"/>
      <c r="K1409" s="8"/>
      <c r="L1409" s="8"/>
      <c r="M1409" s="8"/>
      <c r="N1409" s="8"/>
      <c r="O1409" s="8"/>
      <c r="P1409" s="8"/>
      <c r="Q1409" s="8"/>
    </row>
    <row r="1410" ht="13.65" customHeight="1">
      <c r="A1410" s="8"/>
      <c r="B1410" s="8"/>
      <c r="C1410" s="8"/>
      <c r="D1410" s="8"/>
      <c r="E1410" s="8"/>
      <c r="F1410" s="8"/>
      <c r="G1410" s="8"/>
      <c r="H1410" s="8"/>
      <c r="I1410" s="8"/>
      <c r="J1410" s="8"/>
      <c r="K1410" s="8"/>
      <c r="L1410" s="8"/>
      <c r="M1410" s="8"/>
      <c r="N1410" s="8"/>
      <c r="O1410" s="8"/>
      <c r="P1410" s="8"/>
      <c r="Q1410" s="8"/>
    </row>
    <row r="1411" ht="13.65" customHeight="1">
      <c r="A1411" s="8"/>
      <c r="B1411" s="8"/>
      <c r="C1411" s="8"/>
      <c r="D1411" s="8"/>
      <c r="E1411" s="8"/>
      <c r="F1411" s="8"/>
      <c r="G1411" s="8"/>
      <c r="H1411" s="8"/>
      <c r="I1411" s="8"/>
      <c r="J1411" s="8"/>
      <c r="K1411" s="8"/>
      <c r="L1411" s="8"/>
      <c r="M1411" s="8"/>
      <c r="N1411" s="8"/>
      <c r="O1411" s="8"/>
      <c r="P1411" s="8"/>
      <c r="Q1411" s="8"/>
    </row>
    <row r="1412" ht="13.65" customHeight="1">
      <c r="A1412" s="8"/>
      <c r="B1412" s="8"/>
      <c r="C1412" s="8"/>
      <c r="D1412" s="8"/>
      <c r="E1412" s="8"/>
      <c r="F1412" s="8"/>
      <c r="G1412" s="8"/>
      <c r="H1412" s="8"/>
      <c r="I1412" s="8"/>
      <c r="J1412" s="8"/>
      <c r="K1412" s="8"/>
      <c r="L1412" s="8"/>
      <c r="M1412" s="8"/>
      <c r="N1412" s="8"/>
      <c r="O1412" s="8"/>
      <c r="P1412" s="8"/>
      <c r="Q1412" s="8"/>
    </row>
    <row r="1413" ht="13.65" customHeight="1">
      <c r="A1413" s="8"/>
      <c r="B1413" s="8"/>
      <c r="C1413" s="8"/>
      <c r="D1413" s="8"/>
      <c r="E1413" s="8"/>
      <c r="F1413" s="8"/>
      <c r="G1413" s="8"/>
      <c r="H1413" s="8"/>
      <c r="I1413" s="8"/>
      <c r="J1413" s="8"/>
      <c r="K1413" s="8"/>
      <c r="L1413" s="8"/>
      <c r="M1413" s="8"/>
      <c r="N1413" s="8"/>
      <c r="O1413" s="8"/>
      <c r="P1413" s="8"/>
      <c r="Q1413" s="8"/>
    </row>
    <row r="1414" ht="13.65" customHeight="1">
      <c r="A1414" s="8"/>
      <c r="B1414" s="8"/>
      <c r="C1414" s="8"/>
      <c r="D1414" s="8"/>
      <c r="E1414" s="8"/>
      <c r="F1414" s="8"/>
      <c r="G1414" s="8"/>
      <c r="H1414" s="8"/>
      <c r="I1414" s="8"/>
      <c r="J1414" s="8"/>
      <c r="K1414" s="8"/>
      <c r="L1414" s="8"/>
      <c r="M1414" s="8"/>
      <c r="N1414" s="8"/>
      <c r="O1414" s="8"/>
      <c r="P1414" s="8"/>
      <c r="Q1414" s="8"/>
    </row>
    <row r="1415" ht="13.65" customHeight="1">
      <c r="A1415" s="8"/>
      <c r="B1415" s="8"/>
      <c r="C1415" s="8"/>
      <c r="D1415" s="8"/>
      <c r="E1415" s="8"/>
      <c r="F1415" s="8"/>
      <c r="G1415" s="8"/>
      <c r="H1415" s="8"/>
      <c r="I1415" s="8"/>
      <c r="J1415" s="8"/>
      <c r="K1415" s="8"/>
      <c r="L1415" s="8"/>
      <c r="M1415" s="8"/>
      <c r="N1415" s="8"/>
      <c r="O1415" s="8"/>
      <c r="P1415" s="8"/>
      <c r="Q1415" s="8"/>
    </row>
    <row r="1416" ht="13.65" customHeight="1">
      <c r="A1416" s="8"/>
      <c r="B1416" s="8"/>
      <c r="C1416" s="8"/>
      <c r="D1416" s="8"/>
      <c r="E1416" s="8"/>
      <c r="F1416" s="8"/>
      <c r="G1416" s="8"/>
      <c r="H1416" s="8"/>
      <c r="I1416" s="8"/>
      <c r="J1416" s="8"/>
      <c r="K1416" s="8"/>
      <c r="L1416" s="8"/>
      <c r="M1416" s="8"/>
      <c r="N1416" s="8"/>
      <c r="O1416" s="8"/>
      <c r="P1416" s="8"/>
      <c r="Q1416" s="8"/>
    </row>
    <row r="1417" ht="13.65" customHeight="1">
      <c r="A1417" s="8"/>
      <c r="B1417" s="8"/>
      <c r="C1417" s="8"/>
      <c r="D1417" s="8"/>
      <c r="E1417" s="8"/>
      <c r="F1417" s="8"/>
      <c r="G1417" s="8"/>
      <c r="H1417" s="8"/>
      <c r="I1417" s="8"/>
      <c r="J1417" s="8"/>
      <c r="K1417" s="8"/>
      <c r="L1417" s="8"/>
      <c r="M1417" s="8"/>
      <c r="N1417" s="8"/>
      <c r="O1417" s="8"/>
      <c r="P1417" s="8"/>
      <c r="Q1417" s="8"/>
    </row>
    <row r="1418" ht="13.65" customHeight="1">
      <c r="A1418" s="8"/>
      <c r="B1418" s="8"/>
      <c r="C1418" s="8"/>
      <c r="D1418" s="8"/>
      <c r="E1418" s="8"/>
      <c r="F1418" s="8"/>
      <c r="G1418" s="8"/>
      <c r="H1418" s="8"/>
      <c r="I1418" s="8"/>
      <c r="J1418" s="8"/>
      <c r="K1418" s="8"/>
      <c r="L1418" s="8"/>
      <c r="M1418" s="8"/>
      <c r="N1418" s="8"/>
      <c r="O1418" s="8"/>
      <c r="P1418" s="8"/>
      <c r="Q1418" s="8"/>
    </row>
    <row r="1419" ht="13.65" customHeight="1">
      <c r="A1419" s="8"/>
      <c r="B1419" s="8"/>
      <c r="C1419" s="8"/>
      <c r="D1419" s="8"/>
      <c r="E1419" s="8"/>
      <c r="F1419" s="8"/>
      <c r="G1419" s="8"/>
      <c r="H1419" s="8"/>
      <c r="I1419" s="8"/>
      <c r="J1419" s="8"/>
      <c r="K1419" s="8"/>
      <c r="L1419" s="8"/>
      <c r="M1419" s="8"/>
      <c r="N1419" s="8"/>
      <c r="O1419" s="8"/>
      <c r="P1419" s="8"/>
      <c r="Q1419" s="8"/>
    </row>
    <row r="1420" ht="13.65" customHeight="1">
      <c r="A1420" s="8"/>
      <c r="B1420" s="8"/>
      <c r="C1420" s="8"/>
      <c r="D1420" s="8"/>
      <c r="E1420" s="8"/>
      <c r="F1420" s="8"/>
      <c r="G1420" s="8"/>
      <c r="H1420" s="8"/>
      <c r="I1420" s="8"/>
      <c r="J1420" s="8"/>
      <c r="K1420" s="8"/>
      <c r="L1420" s="8"/>
      <c r="M1420" s="8"/>
      <c r="N1420" s="8"/>
      <c r="O1420" s="8"/>
      <c r="P1420" s="8"/>
      <c r="Q1420" s="8"/>
    </row>
    <row r="1421" ht="13.65" customHeight="1">
      <c r="A1421" s="8"/>
      <c r="B1421" s="8"/>
      <c r="C1421" s="8"/>
      <c r="D1421" s="8"/>
      <c r="E1421" s="8"/>
      <c r="F1421" s="8"/>
      <c r="G1421" s="8"/>
      <c r="H1421" s="8"/>
      <c r="I1421" s="8"/>
      <c r="J1421" s="8"/>
      <c r="K1421" s="8"/>
      <c r="L1421" s="8"/>
      <c r="M1421" s="8"/>
      <c r="N1421" s="8"/>
      <c r="O1421" s="8"/>
      <c r="P1421" s="8"/>
      <c r="Q1421" s="8"/>
    </row>
    <row r="1422" ht="13.65" customHeight="1">
      <c r="A1422" s="8"/>
      <c r="B1422" s="8"/>
      <c r="C1422" s="8"/>
      <c r="D1422" s="8"/>
      <c r="E1422" s="8"/>
      <c r="F1422" s="8"/>
      <c r="G1422" s="8"/>
      <c r="H1422" s="8"/>
      <c r="I1422" s="8"/>
      <c r="J1422" s="8"/>
      <c r="K1422" s="8"/>
      <c r="L1422" s="8"/>
      <c r="M1422" s="8"/>
      <c r="N1422" s="8"/>
      <c r="O1422" s="8"/>
      <c r="P1422" s="8"/>
      <c r="Q1422" s="8"/>
    </row>
    <row r="1423" ht="13.65" customHeight="1">
      <c r="A1423" s="8"/>
      <c r="B1423" s="8"/>
      <c r="C1423" s="8"/>
      <c r="D1423" s="8"/>
      <c r="E1423" s="8"/>
      <c r="F1423" s="8"/>
      <c r="G1423" s="8"/>
      <c r="H1423" s="8"/>
      <c r="I1423" s="8"/>
      <c r="J1423" s="8"/>
      <c r="K1423" s="8"/>
      <c r="L1423" s="8"/>
      <c r="M1423" s="8"/>
      <c r="N1423" s="8"/>
      <c r="O1423" s="8"/>
      <c r="P1423" s="8"/>
      <c r="Q1423" s="8"/>
    </row>
    <row r="1424" ht="13.65" customHeight="1">
      <c r="A1424" s="8"/>
      <c r="B1424" s="8"/>
      <c r="C1424" s="8"/>
      <c r="D1424" s="8"/>
      <c r="E1424" s="8"/>
      <c r="F1424" s="8"/>
      <c r="G1424" s="8"/>
      <c r="H1424" s="8"/>
      <c r="I1424" s="8"/>
      <c r="J1424" s="8"/>
      <c r="K1424" s="8"/>
      <c r="L1424" s="8"/>
      <c r="M1424" s="8"/>
      <c r="N1424" s="8"/>
      <c r="O1424" s="8"/>
      <c r="P1424" s="8"/>
      <c r="Q1424" s="8"/>
    </row>
    <row r="1425" ht="13.65" customHeight="1">
      <c r="A1425" s="8"/>
      <c r="B1425" s="8"/>
      <c r="C1425" s="8"/>
      <c r="D1425" s="8"/>
      <c r="E1425" s="8"/>
      <c r="F1425" s="8"/>
      <c r="G1425" s="8"/>
      <c r="H1425" s="8"/>
      <c r="I1425" s="8"/>
      <c r="J1425" s="8"/>
      <c r="K1425" s="8"/>
      <c r="L1425" s="8"/>
      <c r="M1425" s="8"/>
      <c r="N1425" s="8"/>
      <c r="O1425" s="8"/>
      <c r="P1425" s="8"/>
      <c r="Q1425" s="8"/>
    </row>
    <row r="1426" ht="13.65" customHeight="1">
      <c r="A1426" s="8"/>
      <c r="B1426" s="8"/>
      <c r="C1426" s="8"/>
      <c r="D1426" s="8"/>
      <c r="E1426" s="8"/>
      <c r="F1426" s="8"/>
      <c r="G1426" s="8"/>
      <c r="H1426" s="8"/>
      <c r="I1426" s="8"/>
      <c r="J1426" s="8"/>
      <c r="K1426" s="8"/>
      <c r="L1426" s="8"/>
      <c r="M1426" s="8"/>
      <c r="N1426" s="8"/>
      <c r="O1426" s="8"/>
      <c r="P1426" s="8"/>
      <c r="Q1426" s="8"/>
    </row>
    <row r="1427" ht="13.65" customHeight="1">
      <c r="A1427" s="8"/>
      <c r="B1427" s="8"/>
      <c r="C1427" s="8"/>
      <c r="D1427" s="8"/>
      <c r="E1427" s="8"/>
      <c r="F1427" s="8"/>
      <c r="G1427" s="8"/>
      <c r="H1427" s="8"/>
      <c r="I1427" s="8"/>
      <c r="J1427" s="8"/>
      <c r="K1427" s="8"/>
      <c r="L1427" s="8"/>
      <c r="M1427" s="8"/>
      <c r="N1427" s="8"/>
      <c r="O1427" s="8"/>
      <c r="P1427" s="8"/>
      <c r="Q1427" s="8"/>
    </row>
    <row r="1428" ht="13.65" customHeight="1">
      <c r="A1428" s="8"/>
      <c r="B1428" s="8"/>
      <c r="C1428" s="8"/>
      <c r="D1428" s="8"/>
      <c r="E1428" s="8"/>
      <c r="F1428" s="8"/>
      <c r="G1428" s="8"/>
      <c r="H1428" s="8"/>
      <c r="I1428" s="8"/>
      <c r="J1428" s="8"/>
      <c r="K1428" s="8"/>
      <c r="L1428" s="8"/>
      <c r="M1428" s="8"/>
      <c r="N1428" s="8"/>
      <c r="O1428" s="8"/>
      <c r="P1428" s="8"/>
      <c r="Q1428" s="8"/>
    </row>
    <row r="1429" ht="13.65" customHeight="1">
      <c r="A1429" s="8"/>
      <c r="B1429" s="8"/>
      <c r="C1429" s="8"/>
      <c r="D1429" s="8"/>
      <c r="E1429" s="8"/>
      <c r="F1429" s="8"/>
      <c r="G1429" s="8"/>
      <c r="H1429" s="8"/>
      <c r="I1429" s="8"/>
      <c r="J1429" s="8"/>
      <c r="K1429" s="8"/>
      <c r="L1429" s="8"/>
      <c r="M1429" s="8"/>
      <c r="N1429" s="8"/>
      <c r="O1429" s="8"/>
      <c r="P1429" s="8"/>
      <c r="Q1429" s="8"/>
    </row>
    <row r="1430" ht="13.65" customHeight="1">
      <c r="A1430" s="8"/>
      <c r="B1430" s="8"/>
      <c r="C1430" s="8"/>
      <c r="D1430" s="8"/>
      <c r="E1430" s="8"/>
      <c r="F1430" s="8"/>
      <c r="G1430" s="8"/>
      <c r="H1430" s="8"/>
      <c r="I1430" s="8"/>
      <c r="J1430" s="8"/>
      <c r="K1430" s="8"/>
      <c r="L1430" s="8"/>
      <c r="M1430" s="8"/>
      <c r="N1430" s="8"/>
      <c r="O1430" s="8"/>
      <c r="P1430" s="8"/>
      <c r="Q1430" s="8"/>
    </row>
    <row r="1431" ht="13.65" customHeight="1">
      <c r="A1431" s="8"/>
      <c r="B1431" s="8"/>
      <c r="C1431" s="8"/>
      <c r="D1431" s="8"/>
      <c r="E1431" s="8"/>
      <c r="F1431" s="8"/>
      <c r="G1431" s="8"/>
      <c r="H1431" s="8"/>
      <c r="I1431" s="8"/>
      <c r="J1431" s="8"/>
      <c r="K1431" s="8"/>
      <c r="L1431" s="8"/>
      <c r="M1431" s="8"/>
      <c r="N1431" s="8"/>
      <c r="O1431" s="8"/>
      <c r="P1431" s="8"/>
      <c r="Q1431" s="8"/>
    </row>
    <row r="1432" ht="13.65" customHeight="1">
      <c r="A1432" s="8"/>
      <c r="B1432" s="8"/>
      <c r="C1432" s="8"/>
      <c r="D1432" s="8"/>
      <c r="E1432" s="8"/>
      <c r="F1432" s="8"/>
      <c r="G1432" s="8"/>
      <c r="H1432" s="8"/>
      <c r="I1432" s="8"/>
      <c r="J1432" s="8"/>
      <c r="K1432" s="8"/>
      <c r="L1432" s="8"/>
      <c r="M1432" s="8"/>
      <c r="N1432" s="8"/>
      <c r="O1432" s="8"/>
      <c r="P1432" s="8"/>
      <c r="Q1432" s="8"/>
    </row>
    <row r="1433" ht="13.65" customHeight="1">
      <c r="A1433" s="8"/>
      <c r="B1433" s="8"/>
      <c r="C1433" s="8"/>
      <c r="D1433" s="8"/>
      <c r="E1433" s="8"/>
      <c r="F1433" s="8"/>
      <c r="G1433" s="8"/>
      <c r="H1433" s="8"/>
      <c r="I1433" s="8"/>
      <c r="J1433" s="8"/>
      <c r="K1433" s="8"/>
      <c r="L1433" s="8"/>
      <c r="M1433" s="8"/>
      <c r="N1433" s="8"/>
      <c r="O1433" s="8"/>
      <c r="P1433" s="8"/>
      <c r="Q1433" s="8"/>
    </row>
    <row r="1434" ht="13.65" customHeight="1">
      <c r="A1434" s="8"/>
      <c r="B1434" s="8"/>
      <c r="C1434" s="8"/>
      <c r="D1434" s="8"/>
      <c r="E1434" s="8"/>
      <c r="F1434" s="8"/>
      <c r="G1434" s="8"/>
      <c r="H1434" s="8"/>
      <c r="I1434" s="8"/>
      <c r="J1434" s="8"/>
      <c r="K1434" s="8"/>
      <c r="L1434" s="8"/>
      <c r="M1434" s="8"/>
      <c r="N1434" s="8"/>
      <c r="O1434" s="8"/>
      <c r="P1434" s="8"/>
      <c r="Q1434" s="8"/>
    </row>
    <row r="1435" ht="13.65" customHeight="1">
      <c r="A1435" s="8"/>
      <c r="B1435" s="8"/>
      <c r="C1435" s="8"/>
      <c r="D1435" s="8"/>
      <c r="E1435" s="8"/>
      <c r="F1435" s="8"/>
      <c r="G1435" s="8"/>
      <c r="H1435" s="8"/>
      <c r="I1435" s="8"/>
      <c r="J1435" s="8"/>
      <c r="K1435" s="8"/>
      <c r="L1435" s="8"/>
      <c r="M1435" s="8"/>
      <c r="N1435" s="8"/>
      <c r="O1435" s="8"/>
      <c r="P1435" s="8"/>
      <c r="Q1435" s="8"/>
    </row>
    <row r="1436" ht="13.65" customHeight="1">
      <c r="A1436" s="8"/>
      <c r="B1436" s="8"/>
      <c r="C1436" s="8"/>
      <c r="D1436" s="8"/>
      <c r="E1436" s="8"/>
      <c r="F1436" s="8"/>
      <c r="G1436" s="8"/>
      <c r="H1436" s="8"/>
      <c r="I1436" s="8"/>
      <c r="J1436" s="8"/>
      <c r="K1436" s="8"/>
      <c r="L1436" s="8"/>
      <c r="M1436" s="8"/>
      <c r="N1436" s="8"/>
      <c r="O1436" s="8"/>
      <c r="P1436" s="8"/>
      <c r="Q1436" s="8"/>
    </row>
    <row r="1437" ht="13.65" customHeight="1">
      <c r="A1437" s="8"/>
      <c r="B1437" s="8"/>
      <c r="C1437" s="8"/>
      <c r="D1437" s="8"/>
      <c r="E1437" s="8"/>
      <c r="F1437" s="8"/>
      <c r="G1437" s="8"/>
      <c r="H1437" s="8"/>
      <c r="I1437" s="8"/>
      <c r="J1437" s="8"/>
      <c r="K1437" s="8"/>
      <c r="L1437" s="8"/>
      <c r="M1437" s="8"/>
      <c r="N1437" s="8"/>
      <c r="O1437" s="8"/>
      <c r="P1437" s="8"/>
      <c r="Q1437" s="8"/>
    </row>
    <row r="1438" ht="13.65" customHeight="1">
      <c r="A1438" s="8"/>
      <c r="B1438" s="8"/>
      <c r="C1438" s="8"/>
      <c r="D1438" s="8"/>
      <c r="E1438" s="8"/>
      <c r="F1438" s="8"/>
      <c r="G1438" s="8"/>
      <c r="H1438" s="8"/>
      <c r="I1438" s="8"/>
      <c r="J1438" s="8"/>
      <c r="K1438" s="8"/>
      <c r="L1438" s="8"/>
      <c r="M1438" s="8"/>
      <c r="N1438" s="8"/>
      <c r="O1438" s="8"/>
      <c r="P1438" s="8"/>
      <c r="Q1438" s="8"/>
    </row>
    <row r="1439" ht="13.65" customHeight="1">
      <c r="A1439" s="8"/>
      <c r="B1439" s="8"/>
      <c r="C1439" s="8"/>
      <c r="D1439" s="8"/>
      <c r="E1439" s="8"/>
      <c r="F1439" s="8"/>
      <c r="G1439" s="8"/>
      <c r="H1439" s="8"/>
      <c r="I1439" s="8"/>
      <c r="J1439" s="8"/>
      <c r="K1439" s="8"/>
      <c r="L1439" s="8"/>
      <c r="M1439" s="8"/>
      <c r="N1439" s="8"/>
      <c r="O1439" s="8"/>
      <c r="P1439" s="8"/>
      <c r="Q1439" s="8"/>
    </row>
    <row r="1440" ht="13.65" customHeight="1">
      <c r="A1440" s="8"/>
      <c r="B1440" s="8"/>
      <c r="C1440" s="8"/>
      <c r="D1440" s="8"/>
      <c r="E1440" s="8"/>
      <c r="F1440" s="8"/>
      <c r="G1440" s="8"/>
      <c r="H1440" s="8"/>
      <c r="I1440" s="8"/>
      <c r="J1440" s="8"/>
      <c r="K1440" s="8"/>
      <c r="L1440" s="8"/>
      <c r="M1440" s="8"/>
      <c r="N1440" s="8"/>
      <c r="O1440" s="8"/>
      <c r="P1440" s="8"/>
      <c r="Q1440" s="8"/>
    </row>
    <row r="1441" ht="13.65" customHeight="1">
      <c r="A1441" s="8"/>
      <c r="B1441" s="8"/>
      <c r="C1441" s="8"/>
      <c r="D1441" s="8"/>
      <c r="E1441" s="8"/>
      <c r="F1441" s="8"/>
      <c r="G1441" s="8"/>
      <c r="H1441" s="8"/>
      <c r="I1441" s="8"/>
      <c r="J1441" s="8"/>
      <c r="K1441" s="8"/>
      <c r="L1441" s="8"/>
      <c r="M1441" s="8"/>
      <c r="N1441" s="8"/>
      <c r="O1441" s="8"/>
      <c r="P1441" s="8"/>
      <c r="Q1441" s="8"/>
    </row>
    <row r="1442" ht="13.65" customHeight="1">
      <c r="A1442" s="8"/>
      <c r="B1442" s="8"/>
      <c r="C1442" s="8"/>
      <c r="D1442" s="8"/>
      <c r="E1442" s="8"/>
      <c r="F1442" s="8"/>
      <c r="G1442" s="8"/>
      <c r="H1442" s="8"/>
      <c r="I1442" s="8"/>
      <c r="J1442" s="8"/>
      <c r="K1442" s="8"/>
      <c r="L1442" s="8"/>
      <c r="M1442" s="8"/>
      <c r="N1442" s="8"/>
      <c r="O1442" s="8"/>
      <c r="P1442" s="8"/>
      <c r="Q1442" s="8"/>
    </row>
    <row r="1443" ht="13.65" customHeight="1">
      <c r="A1443" s="8"/>
      <c r="B1443" s="8"/>
      <c r="C1443" s="8"/>
      <c r="D1443" s="8"/>
      <c r="E1443" s="8"/>
      <c r="F1443" s="8"/>
      <c r="G1443" s="8"/>
      <c r="H1443" s="8"/>
      <c r="I1443" s="8"/>
      <c r="J1443" s="8"/>
      <c r="K1443" s="8"/>
      <c r="L1443" s="8"/>
      <c r="M1443" s="8"/>
      <c r="N1443" s="8"/>
      <c r="O1443" s="8"/>
      <c r="P1443" s="8"/>
      <c r="Q1443" s="8"/>
    </row>
    <row r="1444" ht="13.65" customHeight="1">
      <c r="A1444" s="8"/>
      <c r="B1444" s="8"/>
      <c r="C1444" s="8"/>
      <c r="D1444" s="8"/>
      <c r="E1444" s="8"/>
      <c r="F1444" s="8"/>
      <c r="G1444" s="8"/>
      <c r="H1444" s="8"/>
      <c r="I1444" s="8"/>
      <c r="J1444" s="8"/>
      <c r="K1444" s="8"/>
      <c r="L1444" s="8"/>
      <c r="M1444" s="8"/>
      <c r="N1444" s="8"/>
      <c r="O1444" s="8"/>
      <c r="P1444" s="8"/>
      <c r="Q1444" s="8"/>
    </row>
    <row r="1445" ht="13.65" customHeight="1">
      <c r="A1445" s="8"/>
      <c r="B1445" s="8"/>
      <c r="C1445" s="8"/>
      <c r="D1445" s="8"/>
      <c r="E1445" s="8"/>
      <c r="F1445" s="8"/>
      <c r="G1445" s="8"/>
      <c r="H1445" s="8"/>
      <c r="I1445" s="8"/>
      <c r="J1445" s="8"/>
      <c r="K1445" s="8"/>
      <c r="L1445" s="8"/>
      <c r="M1445" s="8"/>
      <c r="N1445" s="8"/>
      <c r="O1445" s="8"/>
      <c r="P1445" s="8"/>
      <c r="Q1445" s="8"/>
    </row>
    <row r="1446" ht="13.65" customHeight="1">
      <c r="A1446" s="8"/>
      <c r="B1446" s="8"/>
      <c r="C1446" s="8"/>
      <c r="D1446" s="8"/>
      <c r="E1446" s="8"/>
      <c r="F1446" s="8"/>
      <c r="G1446" s="8"/>
      <c r="H1446" s="8"/>
      <c r="I1446" s="8"/>
      <c r="J1446" s="8"/>
      <c r="K1446" s="8"/>
      <c r="L1446" s="8"/>
      <c r="M1446" s="8"/>
      <c r="N1446" s="8"/>
      <c r="O1446" s="8"/>
      <c r="P1446" s="8"/>
      <c r="Q1446" s="8"/>
    </row>
    <row r="1447" ht="13.65" customHeight="1">
      <c r="A1447" s="8"/>
      <c r="B1447" s="8"/>
      <c r="C1447" s="8"/>
      <c r="D1447" s="8"/>
      <c r="E1447" s="8"/>
      <c r="F1447" s="8"/>
      <c r="G1447" s="8"/>
      <c r="H1447" s="8"/>
      <c r="I1447" s="8"/>
      <c r="J1447" s="8"/>
      <c r="K1447" s="8"/>
      <c r="L1447" s="8"/>
      <c r="M1447" s="8"/>
      <c r="N1447" s="8"/>
      <c r="O1447" s="8"/>
      <c r="P1447" s="8"/>
      <c r="Q1447" s="8"/>
    </row>
    <row r="1448" ht="13.65" customHeight="1">
      <c r="A1448" s="8"/>
      <c r="B1448" s="8"/>
      <c r="C1448" s="8"/>
      <c r="D1448" s="8"/>
      <c r="E1448" s="8"/>
      <c r="F1448" s="8"/>
      <c r="G1448" s="8"/>
      <c r="H1448" s="8"/>
      <c r="I1448" s="8"/>
      <c r="J1448" s="8"/>
      <c r="K1448" s="8"/>
      <c r="L1448" s="8"/>
      <c r="M1448" s="8"/>
      <c r="N1448" s="8"/>
      <c r="O1448" s="8"/>
      <c r="P1448" s="8"/>
      <c r="Q1448" s="8"/>
    </row>
    <row r="1449" ht="13.65" customHeight="1">
      <c r="A1449" s="8"/>
      <c r="B1449" s="8"/>
      <c r="C1449" s="8"/>
      <c r="D1449" s="8"/>
      <c r="E1449" s="8"/>
      <c r="F1449" s="8"/>
      <c r="G1449" s="8"/>
      <c r="H1449" s="8"/>
      <c r="I1449" s="8"/>
      <c r="J1449" s="8"/>
      <c r="K1449" s="8"/>
      <c r="L1449" s="8"/>
      <c r="M1449" s="8"/>
      <c r="N1449" s="8"/>
      <c r="O1449" s="8"/>
      <c r="P1449" s="8"/>
      <c r="Q1449" s="8"/>
    </row>
    <row r="1450" ht="13.65" customHeight="1">
      <c r="A1450" s="8"/>
      <c r="B1450" s="8"/>
      <c r="C1450" s="8"/>
      <c r="D1450" s="8"/>
      <c r="E1450" s="8"/>
      <c r="F1450" s="8"/>
      <c r="G1450" s="8"/>
      <c r="H1450" s="8"/>
      <c r="I1450" s="8"/>
      <c r="J1450" s="8"/>
      <c r="K1450" s="8"/>
      <c r="L1450" s="8"/>
      <c r="M1450" s="8"/>
      <c r="N1450" s="8"/>
      <c r="O1450" s="8"/>
      <c r="P1450" s="8"/>
      <c r="Q1450" s="8"/>
    </row>
    <row r="1451" ht="13.65" customHeight="1">
      <c r="A1451" s="8"/>
      <c r="B1451" s="8"/>
      <c r="C1451" s="8"/>
      <c r="D1451" s="8"/>
      <c r="E1451" s="8"/>
      <c r="F1451" s="8"/>
      <c r="G1451" s="8"/>
      <c r="H1451" s="8"/>
      <c r="I1451" s="8"/>
      <c r="J1451" s="8"/>
      <c r="K1451" s="8"/>
      <c r="L1451" s="8"/>
      <c r="M1451" s="8"/>
      <c r="N1451" s="8"/>
      <c r="O1451" s="8"/>
      <c r="P1451" s="8"/>
      <c r="Q1451" s="8"/>
    </row>
    <row r="1452" ht="13.65" customHeight="1">
      <c r="A1452" s="8"/>
      <c r="B1452" s="8"/>
      <c r="C1452" s="8"/>
      <c r="D1452" s="8"/>
      <c r="E1452" s="8"/>
      <c r="F1452" s="8"/>
      <c r="G1452" s="8"/>
      <c r="H1452" s="8"/>
      <c r="I1452" s="8"/>
      <c r="J1452" s="8"/>
      <c r="K1452" s="8"/>
      <c r="L1452" s="8"/>
      <c r="M1452" s="8"/>
      <c r="N1452" s="8"/>
      <c r="O1452" s="8"/>
      <c r="P1452" s="8"/>
      <c r="Q1452" s="8"/>
    </row>
    <row r="1453" ht="13.65" customHeight="1">
      <c r="A1453" s="8"/>
      <c r="B1453" s="8"/>
      <c r="C1453" s="8"/>
      <c r="D1453" s="8"/>
      <c r="E1453" s="8"/>
      <c r="F1453" s="8"/>
      <c r="G1453" s="8"/>
      <c r="H1453" s="8"/>
      <c r="I1453" s="8"/>
      <c r="J1453" s="8"/>
      <c r="K1453" s="8"/>
      <c r="L1453" s="8"/>
      <c r="M1453" s="8"/>
      <c r="N1453" s="8"/>
      <c r="O1453" s="8"/>
      <c r="P1453" s="8"/>
      <c r="Q1453" s="8"/>
    </row>
    <row r="1454" ht="13.65" customHeight="1">
      <c r="A1454" s="8"/>
      <c r="B1454" s="8"/>
      <c r="C1454" s="8"/>
      <c r="D1454" s="8"/>
      <c r="E1454" s="8"/>
      <c r="F1454" s="8"/>
      <c r="G1454" s="8"/>
      <c r="H1454" s="8"/>
      <c r="I1454" s="8"/>
      <c r="J1454" s="8"/>
      <c r="K1454" s="8"/>
      <c r="L1454" s="8"/>
      <c r="M1454" s="8"/>
      <c r="N1454" s="8"/>
      <c r="O1454" s="8"/>
      <c r="P1454" s="8"/>
      <c r="Q1454" s="8"/>
    </row>
    <row r="1455" ht="13.65" customHeight="1">
      <c r="A1455" s="8"/>
      <c r="B1455" s="8"/>
      <c r="C1455" s="8"/>
      <c r="D1455" s="8"/>
      <c r="E1455" s="8"/>
      <c r="F1455" s="8"/>
      <c r="G1455" s="8"/>
      <c r="H1455" s="8"/>
      <c r="I1455" s="8"/>
      <c r="J1455" s="8"/>
      <c r="K1455" s="8"/>
      <c r="L1455" s="8"/>
      <c r="M1455" s="8"/>
      <c r="N1455" s="8"/>
      <c r="O1455" s="8"/>
      <c r="P1455" s="8"/>
      <c r="Q1455" s="8"/>
    </row>
    <row r="1456" ht="13.65" customHeight="1">
      <c r="A1456" s="8"/>
      <c r="B1456" s="8"/>
      <c r="C1456" s="8"/>
      <c r="D1456" s="8"/>
      <c r="E1456" s="8"/>
      <c r="F1456" s="8"/>
      <c r="G1456" s="8"/>
      <c r="H1456" s="8"/>
      <c r="I1456" s="8"/>
      <c r="J1456" s="8"/>
      <c r="K1456" s="8"/>
      <c r="L1456" s="8"/>
      <c r="M1456" s="8"/>
      <c r="N1456" s="8"/>
      <c r="O1456" s="8"/>
      <c r="P1456" s="8"/>
      <c r="Q1456" s="8"/>
    </row>
    <row r="1457" ht="13.65" customHeight="1">
      <c r="A1457" s="8"/>
      <c r="B1457" s="8"/>
      <c r="C1457" s="8"/>
      <c r="D1457" s="8"/>
      <c r="E1457" s="8"/>
      <c r="F1457" s="8"/>
      <c r="G1457" s="8"/>
      <c r="H1457" s="8"/>
      <c r="I1457" s="8"/>
      <c r="J1457" s="8"/>
      <c r="K1457" s="8"/>
      <c r="L1457" s="8"/>
      <c r="M1457" s="8"/>
      <c r="N1457" s="8"/>
      <c r="O1457" s="8"/>
      <c r="P1457" s="8"/>
      <c r="Q1457" s="8"/>
    </row>
    <row r="1458" ht="13.65" customHeight="1">
      <c r="A1458" s="8"/>
      <c r="B1458" s="8"/>
      <c r="C1458" s="8"/>
      <c r="D1458" s="8"/>
      <c r="E1458" s="8"/>
      <c r="F1458" s="8"/>
      <c r="G1458" s="8"/>
      <c r="H1458" s="8"/>
      <c r="I1458" s="8"/>
      <c r="J1458" s="8"/>
      <c r="K1458" s="8"/>
      <c r="L1458" s="8"/>
      <c r="M1458" s="8"/>
      <c r="N1458" s="8"/>
      <c r="O1458" s="8"/>
      <c r="P1458" s="8"/>
      <c r="Q1458" s="8"/>
    </row>
    <row r="1459" ht="13.65" customHeight="1">
      <c r="A1459" s="8"/>
      <c r="B1459" s="8"/>
      <c r="C1459" s="8"/>
      <c r="D1459" s="8"/>
      <c r="E1459" s="8"/>
      <c r="F1459" s="8"/>
      <c r="G1459" s="8"/>
      <c r="H1459" s="8"/>
      <c r="I1459" s="8"/>
      <c r="J1459" s="8"/>
      <c r="K1459" s="8"/>
      <c r="L1459" s="8"/>
      <c r="M1459" s="8"/>
      <c r="N1459" s="8"/>
      <c r="O1459" s="8"/>
      <c r="P1459" s="8"/>
      <c r="Q1459" s="8"/>
    </row>
    <row r="1460" ht="13.65" customHeight="1">
      <c r="A1460" s="8"/>
      <c r="B1460" s="8"/>
      <c r="C1460" s="8"/>
      <c r="D1460" s="8"/>
      <c r="E1460" s="8"/>
      <c r="F1460" s="8"/>
      <c r="G1460" s="8"/>
      <c r="H1460" s="8"/>
      <c r="I1460" s="8"/>
      <c r="J1460" s="8"/>
      <c r="K1460" s="8"/>
      <c r="L1460" s="8"/>
      <c r="M1460" s="8"/>
      <c r="N1460" s="8"/>
      <c r="O1460" s="8"/>
      <c r="P1460" s="8"/>
      <c r="Q1460" s="8"/>
    </row>
    <row r="1461" ht="13.65" customHeight="1">
      <c r="A1461" s="8"/>
      <c r="B1461" s="8"/>
      <c r="C1461" s="8"/>
      <c r="D1461" s="8"/>
      <c r="E1461" s="8"/>
      <c r="F1461" s="8"/>
      <c r="G1461" s="8"/>
      <c r="H1461" s="8"/>
      <c r="I1461" s="8"/>
      <c r="J1461" s="8"/>
      <c r="K1461" s="8"/>
      <c r="L1461" s="8"/>
      <c r="M1461" s="8"/>
      <c r="N1461" s="8"/>
      <c r="O1461" s="8"/>
      <c r="P1461" s="8"/>
      <c r="Q1461" s="8"/>
    </row>
    <row r="1462" ht="13.65" customHeight="1">
      <c r="A1462" s="8"/>
      <c r="B1462" s="8"/>
      <c r="C1462" s="8"/>
      <c r="D1462" s="8"/>
      <c r="E1462" s="8"/>
      <c r="F1462" s="8"/>
      <c r="G1462" s="8"/>
      <c r="H1462" s="8"/>
      <c r="I1462" s="8"/>
      <c r="J1462" s="8"/>
      <c r="K1462" s="8"/>
      <c r="L1462" s="8"/>
      <c r="M1462" s="8"/>
      <c r="N1462" s="8"/>
      <c r="O1462" s="8"/>
      <c r="P1462" s="8"/>
      <c r="Q1462" s="8"/>
    </row>
    <row r="1463" ht="13.65" customHeight="1">
      <c r="A1463" s="8"/>
      <c r="B1463" s="8"/>
      <c r="C1463" s="8"/>
      <c r="D1463" s="8"/>
      <c r="E1463" s="8"/>
      <c r="F1463" s="8"/>
      <c r="G1463" s="8"/>
      <c r="H1463" s="8"/>
      <c r="I1463" s="8"/>
      <c r="J1463" s="8"/>
      <c r="K1463" s="8"/>
      <c r="L1463" s="8"/>
      <c r="M1463" s="8"/>
      <c r="N1463" s="8"/>
      <c r="O1463" s="8"/>
      <c r="P1463" s="8"/>
      <c r="Q1463" s="8"/>
    </row>
    <row r="1464" ht="13.65" customHeight="1">
      <c r="A1464" s="8"/>
      <c r="B1464" s="8"/>
      <c r="C1464" s="8"/>
      <c r="D1464" s="8"/>
      <c r="E1464" s="8"/>
      <c r="F1464" s="8"/>
      <c r="G1464" s="8"/>
      <c r="H1464" s="8"/>
      <c r="I1464" s="8"/>
      <c r="J1464" s="8"/>
      <c r="K1464" s="8"/>
      <c r="L1464" s="8"/>
      <c r="M1464" s="8"/>
      <c r="N1464" s="8"/>
      <c r="O1464" s="8"/>
      <c r="P1464" s="8"/>
      <c r="Q1464" s="8"/>
    </row>
    <row r="1465" ht="13.65" customHeight="1">
      <c r="A1465" s="8"/>
      <c r="B1465" s="8"/>
      <c r="C1465" s="8"/>
      <c r="D1465" s="8"/>
      <c r="E1465" s="8"/>
      <c r="F1465" s="8"/>
      <c r="G1465" s="8"/>
      <c r="H1465" s="8"/>
      <c r="I1465" s="8"/>
      <c r="J1465" s="8"/>
      <c r="K1465" s="8"/>
      <c r="L1465" s="8"/>
      <c r="M1465" s="8"/>
      <c r="N1465" s="8"/>
      <c r="O1465" s="8"/>
      <c r="P1465" s="8"/>
      <c r="Q1465" s="8"/>
    </row>
    <row r="1466" ht="13.65" customHeight="1">
      <c r="A1466" s="8"/>
      <c r="B1466" s="8"/>
      <c r="C1466" s="8"/>
      <c r="D1466" s="8"/>
      <c r="E1466" s="8"/>
      <c r="F1466" s="8"/>
      <c r="G1466" s="8"/>
      <c r="H1466" s="8"/>
      <c r="I1466" s="8"/>
      <c r="J1466" s="8"/>
      <c r="K1466" s="8"/>
      <c r="L1466" s="8"/>
      <c r="M1466" s="8"/>
      <c r="N1466" s="8"/>
      <c r="O1466" s="8"/>
      <c r="P1466" s="8"/>
      <c r="Q1466" s="8"/>
    </row>
    <row r="1467" ht="13.65" customHeight="1">
      <c r="A1467" s="8"/>
      <c r="B1467" s="8"/>
      <c r="C1467" s="8"/>
      <c r="D1467" s="8"/>
      <c r="E1467" s="8"/>
      <c r="F1467" s="8"/>
      <c r="G1467" s="8"/>
      <c r="H1467" s="8"/>
      <c r="I1467" s="8"/>
      <c r="J1467" s="8"/>
      <c r="K1467" s="8"/>
      <c r="L1467" s="8"/>
      <c r="M1467" s="8"/>
      <c r="N1467" s="8"/>
      <c r="O1467" s="8"/>
      <c r="P1467" s="8"/>
      <c r="Q1467" s="8"/>
    </row>
    <row r="1468" ht="13.65" customHeight="1">
      <c r="A1468" s="8"/>
      <c r="B1468" s="8"/>
      <c r="C1468" s="8"/>
      <c r="D1468" s="8"/>
      <c r="E1468" s="8"/>
      <c r="F1468" s="8"/>
      <c r="G1468" s="8"/>
      <c r="H1468" s="8"/>
      <c r="I1468" s="8"/>
      <c r="J1468" s="8"/>
      <c r="K1468" s="8"/>
      <c r="L1468" s="8"/>
      <c r="M1468" s="8"/>
      <c r="N1468" s="8"/>
      <c r="O1468" s="8"/>
      <c r="P1468" s="8"/>
      <c r="Q1468" s="8"/>
    </row>
    <row r="1469" ht="13.65" customHeight="1">
      <c r="A1469" s="8"/>
      <c r="B1469" s="8"/>
      <c r="C1469" s="8"/>
      <c r="D1469" s="8"/>
      <c r="E1469" s="8"/>
      <c r="F1469" s="8"/>
      <c r="G1469" s="8"/>
      <c r="H1469" s="8"/>
      <c r="I1469" s="8"/>
      <c r="J1469" s="8"/>
      <c r="K1469" s="8"/>
      <c r="L1469" s="8"/>
      <c r="M1469" s="8"/>
      <c r="N1469" s="8"/>
      <c r="O1469" s="8"/>
      <c r="P1469" s="8"/>
      <c r="Q1469" s="8"/>
    </row>
    <row r="1470" ht="13.65" customHeight="1">
      <c r="A1470" s="8"/>
      <c r="B1470" s="8"/>
      <c r="C1470" s="8"/>
      <c r="D1470" s="8"/>
      <c r="E1470" s="8"/>
      <c r="F1470" s="8"/>
      <c r="G1470" s="8"/>
      <c r="H1470" s="8"/>
      <c r="I1470" s="8"/>
      <c r="J1470" s="8"/>
      <c r="K1470" s="8"/>
      <c r="L1470" s="8"/>
      <c r="M1470" s="8"/>
      <c r="N1470" s="8"/>
      <c r="O1470" s="8"/>
      <c r="P1470" s="8"/>
      <c r="Q1470" s="8"/>
    </row>
    <row r="1471" ht="13.65" customHeight="1">
      <c r="A1471" s="8"/>
      <c r="B1471" s="8"/>
      <c r="C1471" s="8"/>
      <c r="D1471" s="8"/>
      <c r="E1471" s="8"/>
      <c r="F1471" s="8"/>
      <c r="G1471" s="8"/>
      <c r="H1471" s="8"/>
      <c r="I1471" s="8"/>
      <c r="J1471" s="8"/>
      <c r="K1471" s="8"/>
      <c r="L1471" s="8"/>
      <c r="M1471" s="8"/>
      <c r="N1471" s="8"/>
      <c r="O1471" s="8"/>
      <c r="P1471" s="8"/>
      <c r="Q1471" s="8"/>
    </row>
    <row r="1472" ht="13.65" customHeight="1">
      <c r="A1472" s="8"/>
      <c r="B1472" s="8"/>
      <c r="C1472" s="8"/>
      <c r="D1472" s="8"/>
      <c r="E1472" s="8"/>
      <c r="F1472" s="8"/>
      <c r="G1472" s="8"/>
      <c r="H1472" s="8"/>
      <c r="I1472" s="8"/>
      <c r="J1472" s="8"/>
      <c r="K1472" s="8"/>
      <c r="L1472" s="8"/>
      <c r="M1472" s="8"/>
      <c r="N1472" s="8"/>
      <c r="O1472" s="8"/>
      <c r="P1472" s="8"/>
      <c r="Q1472" s="8"/>
    </row>
    <row r="1473" ht="13.65" customHeight="1">
      <c r="A1473" s="8"/>
      <c r="B1473" s="8"/>
      <c r="C1473" s="8"/>
      <c r="D1473" s="8"/>
      <c r="E1473" s="8"/>
      <c r="F1473" s="8"/>
      <c r="G1473" s="8"/>
      <c r="H1473" s="8"/>
      <c r="I1473" s="8"/>
      <c r="J1473" s="8"/>
      <c r="K1473" s="8"/>
      <c r="L1473" s="8"/>
      <c r="M1473" s="8"/>
      <c r="N1473" s="8"/>
      <c r="O1473" s="8"/>
      <c r="P1473" s="8"/>
      <c r="Q1473" s="8"/>
    </row>
    <row r="1474" ht="13.65" customHeight="1">
      <c r="A1474" s="8"/>
      <c r="B1474" s="8"/>
      <c r="C1474" s="8"/>
      <c r="D1474" s="8"/>
      <c r="E1474" s="8"/>
      <c r="F1474" s="8"/>
      <c r="G1474" s="8"/>
      <c r="H1474" s="8"/>
      <c r="I1474" s="8"/>
      <c r="J1474" s="8"/>
      <c r="K1474" s="8"/>
      <c r="L1474" s="8"/>
      <c r="M1474" s="8"/>
      <c r="N1474" s="8"/>
      <c r="O1474" s="8"/>
      <c r="P1474" s="8"/>
      <c r="Q1474" s="8"/>
    </row>
    <row r="1475" ht="13.65" customHeight="1">
      <c r="A1475" s="8"/>
      <c r="B1475" s="8"/>
      <c r="C1475" s="8"/>
      <c r="D1475" s="8"/>
      <c r="E1475" s="8"/>
      <c r="F1475" s="8"/>
      <c r="G1475" s="8"/>
      <c r="H1475" s="8"/>
      <c r="I1475" s="8"/>
      <c r="J1475" s="8"/>
      <c r="K1475" s="8"/>
      <c r="L1475" s="8"/>
      <c r="M1475" s="8"/>
      <c r="N1475" s="8"/>
      <c r="O1475" s="8"/>
      <c r="P1475" s="8"/>
      <c r="Q1475" s="8"/>
    </row>
    <row r="1476" ht="13.65" customHeight="1">
      <c r="A1476" s="8"/>
      <c r="B1476" s="8"/>
      <c r="C1476" s="8"/>
      <c r="D1476" s="8"/>
      <c r="E1476" s="8"/>
      <c r="F1476" s="8"/>
      <c r="G1476" s="8"/>
      <c r="H1476" s="8"/>
      <c r="I1476" s="8"/>
      <c r="J1476" s="8"/>
      <c r="K1476" s="8"/>
      <c r="L1476" s="8"/>
      <c r="M1476" s="8"/>
      <c r="N1476" s="8"/>
      <c r="O1476" s="8"/>
      <c r="P1476" s="8"/>
      <c r="Q1476" s="8"/>
    </row>
    <row r="1477" ht="13.65" customHeight="1">
      <c r="A1477" s="8"/>
      <c r="B1477" s="8"/>
      <c r="C1477" s="8"/>
      <c r="D1477" s="8"/>
      <c r="E1477" s="8"/>
      <c r="F1477" s="8"/>
      <c r="G1477" s="8"/>
      <c r="H1477" s="8"/>
      <c r="I1477" s="8"/>
      <c r="J1477" s="8"/>
      <c r="K1477" s="8"/>
      <c r="L1477" s="8"/>
      <c r="M1477" s="8"/>
      <c r="N1477" s="8"/>
      <c r="O1477" s="8"/>
      <c r="P1477" s="8"/>
      <c r="Q1477" s="8"/>
    </row>
    <row r="1478" ht="13.65" customHeight="1">
      <c r="A1478" s="8"/>
      <c r="B1478" s="8"/>
      <c r="C1478" s="8"/>
      <c r="D1478" s="8"/>
      <c r="E1478" s="8"/>
      <c r="F1478" s="8"/>
      <c r="G1478" s="8"/>
      <c r="H1478" s="8"/>
      <c r="I1478" s="8"/>
      <c r="J1478" s="8"/>
      <c r="K1478" s="8"/>
      <c r="L1478" s="8"/>
      <c r="M1478" s="8"/>
      <c r="N1478" s="8"/>
      <c r="O1478" s="8"/>
      <c r="P1478" s="8"/>
      <c r="Q1478" s="8"/>
    </row>
    <row r="1479" ht="13.65" customHeight="1">
      <c r="A1479" s="8"/>
      <c r="B1479" s="8"/>
      <c r="C1479" s="8"/>
      <c r="D1479" s="8"/>
      <c r="E1479" s="8"/>
      <c r="F1479" s="8"/>
      <c r="G1479" s="8"/>
      <c r="H1479" s="8"/>
      <c r="I1479" s="8"/>
      <c r="J1479" s="8"/>
      <c r="K1479" s="8"/>
      <c r="L1479" s="8"/>
      <c r="M1479" s="8"/>
      <c r="N1479" s="8"/>
      <c r="O1479" s="8"/>
      <c r="P1479" s="8"/>
      <c r="Q1479" s="8"/>
    </row>
    <row r="1480" ht="13.65" customHeight="1">
      <c r="A1480" s="8"/>
      <c r="B1480" s="8"/>
      <c r="C1480" s="8"/>
      <c r="D1480" s="8"/>
      <c r="E1480" s="8"/>
      <c r="F1480" s="8"/>
      <c r="G1480" s="8"/>
      <c r="H1480" s="8"/>
      <c r="I1480" s="8"/>
      <c r="J1480" s="8"/>
      <c r="K1480" s="8"/>
      <c r="L1480" s="8"/>
      <c r="M1480" s="8"/>
      <c r="N1480" s="8"/>
      <c r="O1480" s="8"/>
      <c r="P1480" s="8"/>
      <c r="Q1480" s="8"/>
    </row>
    <row r="1481" ht="13.65" customHeight="1">
      <c r="A1481" s="8"/>
      <c r="B1481" s="8"/>
      <c r="C1481" s="8"/>
      <c r="D1481" s="8"/>
      <c r="E1481" s="8"/>
      <c r="F1481" s="8"/>
      <c r="G1481" s="8"/>
      <c r="H1481" s="8"/>
      <c r="I1481" s="8"/>
      <c r="J1481" s="8"/>
      <c r="K1481" s="8"/>
      <c r="L1481" s="8"/>
      <c r="M1481" s="8"/>
      <c r="N1481" s="8"/>
      <c r="O1481" s="8"/>
      <c r="P1481" s="8"/>
      <c r="Q1481" s="8"/>
    </row>
    <row r="1482" ht="13.65" customHeight="1">
      <c r="A1482" s="8"/>
      <c r="B1482" s="8"/>
      <c r="C1482" s="8"/>
      <c r="D1482" s="8"/>
      <c r="E1482" s="8"/>
      <c r="F1482" s="8"/>
      <c r="G1482" s="8"/>
      <c r="H1482" s="8"/>
      <c r="I1482" s="8"/>
      <c r="J1482" s="8"/>
      <c r="K1482" s="8"/>
      <c r="L1482" s="8"/>
      <c r="M1482" s="8"/>
      <c r="N1482" s="8"/>
      <c r="O1482" s="8"/>
      <c r="P1482" s="8"/>
      <c r="Q1482" s="8"/>
    </row>
    <row r="1483" ht="13.65" customHeight="1">
      <c r="A1483" s="8"/>
      <c r="B1483" s="8"/>
      <c r="C1483" s="8"/>
      <c r="D1483" s="8"/>
      <c r="E1483" s="8"/>
      <c r="F1483" s="8"/>
      <c r="G1483" s="8"/>
      <c r="H1483" s="8"/>
      <c r="I1483" s="8"/>
      <c r="J1483" s="8"/>
      <c r="K1483" s="8"/>
      <c r="L1483" s="8"/>
      <c r="M1483" s="8"/>
      <c r="N1483" s="8"/>
      <c r="O1483" s="8"/>
      <c r="P1483" s="8"/>
      <c r="Q1483" s="8"/>
    </row>
    <row r="1484" ht="13.65" customHeight="1">
      <c r="A1484" s="8"/>
      <c r="B1484" s="8"/>
      <c r="C1484" s="8"/>
      <c r="D1484" s="8"/>
      <c r="E1484" s="8"/>
      <c r="F1484" s="8"/>
      <c r="G1484" s="8"/>
      <c r="H1484" s="8"/>
      <c r="I1484" s="8"/>
      <c r="J1484" s="8"/>
      <c r="K1484" s="8"/>
      <c r="L1484" s="8"/>
      <c r="M1484" s="8"/>
      <c r="N1484" s="8"/>
      <c r="O1484" s="8"/>
      <c r="P1484" s="8"/>
      <c r="Q1484" s="8"/>
    </row>
    <row r="1485" ht="13.65" customHeight="1">
      <c r="A1485" s="8"/>
      <c r="B1485" s="8"/>
      <c r="C1485" s="8"/>
      <c r="D1485" s="8"/>
      <c r="E1485" s="8"/>
      <c r="F1485" s="8"/>
      <c r="G1485" s="8"/>
      <c r="H1485" s="8"/>
      <c r="I1485" s="8"/>
      <c r="J1485" s="8"/>
      <c r="K1485" s="8"/>
      <c r="L1485" s="8"/>
      <c r="M1485" s="8"/>
      <c r="N1485" s="8"/>
      <c r="O1485" s="8"/>
      <c r="P1485" s="8"/>
      <c r="Q1485" s="8"/>
    </row>
    <row r="1486" ht="13.65" customHeight="1">
      <c r="A1486" s="8"/>
      <c r="B1486" s="8"/>
      <c r="C1486" s="8"/>
      <c r="D1486" s="8"/>
      <c r="E1486" s="8"/>
      <c r="F1486" s="8"/>
      <c r="G1486" s="8"/>
      <c r="H1486" s="8"/>
      <c r="I1486" s="8"/>
      <c r="J1486" s="8"/>
      <c r="K1486" s="8"/>
      <c r="L1486" s="8"/>
      <c r="M1486" s="8"/>
      <c r="N1486" s="8"/>
      <c r="O1486" s="8"/>
      <c r="P1486" s="8"/>
      <c r="Q1486" s="8"/>
    </row>
    <row r="1487" ht="13.65" customHeight="1">
      <c r="A1487" s="8"/>
      <c r="B1487" s="8"/>
      <c r="C1487" s="8"/>
      <c r="D1487" s="8"/>
      <c r="E1487" s="8"/>
      <c r="F1487" s="8"/>
      <c r="G1487" s="8"/>
      <c r="H1487" s="8"/>
      <c r="I1487" s="8"/>
      <c r="J1487" s="8"/>
      <c r="K1487" s="8"/>
      <c r="L1487" s="8"/>
      <c r="M1487" s="8"/>
      <c r="N1487" s="8"/>
      <c r="O1487" s="8"/>
      <c r="P1487" s="8"/>
      <c r="Q1487" s="8"/>
    </row>
    <row r="1488" ht="13.65" customHeight="1">
      <c r="A1488" s="8"/>
      <c r="B1488" s="8"/>
      <c r="C1488" s="8"/>
      <c r="D1488" s="8"/>
      <c r="E1488" s="8"/>
      <c r="F1488" s="8"/>
      <c r="G1488" s="8"/>
      <c r="H1488" s="8"/>
      <c r="I1488" s="8"/>
      <c r="J1488" s="8"/>
      <c r="K1488" s="8"/>
      <c r="L1488" s="8"/>
      <c r="M1488" s="8"/>
      <c r="N1488" s="8"/>
      <c r="O1488" s="8"/>
      <c r="P1488" s="8"/>
      <c r="Q1488" s="8"/>
    </row>
    <row r="1489" ht="13.65" customHeight="1">
      <c r="A1489" s="8"/>
      <c r="B1489" s="8"/>
      <c r="C1489" s="8"/>
      <c r="D1489" s="8"/>
      <c r="E1489" s="8"/>
      <c r="F1489" s="8"/>
      <c r="G1489" s="8"/>
      <c r="H1489" s="8"/>
      <c r="I1489" s="8"/>
      <c r="J1489" s="8"/>
      <c r="K1489" s="8"/>
      <c r="L1489" s="8"/>
      <c r="M1489" s="8"/>
      <c r="N1489" s="8"/>
      <c r="O1489" s="8"/>
      <c r="P1489" s="8"/>
      <c r="Q1489" s="8"/>
    </row>
    <row r="1490" ht="13.65" customHeight="1">
      <c r="A1490" s="8"/>
      <c r="B1490" s="8"/>
      <c r="C1490" s="8"/>
      <c r="D1490" s="8"/>
      <c r="E1490" s="8"/>
      <c r="F1490" s="8"/>
      <c r="G1490" s="8"/>
      <c r="H1490" s="8"/>
      <c r="I1490" s="8"/>
      <c r="J1490" s="8"/>
      <c r="K1490" s="8"/>
      <c r="L1490" s="8"/>
      <c r="M1490" s="8"/>
      <c r="N1490" s="8"/>
      <c r="O1490" s="8"/>
      <c r="P1490" s="8"/>
      <c r="Q1490" s="8"/>
    </row>
    <row r="1491" ht="13.65" customHeight="1">
      <c r="A1491" s="8"/>
      <c r="B1491" s="8"/>
      <c r="C1491" s="8"/>
      <c r="D1491" s="8"/>
      <c r="E1491" s="8"/>
      <c r="F1491" s="8"/>
      <c r="G1491" s="8"/>
      <c r="H1491" s="8"/>
      <c r="I1491" s="8"/>
      <c r="J1491" s="8"/>
      <c r="K1491" s="8"/>
      <c r="L1491" s="8"/>
      <c r="M1491" s="8"/>
      <c r="N1491" s="8"/>
      <c r="O1491" s="8"/>
      <c r="P1491" s="8"/>
      <c r="Q1491" s="8"/>
    </row>
    <row r="1492" ht="13.65" customHeight="1">
      <c r="A1492" s="8"/>
      <c r="B1492" s="8"/>
      <c r="C1492" s="8"/>
      <c r="D1492" s="8"/>
      <c r="E1492" s="8"/>
      <c r="F1492" s="8"/>
      <c r="G1492" s="8"/>
      <c r="H1492" s="8"/>
      <c r="I1492" s="8"/>
      <c r="J1492" s="8"/>
      <c r="K1492" s="8"/>
      <c r="L1492" s="8"/>
      <c r="M1492" s="8"/>
      <c r="N1492" s="8"/>
      <c r="O1492" s="8"/>
      <c r="P1492" s="8"/>
      <c r="Q1492" s="8"/>
    </row>
    <row r="1493" ht="13.65" customHeight="1">
      <c r="A1493" s="8"/>
      <c r="B1493" s="8"/>
      <c r="C1493" s="8"/>
      <c r="D1493" s="8"/>
      <c r="E1493" s="8"/>
      <c r="F1493" s="8"/>
      <c r="G1493" s="8"/>
      <c r="H1493" s="8"/>
      <c r="I1493" s="8"/>
      <c r="J1493" s="8"/>
      <c r="K1493" s="8"/>
      <c r="L1493" s="8"/>
      <c r="M1493" s="8"/>
      <c r="N1493" s="8"/>
      <c r="O1493" s="8"/>
      <c r="P1493" s="8"/>
      <c r="Q1493" s="8"/>
    </row>
    <row r="1494" ht="13.65" customHeight="1">
      <c r="A1494" s="8"/>
      <c r="B1494" s="8"/>
      <c r="C1494" s="8"/>
      <c r="D1494" s="8"/>
      <c r="E1494" s="8"/>
      <c r="F1494" s="8"/>
      <c r="G1494" s="8"/>
      <c r="H1494" s="8"/>
      <c r="I1494" s="8"/>
      <c r="J1494" s="8"/>
      <c r="K1494" s="8"/>
      <c r="L1494" s="8"/>
      <c r="M1494" s="8"/>
      <c r="N1494" s="8"/>
      <c r="O1494" s="8"/>
      <c r="P1494" s="8"/>
      <c r="Q1494" s="8"/>
    </row>
    <row r="1495" ht="13.65" customHeight="1">
      <c r="A1495" s="8"/>
      <c r="B1495" s="8"/>
      <c r="C1495" s="8"/>
      <c r="D1495" s="8"/>
      <c r="E1495" s="8"/>
      <c r="F1495" s="8"/>
      <c r="G1495" s="8"/>
      <c r="H1495" s="8"/>
      <c r="I1495" s="8"/>
      <c r="J1495" s="8"/>
      <c r="K1495" s="8"/>
      <c r="L1495" s="8"/>
      <c r="M1495" s="8"/>
      <c r="N1495" s="8"/>
      <c r="O1495" s="8"/>
      <c r="P1495" s="8"/>
      <c r="Q1495" s="8"/>
    </row>
    <row r="1496" ht="13.65" customHeight="1">
      <c r="A1496" s="8"/>
      <c r="B1496" s="8"/>
      <c r="C1496" s="8"/>
      <c r="D1496" s="8"/>
      <c r="E1496" s="8"/>
      <c r="F1496" s="8"/>
      <c r="G1496" s="8"/>
      <c r="H1496" s="8"/>
      <c r="I1496" s="8"/>
      <c r="J1496" s="8"/>
      <c r="K1496" s="8"/>
      <c r="L1496" s="8"/>
      <c r="M1496" s="8"/>
      <c r="N1496" s="8"/>
      <c r="O1496" s="8"/>
      <c r="P1496" s="8"/>
      <c r="Q1496" s="8"/>
    </row>
    <row r="1497" ht="13.65" customHeight="1">
      <c r="A1497" s="8"/>
      <c r="B1497" s="8"/>
      <c r="C1497" s="8"/>
      <c r="D1497" s="8"/>
      <c r="E1497" s="8"/>
      <c r="F1497" s="8"/>
      <c r="G1497" s="8"/>
      <c r="H1497" s="8"/>
      <c r="I1497" s="8"/>
      <c r="J1497" s="8"/>
      <c r="K1497" s="8"/>
      <c r="L1497" s="8"/>
      <c r="M1497" s="8"/>
      <c r="N1497" s="8"/>
      <c r="O1497" s="8"/>
      <c r="P1497" s="8"/>
      <c r="Q1497" s="8"/>
    </row>
    <row r="1498" ht="13.65" customHeight="1">
      <c r="A1498" s="8"/>
      <c r="B1498" s="8"/>
      <c r="C1498" s="8"/>
      <c r="D1498" s="8"/>
      <c r="E1498" s="8"/>
      <c r="F1498" s="8"/>
      <c r="G1498" s="8"/>
      <c r="H1498" s="8"/>
      <c r="I1498" s="8"/>
      <c r="J1498" s="8"/>
      <c r="K1498" s="8"/>
      <c r="L1498" s="8"/>
      <c r="M1498" s="8"/>
      <c r="N1498" s="8"/>
      <c r="O1498" s="8"/>
      <c r="P1498" s="8"/>
      <c r="Q1498" s="8"/>
    </row>
    <row r="1499" ht="13.65" customHeight="1">
      <c r="A1499" s="8"/>
      <c r="B1499" s="8"/>
      <c r="C1499" s="8"/>
      <c r="D1499" s="8"/>
      <c r="E1499" s="8"/>
      <c r="F1499" s="8"/>
      <c r="G1499" s="8"/>
      <c r="H1499" s="8"/>
      <c r="I1499" s="8"/>
      <c r="J1499" s="8"/>
      <c r="K1499" s="8"/>
      <c r="L1499" s="8"/>
      <c r="M1499" s="8"/>
      <c r="N1499" s="8"/>
      <c r="O1499" s="8"/>
      <c r="P1499" s="8"/>
      <c r="Q1499" s="8"/>
    </row>
    <row r="1500" ht="13.65" customHeight="1">
      <c r="A1500" s="8"/>
      <c r="B1500" s="8"/>
      <c r="C1500" s="8"/>
      <c r="D1500" s="8"/>
      <c r="E1500" s="8"/>
      <c r="F1500" s="8"/>
      <c r="G1500" s="8"/>
      <c r="H1500" s="8"/>
      <c r="I1500" s="8"/>
      <c r="J1500" s="8"/>
      <c r="K1500" s="8"/>
      <c r="L1500" s="8"/>
      <c r="M1500" s="8"/>
      <c r="N1500" s="8"/>
      <c r="O1500" s="8"/>
      <c r="P1500" s="8"/>
      <c r="Q1500" s="8"/>
    </row>
    <row r="1501" ht="13.65" customHeight="1">
      <c r="A1501" s="8"/>
      <c r="B1501" s="8"/>
      <c r="C1501" s="8"/>
      <c r="D1501" s="8"/>
      <c r="E1501" s="8"/>
      <c r="F1501" s="8"/>
      <c r="G1501" s="8"/>
      <c r="H1501" s="8"/>
      <c r="I1501" s="8"/>
      <c r="J1501" s="8"/>
      <c r="K1501" s="8"/>
      <c r="L1501" s="8"/>
      <c r="M1501" s="8"/>
      <c r="N1501" s="8"/>
      <c r="O1501" s="8"/>
      <c r="P1501" s="8"/>
      <c r="Q1501" s="8"/>
    </row>
    <row r="1502" ht="13.65" customHeight="1">
      <c r="A1502" s="8"/>
      <c r="B1502" s="8"/>
      <c r="C1502" s="8"/>
      <c r="D1502" s="8"/>
      <c r="E1502" s="8"/>
      <c r="F1502" s="8"/>
      <c r="G1502" s="8"/>
      <c r="H1502" s="8"/>
      <c r="I1502" s="8"/>
      <c r="J1502" s="8"/>
      <c r="K1502" s="8"/>
      <c r="L1502" s="8"/>
      <c r="M1502" s="8"/>
      <c r="N1502" s="8"/>
      <c r="O1502" s="8"/>
      <c r="P1502" s="8"/>
      <c r="Q1502" s="8"/>
    </row>
    <row r="1503" ht="13.65" customHeight="1">
      <c r="A1503" s="8"/>
      <c r="B1503" s="8"/>
      <c r="C1503" s="8"/>
      <c r="D1503" s="8"/>
      <c r="E1503" s="8"/>
      <c r="F1503" s="8"/>
      <c r="G1503" s="8"/>
      <c r="H1503" s="8"/>
      <c r="I1503" s="8"/>
      <c r="J1503" s="8"/>
      <c r="K1503" s="8"/>
      <c r="L1503" s="8"/>
      <c r="M1503" s="8"/>
      <c r="N1503" s="8"/>
      <c r="O1503" s="8"/>
      <c r="P1503" s="8"/>
      <c r="Q1503" s="8"/>
    </row>
    <row r="1504" ht="13.65" customHeight="1">
      <c r="A1504" s="8"/>
      <c r="B1504" s="8"/>
      <c r="C1504" s="8"/>
      <c r="D1504" s="8"/>
      <c r="E1504" s="8"/>
      <c r="F1504" s="8"/>
      <c r="G1504" s="8"/>
      <c r="H1504" s="8"/>
      <c r="I1504" s="8"/>
      <c r="J1504" s="8"/>
      <c r="K1504" s="8"/>
      <c r="L1504" s="8"/>
      <c r="M1504" s="8"/>
      <c r="N1504" s="8"/>
      <c r="O1504" s="8"/>
      <c r="P1504" s="8"/>
      <c r="Q1504" s="8"/>
    </row>
    <row r="1505" ht="13.65" customHeight="1">
      <c r="A1505" s="8"/>
      <c r="B1505" s="8"/>
      <c r="C1505" s="8"/>
      <c r="D1505" s="8"/>
      <c r="E1505" s="8"/>
      <c r="F1505" s="8"/>
      <c r="G1505" s="8"/>
      <c r="H1505" s="8"/>
      <c r="I1505" s="8"/>
      <c r="J1505" s="8"/>
      <c r="K1505" s="8"/>
      <c r="L1505" s="8"/>
      <c r="M1505" s="8"/>
      <c r="N1505" s="8"/>
      <c r="O1505" s="8"/>
      <c r="P1505" s="8"/>
      <c r="Q1505" s="8"/>
    </row>
    <row r="1506" ht="13.65" customHeight="1">
      <c r="A1506" s="8"/>
      <c r="B1506" s="8"/>
      <c r="C1506" s="8"/>
      <c r="D1506" s="8"/>
      <c r="E1506" s="8"/>
      <c r="F1506" s="8"/>
      <c r="G1506" s="8"/>
      <c r="H1506" s="8"/>
      <c r="I1506" s="8"/>
      <c r="J1506" s="8"/>
      <c r="K1506" s="8"/>
      <c r="L1506" s="8"/>
      <c r="M1506" s="8"/>
      <c r="N1506" s="8"/>
      <c r="O1506" s="8"/>
      <c r="P1506" s="8"/>
      <c r="Q1506" s="8"/>
    </row>
    <row r="1507" ht="13.65" customHeight="1">
      <c r="A1507" s="8"/>
      <c r="B1507" s="8"/>
      <c r="C1507" s="8"/>
      <c r="D1507" s="8"/>
      <c r="E1507" s="8"/>
      <c r="F1507" s="8"/>
      <c r="G1507" s="8"/>
      <c r="H1507" s="8"/>
      <c r="I1507" s="8"/>
      <c r="J1507" s="8"/>
      <c r="K1507" s="8"/>
      <c r="L1507" s="8"/>
      <c r="M1507" s="8"/>
      <c r="N1507" s="8"/>
      <c r="O1507" s="8"/>
      <c r="P1507" s="8"/>
      <c r="Q1507" s="8"/>
    </row>
    <row r="1508" ht="13.65" customHeight="1">
      <c r="A1508" s="8"/>
      <c r="B1508" s="8"/>
      <c r="C1508" s="8"/>
      <c r="D1508" s="8"/>
      <c r="E1508" s="8"/>
      <c r="F1508" s="8"/>
      <c r="G1508" s="8"/>
      <c r="H1508" s="8"/>
      <c r="I1508" s="8"/>
      <c r="J1508" s="8"/>
      <c r="K1508" s="8"/>
      <c r="L1508" s="8"/>
      <c r="M1508" s="8"/>
      <c r="N1508" s="8"/>
      <c r="O1508" s="8"/>
      <c r="P1508" s="8"/>
      <c r="Q1508" s="8"/>
    </row>
    <row r="1509" ht="13.65" customHeight="1">
      <c r="A1509" s="8"/>
      <c r="B1509" s="8"/>
      <c r="C1509" s="8"/>
      <c r="D1509" s="8"/>
      <c r="E1509" s="8"/>
      <c r="F1509" s="8"/>
      <c r="G1509" s="8"/>
      <c r="H1509" s="8"/>
      <c r="I1509" s="8"/>
      <c r="J1509" s="8"/>
      <c r="K1509" s="8"/>
      <c r="L1509" s="8"/>
      <c r="M1509" s="8"/>
      <c r="N1509" s="8"/>
      <c r="O1509" s="8"/>
      <c r="P1509" s="8"/>
      <c r="Q1509" s="8"/>
    </row>
    <row r="1510" ht="13.65" customHeight="1">
      <c r="A1510" s="8"/>
      <c r="B1510" s="8"/>
      <c r="C1510" s="8"/>
      <c r="D1510" s="8"/>
      <c r="E1510" s="8"/>
      <c r="F1510" s="8"/>
      <c r="G1510" s="8"/>
      <c r="H1510" s="8"/>
      <c r="I1510" s="8"/>
      <c r="J1510" s="8"/>
      <c r="K1510" s="8"/>
      <c r="L1510" s="8"/>
      <c r="M1510" s="8"/>
      <c r="N1510" s="8"/>
      <c r="O1510" s="8"/>
      <c r="P1510" s="8"/>
      <c r="Q1510" s="8"/>
    </row>
    <row r="1511" ht="13.65" customHeight="1">
      <c r="A1511" s="8"/>
      <c r="B1511" s="8"/>
      <c r="C1511" s="8"/>
      <c r="D1511" s="8"/>
      <c r="E1511" s="8"/>
      <c r="F1511" s="8"/>
      <c r="G1511" s="8"/>
      <c r="H1511" s="8"/>
      <c r="I1511" s="8"/>
      <c r="J1511" s="8"/>
      <c r="K1511" s="8"/>
      <c r="L1511" s="8"/>
      <c r="M1511" s="8"/>
      <c r="N1511" s="8"/>
      <c r="O1511" s="8"/>
      <c r="P1511" s="8"/>
      <c r="Q1511" s="8"/>
    </row>
    <row r="1512" ht="13.65" customHeight="1">
      <c r="A1512" s="8"/>
      <c r="B1512" s="8"/>
      <c r="C1512" s="8"/>
      <c r="D1512" s="8"/>
      <c r="E1512" s="8"/>
      <c r="F1512" s="8"/>
      <c r="G1512" s="8"/>
      <c r="H1512" s="8"/>
      <c r="I1512" s="8"/>
      <c r="J1512" s="8"/>
      <c r="K1512" s="8"/>
      <c r="L1512" s="8"/>
      <c r="M1512" s="8"/>
      <c r="N1512" s="8"/>
      <c r="O1512" s="8"/>
      <c r="P1512" s="8"/>
      <c r="Q1512" s="8"/>
    </row>
    <row r="1513" ht="13.65" customHeight="1">
      <c r="A1513" s="8"/>
      <c r="B1513" s="8"/>
      <c r="C1513" s="8"/>
      <c r="D1513" s="8"/>
      <c r="E1513" s="8"/>
      <c r="F1513" s="8"/>
      <c r="G1513" s="8"/>
      <c r="H1513" s="8"/>
      <c r="I1513" s="8"/>
      <c r="J1513" s="8"/>
      <c r="K1513" s="8"/>
      <c r="L1513" s="8"/>
      <c r="M1513" s="8"/>
      <c r="N1513" s="8"/>
      <c r="O1513" s="8"/>
      <c r="P1513" s="8"/>
      <c r="Q1513" s="8"/>
    </row>
    <row r="1514" ht="13.65" customHeight="1">
      <c r="A1514" s="8"/>
      <c r="B1514" s="8"/>
      <c r="C1514" s="8"/>
      <c r="D1514" s="8"/>
      <c r="E1514" s="8"/>
      <c r="F1514" s="8"/>
      <c r="G1514" s="8"/>
      <c r="H1514" s="8"/>
      <c r="I1514" s="8"/>
      <c r="J1514" s="8"/>
      <c r="K1514" s="8"/>
      <c r="L1514" s="8"/>
      <c r="M1514" s="8"/>
      <c r="N1514" s="8"/>
      <c r="O1514" s="8"/>
      <c r="P1514" s="8"/>
      <c r="Q1514" s="8"/>
    </row>
    <row r="1515" ht="13.65" customHeight="1">
      <c r="A1515" s="8"/>
      <c r="B1515" s="8"/>
      <c r="C1515" s="8"/>
      <c r="D1515" s="8"/>
      <c r="E1515" s="8"/>
      <c r="F1515" s="8"/>
      <c r="G1515" s="8"/>
      <c r="H1515" s="8"/>
      <c r="I1515" s="8"/>
      <c r="J1515" s="8"/>
      <c r="K1515" s="8"/>
      <c r="L1515" s="8"/>
      <c r="M1515" s="8"/>
      <c r="N1515" s="8"/>
      <c r="O1515" s="8"/>
      <c r="P1515" s="8"/>
      <c r="Q1515" s="8"/>
    </row>
    <row r="1516" ht="13.65" customHeight="1">
      <c r="A1516" s="8"/>
      <c r="B1516" s="8"/>
      <c r="C1516" s="8"/>
      <c r="D1516" s="8"/>
      <c r="E1516" s="8"/>
      <c r="F1516" s="8"/>
      <c r="G1516" s="8"/>
      <c r="H1516" s="8"/>
      <c r="I1516" s="8"/>
      <c r="J1516" s="8"/>
      <c r="K1516" s="8"/>
      <c r="L1516" s="8"/>
      <c r="M1516" s="8"/>
      <c r="N1516" s="8"/>
      <c r="O1516" s="8"/>
      <c r="P1516" s="8"/>
      <c r="Q1516" s="8"/>
    </row>
    <row r="1517" ht="13.65" customHeight="1">
      <c r="A1517" s="8"/>
      <c r="B1517" s="8"/>
      <c r="C1517" s="8"/>
      <c r="D1517" s="8"/>
      <c r="E1517" s="8"/>
      <c r="F1517" s="8"/>
      <c r="G1517" s="8"/>
      <c r="H1517" s="8"/>
      <c r="I1517" s="8"/>
      <c r="J1517" s="8"/>
      <c r="K1517" s="8"/>
      <c r="L1517" s="8"/>
      <c r="M1517" s="8"/>
      <c r="N1517" s="8"/>
      <c r="O1517" s="8"/>
      <c r="P1517" s="8"/>
      <c r="Q1517" s="8"/>
    </row>
    <row r="1518" ht="13.65" customHeight="1">
      <c r="A1518" s="8"/>
      <c r="B1518" s="8"/>
      <c r="C1518" s="8"/>
      <c r="D1518" s="8"/>
      <c r="E1518" s="8"/>
      <c r="F1518" s="8"/>
      <c r="G1518" s="8"/>
      <c r="H1518" s="8"/>
      <c r="I1518" s="8"/>
      <c r="J1518" s="8"/>
      <c r="K1518" s="8"/>
      <c r="L1518" s="8"/>
      <c r="M1518" s="8"/>
      <c r="N1518" s="8"/>
      <c r="O1518" s="8"/>
      <c r="P1518" s="8"/>
      <c r="Q1518" s="8"/>
    </row>
    <row r="1519" ht="13.65" customHeight="1">
      <c r="A1519" s="8"/>
      <c r="B1519" s="8"/>
      <c r="C1519" s="8"/>
      <c r="D1519" s="8"/>
      <c r="E1519" s="8"/>
      <c r="F1519" s="8"/>
      <c r="G1519" s="8"/>
      <c r="H1519" s="8"/>
      <c r="I1519" s="8"/>
      <c r="J1519" s="8"/>
      <c r="K1519" s="8"/>
      <c r="L1519" s="8"/>
      <c r="M1519" s="8"/>
      <c r="N1519" s="8"/>
      <c r="O1519" s="8"/>
      <c r="P1519" s="8"/>
      <c r="Q1519" s="8"/>
    </row>
    <row r="1520" ht="13.65" customHeight="1">
      <c r="A1520" s="8"/>
      <c r="B1520" s="8"/>
      <c r="C1520" s="8"/>
      <c r="D1520" s="8"/>
      <c r="E1520" s="8"/>
      <c r="F1520" s="8"/>
      <c r="G1520" s="8"/>
      <c r="H1520" s="8"/>
      <c r="I1520" s="8"/>
      <c r="J1520" s="8"/>
      <c r="K1520" s="8"/>
      <c r="L1520" s="8"/>
      <c r="M1520" s="8"/>
      <c r="N1520" s="8"/>
      <c r="O1520" s="8"/>
      <c r="P1520" s="8"/>
      <c r="Q1520" s="8"/>
    </row>
    <row r="1521" ht="13.65" customHeight="1">
      <c r="A1521" s="8"/>
      <c r="B1521" s="8"/>
      <c r="C1521" s="8"/>
      <c r="D1521" s="8"/>
      <c r="E1521" s="8"/>
      <c r="F1521" s="8"/>
      <c r="G1521" s="8"/>
      <c r="H1521" s="8"/>
      <c r="I1521" s="8"/>
      <c r="J1521" s="8"/>
      <c r="K1521" s="8"/>
      <c r="L1521" s="8"/>
      <c r="M1521" s="8"/>
      <c r="N1521" s="8"/>
      <c r="O1521" s="8"/>
      <c r="P1521" s="8"/>
      <c r="Q1521" s="8"/>
    </row>
    <row r="1522" ht="13.65" customHeight="1">
      <c r="A1522" s="8"/>
      <c r="B1522" s="8"/>
      <c r="C1522" s="8"/>
      <c r="D1522" s="8"/>
      <c r="E1522" s="8"/>
      <c r="F1522" s="8"/>
      <c r="G1522" s="8"/>
      <c r="H1522" s="8"/>
      <c r="I1522" s="8"/>
      <c r="J1522" s="8"/>
      <c r="K1522" s="8"/>
      <c r="L1522" s="8"/>
      <c r="M1522" s="8"/>
      <c r="N1522" s="8"/>
      <c r="O1522" s="8"/>
      <c r="P1522" s="8"/>
      <c r="Q1522" s="8"/>
    </row>
    <row r="1523" ht="13.65" customHeight="1">
      <c r="A1523" s="8"/>
      <c r="B1523" s="8"/>
      <c r="C1523" s="8"/>
      <c r="D1523" s="8"/>
      <c r="E1523" s="8"/>
      <c r="F1523" s="8"/>
      <c r="G1523" s="8"/>
      <c r="H1523" s="8"/>
      <c r="I1523" s="8"/>
      <c r="J1523" s="8"/>
      <c r="K1523" s="8"/>
      <c r="L1523" s="8"/>
      <c r="M1523" s="8"/>
      <c r="N1523" s="8"/>
      <c r="O1523" s="8"/>
      <c r="P1523" s="8"/>
      <c r="Q1523" s="8"/>
    </row>
    <row r="1524" ht="13.65" customHeight="1">
      <c r="A1524" s="8"/>
      <c r="B1524" s="8"/>
      <c r="C1524" s="8"/>
      <c r="D1524" s="8"/>
      <c r="E1524" s="8"/>
      <c r="F1524" s="8"/>
      <c r="G1524" s="8"/>
      <c r="H1524" s="8"/>
      <c r="I1524" s="8"/>
      <c r="J1524" s="8"/>
      <c r="K1524" s="8"/>
      <c r="L1524" s="8"/>
      <c r="M1524" s="8"/>
      <c r="N1524" s="8"/>
      <c r="O1524" s="8"/>
      <c r="P1524" s="8"/>
      <c r="Q1524" s="8"/>
    </row>
    <row r="1525" ht="13.65" customHeight="1">
      <c r="A1525" s="8"/>
      <c r="B1525" s="8"/>
      <c r="C1525" s="8"/>
      <c r="D1525" s="8"/>
      <c r="E1525" s="8"/>
      <c r="F1525" s="8"/>
      <c r="G1525" s="8"/>
      <c r="H1525" s="8"/>
      <c r="I1525" s="8"/>
      <c r="J1525" s="8"/>
      <c r="K1525" s="8"/>
      <c r="L1525" s="8"/>
      <c r="M1525" s="8"/>
      <c r="N1525" s="8"/>
      <c r="O1525" s="8"/>
      <c r="P1525" s="8"/>
      <c r="Q1525" s="8"/>
    </row>
    <row r="1526" ht="13.65" customHeight="1">
      <c r="A1526" s="8"/>
      <c r="B1526" s="8"/>
      <c r="C1526" s="8"/>
      <c r="D1526" s="8"/>
      <c r="E1526" s="8"/>
      <c r="F1526" s="8"/>
      <c r="G1526" s="8"/>
      <c r="H1526" s="8"/>
      <c r="I1526" s="8"/>
      <c r="J1526" s="8"/>
      <c r="K1526" s="8"/>
      <c r="L1526" s="8"/>
      <c r="M1526" s="8"/>
      <c r="N1526" s="8"/>
      <c r="O1526" s="8"/>
      <c r="P1526" s="8"/>
      <c r="Q1526" s="8"/>
    </row>
    <row r="1527" ht="13.65" customHeight="1">
      <c r="A1527" s="8"/>
      <c r="B1527" s="8"/>
      <c r="C1527" s="8"/>
      <c r="D1527" s="8"/>
      <c r="E1527" s="8"/>
      <c r="F1527" s="8"/>
      <c r="G1527" s="8"/>
      <c r="H1527" s="8"/>
      <c r="I1527" s="8"/>
      <c r="J1527" s="8"/>
      <c r="K1527" s="8"/>
      <c r="L1527" s="8"/>
      <c r="M1527" s="8"/>
      <c r="N1527" s="8"/>
      <c r="O1527" s="8"/>
      <c r="P1527" s="8"/>
      <c r="Q1527" s="8"/>
    </row>
    <row r="1528" ht="13.65" customHeight="1">
      <c r="A1528" s="8"/>
      <c r="B1528" s="8"/>
      <c r="C1528" s="8"/>
      <c r="D1528" s="8"/>
      <c r="E1528" s="8"/>
      <c r="F1528" s="8"/>
      <c r="G1528" s="8"/>
      <c r="H1528" s="8"/>
      <c r="I1528" s="8"/>
      <c r="J1528" s="8"/>
      <c r="K1528" s="8"/>
      <c r="L1528" s="8"/>
      <c r="M1528" s="8"/>
      <c r="N1528" s="8"/>
      <c r="O1528" s="8"/>
      <c r="P1528" s="8"/>
      <c r="Q1528" s="8"/>
    </row>
    <row r="1529" ht="13.65" customHeight="1">
      <c r="A1529" s="8"/>
      <c r="B1529" s="8"/>
      <c r="C1529" s="8"/>
      <c r="D1529" s="8"/>
      <c r="E1529" s="8"/>
      <c r="F1529" s="8"/>
      <c r="G1529" s="8"/>
      <c r="H1529" s="8"/>
      <c r="I1529" s="8"/>
      <c r="J1529" s="8"/>
      <c r="K1529" s="8"/>
      <c r="L1529" s="8"/>
      <c r="M1529" s="8"/>
      <c r="N1529" s="8"/>
      <c r="O1529" s="8"/>
      <c r="P1529" s="8"/>
      <c r="Q1529" s="8"/>
    </row>
    <row r="1530" ht="13.65" customHeight="1">
      <c r="A1530" s="8"/>
      <c r="B1530" s="8"/>
      <c r="C1530" s="8"/>
      <c r="D1530" s="8"/>
      <c r="E1530" s="8"/>
      <c r="F1530" s="8"/>
      <c r="G1530" s="8"/>
      <c r="H1530" s="8"/>
      <c r="I1530" s="8"/>
      <c r="J1530" s="8"/>
      <c r="K1530" s="8"/>
      <c r="L1530" s="8"/>
      <c r="M1530" s="8"/>
      <c r="N1530" s="8"/>
      <c r="O1530" s="8"/>
      <c r="P1530" s="8"/>
      <c r="Q1530" s="8"/>
    </row>
    <row r="1531" ht="13.65" customHeight="1">
      <c r="A1531" s="8"/>
      <c r="B1531" s="8"/>
      <c r="C1531" s="8"/>
      <c r="D1531" s="8"/>
      <c r="E1531" s="8"/>
      <c r="F1531" s="8"/>
      <c r="G1531" s="8"/>
      <c r="H1531" s="8"/>
      <c r="I1531" s="8"/>
      <c r="J1531" s="8"/>
      <c r="K1531" s="8"/>
      <c r="L1531" s="8"/>
      <c r="M1531" s="8"/>
      <c r="N1531" s="8"/>
      <c r="O1531" s="8"/>
      <c r="P1531" s="8"/>
      <c r="Q1531" s="8"/>
    </row>
    <row r="1532" ht="13.65" customHeight="1">
      <c r="A1532" s="8"/>
      <c r="B1532" s="8"/>
      <c r="C1532" s="8"/>
      <c r="D1532" s="8"/>
      <c r="E1532" s="8"/>
      <c r="F1532" s="8"/>
      <c r="G1532" s="8"/>
      <c r="H1532" s="8"/>
      <c r="I1532" s="8"/>
      <c r="J1532" s="8"/>
      <c r="K1532" s="8"/>
      <c r="L1532" s="8"/>
      <c r="M1532" s="8"/>
      <c r="N1532" s="8"/>
      <c r="O1532" s="8"/>
      <c r="P1532" s="8"/>
      <c r="Q1532" s="8"/>
    </row>
    <row r="1533" ht="13.65" customHeight="1">
      <c r="A1533" s="8"/>
      <c r="B1533" s="8"/>
      <c r="C1533" s="8"/>
      <c r="D1533" s="8"/>
      <c r="E1533" s="8"/>
      <c r="F1533" s="8"/>
      <c r="G1533" s="8"/>
      <c r="H1533" s="8"/>
      <c r="I1533" s="8"/>
      <c r="J1533" s="8"/>
      <c r="K1533" s="8"/>
      <c r="L1533" s="8"/>
      <c r="M1533" s="8"/>
      <c r="N1533" s="8"/>
      <c r="O1533" s="8"/>
      <c r="P1533" s="8"/>
      <c r="Q1533" s="8"/>
    </row>
    <row r="1534" ht="13.65" customHeight="1">
      <c r="A1534" s="8"/>
      <c r="B1534" s="8"/>
      <c r="C1534" s="8"/>
      <c r="D1534" s="8"/>
      <c r="E1534" s="8"/>
      <c r="F1534" s="8"/>
      <c r="G1534" s="8"/>
      <c r="H1534" s="8"/>
      <c r="I1534" s="8"/>
      <c r="J1534" s="8"/>
      <c r="K1534" s="8"/>
      <c r="L1534" s="8"/>
      <c r="M1534" s="8"/>
      <c r="N1534" s="8"/>
      <c r="O1534" s="8"/>
      <c r="P1534" s="8"/>
      <c r="Q1534" s="8"/>
    </row>
    <row r="1535" ht="13.65" customHeight="1">
      <c r="A1535" s="8"/>
      <c r="B1535" s="8"/>
      <c r="C1535" s="8"/>
      <c r="D1535" s="8"/>
      <c r="E1535" s="8"/>
      <c r="F1535" s="8"/>
      <c r="G1535" s="8"/>
      <c r="H1535" s="8"/>
      <c r="I1535" s="8"/>
      <c r="J1535" s="8"/>
      <c r="K1535" s="8"/>
      <c r="L1535" s="8"/>
      <c r="M1535" s="8"/>
      <c r="N1535" s="8"/>
      <c r="O1535" s="8"/>
      <c r="P1535" s="8"/>
      <c r="Q1535" s="8"/>
    </row>
    <row r="1536" ht="13.65" customHeight="1">
      <c r="A1536" s="8"/>
      <c r="B1536" s="8"/>
      <c r="C1536" s="8"/>
      <c r="D1536" s="8"/>
      <c r="E1536" s="8"/>
      <c r="F1536" s="8"/>
      <c r="G1536" s="8"/>
      <c r="H1536" s="8"/>
      <c r="I1536" s="8"/>
      <c r="J1536" s="8"/>
      <c r="K1536" s="8"/>
      <c r="L1536" s="8"/>
      <c r="M1536" s="8"/>
      <c r="N1536" s="8"/>
      <c r="O1536" s="8"/>
      <c r="P1536" s="8"/>
      <c r="Q1536" s="8"/>
    </row>
    <row r="1537" ht="13.65" customHeight="1">
      <c r="A1537" s="8"/>
      <c r="B1537" s="8"/>
      <c r="C1537" s="8"/>
      <c r="D1537" s="8"/>
      <c r="E1537" s="8"/>
      <c r="F1537" s="8"/>
      <c r="G1537" s="8"/>
      <c r="H1537" s="8"/>
      <c r="I1537" s="8"/>
      <c r="J1537" s="8"/>
      <c r="K1537" s="8"/>
      <c r="L1537" s="8"/>
      <c r="M1537" s="8"/>
      <c r="N1537" s="8"/>
      <c r="O1537" s="8"/>
      <c r="P1537" s="8"/>
      <c r="Q1537" s="8"/>
    </row>
    <row r="1538" ht="13.65" customHeight="1">
      <c r="A1538" s="8"/>
      <c r="B1538" s="8"/>
      <c r="C1538" s="8"/>
      <c r="D1538" s="8"/>
      <c r="E1538" s="8"/>
      <c r="F1538" s="8"/>
      <c r="G1538" s="8"/>
      <c r="H1538" s="8"/>
      <c r="I1538" s="8"/>
      <c r="J1538" s="8"/>
      <c r="K1538" s="8"/>
      <c r="L1538" s="8"/>
      <c r="M1538" s="8"/>
      <c r="N1538" s="8"/>
      <c r="O1538" s="8"/>
      <c r="P1538" s="8"/>
      <c r="Q1538" s="8"/>
    </row>
    <row r="1539" ht="13.65" customHeight="1">
      <c r="A1539" s="8"/>
      <c r="B1539" s="8"/>
      <c r="C1539" s="8"/>
      <c r="D1539" s="8"/>
      <c r="E1539" s="8"/>
      <c r="F1539" s="8"/>
      <c r="G1539" s="8"/>
      <c r="H1539" s="8"/>
      <c r="I1539" s="8"/>
      <c r="J1539" s="8"/>
      <c r="K1539" s="8"/>
      <c r="L1539" s="8"/>
      <c r="M1539" s="8"/>
      <c r="N1539" s="8"/>
      <c r="O1539" s="8"/>
      <c r="P1539" s="8"/>
      <c r="Q1539" s="8"/>
    </row>
    <row r="1540" ht="13.65" customHeight="1">
      <c r="A1540" s="8"/>
      <c r="B1540" s="8"/>
      <c r="C1540" s="8"/>
      <c r="D1540" s="8"/>
      <c r="E1540" s="8"/>
      <c r="F1540" s="8"/>
      <c r="G1540" s="8"/>
      <c r="H1540" s="8"/>
      <c r="I1540" s="8"/>
      <c r="J1540" s="8"/>
      <c r="K1540" s="8"/>
      <c r="L1540" s="8"/>
      <c r="M1540" s="8"/>
      <c r="N1540" s="8"/>
      <c r="O1540" s="8"/>
      <c r="P1540" s="8"/>
      <c r="Q1540" s="8"/>
    </row>
    <row r="1541" ht="13.65" customHeight="1">
      <c r="A1541" s="8"/>
      <c r="B1541" s="8"/>
      <c r="C1541" s="8"/>
      <c r="D1541" s="8"/>
      <c r="E1541" s="8"/>
      <c r="F1541" s="8"/>
      <c r="G1541" s="8"/>
      <c r="H1541" s="8"/>
      <c r="I1541" s="8"/>
      <c r="J1541" s="8"/>
      <c r="K1541" s="8"/>
      <c r="L1541" s="8"/>
      <c r="M1541" s="8"/>
      <c r="N1541" s="8"/>
      <c r="O1541" s="8"/>
      <c r="P1541" s="8"/>
      <c r="Q1541" s="8"/>
    </row>
    <row r="1542" ht="13.65" customHeight="1">
      <c r="A1542" s="8"/>
      <c r="B1542" s="8"/>
      <c r="C1542" s="8"/>
      <c r="D1542" s="8"/>
      <c r="E1542" s="8"/>
      <c r="F1542" s="8"/>
      <c r="G1542" s="8"/>
      <c r="H1542" s="8"/>
      <c r="I1542" s="8"/>
      <c r="J1542" s="8"/>
      <c r="K1542" s="8"/>
      <c r="L1542" s="8"/>
      <c r="M1542" s="8"/>
      <c r="N1542" s="8"/>
      <c r="O1542" s="8"/>
      <c r="P1542" s="8"/>
      <c r="Q1542" s="8"/>
    </row>
    <row r="1543" ht="13.65" customHeight="1">
      <c r="A1543" s="8"/>
      <c r="B1543" s="8"/>
      <c r="C1543" s="8"/>
      <c r="D1543" s="8"/>
      <c r="E1543" s="8"/>
      <c r="F1543" s="8"/>
      <c r="G1543" s="8"/>
      <c r="H1543" s="8"/>
      <c r="I1543" s="8"/>
      <c r="J1543" s="8"/>
      <c r="K1543" s="8"/>
      <c r="L1543" s="8"/>
      <c r="M1543" s="8"/>
      <c r="N1543" s="8"/>
      <c r="O1543" s="8"/>
      <c r="P1543" s="8"/>
      <c r="Q1543" s="8"/>
    </row>
    <row r="1544" ht="13.65" customHeight="1">
      <c r="A1544" s="8"/>
      <c r="B1544" s="8"/>
      <c r="C1544" s="8"/>
      <c r="D1544" s="8"/>
      <c r="E1544" s="8"/>
      <c r="F1544" s="8"/>
      <c r="G1544" s="8"/>
      <c r="H1544" s="8"/>
      <c r="I1544" s="8"/>
      <c r="J1544" s="8"/>
      <c r="K1544" s="8"/>
      <c r="L1544" s="8"/>
      <c r="M1544" s="8"/>
      <c r="N1544" s="8"/>
      <c r="O1544" s="8"/>
      <c r="P1544" s="8"/>
      <c r="Q1544" s="8"/>
    </row>
    <row r="1545" ht="13.65" customHeight="1">
      <c r="A1545" s="8"/>
      <c r="B1545" s="8"/>
      <c r="C1545" s="8"/>
      <c r="D1545" s="8"/>
      <c r="E1545" s="8"/>
      <c r="F1545" s="8"/>
      <c r="G1545" s="8"/>
      <c r="H1545" s="8"/>
      <c r="I1545" s="8"/>
      <c r="J1545" s="8"/>
      <c r="K1545" s="8"/>
      <c r="L1545" s="8"/>
      <c r="M1545" s="8"/>
      <c r="N1545" s="8"/>
      <c r="O1545" s="8"/>
      <c r="P1545" s="8"/>
      <c r="Q1545" s="8"/>
    </row>
    <row r="1546" ht="13.65" customHeight="1">
      <c r="A1546" s="8"/>
      <c r="B1546" s="8"/>
      <c r="C1546" s="8"/>
      <c r="D1546" s="8"/>
      <c r="E1546" s="8"/>
      <c r="F1546" s="8"/>
      <c r="G1546" s="8"/>
      <c r="H1546" s="8"/>
      <c r="I1546" s="8"/>
      <c r="J1546" s="8"/>
      <c r="K1546" s="8"/>
      <c r="L1546" s="8"/>
      <c r="M1546" s="8"/>
      <c r="N1546" s="8"/>
      <c r="O1546" s="8"/>
      <c r="P1546" s="8"/>
      <c r="Q1546" s="8"/>
    </row>
    <row r="1547" ht="13.65" customHeight="1">
      <c r="A1547" s="8"/>
      <c r="B1547" s="8"/>
      <c r="C1547" s="8"/>
      <c r="D1547" s="8"/>
      <c r="E1547" s="8"/>
      <c r="F1547" s="8"/>
      <c r="G1547" s="8"/>
      <c r="H1547" s="8"/>
      <c r="I1547" s="8"/>
      <c r="J1547" s="8"/>
      <c r="K1547" s="8"/>
      <c r="L1547" s="8"/>
      <c r="M1547" s="8"/>
      <c r="N1547" s="8"/>
      <c r="O1547" s="8"/>
      <c r="P1547" s="8"/>
      <c r="Q1547" s="8"/>
    </row>
    <row r="1548" ht="13.65" customHeight="1">
      <c r="A1548" s="8"/>
      <c r="B1548" s="8"/>
      <c r="C1548" s="8"/>
      <c r="D1548" s="8"/>
      <c r="E1548" s="8"/>
      <c r="F1548" s="8"/>
      <c r="G1548" s="8"/>
      <c r="H1548" s="8"/>
      <c r="I1548" s="8"/>
      <c r="J1548" s="8"/>
      <c r="K1548" s="8"/>
      <c r="L1548" s="8"/>
      <c r="M1548" s="8"/>
      <c r="N1548" s="8"/>
      <c r="O1548" s="8"/>
      <c r="P1548" s="8"/>
      <c r="Q1548" s="8"/>
    </row>
    <row r="1549" ht="13.65" customHeight="1">
      <c r="A1549" s="8"/>
      <c r="B1549" s="8"/>
      <c r="C1549" s="8"/>
      <c r="D1549" s="8"/>
      <c r="E1549" s="8"/>
      <c r="F1549" s="8"/>
      <c r="G1549" s="8"/>
      <c r="H1549" s="8"/>
      <c r="I1549" s="8"/>
      <c r="J1549" s="8"/>
      <c r="K1549" s="8"/>
      <c r="L1549" s="8"/>
      <c r="M1549" s="8"/>
      <c r="N1549" s="8"/>
      <c r="O1549" s="8"/>
      <c r="P1549" s="8"/>
      <c r="Q1549" s="8"/>
    </row>
    <row r="1550" ht="13.65" customHeight="1">
      <c r="A1550" s="8"/>
      <c r="B1550" s="8"/>
      <c r="C1550" s="8"/>
      <c r="D1550" s="8"/>
      <c r="E1550" s="8"/>
      <c r="F1550" s="8"/>
      <c r="G1550" s="8"/>
      <c r="H1550" s="8"/>
      <c r="I1550" s="8"/>
      <c r="J1550" s="8"/>
      <c r="K1550" s="8"/>
      <c r="L1550" s="8"/>
      <c r="M1550" s="8"/>
      <c r="N1550" s="8"/>
      <c r="O1550" s="8"/>
      <c r="P1550" s="8"/>
      <c r="Q1550" s="8"/>
    </row>
    <row r="1551" ht="13.65" customHeight="1">
      <c r="A1551" s="8"/>
      <c r="B1551" s="8"/>
      <c r="C1551" s="8"/>
      <c r="D1551" s="8"/>
      <c r="E1551" s="8"/>
      <c r="F1551" s="8"/>
      <c r="G1551" s="8"/>
      <c r="H1551" s="8"/>
      <c r="I1551" s="8"/>
      <c r="J1551" s="8"/>
      <c r="K1551" s="8"/>
      <c r="L1551" s="8"/>
      <c r="M1551" s="8"/>
      <c r="N1551" s="8"/>
      <c r="O1551" s="8"/>
      <c r="P1551" s="8"/>
      <c r="Q1551" s="8"/>
    </row>
    <row r="1552" ht="13.65" customHeight="1">
      <c r="A1552" s="8"/>
      <c r="B1552" s="8"/>
      <c r="C1552" s="8"/>
      <c r="D1552" s="8"/>
      <c r="E1552" s="8"/>
      <c r="F1552" s="8"/>
      <c r="G1552" s="8"/>
      <c r="H1552" s="8"/>
      <c r="I1552" s="8"/>
      <c r="J1552" s="8"/>
      <c r="K1552" s="8"/>
      <c r="L1552" s="8"/>
      <c r="M1552" s="8"/>
      <c r="N1552" s="8"/>
      <c r="O1552" s="8"/>
      <c r="P1552" s="8"/>
      <c r="Q1552" s="8"/>
    </row>
    <row r="1553" ht="13.65" customHeight="1">
      <c r="A1553" s="8"/>
      <c r="B1553" s="8"/>
      <c r="C1553" s="8"/>
      <c r="D1553" s="8"/>
      <c r="E1553" s="8"/>
      <c r="F1553" s="8"/>
      <c r="G1553" s="8"/>
      <c r="H1553" s="8"/>
      <c r="I1553" s="8"/>
      <c r="J1553" s="8"/>
      <c r="K1553" s="8"/>
      <c r="L1553" s="8"/>
      <c r="M1553" s="8"/>
      <c r="N1553" s="8"/>
      <c r="O1553" s="8"/>
      <c r="P1553" s="8"/>
      <c r="Q1553" s="8"/>
    </row>
    <row r="1554" ht="13.65" customHeight="1">
      <c r="A1554" s="8"/>
      <c r="B1554" s="8"/>
      <c r="C1554" s="8"/>
      <c r="D1554" s="8"/>
      <c r="E1554" s="8"/>
      <c r="F1554" s="8"/>
      <c r="G1554" s="8"/>
      <c r="H1554" s="8"/>
      <c r="I1554" s="8"/>
      <c r="J1554" s="8"/>
      <c r="K1554" s="8"/>
      <c r="L1554" s="8"/>
      <c r="M1554" s="8"/>
      <c r="N1554" s="8"/>
      <c r="O1554" s="8"/>
      <c r="P1554" s="8"/>
      <c r="Q1554" s="8"/>
    </row>
    <row r="1555" ht="13.65" customHeight="1">
      <c r="A1555" s="8"/>
      <c r="B1555" s="8"/>
      <c r="C1555" s="8"/>
      <c r="D1555" s="8"/>
      <c r="E1555" s="8"/>
      <c r="F1555" s="8"/>
      <c r="G1555" s="8"/>
      <c r="H1555" s="8"/>
      <c r="I1555" s="8"/>
      <c r="J1555" s="8"/>
      <c r="K1555" s="8"/>
      <c r="L1555" s="8"/>
      <c r="M1555" s="8"/>
      <c r="N1555" s="8"/>
      <c r="O1555" s="8"/>
      <c r="P1555" s="8"/>
      <c r="Q1555" s="8"/>
    </row>
    <row r="1556" ht="13.65" customHeight="1">
      <c r="A1556" s="8"/>
      <c r="B1556" s="8"/>
      <c r="C1556" s="8"/>
      <c r="D1556" s="8"/>
      <c r="E1556" s="8"/>
      <c r="F1556" s="8"/>
      <c r="G1556" s="8"/>
      <c r="H1556" s="8"/>
      <c r="I1556" s="8"/>
      <c r="J1556" s="8"/>
      <c r="K1556" s="8"/>
      <c r="L1556" s="8"/>
      <c r="M1556" s="8"/>
      <c r="N1556" s="8"/>
      <c r="O1556" s="8"/>
      <c r="P1556" s="8"/>
      <c r="Q1556" s="8"/>
    </row>
    <row r="1557" ht="13.65" customHeight="1">
      <c r="A1557" s="8"/>
      <c r="B1557" s="8"/>
      <c r="C1557" s="8"/>
      <c r="D1557" s="8"/>
      <c r="E1557" s="8"/>
      <c r="F1557" s="8"/>
      <c r="G1557" s="8"/>
      <c r="H1557" s="8"/>
      <c r="I1557" s="8"/>
      <c r="J1557" s="8"/>
      <c r="K1557" s="8"/>
      <c r="L1557" s="8"/>
      <c r="M1557" s="8"/>
      <c r="N1557" s="8"/>
      <c r="O1557" s="8"/>
      <c r="P1557" s="8"/>
      <c r="Q1557" s="8"/>
    </row>
    <row r="1558" ht="13.65" customHeight="1">
      <c r="A1558" s="8"/>
      <c r="B1558" s="8"/>
      <c r="C1558" s="8"/>
      <c r="D1558" s="8"/>
      <c r="E1558" s="8"/>
      <c r="F1558" s="8"/>
      <c r="G1558" s="8"/>
      <c r="H1558" s="8"/>
      <c r="I1558" s="8"/>
      <c r="J1558" s="8"/>
      <c r="K1558" s="8"/>
      <c r="L1558" s="8"/>
      <c r="M1558" s="8"/>
      <c r="N1558" s="8"/>
      <c r="O1558" s="8"/>
      <c r="P1558" s="8"/>
      <c r="Q1558" s="8"/>
    </row>
    <row r="1559" ht="13.65" customHeight="1">
      <c r="A1559" s="8"/>
      <c r="B1559" s="8"/>
      <c r="C1559" s="8"/>
      <c r="D1559" s="8"/>
      <c r="E1559" s="8"/>
      <c r="F1559" s="8"/>
      <c r="G1559" s="8"/>
      <c r="H1559" s="8"/>
      <c r="I1559" s="8"/>
      <c r="J1559" s="8"/>
      <c r="K1559" s="8"/>
      <c r="L1559" s="8"/>
      <c r="M1559" s="8"/>
      <c r="N1559" s="8"/>
      <c r="O1559" s="8"/>
      <c r="P1559" s="8"/>
      <c r="Q1559" s="8"/>
    </row>
    <row r="1560" ht="13.65" customHeight="1">
      <c r="A1560" s="8"/>
      <c r="B1560" s="8"/>
      <c r="C1560" s="8"/>
      <c r="D1560" s="8"/>
      <c r="E1560" s="8"/>
      <c r="F1560" s="8"/>
      <c r="G1560" s="8"/>
      <c r="H1560" s="8"/>
      <c r="I1560" s="8"/>
      <c r="J1560" s="8"/>
      <c r="K1560" s="8"/>
      <c r="L1560" s="8"/>
      <c r="M1560" s="8"/>
      <c r="N1560" s="8"/>
      <c r="O1560" s="8"/>
      <c r="P1560" s="8"/>
      <c r="Q1560" s="8"/>
    </row>
    <row r="1561" ht="13.65" customHeight="1">
      <c r="A1561" s="8"/>
      <c r="B1561" s="8"/>
      <c r="C1561" s="8"/>
      <c r="D1561" s="8"/>
      <c r="E1561" s="8"/>
      <c r="F1561" s="8"/>
      <c r="G1561" s="8"/>
      <c r="H1561" s="8"/>
      <c r="I1561" s="8"/>
      <c r="J1561" s="8"/>
      <c r="K1561" s="8"/>
      <c r="L1561" s="8"/>
      <c r="M1561" s="8"/>
      <c r="N1561" s="8"/>
      <c r="O1561" s="8"/>
      <c r="P1561" s="8"/>
      <c r="Q1561" s="8"/>
    </row>
    <row r="1562" ht="13.65" customHeight="1">
      <c r="A1562" s="8"/>
      <c r="B1562" s="8"/>
      <c r="C1562" s="8"/>
      <c r="D1562" s="8"/>
      <c r="E1562" s="8"/>
      <c r="F1562" s="8"/>
      <c r="G1562" s="8"/>
      <c r="H1562" s="8"/>
      <c r="I1562" s="8"/>
      <c r="J1562" s="8"/>
      <c r="K1562" s="8"/>
      <c r="L1562" s="8"/>
      <c r="M1562" s="8"/>
      <c r="N1562" s="8"/>
      <c r="O1562" s="8"/>
      <c r="P1562" s="8"/>
      <c r="Q1562" s="8"/>
    </row>
    <row r="1563" ht="13.65" customHeight="1">
      <c r="A1563" s="8"/>
      <c r="B1563" s="8"/>
      <c r="C1563" s="8"/>
      <c r="D1563" s="8"/>
      <c r="E1563" s="8"/>
      <c r="F1563" s="8"/>
      <c r="G1563" s="8"/>
      <c r="H1563" s="8"/>
      <c r="I1563" s="8"/>
      <c r="J1563" s="8"/>
      <c r="K1563" s="8"/>
      <c r="L1563" s="8"/>
      <c r="M1563" s="8"/>
      <c r="N1563" s="8"/>
      <c r="O1563" s="8"/>
      <c r="P1563" s="8"/>
      <c r="Q1563" s="8"/>
    </row>
    <row r="1564" ht="13.65" customHeight="1">
      <c r="A1564" s="8"/>
      <c r="B1564" s="8"/>
      <c r="C1564" s="8"/>
      <c r="D1564" s="8"/>
      <c r="E1564" s="8"/>
      <c r="F1564" s="8"/>
      <c r="G1564" s="8"/>
      <c r="H1564" s="8"/>
      <c r="I1564" s="8"/>
      <c r="J1564" s="8"/>
      <c r="K1564" s="8"/>
      <c r="L1564" s="8"/>
      <c r="M1564" s="8"/>
      <c r="N1564" s="8"/>
      <c r="O1564" s="8"/>
      <c r="P1564" s="8"/>
      <c r="Q1564" s="8"/>
    </row>
    <row r="1565" ht="13.65" customHeight="1">
      <c r="A1565" s="8"/>
      <c r="B1565" s="8"/>
      <c r="C1565" s="8"/>
      <c r="D1565" s="8"/>
      <c r="E1565" s="8"/>
      <c r="F1565" s="8"/>
      <c r="G1565" s="8"/>
      <c r="H1565" s="8"/>
      <c r="I1565" s="8"/>
      <c r="J1565" s="8"/>
      <c r="K1565" s="8"/>
      <c r="L1565" s="8"/>
      <c r="M1565" s="8"/>
      <c r="N1565" s="8"/>
      <c r="O1565" s="8"/>
      <c r="P1565" s="8"/>
      <c r="Q1565" s="8"/>
    </row>
    <row r="1566" ht="13.65" customHeight="1">
      <c r="A1566" s="8"/>
      <c r="B1566" s="8"/>
      <c r="C1566" s="8"/>
      <c r="D1566" s="8"/>
      <c r="E1566" s="8"/>
      <c r="F1566" s="8"/>
      <c r="G1566" s="8"/>
      <c r="H1566" s="8"/>
      <c r="I1566" s="8"/>
      <c r="J1566" s="8"/>
      <c r="K1566" s="8"/>
      <c r="L1566" s="8"/>
      <c r="M1566" s="8"/>
      <c r="N1566" s="8"/>
      <c r="O1566" s="8"/>
      <c r="P1566" s="8"/>
      <c r="Q1566" s="8"/>
    </row>
    <row r="1567" ht="13.65" customHeight="1">
      <c r="A1567" s="8"/>
      <c r="B1567" s="8"/>
      <c r="C1567" s="8"/>
      <c r="D1567" s="8"/>
      <c r="E1567" s="8"/>
      <c r="F1567" s="8"/>
      <c r="G1567" s="8"/>
      <c r="H1567" s="8"/>
      <c r="I1567" s="8"/>
      <c r="J1567" s="8"/>
      <c r="K1567" s="8"/>
      <c r="L1567" s="8"/>
      <c r="M1567" s="8"/>
      <c r="N1567" s="8"/>
      <c r="O1567" s="8"/>
      <c r="P1567" s="8"/>
      <c r="Q1567" s="8"/>
    </row>
    <row r="1568" ht="13.65" customHeight="1">
      <c r="A1568" s="8"/>
      <c r="B1568" s="8"/>
      <c r="C1568" s="8"/>
      <c r="D1568" s="8"/>
      <c r="E1568" s="8"/>
      <c r="F1568" s="8"/>
      <c r="G1568" s="8"/>
      <c r="H1568" s="8"/>
      <c r="I1568" s="8"/>
      <c r="J1568" s="8"/>
      <c r="K1568" s="8"/>
      <c r="L1568" s="8"/>
      <c r="M1568" s="8"/>
      <c r="N1568" s="8"/>
      <c r="O1568" s="8"/>
      <c r="P1568" s="8"/>
      <c r="Q1568" s="8"/>
    </row>
    <row r="1569" ht="13.65" customHeight="1">
      <c r="A1569" s="8"/>
      <c r="B1569" s="8"/>
      <c r="C1569" s="8"/>
      <c r="D1569" s="8"/>
      <c r="E1569" s="8"/>
      <c r="F1569" s="8"/>
      <c r="G1569" s="8"/>
      <c r="H1569" s="8"/>
      <c r="I1569" s="8"/>
      <c r="J1569" s="8"/>
      <c r="K1569" s="8"/>
      <c r="L1569" s="8"/>
      <c r="M1569" s="8"/>
      <c r="N1569" s="8"/>
      <c r="O1569" s="8"/>
      <c r="P1569" s="8"/>
      <c r="Q1569" s="8"/>
    </row>
    <row r="1570" ht="13.65" customHeight="1">
      <c r="A1570" s="8"/>
      <c r="B1570" s="8"/>
      <c r="C1570" s="8"/>
      <c r="D1570" s="8"/>
      <c r="E1570" s="8"/>
      <c r="F1570" s="8"/>
      <c r="G1570" s="8"/>
      <c r="H1570" s="8"/>
      <c r="I1570" s="8"/>
      <c r="J1570" s="8"/>
      <c r="K1570" s="8"/>
      <c r="L1570" s="8"/>
      <c r="M1570" s="8"/>
      <c r="N1570" s="8"/>
      <c r="O1570" s="8"/>
      <c r="P1570" s="8"/>
      <c r="Q1570" s="8"/>
    </row>
    <row r="1571" ht="13.65" customHeight="1">
      <c r="A1571" s="8"/>
      <c r="B1571" s="8"/>
      <c r="C1571" s="8"/>
      <c r="D1571" s="8"/>
      <c r="E1571" s="8"/>
      <c r="F1571" s="8"/>
      <c r="G1571" s="8"/>
      <c r="H1571" s="8"/>
      <c r="I1571" s="8"/>
      <c r="J1571" s="8"/>
      <c r="K1571" s="8"/>
      <c r="L1571" s="8"/>
      <c r="M1571" s="8"/>
      <c r="N1571" s="8"/>
      <c r="O1571" s="8"/>
      <c r="P1571" s="8"/>
      <c r="Q1571" s="8"/>
    </row>
    <row r="1572" ht="13.65" customHeight="1">
      <c r="A1572" s="8"/>
      <c r="B1572" s="8"/>
      <c r="C1572" s="8"/>
      <c r="D1572" s="8"/>
      <c r="E1572" s="8"/>
      <c r="F1572" s="8"/>
      <c r="G1572" s="8"/>
      <c r="H1572" s="8"/>
      <c r="I1572" s="8"/>
      <c r="J1572" s="8"/>
      <c r="K1572" s="8"/>
      <c r="L1572" s="8"/>
      <c r="M1572" s="8"/>
      <c r="N1572" s="8"/>
      <c r="O1572" s="8"/>
      <c r="P1572" s="8"/>
      <c r="Q1572" s="8"/>
    </row>
    <row r="1573" ht="13.65" customHeight="1">
      <c r="A1573" s="8"/>
      <c r="B1573" s="8"/>
      <c r="C1573" s="8"/>
      <c r="D1573" s="8"/>
      <c r="E1573" s="8"/>
      <c r="F1573" s="8"/>
      <c r="G1573" s="8"/>
      <c r="H1573" s="8"/>
      <c r="I1573" s="8"/>
      <c r="J1573" s="8"/>
      <c r="K1573" s="8"/>
      <c r="L1573" s="8"/>
      <c r="M1573" s="8"/>
      <c r="N1573" s="8"/>
      <c r="O1573" s="8"/>
      <c r="P1573" s="8"/>
      <c r="Q1573" s="8"/>
    </row>
    <row r="1574" ht="13.65" customHeight="1">
      <c r="A1574" s="8"/>
      <c r="B1574" s="8"/>
      <c r="C1574" s="8"/>
      <c r="D1574" s="8"/>
      <c r="E1574" s="8"/>
      <c r="F1574" s="8"/>
      <c r="G1574" s="8"/>
      <c r="H1574" s="8"/>
      <c r="I1574" s="8"/>
      <c r="J1574" s="8"/>
      <c r="K1574" s="8"/>
      <c r="L1574" s="8"/>
      <c r="M1574" s="8"/>
      <c r="N1574" s="8"/>
      <c r="O1574" s="8"/>
      <c r="P1574" s="8"/>
      <c r="Q1574" s="8"/>
    </row>
    <row r="1575" ht="13.65" customHeight="1">
      <c r="A1575" s="8"/>
      <c r="B1575" s="8"/>
      <c r="C1575" s="8"/>
      <c r="D1575" s="8"/>
      <c r="E1575" s="8"/>
      <c r="F1575" s="8"/>
      <c r="G1575" s="8"/>
      <c r="H1575" s="8"/>
      <c r="I1575" s="8"/>
      <c r="J1575" s="8"/>
      <c r="K1575" s="8"/>
      <c r="L1575" s="8"/>
      <c r="M1575" s="8"/>
      <c r="N1575" s="8"/>
      <c r="O1575" s="8"/>
      <c r="P1575" s="8"/>
      <c r="Q1575" s="8"/>
    </row>
    <row r="1576" ht="13.65" customHeight="1">
      <c r="A1576" s="8"/>
      <c r="B1576" s="8"/>
      <c r="C1576" s="8"/>
      <c r="D1576" s="8"/>
      <c r="E1576" s="8"/>
      <c r="F1576" s="8"/>
      <c r="G1576" s="8"/>
      <c r="H1576" s="8"/>
      <c r="I1576" s="8"/>
      <c r="J1576" s="8"/>
      <c r="K1576" s="8"/>
      <c r="L1576" s="8"/>
      <c r="M1576" s="8"/>
      <c r="N1576" s="8"/>
      <c r="O1576" s="8"/>
      <c r="P1576" s="8"/>
      <c r="Q1576" s="8"/>
    </row>
    <row r="1577" ht="13.65" customHeight="1">
      <c r="A1577" s="8"/>
      <c r="B1577" s="8"/>
      <c r="C1577" s="8"/>
      <c r="D1577" s="8"/>
      <c r="E1577" s="8"/>
      <c r="F1577" s="8"/>
      <c r="G1577" s="8"/>
      <c r="H1577" s="8"/>
      <c r="I1577" s="8"/>
      <c r="J1577" s="8"/>
      <c r="K1577" s="8"/>
      <c r="L1577" s="8"/>
      <c r="M1577" s="8"/>
      <c r="N1577" s="8"/>
      <c r="O1577" s="8"/>
      <c r="P1577" s="8"/>
      <c r="Q1577" s="8"/>
    </row>
    <row r="1578" ht="13.65" customHeight="1">
      <c r="A1578" s="8"/>
      <c r="B1578" s="8"/>
      <c r="C1578" s="8"/>
      <c r="D1578" s="8"/>
      <c r="E1578" s="8"/>
      <c r="F1578" s="8"/>
      <c r="G1578" s="8"/>
      <c r="H1578" s="8"/>
      <c r="I1578" s="8"/>
      <c r="J1578" s="8"/>
      <c r="K1578" s="8"/>
      <c r="L1578" s="8"/>
      <c r="M1578" s="8"/>
      <c r="N1578" s="8"/>
      <c r="O1578" s="8"/>
      <c r="P1578" s="8"/>
      <c r="Q1578" s="8"/>
    </row>
    <row r="1579" ht="13.65" customHeight="1">
      <c r="A1579" s="8"/>
      <c r="B1579" s="8"/>
      <c r="C1579" s="8"/>
      <c r="D1579" s="8"/>
      <c r="E1579" s="8"/>
      <c r="F1579" s="8"/>
      <c r="G1579" s="8"/>
      <c r="H1579" s="8"/>
      <c r="I1579" s="8"/>
      <c r="J1579" s="8"/>
      <c r="K1579" s="8"/>
      <c r="L1579" s="8"/>
      <c r="M1579" s="8"/>
      <c r="N1579" s="8"/>
      <c r="O1579" s="8"/>
      <c r="P1579" s="8"/>
      <c r="Q1579" s="8"/>
    </row>
    <row r="1580" ht="13.65" customHeight="1">
      <c r="A1580" s="8"/>
      <c r="B1580" s="8"/>
      <c r="C1580" s="8"/>
      <c r="D1580" s="8"/>
      <c r="E1580" s="8"/>
      <c r="F1580" s="8"/>
      <c r="G1580" s="8"/>
      <c r="H1580" s="8"/>
      <c r="I1580" s="8"/>
      <c r="J1580" s="8"/>
      <c r="K1580" s="8"/>
      <c r="L1580" s="8"/>
      <c r="M1580" s="8"/>
      <c r="N1580" s="8"/>
      <c r="O1580" s="8"/>
      <c r="P1580" s="8"/>
      <c r="Q1580" s="8"/>
    </row>
    <row r="1581" ht="13.65" customHeight="1">
      <c r="A1581" s="8"/>
      <c r="B1581" s="8"/>
      <c r="C1581" s="8"/>
      <c r="D1581" s="8"/>
      <c r="E1581" s="8"/>
      <c r="F1581" s="8"/>
      <c r="G1581" s="8"/>
      <c r="H1581" s="8"/>
      <c r="I1581" s="8"/>
      <c r="J1581" s="8"/>
      <c r="K1581" s="8"/>
      <c r="L1581" s="8"/>
      <c r="M1581" s="8"/>
      <c r="N1581" s="8"/>
      <c r="O1581" s="8"/>
      <c r="P1581" s="8"/>
      <c r="Q1581" s="8"/>
    </row>
    <row r="1582" ht="13.65" customHeight="1">
      <c r="A1582" s="8"/>
      <c r="B1582" s="8"/>
      <c r="C1582" s="8"/>
      <c r="D1582" s="8"/>
      <c r="E1582" s="8"/>
      <c r="F1582" s="8"/>
      <c r="G1582" s="8"/>
      <c r="H1582" s="8"/>
      <c r="I1582" s="8"/>
      <c r="J1582" s="8"/>
      <c r="K1582" s="8"/>
      <c r="L1582" s="8"/>
      <c r="M1582" s="8"/>
      <c r="N1582" s="8"/>
      <c r="O1582" s="8"/>
      <c r="P1582" s="8"/>
      <c r="Q1582" s="8"/>
    </row>
    <row r="1583" ht="13.65" customHeight="1">
      <c r="A1583" s="8"/>
      <c r="B1583" s="8"/>
      <c r="C1583" s="8"/>
      <c r="D1583" s="8"/>
      <c r="E1583" s="8"/>
      <c r="F1583" s="8"/>
      <c r="G1583" s="8"/>
      <c r="H1583" s="8"/>
      <c r="I1583" s="8"/>
      <c r="J1583" s="8"/>
      <c r="K1583" s="8"/>
      <c r="L1583" s="8"/>
      <c r="M1583" s="8"/>
      <c r="N1583" s="8"/>
      <c r="O1583" s="8"/>
      <c r="P1583" s="8"/>
      <c r="Q1583" s="8"/>
    </row>
    <row r="1584" ht="13.65" customHeight="1">
      <c r="A1584" s="8"/>
      <c r="B1584" s="8"/>
      <c r="C1584" s="8"/>
      <c r="D1584" s="8"/>
      <c r="E1584" s="8"/>
      <c r="F1584" s="8"/>
      <c r="G1584" s="8"/>
      <c r="H1584" s="8"/>
      <c r="I1584" s="8"/>
      <c r="J1584" s="8"/>
      <c r="K1584" s="8"/>
      <c r="L1584" s="8"/>
      <c r="M1584" s="8"/>
      <c r="N1584" s="8"/>
      <c r="O1584" s="8"/>
      <c r="P1584" s="8"/>
      <c r="Q1584" s="8"/>
    </row>
    <row r="1585" ht="13.65" customHeight="1">
      <c r="A1585" s="8"/>
      <c r="B1585" s="8"/>
      <c r="C1585" s="8"/>
      <c r="D1585" s="8"/>
      <c r="E1585" s="8"/>
      <c r="F1585" s="8"/>
      <c r="G1585" s="8"/>
      <c r="H1585" s="8"/>
      <c r="I1585" s="8"/>
      <c r="J1585" s="8"/>
      <c r="K1585" s="8"/>
      <c r="L1585" s="8"/>
      <c r="M1585" s="8"/>
      <c r="N1585" s="8"/>
      <c r="O1585" s="8"/>
      <c r="P1585" s="8"/>
      <c r="Q1585" s="8"/>
    </row>
    <row r="1586" ht="13.65" customHeight="1">
      <c r="A1586" s="8"/>
      <c r="B1586" s="8"/>
      <c r="C1586" s="8"/>
      <c r="D1586" s="8"/>
      <c r="E1586" s="8"/>
      <c r="F1586" s="8"/>
      <c r="G1586" s="8"/>
      <c r="H1586" s="8"/>
      <c r="I1586" s="8"/>
      <c r="J1586" s="8"/>
      <c r="K1586" s="8"/>
      <c r="L1586" s="8"/>
      <c r="M1586" s="8"/>
      <c r="N1586" s="8"/>
      <c r="O1586" s="8"/>
      <c r="P1586" s="8"/>
      <c r="Q1586" s="8"/>
    </row>
    <row r="1587" ht="13.65" customHeight="1">
      <c r="A1587" s="8"/>
      <c r="B1587" s="8"/>
      <c r="C1587" s="8"/>
      <c r="D1587" s="8"/>
      <c r="E1587" s="8"/>
      <c r="F1587" s="8"/>
      <c r="G1587" s="8"/>
      <c r="H1587" s="8"/>
      <c r="I1587" s="8"/>
      <c r="J1587" s="8"/>
      <c r="K1587" s="8"/>
      <c r="L1587" s="8"/>
      <c r="M1587" s="8"/>
      <c r="N1587" s="8"/>
      <c r="O1587" s="8"/>
      <c r="P1587" s="8"/>
      <c r="Q1587" s="8"/>
    </row>
    <row r="1588" ht="13.65" customHeight="1">
      <c r="A1588" s="8"/>
      <c r="B1588" s="8"/>
      <c r="C1588" s="8"/>
      <c r="D1588" s="8"/>
      <c r="E1588" s="8"/>
      <c r="F1588" s="8"/>
      <c r="G1588" s="8"/>
      <c r="H1588" s="8"/>
      <c r="I1588" s="8"/>
      <c r="J1588" s="8"/>
      <c r="K1588" s="8"/>
      <c r="L1588" s="8"/>
      <c r="M1588" s="8"/>
      <c r="N1588" s="8"/>
      <c r="O1588" s="8"/>
      <c r="P1588" s="8"/>
      <c r="Q1588" s="8"/>
    </row>
    <row r="1589" ht="13.65" customHeight="1">
      <c r="A1589" s="8"/>
      <c r="B1589" s="8"/>
      <c r="C1589" s="8"/>
      <c r="D1589" s="8"/>
      <c r="E1589" s="8"/>
      <c r="F1589" s="8"/>
      <c r="G1589" s="8"/>
      <c r="H1589" s="8"/>
      <c r="I1589" s="8"/>
      <c r="J1589" s="8"/>
      <c r="K1589" s="8"/>
      <c r="L1589" s="8"/>
      <c r="M1589" s="8"/>
      <c r="N1589" s="8"/>
      <c r="O1589" s="8"/>
      <c r="P1589" s="8"/>
      <c r="Q1589" s="8"/>
    </row>
    <row r="1590" ht="13.65" customHeight="1">
      <c r="A1590" s="8"/>
      <c r="B1590" s="8"/>
      <c r="C1590" s="8"/>
      <c r="D1590" s="8"/>
      <c r="E1590" s="8"/>
      <c r="F1590" s="8"/>
      <c r="G1590" s="8"/>
      <c r="H1590" s="8"/>
      <c r="I1590" s="8"/>
      <c r="J1590" s="8"/>
      <c r="K1590" s="8"/>
      <c r="L1590" s="8"/>
      <c r="M1590" s="8"/>
      <c r="N1590" s="8"/>
      <c r="O1590" s="8"/>
      <c r="P1590" s="8"/>
      <c r="Q1590" s="8"/>
    </row>
    <row r="1591" ht="13.65" customHeight="1">
      <c r="A1591" s="8"/>
      <c r="B1591" s="8"/>
      <c r="C1591" s="8"/>
      <c r="D1591" s="8"/>
      <c r="E1591" s="8"/>
      <c r="F1591" s="8"/>
      <c r="G1591" s="8"/>
      <c r="H1591" s="8"/>
      <c r="I1591" s="8"/>
      <c r="J1591" s="8"/>
      <c r="K1591" s="8"/>
      <c r="L1591" s="8"/>
      <c r="M1591" s="8"/>
      <c r="N1591" s="8"/>
      <c r="O1591" s="8"/>
      <c r="P1591" s="8"/>
      <c r="Q1591" s="8"/>
    </row>
    <row r="1592" ht="13.65" customHeight="1">
      <c r="A1592" s="8"/>
      <c r="B1592" s="8"/>
      <c r="C1592" s="8"/>
      <c r="D1592" s="8"/>
      <c r="E1592" s="8"/>
      <c r="F1592" s="8"/>
      <c r="G1592" s="8"/>
      <c r="H1592" s="8"/>
      <c r="I1592" s="8"/>
      <c r="J1592" s="8"/>
      <c r="K1592" s="8"/>
      <c r="L1592" s="8"/>
      <c r="M1592" s="8"/>
      <c r="N1592" s="8"/>
      <c r="O1592" s="8"/>
      <c r="P1592" s="8"/>
      <c r="Q1592" s="8"/>
    </row>
    <row r="1593" ht="13.65" customHeight="1">
      <c r="A1593" s="8"/>
      <c r="B1593" s="8"/>
      <c r="C1593" s="8"/>
      <c r="D1593" s="8"/>
      <c r="E1593" s="8"/>
      <c r="F1593" s="8"/>
      <c r="G1593" s="8"/>
      <c r="H1593" s="8"/>
      <c r="I1593" s="8"/>
      <c r="J1593" s="8"/>
      <c r="K1593" s="8"/>
      <c r="L1593" s="8"/>
      <c r="M1593" s="8"/>
      <c r="N1593" s="8"/>
      <c r="O1593" s="8"/>
      <c r="P1593" s="8"/>
      <c r="Q1593" s="8"/>
    </row>
    <row r="1594" ht="13.65" customHeight="1">
      <c r="A1594" s="8"/>
      <c r="B1594" s="8"/>
      <c r="C1594" s="8"/>
      <c r="D1594" s="8"/>
      <c r="E1594" s="8"/>
      <c r="F1594" s="8"/>
      <c r="G1594" s="8"/>
      <c r="H1594" s="8"/>
      <c r="I1594" s="8"/>
      <c r="J1594" s="8"/>
      <c r="K1594" s="8"/>
      <c r="L1594" s="8"/>
      <c r="M1594" s="8"/>
      <c r="N1594" s="8"/>
      <c r="O1594" s="8"/>
      <c r="P1594" s="8"/>
      <c r="Q1594" s="8"/>
    </row>
    <row r="1595" ht="13.65" customHeight="1">
      <c r="A1595" s="8"/>
      <c r="B1595" s="8"/>
      <c r="C1595" s="8"/>
      <c r="D1595" s="8"/>
      <c r="E1595" s="8"/>
      <c r="F1595" s="8"/>
      <c r="G1595" s="8"/>
      <c r="H1595" s="8"/>
      <c r="I1595" s="8"/>
      <c r="J1595" s="8"/>
      <c r="K1595" s="8"/>
      <c r="L1595" s="8"/>
      <c r="M1595" s="8"/>
      <c r="N1595" s="8"/>
      <c r="O1595" s="8"/>
      <c r="P1595" s="8"/>
      <c r="Q1595" s="8"/>
    </row>
    <row r="1596" ht="13.65" customHeight="1">
      <c r="A1596" s="8"/>
      <c r="B1596" s="8"/>
      <c r="C1596" s="8"/>
      <c r="D1596" s="8"/>
      <c r="E1596" s="8"/>
      <c r="F1596" s="8"/>
      <c r="G1596" s="8"/>
      <c r="H1596" s="8"/>
      <c r="I1596" s="8"/>
      <c r="J1596" s="8"/>
      <c r="K1596" s="8"/>
      <c r="L1596" s="8"/>
      <c r="M1596" s="8"/>
      <c r="N1596" s="8"/>
      <c r="O1596" s="8"/>
      <c r="P1596" s="8"/>
      <c r="Q1596" s="8"/>
    </row>
    <row r="1597" ht="13.65" customHeight="1">
      <c r="A1597" s="8"/>
      <c r="B1597" s="8"/>
      <c r="C1597" s="8"/>
      <c r="D1597" s="8"/>
      <c r="E1597" s="8"/>
      <c r="F1597" s="8"/>
      <c r="G1597" s="8"/>
      <c r="H1597" s="8"/>
      <c r="I1597" s="8"/>
      <c r="J1597" s="8"/>
      <c r="K1597" s="8"/>
      <c r="L1597" s="8"/>
      <c r="M1597" s="8"/>
      <c r="N1597" s="8"/>
      <c r="O1597" s="8"/>
      <c r="P1597" s="8"/>
      <c r="Q1597" s="8"/>
    </row>
    <row r="1598" ht="13.65" customHeight="1">
      <c r="A1598" s="8"/>
      <c r="B1598" s="8"/>
      <c r="C1598" s="8"/>
      <c r="D1598" s="8"/>
      <c r="E1598" s="8"/>
      <c r="F1598" s="8"/>
      <c r="G1598" s="8"/>
      <c r="H1598" s="8"/>
      <c r="I1598" s="8"/>
      <c r="J1598" s="8"/>
      <c r="K1598" s="8"/>
      <c r="L1598" s="8"/>
      <c r="M1598" s="8"/>
      <c r="N1598" s="8"/>
      <c r="O1598" s="8"/>
      <c r="P1598" s="8"/>
      <c r="Q1598" s="8"/>
    </row>
    <row r="1599" ht="13.65" customHeight="1">
      <c r="A1599" s="8"/>
      <c r="B1599" s="8"/>
      <c r="C1599" s="8"/>
      <c r="D1599" s="8"/>
      <c r="E1599" s="8"/>
      <c r="F1599" s="8"/>
      <c r="G1599" s="8"/>
      <c r="H1599" s="8"/>
      <c r="I1599" s="8"/>
      <c r="J1599" s="8"/>
      <c r="K1599" s="8"/>
      <c r="L1599" s="8"/>
      <c r="M1599" s="8"/>
      <c r="N1599" s="8"/>
      <c r="O1599" s="8"/>
      <c r="P1599" s="8"/>
      <c r="Q1599" s="8"/>
    </row>
    <row r="1600" ht="13.65" customHeight="1">
      <c r="A1600" s="8"/>
      <c r="B1600" s="8"/>
      <c r="C1600" s="8"/>
      <c r="D1600" s="8"/>
      <c r="E1600" s="8"/>
      <c r="F1600" s="8"/>
      <c r="G1600" s="8"/>
      <c r="H1600" s="8"/>
      <c r="I1600" s="8"/>
      <c r="J1600" s="8"/>
      <c r="K1600" s="8"/>
      <c r="L1600" s="8"/>
      <c r="M1600" s="8"/>
      <c r="N1600" s="8"/>
      <c r="O1600" s="8"/>
      <c r="P1600" s="8"/>
      <c r="Q1600" s="8"/>
    </row>
    <row r="1601" ht="13.65" customHeight="1">
      <c r="A1601" s="8"/>
      <c r="B1601" s="8"/>
      <c r="C1601" s="8"/>
      <c r="D1601" s="8"/>
      <c r="E1601" s="8"/>
      <c r="F1601" s="8"/>
      <c r="G1601" s="8"/>
      <c r="H1601" s="8"/>
      <c r="I1601" s="8"/>
      <c r="J1601" s="8"/>
      <c r="K1601" s="8"/>
      <c r="L1601" s="8"/>
      <c r="M1601" s="8"/>
      <c r="N1601" s="8"/>
      <c r="O1601" s="8"/>
      <c r="P1601" s="8"/>
      <c r="Q1601" s="8"/>
    </row>
    <row r="1602" ht="13.65" customHeight="1">
      <c r="A1602" s="8"/>
      <c r="B1602" s="8"/>
      <c r="C1602" s="8"/>
      <c r="D1602" s="8"/>
      <c r="E1602" s="8"/>
      <c r="F1602" s="8"/>
      <c r="G1602" s="8"/>
      <c r="H1602" s="8"/>
      <c r="I1602" s="8"/>
      <c r="J1602" s="8"/>
      <c r="K1602" s="8"/>
      <c r="L1602" s="8"/>
      <c r="M1602" s="8"/>
      <c r="N1602" s="8"/>
      <c r="O1602" s="8"/>
      <c r="P1602" s="8"/>
      <c r="Q1602" s="8"/>
    </row>
    <row r="1603" ht="13.65" customHeight="1">
      <c r="A1603" s="8"/>
      <c r="B1603" s="8"/>
      <c r="C1603" s="8"/>
      <c r="D1603" s="8"/>
      <c r="E1603" s="8"/>
      <c r="F1603" s="8"/>
      <c r="G1603" s="8"/>
      <c r="H1603" s="8"/>
      <c r="I1603" s="8"/>
      <c r="J1603" s="8"/>
      <c r="K1603" s="8"/>
      <c r="L1603" s="8"/>
      <c r="M1603" s="8"/>
      <c r="N1603" s="8"/>
      <c r="O1603" s="8"/>
      <c r="P1603" s="8"/>
      <c r="Q1603" s="8"/>
    </row>
    <row r="1604" ht="13.65" customHeight="1">
      <c r="A1604" s="8"/>
      <c r="B1604" s="8"/>
      <c r="C1604" s="8"/>
      <c r="D1604" s="8"/>
      <c r="E1604" s="8"/>
      <c r="F1604" s="8"/>
      <c r="G1604" s="8"/>
      <c r="H1604" s="8"/>
      <c r="I1604" s="8"/>
      <c r="J1604" s="8"/>
      <c r="K1604" s="8"/>
      <c r="L1604" s="8"/>
      <c r="M1604" s="8"/>
      <c r="N1604" s="8"/>
      <c r="O1604" s="8"/>
      <c r="P1604" s="8"/>
      <c r="Q1604" s="8"/>
    </row>
    <row r="1605" ht="13.65" customHeight="1">
      <c r="A1605" s="8"/>
      <c r="B1605" s="8"/>
      <c r="C1605" s="8"/>
      <c r="D1605" s="8"/>
      <c r="E1605" s="8"/>
      <c r="F1605" s="8"/>
      <c r="G1605" s="8"/>
      <c r="H1605" s="8"/>
      <c r="I1605" s="8"/>
      <c r="J1605" s="8"/>
      <c r="K1605" s="8"/>
      <c r="L1605" s="8"/>
      <c r="M1605" s="8"/>
      <c r="N1605" s="8"/>
      <c r="O1605" s="8"/>
      <c r="P1605" s="8"/>
      <c r="Q1605" s="8"/>
    </row>
    <row r="1606" ht="13.65" customHeight="1">
      <c r="A1606" s="8"/>
      <c r="B1606" s="8"/>
      <c r="C1606" s="8"/>
      <c r="D1606" s="8"/>
      <c r="E1606" s="8"/>
      <c r="F1606" s="8"/>
      <c r="G1606" s="8"/>
      <c r="H1606" s="8"/>
      <c r="I1606" s="8"/>
      <c r="J1606" s="8"/>
      <c r="K1606" s="8"/>
      <c r="L1606" s="8"/>
      <c r="M1606" s="8"/>
      <c r="N1606" s="8"/>
      <c r="O1606" s="8"/>
      <c r="P1606" s="8"/>
      <c r="Q1606" s="8"/>
    </row>
    <row r="1607" ht="13.65" customHeight="1">
      <c r="A1607" s="8"/>
      <c r="B1607" s="8"/>
      <c r="C1607" s="8"/>
      <c r="D1607" s="8"/>
      <c r="E1607" s="8"/>
      <c r="F1607" s="8"/>
      <c r="G1607" s="8"/>
      <c r="H1607" s="8"/>
      <c r="I1607" s="8"/>
      <c r="J1607" s="8"/>
      <c r="K1607" s="8"/>
      <c r="L1607" s="8"/>
      <c r="M1607" s="8"/>
      <c r="N1607" s="8"/>
      <c r="O1607" s="8"/>
      <c r="P1607" s="8"/>
      <c r="Q1607" s="8"/>
    </row>
    <row r="1608" ht="13.65" customHeight="1">
      <c r="A1608" s="8"/>
      <c r="B1608" s="8"/>
      <c r="C1608" s="8"/>
      <c r="D1608" s="8"/>
      <c r="E1608" s="8"/>
      <c r="F1608" s="8"/>
      <c r="G1608" s="8"/>
      <c r="H1608" s="8"/>
      <c r="I1608" s="8"/>
      <c r="J1608" s="8"/>
      <c r="K1608" s="8"/>
      <c r="L1608" s="8"/>
      <c r="M1608" s="8"/>
      <c r="N1608" s="8"/>
      <c r="O1608" s="8"/>
      <c r="P1608" s="8"/>
      <c r="Q1608" s="8"/>
    </row>
    <row r="1609" ht="13.65" customHeight="1">
      <c r="A1609" s="8"/>
      <c r="B1609" s="8"/>
      <c r="C1609" s="8"/>
      <c r="D1609" s="8"/>
      <c r="E1609" s="8"/>
      <c r="F1609" s="8"/>
      <c r="G1609" s="8"/>
      <c r="H1609" s="8"/>
      <c r="I1609" s="8"/>
      <c r="J1609" s="8"/>
      <c r="K1609" s="8"/>
      <c r="L1609" s="8"/>
      <c r="M1609" s="8"/>
      <c r="N1609" s="8"/>
      <c r="O1609" s="8"/>
      <c r="P1609" s="8"/>
      <c r="Q1609" s="8"/>
    </row>
    <row r="1610" ht="13.65" customHeight="1">
      <c r="A1610" s="8"/>
      <c r="B1610" s="8"/>
      <c r="C1610" s="8"/>
      <c r="D1610" s="8"/>
      <c r="E1610" s="8"/>
      <c r="F1610" s="8"/>
      <c r="G1610" s="8"/>
      <c r="H1610" s="8"/>
      <c r="I1610" s="8"/>
      <c r="J1610" s="8"/>
      <c r="K1610" s="8"/>
      <c r="L1610" s="8"/>
      <c r="M1610" s="8"/>
      <c r="N1610" s="8"/>
      <c r="O1610" s="8"/>
      <c r="P1610" s="8"/>
      <c r="Q1610" s="8"/>
    </row>
    <row r="1611" ht="13.65" customHeight="1">
      <c r="A1611" s="8"/>
      <c r="B1611" s="8"/>
      <c r="C1611" s="8"/>
      <c r="D1611" s="8"/>
      <c r="E1611" s="8"/>
      <c r="F1611" s="8"/>
      <c r="G1611" s="8"/>
      <c r="H1611" s="8"/>
      <c r="I1611" s="8"/>
      <c r="J1611" s="8"/>
      <c r="K1611" s="8"/>
      <c r="L1611" s="8"/>
      <c r="M1611" s="8"/>
      <c r="N1611" s="8"/>
      <c r="O1611" s="8"/>
      <c r="P1611" s="8"/>
      <c r="Q1611" s="8"/>
    </row>
    <row r="1612" ht="13.65" customHeight="1">
      <c r="A1612" s="8"/>
      <c r="B1612" s="8"/>
      <c r="C1612" s="8"/>
      <c r="D1612" s="8"/>
      <c r="E1612" s="8"/>
      <c r="F1612" s="8"/>
      <c r="G1612" s="8"/>
      <c r="H1612" s="8"/>
      <c r="I1612" s="8"/>
      <c r="J1612" s="8"/>
      <c r="K1612" s="8"/>
      <c r="L1612" s="8"/>
      <c r="M1612" s="8"/>
      <c r="N1612" s="8"/>
      <c r="O1612" s="8"/>
      <c r="P1612" s="8"/>
      <c r="Q1612" s="8"/>
    </row>
    <row r="1613" ht="13.65" customHeight="1">
      <c r="A1613" s="8"/>
      <c r="B1613" s="8"/>
      <c r="C1613" s="8"/>
      <c r="D1613" s="8"/>
      <c r="E1613" s="8"/>
      <c r="F1613" s="8"/>
      <c r="G1613" s="8"/>
      <c r="H1613" s="8"/>
      <c r="I1613" s="8"/>
      <c r="J1613" s="8"/>
      <c r="K1613" s="8"/>
      <c r="L1613" s="8"/>
      <c r="M1613" s="8"/>
      <c r="N1613" s="8"/>
      <c r="O1613" s="8"/>
      <c r="P1613" s="8"/>
      <c r="Q1613" s="8"/>
    </row>
    <row r="1614" ht="13.65" customHeight="1">
      <c r="A1614" s="8"/>
      <c r="B1614" s="8"/>
      <c r="C1614" s="8"/>
      <c r="D1614" s="8"/>
      <c r="E1614" s="8"/>
      <c r="F1614" s="8"/>
      <c r="G1614" s="8"/>
      <c r="H1614" s="8"/>
      <c r="I1614" s="8"/>
      <c r="J1614" s="8"/>
      <c r="K1614" s="8"/>
      <c r="L1614" s="8"/>
      <c r="M1614" s="8"/>
      <c r="N1614" s="8"/>
      <c r="O1614" s="8"/>
      <c r="P1614" s="8"/>
      <c r="Q1614" s="8"/>
    </row>
    <row r="1615" ht="13.65" customHeight="1">
      <c r="A1615" s="8"/>
      <c r="B1615" s="8"/>
      <c r="C1615" s="8"/>
      <c r="D1615" s="8"/>
      <c r="E1615" s="8"/>
      <c r="F1615" s="8"/>
      <c r="G1615" s="8"/>
      <c r="H1615" s="8"/>
      <c r="I1615" s="8"/>
      <c r="J1615" s="8"/>
      <c r="K1615" s="8"/>
      <c r="L1615" s="8"/>
      <c r="M1615" s="8"/>
      <c r="N1615" s="8"/>
      <c r="O1615" s="8"/>
      <c r="P1615" s="8"/>
      <c r="Q1615" s="8"/>
    </row>
    <row r="1616" ht="13.65" customHeight="1">
      <c r="A1616" s="8"/>
      <c r="B1616" s="8"/>
      <c r="C1616" s="8"/>
      <c r="D1616" s="8"/>
      <c r="E1616" s="8"/>
      <c r="F1616" s="8"/>
      <c r="G1616" s="8"/>
      <c r="H1616" s="8"/>
      <c r="I1616" s="8"/>
      <c r="J1616" s="8"/>
      <c r="K1616" s="8"/>
      <c r="L1616" s="8"/>
      <c r="M1616" s="8"/>
      <c r="N1616" s="8"/>
      <c r="O1616" s="8"/>
      <c r="P1616" s="8"/>
      <c r="Q1616" s="8"/>
    </row>
    <row r="1617" ht="13.65" customHeight="1">
      <c r="A1617" s="8"/>
      <c r="B1617" s="8"/>
      <c r="C1617" s="8"/>
      <c r="D1617" s="8"/>
      <c r="E1617" s="8"/>
      <c r="F1617" s="8"/>
      <c r="G1617" s="8"/>
      <c r="H1617" s="8"/>
      <c r="I1617" s="8"/>
      <c r="J1617" s="8"/>
      <c r="K1617" s="8"/>
      <c r="L1617" s="8"/>
      <c r="M1617" s="8"/>
      <c r="N1617" s="8"/>
      <c r="O1617" s="8"/>
      <c r="P1617" s="8"/>
      <c r="Q1617" s="8"/>
    </row>
    <row r="1618" ht="13.65" customHeight="1">
      <c r="A1618" s="8"/>
      <c r="B1618" s="8"/>
      <c r="C1618" s="8"/>
      <c r="D1618" s="8"/>
      <c r="E1618" s="8"/>
      <c r="F1618" s="8"/>
      <c r="G1618" s="8"/>
      <c r="H1618" s="8"/>
      <c r="I1618" s="8"/>
      <c r="J1618" s="8"/>
      <c r="K1618" s="8"/>
      <c r="L1618" s="8"/>
      <c r="M1618" s="8"/>
      <c r="N1618" s="8"/>
      <c r="O1618" s="8"/>
      <c r="P1618" s="8"/>
      <c r="Q1618" s="8"/>
    </row>
    <row r="1619" ht="13.65" customHeight="1">
      <c r="A1619" s="8"/>
      <c r="B1619" s="8"/>
      <c r="C1619" s="8"/>
      <c r="D1619" s="8"/>
      <c r="E1619" s="8"/>
      <c r="F1619" s="8"/>
      <c r="G1619" s="8"/>
      <c r="H1619" s="8"/>
      <c r="I1619" s="8"/>
      <c r="J1619" s="8"/>
      <c r="K1619" s="8"/>
      <c r="L1619" s="8"/>
      <c r="M1619" s="8"/>
      <c r="N1619" s="8"/>
      <c r="O1619" s="8"/>
      <c r="P1619" s="8"/>
      <c r="Q1619" s="8"/>
    </row>
    <row r="1620" ht="13.65" customHeight="1">
      <c r="A1620" s="8"/>
      <c r="B1620" s="8"/>
      <c r="C1620" s="8"/>
      <c r="D1620" s="8"/>
      <c r="E1620" s="8"/>
      <c r="F1620" s="8"/>
      <c r="G1620" s="8"/>
      <c r="H1620" s="8"/>
      <c r="I1620" s="8"/>
      <c r="J1620" s="8"/>
      <c r="K1620" s="8"/>
      <c r="L1620" s="8"/>
      <c r="M1620" s="8"/>
      <c r="N1620" s="8"/>
      <c r="O1620" s="8"/>
      <c r="P1620" s="8"/>
      <c r="Q1620" s="8"/>
    </row>
    <row r="1621" ht="13.65" customHeight="1">
      <c r="A1621" s="8"/>
      <c r="B1621" s="8"/>
      <c r="C1621" s="8"/>
      <c r="D1621" s="8"/>
      <c r="E1621" s="8"/>
      <c r="F1621" s="8"/>
      <c r="G1621" s="8"/>
      <c r="H1621" s="8"/>
      <c r="I1621" s="8"/>
      <c r="J1621" s="8"/>
      <c r="K1621" s="8"/>
      <c r="L1621" s="8"/>
      <c r="M1621" s="8"/>
      <c r="N1621" s="8"/>
      <c r="O1621" s="8"/>
      <c r="P1621" s="8"/>
      <c r="Q1621" s="8"/>
    </row>
    <row r="1622" ht="13.65" customHeight="1">
      <c r="A1622" s="8"/>
      <c r="B1622" s="8"/>
      <c r="C1622" s="8"/>
      <c r="D1622" s="8"/>
      <c r="E1622" s="8"/>
      <c r="F1622" s="8"/>
      <c r="G1622" s="8"/>
      <c r="H1622" s="8"/>
      <c r="I1622" s="8"/>
      <c r="J1622" s="8"/>
      <c r="K1622" s="8"/>
      <c r="L1622" s="8"/>
      <c r="M1622" s="8"/>
      <c r="N1622" s="8"/>
      <c r="O1622" s="8"/>
      <c r="P1622" s="8"/>
      <c r="Q1622" s="8"/>
    </row>
    <row r="1623" ht="13.65" customHeight="1">
      <c r="A1623" s="8"/>
      <c r="B1623" s="8"/>
      <c r="C1623" s="8"/>
      <c r="D1623" s="8"/>
      <c r="E1623" s="8"/>
      <c r="F1623" s="8"/>
      <c r="G1623" s="8"/>
      <c r="H1623" s="8"/>
      <c r="I1623" s="8"/>
      <c r="J1623" s="8"/>
      <c r="K1623" s="8"/>
      <c r="L1623" s="8"/>
      <c r="M1623" s="8"/>
      <c r="N1623" s="8"/>
      <c r="O1623" s="8"/>
      <c r="P1623" s="8"/>
      <c r="Q1623" s="8"/>
    </row>
    <row r="1624" ht="13.65" customHeight="1">
      <c r="A1624" s="8"/>
      <c r="B1624" s="8"/>
      <c r="C1624" s="8"/>
      <c r="D1624" s="8"/>
      <c r="E1624" s="8"/>
      <c r="F1624" s="8"/>
      <c r="G1624" s="8"/>
      <c r="H1624" s="8"/>
      <c r="I1624" s="8"/>
      <c r="J1624" s="8"/>
      <c r="K1624" s="8"/>
      <c r="L1624" s="8"/>
      <c r="M1624" s="8"/>
      <c r="N1624" s="8"/>
      <c r="O1624" s="8"/>
      <c r="P1624" s="8"/>
      <c r="Q1624" s="8"/>
    </row>
    <row r="1625" ht="13.65" customHeight="1">
      <c r="A1625" s="8"/>
      <c r="B1625" s="8"/>
      <c r="C1625" s="8"/>
      <c r="D1625" s="8"/>
      <c r="E1625" s="8"/>
      <c r="F1625" s="8"/>
      <c r="G1625" s="8"/>
      <c r="H1625" s="8"/>
      <c r="I1625" s="8"/>
      <c r="J1625" s="8"/>
      <c r="K1625" s="8"/>
      <c r="L1625" s="8"/>
      <c r="M1625" s="8"/>
      <c r="N1625" s="8"/>
      <c r="O1625" s="8"/>
      <c r="P1625" s="8"/>
      <c r="Q1625" s="8"/>
    </row>
    <row r="1626" ht="13.65" customHeight="1">
      <c r="A1626" s="8"/>
      <c r="B1626" s="8"/>
      <c r="C1626" s="8"/>
      <c r="D1626" s="8"/>
      <c r="E1626" s="8"/>
      <c r="F1626" s="8"/>
      <c r="G1626" s="8"/>
      <c r="H1626" s="8"/>
      <c r="I1626" s="8"/>
      <c r="J1626" s="8"/>
      <c r="K1626" s="8"/>
      <c r="L1626" s="8"/>
      <c r="M1626" s="8"/>
      <c r="N1626" s="8"/>
      <c r="O1626" s="8"/>
      <c r="P1626" s="8"/>
      <c r="Q1626" s="8"/>
    </row>
    <row r="1627" ht="13.65" customHeight="1">
      <c r="A1627" s="8"/>
      <c r="B1627" s="8"/>
      <c r="C1627" s="8"/>
      <c r="D1627" s="8"/>
      <c r="E1627" s="8"/>
      <c r="F1627" s="8"/>
      <c r="G1627" s="8"/>
      <c r="H1627" s="8"/>
      <c r="I1627" s="8"/>
      <c r="J1627" s="8"/>
      <c r="K1627" s="8"/>
      <c r="L1627" s="8"/>
      <c r="M1627" s="8"/>
      <c r="N1627" s="8"/>
      <c r="O1627" s="8"/>
      <c r="P1627" s="8"/>
      <c r="Q1627" s="8"/>
    </row>
    <row r="1628" ht="13.65" customHeight="1">
      <c r="A1628" s="8"/>
      <c r="B1628" s="8"/>
      <c r="C1628" s="8"/>
      <c r="D1628" s="8"/>
      <c r="E1628" s="8"/>
      <c r="F1628" s="8"/>
      <c r="G1628" s="8"/>
      <c r="H1628" s="8"/>
      <c r="I1628" s="8"/>
      <c r="J1628" s="8"/>
      <c r="K1628" s="8"/>
      <c r="L1628" s="8"/>
      <c r="M1628" s="8"/>
      <c r="N1628" s="8"/>
      <c r="O1628" s="8"/>
      <c r="P1628" s="8"/>
      <c r="Q1628" s="8"/>
    </row>
    <row r="1629" ht="13.65" customHeight="1">
      <c r="A1629" s="8"/>
      <c r="B1629" s="8"/>
      <c r="C1629" s="8"/>
      <c r="D1629" s="8"/>
      <c r="E1629" s="8"/>
      <c r="F1629" s="8"/>
      <c r="G1629" s="8"/>
      <c r="H1629" s="8"/>
      <c r="I1629" s="8"/>
      <c r="J1629" s="8"/>
      <c r="K1629" s="8"/>
      <c r="L1629" s="8"/>
      <c r="M1629" s="8"/>
      <c r="N1629" s="8"/>
      <c r="O1629" s="8"/>
      <c r="P1629" s="8"/>
      <c r="Q1629" s="8"/>
    </row>
    <row r="1630" ht="13.65" customHeight="1">
      <c r="A1630" s="8"/>
      <c r="B1630" s="8"/>
      <c r="C1630" s="8"/>
      <c r="D1630" s="8"/>
      <c r="E1630" s="8"/>
      <c r="F1630" s="8"/>
      <c r="G1630" s="8"/>
      <c r="H1630" s="8"/>
      <c r="I1630" s="8"/>
      <c r="J1630" s="8"/>
      <c r="K1630" s="8"/>
      <c r="L1630" s="8"/>
      <c r="M1630" s="8"/>
      <c r="N1630" s="8"/>
      <c r="O1630" s="8"/>
      <c r="P1630" s="8"/>
      <c r="Q1630" s="8"/>
    </row>
    <row r="1631" ht="13.65" customHeight="1">
      <c r="A1631" s="8"/>
      <c r="B1631" s="8"/>
      <c r="C1631" s="8"/>
      <c r="D1631" s="8"/>
      <c r="E1631" s="8"/>
      <c r="F1631" s="8"/>
      <c r="G1631" s="8"/>
      <c r="H1631" s="8"/>
      <c r="I1631" s="8"/>
      <c r="J1631" s="8"/>
      <c r="K1631" s="8"/>
      <c r="L1631" s="8"/>
      <c r="M1631" s="8"/>
      <c r="N1631" s="8"/>
      <c r="O1631" s="8"/>
      <c r="P1631" s="8"/>
      <c r="Q1631" s="8"/>
    </row>
    <row r="1632" ht="13.65" customHeight="1">
      <c r="A1632" s="8"/>
      <c r="B1632" s="8"/>
      <c r="C1632" s="8"/>
      <c r="D1632" s="8"/>
      <c r="E1632" s="8"/>
      <c r="F1632" s="8"/>
      <c r="G1632" s="8"/>
      <c r="H1632" s="8"/>
      <c r="I1632" s="8"/>
      <c r="J1632" s="8"/>
      <c r="K1632" s="8"/>
      <c r="L1632" s="8"/>
      <c r="M1632" s="8"/>
      <c r="N1632" s="8"/>
      <c r="O1632" s="8"/>
      <c r="P1632" s="8"/>
      <c r="Q1632" s="8"/>
    </row>
    <row r="1633" ht="13.65" customHeight="1">
      <c r="A1633" s="8"/>
      <c r="B1633" s="8"/>
      <c r="C1633" s="8"/>
      <c r="D1633" s="8"/>
      <c r="E1633" s="8"/>
      <c r="F1633" s="8"/>
      <c r="G1633" s="8"/>
      <c r="H1633" s="8"/>
      <c r="I1633" s="8"/>
      <c r="J1633" s="8"/>
      <c r="K1633" s="8"/>
      <c r="L1633" s="8"/>
      <c r="M1633" s="8"/>
      <c r="N1633" s="8"/>
      <c r="O1633" s="8"/>
      <c r="P1633" s="8"/>
      <c r="Q1633" s="8"/>
    </row>
    <row r="1634" ht="13.65" customHeight="1">
      <c r="A1634" s="8"/>
      <c r="B1634" s="8"/>
      <c r="C1634" s="8"/>
      <c r="D1634" s="8"/>
      <c r="E1634" s="8"/>
      <c r="F1634" s="8"/>
      <c r="G1634" s="8"/>
      <c r="H1634" s="8"/>
      <c r="I1634" s="8"/>
      <c r="J1634" s="8"/>
      <c r="K1634" s="8"/>
      <c r="L1634" s="8"/>
      <c r="M1634" s="8"/>
      <c r="N1634" s="8"/>
      <c r="O1634" s="8"/>
      <c r="P1634" s="8"/>
      <c r="Q1634" s="8"/>
    </row>
    <row r="1635" ht="13.65" customHeight="1">
      <c r="A1635" s="8"/>
      <c r="B1635" s="8"/>
      <c r="C1635" s="8"/>
      <c r="D1635" s="8"/>
      <c r="E1635" s="8"/>
      <c r="F1635" s="8"/>
      <c r="G1635" s="8"/>
      <c r="H1635" s="8"/>
      <c r="I1635" s="8"/>
      <c r="J1635" s="8"/>
      <c r="K1635" s="8"/>
      <c r="L1635" s="8"/>
      <c r="M1635" s="8"/>
      <c r="N1635" s="8"/>
      <c r="O1635" s="8"/>
      <c r="P1635" s="8"/>
      <c r="Q1635" s="8"/>
    </row>
    <row r="1636" ht="13.65" customHeight="1">
      <c r="A1636" s="8"/>
      <c r="B1636" s="8"/>
      <c r="C1636" s="8"/>
      <c r="D1636" s="8"/>
      <c r="E1636" s="8"/>
      <c r="F1636" s="8"/>
      <c r="G1636" s="8"/>
      <c r="H1636" s="8"/>
      <c r="I1636" s="8"/>
      <c r="J1636" s="8"/>
      <c r="K1636" s="8"/>
      <c r="L1636" s="8"/>
      <c r="M1636" s="8"/>
      <c r="N1636" s="8"/>
      <c r="O1636" s="8"/>
      <c r="P1636" s="8"/>
      <c r="Q1636" s="8"/>
    </row>
    <row r="1637" ht="13.65" customHeight="1">
      <c r="A1637" s="8"/>
      <c r="B1637" s="8"/>
      <c r="C1637" s="8"/>
      <c r="D1637" s="8"/>
      <c r="E1637" s="8"/>
      <c r="F1637" s="8"/>
      <c r="G1637" s="8"/>
      <c r="H1637" s="8"/>
      <c r="I1637" s="8"/>
      <c r="J1637" s="8"/>
      <c r="K1637" s="8"/>
      <c r="L1637" s="8"/>
      <c r="M1637" s="8"/>
      <c r="N1637" s="8"/>
      <c r="O1637" s="8"/>
      <c r="P1637" s="8"/>
      <c r="Q1637" s="8"/>
    </row>
    <row r="1638" ht="13.65" customHeight="1">
      <c r="A1638" s="8"/>
      <c r="B1638" s="8"/>
      <c r="C1638" s="8"/>
      <c r="D1638" s="8"/>
      <c r="E1638" s="8"/>
      <c r="F1638" s="8"/>
      <c r="G1638" s="8"/>
      <c r="H1638" s="8"/>
      <c r="I1638" s="8"/>
      <c r="J1638" s="8"/>
      <c r="K1638" s="8"/>
      <c r="L1638" s="8"/>
      <c r="M1638" s="8"/>
      <c r="N1638" s="8"/>
      <c r="O1638" s="8"/>
      <c r="P1638" s="8"/>
      <c r="Q1638" s="8"/>
    </row>
    <row r="1639" ht="13.65" customHeight="1">
      <c r="A1639" s="8"/>
      <c r="B1639" s="8"/>
      <c r="C1639" s="8"/>
      <c r="D1639" s="8"/>
      <c r="E1639" s="8"/>
      <c r="F1639" s="8"/>
      <c r="G1639" s="8"/>
      <c r="H1639" s="8"/>
      <c r="I1639" s="8"/>
      <c r="J1639" s="8"/>
      <c r="K1639" s="8"/>
      <c r="L1639" s="8"/>
      <c r="M1639" s="8"/>
      <c r="N1639" s="8"/>
      <c r="O1639" s="8"/>
      <c r="P1639" s="8"/>
      <c r="Q1639" s="8"/>
    </row>
    <row r="1640" ht="13.65" customHeight="1">
      <c r="A1640" s="8"/>
      <c r="B1640" s="8"/>
      <c r="C1640" s="8"/>
      <c r="D1640" s="8"/>
      <c r="E1640" s="8"/>
      <c r="F1640" s="8"/>
      <c r="G1640" s="8"/>
      <c r="H1640" s="8"/>
      <c r="I1640" s="8"/>
      <c r="J1640" s="8"/>
      <c r="K1640" s="8"/>
      <c r="L1640" s="8"/>
      <c r="M1640" s="8"/>
      <c r="N1640" s="8"/>
      <c r="O1640" s="8"/>
      <c r="P1640" s="8"/>
      <c r="Q1640" s="8"/>
    </row>
    <row r="1641" ht="13.65" customHeight="1">
      <c r="A1641" s="8"/>
      <c r="B1641" s="8"/>
      <c r="C1641" s="8"/>
      <c r="D1641" s="8"/>
      <c r="E1641" s="8"/>
      <c r="F1641" s="8"/>
      <c r="G1641" s="8"/>
      <c r="H1641" s="8"/>
      <c r="I1641" s="8"/>
      <c r="J1641" s="8"/>
      <c r="K1641" s="8"/>
      <c r="L1641" s="8"/>
      <c r="M1641" s="8"/>
      <c r="N1641" s="8"/>
      <c r="O1641" s="8"/>
      <c r="P1641" s="8"/>
      <c r="Q1641" s="8"/>
    </row>
    <row r="1642" ht="13.65" customHeight="1">
      <c r="A1642" s="8"/>
      <c r="B1642" s="8"/>
      <c r="C1642" s="8"/>
      <c r="D1642" s="8"/>
      <c r="E1642" s="8"/>
      <c r="F1642" s="8"/>
      <c r="G1642" s="8"/>
      <c r="H1642" s="8"/>
      <c r="I1642" s="8"/>
      <c r="J1642" s="8"/>
      <c r="K1642" s="8"/>
      <c r="L1642" s="8"/>
      <c r="M1642" s="8"/>
      <c r="N1642" s="8"/>
      <c r="O1642" s="8"/>
      <c r="P1642" s="8"/>
      <c r="Q1642" s="8"/>
    </row>
    <row r="1643" ht="13.65" customHeight="1">
      <c r="A1643" s="8"/>
      <c r="B1643" s="8"/>
      <c r="C1643" s="8"/>
      <c r="D1643" s="8"/>
      <c r="E1643" s="8"/>
      <c r="F1643" s="8"/>
      <c r="G1643" s="8"/>
      <c r="H1643" s="8"/>
      <c r="I1643" s="8"/>
      <c r="J1643" s="8"/>
      <c r="K1643" s="8"/>
      <c r="L1643" s="8"/>
      <c r="M1643" s="8"/>
      <c r="N1643" s="8"/>
      <c r="O1643" s="8"/>
      <c r="P1643" s="8"/>
      <c r="Q1643" s="8"/>
    </row>
    <row r="1644" ht="13.65" customHeight="1">
      <c r="A1644" s="8"/>
      <c r="B1644" s="8"/>
      <c r="C1644" s="8"/>
      <c r="D1644" s="8"/>
      <c r="E1644" s="8"/>
      <c r="F1644" s="8"/>
      <c r="G1644" s="8"/>
      <c r="H1644" s="8"/>
      <c r="I1644" s="8"/>
      <c r="J1644" s="8"/>
      <c r="K1644" s="8"/>
      <c r="L1644" s="8"/>
      <c r="M1644" s="8"/>
      <c r="N1644" s="8"/>
      <c r="O1644" s="8"/>
      <c r="P1644" s="8"/>
      <c r="Q1644" s="8"/>
    </row>
    <row r="1645" ht="13.65" customHeight="1">
      <c r="A1645" s="8"/>
      <c r="B1645" s="8"/>
      <c r="C1645" s="8"/>
      <c r="D1645" s="8"/>
      <c r="E1645" s="8"/>
      <c r="F1645" s="8"/>
      <c r="G1645" s="8"/>
      <c r="H1645" s="8"/>
      <c r="I1645" s="8"/>
      <c r="J1645" s="8"/>
      <c r="K1645" s="8"/>
      <c r="L1645" s="8"/>
      <c r="M1645" s="8"/>
      <c r="N1645" s="8"/>
      <c r="O1645" s="8"/>
      <c r="P1645" s="8"/>
      <c r="Q1645" s="8"/>
    </row>
    <row r="1646" ht="13.65" customHeight="1">
      <c r="A1646" s="8"/>
      <c r="B1646" s="8"/>
      <c r="C1646" s="8"/>
      <c r="D1646" s="8"/>
      <c r="E1646" s="8"/>
      <c r="F1646" s="8"/>
      <c r="G1646" s="8"/>
      <c r="H1646" s="8"/>
      <c r="I1646" s="8"/>
      <c r="J1646" s="8"/>
      <c r="K1646" s="8"/>
      <c r="L1646" s="8"/>
      <c r="M1646" s="8"/>
      <c r="N1646" s="8"/>
      <c r="O1646" s="8"/>
      <c r="P1646" s="8"/>
      <c r="Q1646" s="8"/>
    </row>
    <row r="1647" ht="13.65" customHeight="1">
      <c r="A1647" s="8"/>
      <c r="B1647" s="8"/>
      <c r="C1647" s="8"/>
      <c r="D1647" s="8"/>
      <c r="E1647" s="8"/>
      <c r="F1647" s="8"/>
      <c r="G1647" s="8"/>
      <c r="H1647" s="8"/>
      <c r="I1647" s="8"/>
      <c r="J1647" s="8"/>
      <c r="K1647" s="8"/>
      <c r="L1647" s="8"/>
      <c r="M1647" s="8"/>
      <c r="N1647" s="8"/>
      <c r="O1647" s="8"/>
      <c r="P1647" s="8"/>
      <c r="Q1647" s="8"/>
    </row>
    <row r="1648" ht="13.65" customHeight="1">
      <c r="A1648" s="8"/>
      <c r="B1648" s="8"/>
      <c r="C1648" s="8"/>
      <c r="D1648" s="8"/>
      <c r="E1648" s="8"/>
      <c r="F1648" s="8"/>
      <c r="G1648" s="8"/>
      <c r="H1648" s="8"/>
      <c r="I1648" s="8"/>
      <c r="J1648" s="8"/>
      <c r="K1648" s="8"/>
      <c r="L1648" s="8"/>
      <c r="M1648" s="8"/>
      <c r="N1648" s="8"/>
      <c r="O1648" s="8"/>
      <c r="P1648" s="8"/>
      <c r="Q1648" s="8"/>
    </row>
    <row r="1649" ht="13.65" customHeight="1">
      <c r="A1649" s="8"/>
      <c r="B1649" s="8"/>
      <c r="C1649" s="8"/>
      <c r="D1649" s="8"/>
      <c r="E1649" s="8"/>
      <c r="F1649" s="8"/>
      <c r="G1649" s="8"/>
      <c r="H1649" s="8"/>
      <c r="I1649" s="8"/>
      <c r="J1649" s="8"/>
      <c r="K1649" s="8"/>
      <c r="L1649" s="8"/>
      <c r="M1649" s="8"/>
      <c r="N1649" s="8"/>
      <c r="O1649" s="8"/>
      <c r="P1649" s="8"/>
      <c r="Q1649" s="8"/>
    </row>
    <row r="1650" ht="13.65" customHeight="1">
      <c r="A1650" s="8"/>
      <c r="B1650" s="8"/>
      <c r="C1650" s="8"/>
      <c r="D1650" s="8"/>
      <c r="E1650" s="8"/>
      <c r="F1650" s="8"/>
      <c r="G1650" s="8"/>
      <c r="H1650" s="8"/>
      <c r="I1650" s="8"/>
      <c r="J1650" s="8"/>
      <c r="K1650" s="8"/>
      <c r="L1650" s="8"/>
      <c r="M1650" s="8"/>
      <c r="N1650" s="8"/>
      <c r="O1650" s="8"/>
      <c r="P1650" s="8"/>
      <c r="Q1650" s="8"/>
    </row>
    <row r="1651" ht="13.65" customHeight="1">
      <c r="A1651" s="8"/>
      <c r="B1651" s="8"/>
      <c r="C1651" s="8"/>
      <c r="D1651" s="8"/>
      <c r="E1651" s="8"/>
      <c r="F1651" s="8"/>
      <c r="G1651" s="8"/>
      <c r="H1651" s="8"/>
      <c r="I1651" s="8"/>
      <c r="J1651" s="8"/>
      <c r="K1651" s="8"/>
      <c r="L1651" s="8"/>
      <c r="M1651" s="8"/>
      <c r="N1651" s="8"/>
      <c r="O1651" s="8"/>
      <c r="P1651" s="8"/>
      <c r="Q1651" s="8"/>
    </row>
    <row r="1652" ht="13.65" customHeight="1">
      <c r="A1652" s="8"/>
      <c r="B1652" s="8"/>
      <c r="C1652" s="8"/>
      <c r="D1652" s="8"/>
      <c r="E1652" s="8"/>
      <c r="F1652" s="8"/>
      <c r="G1652" s="8"/>
      <c r="H1652" s="8"/>
      <c r="I1652" s="8"/>
      <c r="J1652" s="8"/>
      <c r="K1652" s="8"/>
      <c r="L1652" s="8"/>
      <c r="M1652" s="8"/>
      <c r="N1652" s="8"/>
      <c r="O1652" s="8"/>
      <c r="P1652" s="8"/>
      <c r="Q1652" s="8"/>
    </row>
    <row r="1653" ht="13.65" customHeight="1">
      <c r="A1653" s="8"/>
      <c r="B1653" s="8"/>
      <c r="C1653" s="8"/>
      <c r="D1653" s="8"/>
      <c r="E1653" s="8"/>
      <c r="F1653" s="8"/>
      <c r="G1653" s="8"/>
      <c r="H1653" s="8"/>
      <c r="I1653" s="8"/>
      <c r="J1653" s="8"/>
      <c r="K1653" s="8"/>
      <c r="L1653" s="8"/>
      <c r="M1653" s="8"/>
      <c r="N1653" s="8"/>
      <c r="O1653" s="8"/>
      <c r="P1653" s="8"/>
      <c r="Q1653" s="8"/>
    </row>
    <row r="1654" ht="13.65" customHeight="1">
      <c r="A1654" s="8"/>
      <c r="B1654" s="8"/>
      <c r="C1654" s="8"/>
      <c r="D1654" s="8"/>
      <c r="E1654" s="8"/>
      <c r="F1654" s="8"/>
      <c r="G1654" s="8"/>
      <c r="H1654" s="8"/>
      <c r="I1654" s="8"/>
      <c r="J1654" s="8"/>
      <c r="K1654" s="8"/>
      <c r="L1654" s="8"/>
      <c r="M1654" s="8"/>
      <c r="N1654" s="8"/>
      <c r="O1654" s="8"/>
      <c r="P1654" s="8"/>
      <c r="Q1654" s="8"/>
    </row>
    <row r="1655" ht="13.65" customHeight="1">
      <c r="A1655" s="8"/>
      <c r="B1655" s="8"/>
      <c r="C1655" s="8"/>
      <c r="D1655" s="8"/>
      <c r="E1655" s="8"/>
      <c r="F1655" s="8"/>
      <c r="G1655" s="8"/>
      <c r="H1655" s="8"/>
      <c r="I1655" s="8"/>
      <c r="J1655" s="8"/>
      <c r="K1655" s="8"/>
      <c r="L1655" s="8"/>
      <c r="M1655" s="8"/>
      <c r="N1655" s="8"/>
      <c r="O1655" s="8"/>
      <c r="P1655" s="8"/>
      <c r="Q1655" s="8"/>
    </row>
    <row r="1656" ht="13.65" customHeight="1">
      <c r="A1656" s="8"/>
      <c r="B1656" s="8"/>
      <c r="C1656" s="8"/>
      <c r="D1656" s="8"/>
      <c r="E1656" s="8"/>
      <c r="F1656" s="8"/>
      <c r="G1656" s="8"/>
      <c r="H1656" s="8"/>
      <c r="I1656" s="8"/>
      <c r="J1656" s="8"/>
      <c r="K1656" s="8"/>
      <c r="L1656" s="8"/>
      <c r="M1656" s="8"/>
      <c r="N1656" s="8"/>
      <c r="O1656" s="8"/>
      <c r="P1656" s="8"/>
      <c r="Q1656" s="8"/>
    </row>
    <row r="1657" ht="13.65" customHeight="1">
      <c r="A1657" s="8"/>
      <c r="B1657" s="8"/>
      <c r="C1657" s="8"/>
      <c r="D1657" s="8"/>
      <c r="E1657" s="8"/>
      <c r="F1657" s="8"/>
      <c r="G1657" s="8"/>
      <c r="H1657" s="8"/>
      <c r="I1657" s="8"/>
      <c r="J1657" s="8"/>
      <c r="K1657" s="8"/>
      <c r="L1657" s="8"/>
      <c r="M1657" s="8"/>
      <c r="N1657" s="8"/>
      <c r="O1657" s="8"/>
      <c r="P1657" s="8"/>
      <c r="Q1657" s="8"/>
    </row>
    <row r="1658" ht="13.65" customHeight="1">
      <c r="A1658" s="8"/>
      <c r="B1658" s="8"/>
      <c r="C1658" s="8"/>
      <c r="D1658" s="8"/>
      <c r="E1658" s="8"/>
      <c r="F1658" s="8"/>
      <c r="G1658" s="8"/>
      <c r="H1658" s="8"/>
      <c r="I1658" s="8"/>
      <c r="J1658" s="8"/>
      <c r="K1658" s="8"/>
      <c r="L1658" s="8"/>
      <c r="M1658" s="8"/>
      <c r="N1658" s="8"/>
      <c r="O1658" s="8"/>
      <c r="P1658" s="8"/>
      <c r="Q1658" s="8"/>
    </row>
    <row r="1659" ht="13.65" customHeight="1">
      <c r="A1659" s="8"/>
      <c r="B1659" s="8"/>
      <c r="C1659" s="8"/>
      <c r="D1659" s="8"/>
      <c r="E1659" s="8"/>
      <c r="F1659" s="8"/>
      <c r="G1659" s="8"/>
      <c r="H1659" s="8"/>
      <c r="I1659" s="8"/>
      <c r="J1659" s="8"/>
      <c r="K1659" s="8"/>
      <c r="L1659" s="8"/>
      <c r="M1659" s="8"/>
      <c r="N1659" s="8"/>
      <c r="O1659" s="8"/>
      <c r="P1659" s="8"/>
      <c r="Q1659" s="8"/>
    </row>
    <row r="1660" ht="13.65" customHeight="1">
      <c r="A1660" s="8"/>
      <c r="B1660" s="8"/>
      <c r="C1660" s="8"/>
      <c r="D1660" s="8"/>
      <c r="E1660" s="8"/>
      <c r="F1660" s="8"/>
      <c r="G1660" s="8"/>
      <c r="H1660" s="8"/>
      <c r="I1660" s="8"/>
      <c r="J1660" s="8"/>
      <c r="K1660" s="8"/>
      <c r="L1660" s="8"/>
      <c r="M1660" s="8"/>
      <c r="N1660" s="8"/>
      <c r="O1660" s="8"/>
      <c r="P1660" s="8"/>
      <c r="Q1660" s="8"/>
    </row>
    <row r="1661" ht="13.65" customHeight="1">
      <c r="A1661" s="8"/>
      <c r="B1661" s="8"/>
      <c r="C1661" s="8"/>
      <c r="D1661" s="8"/>
      <c r="E1661" s="8"/>
      <c r="F1661" s="8"/>
      <c r="G1661" s="8"/>
      <c r="H1661" s="8"/>
      <c r="I1661" s="8"/>
      <c r="J1661" s="8"/>
      <c r="K1661" s="8"/>
      <c r="L1661" s="8"/>
      <c r="M1661" s="8"/>
      <c r="N1661" s="8"/>
      <c r="O1661" s="8"/>
      <c r="P1661" s="8"/>
      <c r="Q1661" s="8"/>
    </row>
    <row r="1662" ht="13.65" customHeight="1">
      <c r="A1662" s="8"/>
      <c r="B1662" s="8"/>
      <c r="C1662" s="8"/>
      <c r="D1662" s="8"/>
      <c r="E1662" s="8"/>
      <c r="F1662" s="8"/>
      <c r="G1662" s="8"/>
      <c r="H1662" s="8"/>
      <c r="I1662" s="8"/>
      <c r="J1662" s="8"/>
      <c r="K1662" s="8"/>
      <c r="L1662" s="8"/>
      <c r="M1662" s="8"/>
      <c r="N1662" s="8"/>
      <c r="O1662" s="8"/>
      <c r="P1662" s="8"/>
      <c r="Q1662" s="8"/>
    </row>
    <row r="1663" ht="13.65" customHeight="1">
      <c r="A1663" s="8"/>
      <c r="B1663" s="8"/>
      <c r="C1663" s="8"/>
      <c r="D1663" s="8"/>
      <c r="E1663" s="8"/>
      <c r="F1663" s="8"/>
      <c r="G1663" s="8"/>
      <c r="H1663" s="8"/>
      <c r="I1663" s="8"/>
      <c r="J1663" s="8"/>
      <c r="K1663" s="8"/>
      <c r="L1663" s="8"/>
      <c r="M1663" s="8"/>
      <c r="N1663" s="8"/>
      <c r="O1663" s="8"/>
      <c r="P1663" s="8"/>
      <c r="Q1663" s="8"/>
    </row>
    <row r="1664" ht="13.65" customHeight="1">
      <c r="A1664" s="8"/>
      <c r="B1664" s="8"/>
      <c r="C1664" s="8"/>
      <c r="D1664" s="8"/>
      <c r="E1664" s="8"/>
      <c r="F1664" s="8"/>
      <c r="G1664" s="8"/>
      <c r="H1664" s="8"/>
      <c r="I1664" s="8"/>
      <c r="J1664" s="8"/>
      <c r="K1664" s="8"/>
      <c r="L1664" s="8"/>
      <c r="M1664" s="8"/>
      <c r="N1664" s="8"/>
      <c r="O1664" s="8"/>
      <c r="P1664" s="8"/>
      <c r="Q1664" s="8"/>
    </row>
    <row r="1665" ht="13.65" customHeight="1">
      <c r="A1665" s="8"/>
      <c r="B1665" s="8"/>
      <c r="C1665" s="8"/>
      <c r="D1665" s="8"/>
      <c r="E1665" s="8"/>
      <c r="F1665" s="8"/>
      <c r="G1665" s="8"/>
      <c r="H1665" s="8"/>
      <c r="I1665" s="8"/>
      <c r="J1665" s="8"/>
      <c r="K1665" s="8"/>
      <c r="L1665" s="8"/>
      <c r="M1665" s="8"/>
      <c r="N1665" s="8"/>
      <c r="O1665" s="8"/>
      <c r="P1665" s="8"/>
      <c r="Q1665" s="8"/>
    </row>
    <row r="1666" ht="13.65" customHeight="1">
      <c r="A1666" s="8"/>
      <c r="B1666" s="8"/>
      <c r="C1666" s="8"/>
      <c r="D1666" s="8"/>
      <c r="E1666" s="8"/>
      <c r="F1666" s="8"/>
      <c r="G1666" s="8"/>
      <c r="H1666" s="8"/>
      <c r="I1666" s="8"/>
      <c r="J1666" s="8"/>
      <c r="K1666" s="8"/>
      <c r="L1666" s="8"/>
      <c r="M1666" s="8"/>
      <c r="N1666" s="8"/>
      <c r="O1666" s="8"/>
      <c r="P1666" s="8"/>
      <c r="Q1666" s="8"/>
    </row>
    <row r="1667" ht="13.65" customHeight="1">
      <c r="A1667" s="8"/>
      <c r="B1667" s="8"/>
      <c r="C1667" s="8"/>
      <c r="D1667" s="8"/>
      <c r="E1667" s="8"/>
      <c r="F1667" s="8"/>
      <c r="G1667" s="8"/>
      <c r="H1667" s="8"/>
      <c r="I1667" s="8"/>
      <c r="J1667" s="8"/>
      <c r="K1667" s="8"/>
      <c r="L1667" s="8"/>
      <c r="M1667" s="8"/>
      <c r="N1667" s="8"/>
      <c r="O1667" s="8"/>
      <c r="P1667" s="8"/>
      <c r="Q1667" s="8"/>
    </row>
    <row r="1668" ht="13.65" customHeight="1">
      <c r="A1668" s="8"/>
      <c r="B1668" s="8"/>
      <c r="C1668" s="8"/>
      <c r="D1668" s="8"/>
      <c r="E1668" s="8"/>
      <c r="F1668" s="8"/>
      <c r="G1668" s="8"/>
      <c r="H1668" s="8"/>
      <c r="I1668" s="8"/>
      <c r="J1668" s="8"/>
      <c r="K1668" s="8"/>
      <c r="L1668" s="8"/>
      <c r="M1668" s="8"/>
      <c r="N1668" s="8"/>
      <c r="O1668" s="8"/>
      <c r="P1668" s="8"/>
      <c r="Q1668" s="8"/>
    </row>
    <row r="1669" ht="13.65" customHeight="1">
      <c r="A1669" s="8"/>
      <c r="B1669" s="8"/>
      <c r="C1669" s="8"/>
      <c r="D1669" s="8"/>
      <c r="E1669" s="8"/>
      <c r="F1669" s="8"/>
      <c r="G1669" s="8"/>
      <c r="H1669" s="8"/>
      <c r="I1669" s="8"/>
      <c r="J1669" s="8"/>
      <c r="K1669" s="8"/>
      <c r="L1669" s="8"/>
      <c r="M1669" s="8"/>
      <c r="N1669" s="8"/>
      <c r="O1669" s="8"/>
      <c r="P1669" s="8"/>
      <c r="Q1669" s="8"/>
    </row>
    <row r="1670" ht="13.65" customHeight="1">
      <c r="A1670" s="8"/>
      <c r="B1670" s="8"/>
      <c r="C1670" s="8"/>
      <c r="D1670" s="8"/>
      <c r="E1670" s="8"/>
      <c r="F1670" s="8"/>
      <c r="G1670" s="8"/>
      <c r="H1670" s="8"/>
      <c r="I1670" s="8"/>
      <c r="J1670" s="8"/>
      <c r="K1670" s="8"/>
      <c r="L1670" s="8"/>
      <c r="M1670" s="8"/>
      <c r="N1670" s="8"/>
      <c r="O1670" s="8"/>
      <c r="P1670" s="8"/>
      <c r="Q1670" s="8"/>
    </row>
    <row r="1671" ht="13.65" customHeight="1">
      <c r="A1671" s="8"/>
      <c r="B1671" s="8"/>
      <c r="C1671" s="8"/>
      <c r="D1671" s="8"/>
      <c r="E1671" s="8"/>
      <c r="F1671" s="8"/>
      <c r="G1671" s="8"/>
      <c r="H1671" s="8"/>
      <c r="I1671" s="8"/>
      <c r="J1671" s="8"/>
      <c r="K1671" s="8"/>
      <c r="L1671" s="8"/>
      <c r="M1671" s="8"/>
      <c r="N1671" s="8"/>
      <c r="O1671" s="8"/>
      <c r="P1671" s="8"/>
      <c r="Q1671" s="8"/>
    </row>
    <row r="1672" ht="13.65" customHeight="1">
      <c r="A1672" s="8"/>
      <c r="B1672" s="8"/>
      <c r="C1672" s="8"/>
      <c r="D1672" s="8"/>
      <c r="E1672" s="8"/>
      <c r="F1672" s="8"/>
      <c r="G1672" s="8"/>
      <c r="H1672" s="8"/>
      <c r="I1672" s="8"/>
      <c r="J1672" s="8"/>
      <c r="K1672" s="8"/>
      <c r="L1672" s="8"/>
      <c r="M1672" s="8"/>
      <c r="N1672" s="8"/>
      <c r="O1672" s="8"/>
      <c r="P1672" s="8"/>
      <c r="Q1672" s="8"/>
    </row>
    <row r="1673" ht="13.65" customHeight="1">
      <c r="A1673" s="8"/>
      <c r="B1673" s="8"/>
      <c r="C1673" s="8"/>
      <c r="D1673" s="8"/>
      <c r="E1673" s="8"/>
      <c r="F1673" s="8"/>
      <c r="G1673" s="8"/>
      <c r="H1673" s="8"/>
      <c r="I1673" s="8"/>
      <c r="J1673" s="8"/>
      <c r="K1673" s="8"/>
      <c r="L1673" s="8"/>
      <c r="M1673" s="8"/>
      <c r="N1673" s="8"/>
      <c r="O1673" s="8"/>
      <c r="P1673" s="8"/>
      <c r="Q1673" s="8"/>
    </row>
    <row r="1674" ht="13.65" customHeight="1">
      <c r="A1674" s="8"/>
      <c r="B1674" s="8"/>
      <c r="C1674" s="8"/>
      <c r="D1674" s="8"/>
      <c r="E1674" s="8"/>
      <c r="F1674" s="8"/>
      <c r="G1674" s="8"/>
      <c r="H1674" s="8"/>
      <c r="I1674" s="8"/>
      <c r="J1674" s="8"/>
      <c r="K1674" s="8"/>
      <c r="L1674" s="8"/>
      <c r="M1674" s="8"/>
      <c r="N1674" s="8"/>
      <c r="O1674" s="8"/>
      <c r="P1674" s="8"/>
      <c r="Q1674" s="8"/>
    </row>
    <row r="1675" ht="13.65" customHeight="1">
      <c r="A1675" s="8"/>
      <c r="B1675" s="8"/>
      <c r="C1675" s="8"/>
      <c r="D1675" s="8"/>
      <c r="E1675" s="8"/>
      <c r="F1675" s="8"/>
      <c r="G1675" s="8"/>
      <c r="H1675" s="8"/>
      <c r="I1675" s="8"/>
      <c r="J1675" s="8"/>
      <c r="K1675" s="8"/>
      <c r="L1675" s="8"/>
      <c r="M1675" s="8"/>
      <c r="N1675" s="8"/>
      <c r="O1675" s="8"/>
      <c r="P1675" s="8"/>
      <c r="Q1675" s="8"/>
    </row>
    <row r="1676" ht="13.65" customHeight="1">
      <c r="A1676" s="8"/>
      <c r="B1676" s="8"/>
      <c r="C1676" s="8"/>
      <c r="D1676" s="8"/>
      <c r="E1676" s="8"/>
      <c r="F1676" s="8"/>
      <c r="G1676" s="8"/>
      <c r="H1676" s="8"/>
      <c r="I1676" s="8"/>
      <c r="J1676" s="8"/>
      <c r="K1676" s="8"/>
      <c r="L1676" s="8"/>
      <c r="M1676" s="8"/>
      <c r="N1676" s="8"/>
      <c r="O1676" s="8"/>
      <c r="P1676" s="8"/>
      <c r="Q1676" s="8"/>
    </row>
    <row r="1677" ht="13.65" customHeight="1">
      <c r="A1677" s="8"/>
      <c r="B1677" s="8"/>
      <c r="C1677" s="8"/>
      <c r="D1677" s="8"/>
      <c r="E1677" s="8"/>
      <c r="F1677" s="8"/>
      <c r="G1677" s="8"/>
      <c r="H1677" s="8"/>
      <c r="I1677" s="8"/>
      <c r="J1677" s="8"/>
      <c r="K1677" s="8"/>
      <c r="L1677" s="8"/>
      <c r="M1677" s="8"/>
      <c r="N1677" s="8"/>
      <c r="O1677" s="8"/>
      <c r="P1677" s="8"/>
      <c r="Q1677" s="8"/>
    </row>
    <row r="1678" ht="13.65" customHeight="1">
      <c r="A1678" s="8"/>
      <c r="B1678" s="8"/>
      <c r="C1678" s="8"/>
      <c r="D1678" s="8"/>
      <c r="E1678" s="8"/>
      <c r="F1678" s="8"/>
      <c r="G1678" s="8"/>
      <c r="H1678" s="8"/>
      <c r="I1678" s="8"/>
      <c r="J1678" s="8"/>
      <c r="K1678" s="8"/>
      <c r="L1678" s="8"/>
      <c r="M1678" s="8"/>
      <c r="N1678" s="8"/>
      <c r="O1678" s="8"/>
      <c r="P1678" s="8"/>
      <c r="Q1678" s="8"/>
    </row>
    <row r="1679" ht="13.65" customHeight="1">
      <c r="A1679" s="8"/>
      <c r="B1679" s="8"/>
      <c r="C1679" s="8"/>
      <c r="D1679" s="8"/>
      <c r="E1679" s="8"/>
      <c r="F1679" s="8"/>
      <c r="G1679" s="8"/>
      <c r="H1679" s="8"/>
      <c r="I1679" s="8"/>
      <c r="J1679" s="8"/>
      <c r="K1679" s="8"/>
      <c r="L1679" s="8"/>
      <c r="M1679" s="8"/>
      <c r="N1679" s="8"/>
      <c r="O1679" s="8"/>
      <c r="P1679" s="8"/>
      <c r="Q1679" s="8"/>
    </row>
    <row r="1680" ht="13.65" customHeight="1">
      <c r="A1680" s="8"/>
      <c r="B1680" s="8"/>
      <c r="C1680" s="8"/>
      <c r="D1680" s="8"/>
      <c r="E1680" s="8"/>
      <c r="F1680" s="8"/>
      <c r="G1680" s="8"/>
      <c r="H1680" s="8"/>
      <c r="I1680" s="8"/>
      <c r="J1680" s="8"/>
      <c r="K1680" s="8"/>
      <c r="L1680" s="8"/>
      <c r="M1680" s="8"/>
      <c r="N1680" s="8"/>
      <c r="O1680" s="8"/>
      <c r="P1680" s="8"/>
      <c r="Q1680" s="8"/>
    </row>
    <row r="1681" ht="13.65" customHeight="1">
      <c r="A1681" s="8"/>
      <c r="B1681" s="8"/>
      <c r="C1681" s="8"/>
      <c r="D1681" s="8"/>
      <c r="E1681" s="8"/>
      <c r="F1681" s="8"/>
      <c r="G1681" s="8"/>
      <c r="H1681" s="8"/>
      <c r="I1681" s="8"/>
      <c r="J1681" s="8"/>
      <c r="K1681" s="8"/>
      <c r="L1681" s="8"/>
      <c r="M1681" s="8"/>
      <c r="N1681" s="8"/>
      <c r="O1681" s="8"/>
      <c r="P1681" s="8"/>
      <c r="Q1681" s="8"/>
    </row>
    <row r="1682" ht="13.65" customHeight="1">
      <c r="A1682" s="8"/>
      <c r="B1682" s="8"/>
      <c r="C1682" s="8"/>
      <c r="D1682" s="8"/>
      <c r="E1682" s="8"/>
      <c r="F1682" s="8"/>
      <c r="G1682" s="8"/>
      <c r="H1682" s="8"/>
      <c r="I1682" s="8"/>
      <c r="J1682" s="8"/>
      <c r="K1682" s="8"/>
      <c r="L1682" s="8"/>
      <c r="M1682" s="8"/>
      <c r="N1682" s="8"/>
      <c r="O1682" s="8"/>
      <c r="P1682" s="8"/>
      <c r="Q1682" s="8"/>
    </row>
    <row r="1683" ht="13.65" customHeight="1">
      <c r="A1683" s="8"/>
      <c r="B1683" s="8"/>
      <c r="C1683" s="8"/>
      <c r="D1683" s="8"/>
      <c r="E1683" s="8"/>
      <c r="F1683" s="8"/>
      <c r="G1683" s="8"/>
      <c r="H1683" s="8"/>
      <c r="I1683" s="8"/>
      <c r="J1683" s="8"/>
      <c r="K1683" s="8"/>
      <c r="L1683" s="8"/>
      <c r="M1683" s="8"/>
      <c r="N1683" s="8"/>
      <c r="O1683" s="8"/>
      <c r="P1683" s="8"/>
      <c r="Q1683" s="8"/>
    </row>
    <row r="1684" ht="13.65" customHeight="1">
      <c r="A1684" s="8"/>
      <c r="B1684" s="8"/>
      <c r="C1684" s="8"/>
      <c r="D1684" s="8"/>
      <c r="E1684" s="8"/>
      <c r="F1684" s="8"/>
      <c r="G1684" s="8"/>
      <c r="H1684" s="8"/>
      <c r="I1684" s="8"/>
      <c r="J1684" s="8"/>
      <c r="K1684" s="8"/>
      <c r="L1684" s="8"/>
      <c r="M1684" s="8"/>
      <c r="N1684" s="8"/>
      <c r="O1684" s="8"/>
      <c r="P1684" s="8"/>
      <c r="Q1684" s="8"/>
    </row>
    <row r="1685" ht="13.65" customHeight="1">
      <c r="A1685" s="8"/>
      <c r="B1685" s="8"/>
      <c r="C1685" s="8"/>
      <c r="D1685" s="8"/>
      <c r="E1685" s="8"/>
      <c r="F1685" s="8"/>
      <c r="G1685" s="8"/>
      <c r="H1685" s="8"/>
      <c r="I1685" s="8"/>
      <c r="J1685" s="8"/>
      <c r="K1685" s="8"/>
      <c r="L1685" s="8"/>
      <c r="M1685" s="8"/>
      <c r="N1685" s="8"/>
      <c r="O1685" s="8"/>
      <c r="P1685" s="8"/>
      <c r="Q1685" s="8"/>
    </row>
    <row r="1686" ht="13.65" customHeight="1">
      <c r="A1686" s="8"/>
      <c r="B1686" s="8"/>
      <c r="C1686" s="8"/>
      <c r="D1686" s="8"/>
      <c r="E1686" s="8"/>
      <c r="F1686" s="8"/>
      <c r="G1686" s="8"/>
      <c r="H1686" s="8"/>
      <c r="I1686" s="8"/>
      <c r="J1686" s="8"/>
      <c r="K1686" s="8"/>
      <c r="L1686" s="8"/>
      <c r="M1686" s="8"/>
      <c r="N1686" s="8"/>
      <c r="O1686" s="8"/>
      <c r="P1686" s="8"/>
      <c r="Q1686" s="8"/>
    </row>
    <row r="1687" ht="13.65" customHeight="1">
      <c r="A1687" s="8"/>
      <c r="B1687" s="8"/>
      <c r="C1687" s="8"/>
      <c r="D1687" s="8"/>
      <c r="E1687" s="8"/>
      <c r="F1687" s="8"/>
      <c r="G1687" s="8"/>
      <c r="H1687" s="8"/>
      <c r="I1687" s="8"/>
      <c r="J1687" s="8"/>
      <c r="K1687" s="8"/>
      <c r="L1687" s="8"/>
      <c r="M1687" s="8"/>
      <c r="N1687" s="8"/>
      <c r="O1687" s="8"/>
      <c r="P1687" s="8"/>
      <c r="Q1687" s="8"/>
    </row>
    <row r="1688" ht="13.65" customHeight="1">
      <c r="A1688" s="8"/>
      <c r="B1688" s="8"/>
      <c r="C1688" s="8"/>
      <c r="D1688" s="8"/>
      <c r="E1688" s="8"/>
      <c r="F1688" s="8"/>
      <c r="G1688" s="8"/>
      <c r="H1688" s="8"/>
      <c r="I1688" s="8"/>
      <c r="J1688" s="8"/>
      <c r="K1688" s="8"/>
      <c r="L1688" s="8"/>
      <c r="M1688" s="8"/>
      <c r="N1688" s="8"/>
      <c r="O1688" s="8"/>
      <c r="P1688" s="8"/>
      <c r="Q1688" s="8"/>
    </row>
    <row r="1689" ht="13.65" customHeight="1">
      <c r="A1689" s="8"/>
      <c r="B1689" s="8"/>
      <c r="C1689" s="8"/>
      <c r="D1689" s="8"/>
      <c r="E1689" s="8"/>
      <c r="F1689" s="8"/>
      <c r="G1689" s="8"/>
      <c r="H1689" s="8"/>
      <c r="I1689" s="8"/>
      <c r="J1689" s="8"/>
      <c r="K1689" s="8"/>
      <c r="L1689" s="8"/>
      <c r="M1689" s="8"/>
      <c r="N1689" s="8"/>
      <c r="O1689" s="8"/>
      <c r="P1689" s="8"/>
      <c r="Q1689" s="8"/>
    </row>
    <row r="1690" ht="13.65" customHeight="1">
      <c r="A1690" s="8"/>
      <c r="B1690" s="8"/>
      <c r="C1690" s="8"/>
      <c r="D1690" s="8"/>
      <c r="E1690" s="8"/>
      <c r="F1690" s="8"/>
      <c r="G1690" s="8"/>
      <c r="H1690" s="8"/>
      <c r="I1690" s="8"/>
      <c r="J1690" s="8"/>
      <c r="K1690" s="8"/>
      <c r="L1690" s="8"/>
      <c r="M1690" s="8"/>
      <c r="N1690" s="8"/>
      <c r="O1690" s="8"/>
      <c r="P1690" s="8"/>
      <c r="Q1690" s="8"/>
    </row>
    <row r="1691" ht="13.65" customHeight="1">
      <c r="A1691" s="8"/>
      <c r="B1691" s="8"/>
      <c r="C1691" s="8"/>
      <c r="D1691" s="8"/>
      <c r="E1691" s="8"/>
      <c r="F1691" s="8"/>
      <c r="G1691" s="8"/>
      <c r="H1691" s="8"/>
      <c r="I1691" s="8"/>
      <c r="J1691" s="8"/>
      <c r="K1691" s="8"/>
      <c r="L1691" s="8"/>
      <c r="M1691" s="8"/>
      <c r="N1691" s="8"/>
      <c r="O1691" s="8"/>
      <c r="P1691" s="8"/>
      <c r="Q1691" s="8"/>
    </row>
    <row r="1692" ht="13.65" customHeight="1">
      <c r="A1692" s="8"/>
      <c r="B1692" s="8"/>
      <c r="C1692" s="8"/>
      <c r="D1692" s="8"/>
      <c r="E1692" s="8"/>
      <c r="F1692" s="8"/>
      <c r="G1692" s="8"/>
      <c r="H1692" s="8"/>
      <c r="I1692" s="8"/>
      <c r="J1692" s="8"/>
      <c r="K1692" s="8"/>
      <c r="L1692" s="8"/>
      <c r="M1692" s="8"/>
      <c r="N1692" s="8"/>
      <c r="O1692" s="8"/>
      <c r="P1692" s="8"/>
      <c r="Q1692" s="8"/>
    </row>
    <row r="1693" ht="13.65" customHeight="1">
      <c r="A1693" s="8"/>
      <c r="B1693" s="8"/>
      <c r="C1693" s="8"/>
      <c r="D1693" s="8"/>
      <c r="E1693" s="8"/>
      <c r="F1693" s="8"/>
      <c r="G1693" s="8"/>
      <c r="H1693" s="8"/>
      <c r="I1693" s="8"/>
      <c r="J1693" s="8"/>
      <c r="K1693" s="8"/>
      <c r="L1693" s="8"/>
      <c r="M1693" s="8"/>
      <c r="N1693" s="8"/>
      <c r="O1693" s="8"/>
      <c r="P1693" s="8"/>
      <c r="Q1693" s="8"/>
    </row>
    <row r="1694" ht="13.65" customHeight="1">
      <c r="A1694" s="8"/>
      <c r="B1694" s="8"/>
      <c r="C1694" s="8"/>
      <c r="D1694" s="8"/>
      <c r="E1694" s="8"/>
      <c r="F1694" s="8"/>
      <c r="G1694" s="8"/>
      <c r="H1694" s="8"/>
      <c r="I1694" s="8"/>
      <c r="J1694" s="8"/>
      <c r="K1694" s="8"/>
      <c r="L1694" s="8"/>
      <c r="M1694" s="8"/>
      <c r="N1694" s="8"/>
      <c r="O1694" s="8"/>
      <c r="P1694" s="8"/>
      <c r="Q1694" s="8"/>
    </row>
    <row r="1695" ht="13.65" customHeight="1">
      <c r="A1695" s="8"/>
      <c r="B1695" s="8"/>
      <c r="C1695" s="8"/>
      <c r="D1695" s="8"/>
      <c r="E1695" s="8"/>
      <c r="F1695" s="8"/>
      <c r="G1695" s="8"/>
      <c r="H1695" s="8"/>
      <c r="I1695" s="8"/>
      <c r="J1695" s="8"/>
      <c r="K1695" s="8"/>
      <c r="L1695" s="8"/>
      <c r="M1695" s="8"/>
      <c r="N1695" s="8"/>
      <c r="O1695" s="8"/>
      <c r="P1695" s="8"/>
      <c r="Q1695" s="8"/>
    </row>
    <row r="1696" ht="13.65" customHeight="1">
      <c r="A1696" s="8"/>
      <c r="B1696" s="8"/>
      <c r="C1696" s="8"/>
      <c r="D1696" s="8"/>
      <c r="E1696" s="8"/>
      <c r="F1696" s="8"/>
      <c r="G1696" s="8"/>
      <c r="H1696" s="8"/>
      <c r="I1696" s="8"/>
      <c r="J1696" s="8"/>
      <c r="K1696" s="8"/>
      <c r="L1696" s="8"/>
      <c r="M1696" s="8"/>
      <c r="N1696" s="8"/>
      <c r="O1696" s="8"/>
      <c r="P1696" s="8"/>
      <c r="Q1696" s="8"/>
    </row>
    <row r="1697" ht="13.65" customHeight="1">
      <c r="A1697" s="8"/>
      <c r="B1697" s="8"/>
      <c r="C1697" s="8"/>
      <c r="D1697" s="8"/>
      <c r="E1697" s="8"/>
      <c r="F1697" s="8"/>
      <c r="G1697" s="8"/>
      <c r="H1697" s="8"/>
      <c r="I1697" s="8"/>
      <c r="J1697" s="8"/>
      <c r="K1697" s="8"/>
      <c r="L1697" s="8"/>
      <c r="M1697" s="8"/>
      <c r="N1697" s="8"/>
      <c r="O1697" s="8"/>
      <c r="P1697" s="8"/>
      <c r="Q1697" s="8"/>
    </row>
    <row r="1698" ht="13.65" customHeight="1">
      <c r="A1698" s="8"/>
      <c r="B1698" s="8"/>
      <c r="C1698" s="8"/>
      <c r="D1698" s="8"/>
      <c r="E1698" s="8"/>
      <c r="F1698" s="8"/>
      <c r="G1698" s="8"/>
      <c r="H1698" s="8"/>
      <c r="I1698" s="8"/>
      <c r="J1698" s="8"/>
      <c r="K1698" s="8"/>
      <c r="L1698" s="8"/>
      <c r="M1698" s="8"/>
      <c r="N1698" s="8"/>
      <c r="O1698" s="8"/>
      <c r="P1698" s="8"/>
      <c r="Q1698" s="8"/>
    </row>
    <row r="1699" ht="13.65" customHeight="1">
      <c r="A1699" s="8"/>
      <c r="B1699" s="8"/>
      <c r="C1699" s="8"/>
      <c r="D1699" s="8"/>
      <c r="E1699" s="8"/>
      <c r="F1699" s="8"/>
      <c r="G1699" s="8"/>
      <c r="H1699" s="8"/>
      <c r="I1699" s="8"/>
      <c r="J1699" s="8"/>
      <c r="K1699" s="8"/>
      <c r="L1699" s="8"/>
      <c r="M1699" s="8"/>
      <c r="N1699" s="8"/>
      <c r="O1699" s="8"/>
      <c r="P1699" s="8"/>
      <c r="Q1699" s="8"/>
    </row>
    <row r="1700" ht="13.65" customHeight="1">
      <c r="A1700" s="8"/>
      <c r="B1700" s="8"/>
      <c r="C1700" s="8"/>
      <c r="D1700" s="8"/>
      <c r="E1700" s="8"/>
      <c r="F1700" s="8"/>
      <c r="G1700" s="8"/>
      <c r="H1700" s="8"/>
      <c r="I1700" s="8"/>
      <c r="J1700" s="8"/>
      <c r="K1700" s="8"/>
      <c r="L1700" s="8"/>
      <c r="M1700" s="8"/>
      <c r="N1700" s="8"/>
      <c r="O1700" s="8"/>
      <c r="P1700" s="8"/>
      <c r="Q1700" s="8"/>
    </row>
    <row r="1701" ht="13.65" customHeight="1">
      <c r="A1701" s="8"/>
      <c r="B1701" s="8"/>
      <c r="C1701" s="8"/>
      <c r="D1701" s="8"/>
      <c r="E1701" s="8"/>
      <c r="F1701" s="8"/>
      <c r="G1701" s="8"/>
      <c r="H1701" s="8"/>
      <c r="I1701" s="8"/>
      <c r="J1701" s="8"/>
      <c r="K1701" s="8"/>
      <c r="L1701" s="8"/>
      <c r="M1701" s="8"/>
      <c r="N1701" s="8"/>
      <c r="O1701" s="8"/>
      <c r="P1701" s="8"/>
      <c r="Q1701" s="8"/>
    </row>
    <row r="1702" ht="13.65" customHeight="1">
      <c r="A1702" s="8"/>
      <c r="B1702" s="8"/>
      <c r="C1702" s="8"/>
      <c r="D1702" s="8"/>
      <c r="E1702" s="8"/>
      <c r="F1702" s="8"/>
      <c r="G1702" s="8"/>
      <c r="H1702" s="8"/>
      <c r="I1702" s="8"/>
      <c r="J1702" s="8"/>
      <c r="K1702" s="8"/>
      <c r="L1702" s="8"/>
      <c r="M1702" s="8"/>
      <c r="N1702" s="8"/>
      <c r="O1702" s="8"/>
      <c r="P1702" s="8"/>
      <c r="Q1702" s="8"/>
    </row>
    <row r="1703" ht="13.65" customHeight="1">
      <c r="A1703" s="8"/>
      <c r="B1703" s="8"/>
      <c r="C1703" s="8"/>
      <c r="D1703" s="8"/>
      <c r="E1703" s="8"/>
      <c r="F1703" s="8"/>
      <c r="G1703" s="8"/>
      <c r="H1703" s="8"/>
      <c r="I1703" s="8"/>
      <c r="J1703" s="8"/>
      <c r="K1703" s="8"/>
      <c r="L1703" s="8"/>
      <c r="M1703" s="8"/>
      <c r="N1703" s="8"/>
      <c r="O1703" s="8"/>
      <c r="P1703" s="8"/>
      <c r="Q1703" s="8"/>
    </row>
    <row r="1704" ht="13.65" customHeight="1">
      <c r="A1704" s="8"/>
      <c r="B1704" s="8"/>
      <c r="C1704" s="8"/>
      <c r="D1704" s="8"/>
      <c r="E1704" s="8"/>
      <c r="F1704" s="8"/>
      <c r="G1704" s="8"/>
      <c r="H1704" s="8"/>
      <c r="I1704" s="8"/>
      <c r="J1704" s="8"/>
      <c r="K1704" s="8"/>
      <c r="L1704" s="8"/>
      <c r="M1704" s="8"/>
      <c r="N1704" s="8"/>
      <c r="O1704" s="8"/>
      <c r="P1704" s="8"/>
      <c r="Q1704" s="8"/>
    </row>
    <row r="1705" ht="13.65" customHeight="1">
      <c r="A1705" s="8"/>
      <c r="B1705" s="8"/>
      <c r="C1705" s="8"/>
      <c r="D1705" s="8"/>
      <c r="E1705" s="8"/>
      <c r="F1705" s="8"/>
      <c r="G1705" s="8"/>
      <c r="H1705" s="8"/>
      <c r="I1705" s="8"/>
      <c r="J1705" s="8"/>
      <c r="K1705" s="8"/>
      <c r="L1705" s="8"/>
      <c r="M1705" s="8"/>
      <c r="N1705" s="8"/>
      <c r="O1705" s="8"/>
      <c r="P1705" s="8"/>
      <c r="Q1705" s="8"/>
    </row>
    <row r="1706" ht="13.65" customHeight="1">
      <c r="A1706" s="8"/>
      <c r="B1706" s="8"/>
      <c r="C1706" s="8"/>
      <c r="D1706" s="8"/>
      <c r="E1706" s="8"/>
      <c r="F1706" s="8"/>
      <c r="G1706" s="8"/>
      <c r="H1706" s="8"/>
      <c r="I1706" s="8"/>
      <c r="J1706" s="8"/>
      <c r="K1706" s="8"/>
      <c r="L1706" s="8"/>
      <c r="M1706" s="8"/>
      <c r="N1706" s="8"/>
      <c r="O1706" s="8"/>
      <c r="P1706" s="8"/>
      <c r="Q1706" s="8"/>
    </row>
    <row r="1707" ht="13.65" customHeight="1">
      <c r="A1707" s="8"/>
      <c r="B1707" s="8"/>
      <c r="C1707" s="8"/>
      <c r="D1707" s="8"/>
      <c r="E1707" s="8"/>
      <c r="F1707" s="8"/>
      <c r="G1707" s="8"/>
      <c r="H1707" s="8"/>
      <c r="I1707" s="8"/>
      <c r="J1707" s="8"/>
      <c r="K1707" s="8"/>
      <c r="L1707" s="8"/>
      <c r="M1707" s="8"/>
      <c r="N1707" s="8"/>
      <c r="O1707" s="8"/>
      <c r="P1707" s="8"/>
      <c r="Q1707" s="8"/>
    </row>
    <row r="1708" ht="13.65" customHeight="1">
      <c r="A1708" s="8"/>
      <c r="B1708" s="8"/>
      <c r="C1708" s="8"/>
      <c r="D1708" s="8"/>
      <c r="E1708" s="8"/>
      <c r="F1708" s="8"/>
      <c r="G1708" s="8"/>
      <c r="H1708" s="8"/>
      <c r="I1708" s="8"/>
      <c r="J1708" s="8"/>
      <c r="K1708" s="8"/>
      <c r="L1708" s="8"/>
      <c r="M1708" s="8"/>
      <c r="N1708" s="8"/>
      <c r="O1708" s="8"/>
      <c r="P1708" s="8"/>
      <c r="Q1708" s="8"/>
    </row>
    <row r="1709" ht="13.65" customHeight="1">
      <c r="A1709" s="8"/>
      <c r="B1709" s="8"/>
      <c r="C1709" s="8"/>
      <c r="D1709" s="8"/>
      <c r="E1709" s="8"/>
      <c r="F1709" s="8"/>
      <c r="G1709" s="8"/>
      <c r="H1709" s="8"/>
      <c r="I1709" s="8"/>
      <c r="J1709" s="8"/>
      <c r="K1709" s="8"/>
      <c r="L1709" s="8"/>
      <c r="M1709" s="8"/>
      <c r="N1709" s="8"/>
      <c r="O1709" s="8"/>
      <c r="P1709" s="8"/>
      <c r="Q1709" s="8"/>
    </row>
    <row r="1710" ht="13.65" customHeight="1">
      <c r="A1710" s="8"/>
      <c r="B1710" s="8"/>
      <c r="C1710" s="8"/>
      <c r="D1710" s="8"/>
      <c r="E1710" s="8"/>
      <c r="F1710" s="8"/>
      <c r="G1710" s="8"/>
      <c r="H1710" s="8"/>
      <c r="I1710" s="8"/>
      <c r="J1710" s="8"/>
      <c r="K1710" s="8"/>
      <c r="L1710" s="8"/>
      <c r="M1710" s="8"/>
      <c r="N1710" s="8"/>
      <c r="O1710" s="8"/>
      <c r="P1710" s="8"/>
      <c r="Q1710" s="8"/>
    </row>
    <row r="1711" ht="13.65" customHeight="1">
      <c r="A1711" s="8"/>
      <c r="B1711" s="8"/>
      <c r="C1711" s="8"/>
      <c r="D1711" s="8"/>
      <c r="E1711" s="8"/>
      <c r="F1711" s="8"/>
      <c r="G1711" s="8"/>
      <c r="H1711" s="8"/>
      <c r="I1711" s="8"/>
      <c r="J1711" s="8"/>
      <c r="K1711" s="8"/>
      <c r="L1711" s="8"/>
      <c r="M1711" s="8"/>
      <c r="N1711" s="8"/>
      <c r="O1711" s="8"/>
      <c r="P1711" s="8"/>
      <c r="Q1711" s="8"/>
    </row>
    <row r="1712" ht="13.65" customHeight="1">
      <c r="A1712" s="8"/>
      <c r="B1712" s="8"/>
      <c r="C1712" s="8"/>
      <c r="D1712" s="8"/>
      <c r="E1712" s="8"/>
      <c r="F1712" s="8"/>
      <c r="G1712" s="8"/>
      <c r="H1712" s="8"/>
      <c r="I1712" s="8"/>
      <c r="J1712" s="8"/>
      <c r="K1712" s="8"/>
      <c r="L1712" s="8"/>
      <c r="M1712" s="8"/>
      <c r="N1712" s="8"/>
      <c r="O1712" s="8"/>
      <c r="P1712" s="8"/>
      <c r="Q1712" s="8"/>
    </row>
    <row r="1713" ht="13.65" customHeight="1">
      <c r="A1713" s="8"/>
      <c r="B1713" s="8"/>
      <c r="C1713" s="8"/>
      <c r="D1713" s="8"/>
      <c r="E1713" s="8"/>
      <c r="F1713" s="8"/>
      <c r="G1713" s="8"/>
      <c r="H1713" s="8"/>
      <c r="I1713" s="8"/>
      <c r="J1713" s="8"/>
      <c r="K1713" s="8"/>
      <c r="L1713" s="8"/>
      <c r="M1713" s="8"/>
      <c r="N1713" s="8"/>
      <c r="O1713" s="8"/>
      <c r="P1713" s="8"/>
      <c r="Q1713" s="8"/>
    </row>
    <row r="1714" ht="13.65" customHeight="1">
      <c r="A1714" s="8"/>
      <c r="B1714" s="8"/>
      <c r="C1714" s="8"/>
      <c r="D1714" s="8"/>
      <c r="E1714" s="8"/>
      <c r="F1714" s="8"/>
      <c r="G1714" s="8"/>
      <c r="H1714" s="8"/>
      <c r="I1714" s="8"/>
      <c r="J1714" s="8"/>
      <c r="K1714" s="8"/>
      <c r="L1714" s="8"/>
      <c r="M1714" s="8"/>
      <c r="N1714" s="8"/>
      <c r="O1714" s="8"/>
      <c r="P1714" s="8"/>
      <c r="Q1714" s="8"/>
    </row>
    <row r="1715" ht="13.65" customHeight="1">
      <c r="A1715" s="8"/>
      <c r="B1715" s="8"/>
      <c r="C1715" s="8"/>
      <c r="D1715" s="8"/>
      <c r="E1715" s="8"/>
      <c r="F1715" s="8"/>
      <c r="G1715" s="8"/>
      <c r="H1715" s="8"/>
      <c r="I1715" s="8"/>
      <c r="J1715" s="8"/>
      <c r="K1715" s="8"/>
      <c r="L1715" s="8"/>
      <c r="M1715" s="8"/>
      <c r="N1715" s="8"/>
      <c r="O1715" s="8"/>
      <c r="P1715" s="8"/>
      <c r="Q1715" s="8"/>
    </row>
    <row r="1716" ht="13.65" customHeight="1">
      <c r="A1716" s="8"/>
      <c r="B1716" s="8"/>
      <c r="C1716" s="8"/>
      <c r="D1716" s="8"/>
      <c r="E1716" s="8"/>
      <c r="F1716" s="8"/>
      <c r="G1716" s="8"/>
      <c r="H1716" s="8"/>
      <c r="I1716" s="8"/>
      <c r="J1716" s="8"/>
      <c r="K1716" s="8"/>
      <c r="L1716" s="8"/>
      <c r="M1716" s="8"/>
      <c r="N1716" s="8"/>
      <c r="O1716" s="8"/>
      <c r="P1716" s="8"/>
      <c r="Q1716" s="8"/>
    </row>
    <row r="1717" ht="13.65" customHeight="1">
      <c r="A1717" s="8"/>
      <c r="B1717" s="8"/>
      <c r="C1717" s="8"/>
      <c r="D1717" s="8"/>
      <c r="E1717" s="8"/>
      <c r="F1717" s="8"/>
      <c r="G1717" s="8"/>
      <c r="H1717" s="8"/>
      <c r="I1717" s="8"/>
      <c r="J1717" s="8"/>
      <c r="K1717" s="8"/>
      <c r="L1717" s="8"/>
      <c r="M1717" s="8"/>
      <c r="N1717" s="8"/>
      <c r="O1717" s="8"/>
      <c r="P1717" s="8"/>
      <c r="Q1717" s="8"/>
    </row>
    <row r="1718" ht="13.65" customHeight="1">
      <c r="A1718" s="8"/>
      <c r="B1718" s="8"/>
      <c r="C1718" s="8"/>
      <c r="D1718" s="8"/>
      <c r="E1718" s="8"/>
      <c r="F1718" s="8"/>
      <c r="G1718" s="8"/>
      <c r="H1718" s="8"/>
      <c r="I1718" s="8"/>
      <c r="J1718" s="8"/>
      <c r="K1718" s="8"/>
      <c r="L1718" s="8"/>
      <c r="M1718" s="8"/>
      <c r="N1718" s="8"/>
      <c r="O1718" s="8"/>
      <c r="P1718" s="8"/>
      <c r="Q1718" s="8"/>
    </row>
    <row r="1719" ht="13.65" customHeight="1">
      <c r="A1719" s="8"/>
      <c r="B1719" s="8"/>
      <c r="C1719" s="8"/>
      <c r="D1719" s="8"/>
      <c r="E1719" s="8"/>
      <c r="F1719" s="8"/>
      <c r="G1719" s="8"/>
      <c r="H1719" s="8"/>
      <c r="I1719" s="8"/>
      <c r="J1719" s="8"/>
      <c r="K1719" s="8"/>
      <c r="L1719" s="8"/>
      <c r="M1719" s="8"/>
      <c r="N1719" s="8"/>
      <c r="O1719" s="8"/>
      <c r="P1719" s="8"/>
      <c r="Q1719" s="8"/>
    </row>
    <row r="1720" ht="13.65" customHeight="1">
      <c r="A1720" s="8"/>
      <c r="B1720" s="8"/>
      <c r="C1720" s="8"/>
      <c r="D1720" s="8"/>
      <c r="E1720" s="8"/>
      <c r="F1720" s="8"/>
      <c r="G1720" s="8"/>
      <c r="H1720" s="8"/>
      <c r="I1720" s="8"/>
      <c r="J1720" s="8"/>
      <c r="K1720" s="8"/>
      <c r="L1720" s="8"/>
      <c r="M1720" s="8"/>
      <c r="N1720" s="8"/>
      <c r="O1720" s="8"/>
      <c r="P1720" s="8"/>
      <c r="Q1720" s="8"/>
    </row>
    <row r="1721" ht="13.65" customHeight="1">
      <c r="A1721" s="8"/>
      <c r="B1721" s="8"/>
      <c r="C1721" s="8"/>
      <c r="D1721" s="8"/>
      <c r="E1721" s="8"/>
      <c r="F1721" s="8"/>
      <c r="G1721" s="8"/>
      <c r="H1721" s="8"/>
      <c r="I1721" s="8"/>
      <c r="J1721" s="8"/>
      <c r="K1721" s="8"/>
      <c r="L1721" s="8"/>
      <c r="M1721" s="8"/>
      <c r="N1721" s="8"/>
      <c r="O1721" s="8"/>
      <c r="P1721" s="8"/>
      <c r="Q1721" s="8"/>
    </row>
    <row r="1722" ht="13.65" customHeight="1">
      <c r="A1722" s="8"/>
      <c r="B1722" s="8"/>
      <c r="C1722" s="8"/>
      <c r="D1722" s="8"/>
      <c r="E1722" s="8"/>
      <c r="F1722" s="8"/>
      <c r="G1722" s="8"/>
      <c r="H1722" s="8"/>
      <c r="I1722" s="8"/>
      <c r="J1722" s="8"/>
      <c r="K1722" s="8"/>
      <c r="L1722" s="8"/>
      <c r="M1722" s="8"/>
      <c r="N1722" s="8"/>
      <c r="O1722" s="8"/>
      <c r="P1722" s="8"/>
      <c r="Q1722" s="8"/>
    </row>
    <row r="1723" ht="13.65" customHeight="1">
      <c r="A1723" s="8"/>
      <c r="B1723" s="8"/>
      <c r="C1723" s="8"/>
      <c r="D1723" s="8"/>
      <c r="E1723" s="8"/>
      <c r="F1723" s="8"/>
      <c r="G1723" s="8"/>
      <c r="H1723" s="8"/>
      <c r="I1723" s="8"/>
      <c r="J1723" s="8"/>
      <c r="K1723" s="8"/>
      <c r="L1723" s="8"/>
      <c r="M1723" s="8"/>
      <c r="N1723" s="8"/>
      <c r="O1723" s="8"/>
      <c r="P1723" s="8"/>
      <c r="Q1723" s="8"/>
    </row>
    <row r="1724" ht="13.65" customHeight="1">
      <c r="A1724" s="8"/>
      <c r="B1724" s="8"/>
      <c r="C1724" s="8"/>
      <c r="D1724" s="8"/>
      <c r="E1724" s="8"/>
      <c r="F1724" s="8"/>
      <c r="G1724" s="8"/>
      <c r="H1724" s="8"/>
      <c r="I1724" s="8"/>
      <c r="J1724" s="8"/>
      <c r="K1724" s="8"/>
      <c r="L1724" s="8"/>
      <c r="M1724" s="8"/>
      <c r="N1724" s="8"/>
      <c r="O1724" s="8"/>
      <c r="P1724" s="8"/>
      <c r="Q1724" s="8"/>
    </row>
    <row r="1725" ht="13.65" customHeight="1">
      <c r="A1725" s="8"/>
      <c r="B1725" s="8"/>
      <c r="C1725" s="8"/>
      <c r="D1725" s="8"/>
      <c r="E1725" s="8"/>
      <c r="F1725" s="8"/>
      <c r="G1725" s="8"/>
      <c r="H1725" s="8"/>
      <c r="I1725" s="8"/>
      <c r="J1725" s="8"/>
      <c r="K1725" s="8"/>
      <c r="L1725" s="8"/>
      <c r="M1725" s="8"/>
      <c r="N1725" s="8"/>
      <c r="O1725" s="8"/>
      <c r="P1725" s="8"/>
      <c r="Q1725" s="8"/>
    </row>
    <row r="1726" ht="13.65" customHeight="1">
      <c r="A1726" s="8"/>
      <c r="B1726" s="8"/>
      <c r="C1726" s="8"/>
      <c r="D1726" s="8"/>
      <c r="E1726" s="8"/>
      <c r="F1726" s="8"/>
      <c r="G1726" s="8"/>
      <c r="H1726" s="8"/>
      <c r="I1726" s="8"/>
      <c r="J1726" s="8"/>
      <c r="K1726" s="8"/>
      <c r="L1726" s="8"/>
      <c r="M1726" s="8"/>
      <c r="N1726" s="8"/>
      <c r="O1726" s="8"/>
      <c r="P1726" s="8"/>
      <c r="Q1726" s="8"/>
    </row>
    <row r="1727" ht="13.65" customHeight="1">
      <c r="A1727" s="8"/>
      <c r="B1727" s="8"/>
      <c r="C1727" s="8"/>
      <c r="D1727" s="8"/>
      <c r="E1727" s="8"/>
      <c r="F1727" s="8"/>
      <c r="G1727" s="8"/>
      <c r="H1727" s="8"/>
      <c r="I1727" s="8"/>
      <c r="J1727" s="8"/>
      <c r="K1727" s="8"/>
      <c r="L1727" s="8"/>
      <c r="M1727" s="8"/>
      <c r="N1727" s="8"/>
      <c r="O1727" s="8"/>
      <c r="P1727" s="8"/>
      <c r="Q1727" s="8"/>
    </row>
    <row r="1728" ht="13.65" customHeight="1">
      <c r="A1728" s="8"/>
      <c r="B1728" s="8"/>
      <c r="C1728" s="8"/>
      <c r="D1728" s="8"/>
      <c r="E1728" s="8"/>
      <c r="F1728" s="8"/>
      <c r="G1728" s="8"/>
      <c r="H1728" s="8"/>
      <c r="I1728" s="8"/>
      <c r="J1728" s="8"/>
      <c r="K1728" s="8"/>
      <c r="L1728" s="8"/>
      <c r="M1728" s="8"/>
      <c r="N1728" s="8"/>
      <c r="O1728" s="8"/>
      <c r="P1728" s="8"/>
      <c r="Q1728" s="8"/>
    </row>
    <row r="1729" ht="13.65" customHeight="1">
      <c r="A1729" s="8"/>
      <c r="B1729" s="8"/>
      <c r="C1729" s="8"/>
      <c r="D1729" s="8"/>
      <c r="E1729" s="8"/>
      <c r="F1729" s="8"/>
      <c r="G1729" s="8"/>
      <c r="H1729" s="8"/>
      <c r="I1729" s="8"/>
      <c r="J1729" s="8"/>
      <c r="K1729" s="8"/>
      <c r="L1729" s="8"/>
      <c r="M1729" s="8"/>
      <c r="N1729" s="8"/>
      <c r="O1729" s="8"/>
      <c r="P1729" s="8"/>
      <c r="Q1729" s="8"/>
    </row>
    <row r="1730" ht="13.65" customHeight="1">
      <c r="A1730" s="8"/>
      <c r="B1730" s="8"/>
      <c r="C1730" s="8"/>
      <c r="D1730" s="8"/>
      <c r="E1730" s="8"/>
      <c r="F1730" s="8"/>
      <c r="G1730" s="8"/>
      <c r="H1730" s="8"/>
      <c r="I1730" s="8"/>
      <c r="J1730" s="8"/>
      <c r="K1730" s="8"/>
      <c r="L1730" s="8"/>
      <c r="M1730" s="8"/>
      <c r="N1730" s="8"/>
      <c r="O1730" s="8"/>
      <c r="P1730" s="8"/>
      <c r="Q1730" s="8"/>
    </row>
    <row r="1731" ht="13.65" customHeight="1">
      <c r="A1731" s="8"/>
      <c r="B1731" s="8"/>
      <c r="C1731" s="8"/>
      <c r="D1731" s="8"/>
      <c r="E1731" s="8"/>
      <c r="F1731" s="8"/>
      <c r="G1731" s="8"/>
      <c r="H1731" s="8"/>
      <c r="I1731" s="8"/>
      <c r="J1731" s="8"/>
      <c r="K1731" s="8"/>
      <c r="L1731" s="8"/>
      <c r="M1731" s="8"/>
      <c r="N1731" s="8"/>
      <c r="O1731" s="8"/>
      <c r="P1731" s="8"/>
      <c r="Q1731" s="8"/>
    </row>
    <row r="1732" ht="13.65" customHeight="1">
      <c r="A1732" s="8"/>
      <c r="B1732" s="8"/>
      <c r="C1732" s="8"/>
      <c r="D1732" s="8"/>
      <c r="E1732" s="8"/>
      <c r="F1732" s="8"/>
      <c r="G1732" s="8"/>
      <c r="H1732" s="8"/>
      <c r="I1732" s="8"/>
      <c r="J1732" s="8"/>
      <c r="K1732" s="8"/>
      <c r="L1732" s="8"/>
      <c r="M1732" s="8"/>
      <c r="N1732" s="8"/>
      <c r="O1732" s="8"/>
      <c r="P1732" s="8"/>
      <c r="Q1732" s="8"/>
    </row>
    <row r="1733" ht="13.65" customHeight="1">
      <c r="A1733" s="8"/>
      <c r="B1733" s="8"/>
      <c r="C1733" s="8"/>
      <c r="D1733" s="8"/>
      <c r="E1733" s="8"/>
      <c r="F1733" s="8"/>
      <c r="G1733" s="8"/>
      <c r="H1733" s="8"/>
      <c r="I1733" s="8"/>
      <c r="J1733" s="8"/>
      <c r="K1733" s="8"/>
      <c r="L1733" s="8"/>
      <c r="M1733" s="8"/>
      <c r="N1733" s="8"/>
      <c r="O1733" s="8"/>
      <c r="P1733" s="8"/>
      <c r="Q1733" s="8"/>
    </row>
    <row r="1734" ht="13.65" customHeight="1">
      <c r="A1734" s="8"/>
      <c r="B1734" s="8"/>
      <c r="C1734" s="8"/>
      <c r="D1734" s="8"/>
      <c r="E1734" s="8"/>
      <c r="F1734" s="8"/>
      <c r="G1734" s="8"/>
      <c r="H1734" s="8"/>
      <c r="I1734" s="8"/>
      <c r="J1734" s="8"/>
      <c r="K1734" s="8"/>
      <c r="L1734" s="8"/>
      <c r="M1734" s="8"/>
      <c r="N1734" s="8"/>
      <c r="O1734" s="8"/>
      <c r="P1734" s="8"/>
      <c r="Q1734" s="8"/>
    </row>
    <row r="1735" ht="13.65" customHeight="1">
      <c r="A1735" s="8"/>
      <c r="B1735" s="8"/>
      <c r="C1735" s="8"/>
      <c r="D1735" s="8"/>
      <c r="E1735" s="8"/>
      <c r="F1735" s="8"/>
      <c r="G1735" s="8"/>
      <c r="H1735" s="8"/>
      <c r="I1735" s="8"/>
      <c r="J1735" s="8"/>
      <c r="K1735" s="8"/>
      <c r="L1735" s="8"/>
      <c r="M1735" s="8"/>
      <c r="N1735" s="8"/>
      <c r="O1735" s="8"/>
      <c r="P1735" s="8"/>
      <c r="Q1735" s="8"/>
    </row>
    <row r="1736" ht="13.65" customHeight="1">
      <c r="A1736" s="8"/>
      <c r="B1736" s="8"/>
      <c r="C1736" s="8"/>
      <c r="D1736" s="8"/>
      <c r="E1736" s="8"/>
      <c r="F1736" s="8"/>
      <c r="G1736" s="8"/>
      <c r="H1736" s="8"/>
      <c r="I1736" s="8"/>
      <c r="J1736" s="8"/>
      <c r="K1736" s="8"/>
      <c r="L1736" s="8"/>
      <c r="M1736" s="8"/>
      <c r="N1736" s="8"/>
      <c r="O1736" s="8"/>
      <c r="P1736" s="8"/>
      <c r="Q1736" s="8"/>
    </row>
    <row r="1737" ht="13.65" customHeight="1">
      <c r="A1737" s="8"/>
      <c r="B1737" s="8"/>
      <c r="C1737" s="8"/>
      <c r="D1737" s="8"/>
      <c r="E1737" s="8"/>
      <c r="F1737" s="8"/>
      <c r="G1737" s="8"/>
      <c r="H1737" s="8"/>
      <c r="I1737" s="8"/>
      <c r="J1737" s="8"/>
      <c r="K1737" s="8"/>
      <c r="L1737" s="8"/>
      <c r="M1737" s="8"/>
      <c r="N1737" s="8"/>
      <c r="O1737" s="8"/>
      <c r="P1737" s="8"/>
      <c r="Q1737" s="8"/>
    </row>
    <row r="1738" ht="13.65" customHeight="1">
      <c r="A1738" s="8"/>
      <c r="B1738" s="8"/>
      <c r="C1738" s="8"/>
      <c r="D1738" s="8"/>
      <c r="E1738" s="8"/>
      <c r="F1738" s="8"/>
      <c r="G1738" s="8"/>
      <c r="H1738" s="8"/>
      <c r="I1738" s="8"/>
      <c r="J1738" s="8"/>
      <c r="K1738" s="8"/>
      <c r="L1738" s="8"/>
      <c r="M1738" s="8"/>
      <c r="N1738" s="8"/>
      <c r="O1738" s="8"/>
      <c r="P1738" s="8"/>
      <c r="Q1738" s="8"/>
    </row>
    <row r="1739" ht="13.65" customHeight="1">
      <c r="A1739" s="8"/>
      <c r="B1739" s="8"/>
      <c r="C1739" s="8"/>
      <c r="D1739" s="8"/>
      <c r="E1739" s="8"/>
      <c r="F1739" s="8"/>
      <c r="G1739" s="8"/>
      <c r="H1739" s="8"/>
      <c r="I1739" s="8"/>
      <c r="J1739" s="8"/>
      <c r="K1739" s="8"/>
      <c r="L1739" s="8"/>
      <c r="M1739" s="8"/>
      <c r="N1739" s="8"/>
      <c r="O1739" s="8"/>
      <c r="P1739" s="8"/>
      <c r="Q1739" s="8"/>
    </row>
    <row r="1740" ht="13.65" customHeight="1">
      <c r="A1740" s="8"/>
      <c r="B1740" s="8"/>
      <c r="C1740" s="8"/>
      <c r="D1740" s="8"/>
      <c r="E1740" s="8"/>
      <c r="F1740" s="8"/>
      <c r="G1740" s="8"/>
      <c r="H1740" s="8"/>
      <c r="I1740" s="8"/>
      <c r="J1740" s="8"/>
      <c r="K1740" s="8"/>
      <c r="L1740" s="8"/>
      <c r="M1740" s="8"/>
      <c r="N1740" s="8"/>
      <c r="O1740" s="8"/>
      <c r="P1740" s="8"/>
      <c r="Q1740" s="8"/>
    </row>
    <row r="1741" ht="13.65" customHeight="1">
      <c r="A1741" s="8"/>
      <c r="B1741" s="8"/>
      <c r="C1741" s="8"/>
      <c r="D1741" s="8"/>
      <c r="E1741" s="8"/>
      <c r="F1741" s="8"/>
      <c r="G1741" s="8"/>
      <c r="H1741" s="8"/>
      <c r="I1741" s="8"/>
      <c r="J1741" s="8"/>
      <c r="K1741" s="8"/>
      <c r="L1741" s="8"/>
      <c r="M1741" s="8"/>
      <c r="N1741" s="8"/>
      <c r="O1741" s="8"/>
      <c r="P1741" s="8"/>
      <c r="Q1741" s="8"/>
    </row>
    <row r="1742" ht="13.65" customHeight="1">
      <c r="A1742" s="8"/>
      <c r="B1742" s="8"/>
      <c r="C1742" s="8"/>
      <c r="D1742" s="8"/>
      <c r="E1742" s="8"/>
      <c r="F1742" s="8"/>
      <c r="G1742" s="8"/>
      <c r="H1742" s="8"/>
      <c r="I1742" s="8"/>
      <c r="J1742" s="8"/>
      <c r="K1742" s="8"/>
      <c r="L1742" s="8"/>
      <c r="M1742" s="8"/>
      <c r="N1742" s="8"/>
      <c r="O1742" s="8"/>
      <c r="P1742" s="8"/>
      <c r="Q1742" s="8"/>
    </row>
    <row r="1743" ht="13.65" customHeight="1">
      <c r="A1743" s="8"/>
      <c r="B1743" s="8"/>
      <c r="C1743" s="8"/>
      <c r="D1743" s="8"/>
      <c r="E1743" s="8"/>
      <c r="F1743" s="8"/>
      <c r="G1743" s="8"/>
      <c r="H1743" s="8"/>
      <c r="I1743" s="8"/>
      <c r="J1743" s="8"/>
      <c r="K1743" s="8"/>
      <c r="L1743" s="8"/>
      <c r="M1743" s="8"/>
      <c r="N1743" s="8"/>
      <c r="O1743" s="8"/>
      <c r="P1743" s="8"/>
      <c r="Q1743" s="8"/>
    </row>
    <row r="1744" ht="13.65" customHeight="1">
      <c r="A1744" s="8"/>
      <c r="B1744" s="8"/>
      <c r="C1744" s="8"/>
      <c r="D1744" s="8"/>
      <c r="E1744" s="8"/>
      <c r="F1744" s="8"/>
      <c r="G1744" s="8"/>
      <c r="H1744" s="8"/>
      <c r="I1744" s="8"/>
      <c r="J1744" s="8"/>
      <c r="K1744" s="8"/>
      <c r="L1744" s="8"/>
      <c r="M1744" s="8"/>
      <c r="N1744" s="8"/>
      <c r="O1744" s="8"/>
      <c r="P1744" s="8"/>
      <c r="Q1744" s="8"/>
    </row>
    <row r="1745" ht="13.65" customHeight="1">
      <c r="A1745" s="8"/>
      <c r="B1745" s="8"/>
      <c r="C1745" s="8"/>
      <c r="D1745" s="8"/>
      <c r="E1745" s="8"/>
      <c r="F1745" s="8"/>
      <c r="G1745" s="8"/>
      <c r="H1745" s="8"/>
      <c r="I1745" s="8"/>
      <c r="J1745" s="8"/>
      <c r="K1745" s="8"/>
      <c r="L1745" s="8"/>
      <c r="M1745" s="8"/>
      <c r="N1745" s="8"/>
      <c r="O1745" s="8"/>
      <c r="P1745" s="8"/>
      <c r="Q1745" s="8"/>
    </row>
    <row r="1746" ht="13.65" customHeight="1">
      <c r="A1746" s="8"/>
      <c r="B1746" s="8"/>
      <c r="C1746" s="8"/>
      <c r="D1746" s="8"/>
      <c r="E1746" s="8"/>
      <c r="F1746" s="8"/>
      <c r="G1746" s="8"/>
      <c r="H1746" s="8"/>
      <c r="I1746" s="8"/>
      <c r="J1746" s="8"/>
      <c r="K1746" s="8"/>
      <c r="L1746" s="8"/>
      <c r="M1746" s="8"/>
      <c r="N1746" s="8"/>
      <c r="O1746" s="8"/>
      <c r="P1746" s="8"/>
      <c r="Q1746" s="8"/>
    </row>
    <row r="1747" ht="13.65" customHeight="1">
      <c r="A1747" s="8"/>
      <c r="B1747" s="8"/>
      <c r="C1747" s="8"/>
      <c r="D1747" s="8"/>
      <c r="E1747" s="8"/>
      <c r="F1747" s="8"/>
      <c r="G1747" s="8"/>
      <c r="H1747" s="8"/>
      <c r="I1747" s="8"/>
      <c r="J1747" s="8"/>
      <c r="K1747" s="8"/>
      <c r="L1747" s="8"/>
      <c r="M1747" s="8"/>
      <c r="N1747" s="8"/>
      <c r="O1747" s="8"/>
      <c r="P1747" s="8"/>
      <c r="Q1747" s="8"/>
    </row>
    <row r="1748" ht="13.65" customHeight="1">
      <c r="A1748" s="8"/>
      <c r="B1748" s="8"/>
      <c r="C1748" s="8"/>
      <c r="D1748" s="8"/>
      <c r="E1748" s="8"/>
      <c r="F1748" s="8"/>
      <c r="G1748" s="8"/>
      <c r="H1748" s="8"/>
      <c r="I1748" s="8"/>
      <c r="J1748" s="8"/>
      <c r="K1748" s="8"/>
      <c r="L1748" s="8"/>
      <c r="M1748" s="8"/>
      <c r="N1748" s="8"/>
      <c r="O1748" s="8"/>
      <c r="P1748" s="8"/>
      <c r="Q1748" s="8"/>
    </row>
    <row r="1749" ht="13.65" customHeight="1">
      <c r="A1749" s="8"/>
      <c r="B1749" s="8"/>
      <c r="C1749" s="8"/>
      <c r="D1749" s="8"/>
      <c r="E1749" s="8"/>
      <c r="F1749" s="8"/>
      <c r="G1749" s="8"/>
      <c r="H1749" s="8"/>
      <c r="I1749" s="8"/>
      <c r="J1749" s="8"/>
      <c r="K1749" s="8"/>
      <c r="L1749" s="8"/>
      <c r="M1749" s="8"/>
      <c r="N1749" s="8"/>
      <c r="O1749" s="8"/>
      <c r="P1749" s="8"/>
      <c r="Q1749" s="8"/>
    </row>
    <row r="1750" ht="13.65" customHeight="1">
      <c r="A1750" s="8"/>
      <c r="B1750" s="8"/>
      <c r="C1750" s="8"/>
      <c r="D1750" s="8"/>
      <c r="E1750" s="8"/>
      <c r="F1750" s="8"/>
      <c r="G1750" s="8"/>
      <c r="H1750" s="8"/>
      <c r="I1750" s="8"/>
      <c r="J1750" s="8"/>
      <c r="K1750" s="8"/>
      <c r="L1750" s="8"/>
      <c r="M1750" s="8"/>
      <c r="N1750" s="8"/>
      <c r="O1750" s="8"/>
      <c r="P1750" s="8"/>
      <c r="Q1750" s="8"/>
    </row>
    <row r="1751" ht="13.65" customHeight="1">
      <c r="A1751" s="8"/>
      <c r="B1751" s="8"/>
      <c r="C1751" s="8"/>
      <c r="D1751" s="8"/>
      <c r="E1751" s="8"/>
      <c r="F1751" s="8"/>
      <c r="G1751" s="8"/>
      <c r="H1751" s="8"/>
      <c r="I1751" s="8"/>
      <c r="J1751" s="8"/>
      <c r="K1751" s="8"/>
      <c r="L1751" s="8"/>
      <c r="M1751" s="8"/>
      <c r="N1751" s="8"/>
      <c r="O1751" s="8"/>
      <c r="P1751" s="8"/>
      <c r="Q1751" s="8"/>
    </row>
    <row r="1752" ht="13.65" customHeight="1">
      <c r="A1752" s="8"/>
      <c r="B1752" s="8"/>
      <c r="C1752" s="8"/>
      <c r="D1752" s="8"/>
      <c r="E1752" s="8"/>
      <c r="F1752" s="8"/>
      <c r="G1752" s="8"/>
      <c r="H1752" s="8"/>
      <c r="I1752" s="8"/>
      <c r="J1752" s="8"/>
      <c r="K1752" s="8"/>
      <c r="L1752" s="8"/>
      <c r="M1752" s="8"/>
      <c r="N1752" s="8"/>
      <c r="O1752" s="8"/>
      <c r="P1752" s="8"/>
      <c r="Q1752" s="8"/>
    </row>
    <row r="1753" ht="13.65" customHeight="1">
      <c r="A1753" s="8"/>
      <c r="B1753" s="8"/>
      <c r="C1753" s="8"/>
      <c r="D1753" s="8"/>
      <c r="E1753" s="8"/>
      <c r="F1753" s="8"/>
      <c r="G1753" s="8"/>
      <c r="H1753" s="8"/>
      <c r="I1753" s="8"/>
      <c r="J1753" s="8"/>
      <c r="K1753" s="8"/>
      <c r="L1753" s="8"/>
      <c r="M1753" s="8"/>
      <c r="N1753" s="8"/>
      <c r="O1753" s="8"/>
      <c r="P1753" s="8"/>
      <c r="Q1753" s="8"/>
    </row>
    <row r="1754" ht="13.65" customHeight="1">
      <c r="A1754" s="8"/>
      <c r="B1754" s="8"/>
      <c r="C1754" s="8"/>
      <c r="D1754" s="8"/>
      <c r="E1754" s="8"/>
      <c r="F1754" s="8"/>
      <c r="G1754" s="8"/>
      <c r="H1754" s="8"/>
      <c r="I1754" s="8"/>
      <c r="J1754" s="8"/>
      <c r="K1754" s="8"/>
      <c r="L1754" s="8"/>
      <c r="M1754" s="8"/>
      <c r="N1754" s="8"/>
      <c r="O1754" s="8"/>
      <c r="P1754" s="8"/>
      <c r="Q1754" s="8"/>
    </row>
    <row r="1755" ht="13.65" customHeight="1">
      <c r="A1755" s="8"/>
      <c r="B1755" s="8"/>
      <c r="C1755" s="8"/>
      <c r="D1755" s="8"/>
      <c r="E1755" s="8"/>
      <c r="F1755" s="8"/>
      <c r="G1755" s="8"/>
      <c r="H1755" s="8"/>
      <c r="I1755" s="8"/>
      <c r="J1755" s="8"/>
      <c r="K1755" s="8"/>
      <c r="L1755" s="8"/>
      <c r="M1755" s="8"/>
      <c r="N1755" s="8"/>
      <c r="O1755" s="8"/>
      <c r="P1755" s="8"/>
      <c r="Q1755" s="8"/>
    </row>
    <row r="1756" ht="13.65" customHeight="1">
      <c r="A1756" s="8"/>
      <c r="B1756" s="8"/>
      <c r="C1756" s="8"/>
      <c r="D1756" s="8"/>
      <c r="E1756" s="8"/>
      <c r="F1756" s="8"/>
      <c r="G1756" s="8"/>
      <c r="H1756" s="8"/>
      <c r="I1756" s="8"/>
      <c r="J1756" s="8"/>
      <c r="K1756" s="8"/>
      <c r="L1756" s="8"/>
      <c r="M1756" s="8"/>
      <c r="N1756" s="8"/>
      <c r="O1756" s="8"/>
      <c r="P1756" s="8"/>
      <c r="Q1756" s="8"/>
    </row>
    <row r="1757" ht="13.65" customHeight="1">
      <c r="A1757" s="8"/>
      <c r="B1757" s="8"/>
      <c r="C1757" s="8"/>
      <c r="D1757" s="8"/>
      <c r="E1757" s="8"/>
      <c r="F1757" s="8"/>
      <c r="G1757" s="8"/>
      <c r="H1757" s="8"/>
      <c r="I1757" s="8"/>
      <c r="J1757" s="8"/>
      <c r="K1757" s="8"/>
      <c r="L1757" s="8"/>
      <c r="M1757" s="8"/>
      <c r="N1757" s="8"/>
      <c r="O1757" s="8"/>
      <c r="P1757" s="8"/>
      <c r="Q1757" s="8"/>
    </row>
    <row r="1758" ht="13.65" customHeight="1">
      <c r="A1758" s="8"/>
      <c r="B1758" s="8"/>
      <c r="C1758" s="8"/>
      <c r="D1758" s="8"/>
      <c r="E1758" s="8"/>
      <c r="F1758" s="8"/>
      <c r="G1758" s="8"/>
      <c r="H1758" s="8"/>
      <c r="I1758" s="8"/>
      <c r="J1758" s="8"/>
      <c r="K1758" s="8"/>
      <c r="L1758" s="8"/>
      <c r="M1758" s="8"/>
      <c r="N1758" s="8"/>
      <c r="O1758" s="8"/>
      <c r="P1758" s="8"/>
      <c r="Q1758" s="8"/>
    </row>
    <row r="1759" ht="13.65" customHeight="1">
      <c r="A1759" s="8"/>
      <c r="B1759" s="8"/>
      <c r="C1759" s="8"/>
      <c r="D1759" s="8"/>
      <c r="E1759" s="8"/>
      <c r="F1759" s="8"/>
      <c r="G1759" s="8"/>
      <c r="H1759" s="8"/>
      <c r="I1759" s="8"/>
      <c r="J1759" s="8"/>
      <c r="K1759" s="8"/>
      <c r="L1759" s="8"/>
      <c r="M1759" s="8"/>
      <c r="N1759" s="8"/>
      <c r="O1759" s="8"/>
      <c r="P1759" s="8"/>
      <c r="Q1759" s="8"/>
    </row>
    <row r="1760" ht="13.65" customHeight="1">
      <c r="A1760" s="8"/>
      <c r="B1760" s="8"/>
      <c r="C1760" s="8"/>
      <c r="D1760" s="8"/>
      <c r="E1760" s="8"/>
      <c r="F1760" s="8"/>
      <c r="G1760" s="8"/>
      <c r="H1760" s="8"/>
      <c r="I1760" s="8"/>
      <c r="J1760" s="8"/>
      <c r="K1760" s="8"/>
      <c r="L1760" s="8"/>
      <c r="M1760" s="8"/>
      <c r="N1760" s="8"/>
      <c r="O1760" s="8"/>
      <c r="P1760" s="8"/>
      <c r="Q1760" s="8"/>
    </row>
    <row r="1761" ht="13.65" customHeight="1">
      <c r="A1761" s="8"/>
      <c r="B1761" s="8"/>
      <c r="C1761" s="8"/>
      <c r="D1761" s="8"/>
      <c r="E1761" s="8"/>
      <c r="F1761" s="8"/>
      <c r="G1761" s="8"/>
      <c r="H1761" s="8"/>
      <c r="I1761" s="8"/>
      <c r="J1761" s="8"/>
      <c r="K1761" s="8"/>
      <c r="L1761" s="8"/>
      <c r="M1761" s="8"/>
      <c r="N1761" s="8"/>
      <c r="O1761" s="8"/>
      <c r="P1761" s="8"/>
      <c r="Q1761" s="8"/>
    </row>
    <row r="1762" ht="13.65" customHeight="1">
      <c r="A1762" s="8"/>
      <c r="B1762" s="8"/>
      <c r="C1762" s="8"/>
      <c r="D1762" s="8"/>
      <c r="E1762" s="8"/>
      <c r="F1762" s="8"/>
      <c r="G1762" s="8"/>
      <c r="H1762" s="8"/>
      <c r="I1762" s="8"/>
      <c r="J1762" s="8"/>
      <c r="K1762" s="8"/>
      <c r="L1762" s="8"/>
      <c r="M1762" s="8"/>
      <c r="N1762" s="8"/>
      <c r="O1762" s="8"/>
      <c r="P1762" s="8"/>
      <c r="Q1762" s="8"/>
    </row>
    <row r="1763" ht="13.65" customHeight="1">
      <c r="A1763" s="8"/>
      <c r="B1763" s="8"/>
      <c r="C1763" s="8"/>
      <c r="D1763" s="8"/>
      <c r="E1763" s="8"/>
      <c r="F1763" s="8"/>
      <c r="G1763" s="8"/>
      <c r="H1763" s="8"/>
      <c r="I1763" s="8"/>
      <c r="J1763" s="8"/>
      <c r="K1763" s="8"/>
      <c r="L1763" s="8"/>
      <c r="M1763" s="8"/>
      <c r="N1763" s="8"/>
      <c r="O1763" s="8"/>
      <c r="P1763" s="8"/>
      <c r="Q1763" s="8"/>
    </row>
    <row r="1764" ht="13.65" customHeight="1">
      <c r="A1764" s="8"/>
      <c r="B1764" s="8"/>
      <c r="C1764" s="8"/>
      <c r="D1764" s="8"/>
      <c r="E1764" s="8"/>
      <c r="F1764" s="8"/>
      <c r="G1764" s="8"/>
      <c r="H1764" s="8"/>
      <c r="I1764" s="8"/>
      <c r="J1764" s="8"/>
      <c r="K1764" s="8"/>
      <c r="L1764" s="8"/>
      <c r="M1764" s="8"/>
      <c r="N1764" s="8"/>
      <c r="O1764" s="8"/>
      <c r="P1764" s="8"/>
      <c r="Q1764" s="8"/>
    </row>
    <row r="1765" ht="13.65" customHeight="1">
      <c r="A1765" s="8"/>
      <c r="B1765" s="8"/>
      <c r="C1765" s="8"/>
      <c r="D1765" s="8"/>
      <c r="E1765" s="8"/>
      <c r="F1765" s="8"/>
      <c r="G1765" s="8"/>
      <c r="H1765" s="8"/>
      <c r="I1765" s="8"/>
      <c r="J1765" s="8"/>
      <c r="K1765" s="8"/>
      <c r="L1765" s="8"/>
      <c r="M1765" s="8"/>
      <c r="N1765" s="8"/>
      <c r="O1765" s="8"/>
      <c r="P1765" s="8"/>
      <c r="Q1765" s="8"/>
    </row>
    <row r="1766" ht="13.65" customHeight="1">
      <c r="A1766" s="8"/>
      <c r="B1766" s="8"/>
      <c r="C1766" s="8"/>
      <c r="D1766" s="8"/>
      <c r="E1766" s="8"/>
      <c r="F1766" s="8"/>
      <c r="G1766" s="8"/>
      <c r="H1766" s="8"/>
      <c r="I1766" s="8"/>
      <c r="J1766" s="8"/>
      <c r="K1766" s="8"/>
      <c r="L1766" s="8"/>
      <c r="M1766" s="8"/>
      <c r="N1766" s="8"/>
      <c r="O1766" s="8"/>
      <c r="P1766" s="8"/>
      <c r="Q1766" s="8"/>
    </row>
    <row r="1767" ht="13.65" customHeight="1">
      <c r="A1767" s="8"/>
      <c r="B1767" s="8"/>
      <c r="C1767" s="8"/>
      <c r="D1767" s="8"/>
      <c r="E1767" s="8"/>
      <c r="F1767" s="8"/>
      <c r="G1767" s="8"/>
      <c r="H1767" s="8"/>
      <c r="I1767" s="8"/>
      <c r="J1767" s="8"/>
      <c r="K1767" s="8"/>
      <c r="L1767" s="8"/>
      <c r="M1767" s="8"/>
      <c r="N1767" s="8"/>
      <c r="O1767" s="8"/>
      <c r="P1767" s="8"/>
      <c r="Q1767" s="8"/>
    </row>
    <row r="1768" ht="13.65" customHeight="1">
      <c r="A1768" s="8"/>
      <c r="B1768" s="8"/>
      <c r="C1768" s="8"/>
      <c r="D1768" s="8"/>
      <c r="E1768" s="8"/>
      <c r="F1768" s="8"/>
      <c r="G1768" s="8"/>
      <c r="H1768" s="8"/>
      <c r="I1768" s="8"/>
      <c r="J1768" s="8"/>
      <c r="K1768" s="8"/>
      <c r="L1768" s="8"/>
      <c r="M1768" s="8"/>
      <c r="N1768" s="8"/>
      <c r="O1768" s="8"/>
      <c r="P1768" s="8"/>
      <c r="Q1768" s="8"/>
    </row>
    <row r="1769" ht="13.65" customHeight="1">
      <c r="A1769" s="8"/>
      <c r="B1769" s="8"/>
      <c r="C1769" s="8"/>
      <c r="D1769" s="8"/>
      <c r="E1769" s="8"/>
      <c r="F1769" s="8"/>
      <c r="G1769" s="8"/>
      <c r="H1769" s="8"/>
      <c r="I1769" s="8"/>
      <c r="J1769" s="8"/>
      <c r="K1769" s="8"/>
      <c r="L1769" s="8"/>
      <c r="M1769" s="8"/>
      <c r="N1769" s="8"/>
      <c r="O1769" s="8"/>
      <c r="P1769" s="8"/>
      <c r="Q1769" s="8"/>
    </row>
    <row r="1770" ht="13.65" customHeight="1">
      <c r="A1770" s="8"/>
      <c r="B1770" s="8"/>
      <c r="C1770" s="8"/>
      <c r="D1770" s="8"/>
      <c r="E1770" s="8"/>
      <c r="F1770" s="8"/>
      <c r="G1770" s="8"/>
      <c r="H1770" s="8"/>
      <c r="I1770" s="8"/>
      <c r="J1770" s="8"/>
      <c r="K1770" s="8"/>
      <c r="L1770" s="8"/>
      <c r="M1770" s="8"/>
      <c r="N1770" s="8"/>
      <c r="O1770" s="8"/>
      <c r="P1770" s="8"/>
      <c r="Q1770" s="8"/>
    </row>
    <row r="1771" ht="13.65" customHeight="1">
      <c r="A1771" s="8"/>
      <c r="B1771" s="8"/>
      <c r="C1771" s="8"/>
      <c r="D1771" s="8"/>
      <c r="E1771" s="8"/>
      <c r="F1771" s="8"/>
      <c r="G1771" s="8"/>
      <c r="H1771" s="8"/>
      <c r="I1771" s="8"/>
      <c r="J1771" s="8"/>
      <c r="K1771" s="8"/>
      <c r="L1771" s="8"/>
      <c r="M1771" s="8"/>
      <c r="N1771" s="8"/>
      <c r="O1771" s="8"/>
      <c r="P1771" s="8"/>
      <c r="Q1771" s="8"/>
    </row>
    <row r="1772" ht="13.65" customHeight="1">
      <c r="A1772" s="8"/>
      <c r="B1772" s="8"/>
      <c r="C1772" s="8"/>
      <c r="D1772" s="8"/>
      <c r="E1772" s="8"/>
      <c r="F1772" s="8"/>
      <c r="G1772" s="8"/>
      <c r="H1772" s="8"/>
      <c r="I1772" s="8"/>
      <c r="J1772" s="8"/>
      <c r="K1772" s="8"/>
      <c r="L1772" s="8"/>
      <c r="M1772" s="8"/>
      <c r="N1772" s="8"/>
      <c r="O1772" s="8"/>
      <c r="P1772" s="8"/>
      <c r="Q1772" s="8"/>
    </row>
    <row r="1773" ht="13.65" customHeight="1">
      <c r="A1773" s="8"/>
      <c r="B1773" s="8"/>
      <c r="C1773" s="8"/>
      <c r="D1773" s="8"/>
      <c r="E1773" s="8"/>
      <c r="F1773" s="8"/>
      <c r="G1773" s="8"/>
      <c r="H1773" s="8"/>
      <c r="I1773" s="8"/>
      <c r="J1773" s="8"/>
      <c r="K1773" s="8"/>
      <c r="L1773" s="8"/>
      <c r="M1773" s="8"/>
      <c r="N1773" s="8"/>
      <c r="O1773" s="8"/>
      <c r="P1773" s="8"/>
      <c r="Q1773" s="8"/>
    </row>
    <row r="1774" ht="13.65" customHeight="1">
      <c r="A1774" s="8"/>
      <c r="B1774" s="8"/>
      <c r="C1774" s="8"/>
      <c r="D1774" s="8"/>
      <c r="E1774" s="8"/>
      <c r="F1774" s="8"/>
      <c r="G1774" s="8"/>
      <c r="H1774" s="8"/>
      <c r="I1774" s="8"/>
      <c r="J1774" s="8"/>
      <c r="K1774" s="8"/>
      <c r="L1774" s="8"/>
      <c r="M1774" s="8"/>
      <c r="N1774" s="8"/>
      <c r="O1774" s="8"/>
      <c r="P1774" s="8"/>
      <c r="Q1774" s="8"/>
    </row>
    <row r="1775" ht="13.65" customHeight="1">
      <c r="A1775" s="8"/>
      <c r="B1775" s="8"/>
      <c r="C1775" s="8"/>
      <c r="D1775" s="8"/>
      <c r="E1775" s="8"/>
      <c r="F1775" s="8"/>
      <c r="G1775" s="8"/>
      <c r="H1775" s="8"/>
      <c r="I1775" s="8"/>
      <c r="J1775" s="8"/>
      <c r="K1775" s="8"/>
      <c r="L1775" s="8"/>
      <c r="M1775" s="8"/>
      <c r="N1775" s="8"/>
      <c r="O1775" s="8"/>
      <c r="P1775" s="8"/>
      <c r="Q1775" s="8"/>
    </row>
    <row r="1776" ht="13.65" customHeight="1">
      <c r="A1776" s="8"/>
      <c r="B1776" s="8"/>
      <c r="C1776" s="8"/>
      <c r="D1776" s="8"/>
      <c r="E1776" s="8"/>
      <c r="F1776" s="8"/>
      <c r="G1776" s="8"/>
      <c r="H1776" s="8"/>
      <c r="I1776" s="8"/>
      <c r="J1776" s="8"/>
      <c r="K1776" s="8"/>
      <c r="L1776" s="8"/>
      <c r="M1776" s="8"/>
      <c r="N1776" s="8"/>
      <c r="O1776" s="8"/>
      <c r="P1776" s="8"/>
      <c r="Q1776" s="8"/>
    </row>
    <row r="1777" ht="13.65" customHeight="1">
      <c r="A1777" s="8"/>
      <c r="B1777" s="8"/>
      <c r="C1777" s="8"/>
      <c r="D1777" s="8"/>
      <c r="E1777" s="8"/>
      <c r="F1777" s="8"/>
      <c r="G1777" s="8"/>
      <c r="H1777" s="8"/>
      <c r="I1777" s="8"/>
      <c r="J1777" s="8"/>
      <c r="K1777" s="8"/>
      <c r="L1777" s="8"/>
      <c r="M1777" s="8"/>
      <c r="N1777" s="8"/>
      <c r="O1777" s="8"/>
      <c r="P1777" s="8"/>
      <c r="Q1777" s="8"/>
    </row>
    <row r="1778" ht="13.65" customHeight="1">
      <c r="A1778" s="8"/>
      <c r="B1778" s="8"/>
      <c r="C1778" s="8"/>
      <c r="D1778" s="8"/>
      <c r="E1778" s="8"/>
      <c r="F1778" s="8"/>
      <c r="G1778" s="8"/>
      <c r="H1778" s="8"/>
      <c r="I1778" s="8"/>
      <c r="J1778" s="8"/>
      <c r="K1778" s="8"/>
      <c r="L1778" s="8"/>
      <c r="M1778" s="8"/>
      <c r="N1778" s="8"/>
      <c r="O1778" s="8"/>
      <c r="P1778" s="8"/>
      <c r="Q1778" s="8"/>
    </row>
    <row r="1779" ht="13.65" customHeight="1">
      <c r="A1779" s="8"/>
      <c r="B1779" s="8"/>
      <c r="C1779" s="8"/>
      <c r="D1779" s="8"/>
      <c r="E1779" s="8"/>
      <c r="F1779" s="8"/>
      <c r="G1779" s="8"/>
      <c r="H1779" s="8"/>
      <c r="I1779" s="8"/>
      <c r="J1779" s="8"/>
      <c r="K1779" s="8"/>
      <c r="L1779" s="8"/>
      <c r="M1779" s="8"/>
      <c r="N1779" s="8"/>
      <c r="O1779" s="8"/>
      <c r="P1779" s="8"/>
      <c r="Q1779" s="8"/>
    </row>
    <row r="1780" ht="13.65" customHeight="1">
      <c r="A1780" s="8"/>
      <c r="B1780" s="8"/>
      <c r="C1780" s="8"/>
      <c r="D1780" s="8"/>
      <c r="E1780" s="8"/>
      <c r="F1780" s="8"/>
      <c r="G1780" s="8"/>
      <c r="H1780" s="8"/>
      <c r="I1780" s="8"/>
      <c r="J1780" s="8"/>
      <c r="K1780" s="8"/>
      <c r="L1780" s="8"/>
      <c r="M1780" s="8"/>
      <c r="N1780" s="8"/>
      <c r="O1780" s="8"/>
      <c r="P1780" s="8"/>
      <c r="Q1780" s="8"/>
    </row>
    <row r="1781" ht="13.65" customHeight="1">
      <c r="A1781" s="8"/>
      <c r="B1781" s="8"/>
      <c r="C1781" s="8"/>
      <c r="D1781" s="8"/>
      <c r="E1781" s="8"/>
      <c r="F1781" s="8"/>
      <c r="G1781" s="8"/>
      <c r="H1781" s="8"/>
      <c r="I1781" s="8"/>
      <c r="J1781" s="8"/>
      <c r="K1781" s="8"/>
      <c r="L1781" s="8"/>
      <c r="M1781" s="8"/>
      <c r="N1781" s="8"/>
      <c r="O1781" s="8"/>
      <c r="P1781" s="8"/>
      <c r="Q1781" s="8"/>
    </row>
    <row r="1782" ht="13.65" customHeight="1">
      <c r="A1782" s="8"/>
      <c r="B1782" s="8"/>
      <c r="C1782" s="8"/>
      <c r="D1782" s="8"/>
      <c r="E1782" s="8"/>
      <c r="F1782" s="8"/>
      <c r="G1782" s="8"/>
      <c r="H1782" s="8"/>
      <c r="I1782" s="8"/>
      <c r="J1782" s="8"/>
      <c r="K1782" s="8"/>
      <c r="L1782" s="8"/>
      <c r="M1782" s="8"/>
      <c r="N1782" s="8"/>
      <c r="O1782" s="8"/>
      <c r="P1782" s="8"/>
      <c r="Q1782" s="8"/>
    </row>
    <row r="1783" ht="13.65" customHeight="1">
      <c r="A1783" s="8"/>
      <c r="B1783" s="8"/>
      <c r="C1783" s="8"/>
      <c r="D1783" s="8"/>
      <c r="E1783" s="8"/>
      <c r="F1783" s="8"/>
      <c r="G1783" s="8"/>
      <c r="H1783" s="8"/>
      <c r="I1783" s="8"/>
      <c r="J1783" s="8"/>
      <c r="K1783" s="8"/>
      <c r="L1783" s="8"/>
      <c r="M1783" s="8"/>
      <c r="N1783" s="8"/>
      <c r="O1783" s="8"/>
      <c r="P1783" s="8"/>
      <c r="Q1783" s="8"/>
    </row>
    <row r="1784" ht="13.65" customHeight="1">
      <c r="A1784" s="8"/>
      <c r="B1784" s="8"/>
      <c r="C1784" s="8"/>
      <c r="D1784" s="8"/>
      <c r="E1784" s="8"/>
      <c r="F1784" s="8"/>
      <c r="G1784" s="8"/>
      <c r="H1784" s="8"/>
      <c r="I1784" s="8"/>
      <c r="J1784" s="8"/>
      <c r="K1784" s="8"/>
      <c r="L1784" s="8"/>
      <c r="M1784" s="8"/>
      <c r="N1784" s="8"/>
      <c r="O1784" s="8"/>
      <c r="P1784" s="8"/>
      <c r="Q1784" s="8"/>
    </row>
    <row r="1785" ht="13.65" customHeight="1">
      <c r="A1785" s="8"/>
      <c r="B1785" s="8"/>
      <c r="C1785" s="8"/>
      <c r="D1785" s="8"/>
      <c r="E1785" s="8"/>
      <c r="F1785" s="8"/>
      <c r="G1785" s="8"/>
      <c r="H1785" s="8"/>
      <c r="I1785" s="8"/>
      <c r="J1785" s="8"/>
      <c r="K1785" s="8"/>
      <c r="L1785" s="8"/>
      <c r="M1785" s="8"/>
      <c r="N1785" s="8"/>
      <c r="O1785" s="8"/>
      <c r="P1785" s="8"/>
      <c r="Q1785" s="8"/>
    </row>
    <row r="1786" ht="13.65" customHeight="1">
      <c r="A1786" s="8"/>
      <c r="B1786" s="8"/>
      <c r="C1786" s="8"/>
      <c r="D1786" s="8"/>
      <c r="E1786" s="8"/>
      <c r="F1786" s="8"/>
      <c r="G1786" s="8"/>
      <c r="H1786" s="8"/>
      <c r="I1786" s="8"/>
      <c r="J1786" s="8"/>
      <c r="K1786" s="8"/>
      <c r="L1786" s="8"/>
      <c r="M1786" s="8"/>
      <c r="N1786" s="8"/>
      <c r="O1786" s="8"/>
      <c r="P1786" s="8"/>
      <c r="Q1786" s="8"/>
    </row>
    <row r="1787" ht="13.65" customHeight="1">
      <c r="A1787" s="8"/>
      <c r="B1787" s="8"/>
      <c r="C1787" s="8"/>
      <c r="D1787" s="8"/>
      <c r="E1787" s="8"/>
      <c r="F1787" s="8"/>
      <c r="G1787" s="8"/>
      <c r="H1787" s="8"/>
      <c r="I1787" s="8"/>
      <c r="J1787" s="8"/>
      <c r="K1787" s="8"/>
      <c r="L1787" s="8"/>
      <c r="M1787" s="8"/>
      <c r="N1787" s="8"/>
      <c r="O1787" s="8"/>
      <c r="P1787" s="8"/>
      <c r="Q1787" s="8"/>
    </row>
    <row r="1788" ht="13.65" customHeight="1">
      <c r="A1788" s="8"/>
      <c r="B1788" s="8"/>
      <c r="C1788" s="8"/>
      <c r="D1788" s="8"/>
      <c r="E1788" s="8"/>
      <c r="F1788" s="8"/>
      <c r="G1788" s="8"/>
      <c r="H1788" s="8"/>
      <c r="I1788" s="8"/>
      <c r="J1788" s="8"/>
      <c r="K1788" s="8"/>
      <c r="L1788" s="8"/>
      <c r="M1788" s="8"/>
      <c r="N1788" s="8"/>
      <c r="O1788" s="8"/>
      <c r="P1788" s="8"/>
      <c r="Q1788" s="8"/>
    </row>
    <row r="1789" ht="13.65" customHeight="1">
      <c r="A1789" s="8"/>
      <c r="B1789" s="8"/>
      <c r="C1789" s="8"/>
      <c r="D1789" s="8"/>
      <c r="E1789" s="8"/>
      <c r="F1789" s="8"/>
      <c r="G1789" s="8"/>
      <c r="H1789" s="8"/>
      <c r="I1789" s="8"/>
      <c r="J1789" s="8"/>
      <c r="K1789" s="8"/>
      <c r="L1789" s="8"/>
      <c r="M1789" s="8"/>
      <c r="N1789" s="8"/>
      <c r="O1789" s="8"/>
      <c r="P1789" s="8"/>
      <c r="Q1789" s="8"/>
    </row>
    <row r="1790" ht="13.65" customHeight="1">
      <c r="A1790" s="8"/>
      <c r="B1790" s="8"/>
      <c r="C1790" s="8"/>
      <c r="D1790" s="8"/>
      <c r="E1790" s="8"/>
      <c r="F1790" s="8"/>
      <c r="G1790" s="8"/>
      <c r="H1790" s="8"/>
      <c r="I1790" s="8"/>
      <c r="J1790" s="8"/>
      <c r="K1790" s="8"/>
      <c r="L1790" s="8"/>
      <c r="M1790" s="8"/>
      <c r="N1790" s="8"/>
      <c r="O1790" s="8"/>
      <c r="P1790" s="8"/>
      <c r="Q1790" s="8"/>
    </row>
    <row r="1791" ht="13.65" customHeight="1">
      <c r="A1791" s="8"/>
      <c r="B1791" s="8"/>
      <c r="C1791" s="8"/>
      <c r="D1791" s="8"/>
      <c r="E1791" s="8"/>
      <c r="F1791" s="8"/>
      <c r="G1791" s="8"/>
      <c r="H1791" s="8"/>
      <c r="I1791" s="8"/>
      <c r="J1791" s="8"/>
      <c r="K1791" s="8"/>
      <c r="L1791" s="8"/>
      <c r="M1791" s="8"/>
      <c r="N1791" s="8"/>
      <c r="O1791" s="8"/>
      <c r="P1791" s="8"/>
      <c r="Q1791" s="8"/>
    </row>
    <row r="1792" ht="13.65" customHeight="1">
      <c r="A1792" s="8"/>
      <c r="B1792" s="8"/>
      <c r="C1792" s="8"/>
      <c r="D1792" s="8"/>
      <c r="E1792" s="8"/>
      <c r="F1792" s="8"/>
      <c r="G1792" s="8"/>
      <c r="H1792" s="8"/>
      <c r="I1792" s="8"/>
      <c r="J1792" s="8"/>
      <c r="K1792" s="8"/>
      <c r="L1792" s="8"/>
      <c r="M1792" s="8"/>
      <c r="N1792" s="8"/>
      <c r="O1792" s="8"/>
      <c r="P1792" s="8"/>
      <c r="Q1792" s="8"/>
    </row>
    <row r="1793" ht="13.65" customHeight="1">
      <c r="A1793" s="8"/>
      <c r="B1793" s="8"/>
      <c r="C1793" s="8"/>
      <c r="D1793" s="8"/>
      <c r="E1793" s="8"/>
      <c r="F1793" s="8"/>
      <c r="G1793" s="8"/>
      <c r="H1793" s="8"/>
      <c r="I1793" s="8"/>
      <c r="J1793" s="8"/>
      <c r="K1793" s="8"/>
      <c r="L1793" s="8"/>
      <c r="M1793" s="8"/>
      <c r="N1793" s="8"/>
      <c r="O1793" s="8"/>
      <c r="P1793" s="8"/>
      <c r="Q1793" s="8"/>
    </row>
    <row r="1794" ht="13.65" customHeight="1">
      <c r="A1794" s="8"/>
      <c r="B1794" s="8"/>
      <c r="C1794" s="8"/>
      <c r="D1794" s="8"/>
      <c r="E1794" s="8"/>
      <c r="F1794" s="8"/>
      <c r="G1794" s="8"/>
      <c r="H1794" s="8"/>
      <c r="I1794" s="8"/>
      <c r="J1794" s="8"/>
      <c r="K1794" s="8"/>
      <c r="L1794" s="8"/>
      <c r="M1794" s="8"/>
      <c r="N1794" s="8"/>
      <c r="O1794" s="8"/>
      <c r="P1794" s="8"/>
      <c r="Q1794" s="8"/>
    </row>
    <row r="1795" ht="13.65" customHeight="1">
      <c r="A1795" s="8"/>
      <c r="B1795" s="8"/>
      <c r="C1795" s="8"/>
      <c r="D1795" s="8"/>
      <c r="E1795" s="8"/>
      <c r="F1795" s="8"/>
      <c r="G1795" s="8"/>
      <c r="H1795" s="8"/>
      <c r="I1795" s="8"/>
      <c r="J1795" s="8"/>
      <c r="K1795" s="8"/>
      <c r="L1795" s="8"/>
      <c r="M1795" s="8"/>
      <c r="N1795" s="8"/>
      <c r="O1795" s="8"/>
      <c r="P1795" s="8"/>
      <c r="Q1795" s="8"/>
    </row>
    <row r="1796" ht="13.65" customHeight="1">
      <c r="A1796" s="8"/>
      <c r="B1796" s="8"/>
      <c r="C1796" s="8"/>
      <c r="D1796" s="8"/>
      <c r="E1796" s="8"/>
      <c r="F1796" s="8"/>
      <c r="G1796" s="8"/>
      <c r="H1796" s="8"/>
      <c r="I1796" s="8"/>
      <c r="J1796" s="8"/>
      <c r="K1796" s="8"/>
      <c r="L1796" s="8"/>
      <c r="M1796" s="8"/>
      <c r="N1796" s="8"/>
      <c r="O1796" s="8"/>
      <c r="P1796" s="8"/>
      <c r="Q1796" s="8"/>
    </row>
    <row r="1797" ht="13.65" customHeight="1">
      <c r="A1797" s="8"/>
      <c r="B1797" s="8"/>
      <c r="C1797" s="8"/>
      <c r="D1797" s="8"/>
      <c r="E1797" s="8"/>
      <c r="F1797" s="8"/>
      <c r="G1797" s="8"/>
      <c r="H1797" s="8"/>
      <c r="I1797" s="8"/>
      <c r="J1797" s="8"/>
      <c r="K1797" s="8"/>
      <c r="L1797" s="8"/>
      <c r="M1797" s="8"/>
      <c r="N1797" s="8"/>
      <c r="O1797" s="8"/>
      <c r="P1797" s="8"/>
      <c r="Q1797" s="8"/>
    </row>
    <row r="1798" ht="13.65" customHeight="1">
      <c r="A1798" s="8"/>
      <c r="B1798" s="8"/>
      <c r="C1798" s="8"/>
      <c r="D1798" s="8"/>
      <c r="E1798" s="8"/>
      <c r="F1798" s="8"/>
      <c r="G1798" s="8"/>
      <c r="H1798" s="8"/>
      <c r="I1798" s="8"/>
      <c r="J1798" s="8"/>
      <c r="K1798" s="8"/>
      <c r="L1798" s="8"/>
      <c r="M1798" s="8"/>
      <c r="N1798" s="8"/>
      <c r="O1798" s="8"/>
      <c r="P1798" s="8"/>
      <c r="Q1798" s="8"/>
    </row>
    <row r="1799" ht="13.65" customHeight="1">
      <c r="A1799" s="8"/>
      <c r="B1799" s="8"/>
      <c r="C1799" s="8"/>
      <c r="D1799" s="8"/>
      <c r="E1799" s="8"/>
      <c r="F1799" s="8"/>
      <c r="G1799" s="8"/>
      <c r="H1799" s="8"/>
      <c r="I1799" s="8"/>
      <c r="J1799" s="8"/>
      <c r="K1799" s="8"/>
      <c r="L1799" s="8"/>
      <c r="M1799" s="8"/>
      <c r="N1799" s="8"/>
      <c r="O1799" s="8"/>
      <c r="P1799" s="8"/>
      <c r="Q1799" s="8"/>
    </row>
    <row r="1800" ht="13.65" customHeight="1">
      <c r="A1800" s="8"/>
      <c r="B1800" s="8"/>
      <c r="C1800" s="8"/>
      <c r="D1800" s="8"/>
      <c r="E1800" s="8"/>
      <c r="F1800" s="8"/>
      <c r="G1800" s="8"/>
      <c r="H1800" s="8"/>
      <c r="I1800" s="8"/>
      <c r="J1800" s="8"/>
      <c r="K1800" s="8"/>
      <c r="L1800" s="8"/>
      <c r="M1800" s="8"/>
      <c r="N1800" s="8"/>
      <c r="O1800" s="8"/>
      <c r="P1800" s="8"/>
      <c r="Q1800" s="8"/>
    </row>
    <row r="1801" ht="13.65" customHeight="1">
      <c r="A1801" s="8"/>
      <c r="B1801" s="8"/>
      <c r="C1801" s="8"/>
      <c r="D1801" s="8"/>
      <c r="E1801" s="8"/>
      <c r="F1801" s="8"/>
      <c r="G1801" s="8"/>
      <c r="H1801" s="8"/>
      <c r="I1801" s="8"/>
      <c r="J1801" s="8"/>
      <c r="K1801" s="8"/>
      <c r="L1801" s="8"/>
      <c r="M1801" s="8"/>
      <c r="N1801" s="8"/>
      <c r="O1801" s="8"/>
      <c r="P1801" s="8"/>
      <c r="Q1801" s="8"/>
    </row>
    <row r="1802" ht="13.65" customHeight="1">
      <c r="A1802" s="8"/>
      <c r="B1802" s="8"/>
      <c r="C1802" s="8"/>
      <c r="D1802" s="8"/>
      <c r="E1802" s="8"/>
      <c r="F1802" s="8"/>
      <c r="G1802" s="8"/>
      <c r="H1802" s="8"/>
      <c r="I1802" s="8"/>
      <c r="J1802" s="8"/>
      <c r="K1802" s="8"/>
      <c r="L1802" s="8"/>
      <c r="M1802" s="8"/>
      <c r="N1802" s="8"/>
      <c r="O1802" s="8"/>
      <c r="P1802" s="8"/>
      <c r="Q1802" s="8"/>
    </row>
    <row r="1803" ht="13.65" customHeight="1">
      <c r="A1803" s="8"/>
      <c r="B1803" s="8"/>
      <c r="C1803" s="8"/>
      <c r="D1803" s="8"/>
      <c r="E1803" s="8"/>
      <c r="F1803" s="8"/>
      <c r="G1803" s="8"/>
      <c r="H1803" s="8"/>
      <c r="I1803" s="8"/>
      <c r="J1803" s="8"/>
      <c r="K1803" s="8"/>
      <c r="L1803" s="8"/>
      <c r="M1803" s="8"/>
      <c r="N1803" s="8"/>
      <c r="O1803" s="8"/>
      <c r="P1803" s="8"/>
      <c r="Q1803" s="8"/>
    </row>
    <row r="1804" ht="13.65" customHeight="1">
      <c r="A1804" s="8"/>
      <c r="B1804" s="8"/>
      <c r="C1804" s="8"/>
      <c r="D1804" s="8"/>
      <c r="E1804" s="8"/>
      <c r="F1804" s="8"/>
      <c r="G1804" s="8"/>
      <c r="H1804" s="8"/>
      <c r="I1804" s="8"/>
      <c r="J1804" s="8"/>
      <c r="K1804" s="8"/>
      <c r="L1804" s="8"/>
      <c r="M1804" s="8"/>
      <c r="N1804" s="8"/>
      <c r="O1804" s="8"/>
      <c r="P1804" s="8"/>
      <c r="Q1804" s="8"/>
    </row>
    <row r="1805" ht="13.65" customHeight="1">
      <c r="A1805" s="8"/>
      <c r="B1805" s="8"/>
      <c r="C1805" s="8"/>
      <c r="D1805" s="8"/>
      <c r="E1805" s="8"/>
      <c r="F1805" s="8"/>
      <c r="G1805" s="8"/>
      <c r="H1805" s="8"/>
      <c r="I1805" s="8"/>
      <c r="J1805" s="8"/>
      <c r="K1805" s="8"/>
      <c r="L1805" s="8"/>
      <c r="M1805" s="8"/>
      <c r="N1805" s="8"/>
      <c r="O1805" s="8"/>
      <c r="P1805" s="8"/>
      <c r="Q1805" s="8"/>
    </row>
    <row r="1806" ht="13.65" customHeight="1">
      <c r="A1806" s="8"/>
      <c r="B1806" s="8"/>
      <c r="C1806" s="8"/>
      <c r="D1806" s="8"/>
      <c r="E1806" s="8"/>
      <c r="F1806" s="8"/>
      <c r="G1806" s="8"/>
      <c r="H1806" s="8"/>
      <c r="I1806" s="8"/>
      <c r="J1806" s="8"/>
      <c r="K1806" s="8"/>
      <c r="L1806" s="8"/>
      <c r="M1806" s="8"/>
      <c r="N1806" s="8"/>
      <c r="O1806" s="8"/>
      <c r="P1806" s="8"/>
      <c r="Q1806" s="8"/>
    </row>
    <row r="1807" ht="13.65" customHeight="1">
      <c r="A1807" s="8"/>
      <c r="B1807" s="8"/>
      <c r="C1807" s="8"/>
      <c r="D1807" s="8"/>
      <c r="E1807" s="8"/>
      <c r="F1807" s="8"/>
      <c r="G1807" s="8"/>
      <c r="H1807" s="8"/>
      <c r="I1807" s="8"/>
      <c r="J1807" s="8"/>
      <c r="K1807" s="8"/>
      <c r="L1807" s="8"/>
      <c r="M1807" s="8"/>
      <c r="N1807" s="8"/>
      <c r="O1807" s="8"/>
      <c r="P1807" s="8"/>
      <c r="Q1807" s="8"/>
    </row>
    <row r="1808" ht="13.65" customHeight="1">
      <c r="A1808" s="8"/>
      <c r="B1808" s="8"/>
      <c r="C1808" s="8"/>
      <c r="D1808" s="8"/>
      <c r="E1808" s="8"/>
      <c r="F1808" s="8"/>
      <c r="G1808" s="8"/>
      <c r="H1808" s="8"/>
      <c r="I1808" s="8"/>
      <c r="J1808" s="8"/>
      <c r="K1808" s="8"/>
      <c r="L1808" s="8"/>
      <c r="M1808" s="8"/>
      <c r="N1808" s="8"/>
      <c r="O1808" s="8"/>
      <c r="P1808" s="8"/>
      <c r="Q1808" s="8"/>
    </row>
    <row r="1809" ht="13.65" customHeight="1">
      <c r="A1809" s="8"/>
      <c r="B1809" s="8"/>
      <c r="C1809" s="8"/>
      <c r="D1809" s="8"/>
      <c r="E1809" s="8"/>
      <c r="F1809" s="8"/>
      <c r="G1809" s="8"/>
      <c r="H1809" s="8"/>
      <c r="I1809" s="8"/>
      <c r="J1809" s="8"/>
      <c r="K1809" s="8"/>
      <c r="L1809" s="8"/>
      <c r="M1809" s="8"/>
      <c r="N1809" s="8"/>
      <c r="O1809" s="8"/>
      <c r="P1809" s="8"/>
      <c r="Q1809" s="8"/>
    </row>
    <row r="1810" ht="13.65" customHeight="1">
      <c r="A1810" s="8"/>
      <c r="B1810" s="8"/>
      <c r="C1810" s="8"/>
      <c r="D1810" s="8"/>
      <c r="E1810" s="8"/>
      <c r="F1810" s="8"/>
      <c r="G1810" s="8"/>
      <c r="H1810" s="8"/>
      <c r="I1810" s="8"/>
      <c r="J1810" s="8"/>
      <c r="K1810" s="8"/>
      <c r="L1810" s="8"/>
      <c r="M1810" s="8"/>
      <c r="N1810" s="8"/>
      <c r="O1810" s="8"/>
      <c r="P1810" s="8"/>
      <c r="Q1810" s="8"/>
    </row>
    <row r="1811" ht="13.65" customHeight="1">
      <c r="A1811" s="8"/>
      <c r="B1811" s="8"/>
      <c r="C1811" s="8"/>
      <c r="D1811" s="8"/>
      <c r="E1811" s="8"/>
      <c r="F1811" s="8"/>
      <c r="G1811" s="8"/>
      <c r="H1811" s="8"/>
      <c r="I1811" s="8"/>
      <c r="J1811" s="8"/>
      <c r="K1811" s="8"/>
      <c r="L1811" s="8"/>
      <c r="M1811" s="8"/>
      <c r="N1811" s="8"/>
      <c r="O1811" s="8"/>
      <c r="P1811" s="8"/>
      <c r="Q1811" s="8"/>
    </row>
    <row r="1812" ht="13.65" customHeight="1">
      <c r="A1812" s="8"/>
      <c r="B1812" s="8"/>
      <c r="C1812" s="8"/>
      <c r="D1812" s="8"/>
      <c r="E1812" s="8"/>
      <c r="F1812" s="8"/>
      <c r="G1812" s="8"/>
      <c r="H1812" s="8"/>
      <c r="I1812" s="8"/>
      <c r="J1812" s="8"/>
      <c r="K1812" s="8"/>
      <c r="L1812" s="8"/>
      <c r="M1812" s="8"/>
      <c r="N1812" s="8"/>
      <c r="O1812" s="8"/>
      <c r="P1812" s="8"/>
      <c r="Q1812" s="8"/>
    </row>
    <row r="1813" ht="13.65" customHeight="1">
      <c r="A1813" s="8"/>
      <c r="B1813" s="8"/>
      <c r="C1813" s="8"/>
      <c r="D1813" s="8"/>
      <c r="E1813" s="8"/>
      <c r="F1813" s="8"/>
      <c r="G1813" s="8"/>
      <c r="H1813" s="8"/>
      <c r="I1813" s="8"/>
      <c r="J1813" s="8"/>
      <c r="K1813" s="8"/>
      <c r="L1813" s="8"/>
      <c r="M1813" s="8"/>
      <c r="N1813" s="8"/>
      <c r="O1813" s="8"/>
      <c r="P1813" s="8"/>
      <c r="Q1813" s="8"/>
    </row>
    <row r="1814" ht="13.65" customHeight="1">
      <c r="A1814" s="8"/>
      <c r="B1814" s="8"/>
      <c r="C1814" s="8"/>
      <c r="D1814" s="8"/>
      <c r="E1814" s="8"/>
      <c r="F1814" s="8"/>
      <c r="G1814" s="8"/>
      <c r="H1814" s="8"/>
      <c r="I1814" s="8"/>
      <c r="J1814" s="8"/>
      <c r="K1814" s="8"/>
      <c r="L1814" s="8"/>
      <c r="M1814" s="8"/>
      <c r="N1814" s="8"/>
      <c r="O1814" s="8"/>
      <c r="P1814" s="8"/>
      <c r="Q1814" s="8"/>
    </row>
    <row r="1815" ht="13.65" customHeight="1">
      <c r="A1815" s="8"/>
      <c r="B1815" s="8"/>
      <c r="C1815" s="8"/>
      <c r="D1815" s="8"/>
      <c r="E1815" s="8"/>
      <c r="F1815" s="8"/>
      <c r="G1815" s="8"/>
      <c r="H1815" s="8"/>
      <c r="I1815" s="8"/>
      <c r="J1815" s="8"/>
      <c r="K1815" s="8"/>
      <c r="L1815" s="8"/>
      <c r="M1815" s="8"/>
      <c r="N1815" s="8"/>
      <c r="O1815" s="8"/>
      <c r="P1815" s="8"/>
      <c r="Q1815" s="8"/>
    </row>
    <row r="1816" ht="13.65" customHeight="1">
      <c r="A1816" s="8"/>
      <c r="B1816" s="8"/>
      <c r="C1816" s="8"/>
      <c r="D1816" s="8"/>
      <c r="E1816" s="8"/>
      <c r="F1816" s="8"/>
      <c r="G1816" s="8"/>
      <c r="H1816" s="8"/>
      <c r="I1816" s="8"/>
      <c r="J1816" s="8"/>
      <c r="K1816" s="8"/>
      <c r="L1816" s="8"/>
      <c r="M1816" s="8"/>
      <c r="N1816" s="8"/>
      <c r="O1816" s="8"/>
      <c r="P1816" s="8"/>
      <c r="Q1816" s="8"/>
    </row>
    <row r="1817" ht="13.65" customHeight="1">
      <c r="A1817" s="8"/>
      <c r="B1817" s="8"/>
      <c r="C1817" s="8"/>
      <c r="D1817" s="8"/>
      <c r="E1817" s="8"/>
      <c r="F1817" s="8"/>
      <c r="G1817" s="8"/>
      <c r="H1817" s="8"/>
      <c r="I1817" s="8"/>
      <c r="J1817" s="8"/>
      <c r="K1817" s="8"/>
      <c r="L1817" s="8"/>
      <c r="M1817" s="8"/>
      <c r="N1817" s="8"/>
      <c r="O1817" s="8"/>
      <c r="P1817" s="8"/>
      <c r="Q1817" s="8"/>
    </row>
    <row r="1818" ht="13.65" customHeight="1">
      <c r="A1818" s="8"/>
      <c r="B1818" s="8"/>
      <c r="C1818" s="8"/>
      <c r="D1818" s="8"/>
      <c r="E1818" s="8"/>
      <c r="F1818" s="8"/>
      <c r="G1818" s="8"/>
      <c r="H1818" s="8"/>
      <c r="I1818" s="8"/>
      <c r="J1818" s="8"/>
      <c r="K1818" s="8"/>
      <c r="L1818" s="8"/>
      <c r="M1818" s="8"/>
      <c r="N1818" s="8"/>
      <c r="O1818" s="8"/>
      <c r="P1818" s="8"/>
      <c r="Q1818" s="8"/>
    </row>
    <row r="1819" ht="13.65" customHeight="1">
      <c r="A1819" s="8"/>
      <c r="B1819" s="8"/>
      <c r="C1819" s="8"/>
      <c r="D1819" s="8"/>
      <c r="E1819" s="8"/>
      <c r="F1819" s="8"/>
      <c r="G1819" s="8"/>
      <c r="H1819" s="8"/>
      <c r="I1819" s="8"/>
      <c r="J1819" s="8"/>
      <c r="K1819" s="8"/>
      <c r="L1819" s="8"/>
      <c r="M1819" s="8"/>
      <c r="N1819" s="8"/>
      <c r="O1819" s="8"/>
      <c r="P1819" s="8"/>
      <c r="Q1819" s="8"/>
    </row>
    <row r="1820" ht="13.65" customHeight="1">
      <c r="A1820" s="8"/>
      <c r="B1820" s="8"/>
      <c r="C1820" s="8"/>
      <c r="D1820" s="8"/>
      <c r="E1820" s="8"/>
      <c r="F1820" s="8"/>
      <c r="G1820" s="8"/>
      <c r="H1820" s="8"/>
      <c r="I1820" s="8"/>
      <c r="J1820" s="8"/>
      <c r="K1820" s="8"/>
      <c r="L1820" s="8"/>
      <c r="M1820" s="8"/>
      <c r="N1820" s="8"/>
      <c r="O1820" s="8"/>
      <c r="P1820" s="8"/>
      <c r="Q1820" s="8"/>
    </row>
    <row r="1821" ht="13.65" customHeight="1">
      <c r="A1821" s="8"/>
      <c r="B1821" s="8"/>
      <c r="C1821" s="8"/>
      <c r="D1821" s="8"/>
      <c r="E1821" s="8"/>
      <c r="F1821" s="8"/>
      <c r="G1821" s="8"/>
      <c r="H1821" s="8"/>
      <c r="I1821" s="8"/>
      <c r="J1821" s="8"/>
      <c r="K1821" s="8"/>
      <c r="L1821" s="8"/>
      <c r="M1821" s="8"/>
      <c r="N1821" s="8"/>
      <c r="O1821" s="8"/>
      <c r="P1821" s="8"/>
      <c r="Q1821" s="8"/>
    </row>
    <row r="1822" ht="13.65" customHeight="1">
      <c r="A1822" s="8"/>
      <c r="B1822" s="8"/>
      <c r="C1822" s="8"/>
      <c r="D1822" s="8"/>
      <c r="E1822" s="8"/>
      <c r="F1822" s="8"/>
      <c r="G1822" s="8"/>
      <c r="H1822" s="8"/>
      <c r="I1822" s="8"/>
      <c r="J1822" s="8"/>
      <c r="K1822" s="8"/>
      <c r="L1822" s="8"/>
      <c r="M1822" s="8"/>
      <c r="N1822" s="8"/>
      <c r="O1822" s="8"/>
      <c r="P1822" s="8"/>
      <c r="Q1822" s="8"/>
    </row>
    <row r="1823" ht="13.65" customHeight="1">
      <c r="A1823" s="8"/>
      <c r="B1823" s="8"/>
      <c r="C1823" s="8"/>
      <c r="D1823" s="8"/>
      <c r="E1823" s="8"/>
      <c r="F1823" s="8"/>
      <c r="G1823" s="8"/>
      <c r="H1823" s="8"/>
      <c r="I1823" s="8"/>
      <c r="J1823" s="8"/>
      <c r="K1823" s="8"/>
      <c r="L1823" s="8"/>
      <c r="M1823" s="8"/>
      <c r="N1823" s="8"/>
      <c r="O1823" s="8"/>
      <c r="P1823" s="8"/>
      <c r="Q1823" s="8"/>
    </row>
    <row r="1824" ht="13.65" customHeight="1">
      <c r="A1824" s="8"/>
      <c r="B1824" s="8"/>
      <c r="C1824" s="8"/>
      <c r="D1824" s="8"/>
      <c r="E1824" s="8"/>
      <c r="F1824" s="8"/>
      <c r="G1824" s="8"/>
      <c r="H1824" s="8"/>
      <c r="I1824" s="8"/>
      <c r="J1824" s="8"/>
      <c r="K1824" s="8"/>
      <c r="L1824" s="8"/>
      <c r="M1824" s="8"/>
      <c r="N1824" s="8"/>
      <c r="O1824" s="8"/>
      <c r="P1824" s="8"/>
      <c r="Q1824" s="8"/>
    </row>
    <row r="1825" ht="13.65" customHeight="1">
      <c r="A1825" s="8"/>
      <c r="B1825" s="8"/>
      <c r="C1825" s="8"/>
      <c r="D1825" s="8"/>
      <c r="E1825" s="8"/>
      <c r="F1825" s="8"/>
      <c r="G1825" s="8"/>
      <c r="H1825" s="8"/>
      <c r="I1825" s="8"/>
      <c r="J1825" s="8"/>
      <c r="K1825" s="8"/>
      <c r="L1825" s="8"/>
      <c r="M1825" s="8"/>
      <c r="N1825" s="8"/>
      <c r="O1825" s="8"/>
      <c r="P1825" s="8"/>
      <c r="Q1825" s="8"/>
    </row>
    <row r="1826" ht="13.65" customHeight="1">
      <c r="A1826" s="8"/>
      <c r="B1826" s="8"/>
      <c r="C1826" s="8"/>
      <c r="D1826" s="8"/>
      <c r="E1826" s="8"/>
      <c r="F1826" s="8"/>
      <c r="G1826" s="8"/>
      <c r="H1826" s="8"/>
      <c r="I1826" s="8"/>
      <c r="J1826" s="8"/>
      <c r="K1826" s="8"/>
      <c r="L1826" s="8"/>
      <c r="M1826" s="8"/>
      <c r="N1826" s="8"/>
      <c r="O1826" s="8"/>
      <c r="P1826" s="8"/>
      <c r="Q1826" s="8"/>
    </row>
    <row r="1827" ht="13.65" customHeight="1">
      <c r="A1827" s="8"/>
      <c r="B1827" s="8"/>
      <c r="C1827" s="8"/>
      <c r="D1827" s="8"/>
      <c r="E1827" s="8"/>
      <c r="F1827" s="8"/>
      <c r="G1827" s="8"/>
      <c r="H1827" s="8"/>
      <c r="I1827" s="8"/>
      <c r="J1827" s="8"/>
      <c r="K1827" s="8"/>
      <c r="L1827" s="8"/>
      <c r="M1827" s="8"/>
      <c r="N1827" s="8"/>
      <c r="O1827" s="8"/>
      <c r="P1827" s="8"/>
      <c r="Q1827" s="8"/>
    </row>
    <row r="1828" ht="13.65" customHeight="1">
      <c r="A1828" s="8"/>
      <c r="B1828" s="8"/>
      <c r="C1828" s="8"/>
      <c r="D1828" s="8"/>
      <c r="E1828" s="8"/>
      <c r="F1828" s="8"/>
      <c r="G1828" s="8"/>
      <c r="H1828" s="8"/>
      <c r="I1828" s="8"/>
      <c r="J1828" s="8"/>
      <c r="K1828" s="8"/>
      <c r="L1828" s="8"/>
      <c r="M1828" s="8"/>
      <c r="N1828" s="8"/>
      <c r="O1828" s="8"/>
      <c r="P1828" s="8"/>
      <c r="Q1828" s="8"/>
    </row>
    <row r="1829" ht="13.65" customHeight="1">
      <c r="A1829" s="8"/>
      <c r="B1829" s="8"/>
      <c r="C1829" s="8"/>
      <c r="D1829" s="8"/>
      <c r="E1829" s="8"/>
      <c r="F1829" s="8"/>
      <c r="G1829" s="8"/>
      <c r="H1829" s="8"/>
      <c r="I1829" s="8"/>
      <c r="J1829" s="8"/>
      <c r="K1829" s="8"/>
      <c r="L1829" s="8"/>
      <c r="M1829" s="8"/>
      <c r="N1829" s="8"/>
      <c r="O1829" s="8"/>
      <c r="P1829" s="8"/>
      <c r="Q1829" s="8"/>
    </row>
    <row r="1830" ht="13.65" customHeight="1">
      <c r="A1830" s="8"/>
      <c r="B1830" s="8"/>
      <c r="C1830" s="8"/>
      <c r="D1830" s="8"/>
      <c r="E1830" s="8"/>
      <c r="F1830" s="8"/>
      <c r="G1830" s="8"/>
      <c r="H1830" s="8"/>
      <c r="I1830" s="8"/>
      <c r="J1830" s="8"/>
      <c r="K1830" s="8"/>
      <c r="L1830" s="8"/>
      <c r="M1830" s="8"/>
      <c r="N1830" s="8"/>
      <c r="O1830" s="8"/>
      <c r="P1830" s="8"/>
      <c r="Q1830" s="8"/>
    </row>
    <row r="1831" ht="13.65" customHeight="1">
      <c r="A1831" s="8"/>
      <c r="B1831" s="8"/>
      <c r="C1831" s="8"/>
      <c r="D1831" s="8"/>
      <c r="E1831" s="8"/>
      <c r="F1831" s="8"/>
      <c r="G1831" s="8"/>
      <c r="H1831" s="8"/>
      <c r="I1831" s="8"/>
      <c r="J1831" s="8"/>
      <c r="K1831" s="8"/>
      <c r="L1831" s="8"/>
      <c r="M1831" s="8"/>
      <c r="N1831" s="8"/>
      <c r="O1831" s="8"/>
      <c r="P1831" s="8"/>
      <c r="Q1831" s="8"/>
    </row>
    <row r="1832" ht="13.65" customHeight="1">
      <c r="A1832" s="8"/>
      <c r="B1832" s="8"/>
      <c r="C1832" s="8"/>
      <c r="D1832" s="8"/>
      <c r="E1832" s="8"/>
      <c r="F1832" s="8"/>
      <c r="G1832" s="8"/>
      <c r="H1832" s="8"/>
      <c r="I1832" s="8"/>
      <c r="J1832" s="8"/>
      <c r="K1832" s="8"/>
      <c r="L1832" s="8"/>
      <c r="M1832" s="8"/>
      <c r="N1832" s="8"/>
      <c r="O1832" s="8"/>
      <c r="P1832" s="8"/>
      <c r="Q1832" s="8"/>
    </row>
    <row r="1833" ht="13.65" customHeight="1">
      <c r="A1833" s="8"/>
      <c r="B1833" s="8"/>
      <c r="C1833" s="8"/>
      <c r="D1833" s="8"/>
      <c r="E1833" s="8"/>
      <c r="F1833" s="8"/>
      <c r="G1833" s="8"/>
      <c r="H1833" s="8"/>
      <c r="I1833" s="8"/>
      <c r="J1833" s="8"/>
      <c r="K1833" s="8"/>
      <c r="L1833" s="8"/>
      <c r="M1833" s="8"/>
      <c r="N1833" s="8"/>
      <c r="O1833" s="8"/>
      <c r="P1833" s="8"/>
      <c r="Q1833" s="8"/>
    </row>
    <row r="1834" ht="13.65" customHeight="1">
      <c r="A1834" s="8"/>
      <c r="B1834" s="8"/>
      <c r="C1834" s="8"/>
      <c r="D1834" s="8"/>
      <c r="E1834" s="8"/>
      <c r="F1834" s="8"/>
      <c r="G1834" s="8"/>
      <c r="H1834" s="8"/>
      <c r="I1834" s="8"/>
      <c r="J1834" s="8"/>
      <c r="K1834" s="8"/>
      <c r="L1834" s="8"/>
      <c r="M1834" s="8"/>
      <c r="N1834" s="8"/>
      <c r="O1834" s="8"/>
      <c r="P1834" s="8"/>
      <c r="Q1834" s="8"/>
    </row>
    <row r="1835" ht="13.65" customHeight="1">
      <c r="A1835" s="8"/>
      <c r="B1835" s="8"/>
      <c r="C1835" s="8"/>
      <c r="D1835" s="8"/>
      <c r="E1835" s="8"/>
      <c r="F1835" s="8"/>
      <c r="G1835" s="8"/>
      <c r="H1835" s="8"/>
      <c r="I1835" s="8"/>
      <c r="J1835" s="8"/>
      <c r="K1835" s="8"/>
      <c r="L1835" s="8"/>
      <c r="M1835" s="8"/>
      <c r="N1835" s="8"/>
      <c r="O1835" s="8"/>
      <c r="P1835" s="8"/>
      <c r="Q1835" s="8"/>
    </row>
    <row r="1836" ht="13.65" customHeight="1">
      <c r="A1836" s="8"/>
      <c r="B1836" s="8"/>
      <c r="C1836" s="8"/>
      <c r="D1836" s="8"/>
      <c r="E1836" s="8"/>
      <c r="F1836" s="8"/>
      <c r="G1836" s="8"/>
      <c r="H1836" s="8"/>
      <c r="I1836" s="8"/>
      <c r="J1836" s="8"/>
      <c r="K1836" s="8"/>
      <c r="L1836" s="8"/>
      <c r="M1836" s="8"/>
      <c r="N1836" s="8"/>
      <c r="O1836" s="8"/>
      <c r="P1836" s="8"/>
      <c r="Q1836" s="8"/>
    </row>
    <row r="1837" ht="13.65" customHeight="1">
      <c r="A1837" s="8"/>
      <c r="B1837" s="8"/>
      <c r="C1837" s="8"/>
      <c r="D1837" s="8"/>
      <c r="E1837" s="8"/>
      <c r="F1837" s="8"/>
      <c r="G1837" s="8"/>
      <c r="H1837" s="8"/>
      <c r="I1837" s="8"/>
      <c r="J1837" s="8"/>
      <c r="K1837" s="8"/>
      <c r="L1837" s="8"/>
      <c r="M1837" s="8"/>
      <c r="N1837" s="8"/>
      <c r="O1837" s="8"/>
      <c r="P1837" s="8"/>
      <c r="Q1837" s="8"/>
    </row>
    <row r="1838" ht="13.65" customHeight="1">
      <c r="A1838" s="8"/>
      <c r="B1838" s="8"/>
      <c r="C1838" s="8"/>
      <c r="D1838" s="8"/>
      <c r="E1838" s="8"/>
      <c r="F1838" s="8"/>
      <c r="G1838" s="8"/>
      <c r="H1838" s="8"/>
      <c r="I1838" s="8"/>
      <c r="J1838" s="8"/>
      <c r="K1838" s="8"/>
      <c r="L1838" s="8"/>
      <c r="M1838" s="8"/>
      <c r="N1838" s="8"/>
      <c r="O1838" s="8"/>
      <c r="P1838" s="8"/>
      <c r="Q1838" s="8"/>
    </row>
    <row r="1839" ht="13.65" customHeight="1">
      <c r="A1839" s="8"/>
      <c r="B1839" s="8"/>
      <c r="C1839" s="8"/>
      <c r="D1839" s="8"/>
      <c r="E1839" s="8"/>
      <c r="F1839" s="8"/>
      <c r="G1839" s="8"/>
      <c r="H1839" s="8"/>
      <c r="I1839" s="8"/>
      <c r="J1839" s="8"/>
      <c r="K1839" s="8"/>
      <c r="L1839" s="8"/>
      <c r="M1839" s="8"/>
      <c r="N1839" s="8"/>
      <c r="O1839" s="8"/>
      <c r="P1839" s="8"/>
      <c r="Q1839" s="8"/>
    </row>
    <row r="1840" ht="13.65" customHeight="1">
      <c r="A1840" s="8"/>
      <c r="B1840" s="8"/>
      <c r="C1840" s="8"/>
      <c r="D1840" s="8"/>
      <c r="E1840" s="8"/>
      <c r="F1840" s="8"/>
      <c r="G1840" s="8"/>
      <c r="H1840" s="8"/>
      <c r="I1840" s="8"/>
      <c r="J1840" s="8"/>
      <c r="K1840" s="8"/>
      <c r="L1840" s="8"/>
      <c r="M1840" s="8"/>
      <c r="N1840" s="8"/>
      <c r="O1840" s="8"/>
      <c r="P1840" s="8"/>
      <c r="Q1840" s="8"/>
    </row>
    <row r="1841" ht="13.65" customHeight="1">
      <c r="A1841" s="8"/>
      <c r="B1841" s="8"/>
      <c r="C1841" s="8"/>
      <c r="D1841" s="8"/>
      <c r="E1841" s="8"/>
      <c r="F1841" s="8"/>
      <c r="G1841" s="8"/>
      <c r="H1841" s="8"/>
      <c r="I1841" s="8"/>
      <c r="J1841" s="8"/>
      <c r="K1841" s="8"/>
      <c r="L1841" s="8"/>
      <c r="M1841" s="8"/>
      <c r="N1841" s="8"/>
      <c r="O1841" s="8"/>
      <c r="P1841" s="8"/>
      <c r="Q1841" s="8"/>
    </row>
    <row r="1842" ht="13.65" customHeight="1">
      <c r="A1842" s="8"/>
      <c r="B1842" s="8"/>
      <c r="C1842" s="8"/>
      <c r="D1842" s="8"/>
      <c r="E1842" s="8"/>
      <c r="F1842" s="8"/>
      <c r="G1842" s="8"/>
      <c r="H1842" s="8"/>
      <c r="I1842" s="8"/>
      <c r="J1842" s="8"/>
      <c r="K1842" s="8"/>
      <c r="L1842" s="8"/>
      <c r="M1842" s="8"/>
      <c r="N1842" s="8"/>
      <c r="O1842" s="8"/>
      <c r="P1842" s="8"/>
      <c r="Q1842" s="8"/>
    </row>
    <row r="1843" ht="13.65" customHeight="1">
      <c r="A1843" s="8"/>
      <c r="B1843" s="8"/>
      <c r="C1843" s="8"/>
      <c r="D1843" s="8"/>
      <c r="E1843" s="8"/>
      <c r="F1843" s="8"/>
      <c r="G1843" s="8"/>
      <c r="H1843" s="8"/>
      <c r="I1843" s="8"/>
      <c r="J1843" s="8"/>
      <c r="K1843" s="8"/>
      <c r="L1843" s="8"/>
      <c r="M1843" s="8"/>
      <c r="N1843" s="8"/>
      <c r="O1843" s="8"/>
      <c r="P1843" s="8"/>
      <c r="Q1843" s="8"/>
    </row>
    <row r="1844" ht="13.65" customHeight="1">
      <c r="A1844" s="8"/>
      <c r="B1844" s="8"/>
      <c r="C1844" s="8"/>
      <c r="D1844" s="8"/>
      <c r="E1844" s="8"/>
      <c r="F1844" s="8"/>
      <c r="G1844" s="8"/>
      <c r="H1844" s="8"/>
      <c r="I1844" s="8"/>
      <c r="J1844" s="8"/>
      <c r="K1844" s="8"/>
      <c r="L1844" s="8"/>
      <c r="M1844" s="8"/>
      <c r="N1844" s="8"/>
      <c r="O1844" s="8"/>
      <c r="P1844" s="8"/>
      <c r="Q1844" s="8"/>
    </row>
    <row r="1845" ht="13.65" customHeight="1">
      <c r="A1845" s="8"/>
      <c r="B1845" s="8"/>
      <c r="C1845" s="8"/>
      <c r="D1845" s="8"/>
      <c r="E1845" s="8"/>
      <c r="F1845" s="8"/>
      <c r="G1845" s="8"/>
      <c r="H1845" s="8"/>
      <c r="I1845" s="8"/>
      <c r="J1845" s="8"/>
      <c r="K1845" s="8"/>
      <c r="L1845" s="8"/>
      <c r="M1845" s="8"/>
      <c r="N1845" s="8"/>
      <c r="O1845" s="8"/>
      <c r="P1845" s="8"/>
      <c r="Q1845" s="8"/>
    </row>
    <row r="1846" ht="13.65" customHeight="1">
      <c r="A1846" s="8"/>
      <c r="B1846" s="8"/>
      <c r="C1846" s="8"/>
      <c r="D1846" s="8"/>
      <c r="E1846" s="8"/>
      <c r="F1846" s="8"/>
      <c r="G1846" s="8"/>
      <c r="H1846" s="8"/>
      <c r="I1846" s="8"/>
      <c r="J1846" s="8"/>
      <c r="K1846" s="8"/>
      <c r="L1846" s="8"/>
      <c r="M1846" s="8"/>
      <c r="N1846" s="8"/>
      <c r="O1846" s="8"/>
      <c r="P1846" s="8"/>
      <c r="Q1846" s="8"/>
    </row>
    <row r="1847" ht="13.65" customHeight="1">
      <c r="A1847" s="8"/>
      <c r="B1847" s="8"/>
      <c r="C1847" s="8"/>
      <c r="D1847" s="8"/>
      <c r="E1847" s="8"/>
      <c r="F1847" s="8"/>
      <c r="G1847" s="8"/>
      <c r="H1847" s="8"/>
      <c r="I1847" s="8"/>
      <c r="J1847" s="8"/>
      <c r="K1847" s="8"/>
      <c r="L1847" s="8"/>
      <c r="M1847" s="8"/>
      <c r="N1847" s="8"/>
      <c r="O1847" s="8"/>
      <c r="P1847" s="8"/>
      <c r="Q1847" s="8"/>
    </row>
    <row r="1848" ht="13.65" customHeight="1">
      <c r="A1848" s="8"/>
      <c r="B1848" s="8"/>
      <c r="C1848" s="8"/>
      <c r="D1848" s="8"/>
      <c r="E1848" s="8"/>
      <c r="F1848" s="8"/>
      <c r="G1848" s="8"/>
      <c r="H1848" s="8"/>
      <c r="I1848" s="8"/>
      <c r="J1848" s="8"/>
      <c r="K1848" s="8"/>
      <c r="L1848" s="8"/>
      <c r="M1848" s="8"/>
      <c r="N1848" s="8"/>
      <c r="O1848" s="8"/>
      <c r="P1848" s="8"/>
      <c r="Q1848" s="8"/>
    </row>
    <row r="1849" ht="13.65" customHeight="1">
      <c r="A1849" s="8"/>
      <c r="B1849" s="8"/>
      <c r="C1849" s="8"/>
      <c r="D1849" s="8"/>
      <c r="E1849" s="8"/>
      <c r="F1849" s="8"/>
      <c r="G1849" s="8"/>
      <c r="H1849" s="8"/>
      <c r="I1849" s="8"/>
      <c r="J1849" s="8"/>
      <c r="K1849" s="8"/>
      <c r="L1849" s="8"/>
      <c r="M1849" s="8"/>
      <c r="N1849" s="8"/>
      <c r="O1849" s="8"/>
      <c r="P1849" s="8"/>
      <c r="Q1849" s="8"/>
    </row>
    <row r="1850" ht="13.65" customHeight="1">
      <c r="A1850" s="8"/>
      <c r="B1850" s="8"/>
      <c r="C1850" s="8"/>
      <c r="D1850" s="8"/>
      <c r="E1850" s="8"/>
      <c r="F1850" s="8"/>
      <c r="G1850" s="8"/>
      <c r="H1850" s="8"/>
      <c r="I1850" s="8"/>
      <c r="J1850" s="8"/>
      <c r="K1850" s="8"/>
      <c r="L1850" s="8"/>
      <c r="M1850" s="8"/>
      <c r="N1850" s="8"/>
      <c r="O1850" s="8"/>
      <c r="P1850" s="8"/>
      <c r="Q1850" s="8"/>
    </row>
    <row r="1851" ht="13.65" customHeight="1">
      <c r="A1851" s="8"/>
      <c r="B1851" s="8"/>
      <c r="C1851" s="8"/>
      <c r="D1851" s="8"/>
      <c r="E1851" s="8"/>
      <c r="F1851" s="8"/>
      <c r="G1851" s="8"/>
      <c r="H1851" s="8"/>
      <c r="I1851" s="8"/>
      <c r="J1851" s="8"/>
      <c r="K1851" s="8"/>
      <c r="L1851" s="8"/>
      <c r="M1851" s="8"/>
      <c r="N1851" s="8"/>
      <c r="O1851" s="8"/>
      <c r="P1851" s="8"/>
      <c r="Q1851" s="8"/>
    </row>
    <row r="1852" ht="13.65" customHeight="1">
      <c r="A1852" s="8"/>
      <c r="B1852" s="8"/>
      <c r="C1852" s="8"/>
      <c r="D1852" s="8"/>
      <c r="E1852" s="8"/>
      <c r="F1852" s="8"/>
      <c r="G1852" s="8"/>
      <c r="H1852" s="8"/>
      <c r="I1852" s="8"/>
      <c r="J1852" s="8"/>
      <c r="K1852" s="8"/>
      <c r="L1852" s="8"/>
      <c r="M1852" s="8"/>
      <c r="N1852" s="8"/>
      <c r="O1852" s="8"/>
      <c r="P1852" s="8"/>
      <c r="Q1852" s="8"/>
    </row>
    <row r="1853" ht="13.65" customHeight="1">
      <c r="A1853" s="8"/>
      <c r="B1853" s="8"/>
      <c r="C1853" s="8"/>
      <c r="D1853" s="8"/>
      <c r="E1853" s="8"/>
      <c r="F1853" s="8"/>
      <c r="G1853" s="8"/>
      <c r="H1853" s="8"/>
      <c r="I1853" s="8"/>
      <c r="J1853" s="8"/>
      <c r="K1853" s="8"/>
      <c r="L1853" s="8"/>
      <c r="M1853" s="8"/>
      <c r="N1853" s="8"/>
      <c r="O1853" s="8"/>
      <c r="P1853" s="8"/>
      <c r="Q1853" s="8"/>
    </row>
    <row r="1854" ht="13.65" customHeight="1">
      <c r="A1854" s="8"/>
      <c r="B1854" s="8"/>
      <c r="C1854" s="8"/>
      <c r="D1854" s="8"/>
      <c r="E1854" s="8"/>
      <c r="F1854" s="8"/>
      <c r="G1854" s="8"/>
      <c r="H1854" s="8"/>
      <c r="I1854" s="8"/>
      <c r="J1854" s="8"/>
      <c r="K1854" s="8"/>
      <c r="L1854" s="8"/>
      <c r="M1854" s="8"/>
      <c r="N1854" s="8"/>
      <c r="O1854" s="8"/>
      <c r="P1854" s="8"/>
      <c r="Q1854" s="8"/>
    </row>
    <row r="1855" ht="13.65" customHeight="1">
      <c r="A1855" s="8"/>
      <c r="B1855" s="8"/>
      <c r="C1855" s="8"/>
      <c r="D1855" s="8"/>
      <c r="E1855" s="8"/>
      <c r="F1855" s="8"/>
      <c r="G1855" s="8"/>
      <c r="H1855" s="8"/>
      <c r="I1855" s="8"/>
      <c r="J1855" s="8"/>
      <c r="K1855" s="8"/>
      <c r="L1855" s="8"/>
      <c r="M1855" s="8"/>
      <c r="N1855" s="8"/>
      <c r="O1855" s="8"/>
      <c r="P1855" s="8"/>
      <c r="Q1855" s="8"/>
    </row>
    <row r="1856" ht="13.65" customHeight="1">
      <c r="A1856" s="8"/>
      <c r="B1856" s="8"/>
      <c r="C1856" s="8"/>
      <c r="D1856" s="8"/>
      <c r="E1856" s="8"/>
      <c r="F1856" s="8"/>
      <c r="G1856" s="8"/>
      <c r="H1856" s="8"/>
      <c r="I1856" s="8"/>
      <c r="J1856" s="8"/>
      <c r="K1856" s="8"/>
      <c r="L1856" s="8"/>
      <c r="M1856" s="8"/>
      <c r="N1856" s="8"/>
      <c r="O1856" s="8"/>
      <c r="P1856" s="8"/>
      <c r="Q1856" s="8"/>
    </row>
    <row r="1857" ht="13.65" customHeight="1">
      <c r="A1857" s="8"/>
      <c r="B1857" s="8"/>
      <c r="C1857" s="8"/>
      <c r="D1857" s="8"/>
      <c r="E1857" s="8"/>
      <c r="F1857" s="8"/>
      <c r="G1857" s="8"/>
      <c r="H1857" s="8"/>
      <c r="I1857" s="8"/>
      <c r="J1857" s="8"/>
      <c r="K1857" s="8"/>
      <c r="L1857" s="8"/>
      <c r="M1857" s="8"/>
      <c r="N1857" s="8"/>
      <c r="O1857" s="8"/>
      <c r="P1857" s="8"/>
      <c r="Q1857" s="8"/>
    </row>
    <row r="1858" ht="13.65" customHeight="1">
      <c r="A1858" s="8"/>
      <c r="B1858" s="8"/>
      <c r="C1858" s="8"/>
      <c r="D1858" s="8"/>
      <c r="E1858" s="8"/>
      <c r="F1858" s="8"/>
      <c r="G1858" s="8"/>
      <c r="H1858" s="8"/>
      <c r="I1858" s="8"/>
      <c r="J1858" s="8"/>
      <c r="K1858" s="8"/>
      <c r="L1858" s="8"/>
      <c r="M1858" s="8"/>
      <c r="N1858" s="8"/>
      <c r="O1858" s="8"/>
      <c r="P1858" s="8"/>
      <c r="Q1858" s="8"/>
    </row>
    <row r="1859" ht="13.65" customHeight="1">
      <c r="A1859" s="8"/>
      <c r="B1859" s="8"/>
      <c r="C1859" s="8"/>
      <c r="D1859" s="8"/>
      <c r="E1859" s="8"/>
      <c r="F1859" s="8"/>
      <c r="G1859" s="8"/>
      <c r="H1859" s="8"/>
      <c r="I1859" s="8"/>
      <c r="J1859" s="8"/>
      <c r="K1859" s="8"/>
      <c r="L1859" s="8"/>
      <c r="M1859" s="8"/>
      <c r="N1859" s="8"/>
      <c r="O1859" s="8"/>
      <c r="P1859" s="8"/>
      <c r="Q1859" s="8"/>
    </row>
    <row r="1860" ht="13.65" customHeight="1">
      <c r="A1860" s="8"/>
      <c r="B1860" s="8"/>
      <c r="C1860" s="8"/>
      <c r="D1860" s="8"/>
      <c r="E1860" s="8"/>
      <c r="F1860" s="8"/>
      <c r="G1860" s="8"/>
      <c r="H1860" s="8"/>
      <c r="I1860" s="8"/>
      <c r="J1860" s="8"/>
      <c r="K1860" s="8"/>
      <c r="L1860" s="8"/>
      <c r="M1860" s="8"/>
      <c r="N1860" s="8"/>
      <c r="O1860" s="8"/>
      <c r="P1860" s="8"/>
      <c r="Q1860" s="8"/>
    </row>
    <row r="1861" ht="13.65" customHeight="1">
      <c r="A1861" s="8"/>
      <c r="B1861" s="8"/>
      <c r="C1861" s="8"/>
      <c r="D1861" s="8"/>
      <c r="E1861" s="8"/>
      <c r="F1861" s="8"/>
      <c r="G1861" s="8"/>
      <c r="H1861" s="8"/>
      <c r="I1861" s="8"/>
      <c r="J1861" s="8"/>
      <c r="K1861" s="8"/>
      <c r="L1861" s="8"/>
      <c r="M1861" s="8"/>
      <c r="N1861" s="8"/>
      <c r="O1861" s="8"/>
      <c r="P1861" s="8"/>
      <c r="Q1861" s="8"/>
    </row>
    <row r="1862" ht="13.65" customHeight="1">
      <c r="A1862" s="8"/>
      <c r="B1862" s="8"/>
      <c r="C1862" s="8"/>
      <c r="D1862" s="8"/>
      <c r="E1862" s="8"/>
      <c r="F1862" s="8"/>
      <c r="G1862" s="8"/>
      <c r="H1862" s="8"/>
      <c r="I1862" s="8"/>
      <c r="J1862" s="8"/>
      <c r="K1862" s="8"/>
      <c r="L1862" s="8"/>
      <c r="M1862" s="8"/>
      <c r="N1862" s="8"/>
      <c r="O1862" s="8"/>
      <c r="P1862" s="8"/>
      <c r="Q1862" s="8"/>
    </row>
    <row r="1863" ht="13.65" customHeight="1">
      <c r="A1863" s="8"/>
      <c r="B1863" s="8"/>
      <c r="C1863" s="8"/>
      <c r="D1863" s="8"/>
      <c r="E1863" s="8"/>
      <c r="F1863" s="8"/>
      <c r="G1863" s="8"/>
      <c r="H1863" s="8"/>
      <c r="I1863" s="8"/>
      <c r="J1863" s="8"/>
      <c r="K1863" s="8"/>
      <c r="L1863" s="8"/>
      <c r="M1863" s="8"/>
      <c r="N1863" s="8"/>
      <c r="O1863" s="8"/>
      <c r="P1863" s="8"/>
      <c r="Q1863" s="8"/>
    </row>
    <row r="1864" ht="13.65" customHeight="1">
      <c r="A1864" s="8"/>
      <c r="B1864" s="8"/>
      <c r="C1864" s="8"/>
      <c r="D1864" s="8"/>
      <c r="E1864" s="8"/>
      <c r="F1864" s="8"/>
      <c r="G1864" s="8"/>
      <c r="H1864" s="8"/>
      <c r="I1864" s="8"/>
      <c r="J1864" s="8"/>
      <c r="K1864" s="8"/>
      <c r="L1864" s="8"/>
      <c r="M1864" s="8"/>
      <c r="N1864" s="8"/>
      <c r="O1864" s="8"/>
      <c r="P1864" s="8"/>
      <c r="Q1864" s="8"/>
    </row>
    <row r="1865" ht="13.65" customHeight="1">
      <c r="A1865" s="8"/>
      <c r="B1865" s="8"/>
      <c r="C1865" s="8"/>
      <c r="D1865" s="8"/>
      <c r="E1865" s="8"/>
      <c r="F1865" s="8"/>
      <c r="G1865" s="8"/>
      <c r="H1865" s="8"/>
      <c r="I1865" s="8"/>
      <c r="J1865" s="8"/>
      <c r="K1865" s="8"/>
      <c r="L1865" s="8"/>
      <c r="M1865" s="8"/>
      <c r="N1865" s="8"/>
      <c r="O1865" s="8"/>
      <c r="P1865" s="8"/>
      <c r="Q1865" s="8"/>
    </row>
    <row r="1866" ht="13.65" customHeight="1">
      <c r="A1866" s="8"/>
      <c r="B1866" s="8"/>
      <c r="C1866" s="8"/>
      <c r="D1866" s="8"/>
      <c r="E1866" s="8"/>
      <c r="F1866" s="8"/>
      <c r="G1866" s="8"/>
      <c r="H1866" s="8"/>
      <c r="I1866" s="8"/>
      <c r="J1866" s="8"/>
      <c r="K1866" s="8"/>
      <c r="L1866" s="8"/>
      <c r="M1866" s="8"/>
      <c r="N1866" s="8"/>
      <c r="O1866" s="8"/>
      <c r="P1866" s="8"/>
      <c r="Q1866" s="8"/>
    </row>
    <row r="1867" ht="13.65" customHeight="1">
      <c r="A1867" s="8"/>
      <c r="B1867" s="8"/>
      <c r="C1867" s="8"/>
      <c r="D1867" s="8"/>
      <c r="E1867" s="8"/>
      <c r="F1867" s="8"/>
      <c r="G1867" s="8"/>
      <c r="H1867" s="8"/>
      <c r="I1867" s="8"/>
      <c r="J1867" s="8"/>
      <c r="K1867" s="8"/>
      <c r="L1867" s="8"/>
      <c r="M1867" s="8"/>
      <c r="N1867" s="8"/>
      <c r="O1867" s="8"/>
      <c r="P1867" s="8"/>
      <c r="Q1867" s="8"/>
    </row>
    <row r="1868" ht="13.65" customHeight="1">
      <c r="A1868" s="8"/>
      <c r="B1868" s="8"/>
      <c r="C1868" s="8"/>
      <c r="D1868" s="8"/>
      <c r="E1868" s="8"/>
      <c r="F1868" s="8"/>
      <c r="G1868" s="8"/>
      <c r="H1868" s="8"/>
      <c r="I1868" s="8"/>
      <c r="J1868" s="8"/>
      <c r="K1868" s="8"/>
      <c r="L1868" s="8"/>
      <c r="M1868" s="8"/>
      <c r="N1868" s="8"/>
      <c r="O1868" s="8"/>
      <c r="P1868" s="8"/>
      <c r="Q1868" s="8"/>
    </row>
    <row r="1869" ht="13.65" customHeight="1">
      <c r="A1869" s="8"/>
      <c r="B1869" s="8"/>
      <c r="C1869" s="8"/>
      <c r="D1869" s="8"/>
      <c r="E1869" s="8"/>
      <c r="F1869" s="8"/>
      <c r="G1869" s="8"/>
      <c r="H1869" s="8"/>
      <c r="I1869" s="8"/>
      <c r="J1869" s="8"/>
      <c r="K1869" s="8"/>
      <c r="L1869" s="8"/>
      <c r="M1869" s="8"/>
      <c r="N1869" s="8"/>
      <c r="O1869" s="8"/>
      <c r="P1869" s="8"/>
      <c r="Q1869" s="8"/>
    </row>
    <row r="1870" ht="13.65" customHeight="1">
      <c r="A1870" s="8"/>
      <c r="B1870" s="8"/>
      <c r="C1870" s="8"/>
      <c r="D1870" s="8"/>
      <c r="E1870" s="8"/>
      <c r="F1870" s="8"/>
      <c r="G1870" s="8"/>
      <c r="H1870" s="8"/>
      <c r="I1870" s="8"/>
      <c r="J1870" s="8"/>
      <c r="K1870" s="8"/>
      <c r="L1870" s="8"/>
      <c r="M1870" s="8"/>
      <c r="N1870" s="8"/>
      <c r="O1870" s="8"/>
      <c r="P1870" s="8"/>
      <c r="Q1870" s="8"/>
    </row>
    <row r="1871" ht="13.65" customHeight="1">
      <c r="A1871" s="8"/>
      <c r="B1871" s="8"/>
      <c r="C1871" s="8"/>
      <c r="D1871" s="8"/>
      <c r="E1871" s="8"/>
      <c r="F1871" s="8"/>
      <c r="G1871" s="8"/>
      <c r="H1871" s="8"/>
      <c r="I1871" s="8"/>
      <c r="J1871" s="8"/>
      <c r="K1871" s="8"/>
      <c r="L1871" s="8"/>
      <c r="M1871" s="8"/>
      <c r="N1871" s="8"/>
      <c r="O1871" s="8"/>
      <c r="P1871" s="8"/>
      <c r="Q1871" s="8"/>
    </row>
    <row r="1872" ht="13.65" customHeight="1">
      <c r="A1872" s="8"/>
      <c r="B1872" s="8"/>
      <c r="C1872" s="8"/>
      <c r="D1872" s="8"/>
      <c r="E1872" s="8"/>
      <c r="F1872" s="8"/>
      <c r="G1872" s="8"/>
      <c r="H1872" s="8"/>
      <c r="I1872" s="8"/>
      <c r="J1872" s="8"/>
      <c r="K1872" s="8"/>
      <c r="L1872" s="8"/>
      <c r="M1872" s="8"/>
      <c r="N1872" s="8"/>
      <c r="O1872" s="8"/>
      <c r="P1872" s="8"/>
      <c r="Q1872" s="8"/>
    </row>
    <row r="1873" ht="13.65" customHeight="1">
      <c r="A1873" s="8"/>
      <c r="B1873" s="8"/>
      <c r="C1873" s="8"/>
      <c r="D1873" s="8"/>
      <c r="E1873" s="8"/>
      <c r="F1873" s="8"/>
      <c r="G1873" s="8"/>
      <c r="H1873" s="8"/>
      <c r="I1873" s="8"/>
      <c r="J1873" s="8"/>
      <c r="K1873" s="8"/>
      <c r="L1873" s="8"/>
      <c r="M1873" s="8"/>
      <c r="N1873" s="8"/>
      <c r="O1873" s="8"/>
      <c r="P1873" s="8"/>
      <c r="Q1873" s="8"/>
    </row>
    <row r="1874" ht="13.65" customHeight="1">
      <c r="A1874" s="8"/>
      <c r="B1874" s="8"/>
      <c r="C1874" s="8"/>
      <c r="D1874" s="8"/>
      <c r="E1874" s="8"/>
      <c r="F1874" s="8"/>
      <c r="G1874" s="8"/>
      <c r="H1874" s="8"/>
      <c r="I1874" s="8"/>
      <c r="J1874" s="8"/>
      <c r="K1874" s="8"/>
      <c r="L1874" s="8"/>
      <c r="M1874" s="8"/>
      <c r="N1874" s="8"/>
      <c r="O1874" s="8"/>
      <c r="P1874" s="8"/>
      <c r="Q1874" s="8"/>
    </row>
    <row r="1875" ht="13.65" customHeight="1">
      <c r="A1875" s="8"/>
      <c r="B1875" s="8"/>
      <c r="C1875" s="8"/>
      <c r="D1875" s="8"/>
      <c r="E1875" s="8"/>
      <c r="F1875" s="8"/>
      <c r="G1875" s="8"/>
      <c r="H1875" s="8"/>
      <c r="I1875" s="8"/>
      <c r="J1875" s="8"/>
      <c r="K1875" s="8"/>
      <c r="L1875" s="8"/>
      <c r="M1875" s="8"/>
      <c r="N1875" s="8"/>
      <c r="O1875" s="8"/>
      <c r="P1875" s="8"/>
      <c r="Q1875" s="8"/>
    </row>
    <row r="1876" ht="13.65" customHeight="1">
      <c r="A1876" s="8"/>
      <c r="B1876" s="8"/>
      <c r="C1876" s="8"/>
      <c r="D1876" s="8"/>
      <c r="E1876" s="8"/>
      <c r="F1876" s="8"/>
      <c r="G1876" s="8"/>
      <c r="H1876" s="8"/>
      <c r="I1876" s="8"/>
      <c r="J1876" s="8"/>
      <c r="K1876" s="8"/>
      <c r="L1876" s="8"/>
      <c r="M1876" s="8"/>
      <c r="N1876" s="8"/>
      <c r="O1876" s="8"/>
      <c r="P1876" s="8"/>
      <c r="Q1876" s="8"/>
    </row>
    <row r="1877" ht="13.65" customHeight="1">
      <c r="A1877" s="8"/>
      <c r="B1877" s="8"/>
      <c r="C1877" s="8"/>
      <c r="D1877" s="8"/>
      <c r="E1877" s="8"/>
      <c r="F1877" s="8"/>
      <c r="G1877" s="8"/>
      <c r="H1877" s="8"/>
      <c r="I1877" s="8"/>
      <c r="J1877" s="8"/>
      <c r="K1877" s="8"/>
      <c r="L1877" s="8"/>
      <c r="M1877" s="8"/>
      <c r="N1877" s="8"/>
      <c r="O1877" s="8"/>
      <c r="P1877" s="8"/>
      <c r="Q1877" s="8"/>
    </row>
    <row r="1878" ht="13.65" customHeight="1">
      <c r="A1878" s="8"/>
      <c r="B1878" s="8"/>
      <c r="C1878" s="8"/>
      <c r="D1878" s="8"/>
      <c r="E1878" s="8"/>
      <c r="F1878" s="8"/>
      <c r="G1878" s="8"/>
      <c r="H1878" s="8"/>
      <c r="I1878" s="8"/>
      <c r="J1878" s="8"/>
      <c r="K1878" s="8"/>
      <c r="L1878" s="8"/>
      <c r="M1878" s="8"/>
      <c r="N1878" s="8"/>
      <c r="O1878" s="8"/>
      <c r="P1878" s="8"/>
      <c r="Q1878" s="8"/>
    </row>
    <row r="1879" ht="13.65" customHeight="1">
      <c r="A1879" s="8"/>
      <c r="B1879" s="8"/>
      <c r="C1879" s="8"/>
      <c r="D1879" s="8"/>
      <c r="E1879" s="8"/>
      <c r="F1879" s="8"/>
      <c r="G1879" s="8"/>
      <c r="H1879" s="8"/>
      <c r="I1879" s="8"/>
      <c r="J1879" s="8"/>
      <c r="K1879" s="8"/>
      <c r="L1879" s="8"/>
      <c r="M1879" s="8"/>
      <c r="N1879" s="8"/>
      <c r="O1879" s="8"/>
      <c r="P1879" s="8"/>
      <c r="Q1879" s="8"/>
    </row>
    <row r="1880" ht="13.65" customHeight="1">
      <c r="A1880" s="8"/>
      <c r="B1880" s="8"/>
      <c r="C1880" s="8"/>
      <c r="D1880" s="8"/>
      <c r="E1880" s="8"/>
      <c r="F1880" s="8"/>
      <c r="G1880" s="8"/>
      <c r="H1880" s="8"/>
      <c r="I1880" s="8"/>
      <c r="J1880" s="8"/>
      <c r="K1880" s="8"/>
      <c r="L1880" s="8"/>
      <c r="M1880" s="8"/>
      <c r="N1880" s="8"/>
      <c r="O1880" s="8"/>
      <c r="P1880" s="8"/>
      <c r="Q1880" s="8"/>
    </row>
    <row r="1881" ht="13.65" customHeight="1">
      <c r="A1881" s="8"/>
      <c r="B1881" s="8"/>
      <c r="C1881" s="8"/>
      <c r="D1881" s="8"/>
      <c r="E1881" s="8"/>
      <c r="F1881" s="8"/>
      <c r="G1881" s="8"/>
      <c r="H1881" s="8"/>
      <c r="I1881" s="8"/>
      <c r="J1881" s="8"/>
      <c r="K1881" s="8"/>
      <c r="L1881" s="8"/>
      <c r="M1881" s="8"/>
      <c r="N1881" s="8"/>
      <c r="O1881" s="8"/>
      <c r="P1881" s="8"/>
      <c r="Q1881" s="8"/>
    </row>
    <row r="1882" ht="13.65" customHeight="1">
      <c r="A1882" s="8"/>
      <c r="B1882" s="8"/>
      <c r="C1882" s="8"/>
      <c r="D1882" s="8"/>
      <c r="E1882" s="8"/>
      <c r="F1882" s="8"/>
      <c r="G1882" s="8"/>
      <c r="H1882" s="8"/>
      <c r="I1882" s="8"/>
      <c r="J1882" s="8"/>
      <c r="K1882" s="8"/>
      <c r="L1882" s="8"/>
      <c r="M1882" s="8"/>
      <c r="N1882" s="8"/>
      <c r="O1882" s="8"/>
      <c r="P1882" s="8"/>
      <c r="Q1882" s="8"/>
    </row>
    <row r="1883" ht="13.65" customHeight="1">
      <c r="A1883" s="8"/>
      <c r="B1883" s="8"/>
      <c r="C1883" s="8"/>
      <c r="D1883" s="8"/>
      <c r="E1883" s="8"/>
      <c r="F1883" s="8"/>
      <c r="G1883" s="8"/>
      <c r="H1883" s="8"/>
      <c r="I1883" s="8"/>
      <c r="J1883" s="8"/>
      <c r="K1883" s="8"/>
      <c r="L1883" s="8"/>
      <c r="M1883" s="8"/>
      <c r="N1883" s="8"/>
      <c r="O1883" s="8"/>
      <c r="P1883" s="8"/>
      <c r="Q1883" s="8"/>
    </row>
    <row r="1884" ht="13.65" customHeight="1">
      <c r="A1884" s="8"/>
      <c r="B1884" s="8"/>
      <c r="C1884" s="8"/>
      <c r="D1884" s="8"/>
      <c r="E1884" s="8"/>
      <c r="F1884" s="8"/>
      <c r="G1884" s="8"/>
      <c r="H1884" s="8"/>
      <c r="I1884" s="8"/>
      <c r="J1884" s="8"/>
      <c r="K1884" s="8"/>
      <c r="L1884" s="8"/>
      <c r="M1884" s="8"/>
      <c r="N1884" s="8"/>
      <c r="O1884" s="8"/>
      <c r="P1884" s="8"/>
      <c r="Q1884" s="8"/>
    </row>
    <row r="1885" ht="13.65" customHeight="1">
      <c r="A1885" s="8"/>
      <c r="B1885" s="8"/>
      <c r="C1885" s="8"/>
      <c r="D1885" s="8"/>
      <c r="E1885" s="8"/>
      <c r="F1885" s="8"/>
      <c r="G1885" s="8"/>
      <c r="H1885" s="8"/>
      <c r="I1885" s="8"/>
      <c r="J1885" s="8"/>
      <c r="K1885" s="8"/>
      <c r="L1885" s="8"/>
      <c r="M1885" s="8"/>
      <c r="N1885" s="8"/>
      <c r="O1885" s="8"/>
      <c r="P1885" s="8"/>
      <c r="Q1885" s="8"/>
    </row>
    <row r="1886" ht="13.65" customHeight="1">
      <c r="A1886" s="8"/>
      <c r="B1886" s="8"/>
      <c r="C1886" s="8"/>
      <c r="D1886" s="8"/>
      <c r="E1886" s="8"/>
      <c r="F1886" s="8"/>
      <c r="G1886" s="8"/>
      <c r="H1886" s="8"/>
      <c r="I1886" s="8"/>
      <c r="J1886" s="8"/>
      <c r="K1886" s="8"/>
      <c r="L1886" s="8"/>
      <c r="M1886" s="8"/>
      <c r="N1886" s="8"/>
      <c r="O1886" s="8"/>
      <c r="P1886" s="8"/>
      <c r="Q1886" s="8"/>
    </row>
    <row r="1887" ht="13.65" customHeight="1">
      <c r="A1887" s="8"/>
      <c r="B1887" s="8"/>
      <c r="C1887" s="8"/>
      <c r="D1887" s="8"/>
      <c r="E1887" s="8"/>
      <c r="F1887" s="8"/>
      <c r="G1887" s="8"/>
      <c r="H1887" s="8"/>
      <c r="I1887" s="8"/>
      <c r="J1887" s="8"/>
      <c r="K1887" s="8"/>
      <c r="L1887" s="8"/>
      <c r="M1887" s="8"/>
      <c r="N1887" s="8"/>
      <c r="O1887" s="8"/>
      <c r="P1887" s="8"/>
      <c r="Q1887" s="8"/>
    </row>
    <row r="1888" ht="13.65" customHeight="1">
      <c r="A1888" s="8"/>
      <c r="B1888" s="8"/>
      <c r="C1888" s="8"/>
      <c r="D1888" s="8"/>
      <c r="E1888" s="8"/>
      <c r="F1888" s="8"/>
      <c r="G1888" s="8"/>
      <c r="H1888" s="8"/>
      <c r="I1888" s="8"/>
      <c r="J1888" s="8"/>
      <c r="K1888" s="8"/>
      <c r="L1888" s="8"/>
      <c r="M1888" s="8"/>
      <c r="N1888" s="8"/>
      <c r="O1888" s="8"/>
      <c r="P1888" s="8"/>
      <c r="Q1888" s="8"/>
    </row>
    <row r="1889" ht="13.65" customHeight="1">
      <c r="A1889" s="8"/>
      <c r="B1889" s="8"/>
      <c r="C1889" s="8"/>
      <c r="D1889" s="8"/>
      <c r="E1889" s="8"/>
      <c r="F1889" s="8"/>
      <c r="G1889" s="8"/>
      <c r="H1889" s="8"/>
      <c r="I1889" s="8"/>
      <c r="J1889" s="8"/>
      <c r="K1889" s="8"/>
      <c r="L1889" s="8"/>
      <c r="M1889" s="8"/>
      <c r="N1889" s="8"/>
      <c r="O1889" s="8"/>
      <c r="P1889" s="8"/>
      <c r="Q1889" s="8"/>
    </row>
    <row r="1890" ht="13.65" customHeight="1">
      <c r="A1890" s="8"/>
      <c r="B1890" s="8"/>
      <c r="C1890" s="8"/>
      <c r="D1890" s="8"/>
      <c r="E1890" s="8"/>
      <c r="F1890" s="8"/>
      <c r="G1890" s="8"/>
      <c r="H1890" s="8"/>
      <c r="I1890" s="8"/>
      <c r="J1890" s="8"/>
      <c r="K1890" s="8"/>
      <c r="L1890" s="8"/>
      <c r="M1890" s="8"/>
      <c r="N1890" s="8"/>
      <c r="O1890" s="8"/>
      <c r="P1890" s="8"/>
      <c r="Q1890" s="8"/>
    </row>
    <row r="1891" ht="13.65" customHeight="1">
      <c r="A1891" s="8"/>
      <c r="B1891" s="8"/>
      <c r="C1891" s="8"/>
      <c r="D1891" s="8"/>
      <c r="E1891" s="8"/>
      <c r="F1891" s="8"/>
      <c r="G1891" s="8"/>
      <c r="H1891" s="8"/>
      <c r="I1891" s="8"/>
      <c r="J1891" s="8"/>
      <c r="K1891" s="8"/>
      <c r="L1891" s="8"/>
      <c r="M1891" s="8"/>
      <c r="N1891" s="8"/>
      <c r="O1891" s="8"/>
      <c r="P1891" s="8"/>
      <c r="Q1891" s="8"/>
    </row>
    <row r="1892" ht="13.65" customHeight="1">
      <c r="A1892" s="8"/>
      <c r="B1892" s="8"/>
      <c r="C1892" s="8"/>
      <c r="D1892" s="8"/>
      <c r="E1892" s="8"/>
      <c r="F1892" s="8"/>
      <c r="G1892" s="8"/>
      <c r="H1892" s="8"/>
      <c r="I1892" s="8"/>
      <c r="J1892" s="8"/>
      <c r="K1892" s="8"/>
      <c r="L1892" s="8"/>
      <c r="M1892" s="8"/>
      <c r="N1892" s="8"/>
      <c r="O1892" s="8"/>
      <c r="P1892" s="8"/>
      <c r="Q1892" s="8"/>
    </row>
    <row r="1893" ht="13.65" customHeight="1">
      <c r="A1893" s="8"/>
      <c r="B1893" s="8"/>
      <c r="C1893" s="8"/>
      <c r="D1893" s="8"/>
      <c r="E1893" s="8"/>
      <c r="F1893" s="8"/>
      <c r="G1893" s="8"/>
      <c r="H1893" s="8"/>
      <c r="I1893" s="8"/>
      <c r="J1893" s="8"/>
      <c r="K1893" s="8"/>
      <c r="L1893" s="8"/>
      <c r="M1893" s="8"/>
      <c r="N1893" s="8"/>
      <c r="O1893" s="8"/>
      <c r="P1893" s="8"/>
      <c r="Q1893" s="8"/>
    </row>
    <row r="1894" ht="13.65" customHeight="1">
      <c r="A1894" s="8"/>
      <c r="B1894" s="8"/>
      <c r="C1894" s="8"/>
      <c r="D1894" s="8"/>
      <c r="E1894" s="8"/>
      <c r="F1894" s="8"/>
      <c r="G1894" s="8"/>
      <c r="H1894" s="8"/>
      <c r="I1894" s="8"/>
      <c r="J1894" s="8"/>
      <c r="K1894" s="8"/>
      <c r="L1894" s="8"/>
      <c r="M1894" s="8"/>
      <c r="N1894" s="8"/>
      <c r="O1894" s="8"/>
      <c r="P1894" s="8"/>
      <c r="Q1894" s="8"/>
    </row>
    <row r="1895" ht="13.65" customHeight="1">
      <c r="A1895" s="8"/>
      <c r="B1895" s="8"/>
      <c r="C1895" s="8"/>
      <c r="D1895" s="8"/>
      <c r="E1895" s="8"/>
      <c r="F1895" s="8"/>
      <c r="G1895" s="8"/>
      <c r="H1895" s="8"/>
      <c r="I1895" s="8"/>
      <c r="J1895" s="8"/>
      <c r="K1895" s="8"/>
      <c r="L1895" s="8"/>
      <c r="M1895" s="8"/>
      <c r="N1895" s="8"/>
      <c r="O1895" s="8"/>
      <c r="P1895" s="8"/>
      <c r="Q1895" s="8"/>
    </row>
    <row r="1896" ht="13.65" customHeight="1">
      <c r="A1896" s="8"/>
      <c r="B1896" s="8"/>
      <c r="C1896" s="8"/>
      <c r="D1896" s="8"/>
      <c r="E1896" s="8"/>
      <c r="F1896" s="8"/>
      <c r="G1896" s="8"/>
      <c r="H1896" s="8"/>
      <c r="I1896" s="8"/>
      <c r="J1896" s="8"/>
      <c r="K1896" s="8"/>
      <c r="L1896" s="8"/>
      <c r="M1896" s="8"/>
      <c r="N1896" s="8"/>
      <c r="O1896" s="8"/>
      <c r="P1896" s="8"/>
      <c r="Q1896" s="8"/>
    </row>
    <row r="1897" ht="13.65" customHeight="1">
      <c r="A1897" s="8"/>
      <c r="B1897" s="8"/>
      <c r="C1897" s="8"/>
      <c r="D1897" s="8"/>
      <c r="E1897" s="8"/>
      <c r="F1897" s="8"/>
      <c r="G1897" s="8"/>
      <c r="H1897" s="8"/>
      <c r="I1897" s="8"/>
      <c r="J1897" s="8"/>
      <c r="K1897" s="8"/>
      <c r="L1897" s="8"/>
      <c r="M1897" s="8"/>
      <c r="N1897" s="8"/>
      <c r="O1897" s="8"/>
      <c r="P1897" s="8"/>
      <c r="Q1897" s="8"/>
    </row>
    <row r="1898" ht="13.65" customHeight="1">
      <c r="A1898" s="8"/>
      <c r="B1898" s="8"/>
      <c r="C1898" s="8"/>
      <c r="D1898" s="8"/>
      <c r="E1898" s="8"/>
      <c r="F1898" s="8"/>
      <c r="G1898" s="8"/>
      <c r="H1898" s="8"/>
      <c r="I1898" s="8"/>
      <c r="J1898" s="8"/>
      <c r="K1898" s="8"/>
      <c r="L1898" s="8"/>
      <c r="M1898" s="8"/>
      <c r="N1898" s="8"/>
      <c r="O1898" s="8"/>
      <c r="P1898" s="8"/>
      <c r="Q1898" s="8"/>
    </row>
    <row r="1899" ht="13.65" customHeight="1">
      <c r="A1899" s="8"/>
      <c r="B1899" s="8"/>
      <c r="C1899" s="8"/>
      <c r="D1899" s="8"/>
      <c r="E1899" s="8"/>
      <c r="F1899" s="8"/>
      <c r="G1899" s="8"/>
      <c r="H1899" s="8"/>
      <c r="I1899" s="8"/>
      <c r="J1899" s="8"/>
      <c r="K1899" s="8"/>
      <c r="L1899" s="8"/>
      <c r="M1899" s="8"/>
      <c r="N1899" s="8"/>
      <c r="O1899" s="8"/>
      <c r="P1899" s="8"/>
      <c r="Q1899" s="8"/>
    </row>
    <row r="1900" ht="13.65" customHeight="1">
      <c r="A1900" s="8"/>
      <c r="B1900" s="8"/>
      <c r="C1900" s="8"/>
      <c r="D1900" s="8"/>
      <c r="E1900" s="8"/>
      <c r="F1900" s="8"/>
      <c r="G1900" s="8"/>
      <c r="H1900" s="8"/>
      <c r="I1900" s="8"/>
      <c r="J1900" s="8"/>
      <c r="K1900" s="8"/>
      <c r="L1900" s="8"/>
      <c r="M1900" s="8"/>
      <c r="N1900" s="8"/>
      <c r="O1900" s="8"/>
      <c r="P1900" s="8"/>
      <c r="Q1900" s="8"/>
    </row>
    <row r="1901" ht="13.65" customHeight="1">
      <c r="A1901" s="8"/>
      <c r="B1901" s="8"/>
      <c r="C1901" s="8"/>
      <c r="D1901" s="8"/>
      <c r="E1901" s="8"/>
      <c r="F1901" s="8"/>
      <c r="G1901" s="8"/>
      <c r="H1901" s="8"/>
      <c r="I1901" s="8"/>
      <c r="J1901" s="8"/>
      <c r="K1901" s="8"/>
      <c r="L1901" s="8"/>
      <c r="M1901" s="8"/>
      <c r="N1901" s="8"/>
      <c r="O1901" s="8"/>
      <c r="P1901" s="8"/>
      <c r="Q1901" s="8"/>
    </row>
    <row r="1902" ht="13.65" customHeight="1">
      <c r="A1902" s="8"/>
      <c r="B1902" s="8"/>
      <c r="C1902" s="8"/>
      <c r="D1902" s="8"/>
      <c r="E1902" s="8"/>
      <c r="F1902" s="8"/>
      <c r="G1902" s="8"/>
      <c r="H1902" s="8"/>
      <c r="I1902" s="8"/>
      <c r="J1902" s="8"/>
      <c r="K1902" s="8"/>
      <c r="L1902" s="8"/>
      <c r="M1902" s="8"/>
      <c r="N1902" s="8"/>
      <c r="O1902" s="8"/>
      <c r="P1902" s="8"/>
      <c r="Q1902" s="8"/>
    </row>
    <row r="1903" ht="13.65" customHeight="1">
      <c r="A1903" s="8"/>
      <c r="B1903" s="8"/>
      <c r="C1903" s="8"/>
      <c r="D1903" s="8"/>
      <c r="E1903" s="8"/>
      <c r="F1903" s="8"/>
      <c r="G1903" s="8"/>
      <c r="H1903" s="8"/>
      <c r="I1903" s="8"/>
      <c r="J1903" s="8"/>
      <c r="K1903" s="8"/>
      <c r="L1903" s="8"/>
      <c r="M1903" s="8"/>
      <c r="N1903" s="8"/>
      <c r="O1903" s="8"/>
      <c r="P1903" s="8"/>
      <c r="Q1903" s="8"/>
    </row>
    <row r="1904" ht="13.65" customHeight="1">
      <c r="A1904" s="8"/>
      <c r="B1904" s="8"/>
      <c r="C1904" s="8"/>
      <c r="D1904" s="8"/>
      <c r="E1904" s="8"/>
      <c r="F1904" s="8"/>
      <c r="G1904" s="8"/>
      <c r="H1904" s="8"/>
      <c r="I1904" s="8"/>
      <c r="J1904" s="8"/>
      <c r="K1904" s="8"/>
      <c r="L1904" s="8"/>
      <c r="M1904" s="8"/>
      <c r="N1904" s="8"/>
      <c r="O1904" s="8"/>
      <c r="P1904" s="8"/>
      <c r="Q1904" s="8"/>
    </row>
    <row r="1905" ht="13.65" customHeight="1">
      <c r="A1905" s="8"/>
      <c r="B1905" s="8"/>
      <c r="C1905" s="8"/>
      <c r="D1905" s="8"/>
      <c r="E1905" s="8"/>
      <c r="F1905" s="8"/>
      <c r="G1905" s="8"/>
      <c r="H1905" s="8"/>
      <c r="I1905" s="8"/>
      <c r="J1905" s="8"/>
      <c r="K1905" s="8"/>
      <c r="L1905" s="8"/>
      <c r="M1905" s="8"/>
      <c r="N1905" s="8"/>
      <c r="O1905" s="8"/>
      <c r="P1905" s="8"/>
      <c r="Q1905" s="8"/>
    </row>
    <row r="1906" ht="13.65" customHeight="1">
      <c r="A1906" s="8"/>
      <c r="B1906" s="8"/>
      <c r="C1906" s="8"/>
      <c r="D1906" s="8"/>
      <c r="E1906" s="8"/>
      <c r="F1906" s="8"/>
      <c r="G1906" s="8"/>
      <c r="H1906" s="8"/>
      <c r="I1906" s="8"/>
      <c r="J1906" s="8"/>
      <c r="K1906" s="8"/>
      <c r="L1906" s="8"/>
      <c r="M1906" s="8"/>
      <c r="N1906" s="8"/>
      <c r="O1906" s="8"/>
      <c r="P1906" s="8"/>
      <c r="Q1906" s="8"/>
    </row>
    <row r="1907" ht="13.65" customHeight="1">
      <c r="A1907" s="8"/>
      <c r="B1907" s="8"/>
      <c r="C1907" s="8"/>
      <c r="D1907" s="8"/>
      <c r="E1907" s="8"/>
      <c r="F1907" s="8"/>
      <c r="G1907" s="8"/>
      <c r="H1907" s="8"/>
      <c r="I1907" s="8"/>
      <c r="J1907" s="8"/>
      <c r="K1907" s="8"/>
      <c r="L1907" s="8"/>
      <c r="M1907" s="8"/>
      <c r="N1907" s="8"/>
      <c r="O1907" s="8"/>
      <c r="P1907" s="8"/>
      <c r="Q1907" s="8"/>
    </row>
    <row r="1908" ht="13.65" customHeight="1">
      <c r="A1908" s="8"/>
      <c r="B1908" s="8"/>
      <c r="C1908" s="8"/>
      <c r="D1908" s="8"/>
      <c r="E1908" s="8"/>
      <c r="F1908" s="8"/>
      <c r="G1908" s="8"/>
      <c r="H1908" s="8"/>
      <c r="I1908" s="8"/>
      <c r="J1908" s="8"/>
      <c r="K1908" s="8"/>
      <c r="L1908" s="8"/>
      <c r="M1908" s="8"/>
      <c r="N1908" s="8"/>
      <c r="O1908" s="8"/>
      <c r="P1908" s="8"/>
      <c r="Q1908" s="8"/>
    </row>
    <row r="1909" ht="13.65" customHeight="1">
      <c r="A1909" s="8"/>
      <c r="B1909" s="8"/>
      <c r="C1909" s="8"/>
      <c r="D1909" s="8"/>
      <c r="E1909" s="8"/>
      <c r="F1909" s="8"/>
      <c r="G1909" s="8"/>
      <c r="H1909" s="8"/>
      <c r="I1909" s="8"/>
      <c r="J1909" s="8"/>
      <c r="K1909" s="8"/>
      <c r="L1909" s="8"/>
      <c r="M1909" s="8"/>
      <c r="N1909" s="8"/>
      <c r="O1909" s="8"/>
      <c r="P1909" s="8"/>
      <c r="Q1909" s="8"/>
    </row>
    <row r="1910" ht="13.65" customHeight="1">
      <c r="A1910" s="8"/>
      <c r="B1910" s="8"/>
      <c r="C1910" s="8"/>
      <c r="D1910" s="8"/>
      <c r="E1910" s="8"/>
      <c r="F1910" s="8"/>
      <c r="G1910" s="8"/>
      <c r="H1910" s="8"/>
      <c r="I1910" s="8"/>
      <c r="J1910" s="8"/>
      <c r="K1910" s="8"/>
      <c r="L1910" s="8"/>
      <c r="M1910" s="8"/>
      <c r="N1910" s="8"/>
      <c r="O1910" s="8"/>
      <c r="P1910" s="8"/>
      <c r="Q1910" s="8"/>
    </row>
    <row r="1911" ht="13.65" customHeight="1">
      <c r="A1911" s="8"/>
      <c r="B1911" s="8"/>
      <c r="C1911" s="8"/>
      <c r="D1911" s="8"/>
      <c r="E1911" s="8"/>
      <c r="F1911" s="8"/>
      <c r="G1911" s="8"/>
      <c r="H1911" s="8"/>
      <c r="I1911" s="8"/>
      <c r="J1911" s="8"/>
      <c r="K1911" s="8"/>
      <c r="L1911" s="8"/>
      <c r="M1911" s="8"/>
      <c r="N1911" s="8"/>
      <c r="O1911" s="8"/>
      <c r="P1911" s="8"/>
      <c r="Q1911" s="8"/>
    </row>
    <row r="1912" ht="13.65" customHeight="1">
      <c r="A1912" s="8"/>
      <c r="B1912" s="8"/>
      <c r="C1912" s="8"/>
      <c r="D1912" s="8"/>
      <c r="E1912" s="8"/>
      <c r="F1912" s="8"/>
      <c r="G1912" s="8"/>
      <c r="H1912" s="8"/>
      <c r="I1912" s="8"/>
      <c r="J1912" s="8"/>
      <c r="K1912" s="8"/>
      <c r="L1912" s="8"/>
      <c r="M1912" s="8"/>
      <c r="N1912" s="8"/>
      <c r="O1912" s="8"/>
      <c r="P1912" s="8"/>
      <c r="Q1912" s="8"/>
    </row>
    <row r="1913" ht="13.65" customHeight="1">
      <c r="A1913" s="8"/>
      <c r="B1913" s="8"/>
      <c r="C1913" s="8"/>
      <c r="D1913" s="8"/>
      <c r="E1913" s="8"/>
      <c r="F1913" s="8"/>
      <c r="G1913" s="8"/>
      <c r="H1913" s="8"/>
      <c r="I1913" s="8"/>
      <c r="J1913" s="8"/>
      <c r="K1913" s="8"/>
      <c r="L1913" s="8"/>
      <c r="M1913" s="8"/>
      <c r="N1913" s="8"/>
      <c r="O1913" s="8"/>
      <c r="P1913" s="8"/>
      <c r="Q1913" s="8"/>
    </row>
    <row r="1914" ht="13.65" customHeight="1">
      <c r="A1914" s="8"/>
      <c r="B1914" s="8"/>
      <c r="C1914" s="8"/>
      <c r="D1914" s="8"/>
      <c r="E1914" s="8"/>
      <c r="F1914" s="8"/>
      <c r="G1914" s="8"/>
      <c r="H1914" s="8"/>
      <c r="I1914" s="8"/>
      <c r="J1914" s="8"/>
      <c r="K1914" s="8"/>
      <c r="L1914" s="8"/>
      <c r="M1914" s="8"/>
      <c r="N1914" s="8"/>
      <c r="O1914" s="8"/>
      <c r="P1914" s="8"/>
      <c r="Q1914" s="8"/>
    </row>
    <row r="1915" ht="13.65" customHeight="1">
      <c r="A1915" s="8"/>
      <c r="B1915" s="8"/>
      <c r="C1915" s="8"/>
      <c r="D1915" s="8"/>
      <c r="E1915" s="8"/>
      <c r="F1915" s="8"/>
      <c r="G1915" s="8"/>
      <c r="H1915" s="8"/>
      <c r="I1915" s="8"/>
      <c r="J1915" s="8"/>
      <c r="K1915" s="8"/>
      <c r="L1915" s="8"/>
      <c r="M1915" s="8"/>
      <c r="N1915" s="8"/>
      <c r="O1915" s="8"/>
      <c r="P1915" s="8"/>
      <c r="Q1915" s="8"/>
    </row>
    <row r="1916" ht="13.65" customHeight="1">
      <c r="A1916" s="8"/>
      <c r="B1916" s="8"/>
      <c r="C1916" s="8"/>
      <c r="D1916" s="8"/>
      <c r="E1916" s="8"/>
      <c r="F1916" s="8"/>
      <c r="G1916" s="8"/>
      <c r="H1916" s="8"/>
      <c r="I1916" s="8"/>
      <c r="J1916" s="8"/>
      <c r="K1916" s="8"/>
      <c r="L1916" s="8"/>
      <c r="M1916" s="8"/>
      <c r="N1916" s="8"/>
      <c r="O1916" s="8"/>
      <c r="P1916" s="8"/>
      <c r="Q1916" s="8"/>
    </row>
    <row r="1917" ht="13.65" customHeight="1">
      <c r="A1917" s="8"/>
      <c r="B1917" s="8"/>
      <c r="C1917" s="8"/>
      <c r="D1917" s="8"/>
      <c r="E1917" s="8"/>
      <c r="F1917" s="8"/>
      <c r="G1917" s="8"/>
      <c r="H1917" s="8"/>
      <c r="I1917" s="8"/>
      <c r="J1917" s="8"/>
      <c r="K1917" s="8"/>
      <c r="L1917" s="8"/>
      <c r="M1917" s="8"/>
      <c r="N1917" s="8"/>
      <c r="O1917" s="8"/>
      <c r="P1917" s="8"/>
      <c r="Q1917" s="8"/>
    </row>
    <row r="1918" ht="13.65" customHeight="1">
      <c r="A1918" s="8"/>
      <c r="B1918" s="8"/>
      <c r="C1918" s="8"/>
      <c r="D1918" s="8"/>
      <c r="E1918" s="8"/>
      <c r="F1918" s="8"/>
      <c r="G1918" s="8"/>
      <c r="H1918" s="8"/>
      <c r="I1918" s="8"/>
      <c r="J1918" s="8"/>
      <c r="K1918" s="8"/>
      <c r="L1918" s="8"/>
      <c r="M1918" s="8"/>
      <c r="N1918" s="8"/>
      <c r="O1918" s="8"/>
      <c r="P1918" s="8"/>
      <c r="Q1918" s="8"/>
    </row>
    <row r="1919" ht="13.65" customHeight="1">
      <c r="A1919" s="8"/>
      <c r="B1919" s="8"/>
      <c r="C1919" s="8"/>
      <c r="D1919" s="8"/>
      <c r="E1919" s="8"/>
      <c r="F1919" s="8"/>
      <c r="G1919" s="8"/>
      <c r="H1919" s="8"/>
      <c r="I1919" s="8"/>
      <c r="J1919" s="8"/>
      <c r="K1919" s="8"/>
      <c r="L1919" s="8"/>
      <c r="M1919" s="8"/>
      <c r="N1919" s="8"/>
      <c r="O1919" s="8"/>
      <c r="P1919" s="8"/>
      <c r="Q1919" s="8"/>
    </row>
    <row r="1920" ht="13.65" customHeight="1">
      <c r="A1920" s="8"/>
      <c r="B1920" s="8"/>
      <c r="C1920" s="8"/>
      <c r="D1920" s="8"/>
      <c r="E1920" s="8"/>
      <c r="F1920" s="8"/>
      <c r="G1920" s="8"/>
      <c r="H1920" s="8"/>
      <c r="I1920" s="8"/>
      <c r="J1920" s="8"/>
      <c r="K1920" s="8"/>
      <c r="L1920" s="8"/>
      <c r="M1920" s="8"/>
      <c r="N1920" s="8"/>
      <c r="O1920" s="8"/>
      <c r="P1920" s="8"/>
      <c r="Q1920" s="8"/>
    </row>
    <row r="1921" ht="13.65" customHeight="1">
      <c r="A1921" s="8"/>
      <c r="B1921" s="8"/>
      <c r="C1921" s="8"/>
      <c r="D1921" s="8"/>
      <c r="E1921" s="8"/>
      <c r="F1921" s="8"/>
      <c r="G1921" s="8"/>
      <c r="H1921" s="8"/>
      <c r="I1921" s="8"/>
      <c r="J1921" s="8"/>
      <c r="K1921" s="8"/>
      <c r="L1921" s="8"/>
      <c r="M1921" s="8"/>
      <c r="N1921" s="8"/>
      <c r="O1921" s="8"/>
      <c r="P1921" s="8"/>
      <c r="Q1921" s="8"/>
    </row>
    <row r="1922" ht="13.65" customHeight="1">
      <c r="A1922" s="8"/>
      <c r="B1922" s="8"/>
      <c r="C1922" s="8"/>
      <c r="D1922" s="8"/>
      <c r="E1922" s="8"/>
      <c r="F1922" s="8"/>
      <c r="G1922" s="8"/>
      <c r="H1922" s="8"/>
      <c r="I1922" s="8"/>
      <c r="J1922" s="8"/>
      <c r="K1922" s="8"/>
      <c r="L1922" s="8"/>
      <c r="M1922" s="8"/>
      <c r="N1922" s="8"/>
      <c r="O1922" s="8"/>
      <c r="P1922" s="8"/>
      <c r="Q1922" s="8"/>
    </row>
    <row r="1923" ht="13.65" customHeight="1">
      <c r="A1923" s="8"/>
      <c r="B1923" s="8"/>
      <c r="C1923" s="8"/>
      <c r="D1923" s="8"/>
      <c r="E1923" s="8"/>
      <c r="F1923" s="8"/>
      <c r="G1923" s="8"/>
      <c r="H1923" s="8"/>
      <c r="I1923" s="8"/>
      <c r="J1923" s="8"/>
      <c r="K1923" s="8"/>
      <c r="L1923" s="8"/>
      <c r="M1923" s="8"/>
      <c r="N1923" s="8"/>
      <c r="O1923" s="8"/>
      <c r="P1923" s="8"/>
      <c r="Q1923" s="8"/>
    </row>
    <row r="1924" ht="13.65" customHeight="1">
      <c r="A1924" s="8"/>
      <c r="B1924" s="8"/>
      <c r="C1924" s="8"/>
      <c r="D1924" s="8"/>
      <c r="E1924" s="8"/>
      <c r="F1924" s="8"/>
      <c r="G1924" s="8"/>
      <c r="H1924" s="8"/>
      <c r="I1924" s="8"/>
      <c r="J1924" s="8"/>
      <c r="K1924" s="8"/>
      <c r="L1924" s="8"/>
      <c r="M1924" s="8"/>
      <c r="N1924" s="8"/>
      <c r="O1924" s="8"/>
      <c r="P1924" s="8"/>
      <c r="Q1924" s="8"/>
    </row>
    <row r="1925" ht="13.65" customHeight="1">
      <c r="A1925" s="8"/>
      <c r="B1925" s="8"/>
      <c r="C1925" s="8"/>
      <c r="D1925" s="8"/>
      <c r="E1925" s="8"/>
      <c r="F1925" s="8"/>
      <c r="G1925" s="8"/>
      <c r="H1925" s="8"/>
      <c r="I1925" s="8"/>
      <c r="J1925" s="8"/>
      <c r="K1925" s="8"/>
      <c r="L1925" s="8"/>
      <c r="M1925" s="8"/>
      <c r="N1925" s="8"/>
      <c r="O1925" s="8"/>
      <c r="P1925" s="8"/>
      <c r="Q1925" s="8"/>
    </row>
    <row r="1926" ht="13.65" customHeight="1">
      <c r="A1926" s="8"/>
      <c r="B1926" s="8"/>
      <c r="C1926" s="8"/>
      <c r="D1926" s="8"/>
      <c r="E1926" s="8"/>
      <c r="F1926" s="8"/>
      <c r="G1926" s="8"/>
      <c r="H1926" s="8"/>
      <c r="I1926" s="8"/>
      <c r="J1926" s="8"/>
      <c r="K1926" s="8"/>
      <c r="L1926" s="8"/>
      <c r="M1926" s="8"/>
      <c r="N1926" s="8"/>
      <c r="O1926" s="8"/>
      <c r="P1926" s="8"/>
      <c r="Q1926" s="8"/>
    </row>
    <row r="1927" ht="13.65" customHeight="1">
      <c r="A1927" s="8"/>
      <c r="B1927" s="8"/>
      <c r="C1927" s="8"/>
      <c r="D1927" s="8"/>
      <c r="E1927" s="8"/>
      <c r="F1927" s="8"/>
      <c r="G1927" s="8"/>
      <c r="H1927" s="8"/>
      <c r="I1927" s="8"/>
      <c r="J1927" s="8"/>
      <c r="K1927" s="8"/>
      <c r="L1927" s="8"/>
      <c r="M1927" s="8"/>
      <c r="N1927" s="8"/>
      <c r="O1927" s="8"/>
      <c r="P1927" s="8"/>
      <c r="Q1927" s="8"/>
    </row>
    <row r="1928" ht="13.65" customHeight="1">
      <c r="A1928" s="8"/>
      <c r="B1928" s="8"/>
      <c r="C1928" s="8"/>
      <c r="D1928" s="8"/>
      <c r="E1928" s="8"/>
      <c r="F1928" s="8"/>
      <c r="G1928" s="8"/>
      <c r="H1928" s="8"/>
      <c r="I1928" s="8"/>
      <c r="J1928" s="8"/>
      <c r="K1928" s="8"/>
      <c r="L1928" s="8"/>
      <c r="M1928" s="8"/>
      <c r="N1928" s="8"/>
      <c r="O1928" s="8"/>
      <c r="P1928" s="8"/>
      <c r="Q1928" s="8"/>
    </row>
    <row r="1929" ht="13.65" customHeight="1">
      <c r="A1929" s="8"/>
      <c r="B1929" s="8"/>
      <c r="C1929" s="8"/>
      <c r="D1929" s="8"/>
      <c r="E1929" s="8"/>
      <c r="F1929" s="8"/>
      <c r="G1929" s="8"/>
      <c r="H1929" s="8"/>
      <c r="I1929" s="8"/>
      <c r="J1929" s="8"/>
      <c r="K1929" s="8"/>
      <c r="L1929" s="8"/>
      <c r="M1929" s="8"/>
      <c r="N1929" s="8"/>
      <c r="O1929" s="8"/>
      <c r="P1929" s="8"/>
      <c r="Q1929" s="8"/>
    </row>
    <row r="1930" ht="13.65" customHeight="1">
      <c r="A1930" s="8"/>
      <c r="B1930" s="8"/>
      <c r="C1930" s="8"/>
      <c r="D1930" s="8"/>
      <c r="E1930" s="8"/>
      <c r="F1930" s="8"/>
      <c r="G1930" s="8"/>
      <c r="H1930" s="8"/>
      <c r="I1930" s="8"/>
      <c r="J1930" s="8"/>
      <c r="K1930" s="8"/>
      <c r="L1930" s="8"/>
      <c r="M1930" s="8"/>
      <c r="N1930" s="8"/>
      <c r="O1930" s="8"/>
      <c r="P1930" s="8"/>
      <c r="Q1930" s="8"/>
    </row>
    <row r="1931" ht="13.65" customHeight="1">
      <c r="A1931" s="8"/>
      <c r="B1931" s="8"/>
      <c r="C1931" s="8"/>
      <c r="D1931" s="8"/>
      <c r="E1931" s="8"/>
      <c r="F1931" s="8"/>
      <c r="G1931" s="8"/>
      <c r="H1931" s="8"/>
      <c r="I1931" s="8"/>
      <c r="J1931" s="8"/>
      <c r="K1931" s="8"/>
      <c r="L1931" s="8"/>
      <c r="M1931" s="8"/>
      <c r="N1931" s="8"/>
      <c r="O1931" s="8"/>
      <c r="P1931" s="8"/>
      <c r="Q1931" s="8"/>
    </row>
    <row r="1932" ht="13.65" customHeight="1">
      <c r="A1932" s="8"/>
      <c r="B1932" s="8"/>
      <c r="C1932" s="8"/>
      <c r="D1932" s="8"/>
      <c r="E1932" s="8"/>
      <c r="F1932" s="8"/>
      <c r="G1932" s="8"/>
      <c r="H1932" s="8"/>
      <c r="I1932" s="8"/>
      <c r="J1932" s="8"/>
      <c r="K1932" s="8"/>
      <c r="L1932" s="8"/>
      <c r="M1932" s="8"/>
      <c r="N1932" s="8"/>
      <c r="O1932" s="8"/>
      <c r="P1932" s="8"/>
      <c r="Q1932" s="8"/>
    </row>
    <row r="1933" ht="13.65" customHeight="1">
      <c r="A1933" s="8"/>
      <c r="B1933" s="8"/>
      <c r="C1933" s="8"/>
      <c r="D1933" s="8"/>
      <c r="E1933" s="8"/>
      <c r="F1933" s="8"/>
      <c r="G1933" s="8"/>
      <c r="H1933" s="8"/>
      <c r="I1933" s="8"/>
      <c r="J1933" s="8"/>
      <c r="K1933" s="8"/>
      <c r="L1933" s="8"/>
      <c r="M1933" s="8"/>
      <c r="N1933" s="8"/>
      <c r="O1933" s="8"/>
      <c r="P1933" s="8"/>
      <c r="Q1933" s="8"/>
    </row>
    <row r="1934" ht="13.65" customHeight="1">
      <c r="A1934" s="8"/>
      <c r="B1934" s="8"/>
      <c r="C1934" s="8"/>
      <c r="D1934" s="8"/>
      <c r="E1934" s="8"/>
      <c r="F1934" s="8"/>
      <c r="G1934" s="8"/>
      <c r="H1934" s="8"/>
      <c r="I1934" s="8"/>
      <c r="J1934" s="8"/>
      <c r="K1934" s="8"/>
      <c r="L1934" s="8"/>
      <c r="M1934" s="8"/>
      <c r="N1934" s="8"/>
      <c r="O1934" s="8"/>
      <c r="P1934" s="8"/>
      <c r="Q1934" s="8"/>
    </row>
    <row r="1935" ht="13.65" customHeight="1">
      <c r="A1935" s="8"/>
      <c r="B1935" s="8"/>
      <c r="C1935" s="8"/>
      <c r="D1935" s="8"/>
      <c r="E1935" s="8"/>
      <c r="F1935" s="8"/>
      <c r="G1935" s="8"/>
      <c r="H1935" s="8"/>
      <c r="I1935" s="8"/>
      <c r="J1935" s="8"/>
      <c r="K1935" s="8"/>
      <c r="L1935" s="8"/>
      <c r="M1935" s="8"/>
      <c r="N1935" s="8"/>
      <c r="O1935" s="8"/>
      <c r="P1935" s="8"/>
      <c r="Q1935" s="8"/>
    </row>
    <row r="1936" ht="13.65" customHeight="1">
      <c r="A1936" s="8"/>
      <c r="B1936" s="8"/>
      <c r="C1936" s="8"/>
      <c r="D1936" s="8"/>
      <c r="E1936" s="8"/>
      <c r="F1936" s="8"/>
      <c r="G1936" s="8"/>
      <c r="H1936" s="8"/>
      <c r="I1936" s="8"/>
      <c r="J1936" s="8"/>
      <c r="K1936" s="8"/>
      <c r="L1936" s="8"/>
      <c r="M1936" s="8"/>
      <c r="N1936" s="8"/>
      <c r="O1936" s="8"/>
      <c r="P1936" s="8"/>
      <c r="Q1936" s="8"/>
    </row>
    <row r="1937" ht="13.65" customHeight="1">
      <c r="A1937" s="8"/>
      <c r="B1937" s="8"/>
      <c r="C1937" s="8"/>
      <c r="D1937" s="8"/>
      <c r="E1937" s="8"/>
      <c r="F1937" s="8"/>
      <c r="G1937" s="8"/>
      <c r="H1937" s="8"/>
      <c r="I1937" s="8"/>
      <c r="J1937" s="8"/>
      <c r="K1937" s="8"/>
      <c r="L1937" s="8"/>
      <c r="M1937" s="8"/>
      <c r="N1937" s="8"/>
      <c r="O1937" s="8"/>
      <c r="P1937" s="8"/>
      <c r="Q1937" s="8"/>
    </row>
    <row r="1938" ht="13.65" customHeight="1">
      <c r="A1938" s="8"/>
      <c r="B1938" s="8"/>
      <c r="C1938" s="8"/>
      <c r="D1938" s="8"/>
      <c r="E1938" s="8"/>
      <c r="F1938" s="8"/>
      <c r="G1938" s="8"/>
      <c r="H1938" s="8"/>
      <c r="I1938" s="8"/>
      <c r="J1938" s="8"/>
      <c r="K1938" s="8"/>
      <c r="L1938" s="8"/>
      <c r="M1938" s="8"/>
      <c r="N1938" s="8"/>
      <c r="O1938" s="8"/>
      <c r="P1938" s="8"/>
      <c r="Q1938" s="8"/>
    </row>
    <row r="1939" ht="13.65" customHeight="1">
      <c r="A1939" s="8"/>
      <c r="B1939" s="8"/>
      <c r="C1939" s="8"/>
      <c r="D1939" s="8"/>
      <c r="E1939" s="8"/>
      <c r="F1939" s="8"/>
      <c r="G1939" s="8"/>
      <c r="H1939" s="8"/>
      <c r="I1939" s="8"/>
      <c r="J1939" s="8"/>
      <c r="K1939" s="8"/>
      <c r="L1939" s="8"/>
      <c r="M1939" s="8"/>
      <c r="N1939" s="8"/>
      <c r="O1939" s="8"/>
      <c r="P1939" s="8"/>
      <c r="Q1939" s="8"/>
    </row>
    <row r="1940" ht="13.65" customHeight="1">
      <c r="A1940" s="8"/>
      <c r="B1940" s="8"/>
      <c r="C1940" s="8"/>
      <c r="D1940" s="8"/>
      <c r="E1940" s="8"/>
      <c r="F1940" s="8"/>
      <c r="G1940" s="8"/>
      <c r="H1940" s="8"/>
      <c r="I1940" s="8"/>
      <c r="J1940" s="8"/>
      <c r="K1940" s="8"/>
      <c r="L1940" s="8"/>
      <c r="M1940" s="8"/>
      <c r="N1940" s="8"/>
      <c r="O1940" s="8"/>
      <c r="P1940" s="8"/>
      <c r="Q1940" s="8"/>
    </row>
    <row r="1941" ht="13.65" customHeight="1">
      <c r="A1941" s="8"/>
      <c r="B1941" s="8"/>
      <c r="C1941" s="8"/>
      <c r="D1941" s="8"/>
      <c r="E1941" s="8"/>
      <c r="F1941" s="8"/>
      <c r="G1941" s="8"/>
      <c r="H1941" s="8"/>
      <c r="I1941" s="8"/>
      <c r="J1941" s="8"/>
      <c r="K1941" s="8"/>
      <c r="L1941" s="8"/>
      <c r="M1941" s="8"/>
      <c r="N1941" s="8"/>
      <c r="O1941" s="8"/>
      <c r="P1941" s="8"/>
      <c r="Q1941" s="8"/>
    </row>
    <row r="1942" ht="13.65" customHeight="1">
      <c r="A1942" s="8"/>
      <c r="B1942" s="8"/>
      <c r="C1942" s="8"/>
      <c r="D1942" s="8"/>
      <c r="E1942" s="8"/>
      <c r="F1942" s="8"/>
      <c r="G1942" s="8"/>
      <c r="H1942" s="8"/>
      <c r="I1942" s="8"/>
      <c r="J1942" s="8"/>
      <c r="K1942" s="8"/>
      <c r="L1942" s="8"/>
      <c r="M1942" s="8"/>
      <c r="N1942" s="8"/>
      <c r="O1942" s="8"/>
      <c r="P1942" s="8"/>
      <c r="Q1942" s="8"/>
    </row>
    <row r="1943" ht="13.65" customHeight="1">
      <c r="A1943" s="8"/>
      <c r="B1943" s="8"/>
      <c r="C1943" s="8"/>
      <c r="D1943" s="8"/>
      <c r="E1943" s="8"/>
      <c r="F1943" s="8"/>
      <c r="G1943" s="8"/>
      <c r="H1943" s="8"/>
      <c r="I1943" s="8"/>
      <c r="J1943" s="8"/>
      <c r="K1943" s="8"/>
      <c r="L1943" s="8"/>
      <c r="M1943" s="8"/>
      <c r="N1943" s="8"/>
      <c r="O1943" s="8"/>
      <c r="P1943" s="8"/>
      <c r="Q1943" s="8"/>
    </row>
    <row r="1944" ht="13.65" customHeight="1">
      <c r="A1944" s="8"/>
      <c r="B1944" s="8"/>
      <c r="C1944" s="8"/>
      <c r="D1944" s="8"/>
      <c r="E1944" s="8"/>
      <c r="F1944" s="8"/>
      <c r="G1944" s="8"/>
      <c r="H1944" s="8"/>
      <c r="I1944" s="8"/>
      <c r="J1944" s="8"/>
      <c r="K1944" s="8"/>
      <c r="L1944" s="8"/>
      <c r="M1944" s="8"/>
      <c r="N1944" s="8"/>
      <c r="O1944" s="8"/>
      <c r="P1944" s="8"/>
      <c r="Q1944" s="8"/>
    </row>
    <row r="1945" ht="13.65" customHeight="1">
      <c r="A1945" s="8"/>
      <c r="B1945" s="8"/>
      <c r="C1945" s="8"/>
      <c r="D1945" s="8"/>
      <c r="E1945" s="8"/>
      <c r="F1945" s="8"/>
      <c r="G1945" s="8"/>
      <c r="H1945" s="8"/>
      <c r="I1945" s="8"/>
      <c r="J1945" s="8"/>
      <c r="K1945" s="8"/>
      <c r="L1945" s="8"/>
      <c r="M1945" s="8"/>
      <c r="N1945" s="8"/>
      <c r="O1945" s="8"/>
      <c r="P1945" s="8"/>
      <c r="Q1945" s="8"/>
    </row>
    <row r="1946" ht="13.65" customHeight="1">
      <c r="A1946" s="8"/>
      <c r="B1946" s="8"/>
      <c r="C1946" s="8"/>
      <c r="D1946" s="8"/>
      <c r="E1946" s="8"/>
      <c r="F1946" s="8"/>
      <c r="G1946" s="8"/>
      <c r="H1946" s="8"/>
      <c r="I1946" s="8"/>
      <c r="J1946" s="8"/>
      <c r="K1946" s="8"/>
      <c r="L1946" s="8"/>
      <c r="M1946" s="8"/>
      <c r="N1946" s="8"/>
      <c r="O1946" s="8"/>
      <c r="P1946" s="8"/>
      <c r="Q1946" s="8"/>
    </row>
    <row r="1947" ht="13.65" customHeight="1">
      <c r="A1947" s="8"/>
      <c r="B1947" s="8"/>
      <c r="C1947" s="8"/>
      <c r="D1947" s="8"/>
      <c r="E1947" s="8"/>
      <c r="F1947" s="8"/>
      <c r="G1947" s="8"/>
      <c r="H1947" s="8"/>
      <c r="I1947" s="8"/>
      <c r="J1947" s="8"/>
      <c r="K1947" s="8"/>
      <c r="L1947" s="8"/>
      <c r="M1947" s="8"/>
      <c r="N1947" s="8"/>
      <c r="O1947" s="8"/>
      <c r="P1947" s="8"/>
      <c r="Q1947" s="8"/>
    </row>
    <row r="1948" ht="13.65" customHeight="1">
      <c r="A1948" s="8"/>
      <c r="B1948" s="8"/>
      <c r="C1948" s="8"/>
      <c r="D1948" s="8"/>
      <c r="E1948" s="8"/>
      <c r="F1948" s="8"/>
      <c r="G1948" s="8"/>
      <c r="H1948" s="8"/>
      <c r="I1948" s="8"/>
      <c r="J1948" s="8"/>
      <c r="K1948" s="8"/>
      <c r="L1948" s="8"/>
      <c r="M1948" s="8"/>
      <c r="N1948" s="8"/>
      <c r="O1948" s="8"/>
      <c r="P1948" s="8"/>
      <c r="Q1948" s="8"/>
    </row>
    <row r="1949" ht="13.65" customHeight="1">
      <c r="A1949" s="8"/>
      <c r="B1949" s="8"/>
      <c r="C1949" s="8"/>
      <c r="D1949" s="8"/>
      <c r="E1949" s="8"/>
      <c r="F1949" s="8"/>
      <c r="G1949" s="8"/>
      <c r="H1949" s="8"/>
      <c r="I1949" s="8"/>
      <c r="J1949" s="8"/>
      <c r="K1949" s="8"/>
      <c r="L1949" s="8"/>
      <c r="M1949" s="8"/>
      <c r="N1949" s="8"/>
      <c r="O1949" s="8"/>
      <c r="P1949" s="8"/>
      <c r="Q1949" s="8"/>
    </row>
    <row r="1950" ht="13.65" customHeight="1">
      <c r="A1950" s="8"/>
      <c r="B1950" s="8"/>
      <c r="C1950" s="8"/>
      <c r="D1950" s="8"/>
      <c r="E1950" s="8"/>
      <c r="F1950" s="8"/>
      <c r="G1950" s="8"/>
      <c r="H1950" s="8"/>
      <c r="I1950" s="8"/>
      <c r="J1950" s="8"/>
      <c r="K1950" s="8"/>
      <c r="L1950" s="8"/>
      <c r="M1950" s="8"/>
      <c r="N1950" s="8"/>
      <c r="O1950" s="8"/>
      <c r="P1950" s="8"/>
      <c r="Q1950" s="8"/>
    </row>
    <row r="1951" ht="13.65" customHeight="1">
      <c r="A1951" s="8"/>
      <c r="B1951" s="8"/>
      <c r="C1951" s="8"/>
      <c r="D1951" s="8"/>
      <c r="E1951" s="8"/>
      <c r="F1951" s="8"/>
      <c r="G1951" s="8"/>
      <c r="H1951" s="8"/>
      <c r="I1951" s="8"/>
      <c r="J1951" s="8"/>
      <c r="K1951" s="8"/>
      <c r="L1951" s="8"/>
      <c r="M1951" s="8"/>
      <c r="N1951" s="8"/>
      <c r="O1951" s="8"/>
      <c r="P1951" s="8"/>
      <c r="Q1951" s="8"/>
    </row>
    <row r="1952" ht="13.65" customHeight="1">
      <c r="A1952" s="8"/>
      <c r="B1952" s="8"/>
      <c r="C1952" s="8"/>
      <c r="D1952" s="8"/>
      <c r="E1952" s="8"/>
      <c r="F1952" s="8"/>
      <c r="G1952" s="8"/>
      <c r="H1952" s="8"/>
      <c r="I1952" s="8"/>
      <c r="J1952" s="8"/>
      <c r="K1952" s="8"/>
      <c r="L1952" s="8"/>
      <c r="M1952" s="8"/>
      <c r="N1952" s="8"/>
      <c r="O1952" s="8"/>
      <c r="P1952" s="8"/>
      <c r="Q1952" s="8"/>
    </row>
    <row r="1953" ht="13.65" customHeight="1">
      <c r="A1953" s="8"/>
      <c r="B1953" s="8"/>
      <c r="C1953" s="8"/>
      <c r="D1953" s="8"/>
      <c r="E1953" s="8"/>
      <c r="F1953" s="8"/>
      <c r="G1953" s="8"/>
      <c r="H1953" s="8"/>
      <c r="I1953" s="8"/>
      <c r="J1953" s="8"/>
      <c r="K1953" s="8"/>
      <c r="L1953" s="8"/>
      <c r="M1953" s="8"/>
      <c r="N1953" s="8"/>
      <c r="O1953" s="8"/>
      <c r="P1953" s="8"/>
      <c r="Q1953" s="8"/>
    </row>
    <row r="1954" ht="13.65" customHeight="1">
      <c r="A1954" s="8"/>
      <c r="B1954" s="8"/>
      <c r="C1954" s="8"/>
      <c r="D1954" s="8"/>
      <c r="E1954" s="8"/>
      <c r="F1954" s="8"/>
      <c r="G1954" s="8"/>
      <c r="H1954" s="8"/>
      <c r="I1954" s="8"/>
      <c r="J1954" s="8"/>
      <c r="K1954" s="8"/>
      <c r="L1954" s="8"/>
      <c r="M1954" s="8"/>
      <c r="N1954" s="8"/>
      <c r="O1954" s="8"/>
      <c r="P1954" s="8"/>
      <c r="Q1954" s="8"/>
    </row>
    <row r="1955" ht="13.65" customHeight="1">
      <c r="A1955" s="8"/>
      <c r="B1955" s="8"/>
      <c r="C1955" s="8"/>
      <c r="D1955" s="8"/>
      <c r="E1955" s="8"/>
      <c r="F1955" s="8"/>
      <c r="G1955" s="8"/>
      <c r="H1955" s="8"/>
      <c r="I1955" s="8"/>
      <c r="J1955" s="8"/>
      <c r="K1955" s="8"/>
      <c r="L1955" s="8"/>
      <c r="M1955" s="8"/>
      <c r="N1955" s="8"/>
      <c r="O1955" s="8"/>
      <c r="P1955" s="8"/>
      <c r="Q1955" s="8"/>
    </row>
    <row r="1956" ht="13.65" customHeight="1">
      <c r="A1956" s="8"/>
      <c r="B1956" s="8"/>
      <c r="C1956" s="8"/>
      <c r="D1956" s="8"/>
      <c r="E1956" s="8"/>
      <c r="F1956" s="8"/>
      <c r="G1956" s="8"/>
      <c r="H1956" s="8"/>
      <c r="I1956" s="8"/>
      <c r="J1956" s="8"/>
      <c r="K1956" s="8"/>
      <c r="L1956" s="8"/>
      <c r="M1956" s="8"/>
      <c r="N1956" s="8"/>
      <c r="O1956" s="8"/>
      <c r="P1956" s="8"/>
      <c r="Q1956" s="8"/>
    </row>
    <row r="1957" ht="13.65" customHeight="1">
      <c r="A1957" s="8"/>
      <c r="B1957" s="8"/>
      <c r="C1957" s="8"/>
      <c r="D1957" s="8"/>
      <c r="E1957" s="8"/>
      <c r="F1957" s="8"/>
      <c r="G1957" s="8"/>
      <c r="H1957" s="8"/>
      <c r="I1957" s="8"/>
      <c r="J1957" s="8"/>
      <c r="K1957" s="8"/>
      <c r="L1957" s="8"/>
      <c r="M1957" s="8"/>
      <c r="N1957" s="8"/>
      <c r="O1957" s="8"/>
      <c r="P1957" s="8"/>
      <c r="Q1957" s="8"/>
    </row>
    <row r="1958" ht="13.65" customHeight="1">
      <c r="A1958" s="8"/>
      <c r="B1958" s="8"/>
      <c r="C1958" s="8"/>
      <c r="D1958" s="8"/>
      <c r="E1958" s="8"/>
      <c r="F1958" s="8"/>
      <c r="G1958" s="8"/>
      <c r="H1958" s="8"/>
      <c r="I1958" s="8"/>
      <c r="J1958" s="8"/>
      <c r="K1958" s="8"/>
      <c r="L1958" s="8"/>
      <c r="M1958" s="8"/>
      <c r="N1958" s="8"/>
      <c r="O1958" s="8"/>
      <c r="P1958" s="8"/>
      <c r="Q1958" s="8"/>
    </row>
    <row r="1959" ht="13.65" customHeight="1">
      <c r="A1959" s="8"/>
      <c r="B1959" s="8"/>
      <c r="C1959" s="8"/>
      <c r="D1959" s="8"/>
      <c r="E1959" s="8"/>
      <c r="F1959" s="8"/>
      <c r="G1959" s="8"/>
      <c r="H1959" s="8"/>
      <c r="I1959" s="8"/>
      <c r="J1959" s="8"/>
      <c r="K1959" s="8"/>
      <c r="L1959" s="8"/>
      <c r="M1959" s="8"/>
      <c r="N1959" s="8"/>
      <c r="O1959" s="8"/>
      <c r="P1959" s="8"/>
      <c r="Q1959" s="8"/>
    </row>
    <row r="1960" ht="13.65" customHeight="1">
      <c r="A1960" s="8"/>
      <c r="B1960" s="8"/>
      <c r="C1960" s="8"/>
      <c r="D1960" s="8"/>
      <c r="E1960" s="8"/>
      <c r="F1960" s="8"/>
      <c r="G1960" s="8"/>
      <c r="H1960" s="8"/>
      <c r="I1960" s="8"/>
      <c r="J1960" s="8"/>
      <c r="K1960" s="8"/>
      <c r="L1960" s="8"/>
      <c r="M1960" s="8"/>
      <c r="N1960" s="8"/>
      <c r="O1960" s="8"/>
      <c r="P1960" s="8"/>
      <c r="Q1960" s="8"/>
    </row>
    <row r="1961" ht="13.65" customHeight="1">
      <c r="A1961" s="8"/>
      <c r="B1961" s="8"/>
      <c r="C1961" s="8"/>
      <c r="D1961" s="8"/>
      <c r="E1961" s="8"/>
      <c r="F1961" s="8"/>
      <c r="G1961" s="8"/>
      <c r="H1961" s="8"/>
      <c r="I1961" s="8"/>
      <c r="J1961" s="8"/>
      <c r="K1961" s="8"/>
      <c r="L1961" s="8"/>
      <c r="M1961" s="8"/>
      <c r="N1961" s="8"/>
      <c r="O1961" s="8"/>
      <c r="P1961" s="8"/>
      <c r="Q1961" s="8"/>
    </row>
    <row r="1962" ht="13.65" customHeight="1">
      <c r="A1962" s="8"/>
      <c r="B1962" s="8"/>
      <c r="C1962" s="8"/>
      <c r="D1962" s="8"/>
      <c r="E1962" s="8"/>
      <c r="F1962" s="8"/>
      <c r="G1962" s="8"/>
      <c r="H1962" s="8"/>
      <c r="I1962" s="8"/>
      <c r="J1962" s="8"/>
      <c r="K1962" s="8"/>
      <c r="L1962" s="8"/>
      <c r="M1962" s="8"/>
      <c r="N1962" s="8"/>
      <c r="O1962" s="8"/>
      <c r="P1962" s="8"/>
      <c r="Q1962" s="8"/>
    </row>
    <row r="1963" ht="13.65" customHeight="1">
      <c r="A1963" s="8"/>
      <c r="B1963" s="8"/>
      <c r="C1963" s="8"/>
      <c r="D1963" s="8"/>
      <c r="E1963" s="8"/>
      <c r="F1963" s="8"/>
      <c r="G1963" s="8"/>
      <c r="H1963" s="8"/>
      <c r="I1963" s="8"/>
      <c r="J1963" s="8"/>
      <c r="K1963" s="8"/>
      <c r="L1963" s="8"/>
      <c r="M1963" s="8"/>
      <c r="N1963" s="8"/>
      <c r="O1963" s="8"/>
      <c r="P1963" s="8"/>
      <c r="Q1963" s="8"/>
    </row>
    <row r="1964" ht="13.65" customHeight="1">
      <c r="A1964" s="8"/>
      <c r="B1964" s="8"/>
      <c r="C1964" s="8"/>
      <c r="D1964" s="8"/>
      <c r="E1964" s="8"/>
      <c r="F1964" s="8"/>
      <c r="G1964" s="8"/>
      <c r="H1964" s="8"/>
      <c r="I1964" s="8"/>
      <c r="J1964" s="8"/>
      <c r="K1964" s="8"/>
      <c r="L1964" s="8"/>
      <c r="M1964" s="8"/>
      <c r="N1964" s="8"/>
      <c r="O1964" s="8"/>
      <c r="P1964" s="8"/>
      <c r="Q1964" s="8"/>
    </row>
    <row r="1965" ht="13.65" customHeight="1">
      <c r="A1965" s="8"/>
      <c r="B1965" s="8"/>
      <c r="C1965" s="8"/>
      <c r="D1965" s="8"/>
      <c r="E1965" s="8"/>
      <c r="F1965" s="8"/>
      <c r="G1965" s="8"/>
      <c r="H1965" s="8"/>
      <c r="I1965" s="8"/>
      <c r="J1965" s="8"/>
      <c r="K1965" s="8"/>
      <c r="L1965" s="8"/>
      <c r="M1965" s="8"/>
      <c r="N1965" s="8"/>
      <c r="O1965" s="8"/>
      <c r="P1965" s="8"/>
      <c r="Q1965" s="8"/>
    </row>
    <row r="1966" ht="13.65" customHeight="1">
      <c r="A1966" s="8"/>
      <c r="B1966" s="8"/>
      <c r="C1966" s="8"/>
      <c r="D1966" s="8"/>
      <c r="E1966" s="8"/>
      <c r="F1966" s="8"/>
      <c r="G1966" s="8"/>
      <c r="H1966" s="8"/>
      <c r="I1966" s="8"/>
      <c r="J1966" s="8"/>
      <c r="K1966" s="8"/>
      <c r="L1966" s="8"/>
      <c r="M1966" s="8"/>
      <c r="N1966" s="8"/>
      <c r="O1966" s="8"/>
      <c r="P1966" s="8"/>
      <c r="Q1966" s="8"/>
    </row>
    <row r="1967" ht="13.65" customHeight="1">
      <c r="A1967" s="8"/>
      <c r="B1967" s="8"/>
      <c r="C1967" s="8"/>
      <c r="D1967" s="8"/>
      <c r="E1967" s="8"/>
      <c r="F1967" s="8"/>
      <c r="G1967" s="8"/>
      <c r="H1967" s="8"/>
      <c r="I1967" s="8"/>
      <c r="J1967" s="8"/>
      <c r="K1967" s="8"/>
      <c r="L1967" s="8"/>
      <c r="M1967" s="8"/>
      <c r="N1967" s="8"/>
      <c r="O1967" s="8"/>
      <c r="P1967" s="8"/>
      <c r="Q1967" s="8"/>
    </row>
    <row r="1968" ht="13.65" customHeight="1">
      <c r="A1968" s="8"/>
      <c r="B1968" s="8"/>
      <c r="C1968" s="8"/>
      <c r="D1968" s="8"/>
      <c r="E1968" s="8"/>
      <c r="F1968" s="8"/>
      <c r="G1968" s="8"/>
      <c r="H1968" s="8"/>
      <c r="I1968" s="8"/>
      <c r="J1968" s="8"/>
      <c r="K1968" s="8"/>
      <c r="L1968" s="8"/>
      <c r="M1968" s="8"/>
      <c r="N1968" s="8"/>
      <c r="O1968" s="8"/>
      <c r="P1968" s="8"/>
      <c r="Q1968" s="8"/>
    </row>
    <row r="1969" ht="13.65" customHeight="1">
      <c r="A1969" s="8"/>
      <c r="B1969" s="8"/>
      <c r="C1969" s="8"/>
      <c r="D1969" s="8"/>
      <c r="E1969" s="8"/>
      <c r="F1969" s="8"/>
      <c r="G1969" s="8"/>
      <c r="H1969" s="8"/>
      <c r="I1969" s="8"/>
      <c r="J1969" s="8"/>
      <c r="K1969" s="8"/>
      <c r="L1969" s="8"/>
      <c r="M1969" s="8"/>
      <c r="N1969" s="8"/>
      <c r="O1969" s="8"/>
      <c r="P1969" s="8"/>
      <c r="Q1969" s="8"/>
    </row>
    <row r="1970" ht="13.65" customHeight="1">
      <c r="A1970" s="8"/>
      <c r="B1970" s="8"/>
      <c r="C1970" s="8"/>
      <c r="D1970" s="8"/>
      <c r="E1970" s="8"/>
      <c r="F1970" s="8"/>
      <c r="G1970" s="8"/>
      <c r="H1970" s="8"/>
      <c r="I1970" s="8"/>
      <c r="J1970" s="8"/>
      <c r="K1970" s="8"/>
      <c r="L1970" s="8"/>
      <c r="M1970" s="8"/>
      <c r="N1970" s="8"/>
      <c r="O1970" s="8"/>
      <c r="P1970" s="8"/>
      <c r="Q1970" s="8"/>
    </row>
    <row r="1971" ht="13.65" customHeight="1">
      <c r="A1971" s="8"/>
      <c r="B1971" s="8"/>
      <c r="C1971" s="8"/>
      <c r="D1971" s="8"/>
      <c r="E1971" s="8"/>
      <c r="F1971" s="8"/>
      <c r="G1971" s="8"/>
      <c r="H1971" s="8"/>
      <c r="I1971" s="8"/>
      <c r="J1971" s="8"/>
      <c r="K1971" s="8"/>
      <c r="L1971" s="8"/>
      <c r="M1971" s="8"/>
      <c r="N1971" s="8"/>
      <c r="O1971" s="8"/>
      <c r="P1971" s="8"/>
      <c r="Q1971" s="8"/>
    </row>
    <row r="1972" ht="13.65" customHeight="1">
      <c r="A1972" s="8"/>
      <c r="B1972" s="8"/>
      <c r="C1972" s="8"/>
      <c r="D1972" s="8"/>
      <c r="E1972" s="8"/>
      <c r="F1972" s="8"/>
      <c r="G1972" s="8"/>
      <c r="H1972" s="8"/>
      <c r="I1972" s="8"/>
      <c r="J1972" s="8"/>
      <c r="K1972" s="8"/>
      <c r="L1972" s="8"/>
      <c r="M1972" s="8"/>
      <c r="N1972" s="8"/>
      <c r="O1972" s="8"/>
      <c r="P1972" s="8"/>
      <c r="Q1972" s="8"/>
    </row>
    <row r="1973" ht="13.65" customHeight="1">
      <c r="A1973" s="8"/>
      <c r="B1973" s="8"/>
      <c r="C1973" s="8"/>
      <c r="D1973" s="8"/>
      <c r="E1973" s="8"/>
      <c r="F1973" s="8"/>
      <c r="G1973" s="8"/>
      <c r="H1973" s="8"/>
      <c r="I1973" s="8"/>
      <c r="J1973" s="8"/>
      <c r="K1973" s="8"/>
      <c r="L1973" s="8"/>
      <c r="M1973" s="8"/>
      <c r="N1973" s="8"/>
      <c r="O1973" s="8"/>
      <c r="P1973" s="8"/>
      <c r="Q1973" s="8"/>
    </row>
    <row r="1974" ht="13.65" customHeight="1">
      <c r="A1974" s="8"/>
      <c r="B1974" s="8"/>
      <c r="C1974" s="8"/>
      <c r="D1974" s="8"/>
      <c r="E1974" s="8"/>
      <c r="F1974" s="8"/>
      <c r="G1974" s="8"/>
      <c r="H1974" s="8"/>
      <c r="I1974" s="8"/>
      <c r="J1974" s="8"/>
      <c r="K1974" s="8"/>
      <c r="L1974" s="8"/>
      <c r="M1974" s="8"/>
      <c r="N1974" s="8"/>
      <c r="O1974" s="8"/>
      <c r="P1974" s="8"/>
      <c r="Q1974" s="8"/>
    </row>
    <row r="1975" ht="13.65" customHeight="1">
      <c r="A1975" s="8"/>
      <c r="B1975" s="8"/>
      <c r="C1975" s="8"/>
      <c r="D1975" s="8"/>
      <c r="E1975" s="8"/>
      <c r="F1975" s="8"/>
      <c r="G1975" s="8"/>
      <c r="H1975" s="8"/>
      <c r="I1975" s="8"/>
      <c r="J1975" s="8"/>
      <c r="K1975" s="8"/>
      <c r="L1975" s="8"/>
      <c r="M1975" s="8"/>
      <c r="N1975" s="8"/>
      <c r="O1975" s="8"/>
      <c r="P1975" s="8"/>
      <c r="Q1975" s="8"/>
    </row>
    <row r="1976" ht="13.65" customHeight="1">
      <c r="A1976" s="8"/>
      <c r="B1976" s="8"/>
      <c r="C1976" s="8"/>
      <c r="D1976" s="8"/>
      <c r="E1976" s="8"/>
      <c r="F1976" s="8"/>
      <c r="G1976" s="8"/>
      <c r="H1976" s="8"/>
      <c r="I1976" s="8"/>
      <c r="J1976" s="8"/>
      <c r="K1976" s="8"/>
      <c r="L1976" s="8"/>
      <c r="M1976" s="8"/>
      <c r="N1976" s="8"/>
      <c r="O1976" s="8"/>
      <c r="P1976" s="8"/>
      <c r="Q1976" s="8"/>
    </row>
    <row r="1977" ht="13.65" customHeight="1">
      <c r="A1977" s="8"/>
      <c r="B1977" s="8"/>
      <c r="C1977" s="8"/>
      <c r="D1977" s="8"/>
      <c r="E1977" s="8"/>
      <c r="F1977" s="8"/>
      <c r="G1977" s="8"/>
      <c r="H1977" s="8"/>
      <c r="I1977" s="8"/>
      <c r="J1977" s="8"/>
      <c r="K1977" s="8"/>
      <c r="L1977" s="8"/>
      <c r="M1977" s="8"/>
      <c r="N1977" s="8"/>
      <c r="O1977" s="8"/>
      <c r="P1977" s="8"/>
      <c r="Q1977" s="8"/>
    </row>
    <row r="1978" ht="13.65" customHeight="1">
      <c r="A1978" s="8"/>
      <c r="B1978" s="8"/>
      <c r="C1978" s="8"/>
      <c r="D1978" s="8"/>
      <c r="E1978" s="8"/>
      <c r="F1978" s="8"/>
      <c r="G1978" s="8"/>
      <c r="H1978" s="8"/>
      <c r="I1978" s="8"/>
      <c r="J1978" s="8"/>
      <c r="K1978" s="8"/>
      <c r="L1978" s="8"/>
      <c r="M1978" s="8"/>
      <c r="N1978" s="8"/>
      <c r="O1978" s="8"/>
      <c r="P1978" s="8"/>
      <c r="Q1978" s="8"/>
    </row>
    <row r="1979" ht="13.65" customHeight="1">
      <c r="A1979" s="8"/>
      <c r="B1979" s="8"/>
      <c r="C1979" s="8"/>
      <c r="D1979" s="8"/>
      <c r="E1979" s="8"/>
      <c r="F1979" s="8"/>
      <c r="G1979" s="8"/>
      <c r="H1979" s="8"/>
      <c r="I1979" s="8"/>
      <c r="J1979" s="8"/>
      <c r="K1979" s="8"/>
      <c r="L1979" s="8"/>
      <c r="M1979" s="8"/>
      <c r="N1979" s="8"/>
      <c r="O1979" s="8"/>
      <c r="P1979" s="8"/>
      <c r="Q1979" s="8"/>
    </row>
    <row r="1980" ht="13.65" customHeight="1">
      <c r="A1980" s="8"/>
      <c r="B1980" s="8"/>
      <c r="C1980" s="8"/>
      <c r="D1980" s="8"/>
      <c r="E1980" s="8"/>
      <c r="F1980" s="8"/>
      <c r="G1980" s="8"/>
      <c r="H1980" s="8"/>
      <c r="I1980" s="8"/>
      <c r="J1980" s="8"/>
      <c r="K1980" s="8"/>
      <c r="L1980" s="8"/>
      <c r="M1980" s="8"/>
      <c r="N1980" s="8"/>
      <c r="O1980" s="8"/>
      <c r="P1980" s="8"/>
      <c r="Q1980" s="8"/>
    </row>
    <row r="1981" ht="13.65" customHeight="1">
      <c r="A1981" s="8"/>
      <c r="B1981" s="8"/>
      <c r="C1981" s="8"/>
      <c r="D1981" s="8"/>
      <c r="E1981" s="8"/>
      <c r="F1981" s="8"/>
      <c r="G1981" s="8"/>
      <c r="H1981" s="8"/>
      <c r="I1981" s="8"/>
      <c r="J1981" s="8"/>
      <c r="K1981" s="8"/>
      <c r="L1981" s="8"/>
      <c r="M1981" s="8"/>
      <c r="N1981" s="8"/>
      <c r="O1981" s="8"/>
      <c r="P1981" s="8"/>
      <c r="Q1981" s="8"/>
    </row>
    <row r="1982" ht="13.65" customHeight="1">
      <c r="A1982" s="8"/>
      <c r="B1982" s="8"/>
      <c r="C1982" s="8"/>
      <c r="D1982" s="8"/>
      <c r="E1982" s="8"/>
      <c r="F1982" s="8"/>
      <c r="G1982" s="8"/>
      <c r="H1982" s="8"/>
      <c r="I1982" s="8"/>
      <c r="J1982" s="8"/>
      <c r="K1982" s="8"/>
      <c r="L1982" s="8"/>
      <c r="M1982" s="8"/>
      <c r="N1982" s="8"/>
      <c r="O1982" s="8"/>
      <c r="P1982" s="8"/>
      <c r="Q1982" s="8"/>
    </row>
    <row r="1983" ht="13.65" customHeight="1">
      <c r="A1983" s="8"/>
      <c r="B1983" s="8"/>
      <c r="C1983" s="8"/>
      <c r="D1983" s="8"/>
      <c r="E1983" s="8"/>
      <c r="F1983" s="8"/>
      <c r="G1983" s="8"/>
      <c r="H1983" s="8"/>
      <c r="I1983" s="8"/>
      <c r="J1983" s="8"/>
      <c r="K1983" s="8"/>
      <c r="L1983" s="8"/>
      <c r="M1983" s="8"/>
      <c r="N1983" s="8"/>
      <c r="O1983" s="8"/>
      <c r="P1983" s="8"/>
      <c r="Q1983" s="8"/>
    </row>
    <row r="1984" ht="13.65" customHeight="1">
      <c r="A1984" s="8"/>
      <c r="B1984" s="8"/>
      <c r="C1984" s="8"/>
      <c r="D1984" s="8"/>
      <c r="E1984" s="8"/>
      <c r="F1984" s="8"/>
      <c r="G1984" s="8"/>
      <c r="H1984" s="8"/>
      <c r="I1984" s="8"/>
      <c r="J1984" s="8"/>
      <c r="K1984" s="8"/>
      <c r="L1984" s="8"/>
      <c r="M1984" s="8"/>
      <c r="N1984" s="8"/>
      <c r="O1984" s="8"/>
      <c r="P1984" s="8"/>
      <c r="Q1984" s="8"/>
    </row>
    <row r="1985" ht="13.65" customHeight="1">
      <c r="A1985" s="8"/>
      <c r="B1985" s="8"/>
      <c r="C1985" s="8"/>
      <c r="D1985" s="8"/>
      <c r="E1985" s="8"/>
      <c r="F1985" s="8"/>
      <c r="G1985" s="8"/>
      <c r="H1985" s="8"/>
      <c r="I1985" s="8"/>
      <c r="J1985" s="8"/>
      <c r="K1985" s="8"/>
      <c r="L1985" s="8"/>
      <c r="M1985" s="8"/>
      <c r="N1985" s="8"/>
      <c r="O1985" s="8"/>
      <c r="P1985" s="8"/>
      <c r="Q1985" s="8"/>
    </row>
    <row r="1986" ht="13.65" customHeight="1">
      <c r="A1986" s="8"/>
      <c r="B1986" s="8"/>
      <c r="C1986" s="8"/>
      <c r="D1986" s="8"/>
      <c r="E1986" s="8"/>
      <c r="F1986" s="8"/>
      <c r="G1986" s="8"/>
      <c r="H1986" s="8"/>
      <c r="I1986" s="8"/>
      <c r="J1986" s="8"/>
      <c r="K1986" s="8"/>
      <c r="L1986" s="8"/>
      <c r="M1986" s="8"/>
      <c r="N1986" s="8"/>
      <c r="O1986" s="8"/>
      <c r="P1986" s="8"/>
      <c r="Q1986" s="8"/>
    </row>
    <row r="1987" ht="13.65" customHeight="1">
      <c r="A1987" s="8"/>
      <c r="B1987" s="8"/>
      <c r="C1987" s="8"/>
      <c r="D1987" s="8"/>
      <c r="E1987" s="8"/>
      <c r="F1987" s="8"/>
      <c r="G1987" s="8"/>
      <c r="H1987" s="8"/>
      <c r="I1987" s="8"/>
      <c r="J1987" s="8"/>
      <c r="K1987" s="8"/>
      <c r="L1987" s="8"/>
      <c r="M1987" s="8"/>
      <c r="N1987" s="8"/>
      <c r="O1987" s="8"/>
      <c r="P1987" s="8"/>
      <c r="Q1987" s="8"/>
    </row>
    <row r="1988" ht="13.65" customHeight="1">
      <c r="A1988" s="8"/>
      <c r="B1988" s="8"/>
      <c r="C1988" s="8"/>
      <c r="D1988" s="8"/>
      <c r="E1988" s="8"/>
      <c r="F1988" s="8"/>
      <c r="G1988" s="8"/>
      <c r="H1988" s="8"/>
      <c r="I1988" s="8"/>
      <c r="J1988" s="8"/>
      <c r="K1988" s="8"/>
      <c r="L1988" s="8"/>
      <c r="M1988" s="8"/>
      <c r="N1988" s="8"/>
      <c r="O1988" s="8"/>
      <c r="P1988" s="8"/>
      <c r="Q1988" s="8"/>
    </row>
    <row r="1989" ht="13.65" customHeight="1">
      <c r="A1989" s="8"/>
      <c r="B1989" s="8"/>
      <c r="C1989" s="8"/>
      <c r="D1989" s="8"/>
      <c r="E1989" s="8"/>
      <c r="F1989" s="8"/>
      <c r="G1989" s="8"/>
      <c r="H1989" s="8"/>
      <c r="I1989" s="8"/>
      <c r="J1989" s="8"/>
      <c r="K1989" s="8"/>
      <c r="L1989" s="8"/>
      <c r="M1989" s="8"/>
      <c r="N1989" s="8"/>
      <c r="O1989" s="8"/>
      <c r="P1989" s="8"/>
      <c r="Q1989" s="8"/>
    </row>
    <row r="1990" ht="13.65" customHeight="1">
      <c r="A1990" s="8"/>
      <c r="B1990" s="8"/>
      <c r="C1990" s="8"/>
      <c r="D1990" s="8"/>
      <c r="E1990" s="8"/>
      <c r="F1990" s="8"/>
      <c r="G1990" s="8"/>
      <c r="H1990" s="8"/>
      <c r="I1990" s="8"/>
      <c r="J1990" s="8"/>
      <c r="K1990" s="8"/>
      <c r="L1990" s="8"/>
      <c r="M1990" s="8"/>
      <c r="N1990" s="8"/>
      <c r="O1990" s="8"/>
      <c r="P1990" s="8"/>
      <c r="Q1990" s="8"/>
    </row>
    <row r="1991" ht="13.65" customHeight="1">
      <c r="A1991" s="8"/>
      <c r="B1991" s="8"/>
      <c r="C1991" s="8"/>
      <c r="D1991" s="8"/>
      <c r="E1991" s="8"/>
      <c r="F1991" s="8"/>
      <c r="G1991" s="8"/>
      <c r="H1991" s="8"/>
      <c r="I1991" s="8"/>
      <c r="J1991" s="8"/>
      <c r="K1991" s="8"/>
      <c r="L1991" s="8"/>
      <c r="M1991" s="8"/>
      <c r="N1991" s="8"/>
      <c r="O1991" s="8"/>
      <c r="P1991" s="8"/>
      <c r="Q1991" s="8"/>
    </row>
    <row r="1992" ht="13.65" customHeight="1">
      <c r="A1992" s="8"/>
      <c r="B1992" s="8"/>
      <c r="C1992" s="8"/>
      <c r="D1992" s="8"/>
      <c r="E1992" s="8"/>
      <c r="F1992" s="8"/>
      <c r="G1992" s="8"/>
      <c r="H1992" s="8"/>
      <c r="I1992" s="8"/>
      <c r="J1992" s="8"/>
      <c r="K1992" s="8"/>
      <c r="L1992" s="8"/>
      <c r="M1992" s="8"/>
      <c r="N1992" s="8"/>
      <c r="O1992" s="8"/>
      <c r="P1992" s="8"/>
      <c r="Q1992" s="8"/>
    </row>
    <row r="1993" ht="13.65" customHeight="1">
      <c r="A1993" s="8"/>
      <c r="B1993" s="8"/>
      <c r="C1993" s="8"/>
      <c r="D1993" s="8"/>
      <c r="E1993" s="8"/>
      <c r="F1993" s="8"/>
      <c r="G1993" s="8"/>
      <c r="H1993" s="8"/>
      <c r="I1993" s="8"/>
      <c r="J1993" s="8"/>
      <c r="K1993" s="8"/>
      <c r="L1993" s="8"/>
      <c r="M1993" s="8"/>
      <c r="N1993" s="8"/>
      <c r="O1993" s="8"/>
      <c r="P1993" s="8"/>
      <c r="Q1993" s="8"/>
    </row>
    <row r="1994" ht="13.65" customHeight="1">
      <c r="A1994" s="8"/>
      <c r="B1994" s="8"/>
      <c r="C1994" s="8"/>
      <c r="D1994" s="8"/>
      <c r="E1994" s="8"/>
      <c r="F1994" s="8"/>
      <c r="G1994" s="8"/>
      <c r="H1994" s="8"/>
      <c r="I1994" s="8"/>
      <c r="J1994" s="8"/>
      <c r="K1994" s="8"/>
      <c r="L1994" s="8"/>
      <c r="M1994" s="8"/>
      <c r="N1994" s="8"/>
      <c r="O1994" s="8"/>
      <c r="P1994" s="8"/>
      <c r="Q1994" s="8"/>
    </row>
    <row r="1995" ht="13.65" customHeight="1">
      <c r="A1995" s="8"/>
      <c r="B1995" s="8"/>
      <c r="C1995" s="8"/>
      <c r="D1995" s="8"/>
      <c r="E1995" s="8"/>
      <c r="F1995" s="8"/>
      <c r="G1995" s="8"/>
      <c r="H1995" s="8"/>
      <c r="I1995" s="8"/>
      <c r="J1995" s="8"/>
      <c r="K1995" s="8"/>
      <c r="L1995" s="8"/>
      <c r="M1995" s="8"/>
      <c r="N1995" s="8"/>
      <c r="O1995" s="8"/>
      <c r="P1995" s="8"/>
      <c r="Q1995" s="8"/>
    </row>
    <row r="1996" ht="13.65" customHeight="1">
      <c r="A1996" s="8"/>
      <c r="B1996" s="8"/>
      <c r="C1996" s="8"/>
      <c r="D1996" s="8"/>
      <c r="E1996" s="8"/>
      <c r="F1996" s="8"/>
      <c r="G1996" s="8"/>
      <c r="H1996" s="8"/>
      <c r="I1996" s="8"/>
      <c r="J1996" s="8"/>
      <c r="K1996" s="8"/>
      <c r="L1996" s="8"/>
      <c r="M1996" s="8"/>
      <c r="N1996" s="8"/>
      <c r="O1996" s="8"/>
      <c r="P1996" s="8"/>
      <c r="Q1996" s="8"/>
    </row>
    <row r="1997" ht="13.65" customHeight="1">
      <c r="A1997" s="8"/>
      <c r="B1997" s="8"/>
      <c r="C1997" s="8"/>
      <c r="D1997" s="8"/>
      <c r="E1997" s="8"/>
      <c r="F1997" s="8"/>
      <c r="G1997" s="8"/>
      <c r="H1997" s="8"/>
      <c r="I1997" s="8"/>
      <c r="J1997" s="8"/>
      <c r="K1997" s="8"/>
      <c r="L1997" s="8"/>
      <c r="M1997" s="8"/>
      <c r="N1997" s="8"/>
      <c r="O1997" s="8"/>
      <c r="P1997" s="8"/>
      <c r="Q1997" s="8"/>
    </row>
    <row r="1998" ht="13.65" customHeight="1">
      <c r="A1998" s="8"/>
      <c r="B1998" s="8"/>
      <c r="C1998" s="8"/>
      <c r="D1998" s="8"/>
      <c r="E1998" s="8"/>
      <c r="F1998" s="8"/>
      <c r="G1998" s="8"/>
      <c r="H1998" s="8"/>
      <c r="I1998" s="8"/>
      <c r="J1998" s="8"/>
      <c r="K1998" s="8"/>
      <c r="L1998" s="8"/>
      <c r="M1998" s="8"/>
      <c r="N1998" s="8"/>
      <c r="O1998" s="8"/>
      <c r="P1998" s="8"/>
      <c r="Q1998" s="8"/>
    </row>
    <row r="1999" ht="13.65" customHeight="1">
      <c r="A1999" s="8"/>
      <c r="B1999" s="8"/>
      <c r="C1999" s="8"/>
      <c r="D1999" s="8"/>
      <c r="E1999" s="8"/>
      <c r="F1999" s="8"/>
      <c r="G1999" s="8"/>
      <c r="H1999" s="8"/>
      <c r="I1999" s="8"/>
      <c r="J1999" s="8"/>
      <c r="K1999" s="8"/>
      <c r="L1999" s="8"/>
      <c r="M1999" s="8"/>
      <c r="N1999" s="8"/>
      <c r="O1999" s="8"/>
      <c r="P1999" s="8"/>
      <c r="Q1999" s="8"/>
    </row>
    <row r="2000" ht="13.65" customHeight="1">
      <c r="A2000" s="8"/>
      <c r="B2000" s="8"/>
      <c r="C2000" s="8"/>
      <c r="D2000" s="8"/>
      <c r="E2000" s="8"/>
      <c r="F2000" s="8"/>
      <c r="G2000" s="8"/>
      <c r="H2000" s="8"/>
      <c r="I2000" s="8"/>
      <c r="J2000" s="8"/>
      <c r="K2000" s="8"/>
      <c r="L2000" s="8"/>
      <c r="M2000" s="8"/>
      <c r="N2000" s="8"/>
      <c r="O2000" s="8"/>
      <c r="P2000" s="8"/>
      <c r="Q2000" s="8"/>
    </row>
    <row r="2001" ht="13.65" customHeight="1">
      <c r="A2001" s="8"/>
      <c r="B2001" s="8"/>
      <c r="C2001" s="8"/>
      <c r="D2001" s="8"/>
      <c r="E2001" s="8"/>
      <c r="F2001" s="8"/>
      <c r="G2001" s="8"/>
      <c r="H2001" s="8"/>
      <c r="I2001" s="8"/>
      <c r="J2001" s="8"/>
      <c r="K2001" s="8"/>
      <c r="L2001" s="8"/>
      <c r="M2001" s="8"/>
      <c r="N2001" s="8"/>
      <c r="O2001" s="8"/>
      <c r="P2001" s="8"/>
      <c r="Q2001" s="8"/>
    </row>
    <row r="2002" ht="13.65" customHeight="1">
      <c r="A2002" s="8"/>
      <c r="B2002" s="8"/>
      <c r="C2002" s="8"/>
      <c r="D2002" s="8"/>
      <c r="E2002" s="8"/>
      <c r="F2002" s="8"/>
      <c r="G2002" s="8"/>
      <c r="H2002" s="8"/>
      <c r="I2002" s="8"/>
      <c r="J2002" s="8"/>
      <c r="K2002" s="8"/>
      <c r="L2002" s="8"/>
      <c r="M2002" s="8"/>
      <c r="N2002" s="8"/>
      <c r="O2002" s="8"/>
      <c r="P2002" s="8"/>
      <c r="Q2002" s="8"/>
    </row>
    <row r="2003" ht="13.65" customHeight="1">
      <c r="A2003" s="8"/>
      <c r="B2003" s="8"/>
      <c r="C2003" s="8"/>
      <c r="D2003" s="8"/>
      <c r="E2003" s="8"/>
      <c r="F2003" s="8"/>
      <c r="G2003" s="8"/>
      <c r="H2003" s="8"/>
      <c r="I2003" s="8"/>
      <c r="J2003" s="8"/>
      <c r="K2003" s="8"/>
      <c r="L2003" s="8"/>
      <c r="M2003" s="8"/>
      <c r="N2003" s="8"/>
      <c r="O2003" s="8"/>
      <c r="P2003" s="8"/>
      <c r="Q2003" s="8"/>
    </row>
    <row r="2004" ht="13.65" customHeight="1">
      <c r="A2004" s="8"/>
      <c r="B2004" s="8"/>
      <c r="C2004" s="8"/>
      <c r="D2004" s="8"/>
      <c r="E2004" s="8"/>
      <c r="F2004" s="8"/>
      <c r="G2004" s="8"/>
      <c r="H2004" s="8"/>
      <c r="I2004" s="8"/>
      <c r="J2004" s="8"/>
      <c r="K2004" s="8"/>
      <c r="L2004" s="8"/>
      <c r="M2004" s="8"/>
      <c r="N2004" s="8"/>
      <c r="O2004" s="8"/>
      <c r="P2004" s="8"/>
      <c r="Q2004" s="8"/>
    </row>
    <row r="2005" ht="13.65" customHeight="1">
      <c r="A2005" s="8"/>
      <c r="B2005" s="8"/>
      <c r="C2005" s="8"/>
      <c r="D2005" s="8"/>
      <c r="E2005" s="8"/>
      <c r="F2005" s="8"/>
      <c r="G2005" s="8"/>
      <c r="H2005" s="8"/>
      <c r="I2005" s="8"/>
      <c r="J2005" s="8"/>
      <c r="K2005" s="8"/>
      <c r="L2005" s="8"/>
      <c r="M2005" s="8"/>
      <c r="N2005" s="8"/>
      <c r="O2005" s="8"/>
      <c r="P2005" s="8"/>
      <c r="Q2005" s="8"/>
    </row>
    <row r="2006" ht="13.65" customHeight="1">
      <c r="A2006" s="8"/>
      <c r="B2006" s="8"/>
      <c r="C2006" s="8"/>
      <c r="D2006" s="8"/>
      <c r="E2006" s="8"/>
      <c r="F2006" s="8"/>
      <c r="G2006" s="8"/>
      <c r="H2006" s="8"/>
      <c r="I2006" s="8"/>
      <c r="J2006" s="8"/>
      <c r="K2006" s="8"/>
      <c r="L2006" s="8"/>
      <c r="M2006" s="8"/>
      <c r="N2006" s="8"/>
      <c r="O2006" s="8"/>
      <c r="P2006" s="8"/>
      <c r="Q2006" s="8"/>
    </row>
    <row r="2007" ht="13.65" customHeight="1">
      <c r="A2007" s="8"/>
      <c r="B2007" s="8"/>
      <c r="C2007" s="8"/>
      <c r="D2007" s="8"/>
      <c r="E2007" s="8"/>
      <c r="F2007" s="8"/>
      <c r="G2007" s="8"/>
      <c r="H2007" s="8"/>
      <c r="I2007" s="8"/>
      <c r="J2007" s="8"/>
      <c r="K2007" s="8"/>
      <c r="L2007" s="8"/>
      <c r="M2007" s="8"/>
      <c r="N2007" s="8"/>
      <c r="O2007" s="8"/>
      <c r="P2007" s="8"/>
      <c r="Q2007" s="8"/>
    </row>
    <row r="2008" ht="13.65" customHeight="1">
      <c r="A2008" s="8"/>
      <c r="B2008" s="8"/>
      <c r="C2008" s="8"/>
      <c r="D2008" s="8"/>
      <c r="E2008" s="8"/>
      <c r="F2008" s="8"/>
      <c r="G2008" s="8"/>
      <c r="H2008" s="8"/>
      <c r="I2008" s="8"/>
      <c r="J2008" s="8"/>
      <c r="K2008" s="8"/>
      <c r="L2008" s="8"/>
      <c r="M2008" s="8"/>
      <c r="N2008" s="8"/>
      <c r="O2008" s="8"/>
      <c r="P2008" s="8"/>
      <c r="Q2008" s="8"/>
    </row>
    <row r="2009" ht="13.65" customHeight="1">
      <c r="A2009" s="8"/>
      <c r="B2009" s="8"/>
      <c r="C2009" s="8"/>
      <c r="D2009" s="8"/>
      <c r="E2009" s="8"/>
      <c r="F2009" s="8"/>
      <c r="G2009" s="8"/>
      <c r="H2009" s="8"/>
      <c r="I2009" s="8"/>
      <c r="J2009" s="8"/>
      <c r="K2009" s="8"/>
      <c r="L2009" s="8"/>
      <c r="M2009" s="8"/>
      <c r="N2009" s="8"/>
      <c r="O2009" s="8"/>
      <c r="P2009" s="8"/>
      <c r="Q2009" s="8"/>
    </row>
    <row r="2010" ht="13.65" customHeight="1">
      <c r="A2010" s="8"/>
      <c r="B2010" s="8"/>
      <c r="C2010" s="8"/>
      <c r="D2010" s="8"/>
      <c r="E2010" s="8"/>
      <c r="F2010" s="8"/>
      <c r="G2010" s="8"/>
      <c r="H2010" s="8"/>
      <c r="I2010" s="8"/>
      <c r="J2010" s="8"/>
      <c r="K2010" s="8"/>
      <c r="L2010" s="8"/>
      <c r="M2010" s="8"/>
      <c r="N2010" s="8"/>
      <c r="O2010" s="8"/>
      <c r="P2010" s="8"/>
      <c r="Q2010" s="8"/>
    </row>
    <row r="2011" ht="13.65" customHeight="1">
      <c r="A2011" s="8"/>
      <c r="B2011" s="8"/>
      <c r="C2011" s="8"/>
      <c r="D2011" s="8"/>
      <c r="E2011" s="8"/>
      <c r="F2011" s="8"/>
      <c r="G2011" s="8"/>
      <c r="H2011" s="8"/>
      <c r="I2011" s="8"/>
      <c r="J2011" s="8"/>
      <c r="K2011" s="8"/>
      <c r="L2011" s="8"/>
      <c r="M2011" s="8"/>
      <c r="N2011" s="8"/>
      <c r="O2011" s="8"/>
      <c r="P2011" s="8"/>
      <c r="Q2011" s="8"/>
    </row>
    <row r="2012" ht="13.65" customHeight="1">
      <c r="A2012" s="8"/>
      <c r="B2012" s="8"/>
      <c r="C2012" s="8"/>
      <c r="D2012" s="8"/>
      <c r="E2012" s="8"/>
      <c r="F2012" s="8"/>
      <c r="G2012" s="8"/>
      <c r="H2012" s="8"/>
      <c r="I2012" s="8"/>
      <c r="J2012" s="8"/>
      <c r="K2012" s="8"/>
      <c r="L2012" s="8"/>
      <c r="M2012" s="8"/>
      <c r="N2012" s="8"/>
      <c r="O2012" s="8"/>
      <c r="P2012" s="8"/>
      <c r="Q2012" s="8"/>
    </row>
    <row r="2013" ht="13.65" customHeight="1">
      <c r="A2013" s="8"/>
      <c r="B2013" s="8"/>
      <c r="C2013" s="8"/>
      <c r="D2013" s="8"/>
      <c r="E2013" s="8"/>
      <c r="F2013" s="8"/>
      <c r="G2013" s="8"/>
      <c r="H2013" s="8"/>
      <c r="I2013" s="8"/>
      <c r="J2013" s="8"/>
      <c r="K2013" s="8"/>
      <c r="L2013" s="8"/>
      <c r="M2013" s="8"/>
      <c r="N2013" s="8"/>
      <c r="O2013" s="8"/>
      <c r="P2013" s="8"/>
      <c r="Q2013" s="8"/>
    </row>
    <row r="2014" ht="13.65" customHeight="1">
      <c r="A2014" s="8"/>
      <c r="B2014" s="8"/>
      <c r="C2014" s="8"/>
      <c r="D2014" s="8"/>
      <c r="E2014" s="8"/>
      <c r="F2014" s="8"/>
      <c r="G2014" s="8"/>
      <c r="H2014" s="8"/>
      <c r="I2014" s="8"/>
      <c r="J2014" s="8"/>
      <c r="K2014" s="8"/>
      <c r="L2014" s="8"/>
      <c r="M2014" s="8"/>
      <c r="N2014" s="8"/>
      <c r="O2014" s="8"/>
      <c r="P2014" s="8"/>
      <c r="Q2014" s="8"/>
    </row>
    <row r="2015" ht="13.65" customHeight="1">
      <c r="A2015" s="8"/>
      <c r="B2015" s="8"/>
      <c r="C2015" s="8"/>
      <c r="D2015" s="8"/>
      <c r="E2015" s="8"/>
      <c r="F2015" s="8"/>
      <c r="G2015" s="8"/>
      <c r="H2015" s="8"/>
      <c r="I2015" s="8"/>
      <c r="J2015" s="8"/>
      <c r="K2015" s="8"/>
      <c r="L2015" s="8"/>
      <c r="M2015" s="8"/>
      <c r="N2015" s="8"/>
      <c r="O2015" s="8"/>
      <c r="P2015" s="8"/>
      <c r="Q2015" s="8"/>
    </row>
    <row r="2016" ht="13.65" customHeight="1">
      <c r="A2016" s="8"/>
      <c r="B2016" s="8"/>
      <c r="C2016" s="8"/>
      <c r="D2016" s="8"/>
      <c r="E2016" s="8"/>
      <c r="F2016" s="8"/>
      <c r="G2016" s="8"/>
      <c r="H2016" s="8"/>
      <c r="I2016" s="8"/>
      <c r="J2016" s="8"/>
      <c r="K2016" s="8"/>
      <c r="L2016" s="8"/>
      <c r="M2016" s="8"/>
      <c r="N2016" s="8"/>
      <c r="O2016" s="8"/>
      <c r="P2016" s="8"/>
      <c r="Q2016" s="8"/>
    </row>
    <row r="2017" ht="13.65" customHeight="1">
      <c r="A2017" s="8"/>
      <c r="B2017" s="8"/>
      <c r="C2017" s="8"/>
      <c r="D2017" s="8"/>
      <c r="E2017" s="8"/>
      <c r="F2017" s="8"/>
      <c r="G2017" s="8"/>
      <c r="H2017" s="8"/>
      <c r="I2017" s="8"/>
      <c r="J2017" s="8"/>
      <c r="K2017" s="8"/>
      <c r="L2017" s="8"/>
      <c r="M2017" s="8"/>
      <c r="N2017" s="8"/>
      <c r="O2017" s="8"/>
      <c r="P2017" s="8"/>
      <c r="Q2017" s="8"/>
    </row>
    <row r="2018" ht="13.65" customHeight="1">
      <c r="A2018" s="8"/>
      <c r="B2018" s="8"/>
      <c r="C2018" s="8"/>
      <c r="D2018" s="8"/>
      <c r="E2018" s="8"/>
      <c r="F2018" s="8"/>
      <c r="G2018" s="8"/>
      <c r="H2018" s="8"/>
      <c r="I2018" s="8"/>
      <c r="J2018" s="8"/>
      <c r="K2018" s="8"/>
      <c r="L2018" s="8"/>
      <c r="M2018" s="8"/>
      <c r="N2018" s="8"/>
      <c r="O2018" s="8"/>
      <c r="P2018" s="8"/>
      <c r="Q2018" s="8"/>
    </row>
    <row r="2019" ht="13.65" customHeight="1">
      <c r="A2019" s="8"/>
      <c r="B2019" s="8"/>
      <c r="C2019" s="8"/>
      <c r="D2019" s="8"/>
      <c r="E2019" s="8"/>
      <c r="F2019" s="8"/>
      <c r="G2019" s="8"/>
      <c r="H2019" s="8"/>
      <c r="I2019" s="8"/>
      <c r="J2019" s="8"/>
      <c r="K2019" s="8"/>
      <c r="L2019" s="8"/>
      <c r="M2019" s="8"/>
      <c r="N2019" s="8"/>
      <c r="O2019" s="8"/>
      <c r="P2019" s="8"/>
      <c r="Q2019" s="8"/>
    </row>
    <row r="2020" ht="13.65" customHeight="1">
      <c r="A2020" s="8"/>
      <c r="B2020" s="8"/>
      <c r="C2020" s="8"/>
      <c r="D2020" s="8"/>
      <c r="E2020" s="8"/>
      <c r="F2020" s="8"/>
      <c r="G2020" s="8"/>
      <c r="H2020" s="8"/>
      <c r="I2020" s="8"/>
      <c r="J2020" s="8"/>
      <c r="K2020" s="8"/>
      <c r="L2020" s="8"/>
      <c r="M2020" s="8"/>
      <c r="N2020" s="8"/>
      <c r="O2020" s="8"/>
      <c r="P2020" s="8"/>
      <c r="Q2020" s="8"/>
    </row>
    <row r="2021" ht="13.65" customHeight="1">
      <c r="A2021" s="8"/>
      <c r="B2021" s="8"/>
      <c r="C2021" s="8"/>
      <c r="D2021" s="8"/>
      <c r="E2021" s="8"/>
      <c r="F2021" s="8"/>
      <c r="G2021" s="8"/>
      <c r="H2021" s="8"/>
      <c r="I2021" s="8"/>
      <c r="J2021" s="8"/>
      <c r="K2021" s="8"/>
      <c r="L2021" s="8"/>
      <c r="M2021" s="8"/>
      <c r="N2021" s="8"/>
      <c r="O2021" s="8"/>
      <c r="P2021" s="8"/>
      <c r="Q2021" s="8"/>
    </row>
    <row r="2022" ht="13.65" customHeight="1">
      <c r="A2022" s="8"/>
      <c r="B2022" s="8"/>
      <c r="C2022" s="8"/>
      <c r="D2022" s="8"/>
      <c r="E2022" s="8"/>
      <c r="F2022" s="8"/>
      <c r="G2022" s="8"/>
      <c r="H2022" s="8"/>
      <c r="I2022" s="8"/>
      <c r="J2022" s="8"/>
      <c r="K2022" s="8"/>
      <c r="L2022" s="8"/>
      <c r="M2022" s="8"/>
      <c r="N2022" s="8"/>
      <c r="O2022" s="8"/>
      <c r="P2022" s="8"/>
      <c r="Q2022" s="8"/>
    </row>
    <row r="2023" ht="13.65" customHeight="1">
      <c r="A2023" s="8"/>
      <c r="B2023" s="8"/>
      <c r="C2023" s="8"/>
      <c r="D2023" s="8"/>
      <c r="E2023" s="8"/>
      <c r="F2023" s="8"/>
      <c r="G2023" s="8"/>
      <c r="H2023" s="8"/>
      <c r="I2023" s="8"/>
      <c r="J2023" s="8"/>
      <c r="K2023" s="8"/>
      <c r="L2023" s="8"/>
      <c r="M2023" s="8"/>
      <c r="N2023" s="8"/>
      <c r="O2023" s="8"/>
      <c r="P2023" s="8"/>
      <c r="Q2023" s="8"/>
    </row>
    <row r="2024" ht="13.65" customHeight="1">
      <c r="A2024" s="8"/>
      <c r="B2024" s="8"/>
      <c r="C2024" s="8"/>
      <c r="D2024" s="8"/>
      <c r="E2024" s="8"/>
      <c r="F2024" s="8"/>
      <c r="G2024" s="8"/>
      <c r="H2024" s="8"/>
      <c r="I2024" s="8"/>
      <c r="J2024" s="8"/>
      <c r="K2024" s="8"/>
      <c r="L2024" s="8"/>
      <c r="M2024" s="8"/>
      <c r="N2024" s="8"/>
      <c r="O2024" s="8"/>
      <c r="P2024" s="8"/>
      <c r="Q2024" s="8"/>
    </row>
    <row r="2025" ht="13.65" customHeight="1">
      <c r="A2025" s="8"/>
      <c r="B2025" s="8"/>
      <c r="C2025" s="8"/>
      <c r="D2025" s="8"/>
      <c r="E2025" s="8"/>
      <c r="F2025" s="8"/>
      <c r="G2025" s="8"/>
      <c r="H2025" s="8"/>
      <c r="I2025" s="8"/>
      <c r="J2025" s="8"/>
      <c r="K2025" s="8"/>
      <c r="L2025" s="8"/>
      <c r="M2025" s="8"/>
      <c r="N2025" s="8"/>
      <c r="O2025" s="8"/>
      <c r="P2025" s="8"/>
      <c r="Q2025" s="8"/>
    </row>
    <row r="2026" ht="13.65" customHeight="1">
      <c r="A2026" s="8"/>
      <c r="B2026" s="8"/>
      <c r="C2026" s="8"/>
      <c r="D2026" s="8"/>
      <c r="E2026" s="8"/>
      <c r="F2026" s="8"/>
      <c r="G2026" s="8"/>
      <c r="H2026" s="8"/>
      <c r="I2026" s="8"/>
      <c r="J2026" s="8"/>
      <c r="K2026" s="8"/>
      <c r="L2026" s="8"/>
      <c r="M2026" s="8"/>
      <c r="N2026" s="8"/>
      <c r="O2026" s="8"/>
      <c r="P2026" s="8"/>
      <c r="Q2026" s="8"/>
    </row>
    <row r="2027" ht="13.65" customHeight="1">
      <c r="A2027" s="8"/>
      <c r="B2027" s="8"/>
      <c r="C2027" s="8"/>
      <c r="D2027" s="8"/>
      <c r="E2027" s="8"/>
      <c r="F2027" s="8"/>
      <c r="G2027" s="8"/>
      <c r="H2027" s="8"/>
      <c r="I2027" s="8"/>
      <c r="J2027" s="8"/>
      <c r="K2027" s="8"/>
      <c r="L2027" s="8"/>
      <c r="M2027" s="8"/>
      <c r="N2027" s="8"/>
      <c r="O2027" s="8"/>
      <c r="P2027" s="8"/>
      <c r="Q2027" s="8"/>
    </row>
    <row r="2028" ht="13.65" customHeight="1">
      <c r="A2028" s="8"/>
      <c r="B2028" s="8"/>
      <c r="C2028" s="8"/>
      <c r="D2028" s="8"/>
      <c r="E2028" s="8"/>
      <c r="F2028" s="8"/>
      <c r="G2028" s="8"/>
      <c r="H2028" s="8"/>
      <c r="I2028" s="8"/>
      <c r="J2028" s="8"/>
      <c r="K2028" s="8"/>
      <c r="L2028" s="8"/>
      <c r="M2028" s="8"/>
      <c r="N2028" s="8"/>
      <c r="O2028" s="8"/>
      <c r="P2028" s="8"/>
      <c r="Q2028" s="8"/>
    </row>
    <row r="2029" ht="13.65" customHeight="1">
      <c r="A2029" s="8"/>
      <c r="B2029" s="8"/>
      <c r="C2029" s="8"/>
      <c r="D2029" s="8"/>
      <c r="E2029" s="8"/>
      <c r="F2029" s="8"/>
      <c r="G2029" s="8"/>
      <c r="H2029" s="8"/>
      <c r="I2029" s="8"/>
      <c r="J2029" s="8"/>
      <c r="K2029" s="8"/>
      <c r="L2029" s="8"/>
      <c r="M2029" s="8"/>
      <c r="N2029" s="8"/>
      <c r="O2029" s="8"/>
      <c r="P2029" s="8"/>
      <c r="Q2029" s="8"/>
    </row>
    <row r="2030" ht="13.65" customHeight="1">
      <c r="A2030" s="8"/>
      <c r="B2030" s="8"/>
      <c r="C2030" s="8"/>
      <c r="D2030" s="8"/>
      <c r="E2030" s="8"/>
      <c r="F2030" s="8"/>
      <c r="G2030" s="8"/>
      <c r="H2030" s="8"/>
      <c r="I2030" s="8"/>
      <c r="J2030" s="8"/>
      <c r="K2030" s="8"/>
      <c r="L2030" s="8"/>
      <c r="M2030" s="8"/>
      <c r="N2030" s="8"/>
      <c r="O2030" s="8"/>
      <c r="P2030" s="8"/>
      <c r="Q2030" s="8"/>
    </row>
    <row r="2031" ht="13.65" customHeight="1">
      <c r="A2031" s="8"/>
      <c r="B2031" s="8"/>
      <c r="C2031" s="8"/>
      <c r="D2031" s="8"/>
      <c r="E2031" s="8"/>
      <c r="F2031" s="8"/>
      <c r="G2031" s="8"/>
      <c r="H2031" s="8"/>
      <c r="I2031" s="8"/>
      <c r="J2031" s="8"/>
      <c r="K2031" s="8"/>
      <c r="L2031" s="8"/>
      <c r="M2031" s="8"/>
      <c r="N2031" s="8"/>
      <c r="O2031" s="8"/>
      <c r="P2031" s="8"/>
      <c r="Q2031" s="8"/>
    </row>
    <row r="2032" ht="13.65" customHeight="1">
      <c r="A2032" s="8"/>
      <c r="B2032" s="8"/>
      <c r="C2032" s="8"/>
      <c r="D2032" s="8"/>
      <c r="E2032" s="8"/>
      <c r="F2032" s="8"/>
      <c r="G2032" s="8"/>
      <c r="H2032" s="8"/>
      <c r="I2032" s="8"/>
      <c r="J2032" s="8"/>
      <c r="K2032" s="8"/>
      <c r="L2032" s="8"/>
      <c r="M2032" s="8"/>
      <c r="N2032" s="8"/>
      <c r="O2032" s="8"/>
      <c r="P2032" s="8"/>
      <c r="Q2032" s="8"/>
    </row>
    <row r="2033" ht="13.65" customHeight="1">
      <c r="A2033" s="8"/>
      <c r="B2033" s="8"/>
      <c r="C2033" s="8"/>
      <c r="D2033" s="8"/>
      <c r="E2033" s="8"/>
      <c r="F2033" s="8"/>
      <c r="G2033" s="8"/>
      <c r="H2033" s="8"/>
      <c r="I2033" s="8"/>
      <c r="J2033" s="8"/>
      <c r="K2033" s="8"/>
      <c r="L2033" s="8"/>
      <c r="M2033" s="8"/>
      <c r="N2033" s="8"/>
      <c r="O2033" s="8"/>
      <c r="P2033" s="8"/>
      <c r="Q2033" s="8"/>
    </row>
    <row r="2034" ht="13.65" customHeight="1">
      <c r="A2034" s="8"/>
      <c r="B2034" s="8"/>
      <c r="C2034" s="8"/>
      <c r="D2034" s="8"/>
      <c r="E2034" s="8"/>
      <c r="F2034" s="8"/>
      <c r="G2034" s="8"/>
      <c r="H2034" s="8"/>
      <c r="I2034" s="8"/>
      <c r="J2034" s="8"/>
      <c r="K2034" s="8"/>
      <c r="L2034" s="8"/>
      <c r="M2034" s="8"/>
      <c r="N2034" s="8"/>
      <c r="O2034" s="8"/>
      <c r="P2034" s="8"/>
      <c r="Q2034" s="8"/>
    </row>
    <row r="2035" ht="13.65" customHeight="1">
      <c r="A2035" s="8"/>
      <c r="B2035" s="8"/>
      <c r="C2035" s="8"/>
      <c r="D2035" s="8"/>
      <c r="E2035" s="8"/>
      <c r="F2035" s="8"/>
      <c r="G2035" s="8"/>
      <c r="H2035" s="8"/>
      <c r="I2035" s="8"/>
      <c r="J2035" s="8"/>
      <c r="K2035" s="8"/>
      <c r="L2035" s="8"/>
      <c r="M2035" s="8"/>
      <c r="N2035" s="8"/>
      <c r="O2035" s="8"/>
      <c r="P2035" s="8"/>
      <c r="Q2035" s="8"/>
    </row>
    <row r="2036" ht="13.65" customHeight="1">
      <c r="A2036" s="8"/>
      <c r="B2036" s="8"/>
      <c r="C2036" s="8"/>
      <c r="D2036" s="8"/>
      <c r="E2036" s="8"/>
      <c r="F2036" s="8"/>
      <c r="G2036" s="8"/>
      <c r="H2036" s="8"/>
      <c r="I2036" s="8"/>
      <c r="J2036" s="8"/>
      <c r="K2036" s="8"/>
      <c r="L2036" s="8"/>
      <c r="M2036" s="8"/>
      <c r="N2036" s="8"/>
      <c r="O2036" s="8"/>
      <c r="P2036" s="8"/>
      <c r="Q2036" s="8"/>
    </row>
    <row r="2037" ht="13.65" customHeight="1">
      <c r="A2037" s="8"/>
      <c r="B2037" s="8"/>
      <c r="C2037" s="8"/>
      <c r="D2037" s="8"/>
      <c r="E2037" s="8"/>
      <c r="F2037" s="8"/>
      <c r="G2037" s="8"/>
      <c r="H2037" s="8"/>
      <c r="I2037" s="8"/>
      <c r="J2037" s="8"/>
      <c r="K2037" s="8"/>
      <c r="L2037" s="8"/>
      <c r="M2037" s="8"/>
      <c r="N2037" s="8"/>
      <c r="O2037" s="8"/>
      <c r="P2037" s="8"/>
      <c r="Q2037" s="8"/>
    </row>
    <row r="2038" ht="13.65" customHeight="1">
      <c r="A2038" s="8"/>
      <c r="B2038" s="8"/>
      <c r="C2038" s="8"/>
      <c r="D2038" s="8"/>
      <c r="E2038" s="8"/>
      <c r="F2038" s="8"/>
      <c r="G2038" s="8"/>
      <c r="H2038" s="8"/>
      <c r="I2038" s="8"/>
      <c r="J2038" s="8"/>
      <c r="K2038" s="8"/>
      <c r="L2038" s="8"/>
      <c r="M2038" s="8"/>
      <c r="N2038" s="8"/>
      <c r="O2038" s="8"/>
      <c r="P2038" s="8"/>
      <c r="Q2038" s="8"/>
    </row>
    <row r="2039" ht="13.65" customHeight="1">
      <c r="A2039" s="8"/>
      <c r="B2039" s="8"/>
      <c r="C2039" s="8"/>
      <c r="D2039" s="8"/>
      <c r="E2039" s="8"/>
      <c r="F2039" s="8"/>
      <c r="G2039" s="8"/>
      <c r="H2039" s="8"/>
      <c r="I2039" s="8"/>
      <c r="J2039" s="8"/>
      <c r="K2039" s="8"/>
      <c r="L2039" s="8"/>
      <c r="M2039" s="8"/>
      <c r="N2039" s="8"/>
      <c r="O2039" s="8"/>
      <c r="P2039" s="8"/>
      <c r="Q2039" s="8"/>
    </row>
    <row r="2040" ht="13.65" customHeight="1">
      <c r="A2040" s="8"/>
      <c r="B2040" s="8"/>
      <c r="C2040" s="8"/>
      <c r="D2040" s="8"/>
      <c r="E2040" s="8"/>
      <c r="F2040" s="8"/>
      <c r="G2040" s="8"/>
      <c r="H2040" s="8"/>
      <c r="I2040" s="8"/>
      <c r="J2040" s="8"/>
      <c r="K2040" s="8"/>
      <c r="L2040" s="8"/>
      <c r="M2040" s="8"/>
      <c r="N2040" s="8"/>
      <c r="O2040" s="8"/>
      <c r="P2040" s="8"/>
      <c r="Q2040" s="8"/>
    </row>
    <row r="2041" ht="13.65" customHeight="1">
      <c r="A2041" s="8"/>
      <c r="B2041" s="8"/>
      <c r="C2041" s="8"/>
      <c r="D2041" s="8"/>
      <c r="E2041" s="8"/>
      <c r="F2041" s="8"/>
      <c r="G2041" s="8"/>
      <c r="H2041" s="8"/>
      <c r="I2041" s="8"/>
      <c r="J2041" s="8"/>
      <c r="K2041" s="8"/>
      <c r="L2041" s="8"/>
      <c r="M2041" s="8"/>
      <c r="N2041" s="8"/>
      <c r="O2041" s="8"/>
      <c r="P2041" s="8"/>
      <c r="Q2041" s="8"/>
    </row>
    <row r="2042" ht="13.65" customHeight="1">
      <c r="A2042" s="8"/>
      <c r="B2042" s="8"/>
      <c r="C2042" s="8"/>
      <c r="D2042" s="8"/>
      <c r="E2042" s="8"/>
      <c r="F2042" s="8"/>
      <c r="G2042" s="8"/>
      <c r="H2042" s="8"/>
      <c r="I2042" s="8"/>
      <c r="J2042" s="8"/>
      <c r="K2042" s="8"/>
      <c r="L2042" s="8"/>
      <c r="M2042" s="8"/>
      <c r="N2042" s="8"/>
      <c r="O2042" s="8"/>
      <c r="P2042" s="8"/>
      <c r="Q2042" s="8"/>
    </row>
    <row r="2043" ht="13.65" customHeight="1">
      <c r="A2043" s="8"/>
      <c r="B2043" s="8"/>
      <c r="C2043" s="8"/>
      <c r="D2043" s="8"/>
      <c r="E2043" s="8"/>
      <c r="F2043" s="8"/>
      <c r="G2043" s="8"/>
      <c r="H2043" s="8"/>
      <c r="I2043" s="8"/>
      <c r="J2043" s="8"/>
      <c r="K2043" s="8"/>
      <c r="L2043" s="8"/>
      <c r="M2043" s="8"/>
      <c r="N2043" s="8"/>
      <c r="O2043" s="8"/>
      <c r="P2043" s="8"/>
      <c r="Q2043" s="8"/>
    </row>
    <row r="2044" ht="13.65" customHeight="1">
      <c r="A2044" s="8"/>
      <c r="B2044" s="8"/>
      <c r="C2044" s="8"/>
      <c r="D2044" s="8"/>
      <c r="E2044" s="8"/>
      <c r="F2044" s="8"/>
      <c r="G2044" s="8"/>
      <c r="H2044" s="8"/>
      <c r="I2044" s="8"/>
      <c r="J2044" s="8"/>
      <c r="K2044" s="8"/>
      <c r="L2044" s="8"/>
      <c r="M2044" s="8"/>
      <c r="N2044" s="8"/>
      <c r="O2044" s="8"/>
      <c r="P2044" s="8"/>
      <c r="Q2044" s="8"/>
    </row>
    <row r="2045" ht="13.65" customHeight="1">
      <c r="A2045" s="8"/>
      <c r="B2045" s="8"/>
      <c r="C2045" s="8"/>
      <c r="D2045" s="8"/>
      <c r="E2045" s="8"/>
      <c r="F2045" s="8"/>
      <c r="G2045" s="8"/>
      <c r="H2045" s="8"/>
      <c r="I2045" s="8"/>
      <c r="J2045" s="8"/>
      <c r="K2045" s="8"/>
      <c r="L2045" s="8"/>
      <c r="M2045" s="8"/>
      <c r="N2045" s="8"/>
      <c r="O2045" s="8"/>
      <c r="P2045" s="8"/>
      <c r="Q2045" s="8"/>
    </row>
    <row r="2046" ht="13.65" customHeight="1">
      <c r="A2046" s="8"/>
      <c r="B2046" s="8"/>
      <c r="C2046" s="8"/>
      <c r="D2046" s="8"/>
      <c r="E2046" s="8"/>
      <c r="F2046" s="8"/>
      <c r="G2046" s="8"/>
      <c r="H2046" s="8"/>
      <c r="I2046" s="8"/>
      <c r="J2046" s="8"/>
      <c r="K2046" s="8"/>
      <c r="L2046" s="8"/>
      <c r="M2046" s="8"/>
      <c r="N2046" s="8"/>
      <c r="O2046" s="8"/>
      <c r="P2046" s="8"/>
      <c r="Q2046" s="8"/>
    </row>
    <row r="2047" ht="13.65" customHeight="1">
      <c r="A2047" s="8"/>
      <c r="B2047" s="8"/>
      <c r="C2047" s="8"/>
      <c r="D2047" s="8"/>
      <c r="E2047" s="8"/>
      <c r="F2047" s="8"/>
      <c r="G2047" s="8"/>
      <c r="H2047" s="8"/>
      <c r="I2047" s="8"/>
      <c r="J2047" s="8"/>
      <c r="K2047" s="8"/>
      <c r="L2047" s="8"/>
      <c r="M2047" s="8"/>
      <c r="N2047" s="8"/>
      <c r="O2047" s="8"/>
      <c r="P2047" s="8"/>
      <c r="Q2047" s="8"/>
    </row>
    <row r="2048" ht="13.65" customHeight="1">
      <c r="A2048" s="8"/>
      <c r="B2048" s="8"/>
      <c r="C2048" s="8"/>
      <c r="D2048" s="8"/>
      <c r="E2048" s="8"/>
      <c r="F2048" s="8"/>
      <c r="G2048" s="8"/>
      <c r="H2048" s="8"/>
      <c r="I2048" s="8"/>
      <c r="J2048" s="8"/>
      <c r="K2048" s="8"/>
      <c r="L2048" s="8"/>
      <c r="M2048" s="8"/>
      <c r="N2048" s="8"/>
      <c r="O2048" s="8"/>
      <c r="P2048" s="8"/>
      <c r="Q2048" s="8"/>
    </row>
    <row r="2049" ht="13.65" customHeight="1">
      <c r="A2049" s="8"/>
      <c r="B2049" s="8"/>
      <c r="C2049" s="8"/>
      <c r="D2049" s="8"/>
      <c r="E2049" s="8"/>
      <c r="F2049" s="8"/>
      <c r="G2049" s="8"/>
      <c r="H2049" s="8"/>
      <c r="I2049" s="8"/>
      <c r="J2049" s="8"/>
      <c r="K2049" s="8"/>
      <c r="L2049" s="8"/>
      <c r="M2049" s="8"/>
      <c r="N2049" s="8"/>
      <c r="O2049" s="8"/>
      <c r="P2049" s="8"/>
      <c r="Q2049" s="8"/>
    </row>
    <row r="2050" ht="13.65" customHeight="1">
      <c r="A2050" s="8"/>
      <c r="B2050" s="8"/>
      <c r="C2050" s="8"/>
      <c r="D2050" s="8"/>
      <c r="E2050" s="8"/>
      <c r="F2050" s="8"/>
      <c r="G2050" s="8"/>
      <c r="H2050" s="8"/>
      <c r="I2050" s="8"/>
      <c r="J2050" s="8"/>
      <c r="K2050" s="8"/>
      <c r="L2050" s="8"/>
      <c r="M2050" s="8"/>
      <c r="N2050" s="8"/>
      <c r="O2050" s="8"/>
      <c r="P2050" s="8"/>
      <c r="Q2050" s="8"/>
    </row>
    <row r="2051" ht="13.65" customHeight="1">
      <c r="A2051" s="8"/>
      <c r="B2051" s="8"/>
      <c r="C2051" s="8"/>
      <c r="D2051" s="8"/>
      <c r="E2051" s="8"/>
      <c r="F2051" s="8"/>
      <c r="G2051" s="8"/>
      <c r="H2051" s="8"/>
      <c r="I2051" s="8"/>
      <c r="J2051" s="8"/>
      <c r="K2051" s="8"/>
      <c r="L2051" s="8"/>
      <c r="M2051" s="8"/>
      <c r="N2051" s="8"/>
      <c r="O2051" s="8"/>
      <c r="P2051" s="8"/>
      <c r="Q2051" s="8"/>
    </row>
    <row r="2052" ht="13.65" customHeight="1">
      <c r="A2052" s="8"/>
      <c r="B2052" s="8"/>
      <c r="C2052" s="8"/>
      <c r="D2052" s="8"/>
      <c r="E2052" s="8"/>
      <c r="F2052" s="8"/>
      <c r="G2052" s="8"/>
      <c r="H2052" s="8"/>
      <c r="I2052" s="8"/>
      <c r="J2052" s="8"/>
      <c r="K2052" s="8"/>
      <c r="L2052" s="8"/>
      <c r="M2052" s="8"/>
      <c r="N2052" s="8"/>
      <c r="O2052" s="8"/>
      <c r="P2052" s="8"/>
      <c r="Q2052" s="8"/>
    </row>
    <row r="2053" ht="13.65" customHeight="1">
      <c r="A2053" s="8"/>
      <c r="B2053" s="8"/>
      <c r="C2053" s="8"/>
      <c r="D2053" s="8"/>
      <c r="E2053" s="8"/>
      <c r="F2053" s="8"/>
      <c r="G2053" s="8"/>
      <c r="H2053" s="8"/>
      <c r="I2053" s="8"/>
      <c r="J2053" s="8"/>
      <c r="K2053" s="8"/>
      <c r="L2053" s="8"/>
      <c r="M2053" s="8"/>
      <c r="N2053" s="8"/>
      <c r="O2053" s="8"/>
      <c r="P2053" s="8"/>
      <c r="Q2053" s="8"/>
    </row>
    <row r="2054" ht="13.65" customHeight="1">
      <c r="A2054" s="8"/>
      <c r="B2054" s="8"/>
      <c r="C2054" s="8"/>
      <c r="D2054" s="8"/>
      <c r="E2054" s="8"/>
      <c r="F2054" s="8"/>
      <c r="G2054" s="8"/>
      <c r="H2054" s="8"/>
      <c r="I2054" s="8"/>
      <c r="J2054" s="8"/>
      <c r="K2054" s="8"/>
      <c r="L2054" s="8"/>
      <c r="M2054" s="8"/>
      <c r="N2054" s="8"/>
      <c r="O2054" s="8"/>
      <c r="P2054" s="8"/>
      <c r="Q2054" s="8"/>
    </row>
    <row r="2055" ht="13.65" customHeight="1">
      <c r="A2055" s="8"/>
      <c r="B2055" s="8"/>
      <c r="C2055" s="8"/>
      <c r="D2055" s="8"/>
      <c r="E2055" s="8"/>
      <c r="F2055" s="8"/>
      <c r="G2055" s="8"/>
      <c r="H2055" s="8"/>
      <c r="I2055" s="8"/>
      <c r="J2055" s="8"/>
      <c r="K2055" s="8"/>
      <c r="L2055" s="8"/>
      <c r="M2055" s="8"/>
      <c r="N2055" s="8"/>
      <c r="O2055" s="8"/>
      <c r="P2055" s="8"/>
      <c r="Q2055"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Q1285"/>
  <sheetViews>
    <sheetView workbookViewId="0" showGridLines="0" defaultGridColor="1"/>
  </sheetViews>
  <sheetFormatPr defaultColWidth="12.6667" defaultRowHeight="15.75" customHeight="1" outlineLevelRow="0" outlineLevelCol="0"/>
  <cols>
    <col min="1" max="17" width="12.6719" style="36" customWidth="1"/>
    <col min="18" max="16384" width="12.6719" style="36" customWidth="1"/>
  </cols>
  <sheetData>
    <row r="1" ht="13.65" customHeight="1">
      <c r="A1" t="s" s="7">
        <v>6</v>
      </c>
      <c r="B1" s="8"/>
      <c r="C1" s="8"/>
      <c r="D1" s="8"/>
      <c r="E1" s="8"/>
      <c r="F1" s="8"/>
      <c r="G1" s="8"/>
      <c r="H1" s="8"/>
      <c r="I1" s="8"/>
      <c r="J1" s="8"/>
      <c r="K1" s="8"/>
      <c r="L1" s="8"/>
      <c r="M1" s="8"/>
      <c r="N1" s="8"/>
      <c r="O1" s="8"/>
      <c r="P1" s="8"/>
      <c r="Q1" s="8"/>
    </row>
    <row r="2" ht="13.65" customHeight="1">
      <c r="A2" s="9"/>
      <c r="B2" s="9"/>
      <c r="C2" s="9"/>
      <c r="D2" s="9"/>
      <c r="E2" s="9"/>
      <c r="F2" s="9"/>
      <c r="G2" s="9"/>
      <c r="H2" s="9"/>
      <c r="I2" s="9"/>
      <c r="J2" s="9"/>
      <c r="K2" s="9"/>
      <c r="L2" s="9"/>
      <c r="M2" s="9"/>
      <c r="N2" s="9"/>
      <c r="O2" s="8"/>
      <c r="P2" s="8"/>
      <c r="Q2" s="8"/>
    </row>
    <row r="3" ht="13.65" customHeight="1">
      <c r="A3" t="s" s="10">
        <v>7</v>
      </c>
      <c r="B3" t="s" s="10">
        <v>8</v>
      </c>
      <c r="C3" t="s" s="10">
        <v>9</v>
      </c>
      <c r="D3" t="s" s="10">
        <v>10</v>
      </c>
      <c r="E3" t="s" s="10">
        <v>11</v>
      </c>
      <c r="F3" t="s" s="10">
        <v>12</v>
      </c>
      <c r="G3" t="s" s="10">
        <v>13</v>
      </c>
      <c r="H3" t="s" s="10">
        <v>14</v>
      </c>
      <c r="I3" t="s" s="10">
        <v>15</v>
      </c>
      <c r="J3" t="s" s="10">
        <v>16</v>
      </c>
      <c r="K3" t="s" s="10">
        <v>17</v>
      </c>
      <c r="L3" t="s" s="10">
        <v>18</v>
      </c>
      <c r="M3" t="s" s="10">
        <v>19</v>
      </c>
      <c r="N3" t="s" s="10">
        <v>20</v>
      </c>
      <c r="O3" t="s" s="11">
        <v>6325</v>
      </c>
      <c r="P3" s="8"/>
      <c r="Q3" s="8"/>
    </row>
    <row r="4" ht="13.65" customHeight="1">
      <c r="A4" s="12">
        <v>44287</v>
      </c>
      <c r="B4" t="s" s="13">
        <v>22</v>
      </c>
      <c r="C4" s="14">
        <v>2532</v>
      </c>
      <c r="D4" s="14">
        <v>2564.55</v>
      </c>
      <c r="E4" s="14">
        <v>2532</v>
      </c>
      <c r="F4" s="14">
        <v>2537.4</v>
      </c>
      <c r="G4" s="14">
        <v>2545</v>
      </c>
      <c r="H4" s="14">
        <v>2551.75</v>
      </c>
      <c r="I4" s="14">
        <v>2549.8</v>
      </c>
      <c r="J4" s="14">
        <v>2873.45</v>
      </c>
      <c r="K4" s="14">
        <v>1482.95</v>
      </c>
      <c r="L4" s="15">
        <v>1219588</v>
      </c>
      <c r="M4" t="s" s="13">
        <v>6326</v>
      </c>
      <c r="N4" s="15">
        <v>54928</v>
      </c>
      <c r="O4" s="16"/>
      <c r="P4" s="8"/>
      <c r="Q4" s="8"/>
    </row>
    <row r="5" ht="13.65" customHeight="1">
      <c r="A5" s="12">
        <v>44291</v>
      </c>
      <c r="B5" t="s" s="13">
        <v>22</v>
      </c>
      <c r="C5" s="14">
        <v>2558</v>
      </c>
      <c r="D5" s="14">
        <v>2558</v>
      </c>
      <c r="E5" s="14">
        <v>2484.5</v>
      </c>
      <c r="F5" s="14">
        <v>2551.75</v>
      </c>
      <c r="G5" s="14">
        <v>2512</v>
      </c>
      <c r="H5" s="14">
        <v>2510.65</v>
      </c>
      <c r="I5" s="14">
        <v>2509.91</v>
      </c>
      <c r="J5" s="14">
        <v>2873.45</v>
      </c>
      <c r="K5" s="14">
        <v>1482.95</v>
      </c>
      <c r="L5" s="15">
        <v>1268939</v>
      </c>
      <c r="M5" t="s" s="13">
        <v>6327</v>
      </c>
      <c r="N5" s="15">
        <v>74815</v>
      </c>
      <c r="O5" s="17" cm="1">
        <f t="array" ref="O5">(H5-H4)/H4</f>
        <v>-0.0161065935142549</v>
      </c>
      <c r="P5" s="8"/>
      <c r="Q5" s="8"/>
    </row>
    <row r="6" ht="13.65" customHeight="1">
      <c r="A6" s="12">
        <v>44292</v>
      </c>
      <c r="B6" t="s" s="13">
        <v>22</v>
      </c>
      <c r="C6" s="14">
        <v>2526</v>
      </c>
      <c r="D6" s="14">
        <v>2620</v>
      </c>
      <c r="E6" s="14">
        <v>2504.5</v>
      </c>
      <c r="F6" s="14">
        <v>2510.65</v>
      </c>
      <c r="G6" s="14">
        <v>2610.1</v>
      </c>
      <c r="H6" s="14">
        <v>2611.6</v>
      </c>
      <c r="I6" s="14">
        <v>2585.83</v>
      </c>
      <c r="J6" s="14">
        <v>2873.45</v>
      </c>
      <c r="K6" s="14">
        <v>1482.95</v>
      </c>
      <c r="L6" s="15">
        <v>3372846</v>
      </c>
      <c r="M6" t="s" s="13">
        <v>6328</v>
      </c>
      <c r="N6" s="15">
        <v>178805</v>
      </c>
      <c r="O6" s="17" cm="1">
        <f t="array" ref="O6">(H6-H5)/H5</f>
        <v>0.0402087108916018</v>
      </c>
      <c r="P6" s="8"/>
      <c r="Q6" s="8"/>
    </row>
    <row r="7" ht="13.65" customHeight="1">
      <c r="A7" s="12">
        <v>44293</v>
      </c>
      <c r="B7" t="s" s="13">
        <v>22</v>
      </c>
      <c r="C7" s="14">
        <v>2605</v>
      </c>
      <c r="D7" s="14">
        <v>2668.05</v>
      </c>
      <c r="E7" s="14">
        <v>2600.1</v>
      </c>
      <c r="F7" s="14">
        <v>2611.6</v>
      </c>
      <c r="G7" s="14">
        <v>2621.6</v>
      </c>
      <c r="H7" s="14">
        <v>2628.6</v>
      </c>
      <c r="I7" s="14">
        <v>2644.44</v>
      </c>
      <c r="J7" s="14">
        <v>2873.45</v>
      </c>
      <c r="K7" s="14">
        <v>1482.95</v>
      </c>
      <c r="L7" s="15">
        <v>1937977</v>
      </c>
      <c r="M7" t="s" s="13">
        <v>6329</v>
      </c>
      <c r="N7" s="15">
        <v>110658</v>
      </c>
      <c r="O7" s="17" cm="1">
        <f t="array" ref="O7">(H7-H6)/H6</f>
        <v>0.00650941951294226</v>
      </c>
      <c r="P7" s="8"/>
      <c r="Q7" s="8"/>
    </row>
    <row r="8" ht="13.65" customHeight="1">
      <c r="A8" s="12">
        <v>44294</v>
      </c>
      <c r="B8" t="s" s="13">
        <v>22</v>
      </c>
      <c r="C8" s="14">
        <v>2630</v>
      </c>
      <c r="D8" s="14">
        <v>2658.4</v>
      </c>
      <c r="E8" s="14">
        <v>2628</v>
      </c>
      <c r="F8" s="14">
        <v>2628.6</v>
      </c>
      <c r="G8" s="14">
        <v>2643.95</v>
      </c>
      <c r="H8" s="14">
        <v>2650.65</v>
      </c>
      <c r="I8" s="14">
        <v>2647.85</v>
      </c>
      <c r="J8" s="14">
        <v>2873.45</v>
      </c>
      <c r="K8" s="14">
        <v>1482.95</v>
      </c>
      <c r="L8" s="15">
        <v>897483</v>
      </c>
      <c r="M8" t="s" s="13">
        <v>6330</v>
      </c>
      <c r="N8" s="15">
        <v>60031</v>
      </c>
      <c r="O8" s="17" cm="1">
        <f t="array" ref="O8">(H8-H7)/H7</f>
        <v>0.00838849577721981</v>
      </c>
      <c r="P8" s="8"/>
      <c r="Q8" s="8"/>
    </row>
    <row r="9" ht="13.65" customHeight="1">
      <c r="A9" s="12">
        <v>44295</v>
      </c>
      <c r="B9" t="s" s="13">
        <v>22</v>
      </c>
      <c r="C9" s="14">
        <v>2635</v>
      </c>
      <c r="D9" s="14">
        <v>2655</v>
      </c>
      <c r="E9" s="14">
        <v>2610.15</v>
      </c>
      <c r="F9" s="14">
        <v>2650.65</v>
      </c>
      <c r="G9" s="14">
        <v>2635</v>
      </c>
      <c r="H9" s="14">
        <v>2630.8</v>
      </c>
      <c r="I9" s="14">
        <v>2626.7</v>
      </c>
      <c r="J9" s="14">
        <v>2873.45</v>
      </c>
      <c r="K9" s="14">
        <v>1482.95</v>
      </c>
      <c r="L9" s="15">
        <v>1185017</v>
      </c>
      <c r="M9" t="s" s="13">
        <v>6331</v>
      </c>
      <c r="N9" s="15">
        <v>74094</v>
      </c>
      <c r="O9" s="17" cm="1">
        <f t="array" ref="O9">(H9-H8)/H8</f>
        <v>-0.00748872917963518</v>
      </c>
      <c r="P9" s="8"/>
      <c r="Q9" s="8"/>
    </row>
    <row r="10" ht="13.65" customHeight="1">
      <c r="A10" s="18">
        <v>44298</v>
      </c>
      <c r="B10" t="s" s="13">
        <v>22</v>
      </c>
      <c r="C10" s="14">
        <v>2578.2</v>
      </c>
      <c r="D10" s="14">
        <v>2610</v>
      </c>
      <c r="E10" s="14">
        <v>2555</v>
      </c>
      <c r="F10" s="14">
        <v>2630.8</v>
      </c>
      <c r="G10" s="14">
        <v>2602.35</v>
      </c>
      <c r="H10" s="14">
        <v>2602.2</v>
      </c>
      <c r="I10" s="14">
        <v>2587.63</v>
      </c>
      <c r="J10" s="14">
        <v>2873.45</v>
      </c>
      <c r="K10" s="14">
        <v>1482.95</v>
      </c>
      <c r="L10" s="15">
        <v>1427691</v>
      </c>
      <c r="M10" t="s" s="13">
        <v>6332</v>
      </c>
      <c r="N10" s="15">
        <v>81793</v>
      </c>
      <c r="O10" s="17" cm="1">
        <f t="array" ref="O10">(H10-H9)/H9</f>
        <v>-0.0108712178804926</v>
      </c>
      <c r="P10" s="8"/>
      <c r="Q10" s="8"/>
    </row>
    <row r="11" ht="13.65" customHeight="1">
      <c r="A11" s="18">
        <v>44299</v>
      </c>
      <c r="B11" t="s" s="13">
        <v>22</v>
      </c>
      <c r="C11" s="14">
        <v>2600</v>
      </c>
      <c r="D11" s="14">
        <v>2626</v>
      </c>
      <c r="E11" s="14">
        <v>2564.3</v>
      </c>
      <c r="F11" s="14">
        <v>2602.2</v>
      </c>
      <c r="G11" s="14">
        <v>2574.5</v>
      </c>
      <c r="H11" s="14">
        <v>2570.7</v>
      </c>
      <c r="I11" s="14">
        <v>2587.13</v>
      </c>
      <c r="J11" s="14">
        <v>2873.45</v>
      </c>
      <c r="K11" s="14">
        <v>1482.95</v>
      </c>
      <c r="L11" s="15">
        <v>1200230</v>
      </c>
      <c r="M11" t="s" s="13">
        <v>6333</v>
      </c>
      <c r="N11" s="15">
        <v>70840</v>
      </c>
      <c r="O11" s="17" cm="1">
        <f t="array" ref="O11">(H11-H10)/H10</f>
        <v>-0.0121051418030897</v>
      </c>
      <c r="P11" s="8"/>
      <c r="Q11" s="8"/>
    </row>
    <row r="12" ht="13.65" customHeight="1">
      <c r="A12" s="18">
        <v>44301</v>
      </c>
      <c r="B12" t="s" s="13">
        <v>22</v>
      </c>
      <c r="C12" s="14">
        <v>2590</v>
      </c>
      <c r="D12" s="14">
        <v>2593.55</v>
      </c>
      <c r="E12" s="14">
        <v>2537</v>
      </c>
      <c r="F12" s="14">
        <v>2570.7</v>
      </c>
      <c r="G12" s="14">
        <v>2581.6</v>
      </c>
      <c r="H12" s="14">
        <v>2587.7</v>
      </c>
      <c r="I12" s="14">
        <v>2568.5</v>
      </c>
      <c r="J12" s="14">
        <v>2873.45</v>
      </c>
      <c r="K12" s="14">
        <v>1482.95</v>
      </c>
      <c r="L12" s="15">
        <v>1209829</v>
      </c>
      <c r="M12" t="s" s="13">
        <v>6334</v>
      </c>
      <c r="N12" s="15">
        <v>67289</v>
      </c>
      <c r="O12" s="17" cm="1">
        <f t="array" ref="O12">(H12-H11)/H11</f>
        <v>0.00661298479013498</v>
      </c>
      <c r="P12" s="8"/>
      <c r="Q12" s="8"/>
    </row>
    <row r="13" ht="13.65" customHeight="1">
      <c r="A13" s="18">
        <v>44302</v>
      </c>
      <c r="B13" t="s" s="13">
        <v>22</v>
      </c>
      <c r="C13" s="14">
        <v>2587.6</v>
      </c>
      <c r="D13" s="14">
        <v>2693.5</v>
      </c>
      <c r="E13" s="14">
        <v>2581.7</v>
      </c>
      <c r="F13" s="14">
        <v>2587.7</v>
      </c>
      <c r="G13" s="14">
        <v>2654</v>
      </c>
      <c r="H13" s="14">
        <v>2663.7</v>
      </c>
      <c r="I13" s="14">
        <v>2661.98</v>
      </c>
      <c r="J13" s="14">
        <v>2873.45</v>
      </c>
      <c r="K13" s="14">
        <v>1482.95</v>
      </c>
      <c r="L13" s="15">
        <v>2760777</v>
      </c>
      <c r="M13" t="s" s="13">
        <v>6335</v>
      </c>
      <c r="N13" s="15">
        <v>126733</v>
      </c>
      <c r="O13" s="17" cm="1">
        <f t="array" ref="O13">(H13-H12)/H12</f>
        <v>0.0293697105537736</v>
      </c>
      <c r="P13" s="8"/>
      <c r="Q13" s="8"/>
    </row>
    <row r="14" ht="13.65" customHeight="1">
      <c r="A14" s="18">
        <v>44305</v>
      </c>
      <c r="B14" t="s" s="13">
        <v>22</v>
      </c>
      <c r="C14" s="14">
        <v>2650</v>
      </c>
      <c r="D14" s="14">
        <v>2650</v>
      </c>
      <c r="E14" s="14">
        <v>2566.85</v>
      </c>
      <c r="F14" s="14">
        <v>2663.7</v>
      </c>
      <c r="G14" s="14">
        <v>2575</v>
      </c>
      <c r="H14" s="14">
        <v>2571.9</v>
      </c>
      <c r="I14" s="14">
        <v>2590.54</v>
      </c>
      <c r="J14" s="14">
        <v>2873.45</v>
      </c>
      <c r="K14" s="14">
        <v>1482.95</v>
      </c>
      <c r="L14" s="15">
        <v>1552036</v>
      </c>
      <c r="M14" t="s" s="13">
        <v>6336</v>
      </c>
      <c r="N14" s="15">
        <v>93671</v>
      </c>
      <c r="O14" s="17" cm="1">
        <f t="array" ref="O14">(H14-H13)/H13</f>
        <v>-0.0344633404662687</v>
      </c>
      <c r="P14" s="8"/>
      <c r="Q14" s="8"/>
    </row>
    <row r="15" ht="13.65" customHeight="1">
      <c r="A15" s="18">
        <v>44306</v>
      </c>
      <c r="B15" t="s" s="13">
        <v>22</v>
      </c>
      <c r="C15" s="14">
        <v>2600</v>
      </c>
      <c r="D15" s="14">
        <v>2604.7</v>
      </c>
      <c r="E15" s="14">
        <v>2528.8</v>
      </c>
      <c r="F15" s="14">
        <v>2571.9</v>
      </c>
      <c r="G15" s="14">
        <v>2547.9</v>
      </c>
      <c r="H15" s="14">
        <v>2553.65</v>
      </c>
      <c r="I15" s="14">
        <v>2564.75</v>
      </c>
      <c r="J15" s="14">
        <v>2873.45</v>
      </c>
      <c r="K15" s="14">
        <v>1482.95</v>
      </c>
      <c r="L15" s="15">
        <v>1489287</v>
      </c>
      <c r="M15" t="s" s="13">
        <v>6337</v>
      </c>
      <c r="N15" s="15">
        <v>79691</v>
      </c>
      <c r="O15" s="17" cm="1">
        <f t="array" ref="O15">(H15-H14)/H14</f>
        <v>-0.00709592130331661</v>
      </c>
      <c r="P15" s="8"/>
      <c r="Q15" s="8"/>
    </row>
    <row r="16" ht="13.65" customHeight="1">
      <c r="A16" s="18">
        <v>44308</v>
      </c>
      <c r="B16" t="s" s="13">
        <v>22</v>
      </c>
      <c r="C16" s="14">
        <v>2555.65</v>
      </c>
      <c r="D16" s="14">
        <v>2557</v>
      </c>
      <c r="E16" s="14">
        <v>2488</v>
      </c>
      <c r="F16" s="14">
        <v>2553.65</v>
      </c>
      <c r="G16" s="14">
        <v>2510</v>
      </c>
      <c r="H16" s="14">
        <v>2511.25</v>
      </c>
      <c r="I16" s="14">
        <v>2510.01</v>
      </c>
      <c r="J16" s="14">
        <v>2873.45</v>
      </c>
      <c r="K16" s="14">
        <v>1482.95</v>
      </c>
      <c r="L16" s="15">
        <v>1690758</v>
      </c>
      <c r="M16" t="s" s="13">
        <v>6338</v>
      </c>
      <c r="N16" s="15">
        <v>82103</v>
      </c>
      <c r="O16" s="17" cm="1">
        <f t="array" ref="O16">(H16-H15)/H15</f>
        <v>-0.0166036849215828</v>
      </c>
      <c r="P16" s="8"/>
      <c r="Q16" s="8"/>
    </row>
    <row r="17" ht="13.65" customHeight="1">
      <c r="A17" s="18">
        <v>44309</v>
      </c>
      <c r="B17" t="s" s="13">
        <v>22</v>
      </c>
      <c r="C17" s="14">
        <v>2527.1</v>
      </c>
      <c r="D17" s="14">
        <v>2565</v>
      </c>
      <c r="E17" s="14">
        <v>2496.2</v>
      </c>
      <c r="F17" s="14">
        <v>2511.25</v>
      </c>
      <c r="G17" s="14">
        <v>2520</v>
      </c>
      <c r="H17" s="14">
        <v>2517.95</v>
      </c>
      <c r="I17" s="14">
        <v>2523.48</v>
      </c>
      <c r="J17" s="14">
        <v>2873.45</v>
      </c>
      <c r="K17" s="14">
        <v>1482.95</v>
      </c>
      <c r="L17" s="15">
        <v>1614593</v>
      </c>
      <c r="M17" t="s" s="13">
        <v>6339</v>
      </c>
      <c r="N17" s="15">
        <v>78286</v>
      </c>
      <c r="O17" s="17" cm="1">
        <f t="array" ref="O17">(H17-H16)/H16</f>
        <v>0.00266799402687904</v>
      </c>
      <c r="P17" s="8"/>
      <c r="Q17" s="8"/>
    </row>
    <row r="18" ht="13.65" customHeight="1">
      <c r="A18" s="18">
        <v>44312</v>
      </c>
      <c r="B18" t="s" s="13">
        <v>22</v>
      </c>
      <c r="C18" s="14">
        <v>2530</v>
      </c>
      <c r="D18" s="14">
        <v>2575</v>
      </c>
      <c r="E18" s="14">
        <v>2530</v>
      </c>
      <c r="F18" s="14">
        <v>2517.95</v>
      </c>
      <c r="G18" s="14">
        <v>2558</v>
      </c>
      <c r="H18" s="14">
        <v>2557.9</v>
      </c>
      <c r="I18" s="14">
        <v>2557.47</v>
      </c>
      <c r="J18" s="14">
        <v>2873.45</v>
      </c>
      <c r="K18" s="14">
        <v>1482.95</v>
      </c>
      <c r="L18" s="15">
        <v>1103980</v>
      </c>
      <c r="M18" t="s" s="13">
        <v>6340</v>
      </c>
      <c r="N18" s="15">
        <v>58557</v>
      </c>
      <c r="O18" s="17" cm="1">
        <f t="array" ref="O18">(H18-H17)/H17</f>
        <v>0.0158660815345817</v>
      </c>
      <c r="P18" s="8"/>
      <c r="Q18" s="8"/>
    </row>
    <row r="19" ht="13.65" customHeight="1">
      <c r="A19" s="18">
        <v>44313</v>
      </c>
      <c r="B19" t="s" s="13">
        <v>22</v>
      </c>
      <c r="C19" s="14">
        <v>2545</v>
      </c>
      <c r="D19" s="14">
        <v>2579.9</v>
      </c>
      <c r="E19" s="14">
        <v>2534</v>
      </c>
      <c r="F19" s="14">
        <v>2557.9</v>
      </c>
      <c r="G19" s="14">
        <v>2571</v>
      </c>
      <c r="H19" s="14">
        <v>2574.35</v>
      </c>
      <c r="I19" s="14">
        <v>2560.55</v>
      </c>
      <c r="J19" s="14">
        <v>2873.45</v>
      </c>
      <c r="K19" s="14">
        <v>1482.95</v>
      </c>
      <c r="L19" s="15">
        <v>866331</v>
      </c>
      <c r="M19" t="s" s="13">
        <v>6341</v>
      </c>
      <c r="N19" s="15">
        <v>66988</v>
      </c>
      <c r="O19" s="17" cm="1">
        <f t="array" ref="O19">(H19-H18)/H18</f>
        <v>0.00643105672622073</v>
      </c>
      <c r="P19" s="8"/>
      <c r="Q19" s="8"/>
    </row>
    <row r="20" ht="13.65" customHeight="1">
      <c r="A20" s="18">
        <v>44314</v>
      </c>
      <c r="B20" t="s" s="13">
        <v>22</v>
      </c>
      <c r="C20" s="14">
        <v>2588</v>
      </c>
      <c r="D20" s="14">
        <v>2620.25</v>
      </c>
      <c r="E20" s="14">
        <v>2575</v>
      </c>
      <c r="F20" s="14">
        <v>2574.35</v>
      </c>
      <c r="G20" s="14">
        <v>2612</v>
      </c>
      <c r="H20" s="14">
        <v>2614.55</v>
      </c>
      <c r="I20" s="14">
        <v>2605.91</v>
      </c>
      <c r="J20" s="14">
        <v>2873.45</v>
      </c>
      <c r="K20" s="14">
        <v>1482.95</v>
      </c>
      <c r="L20" s="15">
        <v>1065561</v>
      </c>
      <c r="M20" t="s" s="13">
        <v>6342</v>
      </c>
      <c r="N20" s="15">
        <v>52622</v>
      </c>
      <c r="O20" s="17" cm="1">
        <f t="array" ref="O20">(H20-H19)/H19</f>
        <v>0.0156155922854313</v>
      </c>
      <c r="P20" s="8"/>
      <c r="Q20" s="8"/>
    </row>
    <row r="21" ht="13.65" customHeight="1">
      <c r="A21" s="18">
        <v>44315</v>
      </c>
      <c r="B21" t="s" s="13">
        <v>22</v>
      </c>
      <c r="C21" s="14">
        <v>2630</v>
      </c>
      <c r="D21" s="14">
        <v>2642</v>
      </c>
      <c r="E21" s="14">
        <v>2570</v>
      </c>
      <c r="F21" s="14">
        <v>2614.55</v>
      </c>
      <c r="G21" s="14">
        <v>2613</v>
      </c>
      <c r="H21" s="14">
        <v>2613.45</v>
      </c>
      <c r="I21" s="14">
        <v>2607.33</v>
      </c>
      <c r="J21" s="14">
        <v>2873.45</v>
      </c>
      <c r="K21" s="14">
        <v>1482.95</v>
      </c>
      <c r="L21" s="15">
        <v>1295346</v>
      </c>
      <c r="M21" t="s" s="13">
        <v>6343</v>
      </c>
      <c r="N21" s="15">
        <v>64039</v>
      </c>
      <c r="O21" s="17" cm="1">
        <f t="array" ref="O21">(H21-H20)/H20</f>
        <v>-0.000420722495266872</v>
      </c>
      <c r="P21" s="8"/>
      <c r="Q21" s="8"/>
    </row>
    <row r="22" ht="13.65" customHeight="1">
      <c r="A22" s="18">
        <v>44316</v>
      </c>
      <c r="B22" t="s" s="13">
        <v>22</v>
      </c>
      <c r="C22" s="14">
        <v>2595</v>
      </c>
      <c r="D22" s="14">
        <v>2605.8</v>
      </c>
      <c r="E22" s="14">
        <v>2524.05</v>
      </c>
      <c r="F22" s="14">
        <v>2613.45</v>
      </c>
      <c r="G22" s="14">
        <v>2529</v>
      </c>
      <c r="H22" s="14">
        <v>2536.4</v>
      </c>
      <c r="I22" s="14">
        <v>2558.66</v>
      </c>
      <c r="J22" s="14">
        <v>2873.45</v>
      </c>
      <c r="K22" s="14">
        <v>1482.95</v>
      </c>
      <c r="L22" s="15">
        <v>1384907</v>
      </c>
      <c r="M22" t="s" s="13">
        <v>6344</v>
      </c>
      <c r="N22" s="15">
        <v>91934</v>
      </c>
      <c r="O22" s="17" cm="1">
        <f t="array" ref="O22">(H22-H21)/H21</f>
        <v>-0.0294821022020701</v>
      </c>
      <c r="P22" s="8"/>
      <c r="Q22" s="8"/>
    </row>
    <row r="23" ht="13.65" customHeight="1">
      <c r="A23" s="19">
        <v>44319</v>
      </c>
      <c r="B23" t="s" s="13">
        <v>22</v>
      </c>
      <c r="C23" s="14">
        <v>2510</v>
      </c>
      <c r="D23" s="14">
        <v>2595.1</v>
      </c>
      <c r="E23" s="14">
        <v>2505.6</v>
      </c>
      <c r="F23" s="14">
        <v>2536.4</v>
      </c>
      <c r="G23" s="14">
        <v>2590.5</v>
      </c>
      <c r="H23" s="14">
        <v>2582.15</v>
      </c>
      <c r="I23" s="14">
        <v>2558.64</v>
      </c>
      <c r="J23" s="14">
        <v>2873.45</v>
      </c>
      <c r="K23" s="14">
        <v>1482.95</v>
      </c>
      <c r="L23" s="15">
        <v>1034774</v>
      </c>
      <c r="M23" t="s" s="13">
        <v>6345</v>
      </c>
      <c r="N23" s="15">
        <v>54041</v>
      </c>
      <c r="O23" s="17" cm="1">
        <f t="array" ref="O23">(H23-H22)/H22</f>
        <v>0.0180373758082321</v>
      </c>
      <c r="P23" s="8"/>
      <c r="Q23" s="8"/>
    </row>
    <row r="24" ht="13.65" customHeight="1">
      <c r="A24" s="19">
        <v>44320</v>
      </c>
      <c r="B24" t="s" s="13">
        <v>22</v>
      </c>
      <c r="C24" s="14">
        <v>2605</v>
      </c>
      <c r="D24" s="14">
        <v>2617.95</v>
      </c>
      <c r="E24" s="14">
        <v>2571.55</v>
      </c>
      <c r="F24" s="14">
        <v>2582.15</v>
      </c>
      <c r="G24" s="14">
        <v>2589.8</v>
      </c>
      <c r="H24" s="14">
        <v>2587.15</v>
      </c>
      <c r="I24" s="14">
        <v>2593.74</v>
      </c>
      <c r="J24" s="14">
        <v>2873.45</v>
      </c>
      <c r="K24" s="14">
        <v>1482.95</v>
      </c>
      <c r="L24" s="15">
        <v>1058140</v>
      </c>
      <c r="M24" t="s" s="13">
        <v>6346</v>
      </c>
      <c r="N24" s="15">
        <v>62692</v>
      </c>
      <c r="O24" s="17" cm="1">
        <f t="array" ref="O24">(H24-H23)/H23</f>
        <v>0.00193637085374591</v>
      </c>
      <c r="P24" s="8"/>
      <c r="Q24" s="8"/>
    </row>
    <row r="25" ht="13.65" customHeight="1">
      <c r="A25" s="19">
        <v>44321</v>
      </c>
      <c r="B25" t="s" s="13">
        <v>22</v>
      </c>
      <c r="C25" s="14">
        <v>2617</v>
      </c>
      <c r="D25" s="14">
        <v>2617</v>
      </c>
      <c r="E25" s="14">
        <v>2546.1</v>
      </c>
      <c r="F25" s="14">
        <v>2587.15</v>
      </c>
      <c r="G25" s="14">
        <v>2571.75</v>
      </c>
      <c r="H25" s="14">
        <v>2567.65</v>
      </c>
      <c r="I25" s="14">
        <v>2575.73</v>
      </c>
      <c r="J25" s="14">
        <v>2873.45</v>
      </c>
      <c r="K25" s="14">
        <v>1482.95</v>
      </c>
      <c r="L25" s="15">
        <v>1220186</v>
      </c>
      <c r="M25" t="s" s="13">
        <v>6347</v>
      </c>
      <c r="N25" s="15">
        <v>54031</v>
      </c>
      <c r="O25" s="17" cm="1">
        <f t="array" ref="O25">(H25-H24)/H24</f>
        <v>-0.00753725141565043</v>
      </c>
      <c r="P25" s="8"/>
      <c r="Q25" s="8"/>
    </row>
    <row r="26" ht="13.65" customHeight="1">
      <c r="A26" s="19">
        <v>44322</v>
      </c>
      <c r="B26" t="s" s="13">
        <v>22</v>
      </c>
      <c r="C26" s="14">
        <v>2579.85</v>
      </c>
      <c r="D26" s="14">
        <v>2581.85</v>
      </c>
      <c r="E26" s="14">
        <v>2528</v>
      </c>
      <c r="F26" s="14">
        <v>2567.65</v>
      </c>
      <c r="G26" s="14">
        <v>2553.85</v>
      </c>
      <c r="H26" s="14">
        <v>2549.05</v>
      </c>
      <c r="I26" s="14">
        <v>2545.52</v>
      </c>
      <c r="J26" s="14">
        <v>2873.45</v>
      </c>
      <c r="K26" s="14">
        <v>1482.95</v>
      </c>
      <c r="L26" s="15">
        <v>1518119</v>
      </c>
      <c r="M26" t="s" s="13">
        <v>6348</v>
      </c>
      <c r="N26" s="15">
        <v>62461</v>
      </c>
      <c r="O26" s="17" cm="1">
        <f t="array" ref="O26">(H26-H25)/H25</f>
        <v>-0.00724397795649719</v>
      </c>
      <c r="P26" s="8"/>
      <c r="Q26" s="8"/>
    </row>
    <row r="27" ht="13.65" customHeight="1">
      <c r="A27" s="19">
        <v>44323</v>
      </c>
      <c r="B27" t="s" s="13">
        <v>22</v>
      </c>
      <c r="C27" s="14">
        <v>2555</v>
      </c>
      <c r="D27" s="14">
        <v>2590</v>
      </c>
      <c r="E27" s="14">
        <v>2541.5</v>
      </c>
      <c r="F27" s="14">
        <v>2549.05</v>
      </c>
      <c r="G27" s="14">
        <v>2554.85</v>
      </c>
      <c r="H27" s="14">
        <v>2551.65</v>
      </c>
      <c r="I27" s="14">
        <v>2562.89</v>
      </c>
      <c r="J27" s="14">
        <v>2873.45</v>
      </c>
      <c r="K27" s="14">
        <v>1482.95</v>
      </c>
      <c r="L27" s="15">
        <v>1416102</v>
      </c>
      <c r="M27" t="s" s="13">
        <v>6349</v>
      </c>
      <c r="N27" s="15">
        <v>60480</v>
      </c>
      <c r="O27" s="17" cm="1">
        <f t="array" ref="O27">(H27-H26)/H26</f>
        <v>0.00101998783860654</v>
      </c>
      <c r="P27" s="8"/>
      <c r="Q27" s="8"/>
    </row>
    <row r="28" ht="13.65" customHeight="1">
      <c r="A28" s="20">
        <v>44326</v>
      </c>
      <c r="B28" t="s" s="13">
        <v>22</v>
      </c>
      <c r="C28" s="14">
        <v>2589</v>
      </c>
      <c r="D28" s="14">
        <v>2589</v>
      </c>
      <c r="E28" s="14">
        <v>2542.15</v>
      </c>
      <c r="F28" s="14">
        <v>2551.65</v>
      </c>
      <c r="G28" s="14">
        <v>2548</v>
      </c>
      <c r="H28" s="14">
        <v>2556.95</v>
      </c>
      <c r="I28" s="14">
        <v>2563.1</v>
      </c>
      <c r="J28" s="14">
        <v>2873.45</v>
      </c>
      <c r="K28" s="14">
        <v>1482.95</v>
      </c>
      <c r="L28" s="15">
        <v>1526814</v>
      </c>
      <c r="M28" t="s" s="13">
        <v>6350</v>
      </c>
      <c r="N28" s="15">
        <v>65354</v>
      </c>
      <c r="O28" s="17" cm="1">
        <f t="array" ref="O28">(H28-H27)/H27</f>
        <v>0.00207708737483589</v>
      </c>
      <c r="P28" s="8"/>
      <c r="Q28" s="8"/>
    </row>
    <row r="29" ht="13.65" customHeight="1">
      <c r="A29" s="20">
        <v>44327</v>
      </c>
      <c r="B29" t="s" s="13">
        <v>22</v>
      </c>
      <c r="C29" s="14">
        <v>2533</v>
      </c>
      <c r="D29" s="14">
        <v>2562</v>
      </c>
      <c r="E29" s="14">
        <v>2521.3</v>
      </c>
      <c r="F29" s="14">
        <v>2556.95</v>
      </c>
      <c r="G29" s="14">
        <v>2561.7</v>
      </c>
      <c r="H29" s="14">
        <v>2556.25</v>
      </c>
      <c r="I29" s="14">
        <v>2544.64</v>
      </c>
      <c r="J29" s="14">
        <v>2873.45</v>
      </c>
      <c r="K29" s="14">
        <v>1482.95</v>
      </c>
      <c r="L29" s="15">
        <v>1168363</v>
      </c>
      <c r="M29" t="s" s="13">
        <v>6351</v>
      </c>
      <c r="N29" s="15">
        <v>65711</v>
      </c>
      <c r="O29" s="17" cm="1">
        <f t="array" ref="O29">(H29-H28)/H28</f>
        <v>-0.000273763663740003</v>
      </c>
      <c r="P29" s="8"/>
      <c r="Q29" s="8"/>
    </row>
    <row r="30" ht="13.65" customHeight="1">
      <c r="A30" s="20">
        <v>44328</v>
      </c>
      <c r="B30" t="s" s="13">
        <v>22</v>
      </c>
      <c r="C30" s="14">
        <v>2577</v>
      </c>
      <c r="D30" s="14">
        <v>2588.95</v>
      </c>
      <c r="E30" s="14">
        <v>2530</v>
      </c>
      <c r="F30" s="14">
        <v>2556.25</v>
      </c>
      <c r="G30" s="14">
        <v>2560.15</v>
      </c>
      <c r="H30" s="14">
        <v>2556.2</v>
      </c>
      <c r="I30" s="14">
        <v>2566.94</v>
      </c>
      <c r="J30" s="14">
        <v>2873.45</v>
      </c>
      <c r="K30" s="14">
        <v>1482.95</v>
      </c>
      <c r="L30" s="15">
        <v>2085630</v>
      </c>
      <c r="M30" t="s" s="13">
        <v>6352</v>
      </c>
      <c r="N30" s="15">
        <v>91209</v>
      </c>
      <c r="O30" s="17" cm="1">
        <f t="array" ref="O30">(H30-H29)/H29</f>
        <v>-1.9559902200489e-05</v>
      </c>
      <c r="P30" s="8"/>
      <c r="Q30" s="8"/>
    </row>
    <row r="31" ht="13.65" customHeight="1">
      <c r="A31" s="20">
        <v>44330</v>
      </c>
      <c r="B31" t="s" s="13">
        <v>22</v>
      </c>
      <c r="C31" s="14">
        <v>2620</v>
      </c>
      <c r="D31" s="14">
        <v>2835.25</v>
      </c>
      <c r="E31" s="14">
        <v>2601.55</v>
      </c>
      <c r="F31" s="14">
        <v>2556.2</v>
      </c>
      <c r="G31" s="14">
        <v>2772</v>
      </c>
      <c r="H31" s="14">
        <v>2774.5</v>
      </c>
      <c r="I31" s="14">
        <v>2767.41</v>
      </c>
      <c r="J31" s="14">
        <v>2873.45</v>
      </c>
      <c r="K31" s="14">
        <v>1482.95</v>
      </c>
      <c r="L31" s="15">
        <v>10543708</v>
      </c>
      <c r="M31" t="s" s="13">
        <v>6353</v>
      </c>
      <c r="N31" s="15">
        <v>550509</v>
      </c>
      <c r="O31" s="17" cm="1">
        <f t="array" ref="O31">(H31-H30)/H30</f>
        <v>0.0854002034269619</v>
      </c>
      <c r="P31" s="8"/>
      <c r="Q31" s="8"/>
    </row>
    <row r="32" ht="13.65" customHeight="1">
      <c r="A32" s="20">
        <v>44333</v>
      </c>
      <c r="B32" t="s" s="13">
        <v>22</v>
      </c>
      <c r="C32" s="14">
        <v>2782</v>
      </c>
      <c r="D32" s="14">
        <v>2824.2</v>
      </c>
      <c r="E32" s="14">
        <v>2747.55</v>
      </c>
      <c r="F32" s="14">
        <v>2774.5</v>
      </c>
      <c r="G32" s="14">
        <v>2782</v>
      </c>
      <c r="H32" s="14">
        <v>2782.75</v>
      </c>
      <c r="I32" s="14">
        <v>2786.71</v>
      </c>
      <c r="J32" s="14">
        <v>2873.45</v>
      </c>
      <c r="K32" s="14">
        <v>1482.95</v>
      </c>
      <c r="L32" s="15">
        <v>2134352</v>
      </c>
      <c r="M32" t="s" s="13">
        <v>6354</v>
      </c>
      <c r="N32" s="15">
        <v>112188</v>
      </c>
      <c r="O32" s="17" cm="1">
        <f t="array" ref="O32">(H32-H31)/H31</f>
        <v>0.00297350874031357</v>
      </c>
      <c r="P32" s="8"/>
      <c r="Q32" s="8"/>
    </row>
    <row r="33" ht="13.65" customHeight="1">
      <c r="A33" s="20">
        <v>44334</v>
      </c>
      <c r="B33" t="s" s="13">
        <v>22</v>
      </c>
      <c r="C33" s="14">
        <v>2797</v>
      </c>
      <c r="D33" s="14">
        <v>2845</v>
      </c>
      <c r="E33" s="14">
        <v>2789</v>
      </c>
      <c r="F33" s="14">
        <v>2782.75</v>
      </c>
      <c r="G33" s="14">
        <v>2818.95</v>
      </c>
      <c r="H33" s="14">
        <v>2821.8</v>
      </c>
      <c r="I33" s="14">
        <v>2814.36</v>
      </c>
      <c r="J33" s="14">
        <v>2873.45</v>
      </c>
      <c r="K33" s="14">
        <v>1482.95</v>
      </c>
      <c r="L33" s="15">
        <v>1328605</v>
      </c>
      <c r="M33" t="s" s="13">
        <v>6355</v>
      </c>
      <c r="N33" s="15">
        <v>61472</v>
      </c>
      <c r="O33" s="17" cm="1">
        <f t="array" ref="O33">(H33-H32)/H32</f>
        <v>0.0140328811427545</v>
      </c>
      <c r="P33" s="8"/>
      <c r="Q33" s="8"/>
    </row>
    <row r="34" ht="13.65" customHeight="1">
      <c r="A34" s="20">
        <v>44335</v>
      </c>
      <c r="B34" t="s" s="13">
        <v>22</v>
      </c>
      <c r="C34" s="14">
        <v>2805.15</v>
      </c>
      <c r="D34" s="14">
        <v>2849</v>
      </c>
      <c r="E34" s="14">
        <v>2798.65</v>
      </c>
      <c r="F34" s="14">
        <v>2821.8</v>
      </c>
      <c r="G34" s="14">
        <v>2808</v>
      </c>
      <c r="H34" s="14">
        <v>2815.85</v>
      </c>
      <c r="I34" s="14">
        <v>2822.43</v>
      </c>
      <c r="J34" s="14">
        <v>2873.45</v>
      </c>
      <c r="K34" s="14">
        <v>1482.95</v>
      </c>
      <c r="L34" s="15">
        <v>1219067</v>
      </c>
      <c r="M34" t="s" s="13">
        <v>6356</v>
      </c>
      <c r="N34" s="15">
        <v>58397</v>
      </c>
      <c r="O34" s="17" cm="1">
        <f t="array" ref="O34">(H34-H33)/H33</f>
        <v>-0.00210858317386066</v>
      </c>
      <c r="P34" s="8"/>
      <c r="Q34" s="8"/>
    </row>
    <row r="35" ht="13.65" customHeight="1">
      <c r="A35" s="20">
        <v>44336</v>
      </c>
      <c r="B35" t="s" s="13">
        <v>22</v>
      </c>
      <c r="C35" s="14">
        <v>2814</v>
      </c>
      <c r="D35" s="14">
        <v>2845</v>
      </c>
      <c r="E35" s="14">
        <v>2778.5</v>
      </c>
      <c r="F35" s="14">
        <v>2815.85</v>
      </c>
      <c r="G35" s="14">
        <v>2791.05</v>
      </c>
      <c r="H35" s="14">
        <v>2794.1</v>
      </c>
      <c r="I35" s="14">
        <v>2811.83</v>
      </c>
      <c r="J35" s="14">
        <v>2873.45</v>
      </c>
      <c r="K35" s="14">
        <v>1482.95</v>
      </c>
      <c r="L35" s="15">
        <v>1211975</v>
      </c>
      <c r="M35" t="s" s="13">
        <v>6357</v>
      </c>
      <c r="N35" s="15">
        <v>54928</v>
      </c>
      <c r="O35" s="17" cm="1">
        <f t="array" ref="O35">(H35-H34)/H34</f>
        <v>-0.00772413303265444</v>
      </c>
      <c r="P35" s="8"/>
      <c r="Q35" s="8"/>
    </row>
    <row r="36" ht="13.65" customHeight="1">
      <c r="A36" s="20">
        <v>44337</v>
      </c>
      <c r="B36" t="s" s="13">
        <v>22</v>
      </c>
      <c r="C36" s="14">
        <v>2807</v>
      </c>
      <c r="D36" s="14">
        <v>2854</v>
      </c>
      <c r="E36" s="14">
        <v>2795</v>
      </c>
      <c r="F36" s="14">
        <v>2794.1</v>
      </c>
      <c r="G36" s="14">
        <v>2831</v>
      </c>
      <c r="H36" s="14">
        <v>2832.5</v>
      </c>
      <c r="I36" s="14">
        <v>2828.56</v>
      </c>
      <c r="J36" s="14">
        <v>2873.45</v>
      </c>
      <c r="K36" s="14">
        <v>1482.95</v>
      </c>
      <c r="L36" s="15">
        <v>1328308</v>
      </c>
      <c r="M36" t="s" s="13">
        <v>6358</v>
      </c>
      <c r="N36" s="15">
        <v>85622</v>
      </c>
      <c r="O36" s="17" cm="1">
        <f t="array" ref="O36">(H36-H35)/H35</f>
        <v>0.013743244694177</v>
      </c>
      <c r="P36" s="8"/>
      <c r="Q36" s="8"/>
    </row>
    <row r="37" ht="13.65" customHeight="1">
      <c r="A37" s="20">
        <v>44340</v>
      </c>
      <c r="B37" t="s" s="13">
        <v>22</v>
      </c>
      <c r="C37" s="14">
        <v>2846</v>
      </c>
      <c r="D37" s="14">
        <v>2849</v>
      </c>
      <c r="E37" s="14">
        <v>2808.2</v>
      </c>
      <c r="F37" s="14">
        <v>2832.5</v>
      </c>
      <c r="G37" s="14">
        <v>2820</v>
      </c>
      <c r="H37" s="14">
        <v>2819.2</v>
      </c>
      <c r="I37" s="14">
        <v>2820.79</v>
      </c>
      <c r="J37" s="14">
        <v>2873.45</v>
      </c>
      <c r="K37" s="14">
        <v>1577.5</v>
      </c>
      <c r="L37" s="15">
        <v>813091</v>
      </c>
      <c r="M37" t="s" s="13">
        <v>6359</v>
      </c>
      <c r="N37" s="15">
        <v>46964</v>
      </c>
      <c r="O37" s="17" cm="1">
        <f t="array" ref="O37">(H37-H36)/H36</f>
        <v>-0.0046954986760812</v>
      </c>
      <c r="P37" s="8"/>
      <c r="Q37" s="8"/>
    </row>
    <row r="38" ht="13.65" customHeight="1">
      <c r="A38" s="20">
        <v>44341</v>
      </c>
      <c r="B38" t="s" s="13">
        <v>22</v>
      </c>
      <c r="C38" s="14">
        <v>2836.9</v>
      </c>
      <c r="D38" s="14">
        <v>2922.65</v>
      </c>
      <c r="E38" s="14">
        <v>2822.75</v>
      </c>
      <c r="F38" s="14">
        <v>2819.2</v>
      </c>
      <c r="G38" s="14">
        <v>2918.05</v>
      </c>
      <c r="H38" s="14">
        <v>2914.4</v>
      </c>
      <c r="I38" s="14">
        <v>2898.57</v>
      </c>
      <c r="J38" s="14">
        <v>2922.65</v>
      </c>
      <c r="K38" s="14">
        <v>1577.5</v>
      </c>
      <c r="L38" s="15">
        <v>2730112</v>
      </c>
      <c r="M38" t="s" s="13">
        <v>6360</v>
      </c>
      <c r="N38" s="15">
        <v>128515</v>
      </c>
      <c r="O38" s="17" cm="1">
        <f t="array" ref="O38">(H38-H37)/H37</f>
        <v>0.0337684449489217</v>
      </c>
      <c r="P38" s="8"/>
      <c r="Q38" s="8"/>
    </row>
    <row r="39" ht="13.65" customHeight="1">
      <c r="A39" s="20">
        <v>44342</v>
      </c>
      <c r="B39" t="s" s="13">
        <v>22</v>
      </c>
      <c r="C39" s="14">
        <v>2939.85</v>
      </c>
      <c r="D39" s="14">
        <v>2947.9</v>
      </c>
      <c r="E39" s="14">
        <v>2910.4</v>
      </c>
      <c r="F39" s="14">
        <v>2914.4</v>
      </c>
      <c r="G39" s="14">
        <v>2940</v>
      </c>
      <c r="H39" s="14">
        <v>2941.6</v>
      </c>
      <c r="I39" s="14">
        <v>2934.32</v>
      </c>
      <c r="J39" s="14">
        <v>2947.9</v>
      </c>
      <c r="K39" s="14">
        <v>1577.5</v>
      </c>
      <c r="L39" s="15">
        <v>1250531</v>
      </c>
      <c r="M39" t="s" s="13">
        <v>6361</v>
      </c>
      <c r="N39" s="15">
        <v>53243</v>
      </c>
      <c r="O39" s="17" cm="1">
        <f t="array" ref="O39">(H39-H38)/H38</f>
        <v>0.00933296733461433</v>
      </c>
      <c r="P39" s="8"/>
      <c r="Q39" s="8"/>
    </row>
    <row r="40" ht="13.65" customHeight="1">
      <c r="A40" s="20">
        <v>44343</v>
      </c>
      <c r="B40" t="s" s="13">
        <v>22</v>
      </c>
      <c r="C40" s="14">
        <v>2950</v>
      </c>
      <c r="D40" s="14">
        <v>2965</v>
      </c>
      <c r="E40" s="14">
        <v>2902.25</v>
      </c>
      <c r="F40" s="14">
        <v>2941.6</v>
      </c>
      <c r="G40" s="14">
        <v>2965</v>
      </c>
      <c r="H40" s="14">
        <v>2949.35</v>
      </c>
      <c r="I40" s="14">
        <v>2939.98</v>
      </c>
      <c r="J40" s="14">
        <v>2965</v>
      </c>
      <c r="K40" s="14">
        <v>1577.5</v>
      </c>
      <c r="L40" s="15">
        <v>2415085</v>
      </c>
      <c r="M40" t="s" s="13">
        <v>6362</v>
      </c>
      <c r="N40" s="15">
        <v>76899</v>
      </c>
      <c r="O40" s="17" cm="1">
        <f t="array" ref="O40">(H40-H39)/H39</f>
        <v>0.00263462061463149</v>
      </c>
      <c r="P40" s="8"/>
      <c r="Q40" s="8"/>
    </row>
    <row r="41" ht="13.65" customHeight="1">
      <c r="A41" s="20">
        <v>44344</v>
      </c>
      <c r="B41" t="s" s="13">
        <v>22</v>
      </c>
      <c r="C41" s="14">
        <v>2958.15</v>
      </c>
      <c r="D41" s="14">
        <v>2963.8</v>
      </c>
      <c r="E41" s="14">
        <v>2931.15</v>
      </c>
      <c r="F41" s="14">
        <v>2949.35</v>
      </c>
      <c r="G41" s="14">
        <v>2935.7</v>
      </c>
      <c r="H41" s="14">
        <v>2940.7</v>
      </c>
      <c r="I41" s="14">
        <v>2946.2</v>
      </c>
      <c r="J41" s="14">
        <v>2965</v>
      </c>
      <c r="K41" s="14">
        <v>1577.5</v>
      </c>
      <c r="L41" s="15">
        <v>711383</v>
      </c>
      <c r="M41" t="s" s="13">
        <v>6363</v>
      </c>
      <c r="N41" s="15">
        <v>44927</v>
      </c>
      <c r="O41" s="17" cm="1">
        <f t="array" ref="O41">(H41-H40)/H40</f>
        <v>-0.00293284961093122</v>
      </c>
      <c r="P41" s="8"/>
      <c r="Q41" s="8"/>
    </row>
    <row r="42" ht="13.65" customHeight="1">
      <c r="A42" s="20">
        <v>44347</v>
      </c>
      <c r="B42" t="s" s="13">
        <v>22</v>
      </c>
      <c r="C42" s="14">
        <v>2938</v>
      </c>
      <c r="D42" s="14">
        <v>2989.95</v>
      </c>
      <c r="E42" s="14">
        <v>2936.1</v>
      </c>
      <c r="F42" s="14">
        <v>2940.7</v>
      </c>
      <c r="G42" s="14">
        <v>2976.1</v>
      </c>
      <c r="H42" s="14">
        <v>2977.5</v>
      </c>
      <c r="I42" s="14">
        <v>2973.83</v>
      </c>
      <c r="J42" s="14">
        <v>2989.95</v>
      </c>
      <c r="K42" s="14">
        <v>1577.5</v>
      </c>
      <c r="L42" s="15">
        <v>2093635</v>
      </c>
      <c r="M42" t="s" s="13">
        <v>6364</v>
      </c>
      <c r="N42" s="15">
        <v>84746</v>
      </c>
      <c r="O42" s="17" cm="1">
        <f t="array" ref="O42">(H42-H41)/H41</f>
        <v>0.0125140272724181</v>
      </c>
      <c r="P42" s="8"/>
      <c r="Q42" s="8"/>
    </row>
    <row r="43" ht="13.65" customHeight="1">
      <c r="A43" s="12">
        <v>44348</v>
      </c>
      <c r="B43" t="s" s="13">
        <v>22</v>
      </c>
      <c r="C43" s="14">
        <v>2965</v>
      </c>
      <c r="D43" s="14">
        <v>2982.6</v>
      </c>
      <c r="E43" s="14">
        <v>2915.1</v>
      </c>
      <c r="F43" s="14">
        <v>2977.5</v>
      </c>
      <c r="G43" s="14">
        <v>2924.9</v>
      </c>
      <c r="H43" s="14">
        <v>2931</v>
      </c>
      <c r="I43" s="14">
        <v>2952.41</v>
      </c>
      <c r="J43" s="14">
        <v>2989.95</v>
      </c>
      <c r="K43" s="14">
        <v>1577.5</v>
      </c>
      <c r="L43" s="15">
        <v>1194073</v>
      </c>
      <c r="M43" t="s" s="13">
        <v>6365</v>
      </c>
      <c r="N43" s="15">
        <v>60036</v>
      </c>
      <c r="O43" s="17" cm="1">
        <f t="array" ref="O43">(H43-H42)/H42</f>
        <v>-0.0156171284634761</v>
      </c>
      <c r="P43" s="8"/>
      <c r="Q43" s="8"/>
    </row>
    <row r="44" ht="13.65" customHeight="1">
      <c r="A44" s="12">
        <v>44349</v>
      </c>
      <c r="B44" t="s" s="13">
        <v>22</v>
      </c>
      <c r="C44" s="14">
        <v>2918.85</v>
      </c>
      <c r="D44" s="14">
        <v>2933.75</v>
      </c>
      <c r="E44" s="14">
        <v>2877.15</v>
      </c>
      <c r="F44" s="14">
        <v>2931</v>
      </c>
      <c r="G44" s="14">
        <v>2906</v>
      </c>
      <c r="H44" s="14">
        <v>2903.7</v>
      </c>
      <c r="I44" s="14">
        <v>2902.17</v>
      </c>
      <c r="J44" s="14">
        <v>2989.95</v>
      </c>
      <c r="K44" s="14">
        <v>1577.5</v>
      </c>
      <c r="L44" s="15">
        <v>2067842</v>
      </c>
      <c r="M44" t="s" s="13">
        <v>6366</v>
      </c>
      <c r="N44" s="15">
        <v>105671</v>
      </c>
      <c r="O44" s="17" cm="1">
        <f t="array" ref="O44">(H44-H43)/H43</f>
        <v>-0.00931422722620266</v>
      </c>
      <c r="P44" s="8"/>
      <c r="Q44" s="8"/>
    </row>
    <row r="45" ht="13.65" customHeight="1">
      <c r="A45" s="12">
        <v>44350</v>
      </c>
      <c r="B45" t="s" s="13">
        <v>22</v>
      </c>
      <c r="C45" s="14">
        <v>2919.6</v>
      </c>
      <c r="D45" s="14">
        <v>2942</v>
      </c>
      <c r="E45" s="14">
        <v>2904.05</v>
      </c>
      <c r="F45" s="14">
        <v>2903.7</v>
      </c>
      <c r="G45" s="14">
        <v>2935.8</v>
      </c>
      <c r="H45" s="14">
        <v>2935.35</v>
      </c>
      <c r="I45" s="14">
        <v>2921.21</v>
      </c>
      <c r="J45" s="14">
        <v>2989.95</v>
      </c>
      <c r="K45" s="14">
        <v>1577.5</v>
      </c>
      <c r="L45" s="15">
        <v>1404434</v>
      </c>
      <c r="M45" t="s" s="13">
        <v>6367</v>
      </c>
      <c r="N45" s="15">
        <v>71480</v>
      </c>
      <c r="O45" s="17" cm="1">
        <f t="array" ref="O45">(H45-H44)/H44</f>
        <v>0.0108998863518959</v>
      </c>
      <c r="P45" s="8"/>
      <c r="Q45" s="8"/>
    </row>
    <row r="46" ht="13.65" customHeight="1">
      <c r="A46" s="12">
        <v>44351</v>
      </c>
      <c r="B46" t="s" s="13">
        <v>22</v>
      </c>
      <c r="C46" s="14">
        <v>2953</v>
      </c>
      <c r="D46" s="14">
        <v>2990</v>
      </c>
      <c r="E46" s="14">
        <v>2908</v>
      </c>
      <c r="F46" s="14">
        <v>2935.35</v>
      </c>
      <c r="G46" s="14">
        <v>2919.65</v>
      </c>
      <c r="H46" s="14">
        <v>2924.9</v>
      </c>
      <c r="I46" s="14">
        <v>2945.21</v>
      </c>
      <c r="J46" s="14">
        <v>2990</v>
      </c>
      <c r="K46" s="14">
        <v>1577.5</v>
      </c>
      <c r="L46" s="15">
        <v>1509084</v>
      </c>
      <c r="M46" t="s" s="13">
        <v>6368</v>
      </c>
      <c r="N46" s="15">
        <v>88095</v>
      </c>
      <c r="O46" s="17" cm="1">
        <f t="array" ref="O46">(H46-H45)/H45</f>
        <v>-0.00356005246393105</v>
      </c>
      <c r="P46" s="8"/>
      <c r="Q46" s="8"/>
    </row>
    <row r="47" ht="13.65" customHeight="1">
      <c r="A47" s="12">
        <v>44354</v>
      </c>
      <c r="B47" t="s" s="13">
        <v>22</v>
      </c>
      <c r="C47" s="14">
        <v>2930</v>
      </c>
      <c r="D47" s="14">
        <v>2941</v>
      </c>
      <c r="E47" s="14">
        <v>2903.95</v>
      </c>
      <c r="F47" s="14">
        <v>2924.9</v>
      </c>
      <c r="G47" s="14">
        <v>2928</v>
      </c>
      <c r="H47" s="14">
        <v>2933.1</v>
      </c>
      <c r="I47" s="14">
        <v>2920.5</v>
      </c>
      <c r="J47" s="14">
        <v>2990</v>
      </c>
      <c r="K47" s="14">
        <v>1577.5</v>
      </c>
      <c r="L47" s="15">
        <v>802415</v>
      </c>
      <c r="M47" t="s" s="13">
        <v>6369</v>
      </c>
      <c r="N47" s="15">
        <v>51994</v>
      </c>
      <c r="O47" s="17" cm="1">
        <f t="array" ref="O47">(H47-H46)/H46</f>
        <v>0.00280351465007351</v>
      </c>
      <c r="P47" s="8"/>
      <c r="Q47" s="8"/>
    </row>
    <row r="48" ht="13.65" customHeight="1">
      <c r="A48" s="12">
        <v>44355</v>
      </c>
      <c r="B48" t="s" s="13">
        <v>22</v>
      </c>
      <c r="C48" s="14">
        <v>2928</v>
      </c>
      <c r="D48" s="14">
        <v>2944.25</v>
      </c>
      <c r="E48" s="14">
        <v>2907.5</v>
      </c>
      <c r="F48" s="14">
        <v>2933.1</v>
      </c>
      <c r="G48" s="14">
        <v>2925</v>
      </c>
      <c r="H48" s="14">
        <v>2926.25</v>
      </c>
      <c r="I48" s="14">
        <v>2922.05</v>
      </c>
      <c r="J48" s="14">
        <v>2990</v>
      </c>
      <c r="K48" s="14">
        <v>1577.5</v>
      </c>
      <c r="L48" s="15">
        <v>762931</v>
      </c>
      <c r="M48" t="s" s="13">
        <v>6370</v>
      </c>
      <c r="N48" s="15">
        <v>40978</v>
      </c>
      <c r="O48" s="17" cm="1">
        <f t="array" ref="O48">(H48-H47)/H47</f>
        <v>-0.00233541304421943</v>
      </c>
      <c r="P48" s="8"/>
      <c r="Q48" s="8"/>
    </row>
    <row r="49" ht="13.65" customHeight="1">
      <c r="A49" s="12">
        <v>44356</v>
      </c>
      <c r="B49" t="s" s="13">
        <v>22</v>
      </c>
      <c r="C49" s="14">
        <v>2930.8</v>
      </c>
      <c r="D49" s="14">
        <v>2965</v>
      </c>
      <c r="E49" s="14">
        <v>2919.6</v>
      </c>
      <c r="F49" s="14">
        <v>2926.25</v>
      </c>
      <c r="G49" s="14">
        <v>2941.3</v>
      </c>
      <c r="H49" s="14">
        <v>2943.55</v>
      </c>
      <c r="I49" s="14">
        <v>2946.1</v>
      </c>
      <c r="J49" s="14">
        <v>2990</v>
      </c>
      <c r="K49" s="14">
        <v>1577.5</v>
      </c>
      <c r="L49" s="15">
        <v>1340352</v>
      </c>
      <c r="M49" t="s" s="13">
        <v>6371</v>
      </c>
      <c r="N49" s="15">
        <v>76383</v>
      </c>
      <c r="O49" s="17" cm="1">
        <f t="array" ref="O49">(H49-H48)/H48</f>
        <v>0.00591200341734302</v>
      </c>
      <c r="P49" s="8"/>
      <c r="Q49" s="8"/>
    </row>
    <row r="50" ht="13.65" customHeight="1">
      <c r="A50" s="18">
        <v>44357</v>
      </c>
      <c r="B50" t="s" s="13">
        <v>22</v>
      </c>
      <c r="C50" s="14">
        <v>2945</v>
      </c>
      <c r="D50" s="14">
        <v>2959.3</v>
      </c>
      <c r="E50" s="14">
        <v>2920.65</v>
      </c>
      <c r="F50" s="14">
        <v>2943.55</v>
      </c>
      <c r="G50" s="14">
        <v>2955.6</v>
      </c>
      <c r="H50" s="14">
        <v>2950.6</v>
      </c>
      <c r="I50" s="14">
        <v>2940.62</v>
      </c>
      <c r="J50" s="14">
        <v>2990</v>
      </c>
      <c r="K50" s="14">
        <v>1577.5</v>
      </c>
      <c r="L50" s="15">
        <v>1344559</v>
      </c>
      <c r="M50" t="s" s="13">
        <v>6372</v>
      </c>
      <c r="N50" s="15">
        <v>62341</v>
      </c>
      <c r="O50" s="17" cm="1">
        <f t="array" ref="O50">(H50-H49)/H49</f>
        <v>0.00239506718078511</v>
      </c>
      <c r="P50" s="8"/>
      <c r="Q50" s="8"/>
    </row>
    <row r="51" ht="13.65" customHeight="1">
      <c r="A51" s="18">
        <v>44358</v>
      </c>
      <c r="B51" t="s" s="13">
        <v>22</v>
      </c>
      <c r="C51" s="14">
        <v>2960</v>
      </c>
      <c r="D51" s="14">
        <v>2971.6</v>
      </c>
      <c r="E51" s="14">
        <v>2938.6</v>
      </c>
      <c r="F51" s="14">
        <v>2950.6</v>
      </c>
      <c r="G51" s="14">
        <v>2955.1</v>
      </c>
      <c r="H51" s="14">
        <v>2956.25</v>
      </c>
      <c r="I51" s="14">
        <v>2953.6</v>
      </c>
      <c r="J51" s="14">
        <v>2990</v>
      </c>
      <c r="K51" s="14">
        <v>1577.5</v>
      </c>
      <c r="L51" s="15">
        <v>878445</v>
      </c>
      <c r="M51" t="s" s="13">
        <v>6373</v>
      </c>
      <c r="N51" s="15">
        <v>53557</v>
      </c>
      <c r="O51" s="17" cm="1">
        <f t="array" ref="O51">(H51-H50)/H50</f>
        <v>0.00191486477326645</v>
      </c>
      <c r="P51" s="8"/>
      <c r="Q51" s="8"/>
    </row>
    <row r="52" ht="13.65" customHeight="1">
      <c r="A52" s="18">
        <v>44361</v>
      </c>
      <c r="B52" t="s" s="13">
        <v>22</v>
      </c>
      <c r="C52" s="14">
        <v>2955.1</v>
      </c>
      <c r="D52" s="14">
        <v>2970</v>
      </c>
      <c r="E52" s="14">
        <v>2916.5</v>
      </c>
      <c r="F52" s="14">
        <v>2956.25</v>
      </c>
      <c r="G52" s="14">
        <v>2953.7</v>
      </c>
      <c r="H52" s="14">
        <v>2949.9</v>
      </c>
      <c r="I52" s="14">
        <v>2942.38</v>
      </c>
      <c r="J52" s="14">
        <v>2990</v>
      </c>
      <c r="K52" s="14">
        <v>1587.3</v>
      </c>
      <c r="L52" s="15">
        <v>746823</v>
      </c>
      <c r="M52" t="s" s="13">
        <v>6374</v>
      </c>
      <c r="N52" s="15">
        <v>36101</v>
      </c>
      <c r="O52" s="17" cm="1">
        <f t="array" ref="O52">(H52-H51)/H51</f>
        <v>-0.00214799154334038</v>
      </c>
      <c r="P52" s="8"/>
      <c r="Q52" s="8"/>
    </row>
    <row r="53" ht="13.65" customHeight="1">
      <c r="A53" s="18">
        <v>44362</v>
      </c>
      <c r="B53" t="s" s="13">
        <v>22</v>
      </c>
      <c r="C53" s="14">
        <v>2970</v>
      </c>
      <c r="D53" s="14">
        <v>3050</v>
      </c>
      <c r="E53" s="14">
        <v>2960.95</v>
      </c>
      <c r="F53" s="14">
        <v>2949.9</v>
      </c>
      <c r="G53" s="14">
        <v>3035</v>
      </c>
      <c r="H53" s="14">
        <v>3042.2</v>
      </c>
      <c r="I53" s="14">
        <v>3022.63</v>
      </c>
      <c r="J53" s="14">
        <v>3050</v>
      </c>
      <c r="K53" s="14">
        <v>1587.3</v>
      </c>
      <c r="L53" s="15">
        <v>2262031</v>
      </c>
      <c r="M53" t="s" s="13">
        <v>6375</v>
      </c>
      <c r="N53" s="15">
        <v>129837</v>
      </c>
      <c r="O53" s="17" cm="1">
        <f t="array" ref="O53">(H53-H52)/H52</f>
        <v>0.0312891962439405</v>
      </c>
      <c r="P53" s="8"/>
      <c r="Q53" s="8"/>
    </row>
    <row r="54" ht="13.65" customHeight="1">
      <c r="A54" s="18">
        <v>44363</v>
      </c>
      <c r="B54" t="s" s="13">
        <v>22</v>
      </c>
      <c r="C54" s="14">
        <v>3029</v>
      </c>
      <c r="D54" s="14">
        <v>3042.2</v>
      </c>
      <c r="E54" s="14">
        <v>3005.5</v>
      </c>
      <c r="F54" s="14">
        <v>3042.2</v>
      </c>
      <c r="G54" s="14">
        <v>3017.95</v>
      </c>
      <c r="H54" s="14">
        <v>3018.7</v>
      </c>
      <c r="I54" s="14">
        <v>3022.71</v>
      </c>
      <c r="J54" s="14">
        <v>3050</v>
      </c>
      <c r="K54" s="14">
        <v>1587.3</v>
      </c>
      <c r="L54" s="15">
        <v>859505</v>
      </c>
      <c r="M54" t="s" s="13">
        <v>6376</v>
      </c>
      <c r="N54" s="15">
        <v>45884</v>
      </c>
      <c r="O54" s="17" cm="1">
        <f t="array" ref="O54">(H54-H53)/H53</f>
        <v>-0.00772467293406088</v>
      </c>
      <c r="P54" s="8"/>
      <c r="Q54" s="8"/>
    </row>
    <row r="55" ht="13.65" customHeight="1">
      <c r="A55" s="18">
        <v>44364</v>
      </c>
      <c r="B55" t="s" s="13">
        <v>22</v>
      </c>
      <c r="C55" s="14">
        <v>3017.95</v>
      </c>
      <c r="D55" s="14">
        <v>3073.95</v>
      </c>
      <c r="E55" s="14">
        <v>3000.5</v>
      </c>
      <c r="F55" s="14">
        <v>3018.7</v>
      </c>
      <c r="G55" s="14">
        <v>3059.9</v>
      </c>
      <c r="H55" s="14">
        <v>3060.3</v>
      </c>
      <c r="I55" s="14">
        <v>3053.42</v>
      </c>
      <c r="J55" s="14">
        <v>3073.95</v>
      </c>
      <c r="K55" s="14">
        <v>1587.3</v>
      </c>
      <c r="L55" s="15">
        <v>1533864</v>
      </c>
      <c r="M55" t="s" s="13">
        <v>6377</v>
      </c>
      <c r="N55" s="15">
        <v>76201</v>
      </c>
      <c r="O55" s="17" cm="1">
        <f t="array" ref="O55">(H55-H54)/H54</f>
        <v>0.0137807665551396</v>
      </c>
      <c r="P55" s="8"/>
      <c r="Q55" s="8"/>
    </row>
    <row r="56" ht="13.65" customHeight="1">
      <c r="A56" s="18">
        <v>44365</v>
      </c>
      <c r="B56" t="s" s="13">
        <v>22</v>
      </c>
      <c r="C56" s="14">
        <v>3061.55</v>
      </c>
      <c r="D56" s="14">
        <v>3077.8</v>
      </c>
      <c r="E56" s="14">
        <v>3016.05</v>
      </c>
      <c r="F56" s="14">
        <v>3060.3</v>
      </c>
      <c r="G56" s="14">
        <v>3050.05</v>
      </c>
      <c r="H56" s="14">
        <v>3047.2</v>
      </c>
      <c r="I56" s="14">
        <v>3043.93</v>
      </c>
      <c r="J56" s="14">
        <v>3077.8</v>
      </c>
      <c r="K56" s="14">
        <v>1587.3</v>
      </c>
      <c r="L56" s="15">
        <v>2293860</v>
      </c>
      <c r="M56" t="s" s="13">
        <v>6378</v>
      </c>
      <c r="N56" s="15">
        <v>83345</v>
      </c>
      <c r="O56" s="17" cm="1">
        <f t="array" ref="O56">(H56-H55)/H55</f>
        <v>-0.00428062608241022</v>
      </c>
      <c r="P56" s="8"/>
      <c r="Q56" s="8"/>
    </row>
    <row r="57" ht="13.65" customHeight="1">
      <c r="A57" s="18">
        <v>44368</v>
      </c>
      <c r="B57" t="s" s="13">
        <v>22</v>
      </c>
      <c r="C57" s="14">
        <v>3024.2</v>
      </c>
      <c r="D57" s="14">
        <v>3079.15</v>
      </c>
      <c r="E57" s="14">
        <v>3021.05</v>
      </c>
      <c r="F57" s="14">
        <v>3047.2</v>
      </c>
      <c r="G57" s="14">
        <v>3071.2</v>
      </c>
      <c r="H57" s="14">
        <v>3068.55</v>
      </c>
      <c r="I57" s="14">
        <v>3064.78</v>
      </c>
      <c r="J57" s="14">
        <v>3079.15</v>
      </c>
      <c r="K57" s="14">
        <v>1624</v>
      </c>
      <c r="L57" s="15">
        <v>720491</v>
      </c>
      <c r="M57" t="s" s="13">
        <v>6379</v>
      </c>
      <c r="N57" s="15">
        <v>52068</v>
      </c>
      <c r="O57" s="17" cm="1">
        <f t="array" ref="O57">(H57-H56)/H56</f>
        <v>0.00700643213441848</v>
      </c>
      <c r="P57" s="8"/>
      <c r="Q57" s="8"/>
    </row>
    <row r="58" ht="13.65" customHeight="1">
      <c r="A58" s="18">
        <v>44369</v>
      </c>
      <c r="B58" t="s" s="13">
        <v>22</v>
      </c>
      <c r="C58" s="14">
        <v>3085</v>
      </c>
      <c r="D58" s="14">
        <v>3092.85</v>
      </c>
      <c r="E58" s="14">
        <v>3004.2</v>
      </c>
      <c r="F58" s="14">
        <v>3068.55</v>
      </c>
      <c r="G58" s="14">
        <v>3015</v>
      </c>
      <c r="H58" s="14">
        <v>3010.8</v>
      </c>
      <c r="I58" s="14">
        <v>3042.11</v>
      </c>
      <c r="J58" s="14">
        <v>3092.85</v>
      </c>
      <c r="K58" s="14">
        <v>1624</v>
      </c>
      <c r="L58" s="15">
        <v>1199238</v>
      </c>
      <c r="M58" t="s" s="13">
        <v>6380</v>
      </c>
      <c r="N58" s="15">
        <v>62200</v>
      </c>
      <c r="O58" s="17" cm="1">
        <f t="array" ref="O58">(H58-H57)/H57</f>
        <v>-0.018819963826563</v>
      </c>
      <c r="P58" s="8"/>
      <c r="Q58" s="8"/>
    </row>
    <row r="59" ht="13.65" customHeight="1">
      <c r="A59" s="18">
        <v>44370</v>
      </c>
      <c r="B59" t="s" s="13">
        <v>22</v>
      </c>
      <c r="C59" s="14">
        <v>3030</v>
      </c>
      <c r="D59" s="14">
        <v>3030</v>
      </c>
      <c r="E59" s="14">
        <v>2983.5</v>
      </c>
      <c r="F59" s="14">
        <v>3010.8</v>
      </c>
      <c r="G59" s="14">
        <v>2995</v>
      </c>
      <c r="H59" s="14">
        <v>2987.35</v>
      </c>
      <c r="I59" s="14">
        <v>3000.87</v>
      </c>
      <c r="J59" s="14">
        <v>3092.85</v>
      </c>
      <c r="K59" s="14">
        <v>1624</v>
      </c>
      <c r="L59" s="15">
        <v>1009007</v>
      </c>
      <c r="M59" t="s" s="13">
        <v>6381</v>
      </c>
      <c r="N59" s="15">
        <v>59721</v>
      </c>
      <c r="O59" s="17" cm="1">
        <f t="array" ref="O59">(H59-H58)/H58</f>
        <v>-0.00778862760728046</v>
      </c>
      <c r="P59" s="8"/>
      <c r="Q59" s="8"/>
    </row>
    <row r="60" ht="13.65" customHeight="1">
      <c r="A60" s="18">
        <v>44371</v>
      </c>
      <c r="B60" t="s" s="13">
        <v>22</v>
      </c>
      <c r="C60" s="14">
        <v>2987.35</v>
      </c>
      <c r="D60" s="14">
        <v>3049.7</v>
      </c>
      <c r="E60" s="14">
        <v>2975.45</v>
      </c>
      <c r="F60" s="14">
        <v>2987.35</v>
      </c>
      <c r="G60" s="14">
        <v>3044</v>
      </c>
      <c r="H60" s="14">
        <v>3043.25</v>
      </c>
      <c r="I60" s="14">
        <v>3014.66</v>
      </c>
      <c r="J60" s="14">
        <v>3092.85</v>
      </c>
      <c r="K60" s="14">
        <v>1624</v>
      </c>
      <c r="L60" s="15">
        <v>985596</v>
      </c>
      <c r="M60" t="s" s="13">
        <v>6382</v>
      </c>
      <c r="N60" s="15">
        <v>53646</v>
      </c>
      <c r="O60" s="17" cm="1">
        <f t="array" ref="O60">(H60-H59)/H59</f>
        <v>0.0187122365976534</v>
      </c>
      <c r="P60" s="8"/>
      <c r="Q60" s="8"/>
    </row>
    <row r="61" ht="13.65" customHeight="1">
      <c r="A61" s="18">
        <v>44372</v>
      </c>
      <c r="B61" t="s" s="13">
        <v>22</v>
      </c>
      <c r="C61" s="14">
        <v>3030.2</v>
      </c>
      <c r="D61" s="14">
        <v>3053.5</v>
      </c>
      <c r="E61" s="14">
        <v>2985</v>
      </c>
      <c r="F61" s="14">
        <v>3043.25</v>
      </c>
      <c r="G61" s="14">
        <v>3006.9</v>
      </c>
      <c r="H61" s="14">
        <v>3003.9</v>
      </c>
      <c r="I61" s="14">
        <v>3006</v>
      </c>
      <c r="J61" s="14">
        <v>3092.85</v>
      </c>
      <c r="K61" s="14">
        <v>1624</v>
      </c>
      <c r="L61" s="15">
        <v>786964</v>
      </c>
      <c r="M61" t="s" s="13">
        <v>6383</v>
      </c>
      <c r="N61" s="15">
        <v>62490</v>
      </c>
      <c r="O61" s="17" cm="1">
        <f t="array" ref="O61">(H61-H60)/H60</f>
        <v>-0.012930255483447</v>
      </c>
      <c r="P61" s="8"/>
      <c r="Q61" s="8"/>
    </row>
    <row r="62" ht="13.65" customHeight="1">
      <c r="A62" s="18">
        <v>44375</v>
      </c>
      <c r="B62" t="s" s="13">
        <v>22</v>
      </c>
      <c r="C62" s="14">
        <v>3024</v>
      </c>
      <c r="D62" s="14">
        <v>3038.85</v>
      </c>
      <c r="E62" s="14">
        <v>2976.25</v>
      </c>
      <c r="F62" s="14">
        <v>3003.9</v>
      </c>
      <c r="G62" s="14">
        <v>2986.65</v>
      </c>
      <c r="H62" s="14">
        <v>2982.95</v>
      </c>
      <c r="I62" s="14">
        <v>3002</v>
      </c>
      <c r="J62" s="14">
        <v>3092.85</v>
      </c>
      <c r="K62" s="14">
        <v>1645.1</v>
      </c>
      <c r="L62" s="15">
        <v>891695</v>
      </c>
      <c r="M62" t="s" s="13">
        <v>6384</v>
      </c>
      <c r="N62" s="15">
        <v>52409</v>
      </c>
      <c r="O62" s="17" cm="1">
        <f t="array" ref="O62">(H62-H61)/H61</f>
        <v>-0.00697426678651087</v>
      </c>
      <c r="P62" s="8"/>
      <c r="Q62" s="8"/>
    </row>
    <row r="63" ht="13.65" customHeight="1">
      <c r="A63" s="18">
        <v>44376</v>
      </c>
      <c r="B63" t="s" s="13">
        <v>22</v>
      </c>
      <c r="C63" s="14">
        <v>2989</v>
      </c>
      <c r="D63" s="14">
        <v>3023.85</v>
      </c>
      <c r="E63" s="14">
        <v>2973.05</v>
      </c>
      <c r="F63" s="14">
        <v>2982.95</v>
      </c>
      <c r="G63" s="14">
        <v>3003</v>
      </c>
      <c r="H63" s="14">
        <v>3001.5</v>
      </c>
      <c r="I63" s="14">
        <v>2996.75</v>
      </c>
      <c r="J63" s="14">
        <v>3092.85</v>
      </c>
      <c r="K63" s="14">
        <v>1645.1</v>
      </c>
      <c r="L63" s="15">
        <v>1242734</v>
      </c>
      <c r="M63" t="s" s="13">
        <v>6385</v>
      </c>
      <c r="N63" s="15">
        <v>61535</v>
      </c>
      <c r="O63" s="17" cm="1">
        <f t="array" ref="O63">(H63-H62)/H62</f>
        <v>0.0062186761427446</v>
      </c>
      <c r="P63" s="8"/>
      <c r="Q63" s="8"/>
    </row>
    <row r="64" ht="13.65" customHeight="1">
      <c r="A64" s="18">
        <v>44377</v>
      </c>
      <c r="B64" t="s" s="13">
        <v>22</v>
      </c>
      <c r="C64" s="14">
        <v>2999</v>
      </c>
      <c r="D64" s="14">
        <v>3030</v>
      </c>
      <c r="E64" s="14">
        <v>2985.65</v>
      </c>
      <c r="F64" s="14">
        <v>3001.5</v>
      </c>
      <c r="G64" s="14">
        <v>3002</v>
      </c>
      <c r="H64" s="14">
        <v>2992.7</v>
      </c>
      <c r="I64" s="14">
        <v>3006.53</v>
      </c>
      <c r="J64" s="14">
        <v>3092.85</v>
      </c>
      <c r="K64" s="14">
        <v>1645.1</v>
      </c>
      <c r="L64" s="15">
        <v>924522</v>
      </c>
      <c r="M64" t="s" s="13">
        <v>6386</v>
      </c>
      <c r="N64" s="15">
        <v>56390</v>
      </c>
      <c r="O64" s="17" cm="1">
        <f t="array" ref="O64">(H64-H63)/H63</f>
        <v>-0.00293186739963352</v>
      </c>
      <c r="P64" s="8"/>
      <c r="Q64" s="8"/>
    </row>
    <row r="65" ht="13.65" customHeight="1">
      <c r="A65" s="12">
        <v>44378</v>
      </c>
      <c r="B65" t="s" s="13">
        <v>22</v>
      </c>
      <c r="C65" s="14">
        <v>3008</v>
      </c>
      <c r="D65" s="14">
        <v>3026.9</v>
      </c>
      <c r="E65" s="14">
        <v>2997</v>
      </c>
      <c r="F65" s="14">
        <v>2992.7</v>
      </c>
      <c r="G65" s="14">
        <v>3023.15</v>
      </c>
      <c r="H65" s="14">
        <v>3021.6</v>
      </c>
      <c r="I65" s="14">
        <v>3014.31</v>
      </c>
      <c r="J65" s="14">
        <v>3092.85</v>
      </c>
      <c r="K65" s="14">
        <v>1645.1</v>
      </c>
      <c r="L65" s="15">
        <v>848235</v>
      </c>
      <c r="M65" t="s" s="13">
        <v>6387</v>
      </c>
      <c r="N65" s="15">
        <v>41304</v>
      </c>
      <c r="O65" s="17" cm="1">
        <f t="array" ref="O65">(H65-H64)/H64</f>
        <v>0.00965683162361747</v>
      </c>
      <c r="P65" s="8"/>
      <c r="Q65" s="8"/>
    </row>
    <row r="66" ht="13.65" customHeight="1">
      <c r="A66" s="12">
        <v>44379</v>
      </c>
      <c r="B66" t="s" s="13">
        <v>22</v>
      </c>
      <c r="C66" s="14">
        <v>3032.95</v>
      </c>
      <c r="D66" s="14">
        <v>3038.8</v>
      </c>
      <c r="E66" s="14">
        <v>2999.75</v>
      </c>
      <c r="F66" s="14">
        <v>3021.6</v>
      </c>
      <c r="G66" s="14">
        <v>3004</v>
      </c>
      <c r="H66" s="14">
        <v>3005</v>
      </c>
      <c r="I66" s="14">
        <v>3014.79</v>
      </c>
      <c r="J66" s="14">
        <v>3092.85</v>
      </c>
      <c r="K66" s="14">
        <v>1645.1</v>
      </c>
      <c r="L66" s="15">
        <v>805542</v>
      </c>
      <c r="M66" t="s" s="13">
        <v>6388</v>
      </c>
      <c r="N66" s="15">
        <v>46092</v>
      </c>
      <c r="O66" s="17" cm="1">
        <f t="array" ref="O66">(H66-H65)/H65</f>
        <v>-0.00549377813079163</v>
      </c>
      <c r="P66" s="8"/>
      <c r="Q66" s="8"/>
    </row>
    <row r="67" ht="13.65" customHeight="1">
      <c r="A67" s="12">
        <v>44382</v>
      </c>
      <c r="B67" t="s" s="13">
        <v>22</v>
      </c>
      <c r="C67" s="14">
        <v>3020</v>
      </c>
      <c r="D67" s="14">
        <v>3050</v>
      </c>
      <c r="E67" s="14">
        <v>3007.1</v>
      </c>
      <c r="F67" s="14">
        <v>3005</v>
      </c>
      <c r="G67" s="14">
        <v>3011.05</v>
      </c>
      <c r="H67" s="14">
        <v>3014.8</v>
      </c>
      <c r="I67" s="14">
        <v>3023.3</v>
      </c>
      <c r="J67" s="14">
        <v>3092.85</v>
      </c>
      <c r="K67" s="14">
        <v>1645.1</v>
      </c>
      <c r="L67" s="15">
        <v>863343</v>
      </c>
      <c r="M67" t="s" s="13">
        <v>6389</v>
      </c>
      <c r="N67" s="15">
        <v>47086</v>
      </c>
      <c r="O67" s="17" cm="1">
        <f t="array" ref="O67">(H67-H66)/H66</f>
        <v>0.003261231281198</v>
      </c>
      <c r="P67" s="8"/>
      <c r="Q67" s="8"/>
    </row>
    <row r="68" ht="13.65" customHeight="1">
      <c r="A68" s="12">
        <v>44383</v>
      </c>
      <c r="B68" t="s" s="13">
        <v>22</v>
      </c>
      <c r="C68" s="14">
        <v>3003</v>
      </c>
      <c r="D68" s="14">
        <v>3029.5</v>
      </c>
      <c r="E68" s="14">
        <v>2996</v>
      </c>
      <c r="F68" s="14">
        <v>3014.8</v>
      </c>
      <c r="G68" s="14">
        <v>3006.5</v>
      </c>
      <c r="H68" s="14">
        <v>3002.5</v>
      </c>
      <c r="I68" s="14">
        <v>3007.63</v>
      </c>
      <c r="J68" s="14">
        <v>3092.85</v>
      </c>
      <c r="K68" s="14">
        <v>1645.1</v>
      </c>
      <c r="L68" s="15">
        <v>762630</v>
      </c>
      <c r="M68" t="s" s="13">
        <v>6390</v>
      </c>
      <c r="N68" s="15">
        <v>46717</v>
      </c>
      <c r="O68" s="17" cm="1">
        <f t="array" ref="O68">(H68-H67)/H67</f>
        <v>-0.00407987262836672</v>
      </c>
      <c r="P68" s="8"/>
      <c r="Q68" s="8"/>
    </row>
    <row r="69" ht="13.65" customHeight="1">
      <c r="A69" s="12">
        <v>44384</v>
      </c>
      <c r="B69" t="s" s="13">
        <v>22</v>
      </c>
      <c r="C69" s="14">
        <v>3065</v>
      </c>
      <c r="D69" s="14">
        <v>3069</v>
      </c>
      <c r="E69" s="14">
        <v>3011.25</v>
      </c>
      <c r="F69" s="14">
        <v>3002.5</v>
      </c>
      <c r="G69" s="14">
        <v>3035.85</v>
      </c>
      <c r="H69" s="14">
        <v>3040.1</v>
      </c>
      <c r="I69" s="14">
        <v>3034.29</v>
      </c>
      <c r="J69" s="14">
        <v>3092.85</v>
      </c>
      <c r="K69" s="14">
        <v>1645.1</v>
      </c>
      <c r="L69" s="15">
        <v>1234865</v>
      </c>
      <c r="M69" t="s" s="13">
        <v>6391</v>
      </c>
      <c r="N69" s="15">
        <v>64849</v>
      </c>
      <c r="O69" s="17" cm="1">
        <f t="array" ref="O69">(H69-H68)/H68</f>
        <v>0.0125228975853455</v>
      </c>
      <c r="P69" s="8"/>
      <c r="Q69" s="8"/>
    </row>
    <row r="70" ht="13.65" customHeight="1">
      <c r="A70" s="12">
        <v>44385</v>
      </c>
      <c r="B70" t="s" s="13">
        <v>22</v>
      </c>
      <c r="C70" s="14">
        <v>3050</v>
      </c>
      <c r="D70" s="14">
        <v>3059</v>
      </c>
      <c r="E70" s="14">
        <v>3018.8</v>
      </c>
      <c r="F70" s="14">
        <v>3040.1</v>
      </c>
      <c r="G70" s="14">
        <v>3034</v>
      </c>
      <c r="H70" s="14">
        <v>3028.3</v>
      </c>
      <c r="I70" s="14">
        <v>3033.76</v>
      </c>
      <c r="J70" s="14">
        <v>3092.85</v>
      </c>
      <c r="K70" s="14">
        <v>1645.1</v>
      </c>
      <c r="L70" s="15">
        <v>907391</v>
      </c>
      <c r="M70" t="s" s="13">
        <v>6392</v>
      </c>
      <c r="N70" s="15">
        <v>51739</v>
      </c>
      <c r="O70" s="17" cm="1">
        <f t="array" ref="O70">(H70-H69)/H69</f>
        <v>-0.00388145126805039</v>
      </c>
      <c r="P70" s="8"/>
      <c r="Q70" s="8"/>
    </row>
    <row r="71" ht="13.65" customHeight="1">
      <c r="A71" s="12">
        <v>44386</v>
      </c>
      <c r="B71" t="s" s="13">
        <v>22</v>
      </c>
      <c r="C71" s="14">
        <v>3022</v>
      </c>
      <c r="D71" s="14">
        <v>3039.15</v>
      </c>
      <c r="E71" s="14">
        <v>3007</v>
      </c>
      <c r="F71" s="14">
        <v>3028.3</v>
      </c>
      <c r="G71" s="14">
        <v>3013</v>
      </c>
      <c r="H71" s="14">
        <v>3010.6</v>
      </c>
      <c r="I71" s="14">
        <v>3016.09</v>
      </c>
      <c r="J71" s="14">
        <v>3092.85</v>
      </c>
      <c r="K71" s="14">
        <v>1645.1</v>
      </c>
      <c r="L71" s="15">
        <v>547082</v>
      </c>
      <c r="M71" t="s" s="13">
        <v>6393</v>
      </c>
      <c r="N71" s="15">
        <v>38694</v>
      </c>
      <c r="O71" s="17" cm="1">
        <f t="array" ref="O71">(H71-H70)/H70</f>
        <v>-0.00584486345474359</v>
      </c>
      <c r="P71" s="8"/>
      <c r="Q71" s="8"/>
    </row>
    <row r="72" ht="13.65" customHeight="1">
      <c r="A72" s="18">
        <v>44389</v>
      </c>
      <c r="B72" t="s" s="13">
        <v>22</v>
      </c>
      <c r="C72" s="14">
        <v>3034.9</v>
      </c>
      <c r="D72" s="14">
        <v>3042.85</v>
      </c>
      <c r="E72" s="14">
        <v>2991.05</v>
      </c>
      <c r="F72" s="14">
        <v>3010.6</v>
      </c>
      <c r="G72" s="14">
        <v>3000</v>
      </c>
      <c r="H72" s="14">
        <v>2999.4</v>
      </c>
      <c r="I72" s="14">
        <v>3009.2</v>
      </c>
      <c r="J72" s="14">
        <v>3092.85</v>
      </c>
      <c r="K72" s="14">
        <v>1645.1</v>
      </c>
      <c r="L72" s="15">
        <v>765566</v>
      </c>
      <c r="M72" t="s" s="13">
        <v>6394</v>
      </c>
      <c r="N72" s="15">
        <v>47137</v>
      </c>
      <c r="O72" s="17" cm="1">
        <f t="array" ref="O72">(H72-H71)/H71</f>
        <v>-0.00372018866671095</v>
      </c>
      <c r="P72" s="8"/>
      <c r="Q72" s="8"/>
    </row>
    <row r="73" ht="13.65" customHeight="1">
      <c r="A73" s="18">
        <v>44390</v>
      </c>
      <c r="B73" t="s" s="13">
        <v>22</v>
      </c>
      <c r="C73" s="14">
        <v>3020</v>
      </c>
      <c r="D73" s="14">
        <v>3021.1</v>
      </c>
      <c r="E73" s="14">
        <v>2985.35</v>
      </c>
      <c r="F73" s="14">
        <v>2999.4</v>
      </c>
      <c r="G73" s="14">
        <v>2998.2</v>
      </c>
      <c r="H73" s="14">
        <v>2993.85</v>
      </c>
      <c r="I73" s="14">
        <v>2999.24</v>
      </c>
      <c r="J73" s="14">
        <v>3092.85</v>
      </c>
      <c r="K73" s="14">
        <v>1645.1</v>
      </c>
      <c r="L73" s="15">
        <v>703484</v>
      </c>
      <c r="M73" t="s" s="13">
        <v>6395</v>
      </c>
      <c r="N73" s="15">
        <v>47346</v>
      </c>
      <c r="O73" s="17" cm="1">
        <f t="array" ref="O73">(H73-H72)/H72</f>
        <v>-0.0018503700740148</v>
      </c>
      <c r="P73" s="8"/>
      <c r="Q73" s="8"/>
    </row>
    <row r="74" ht="13.65" customHeight="1">
      <c r="A74" s="18">
        <v>44391</v>
      </c>
      <c r="B74" t="s" s="13">
        <v>22</v>
      </c>
      <c r="C74" s="14">
        <v>3003</v>
      </c>
      <c r="D74" s="14">
        <v>3007.75</v>
      </c>
      <c r="E74" s="14">
        <v>2984.2</v>
      </c>
      <c r="F74" s="14">
        <v>2993.85</v>
      </c>
      <c r="G74" s="14">
        <v>3001</v>
      </c>
      <c r="H74" s="14">
        <v>3001.95</v>
      </c>
      <c r="I74" s="14">
        <v>2998.85</v>
      </c>
      <c r="J74" s="14">
        <v>3092.85</v>
      </c>
      <c r="K74" s="14">
        <v>1645.1</v>
      </c>
      <c r="L74" s="15">
        <v>470744</v>
      </c>
      <c r="M74" t="s" s="13">
        <v>6396</v>
      </c>
      <c r="N74" s="15">
        <v>41588</v>
      </c>
      <c r="O74" s="17" cm="1">
        <f t="array" ref="O74">(H74-H73)/H73</f>
        <v>0.00270554637005862</v>
      </c>
      <c r="P74" s="8"/>
      <c r="Q74" s="8"/>
    </row>
    <row r="75" ht="13.65" customHeight="1">
      <c r="A75" s="18">
        <v>44392</v>
      </c>
      <c r="B75" t="s" s="13">
        <v>22</v>
      </c>
      <c r="C75" s="14">
        <v>3010</v>
      </c>
      <c r="D75" s="14">
        <v>3011</v>
      </c>
      <c r="E75" s="14">
        <v>2971.1</v>
      </c>
      <c r="F75" s="14">
        <v>3001.95</v>
      </c>
      <c r="G75" s="14">
        <v>2988.5</v>
      </c>
      <c r="H75" s="14">
        <v>2983.6</v>
      </c>
      <c r="I75" s="14">
        <v>2984.81</v>
      </c>
      <c r="J75" s="14">
        <v>3092.85</v>
      </c>
      <c r="K75" s="14">
        <v>1645.1</v>
      </c>
      <c r="L75" s="15">
        <v>635535</v>
      </c>
      <c r="M75" t="s" s="13">
        <v>6397</v>
      </c>
      <c r="N75" s="15">
        <v>51815</v>
      </c>
      <c r="O75" s="17" cm="1">
        <f t="array" ref="O75">(H75-H74)/H74</f>
        <v>-0.0061126934159463</v>
      </c>
      <c r="P75" s="8"/>
      <c r="Q75" s="8"/>
    </row>
    <row r="76" ht="13.65" customHeight="1">
      <c r="A76" s="18">
        <v>44393</v>
      </c>
      <c r="B76" t="s" s="13">
        <v>22</v>
      </c>
      <c r="C76" s="14">
        <v>2994</v>
      </c>
      <c r="D76" s="14">
        <v>3006</v>
      </c>
      <c r="E76" s="14">
        <v>2965</v>
      </c>
      <c r="F76" s="14">
        <v>2983.6</v>
      </c>
      <c r="G76" s="14">
        <v>2989.9</v>
      </c>
      <c r="H76" s="14">
        <v>2989.3</v>
      </c>
      <c r="I76" s="14">
        <v>2983.47</v>
      </c>
      <c r="J76" s="14">
        <v>3092.85</v>
      </c>
      <c r="K76" s="14">
        <v>1645.1</v>
      </c>
      <c r="L76" s="15">
        <v>1062548</v>
      </c>
      <c r="M76" t="s" s="13">
        <v>6398</v>
      </c>
      <c r="N76" s="15">
        <v>54021</v>
      </c>
      <c r="O76" s="17" cm="1">
        <f t="array" ref="O76">(H76-H75)/H75</f>
        <v>0.00191044375921705</v>
      </c>
      <c r="P76" s="8"/>
      <c r="Q76" s="8"/>
    </row>
    <row r="77" ht="13.65" customHeight="1">
      <c r="A77" s="18">
        <v>44396</v>
      </c>
      <c r="B77" t="s" s="13">
        <v>22</v>
      </c>
      <c r="C77" s="14">
        <v>2989.3</v>
      </c>
      <c r="D77" s="14">
        <v>2999.7</v>
      </c>
      <c r="E77" s="14">
        <v>2965</v>
      </c>
      <c r="F77" s="14">
        <v>2989.3</v>
      </c>
      <c r="G77" s="14">
        <v>2980</v>
      </c>
      <c r="H77" s="14">
        <v>2981.95</v>
      </c>
      <c r="I77" s="14">
        <v>2981.64</v>
      </c>
      <c r="J77" s="14">
        <v>3092.85</v>
      </c>
      <c r="K77" s="14">
        <v>1682</v>
      </c>
      <c r="L77" s="15">
        <v>837836</v>
      </c>
      <c r="M77" t="s" s="13">
        <v>6399</v>
      </c>
      <c r="N77" s="15">
        <v>55888</v>
      </c>
      <c r="O77" s="17" cm="1">
        <f t="array" ref="O77">(H77-H76)/H76</f>
        <v>-0.00245876961161476</v>
      </c>
      <c r="P77" s="8"/>
      <c r="Q77" s="8"/>
    </row>
    <row r="78" ht="13.65" customHeight="1">
      <c r="A78" s="18">
        <v>44397</v>
      </c>
      <c r="B78" t="s" s="13">
        <v>22</v>
      </c>
      <c r="C78" s="14">
        <v>2996</v>
      </c>
      <c r="D78" s="14">
        <v>3179.5</v>
      </c>
      <c r="E78" s="14">
        <v>2979.55</v>
      </c>
      <c r="F78" s="14">
        <v>2981.95</v>
      </c>
      <c r="G78" s="14">
        <v>3145.05</v>
      </c>
      <c r="H78" s="14">
        <v>3159.05</v>
      </c>
      <c r="I78" s="14">
        <v>3090.59</v>
      </c>
      <c r="J78" s="14">
        <v>3179.5</v>
      </c>
      <c r="K78" s="14">
        <v>1682</v>
      </c>
      <c r="L78" s="15">
        <v>6755922</v>
      </c>
      <c r="M78" t="s" s="13">
        <v>6400</v>
      </c>
      <c r="N78" s="15">
        <v>311385</v>
      </c>
      <c r="O78" s="17" cm="1">
        <f t="array" ref="O78">(H78-H77)/H77</f>
        <v>0.0593906671808716</v>
      </c>
      <c r="P78" s="8"/>
      <c r="Q78" s="8"/>
    </row>
    <row r="79" ht="13.65" customHeight="1">
      <c r="A79" s="18">
        <v>44399</v>
      </c>
      <c r="B79" t="s" s="13">
        <v>22</v>
      </c>
      <c r="C79" s="14">
        <v>3130</v>
      </c>
      <c r="D79" s="14">
        <v>3165</v>
      </c>
      <c r="E79" s="14">
        <v>3090</v>
      </c>
      <c r="F79" s="14">
        <v>3159.05</v>
      </c>
      <c r="G79" s="14">
        <v>3101.3</v>
      </c>
      <c r="H79" s="14">
        <v>3106.75</v>
      </c>
      <c r="I79" s="14">
        <v>3121.84</v>
      </c>
      <c r="J79" s="14">
        <v>3179.5</v>
      </c>
      <c r="K79" s="14">
        <v>1682</v>
      </c>
      <c r="L79" s="15">
        <v>1982572</v>
      </c>
      <c r="M79" t="s" s="13">
        <v>6401</v>
      </c>
      <c r="N79" s="15">
        <v>120866</v>
      </c>
      <c r="O79" s="17" cm="1">
        <f t="array" ref="O79">(H79-H78)/H78</f>
        <v>-0.0165556100726484</v>
      </c>
      <c r="P79" s="8"/>
      <c r="Q79" s="8"/>
    </row>
    <row r="80" ht="13.65" customHeight="1">
      <c r="A80" s="18">
        <v>44400</v>
      </c>
      <c r="B80" t="s" s="13">
        <v>22</v>
      </c>
      <c r="C80" s="14">
        <v>3106</v>
      </c>
      <c r="D80" s="14">
        <v>3129.6</v>
      </c>
      <c r="E80" s="14">
        <v>3078.05</v>
      </c>
      <c r="F80" s="14">
        <v>3106.75</v>
      </c>
      <c r="G80" s="14">
        <v>3085.15</v>
      </c>
      <c r="H80" s="14">
        <v>3083.75</v>
      </c>
      <c r="I80" s="14">
        <v>3097.38</v>
      </c>
      <c r="J80" s="14">
        <v>3179.5</v>
      </c>
      <c r="K80" s="14">
        <v>1682</v>
      </c>
      <c r="L80" s="15">
        <v>815329</v>
      </c>
      <c r="M80" t="s" s="13">
        <v>6402</v>
      </c>
      <c r="N80" s="15">
        <v>60645</v>
      </c>
      <c r="O80" s="17" cm="1">
        <f t="array" ref="O80">(H80-H79)/H79</f>
        <v>-0.00740323489176792</v>
      </c>
      <c r="P80" s="8"/>
      <c r="Q80" s="8"/>
    </row>
    <row r="81" ht="13.65" customHeight="1">
      <c r="A81" s="18">
        <v>44403</v>
      </c>
      <c r="B81" t="s" s="13">
        <v>22</v>
      </c>
      <c r="C81" s="14">
        <v>3079.95</v>
      </c>
      <c r="D81" s="14">
        <v>3119</v>
      </c>
      <c r="E81" s="14">
        <v>3051.2</v>
      </c>
      <c r="F81" s="14">
        <v>3083.75</v>
      </c>
      <c r="G81" s="14">
        <v>3059.55</v>
      </c>
      <c r="H81" s="14">
        <v>3061.2</v>
      </c>
      <c r="I81" s="14">
        <v>3081.27</v>
      </c>
      <c r="J81" s="14">
        <v>3179.5</v>
      </c>
      <c r="K81" s="14">
        <v>1697.5</v>
      </c>
      <c r="L81" s="15">
        <v>1136884</v>
      </c>
      <c r="M81" t="s" s="13">
        <v>6403</v>
      </c>
      <c r="N81" s="15">
        <v>69760</v>
      </c>
      <c r="O81" s="17" cm="1">
        <f t="array" ref="O81">(H81-H80)/H80</f>
        <v>-0.00731252533441427</v>
      </c>
      <c r="P81" s="8"/>
      <c r="Q81" s="8"/>
    </row>
    <row r="82" ht="13.65" customHeight="1">
      <c r="A82" s="18">
        <v>44404</v>
      </c>
      <c r="B82" t="s" s="13">
        <v>22</v>
      </c>
      <c r="C82" s="14">
        <v>3079.4</v>
      </c>
      <c r="D82" s="14">
        <v>3081.5</v>
      </c>
      <c r="E82" s="14">
        <v>3021.3</v>
      </c>
      <c r="F82" s="14">
        <v>3061.2</v>
      </c>
      <c r="G82" s="14">
        <v>3028.15</v>
      </c>
      <c r="H82" s="14">
        <v>3028.65</v>
      </c>
      <c r="I82" s="14">
        <v>3042.66</v>
      </c>
      <c r="J82" s="14">
        <v>3179.5</v>
      </c>
      <c r="K82" s="14">
        <v>1697.5</v>
      </c>
      <c r="L82" s="15">
        <v>904289</v>
      </c>
      <c r="M82" t="s" s="13">
        <v>6404</v>
      </c>
      <c r="N82" s="15">
        <v>60402</v>
      </c>
      <c r="O82" s="17" cm="1">
        <f t="array" ref="O82">(H82-H81)/H81</f>
        <v>-0.0106330850646805</v>
      </c>
      <c r="P82" s="8"/>
      <c r="Q82" s="8"/>
    </row>
    <row r="83" ht="13.65" customHeight="1">
      <c r="A83" s="18">
        <v>44405</v>
      </c>
      <c r="B83" t="s" s="13">
        <v>22</v>
      </c>
      <c r="C83" s="14">
        <v>3030.35</v>
      </c>
      <c r="D83" s="14">
        <v>3033</v>
      </c>
      <c r="E83" s="14">
        <v>2984</v>
      </c>
      <c r="F83" s="14">
        <v>3028.65</v>
      </c>
      <c r="G83" s="14">
        <v>2999.05</v>
      </c>
      <c r="H83" s="14">
        <v>3004.1</v>
      </c>
      <c r="I83" s="14">
        <v>3002.1</v>
      </c>
      <c r="J83" s="14">
        <v>3179.5</v>
      </c>
      <c r="K83" s="14">
        <v>1697.5</v>
      </c>
      <c r="L83" s="15">
        <v>996594</v>
      </c>
      <c r="M83" t="s" s="13">
        <v>6405</v>
      </c>
      <c r="N83" s="15">
        <v>78160</v>
      </c>
      <c r="O83" s="17" cm="1">
        <f t="array" ref="O83">(H83-H82)/H82</f>
        <v>-0.00810592178033117</v>
      </c>
      <c r="P83" s="8"/>
      <c r="Q83" s="8"/>
    </row>
    <row r="84" ht="13.65" customHeight="1">
      <c r="A84" s="18">
        <v>44406</v>
      </c>
      <c r="B84" t="s" s="13">
        <v>22</v>
      </c>
      <c r="C84" s="14">
        <v>3004.1</v>
      </c>
      <c r="D84" s="14">
        <v>3039.95</v>
      </c>
      <c r="E84" s="14">
        <v>2990.3</v>
      </c>
      <c r="F84" s="14">
        <v>3004.1</v>
      </c>
      <c r="G84" s="14">
        <v>3003</v>
      </c>
      <c r="H84" s="14">
        <v>2997.45</v>
      </c>
      <c r="I84" s="14">
        <v>3007.73</v>
      </c>
      <c r="J84" s="14">
        <v>3179.5</v>
      </c>
      <c r="K84" s="14">
        <v>1697.5</v>
      </c>
      <c r="L84" s="15">
        <v>762683</v>
      </c>
      <c r="M84" t="s" s="13">
        <v>6406</v>
      </c>
      <c r="N84" s="15">
        <v>75054</v>
      </c>
      <c r="O84" s="17" cm="1">
        <f t="array" ref="O84">(H84-H83)/H83</f>
        <v>-0.00221364135681236</v>
      </c>
      <c r="P84" s="8"/>
      <c r="Q84" s="8"/>
    </row>
    <row r="85" ht="13.65" customHeight="1">
      <c r="A85" s="18">
        <v>44407</v>
      </c>
      <c r="B85" t="s" s="13">
        <v>22</v>
      </c>
      <c r="C85" s="14">
        <v>3008</v>
      </c>
      <c r="D85" s="14">
        <v>3008.65</v>
      </c>
      <c r="E85" s="14">
        <v>2951.9</v>
      </c>
      <c r="F85" s="14">
        <v>2997.45</v>
      </c>
      <c r="G85" s="14">
        <v>2955.9</v>
      </c>
      <c r="H85" s="14">
        <v>2958.45</v>
      </c>
      <c r="I85" s="14">
        <v>2976.29</v>
      </c>
      <c r="J85" s="14">
        <v>3179.5</v>
      </c>
      <c r="K85" s="14">
        <v>1697.5</v>
      </c>
      <c r="L85" s="15">
        <v>1067423</v>
      </c>
      <c r="M85" t="s" s="13">
        <v>6407</v>
      </c>
      <c r="N85" s="15">
        <v>80514</v>
      </c>
      <c r="O85" s="17" cm="1">
        <f t="array" ref="O85">(H85-H84)/H84</f>
        <v>-0.0130110594004904</v>
      </c>
      <c r="P85" s="8"/>
      <c r="Q85" s="8"/>
    </row>
    <row r="86" ht="13.65" customHeight="1">
      <c r="A86" s="12">
        <v>44410</v>
      </c>
      <c r="B86" t="s" s="13">
        <v>22</v>
      </c>
      <c r="C86" s="14">
        <v>2985.6</v>
      </c>
      <c r="D86" s="14">
        <v>2986.8</v>
      </c>
      <c r="E86" s="14">
        <v>2960.65</v>
      </c>
      <c r="F86" s="14">
        <v>2958.45</v>
      </c>
      <c r="G86" s="14">
        <v>2978</v>
      </c>
      <c r="H86" s="14">
        <v>2974.05</v>
      </c>
      <c r="I86" s="14">
        <v>2972.74</v>
      </c>
      <c r="J86" s="14">
        <v>3179.5</v>
      </c>
      <c r="K86" s="14">
        <v>1697.5</v>
      </c>
      <c r="L86" s="15">
        <v>832285</v>
      </c>
      <c r="M86" t="s" s="13">
        <v>6408</v>
      </c>
      <c r="N86" s="15">
        <v>52082</v>
      </c>
      <c r="O86" s="17" cm="1">
        <f t="array" ref="O86">(H86-H85)/H85</f>
        <v>0.00527303148608224</v>
      </c>
      <c r="P86" s="8"/>
      <c r="Q86" s="8"/>
    </row>
    <row r="87" ht="13.65" customHeight="1">
      <c r="A87" s="12">
        <v>44411</v>
      </c>
      <c r="B87" t="s" s="13">
        <v>22</v>
      </c>
      <c r="C87" s="14">
        <v>3020</v>
      </c>
      <c r="D87" s="14">
        <v>3065</v>
      </c>
      <c r="E87" s="14">
        <v>2994.2</v>
      </c>
      <c r="F87" s="14">
        <v>2974.05</v>
      </c>
      <c r="G87" s="14">
        <v>3029.6</v>
      </c>
      <c r="H87" s="14">
        <v>3027</v>
      </c>
      <c r="I87" s="14">
        <v>3031.79</v>
      </c>
      <c r="J87" s="14">
        <v>3179.5</v>
      </c>
      <c r="K87" s="14">
        <v>1697.5</v>
      </c>
      <c r="L87" s="15">
        <v>2433031</v>
      </c>
      <c r="M87" t="s" s="13">
        <v>6409</v>
      </c>
      <c r="N87" s="15">
        <v>112419</v>
      </c>
      <c r="O87" s="17" cm="1">
        <f t="array" ref="O87">(H87-H86)/H86</f>
        <v>0.0178040046401372</v>
      </c>
      <c r="P87" s="8"/>
      <c r="Q87" s="8"/>
    </row>
    <row r="88" ht="13.65" customHeight="1">
      <c r="A88" s="12">
        <v>44412</v>
      </c>
      <c r="B88" t="s" s="13">
        <v>22</v>
      </c>
      <c r="C88" s="14">
        <v>3040.6</v>
      </c>
      <c r="D88" s="14">
        <v>3053.3</v>
      </c>
      <c r="E88" s="14">
        <v>3012</v>
      </c>
      <c r="F88" s="14">
        <v>3027</v>
      </c>
      <c r="G88" s="14">
        <v>3016.2</v>
      </c>
      <c r="H88" s="14">
        <v>3018.6</v>
      </c>
      <c r="I88" s="14">
        <v>3025.94</v>
      </c>
      <c r="J88" s="14">
        <v>3179.5</v>
      </c>
      <c r="K88" s="14">
        <v>1697.5</v>
      </c>
      <c r="L88" s="15">
        <v>659295</v>
      </c>
      <c r="M88" t="s" s="13">
        <v>6410</v>
      </c>
      <c r="N88" s="15">
        <v>41245</v>
      </c>
      <c r="O88" s="17" cm="1">
        <f t="array" ref="O88">(H88-H87)/H87</f>
        <v>-0.00277502477700694</v>
      </c>
      <c r="P88" s="8"/>
      <c r="Q88" s="8"/>
    </row>
    <row r="89" ht="13.65" customHeight="1">
      <c r="A89" s="12">
        <v>44413</v>
      </c>
      <c r="B89" t="s" s="13">
        <v>22</v>
      </c>
      <c r="C89" s="14">
        <v>3034</v>
      </c>
      <c r="D89" s="14">
        <v>3040</v>
      </c>
      <c r="E89" s="14">
        <v>2980.05</v>
      </c>
      <c r="F89" s="14">
        <v>3018.6</v>
      </c>
      <c r="G89" s="14">
        <v>2990</v>
      </c>
      <c r="H89" s="14">
        <v>2988.4</v>
      </c>
      <c r="I89" s="14">
        <v>2997</v>
      </c>
      <c r="J89" s="14">
        <v>3179.5</v>
      </c>
      <c r="K89" s="14">
        <v>1697.5</v>
      </c>
      <c r="L89" s="15">
        <v>693694</v>
      </c>
      <c r="M89" t="s" s="13">
        <v>6411</v>
      </c>
      <c r="N89" s="15">
        <v>73741</v>
      </c>
      <c r="O89" s="17" cm="1">
        <f t="array" ref="O89">(H89-H88)/H88</f>
        <v>-0.0100046379116147</v>
      </c>
      <c r="P89" s="8"/>
      <c r="Q89" s="8"/>
    </row>
    <row r="90" ht="13.65" customHeight="1">
      <c r="A90" s="12">
        <v>44414</v>
      </c>
      <c r="B90" t="s" s="13">
        <v>22</v>
      </c>
      <c r="C90" s="14">
        <v>2995</v>
      </c>
      <c r="D90" s="14">
        <v>3001</v>
      </c>
      <c r="E90" s="14">
        <v>2961.45</v>
      </c>
      <c r="F90" s="14">
        <v>2988.4</v>
      </c>
      <c r="G90" s="14">
        <v>2971</v>
      </c>
      <c r="H90" s="14">
        <v>2966.45</v>
      </c>
      <c r="I90" s="14">
        <v>2975.82</v>
      </c>
      <c r="J90" s="14">
        <v>3179.5</v>
      </c>
      <c r="K90" s="14">
        <v>1697.5</v>
      </c>
      <c r="L90" s="15">
        <v>744159</v>
      </c>
      <c r="M90" t="s" s="13">
        <v>6412</v>
      </c>
      <c r="N90" s="15">
        <v>61481</v>
      </c>
      <c r="O90" s="17" cm="1">
        <f t="array" ref="O90">(H90-H89)/H89</f>
        <v>-0.0073450675946995</v>
      </c>
      <c r="P90" s="8"/>
      <c r="Q90" s="8"/>
    </row>
    <row r="91" ht="13.65" customHeight="1">
      <c r="A91" s="12">
        <v>44417</v>
      </c>
      <c r="B91" t="s" s="13">
        <v>22</v>
      </c>
      <c r="C91" s="14">
        <v>2994.65</v>
      </c>
      <c r="D91" s="14">
        <v>3015</v>
      </c>
      <c r="E91" s="14">
        <v>2973.05</v>
      </c>
      <c r="F91" s="14">
        <v>2966.45</v>
      </c>
      <c r="G91" s="14">
        <v>2990</v>
      </c>
      <c r="H91" s="14">
        <v>2992.55</v>
      </c>
      <c r="I91" s="14">
        <v>2995.7</v>
      </c>
      <c r="J91" s="14">
        <v>3179.5</v>
      </c>
      <c r="K91" s="14">
        <v>1772</v>
      </c>
      <c r="L91" s="15">
        <v>825462</v>
      </c>
      <c r="M91" t="s" s="13">
        <v>6413</v>
      </c>
      <c r="N91" s="15">
        <v>55455</v>
      </c>
      <c r="O91" s="17" cm="1">
        <f t="array" ref="O91">(H91-H90)/H90</f>
        <v>0.008798395388427241</v>
      </c>
      <c r="P91" s="8"/>
      <c r="Q91" s="8"/>
    </row>
    <row r="92" ht="13.65" customHeight="1">
      <c r="A92" s="18">
        <v>44418</v>
      </c>
      <c r="B92" t="s" s="13">
        <v>22</v>
      </c>
      <c r="C92" s="14">
        <v>2998</v>
      </c>
      <c r="D92" s="14">
        <v>3008.3</v>
      </c>
      <c r="E92" s="14">
        <v>2960.55</v>
      </c>
      <c r="F92" s="14">
        <v>2992.55</v>
      </c>
      <c r="G92" s="14">
        <v>2978</v>
      </c>
      <c r="H92" s="14">
        <v>2977.15</v>
      </c>
      <c r="I92" s="14">
        <v>2985.06</v>
      </c>
      <c r="J92" s="14">
        <v>3179.5</v>
      </c>
      <c r="K92" s="14">
        <v>1772</v>
      </c>
      <c r="L92" s="15">
        <v>724335</v>
      </c>
      <c r="M92" t="s" s="13">
        <v>6414</v>
      </c>
      <c r="N92" s="15">
        <v>51260</v>
      </c>
      <c r="O92" s="17" cm="1">
        <f t="array" ref="O92">(H92-H91)/H91</f>
        <v>-0.00514611284690314</v>
      </c>
      <c r="P92" s="8"/>
      <c r="Q92" s="8"/>
    </row>
    <row r="93" ht="13.65" customHeight="1">
      <c r="A93" s="18">
        <v>44419</v>
      </c>
      <c r="B93" t="s" s="13">
        <v>22</v>
      </c>
      <c r="C93" s="14">
        <v>2987.4</v>
      </c>
      <c r="D93" s="14">
        <v>3001.45</v>
      </c>
      <c r="E93" s="14">
        <v>2952.55</v>
      </c>
      <c r="F93" s="14">
        <v>2977.15</v>
      </c>
      <c r="G93" s="14">
        <v>2969.95</v>
      </c>
      <c r="H93" s="14">
        <v>2972.6</v>
      </c>
      <c r="I93" s="14">
        <v>2973.82</v>
      </c>
      <c r="J93" s="14">
        <v>3179.5</v>
      </c>
      <c r="K93" s="14">
        <v>1772</v>
      </c>
      <c r="L93" s="15">
        <v>987941</v>
      </c>
      <c r="M93" t="s" s="13">
        <v>6415</v>
      </c>
      <c r="N93" s="15">
        <v>65970</v>
      </c>
      <c r="O93" s="17" cm="1">
        <f t="array" ref="O93">(H93-H92)/H92</f>
        <v>-0.00152830727373495</v>
      </c>
      <c r="P93" s="8"/>
      <c r="Q93" s="8"/>
    </row>
    <row r="94" ht="13.65" customHeight="1">
      <c r="A94" s="18">
        <v>44420</v>
      </c>
      <c r="B94" t="s" s="13">
        <v>22</v>
      </c>
      <c r="C94" s="14">
        <v>2974</v>
      </c>
      <c r="D94" s="14">
        <v>2985.25</v>
      </c>
      <c r="E94" s="14">
        <v>2958</v>
      </c>
      <c r="F94" s="14">
        <v>2972.6</v>
      </c>
      <c r="G94" s="14">
        <v>2979</v>
      </c>
      <c r="H94" s="14">
        <v>2975.5</v>
      </c>
      <c r="I94" s="14">
        <v>2972.28</v>
      </c>
      <c r="J94" s="14">
        <v>3179.5</v>
      </c>
      <c r="K94" s="14">
        <v>1772</v>
      </c>
      <c r="L94" s="15">
        <v>438552</v>
      </c>
      <c r="M94" t="s" s="13">
        <v>6416</v>
      </c>
      <c r="N94" s="15">
        <v>39076</v>
      </c>
      <c r="O94" s="17" cm="1">
        <f t="array" ref="O94">(H94-H93)/H93</f>
        <v>0.000975576936015609</v>
      </c>
      <c r="P94" s="8"/>
      <c r="Q94" s="8"/>
    </row>
    <row r="95" ht="13.65" customHeight="1">
      <c r="A95" s="18">
        <v>44421</v>
      </c>
      <c r="B95" t="s" s="13">
        <v>22</v>
      </c>
      <c r="C95" s="14">
        <v>2980.9</v>
      </c>
      <c r="D95" s="14">
        <v>3002</v>
      </c>
      <c r="E95" s="14">
        <v>2973.1</v>
      </c>
      <c r="F95" s="14">
        <v>2975.5</v>
      </c>
      <c r="G95" s="14">
        <v>2981.05</v>
      </c>
      <c r="H95" s="14">
        <v>2988.7</v>
      </c>
      <c r="I95" s="14">
        <v>2992.19</v>
      </c>
      <c r="J95" s="14">
        <v>3179.5</v>
      </c>
      <c r="K95" s="14">
        <v>1772</v>
      </c>
      <c r="L95" s="15">
        <v>572250</v>
      </c>
      <c r="M95" t="s" s="13">
        <v>6417</v>
      </c>
      <c r="N95" s="15">
        <v>50815</v>
      </c>
      <c r="O95" s="17" cm="1">
        <f t="array" ref="O95">(H95-H94)/H94</f>
        <v>0.0044362292051756</v>
      </c>
      <c r="P95" s="8"/>
      <c r="Q95" s="8"/>
    </row>
    <row r="96" ht="13.65" customHeight="1">
      <c r="A96" s="18">
        <v>44424</v>
      </c>
      <c r="B96" t="s" s="13">
        <v>22</v>
      </c>
      <c r="C96" s="14">
        <v>2980</v>
      </c>
      <c r="D96" s="14">
        <v>2984.15</v>
      </c>
      <c r="E96" s="14">
        <v>2960</v>
      </c>
      <c r="F96" s="14">
        <v>2988.7</v>
      </c>
      <c r="G96" s="14">
        <v>2976</v>
      </c>
      <c r="H96" s="14">
        <v>2971.4</v>
      </c>
      <c r="I96" s="14">
        <v>2971.61</v>
      </c>
      <c r="J96" s="14">
        <v>3179.5</v>
      </c>
      <c r="K96" s="14">
        <v>1801.85</v>
      </c>
      <c r="L96" s="15">
        <v>461742</v>
      </c>
      <c r="M96" t="s" s="13">
        <v>6418</v>
      </c>
      <c r="N96" s="15">
        <v>40847</v>
      </c>
      <c r="O96" s="17" cm="1">
        <f t="array" ref="O96">(H96-H95)/H95</f>
        <v>-0.00578846990330244</v>
      </c>
      <c r="P96" s="8"/>
      <c r="Q96" s="8"/>
    </row>
    <row r="97" ht="13.65" customHeight="1">
      <c r="A97" s="18">
        <v>44425</v>
      </c>
      <c r="B97" t="s" s="13">
        <v>22</v>
      </c>
      <c r="C97" s="14">
        <v>2974</v>
      </c>
      <c r="D97" s="14">
        <v>3044</v>
      </c>
      <c r="E97" s="14">
        <v>2973.1</v>
      </c>
      <c r="F97" s="14">
        <v>2971.4</v>
      </c>
      <c r="G97" s="14">
        <v>3013</v>
      </c>
      <c r="H97" s="14">
        <v>3015.3</v>
      </c>
      <c r="I97" s="14">
        <v>3014.78</v>
      </c>
      <c r="J97" s="14">
        <v>3179.5</v>
      </c>
      <c r="K97" s="14">
        <v>1801.85</v>
      </c>
      <c r="L97" s="15">
        <v>2036757</v>
      </c>
      <c r="M97" t="s" s="13">
        <v>6419</v>
      </c>
      <c r="N97" s="15">
        <v>109688</v>
      </c>
      <c r="O97" s="17" cm="1">
        <f t="array" ref="O97">(H97-H96)/H96</f>
        <v>0.0147741805209665</v>
      </c>
      <c r="P97" s="8"/>
      <c r="Q97" s="8"/>
    </row>
    <row r="98" ht="13.65" customHeight="1">
      <c r="A98" s="18">
        <v>44426</v>
      </c>
      <c r="B98" t="s" s="13">
        <v>22</v>
      </c>
      <c r="C98" s="14">
        <v>3048</v>
      </c>
      <c r="D98" s="14">
        <v>3048</v>
      </c>
      <c r="E98" s="14">
        <v>2992.55</v>
      </c>
      <c r="F98" s="14">
        <v>3015.3</v>
      </c>
      <c r="G98" s="14">
        <v>2999</v>
      </c>
      <c r="H98" s="14">
        <v>3001.55</v>
      </c>
      <c r="I98" s="14">
        <v>3013.25</v>
      </c>
      <c r="J98" s="14">
        <v>3179.5</v>
      </c>
      <c r="K98" s="14">
        <v>1801.85</v>
      </c>
      <c r="L98" s="15">
        <v>1375320</v>
      </c>
      <c r="M98" t="s" s="13">
        <v>6420</v>
      </c>
      <c r="N98" s="15">
        <v>72057</v>
      </c>
      <c r="O98" s="17" cm="1">
        <f t="array" ref="O98">(H98-H97)/H97</f>
        <v>-0.00456007694093457</v>
      </c>
      <c r="P98" s="8"/>
      <c r="Q98" s="8"/>
    </row>
    <row r="99" ht="13.65" customHeight="1">
      <c r="A99" s="18">
        <v>44428</v>
      </c>
      <c r="B99" t="s" s="13">
        <v>22</v>
      </c>
      <c r="C99" s="14">
        <v>3001.5</v>
      </c>
      <c r="D99" s="14">
        <v>3124.05</v>
      </c>
      <c r="E99" s="14">
        <v>3001.5</v>
      </c>
      <c r="F99" s="14">
        <v>3001.55</v>
      </c>
      <c r="G99" s="14">
        <v>3108</v>
      </c>
      <c r="H99" s="14">
        <v>3112.95</v>
      </c>
      <c r="I99" s="14">
        <v>3076.13</v>
      </c>
      <c r="J99" s="14">
        <v>3179.5</v>
      </c>
      <c r="K99" s="14">
        <v>1801.85</v>
      </c>
      <c r="L99" s="15">
        <v>3931334</v>
      </c>
      <c r="M99" t="s" s="13">
        <v>6421</v>
      </c>
      <c r="N99" s="15">
        <v>204966</v>
      </c>
      <c r="O99" s="17" cm="1">
        <f t="array" ref="O99">(H99-H98)/H98</f>
        <v>0.037114157685196</v>
      </c>
      <c r="P99" s="8"/>
      <c r="Q99" s="8"/>
    </row>
    <row r="100" ht="13.65" customHeight="1">
      <c r="A100" s="18">
        <v>44431</v>
      </c>
      <c r="B100" t="s" s="13">
        <v>22</v>
      </c>
      <c r="C100" s="14">
        <v>3159.05</v>
      </c>
      <c r="D100" s="14">
        <v>3163.85</v>
      </c>
      <c r="E100" s="14">
        <v>3051</v>
      </c>
      <c r="F100" s="14">
        <v>3112.95</v>
      </c>
      <c r="G100" s="14">
        <v>3077</v>
      </c>
      <c r="H100" s="14">
        <v>3077.45</v>
      </c>
      <c r="I100" s="14">
        <v>3110.84</v>
      </c>
      <c r="J100" s="14">
        <v>3179.5</v>
      </c>
      <c r="K100" s="14">
        <v>1881.25</v>
      </c>
      <c r="L100" s="15">
        <v>1578949</v>
      </c>
      <c r="M100" t="s" s="13">
        <v>6422</v>
      </c>
      <c r="N100" s="15">
        <v>90422</v>
      </c>
      <c r="O100" s="17" cm="1">
        <f t="array" ref="O100">(H100-H99)/H99</f>
        <v>-0.0114039737226746</v>
      </c>
      <c r="P100" s="8"/>
      <c r="Q100" s="8"/>
    </row>
    <row r="101" ht="13.65" customHeight="1">
      <c r="A101" s="18">
        <v>44432</v>
      </c>
      <c r="B101" t="s" s="13">
        <v>22</v>
      </c>
      <c r="C101" s="14">
        <v>3092.8</v>
      </c>
      <c r="D101" s="14">
        <v>3092.8</v>
      </c>
      <c r="E101" s="14">
        <v>3034.55</v>
      </c>
      <c r="F101" s="14">
        <v>3077.45</v>
      </c>
      <c r="G101" s="14">
        <v>3045.1</v>
      </c>
      <c r="H101" s="14">
        <v>3045.95</v>
      </c>
      <c r="I101" s="14">
        <v>3046.35</v>
      </c>
      <c r="J101" s="14">
        <v>3179.5</v>
      </c>
      <c r="K101" s="14">
        <v>1881.25</v>
      </c>
      <c r="L101" s="15">
        <v>763704</v>
      </c>
      <c r="M101" t="s" s="13">
        <v>6423</v>
      </c>
      <c r="N101" s="15">
        <v>65080</v>
      </c>
      <c r="O101" s="17" cm="1">
        <f t="array" ref="O101">(H101-H100)/H100</f>
        <v>-0.0102357471283043</v>
      </c>
      <c r="P101" s="8"/>
      <c r="Q101" s="8"/>
    </row>
    <row r="102" ht="13.65" customHeight="1">
      <c r="A102" s="18">
        <v>44433</v>
      </c>
      <c r="B102" t="s" s="13">
        <v>22</v>
      </c>
      <c r="C102" s="14">
        <v>3026</v>
      </c>
      <c r="D102" s="14">
        <v>3070</v>
      </c>
      <c r="E102" s="14">
        <v>3012.6</v>
      </c>
      <c r="F102" s="14">
        <v>3045.95</v>
      </c>
      <c r="G102" s="14">
        <v>3043</v>
      </c>
      <c r="H102" s="14">
        <v>3038.05</v>
      </c>
      <c r="I102" s="14">
        <v>3039.16</v>
      </c>
      <c r="J102" s="14">
        <v>3179.5</v>
      </c>
      <c r="K102" s="14">
        <v>1881.25</v>
      </c>
      <c r="L102" s="15">
        <v>797870</v>
      </c>
      <c r="M102" t="s" s="13">
        <v>6424</v>
      </c>
      <c r="N102" s="15">
        <v>61276</v>
      </c>
      <c r="O102" s="17" cm="1">
        <f t="array" ref="O102">(H102-H101)/H101</f>
        <v>-0.00259360790557954</v>
      </c>
      <c r="P102" s="8"/>
      <c r="Q102" s="8"/>
    </row>
    <row r="103" ht="13.65" customHeight="1">
      <c r="A103" s="18">
        <v>44434</v>
      </c>
      <c r="B103" t="s" s="13">
        <v>22</v>
      </c>
      <c r="C103" s="14">
        <v>3064</v>
      </c>
      <c r="D103" s="14">
        <v>3084.5</v>
      </c>
      <c r="E103" s="14">
        <v>3026.2</v>
      </c>
      <c r="F103" s="14">
        <v>3038.05</v>
      </c>
      <c r="G103" s="14">
        <v>3040.65</v>
      </c>
      <c r="H103" s="14">
        <v>3039.65</v>
      </c>
      <c r="I103" s="14">
        <v>3051.66</v>
      </c>
      <c r="J103" s="14">
        <v>3179.5</v>
      </c>
      <c r="K103" s="14">
        <v>1881.25</v>
      </c>
      <c r="L103" s="15">
        <v>1319516</v>
      </c>
      <c r="M103" t="s" s="13">
        <v>6425</v>
      </c>
      <c r="N103" s="15">
        <v>71022</v>
      </c>
      <c r="O103" s="17" cm="1">
        <f t="array" ref="O103">(H103-H102)/H102</f>
        <v>0.0005266536100459181</v>
      </c>
      <c r="P103" s="8"/>
      <c r="Q103" s="8"/>
    </row>
    <row r="104" ht="13.65" customHeight="1">
      <c r="A104" s="18">
        <v>44435</v>
      </c>
      <c r="B104" t="s" s="13">
        <v>22</v>
      </c>
      <c r="C104" s="14">
        <v>3040.45</v>
      </c>
      <c r="D104" s="14">
        <v>3057.95</v>
      </c>
      <c r="E104" s="14">
        <v>3020.5</v>
      </c>
      <c r="F104" s="14">
        <v>3039.65</v>
      </c>
      <c r="G104" s="14">
        <v>3039</v>
      </c>
      <c r="H104" s="14">
        <v>3036.8</v>
      </c>
      <c r="I104" s="14">
        <v>3036.81</v>
      </c>
      <c r="J104" s="14">
        <v>3179.5</v>
      </c>
      <c r="K104" s="14">
        <v>1881.25</v>
      </c>
      <c r="L104" s="15">
        <v>634375</v>
      </c>
      <c r="M104" t="s" s="13">
        <v>6426</v>
      </c>
      <c r="N104" s="15">
        <v>64440</v>
      </c>
      <c r="O104" s="17" cm="1">
        <f t="array" ref="O104">(H104-H103)/H103</f>
        <v>-0.000937607948283519</v>
      </c>
      <c r="P104" s="8"/>
      <c r="Q104" s="8"/>
    </row>
    <row r="105" ht="13.65" customHeight="1">
      <c r="A105" s="18">
        <v>44438</v>
      </c>
      <c r="B105" t="s" s="13">
        <v>22</v>
      </c>
      <c r="C105" s="14">
        <v>3056.7</v>
      </c>
      <c r="D105" s="14">
        <v>3114.25</v>
      </c>
      <c r="E105" s="14">
        <v>3048.05</v>
      </c>
      <c r="F105" s="14">
        <v>3036.8</v>
      </c>
      <c r="G105" s="14">
        <v>3106.65</v>
      </c>
      <c r="H105" s="14">
        <v>3108.75</v>
      </c>
      <c r="I105" s="14">
        <v>3091.61</v>
      </c>
      <c r="J105" s="14">
        <v>3179.5</v>
      </c>
      <c r="K105" s="14">
        <v>1881.25</v>
      </c>
      <c r="L105" s="15">
        <v>1051747</v>
      </c>
      <c r="M105" t="s" s="13">
        <v>6427</v>
      </c>
      <c r="N105" s="15">
        <v>61676</v>
      </c>
      <c r="O105" s="17" cm="1">
        <f t="array" ref="O105">(H105-H104)/H104</f>
        <v>0.0236927028451001</v>
      </c>
      <c r="P105" s="8"/>
      <c r="Q105" s="8"/>
    </row>
    <row r="106" ht="13.65" customHeight="1">
      <c r="A106" s="18">
        <v>44439</v>
      </c>
      <c r="B106" t="s" s="13">
        <v>22</v>
      </c>
      <c r="C106" s="14">
        <v>3108.75</v>
      </c>
      <c r="D106" s="14">
        <v>3210</v>
      </c>
      <c r="E106" s="14">
        <v>3103.05</v>
      </c>
      <c r="F106" s="14">
        <v>3108.75</v>
      </c>
      <c r="G106" s="14">
        <v>3200</v>
      </c>
      <c r="H106" s="14">
        <v>3201.35</v>
      </c>
      <c r="I106" s="14">
        <v>3171.1</v>
      </c>
      <c r="J106" s="14">
        <v>3210</v>
      </c>
      <c r="K106" s="14">
        <v>1881.25</v>
      </c>
      <c r="L106" s="15">
        <v>2283290</v>
      </c>
      <c r="M106" t="s" s="13">
        <v>6428</v>
      </c>
      <c r="N106" s="15">
        <v>102527</v>
      </c>
      <c r="O106" s="17" cm="1">
        <f t="array" ref="O106">(H106-H105)/H105</f>
        <v>0.0297868918375553</v>
      </c>
      <c r="P106" s="8"/>
      <c r="Q106" s="8"/>
    </row>
    <row r="107" ht="13.65" customHeight="1">
      <c r="A107" s="12">
        <v>44440</v>
      </c>
      <c r="B107" t="s" s="13">
        <v>22</v>
      </c>
      <c r="C107" s="14">
        <v>3230.05</v>
      </c>
      <c r="D107" s="14">
        <v>3333</v>
      </c>
      <c r="E107" s="14">
        <v>3215</v>
      </c>
      <c r="F107" s="14">
        <v>3201.35</v>
      </c>
      <c r="G107" s="14">
        <v>3300.5</v>
      </c>
      <c r="H107" s="14">
        <v>3302.75</v>
      </c>
      <c r="I107" s="14">
        <v>3297.65</v>
      </c>
      <c r="J107" s="14">
        <v>3333</v>
      </c>
      <c r="K107" s="14">
        <v>1881.25</v>
      </c>
      <c r="L107" s="15">
        <v>2423168</v>
      </c>
      <c r="M107" t="s" s="13">
        <v>6429</v>
      </c>
      <c r="N107" s="15">
        <v>148506</v>
      </c>
      <c r="O107" s="17" cm="1">
        <f t="array" ref="O107">(H107-H106)/H106</f>
        <v>0.0316741374732535</v>
      </c>
      <c r="P107" s="8"/>
      <c r="Q107" s="8"/>
    </row>
    <row r="108" ht="13.65" customHeight="1">
      <c r="A108" s="12">
        <v>44441</v>
      </c>
      <c r="B108" t="s" s="13">
        <v>22</v>
      </c>
      <c r="C108" s="14">
        <v>3312.95</v>
      </c>
      <c r="D108" s="14">
        <v>3319</v>
      </c>
      <c r="E108" s="14">
        <v>3266.65</v>
      </c>
      <c r="F108" s="14">
        <v>3302.75</v>
      </c>
      <c r="G108" s="14">
        <v>3299.15</v>
      </c>
      <c r="H108" s="14">
        <v>3301.6</v>
      </c>
      <c r="I108" s="14">
        <v>3296.4</v>
      </c>
      <c r="J108" s="14">
        <v>3333</v>
      </c>
      <c r="K108" s="14">
        <v>1881.25</v>
      </c>
      <c r="L108" s="15">
        <v>847517</v>
      </c>
      <c r="M108" t="s" s="13">
        <v>6430</v>
      </c>
      <c r="N108" s="15">
        <v>83014</v>
      </c>
      <c r="O108" s="17" cm="1">
        <f t="array" ref="O108">(H108-H107)/H107</f>
        <v>-0.00034819468624631</v>
      </c>
      <c r="P108" s="8"/>
      <c r="Q108" s="8"/>
    </row>
    <row r="109" ht="13.65" customHeight="1">
      <c r="A109" s="12">
        <v>44442</v>
      </c>
      <c r="B109" t="s" s="13">
        <v>22</v>
      </c>
      <c r="C109" s="14">
        <v>3301.6</v>
      </c>
      <c r="D109" s="14">
        <v>3344.95</v>
      </c>
      <c r="E109" s="14">
        <v>3286.5</v>
      </c>
      <c r="F109" s="14">
        <v>3301.6</v>
      </c>
      <c r="G109" s="14">
        <v>3333.15</v>
      </c>
      <c r="H109" s="14">
        <v>3338.8</v>
      </c>
      <c r="I109" s="14">
        <v>3321.73</v>
      </c>
      <c r="J109" s="14">
        <v>3344.95</v>
      </c>
      <c r="K109" s="14">
        <v>1881.25</v>
      </c>
      <c r="L109" s="15">
        <v>832039</v>
      </c>
      <c r="M109" t="s" s="13">
        <v>6431</v>
      </c>
      <c r="N109" s="15">
        <v>70082</v>
      </c>
      <c r="O109" s="17" cm="1">
        <f t="array" ref="O109">(H109-H108)/H108</f>
        <v>0.0112672643566756</v>
      </c>
      <c r="P109" s="8"/>
      <c r="Q109" s="8"/>
    </row>
    <row r="110" ht="13.65" customHeight="1">
      <c r="A110" s="12">
        <v>44445</v>
      </c>
      <c r="B110" t="s" s="13">
        <v>22</v>
      </c>
      <c r="C110" s="14">
        <v>3342</v>
      </c>
      <c r="D110" s="14">
        <v>3347.7</v>
      </c>
      <c r="E110" s="14">
        <v>3305.9</v>
      </c>
      <c r="F110" s="14">
        <v>3338.8</v>
      </c>
      <c r="G110" s="14">
        <v>3320</v>
      </c>
      <c r="H110" s="14">
        <v>3315.55</v>
      </c>
      <c r="I110" s="14">
        <v>3319.96</v>
      </c>
      <c r="J110" s="14">
        <v>3347.7</v>
      </c>
      <c r="K110" s="14">
        <v>1907.75</v>
      </c>
      <c r="L110" s="15">
        <v>664394</v>
      </c>
      <c r="M110" t="s" s="13">
        <v>6432</v>
      </c>
      <c r="N110" s="15">
        <v>68461</v>
      </c>
      <c r="O110" s="17" cm="1">
        <f t="array" ref="O110">(H110-H109)/H109</f>
        <v>-0.00696357972924404</v>
      </c>
      <c r="P110" s="8"/>
      <c r="Q110" s="8"/>
    </row>
    <row r="111" ht="13.65" customHeight="1">
      <c r="A111" s="12">
        <v>44446</v>
      </c>
      <c r="B111" t="s" s="13">
        <v>22</v>
      </c>
      <c r="C111" s="14">
        <v>3333.5</v>
      </c>
      <c r="D111" s="14">
        <v>3394.6</v>
      </c>
      <c r="E111" s="14">
        <v>3323.85</v>
      </c>
      <c r="F111" s="14">
        <v>3315.55</v>
      </c>
      <c r="G111" s="14">
        <v>3333</v>
      </c>
      <c r="H111" s="14">
        <v>3336.25</v>
      </c>
      <c r="I111" s="14">
        <v>3351.67</v>
      </c>
      <c r="J111" s="14">
        <v>3394.6</v>
      </c>
      <c r="K111" s="14">
        <v>1907.75</v>
      </c>
      <c r="L111" s="15">
        <v>1285818</v>
      </c>
      <c r="M111" t="s" s="13">
        <v>6433</v>
      </c>
      <c r="N111" s="15">
        <v>89326</v>
      </c>
      <c r="O111" s="17" cm="1">
        <f t="array" ref="O111">(H111-H110)/H110</f>
        <v>0.00624330804843842</v>
      </c>
      <c r="P111" s="8"/>
      <c r="Q111" s="8"/>
    </row>
    <row r="112" ht="13.65" customHeight="1">
      <c r="A112" s="12">
        <v>44447</v>
      </c>
      <c r="B112" t="s" s="13">
        <v>22</v>
      </c>
      <c r="C112" s="14">
        <v>3345</v>
      </c>
      <c r="D112" s="14">
        <v>3361.55</v>
      </c>
      <c r="E112" s="14">
        <v>3297</v>
      </c>
      <c r="F112" s="14">
        <v>3336.25</v>
      </c>
      <c r="G112" s="14">
        <v>3335.8</v>
      </c>
      <c r="H112" s="14">
        <v>3336.6</v>
      </c>
      <c r="I112" s="14">
        <v>3323.57</v>
      </c>
      <c r="J112" s="14">
        <v>3394.6</v>
      </c>
      <c r="K112" s="14">
        <v>1907.75</v>
      </c>
      <c r="L112" s="15">
        <v>702598</v>
      </c>
      <c r="M112" t="s" s="13">
        <v>6434</v>
      </c>
      <c r="N112" s="15">
        <v>74948</v>
      </c>
      <c r="O112" s="17" cm="1">
        <f t="array" ref="O112">(H112-H111)/H111</f>
        <v>0.000104908205320345</v>
      </c>
      <c r="P112" s="8"/>
      <c r="Q112" s="8"/>
    </row>
    <row r="113" ht="13.65" customHeight="1">
      <c r="A113" s="12">
        <v>44448</v>
      </c>
      <c r="B113" t="s" s="13">
        <v>22</v>
      </c>
      <c r="C113" s="14">
        <v>3305</v>
      </c>
      <c r="D113" s="14">
        <v>3359</v>
      </c>
      <c r="E113" s="14">
        <v>3305</v>
      </c>
      <c r="F113" s="14">
        <v>3336.6</v>
      </c>
      <c r="G113" s="14">
        <v>3343</v>
      </c>
      <c r="H113" s="14">
        <v>3346.35</v>
      </c>
      <c r="I113" s="14">
        <v>3336.7</v>
      </c>
      <c r="J113" s="14">
        <v>3394.6</v>
      </c>
      <c r="K113" s="14">
        <v>1907.75</v>
      </c>
      <c r="L113" s="15">
        <v>591745</v>
      </c>
      <c r="M113" t="s" s="13">
        <v>6435</v>
      </c>
      <c r="N113" s="15">
        <v>41391</v>
      </c>
      <c r="O113" s="17" cm="1">
        <f t="array" ref="O113">(H113-H112)/H112</f>
        <v>0.00292213630641971</v>
      </c>
      <c r="P113" s="8"/>
      <c r="Q113" s="8"/>
    </row>
    <row r="114" ht="13.65" customHeight="1">
      <c r="A114" s="18">
        <v>44452</v>
      </c>
      <c r="B114" t="s" s="13">
        <v>22</v>
      </c>
      <c r="C114" s="14">
        <v>3346.6</v>
      </c>
      <c r="D114" s="14">
        <v>3374</v>
      </c>
      <c r="E114" s="14">
        <v>3330.35</v>
      </c>
      <c r="F114" s="14">
        <v>3346.35</v>
      </c>
      <c r="G114" s="14">
        <v>3366</v>
      </c>
      <c r="H114" s="14">
        <v>3367.05</v>
      </c>
      <c r="I114" s="14">
        <v>3355.88</v>
      </c>
      <c r="J114" s="14">
        <v>3394.6</v>
      </c>
      <c r="K114" s="14">
        <v>1907.75</v>
      </c>
      <c r="L114" s="15">
        <v>610920</v>
      </c>
      <c r="M114" t="s" s="13">
        <v>6436</v>
      </c>
      <c r="N114" s="15">
        <v>50829</v>
      </c>
      <c r="O114" s="17" cm="1">
        <f t="array" ref="O114">(H114-H113)/H113</f>
        <v>0.00618584427809404</v>
      </c>
      <c r="P114" s="8"/>
      <c r="Q114" s="8"/>
    </row>
    <row r="115" ht="13.65" customHeight="1">
      <c r="A115" s="18">
        <v>44453</v>
      </c>
      <c r="B115" t="s" s="13">
        <v>22</v>
      </c>
      <c r="C115" s="14">
        <v>3384.9</v>
      </c>
      <c r="D115" s="14">
        <v>3388.6</v>
      </c>
      <c r="E115" s="14">
        <v>3356.85</v>
      </c>
      <c r="F115" s="14">
        <v>3367.05</v>
      </c>
      <c r="G115" s="14">
        <v>3362.5</v>
      </c>
      <c r="H115" s="14">
        <v>3362.5</v>
      </c>
      <c r="I115" s="14">
        <v>3368.62</v>
      </c>
      <c r="J115" s="14">
        <v>3394.6</v>
      </c>
      <c r="K115" s="14">
        <v>1907.75</v>
      </c>
      <c r="L115" s="15">
        <v>569412</v>
      </c>
      <c r="M115" t="s" s="13">
        <v>6437</v>
      </c>
      <c r="N115" s="15">
        <v>56577</v>
      </c>
      <c r="O115" s="17" cm="1">
        <f t="array" ref="O115">(H115-H114)/H114</f>
        <v>-0.00135133128406172</v>
      </c>
      <c r="P115" s="8"/>
      <c r="Q115" s="8"/>
    </row>
    <row r="116" ht="13.65" customHeight="1">
      <c r="A116" s="18">
        <v>44454</v>
      </c>
      <c r="B116" t="s" s="13">
        <v>22</v>
      </c>
      <c r="C116" s="14">
        <v>3361.85</v>
      </c>
      <c r="D116" s="14">
        <v>3383.95</v>
      </c>
      <c r="E116" s="14">
        <v>3346.95</v>
      </c>
      <c r="F116" s="14">
        <v>3362.5</v>
      </c>
      <c r="G116" s="14">
        <v>3350</v>
      </c>
      <c r="H116" s="14">
        <v>3352.3</v>
      </c>
      <c r="I116" s="14">
        <v>3364.75</v>
      </c>
      <c r="J116" s="14">
        <v>3394.6</v>
      </c>
      <c r="K116" s="14">
        <v>1907.75</v>
      </c>
      <c r="L116" s="15">
        <v>587855</v>
      </c>
      <c r="M116" t="s" s="13">
        <v>6438</v>
      </c>
      <c r="N116" s="15">
        <v>53905</v>
      </c>
      <c r="O116" s="17" cm="1">
        <f t="array" ref="O116">(H116-H115)/H115</f>
        <v>-0.00303345724907063</v>
      </c>
      <c r="P116" s="8"/>
      <c r="Q116" s="8"/>
    </row>
    <row r="117" ht="13.65" customHeight="1">
      <c r="A117" s="18">
        <v>44455</v>
      </c>
      <c r="B117" t="s" s="13">
        <v>22</v>
      </c>
      <c r="C117" s="14">
        <v>3350</v>
      </c>
      <c r="D117" s="14">
        <v>3371</v>
      </c>
      <c r="E117" s="14">
        <v>3335</v>
      </c>
      <c r="F117" s="14">
        <v>3352.3</v>
      </c>
      <c r="G117" s="14">
        <v>3339.5</v>
      </c>
      <c r="H117" s="14">
        <v>3342.1</v>
      </c>
      <c r="I117" s="14">
        <v>3348.72</v>
      </c>
      <c r="J117" s="14">
        <v>3394.6</v>
      </c>
      <c r="K117" s="14">
        <v>1907.75</v>
      </c>
      <c r="L117" s="15">
        <v>516746</v>
      </c>
      <c r="M117" t="s" s="13">
        <v>6439</v>
      </c>
      <c r="N117" s="15">
        <v>43860</v>
      </c>
      <c r="O117" s="17" cm="1">
        <f t="array" ref="O117">(H117-H116)/H116</f>
        <v>-0.00304268711034215</v>
      </c>
      <c r="P117" s="8"/>
      <c r="Q117" s="8"/>
    </row>
    <row r="118" ht="13.65" customHeight="1">
      <c r="A118" s="18">
        <v>44456</v>
      </c>
      <c r="B118" t="s" s="13">
        <v>22</v>
      </c>
      <c r="C118" s="14">
        <v>3352</v>
      </c>
      <c r="D118" s="14">
        <v>3382</v>
      </c>
      <c r="E118" s="14">
        <v>3285.05</v>
      </c>
      <c r="F118" s="14">
        <v>3342.1</v>
      </c>
      <c r="G118" s="14">
        <v>3311</v>
      </c>
      <c r="H118" s="14">
        <v>3303.05</v>
      </c>
      <c r="I118" s="14">
        <v>3324.32</v>
      </c>
      <c r="J118" s="14">
        <v>3394.6</v>
      </c>
      <c r="K118" s="14">
        <v>1907.75</v>
      </c>
      <c r="L118" s="15">
        <v>1545695</v>
      </c>
      <c r="M118" t="s" s="13">
        <v>6440</v>
      </c>
      <c r="N118" s="15">
        <v>61404</v>
      </c>
      <c r="O118" s="17" cm="1">
        <f t="array" ref="O118">(H118-H117)/H117</f>
        <v>-0.0116842703689297</v>
      </c>
      <c r="P118" s="8"/>
      <c r="Q118" s="8"/>
    </row>
    <row r="119" ht="13.65" customHeight="1">
      <c r="A119" s="18">
        <v>44459</v>
      </c>
      <c r="B119" t="s" s="13">
        <v>22</v>
      </c>
      <c r="C119" s="14">
        <v>3299.95</v>
      </c>
      <c r="D119" s="14">
        <v>3315</v>
      </c>
      <c r="E119" s="14">
        <v>3265</v>
      </c>
      <c r="F119" s="14">
        <v>3303.05</v>
      </c>
      <c r="G119" s="14">
        <v>3273.6</v>
      </c>
      <c r="H119" s="14">
        <v>3271.55</v>
      </c>
      <c r="I119" s="14">
        <v>3289.84</v>
      </c>
      <c r="J119" s="14">
        <v>3394.6</v>
      </c>
      <c r="K119" s="14">
        <v>1907.75</v>
      </c>
      <c r="L119" s="15">
        <v>689288</v>
      </c>
      <c r="M119" t="s" s="13">
        <v>6441</v>
      </c>
      <c r="N119" s="15">
        <v>55756</v>
      </c>
      <c r="O119" s="17" cm="1">
        <f t="array" ref="O119">(H119-H118)/H118</f>
        <v>-0.00953664037783261</v>
      </c>
      <c r="P119" s="8"/>
      <c r="Q119" s="8"/>
    </row>
    <row r="120" ht="13.65" customHeight="1">
      <c r="A120" s="18">
        <v>44460</v>
      </c>
      <c r="B120" t="s" s="13">
        <v>22</v>
      </c>
      <c r="C120" s="14">
        <v>3271.55</v>
      </c>
      <c r="D120" s="14">
        <v>3335</v>
      </c>
      <c r="E120" s="14">
        <v>3271</v>
      </c>
      <c r="F120" s="14">
        <v>3271.55</v>
      </c>
      <c r="G120" s="14">
        <v>3308</v>
      </c>
      <c r="H120" s="14">
        <v>3309.2</v>
      </c>
      <c r="I120" s="14">
        <v>3309.13</v>
      </c>
      <c r="J120" s="14">
        <v>3394.6</v>
      </c>
      <c r="K120" s="14">
        <v>1907.75</v>
      </c>
      <c r="L120" s="15">
        <v>922057</v>
      </c>
      <c r="M120" t="s" s="13">
        <v>6442</v>
      </c>
      <c r="N120" s="15">
        <v>58167</v>
      </c>
      <c r="O120" s="17" cm="1">
        <f t="array" ref="O120">(H120-H119)/H119</f>
        <v>0.0115083064602406</v>
      </c>
      <c r="P120" s="8"/>
      <c r="Q120" s="8"/>
    </row>
    <row r="121" ht="13.65" customHeight="1">
      <c r="A121" s="18">
        <v>44461</v>
      </c>
      <c r="B121" t="s" s="13">
        <v>22</v>
      </c>
      <c r="C121" s="14">
        <v>3328.5</v>
      </c>
      <c r="D121" s="14">
        <v>3329.95</v>
      </c>
      <c r="E121" s="14">
        <v>3288.25</v>
      </c>
      <c r="F121" s="14">
        <v>3309.2</v>
      </c>
      <c r="G121" s="14">
        <v>3319.8</v>
      </c>
      <c r="H121" s="14">
        <v>3317.5</v>
      </c>
      <c r="I121" s="14">
        <v>3308.62</v>
      </c>
      <c r="J121" s="14">
        <v>3394.6</v>
      </c>
      <c r="K121" s="14">
        <v>1907.75</v>
      </c>
      <c r="L121" s="15">
        <v>825945</v>
      </c>
      <c r="M121" t="s" s="13">
        <v>6443</v>
      </c>
      <c r="N121" s="15">
        <v>58258</v>
      </c>
      <c r="O121" s="17" cm="1">
        <f t="array" ref="O121">(H121-H120)/H120</f>
        <v>0.00250815907167896</v>
      </c>
      <c r="P121" s="8"/>
      <c r="Q121" s="8"/>
    </row>
    <row r="122" ht="13.65" customHeight="1">
      <c r="A122" s="18">
        <v>44462</v>
      </c>
      <c r="B122" t="s" s="13">
        <v>22</v>
      </c>
      <c r="C122" s="14">
        <v>3340</v>
      </c>
      <c r="D122" s="14">
        <v>3340</v>
      </c>
      <c r="E122" s="14">
        <v>3315</v>
      </c>
      <c r="F122" s="14">
        <v>3317.5</v>
      </c>
      <c r="G122" s="14">
        <v>3326</v>
      </c>
      <c r="H122" s="14">
        <v>3320.65</v>
      </c>
      <c r="I122" s="14">
        <v>3325.31</v>
      </c>
      <c r="J122" s="14">
        <v>3394.6</v>
      </c>
      <c r="K122" s="14">
        <v>1907.75</v>
      </c>
      <c r="L122" s="15">
        <v>694716</v>
      </c>
      <c r="M122" t="s" s="13">
        <v>6444</v>
      </c>
      <c r="N122" s="15">
        <v>52934</v>
      </c>
      <c r="O122" s="17" cm="1">
        <f t="array" ref="O122">(H122-H121)/H121</f>
        <v>0.000949510173323286</v>
      </c>
      <c r="P122" s="8"/>
      <c r="Q122" s="8"/>
    </row>
    <row r="123" ht="13.65" customHeight="1">
      <c r="A123" s="18">
        <v>44463</v>
      </c>
      <c r="B123" t="s" s="13">
        <v>22</v>
      </c>
      <c r="C123" s="14">
        <v>3330</v>
      </c>
      <c r="D123" s="14">
        <v>3505</v>
      </c>
      <c r="E123" s="14">
        <v>3320.85</v>
      </c>
      <c r="F123" s="14">
        <v>3320.65</v>
      </c>
      <c r="G123" s="14">
        <v>3445</v>
      </c>
      <c r="H123" s="14">
        <v>3448.6</v>
      </c>
      <c r="I123" s="14">
        <v>3450.33</v>
      </c>
      <c r="J123" s="14">
        <v>3505</v>
      </c>
      <c r="K123" s="14">
        <v>1907.75</v>
      </c>
      <c r="L123" s="15">
        <v>2775975</v>
      </c>
      <c r="M123" t="s" s="13">
        <v>6445</v>
      </c>
      <c r="N123" s="15">
        <v>213860</v>
      </c>
      <c r="O123" s="17" cm="1">
        <f t="array" ref="O123">(H123-H122)/H122</f>
        <v>0.0385316127866532</v>
      </c>
      <c r="P123" s="8"/>
      <c r="Q123" s="8"/>
    </row>
    <row r="124" ht="13.65" customHeight="1">
      <c r="A124" s="18">
        <v>44466</v>
      </c>
      <c r="B124" t="s" s="13">
        <v>22</v>
      </c>
      <c r="C124" s="14">
        <v>3461.6</v>
      </c>
      <c r="D124" s="14">
        <v>3470</v>
      </c>
      <c r="E124" s="14">
        <v>3417.65</v>
      </c>
      <c r="F124" s="14">
        <v>3448.6</v>
      </c>
      <c r="G124" s="14">
        <v>3423</v>
      </c>
      <c r="H124" s="14">
        <v>3430.65</v>
      </c>
      <c r="I124" s="14">
        <v>3437.34</v>
      </c>
      <c r="J124" s="14">
        <v>3505</v>
      </c>
      <c r="K124" s="14">
        <v>1930</v>
      </c>
      <c r="L124" s="15">
        <v>902449</v>
      </c>
      <c r="M124" t="s" s="13">
        <v>6446</v>
      </c>
      <c r="N124" s="15">
        <v>77996</v>
      </c>
      <c r="O124" s="17" cm="1">
        <f t="array" ref="O124">(H124-H123)/H123</f>
        <v>-0.00520501072899147</v>
      </c>
      <c r="P124" s="8"/>
      <c r="Q124" s="8"/>
    </row>
    <row r="125" ht="13.65" customHeight="1">
      <c r="A125" s="18">
        <v>44467</v>
      </c>
      <c r="B125" t="s" s="13">
        <v>22</v>
      </c>
      <c r="C125" s="14">
        <v>3424.9</v>
      </c>
      <c r="D125" s="14">
        <v>3429.7</v>
      </c>
      <c r="E125" s="14">
        <v>3350</v>
      </c>
      <c r="F125" s="14">
        <v>3430.65</v>
      </c>
      <c r="G125" s="14">
        <v>3385</v>
      </c>
      <c r="H125" s="14">
        <v>3379.7</v>
      </c>
      <c r="I125" s="14">
        <v>3376.29</v>
      </c>
      <c r="J125" s="14">
        <v>3505</v>
      </c>
      <c r="K125" s="14">
        <v>1930</v>
      </c>
      <c r="L125" s="15">
        <v>961271</v>
      </c>
      <c r="M125" t="s" s="13">
        <v>6447</v>
      </c>
      <c r="N125" s="15">
        <v>99252</v>
      </c>
      <c r="O125" s="17" cm="1">
        <f t="array" ref="O125">(H125-H124)/H124</f>
        <v>-0.0148514129975369</v>
      </c>
      <c r="P125" s="8"/>
      <c r="Q125" s="8"/>
    </row>
    <row r="126" ht="13.65" customHeight="1">
      <c r="A126" s="18">
        <v>44468</v>
      </c>
      <c r="B126" t="s" s="13">
        <v>22</v>
      </c>
      <c r="C126" s="14">
        <v>3365</v>
      </c>
      <c r="D126" s="14">
        <v>3381.7</v>
      </c>
      <c r="E126" s="14">
        <v>3310</v>
      </c>
      <c r="F126" s="14">
        <v>3379.7</v>
      </c>
      <c r="G126" s="14">
        <v>3320</v>
      </c>
      <c r="H126" s="14">
        <v>3323.05</v>
      </c>
      <c r="I126" s="14">
        <v>3334.92</v>
      </c>
      <c r="J126" s="14">
        <v>3505</v>
      </c>
      <c r="K126" s="14">
        <v>1930</v>
      </c>
      <c r="L126" s="15">
        <v>973387</v>
      </c>
      <c r="M126" t="s" s="13">
        <v>6448</v>
      </c>
      <c r="N126" s="15">
        <v>87400</v>
      </c>
      <c r="O126" s="17" cm="1">
        <f t="array" ref="O126">(H126-H125)/H125</f>
        <v>-0.0167618427671095</v>
      </c>
      <c r="P126" s="8"/>
      <c r="Q126" s="8"/>
    </row>
    <row r="127" ht="13.65" customHeight="1">
      <c r="A127" s="18">
        <v>44469</v>
      </c>
      <c r="B127" t="s" s="13">
        <v>22</v>
      </c>
      <c r="C127" s="14">
        <v>3329.9</v>
      </c>
      <c r="D127" s="14">
        <v>3347.7</v>
      </c>
      <c r="E127" s="14">
        <v>3220</v>
      </c>
      <c r="F127" s="14">
        <v>3323.05</v>
      </c>
      <c r="G127" s="14">
        <v>3248</v>
      </c>
      <c r="H127" s="14">
        <v>3244.65</v>
      </c>
      <c r="I127" s="14">
        <v>3260.63</v>
      </c>
      <c r="J127" s="14">
        <v>3505</v>
      </c>
      <c r="K127" s="14">
        <v>1930</v>
      </c>
      <c r="L127" s="15">
        <v>2077896</v>
      </c>
      <c r="M127" t="s" s="13">
        <v>6449</v>
      </c>
      <c r="N127" s="15">
        <v>173744</v>
      </c>
      <c r="O127" s="17" cm="1">
        <f t="array" ref="O127">(H127-H126)/H126</f>
        <v>-0.0235927837378312</v>
      </c>
      <c r="P127" s="8"/>
      <c r="Q127" s="8"/>
    </row>
    <row r="128" ht="13.65" customHeight="1">
      <c r="A128" s="12">
        <v>44470</v>
      </c>
      <c r="B128" t="s" s="13">
        <v>22</v>
      </c>
      <c r="C128" s="14">
        <v>3248</v>
      </c>
      <c r="D128" s="14">
        <v>3252.95</v>
      </c>
      <c r="E128" s="14">
        <v>3170</v>
      </c>
      <c r="F128" s="14">
        <v>3244.65</v>
      </c>
      <c r="G128" s="14">
        <v>3180.95</v>
      </c>
      <c r="H128" s="14">
        <v>3177.85</v>
      </c>
      <c r="I128" s="14">
        <v>3184.72</v>
      </c>
      <c r="J128" s="14">
        <v>3505</v>
      </c>
      <c r="K128" s="14">
        <v>1930</v>
      </c>
      <c r="L128" s="15">
        <v>1512332</v>
      </c>
      <c r="M128" t="s" s="13">
        <v>6450</v>
      </c>
      <c r="N128" s="15">
        <v>133953</v>
      </c>
      <c r="O128" s="17" cm="1">
        <f t="array" ref="O128">(H128-H127)/H127</f>
        <v>-0.0205877367358575</v>
      </c>
      <c r="P128" s="8"/>
      <c r="Q128" s="8"/>
    </row>
    <row r="129" ht="13.65" customHeight="1">
      <c r="A129" s="12">
        <v>44473</v>
      </c>
      <c r="B129" t="s" s="13">
        <v>22</v>
      </c>
      <c r="C129" s="14">
        <v>3202.8</v>
      </c>
      <c r="D129" s="14">
        <v>3230.5</v>
      </c>
      <c r="E129" s="14">
        <v>3178</v>
      </c>
      <c r="F129" s="14">
        <v>3177.85</v>
      </c>
      <c r="G129" s="14">
        <v>3202</v>
      </c>
      <c r="H129" s="14">
        <v>3201.6</v>
      </c>
      <c r="I129" s="14">
        <v>3205.05</v>
      </c>
      <c r="J129" s="14">
        <v>3505</v>
      </c>
      <c r="K129" s="14">
        <v>2011</v>
      </c>
      <c r="L129" s="15">
        <v>921241</v>
      </c>
      <c r="M129" t="s" s="13">
        <v>6451</v>
      </c>
      <c r="N129" s="15">
        <v>82803</v>
      </c>
      <c r="O129" s="17" cm="1">
        <f t="array" ref="O129">(H129-H128)/H128</f>
        <v>0.00747360636908602</v>
      </c>
      <c r="P129" s="8"/>
      <c r="Q129" s="8"/>
    </row>
    <row r="130" ht="13.65" customHeight="1">
      <c r="A130" s="12">
        <v>44474</v>
      </c>
      <c r="B130" t="s" s="13">
        <v>22</v>
      </c>
      <c r="C130" s="14">
        <v>3208.55</v>
      </c>
      <c r="D130" s="14">
        <v>3260</v>
      </c>
      <c r="E130" s="14">
        <v>3191.65</v>
      </c>
      <c r="F130" s="14">
        <v>3201.6</v>
      </c>
      <c r="G130" s="14">
        <v>3260</v>
      </c>
      <c r="H130" s="14">
        <v>3254.75</v>
      </c>
      <c r="I130" s="14">
        <v>3243.27</v>
      </c>
      <c r="J130" s="14">
        <v>3505</v>
      </c>
      <c r="K130" s="14">
        <v>2011</v>
      </c>
      <c r="L130" s="15">
        <v>909337</v>
      </c>
      <c r="M130" t="s" s="13">
        <v>6452</v>
      </c>
      <c r="N130" s="15">
        <v>71023</v>
      </c>
      <c r="O130" s="17" cm="1">
        <f t="array" ref="O130">(H130-H129)/H129</f>
        <v>0.0166010744627686</v>
      </c>
      <c r="P130" s="8"/>
      <c r="Q130" s="8"/>
    </row>
    <row r="131" ht="13.65" customHeight="1">
      <c r="A131" s="12">
        <v>44475</v>
      </c>
      <c r="B131" t="s" s="13">
        <v>22</v>
      </c>
      <c r="C131" s="14">
        <v>3262</v>
      </c>
      <c r="D131" s="14">
        <v>3280</v>
      </c>
      <c r="E131" s="14">
        <v>3200.65</v>
      </c>
      <c r="F131" s="14">
        <v>3254.75</v>
      </c>
      <c r="G131" s="14">
        <v>3207.05</v>
      </c>
      <c r="H131" s="14">
        <v>3212.25</v>
      </c>
      <c r="I131" s="14">
        <v>3235.72</v>
      </c>
      <c r="J131" s="14">
        <v>3505</v>
      </c>
      <c r="K131" s="14">
        <v>2011</v>
      </c>
      <c r="L131" s="15">
        <v>786378</v>
      </c>
      <c r="M131" t="s" s="13">
        <v>6453</v>
      </c>
      <c r="N131" s="15">
        <v>72798</v>
      </c>
      <c r="O131" s="17" cm="1">
        <f t="array" ref="O131">(H131-H130)/H130</f>
        <v>-0.0130578385436669</v>
      </c>
      <c r="P131" s="8"/>
      <c r="Q131" s="8"/>
    </row>
    <row r="132" ht="13.65" customHeight="1">
      <c r="A132" s="12">
        <v>44476</v>
      </c>
      <c r="B132" t="s" s="13">
        <v>22</v>
      </c>
      <c r="C132" s="14">
        <v>3220</v>
      </c>
      <c r="D132" s="14">
        <v>3318</v>
      </c>
      <c r="E132" s="14">
        <v>3220</v>
      </c>
      <c r="F132" s="14">
        <v>3212.25</v>
      </c>
      <c r="G132" s="14">
        <v>3295</v>
      </c>
      <c r="H132" s="14">
        <v>3290.85</v>
      </c>
      <c r="I132" s="14">
        <v>3280.27</v>
      </c>
      <c r="J132" s="14">
        <v>3505</v>
      </c>
      <c r="K132" s="14">
        <v>2011</v>
      </c>
      <c r="L132" s="15">
        <v>1177283</v>
      </c>
      <c r="M132" t="s" s="13">
        <v>6454</v>
      </c>
      <c r="N132" s="15">
        <v>95072</v>
      </c>
      <c r="O132" s="17" cm="1">
        <f t="array" ref="O132">(H132-H131)/H131</f>
        <v>0.0244688302591641</v>
      </c>
      <c r="P132" s="8"/>
      <c r="Q132" s="8"/>
    </row>
    <row r="133" ht="13.65" customHeight="1">
      <c r="A133" s="12">
        <v>44477</v>
      </c>
      <c r="B133" t="s" s="13">
        <v>22</v>
      </c>
      <c r="C133" s="14">
        <v>3307</v>
      </c>
      <c r="D133" s="14">
        <v>3329</v>
      </c>
      <c r="E133" s="14">
        <v>3264.1</v>
      </c>
      <c r="F133" s="14">
        <v>3290.85</v>
      </c>
      <c r="G133" s="14">
        <v>3309.1</v>
      </c>
      <c r="H133" s="14">
        <v>3306.9</v>
      </c>
      <c r="I133" s="14">
        <v>3302.69</v>
      </c>
      <c r="J133" s="14">
        <v>3505</v>
      </c>
      <c r="K133" s="14">
        <v>2011</v>
      </c>
      <c r="L133" s="15">
        <v>882436</v>
      </c>
      <c r="M133" t="s" s="13">
        <v>6455</v>
      </c>
      <c r="N133" s="15">
        <v>65577</v>
      </c>
      <c r="O133" s="17" cm="1">
        <f t="array" ref="O133">(H133-H132)/H132</f>
        <v>0.0048771593965085</v>
      </c>
      <c r="P133" s="8"/>
      <c r="Q133" s="8"/>
    </row>
    <row r="134" ht="13.65" customHeight="1">
      <c r="A134" s="18">
        <v>44480</v>
      </c>
      <c r="B134" t="s" s="13">
        <v>22</v>
      </c>
      <c r="C134" s="14">
        <v>3326.4</v>
      </c>
      <c r="D134" s="14">
        <v>3344.35</v>
      </c>
      <c r="E134" s="14">
        <v>3297.75</v>
      </c>
      <c r="F134" s="14">
        <v>3306.9</v>
      </c>
      <c r="G134" s="14">
        <v>3303.95</v>
      </c>
      <c r="H134" s="14">
        <v>3306.05</v>
      </c>
      <c r="I134" s="14">
        <v>3324.96</v>
      </c>
      <c r="J134" s="14">
        <v>3505</v>
      </c>
      <c r="K134" s="14">
        <v>2041.25</v>
      </c>
      <c r="L134" s="15">
        <v>460197</v>
      </c>
      <c r="M134" t="s" s="13">
        <v>6456</v>
      </c>
      <c r="N134" s="15">
        <v>45720</v>
      </c>
      <c r="O134" s="17" cm="1">
        <f t="array" ref="O134">(H134-H133)/H133</f>
        <v>-0.000257038313828661</v>
      </c>
      <c r="P134" s="8"/>
      <c r="Q134" s="8"/>
    </row>
    <row r="135" ht="13.65" customHeight="1">
      <c r="A135" s="18">
        <v>44481</v>
      </c>
      <c r="B135" t="s" s="13">
        <v>22</v>
      </c>
      <c r="C135" s="14">
        <v>3280</v>
      </c>
      <c r="D135" s="14">
        <v>3335</v>
      </c>
      <c r="E135" s="14">
        <v>3280</v>
      </c>
      <c r="F135" s="14">
        <v>3306.05</v>
      </c>
      <c r="G135" s="14">
        <v>3322</v>
      </c>
      <c r="H135" s="14">
        <v>3323.25</v>
      </c>
      <c r="I135" s="14">
        <v>3312.43</v>
      </c>
      <c r="J135" s="14">
        <v>3505</v>
      </c>
      <c r="K135" s="14">
        <v>2041.25</v>
      </c>
      <c r="L135" s="15">
        <v>564524</v>
      </c>
      <c r="M135" t="s" s="13">
        <v>6457</v>
      </c>
      <c r="N135" s="15">
        <v>52763</v>
      </c>
      <c r="O135" s="17" cm="1">
        <f t="array" ref="O135">(H135-H134)/H134</f>
        <v>0.00520258314302567</v>
      </c>
      <c r="P135" s="8"/>
      <c r="Q135" s="8"/>
    </row>
    <row r="136" ht="13.65" customHeight="1">
      <c r="A136" s="18">
        <v>44482</v>
      </c>
      <c r="B136" t="s" s="13">
        <v>22</v>
      </c>
      <c r="C136" s="14">
        <v>3343</v>
      </c>
      <c r="D136" s="14">
        <v>3358.9</v>
      </c>
      <c r="E136" s="14">
        <v>3291.4</v>
      </c>
      <c r="F136" s="14">
        <v>3323.25</v>
      </c>
      <c r="G136" s="14">
        <v>3319</v>
      </c>
      <c r="H136" s="14">
        <v>3323.5</v>
      </c>
      <c r="I136" s="14">
        <v>3326.44</v>
      </c>
      <c r="J136" s="14">
        <v>3505</v>
      </c>
      <c r="K136" s="14">
        <v>2041.25</v>
      </c>
      <c r="L136" s="15">
        <v>770144</v>
      </c>
      <c r="M136" t="s" s="13">
        <v>6458</v>
      </c>
      <c r="N136" s="15">
        <v>59788</v>
      </c>
      <c r="O136" s="17" cm="1">
        <f t="array" ref="O136">(H136-H135)/H135</f>
        <v>7.52275633792221e-05</v>
      </c>
      <c r="P136" s="8"/>
      <c r="Q136" s="8"/>
    </row>
    <row r="137" ht="13.65" customHeight="1">
      <c r="A137" s="18">
        <v>44483</v>
      </c>
      <c r="B137" t="s" s="13">
        <v>22</v>
      </c>
      <c r="C137" s="14">
        <v>3342</v>
      </c>
      <c r="D137" s="14">
        <v>3352.95</v>
      </c>
      <c r="E137" s="14">
        <v>3290</v>
      </c>
      <c r="F137" s="14">
        <v>3323.5</v>
      </c>
      <c r="G137" s="14">
        <v>3297.8</v>
      </c>
      <c r="H137" s="14">
        <v>3297.8</v>
      </c>
      <c r="I137" s="14">
        <v>3315.73</v>
      </c>
      <c r="J137" s="14">
        <v>3505</v>
      </c>
      <c r="K137" s="14">
        <v>2041.25</v>
      </c>
      <c r="L137" s="15">
        <v>648597</v>
      </c>
      <c r="M137" t="s" s="13">
        <v>6459</v>
      </c>
      <c r="N137" s="15">
        <v>63419</v>
      </c>
      <c r="O137" s="17" cm="1">
        <f t="array" ref="O137">(H137-H136)/H136</f>
        <v>-0.00773281179479464</v>
      </c>
      <c r="P137" s="8"/>
      <c r="Q137" s="8"/>
    </row>
    <row r="138" ht="13.65" customHeight="1">
      <c r="A138" s="18">
        <v>44487</v>
      </c>
      <c r="B138" t="s" s="13">
        <v>22</v>
      </c>
      <c r="C138" s="14">
        <v>3252.5</v>
      </c>
      <c r="D138" s="14">
        <v>3283.95</v>
      </c>
      <c r="E138" s="14">
        <v>3232</v>
      </c>
      <c r="F138" s="14">
        <v>3297.8</v>
      </c>
      <c r="G138" s="14">
        <v>3242</v>
      </c>
      <c r="H138" s="14">
        <v>3241.5</v>
      </c>
      <c r="I138" s="14">
        <v>3254.33</v>
      </c>
      <c r="J138" s="14">
        <v>3505</v>
      </c>
      <c r="K138" s="14">
        <v>2056.5</v>
      </c>
      <c r="L138" s="15">
        <v>1576121</v>
      </c>
      <c r="M138" t="s" s="13">
        <v>6460</v>
      </c>
      <c r="N138" s="15">
        <v>124215</v>
      </c>
      <c r="O138" s="17" cm="1">
        <f t="array" ref="O138">(H138-H137)/H137</f>
        <v>-0.0170719873855297</v>
      </c>
      <c r="P138" s="8"/>
      <c r="Q138" s="8"/>
    </row>
    <row r="139" ht="13.65" customHeight="1">
      <c r="A139" s="18">
        <v>44488</v>
      </c>
      <c r="B139" t="s" s="13">
        <v>22</v>
      </c>
      <c r="C139" s="14">
        <v>3260.9</v>
      </c>
      <c r="D139" s="14">
        <v>3269.1</v>
      </c>
      <c r="E139" s="14">
        <v>3176.1</v>
      </c>
      <c r="F139" s="14">
        <v>3241.5</v>
      </c>
      <c r="G139" s="14">
        <v>3187</v>
      </c>
      <c r="H139" s="14">
        <v>3183.75</v>
      </c>
      <c r="I139" s="14">
        <v>3219.88</v>
      </c>
      <c r="J139" s="14">
        <v>3505</v>
      </c>
      <c r="K139" s="14">
        <v>2056.5</v>
      </c>
      <c r="L139" s="15">
        <v>1042069</v>
      </c>
      <c r="M139" t="s" s="13">
        <v>6461</v>
      </c>
      <c r="N139" s="15">
        <v>89378</v>
      </c>
      <c r="O139" s="17" cm="1">
        <f t="array" ref="O139">(H139-H138)/H138</f>
        <v>-0.0178158260064785</v>
      </c>
      <c r="P139" s="8"/>
      <c r="Q139" s="8"/>
    </row>
    <row r="140" ht="13.65" customHeight="1">
      <c r="A140" s="18">
        <v>44489</v>
      </c>
      <c r="B140" t="s" s="13">
        <v>22</v>
      </c>
      <c r="C140" s="14">
        <v>3190</v>
      </c>
      <c r="D140" s="14">
        <v>3219.95</v>
      </c>
      <c r="E140" s="14">
        <v>3136.65</v>
      </c>
      <c r="F140" s="14">
        <v>3183.75</v>
      </c>
      <c r="G140" s="14">
        <v>3177</v>
      </c>
      <c r="H140" s="14">
        <v>3169.6</v>
      </c>
      <c r="I140" s="14">
        <v>3184.57</v>
      </c>
      <c r="J140" s="14">
        <v>3505</v>
      </c>
      <c r="K140" s="14">
        <v>2056.5</v>
      </c>
      <c r="L140" s="15">
        <v>1205540</v>
      </c>
      <c r="M140" t="s" s="13">
        <v>6462</v>
      </c>
      <c r="N140" s="15">
        <v>102671</v>
      </c>
      <c r="O140" s="17" cm="1">
        <f t="array" ref="O140">(H140-H139)/H139</f>
        <v>-0.00444444444444444</v>
      </c>
      <c r="P140" s="8"/>
      <c r="Q140" s="8"/>
    </row>
    <row r="141" ht="13.65" customHeight="1">
      <c r="A141" s="18">
        <v>44490</v>
      </c>
      <c r="B141" t="s" s="13">
        <v>22</v>
      </c>
      <c r="C141" s="14">
        <v>3194</v>
      </c>
      <c r="D141" s="14">
        <v>3195.45</v>
      </c>
      <c r="E141" s="14">
        <v>2920.45</v>
      </c>
      <c r="F141" s="14">
        <v>3169.6</v>
      </c>
      <c r="G141" s="14">
        <v>3015</v>
      </c>
      <c r="H141" s="14">
        <v>3002</v>
      </c>
      <c r="I141" s="14">
        <v>3019.98</v>
      </c>
      <c r="J141" s="14">
        <v>3505</v>
      </c>
      <c r="K141" s="14">
        <v>2056.5</v>
      </c>
      <c r="L141" s="15">
        <v>5103543</v>
      </c>
      <c r="M141" t="s" s="13">
        <v>6463</v>
      </c>
      <c r="N141" s="15">
        <v>384801</v>
      </c>
      <c r="O141" s="17" cm="1">
        <f t="array" ref="O141">(H141-H140)/H140</f>
        <v>-0.0528773346794548</v>
      </c>
      <c r="P141" s="8"/>
      <c r="Q141" s="8"/>
    </row>
    <row r="142" ht="13.65" customHeight="1">
      <c r="A142" s="18">
        <v>44491</v>
      </c>
      <c r="B142" t="s" s="13">
        <v>22</v>
      </c>
      <c r="C142" s="14">
        <v>2975</v>
      </c>
      <c r="D142" s="14">
        <v>3002.95</v>
      </c>
      <c r="E142" s="14">
        <v>2912.15</v>
      </c>
      <c r="F142" s="14">
        <v>3002</v>
      </c>
      <c r="G142" s="14">
        <v>2970.55</v>
      </c>
      <c r="H142" s="14">
        <v>2982.4</v>
      </c>
      <c r="I142" s="14">
        <v>2947.33</v>
      </c>
      <c r="J142" s="14">
        <v>3505</v>
      </c>
      <c r="K142" s="14">
        <v>2056.5</v>
      </c>
      <c r="L142" s="15">
        <v>2855592</v>
      </c>
      <c r="M142" t="s" s="13">
        <v>6464</v>
      </c>
      <c r="N142" s="15">
        <v>227011</v>
      </c>
      <c r="O142" s="17" cm="1">
        <f t="array" ref="O142">(H142-H141)/H141</f>
        <v>-0.00652898067954697</v>
      </c>
      <c r="P142" s="8"/>
      <c r="Q142" s="8"/>
    </row>
    <row r="143" ht="13.65" customHeight="1">
      <c r="A143" s="18">
        <v>44494</v>
      </c>
      <c r="B143" t="s" s="13">
        <v>22</v>
      </c>
      <c r="C143" s="14">
        <v>2950</v>
      </c>
      <c r="D143" s="14">
        <v>2950</v>
      </c>
      <c r="E143" s="14">
        <v>2857.25</v>
      </c>
      <c r="F143" s="14">
        <v>2982.4</v>
      </c>
      <c r="G143" s="14">
        <v>2923</v>
      </c>
      <c r="H143" s="14">
        <v>2918.05</v>
      </c>
      <c r="I143" s="14">
        <v>2904.3</v>
      </c>
      <c r="J143" s="14">
        <v>3505</v>
      </c>
      <c r="K143" s="14">
        <v>2070.05</v>
      </c>
      <c r="L143" s="15">
        <v>2161537</v>
      </c>
      <c r="M143" t="s" s="13">
        <v>6465</v>
      </c>
      <c r="N143" s="15">
        <v>174323</v>
      </c>
      <c r="O143" s="17" cm="1">
        <f t="array" ref="O143">(H143-H142)/H142</f>
        <v>-0.0215765826180258</v>
      </c>
      <c r="P143" s="8"/>
      <c r="Q143" s="8"/>
    </row>
    <row r="144" ht="13.65" customHeight="1">
      <c r="A144" s="18">
        <v>44495</v>
      </c>
      <c r="B144" t="s" s="13">
        <v>22</v>
      </c>
      <c r="C144" s="14">
        <v>2918.05</v>
      </c>
      <c r="D144" s="14">
        <v>3024</v>
      </c>
      <c r="E144" s="14">
        <v>2898</v>
      </c>
      <c r="F144" s="14">
        <v>2918.05</v>
      </c>
      <c r="G144" s="14">
        <v>3006</v>
      </c>
      <c r="H144" s="14">
        <v>2969.8</v>
      </c>
      <c r="I144" s="14">
        <v>2930.77</v>
      </c>
      <c r="J144" s="14">
        <v>3505</v>
      </c>
      <c r="K144" s="14">
        <v>2070.05</v>
      </c>
      <c r="L144" s="15">
        <v>1988263</v>
      </c>
      <c r="M144" t="s" s="13">
        <v>6466</v>
      </c>
      <c r="N144" s="15">
        <v>162734</v>
      </c>
      <c r="O144" s="17" cm="1">
        <f t="array" ref="O144">(H144-H143)/H143</f>
        <v>0.017734445948493</v>
      </c>
      <c r="P144" s="8"/>
      <c r="Q144" s="8"/>
    </row>
    <row r="145" ht="13.65" customHeight="1">
      <c r="A145" s="18">
        <v>44496</v>
      </c>
      <c r="B145" t="s" s="13">
        <v>22</v>
      </c>
      <c r="C145" s="14">
        <v>3029.2</v>
      </c>
      <c r="D145" s="14">
        <v>3145</v>
      </c>
      <c r="E145" s="14">
        <v>3029.2</v>
      </c>
      <c r="F145" s="14">
        <v>2969.8</v>
      </c>
      <c r="G145" s="14">
        <v>3092.15</v>
      </c>
      <c r="H145" s="14">
        <v>3094.65</v>
      </c>
      <c r="I145" s="14">
        <v>3103.01</v>
      </c>
      <c r="J145" s="14">
        <v>3505</v>
      </c>
      <c r="K145" s="14">
        <v>2070.05</v>
      </c>
      <c r="L145" s="15">
        <v>4609951</v>
      </c>
      <c r="M145" t="s" s="13">
        <v>6467</v>
      </c>
      <c r="N145" s="15">
        <v>279612</v>
      </c>
      <c r="O145" s="17" cm="1">
        <f t="array" ref="O145">(H145-H144)/H144</f>
        <v>0.0420398680045794</v>
      </c>
      <c r="P145" s="8"/>
      <c r="Q145" s="8"/>
    </row>
    <row r="146" ht="13.65" customHeight="1">
      <c r="A146" s="18">
        <v>44497</v>
      </c>
      <c r="B146" t="s" s="13">
        <v>22</v>
      </c>
      <c r="C146" s="14">
        <v>3103</v>
      </c>
      <c r="D146" s="14">
        <v>3147.6</v>
      </c>
      <c r="E146" s="14">
        <v>3062</v>
      </c>
      <c r="F146" s="14">
        <v>3094.65</v>
      </c>
      <c r="G146" s="14">
        <v>3125</v>
      </c>
      <c r="H146" s="14">
        <v>3116.3</v>
      </c>
      <c r="I146" s="14">
        <v>3110.09</v>
      </c>
      <c r="J146" s="14">
        <v>3505</v>
      </c>
      <c r="K146" s="14">
        <v>2070.05</v>
      </c>
      <c r="L146" s="15">
        <v>1791065</v>
      </c>
      <c r="M146" t="s" s="13">
        <v>6468</v>
      </c>
      <c r="N146" s="15">
        <v>123942</v>
      </c>
      <c r="O146" s="17" cm="1">
        <f t="array" ref="O146">(H146-H145)/H145</f>
        <v>0.00699594461409206</v>
      </c>
      <c r="P146" s="8"/>
      <c r="Q146" s="8"/>
    </row>
    <row r="147" ht="13.65" customHeight="1">
      <c r="A147" s="18">
        <v>44498</v>
      </c>
      <c r="B147" t="s" s="13">
        <v>22</v>
      </c>
      <c r="C147" s="14">
        <v>3125</v>
      </c>
      <c r="D147" s="14">
        <v>3144.7</v>
      </c>
      <c r="E147" s="14">
        <v>3083.3</v>
      </c>
      <c r="F147" s="14">
        <v>3116.3</v>
      </c>
      <c r="G147" s="14">
        <v>3108</v>
      </c>
      <c r="H147" s="14">
        <v>3100.1</v>
      </c>
      <c r="I147" s="14">
        <v>3109.04</v>
      </c>
      <c r="J147" s="14">
        <v>3505</v>
      </c>
      <c r="K147" s="14">
        <v>2070.05</v>
      </c>
      <c r="L147" s="15">
        <v>1118903</v>
      </c>
      <c r="M147" t="s" s="13">
        <v>6469</v>
      </c>
      <c r="N147" s="15">
        <v>82379</v>
      </c>
      <c r="O147" s="17" cm="1">
        <f t="array" ref="O147">(H147-H146)/H146</f>
        <v>-0.00519847254757244</v>
      </c>
      <c r="P147" s="8"/>
      <c r="Q147" s="8"/>
    </row>
    <row r="148" ht="13.65" customHeight="1">
      <c r="A148" s="12">
        <v>44501</v>
      </c>
      <c r="B148" t="s" s="13">
        <v>22</v>
      </c>
      <c r="C148" s="14">
        <v>3128</v>
      </c>
      <c r="D148" s="14">
        <v>3142.25</v>
      </c>
      <c r="E148" s="14">
        <v>3091.65</v>
      </c>
      <c r="F148" s="14">
        <v>3100.1</v>
      </c>
      <c r="G148" s="14">
        <v>3117.9</v>
      </c>
      <c r="H148" s="14">
        <v>3121.8</v>
      </c>
      <c r="I148" s="14">
        <v>3120.08</v>
      </c>
      <c r="J148" s="14">
        <v>3505</v>
      </c>
      <c r="K148" s="14">
        <v>2117.15</v>
      </c>
      <c r="L148" s="15">
        <v>750393</v>
      </c>
      <c r="M148" t="s" s="13">
        <v>6470</v>
      </c>
      <c r="N148" s="15">
        <v>79031</v>
      </c>
      <c r="O148" s="17" cm="1">
        <f t="array" ref="O148">(H148-H147)/H147</f>
        <v>0.00699977420083223</v>
      </c>
      <c r="P148" s="8"/>
      <c r="Q148" s="8"/>
    </row>
    <row r="149" ht="13.65" customHeight="1">
      <c r="A149" s="12">
        <v>44502</v>
      </c>
      <c r="B149" t="s" s="13">
        <v>22</v>
      </c>
      <c r="C149" s="14">
        <v>3120</v>
      </c>
      <c r="D149" s="14">
        <v>3139.8</v>
      </c>
      <c r="E149" s="14">
        <v>3080</v>
      </c>
      <c r="F149" s="14">
        <v>3121.8</v>
      </c>
      <c r="G149" s="14">
        <v>3090</v>
      </c>
      <c r="H149" s="14">
        <v>3103.35</v>
      </c>
      <c r="I149" s="14">
        <v>3106.76</v>
      </c>
      <c r="J149" s="14">
        <v>3505</v>
      </c>
      <c r="K149" s="14">
        <v>2117.15</v>
      </c>
      <c r="L149" s="15">
        <v>881916</v>
      </c>
      <c r="M149" t="s" s="13">
        <v>6471</v>
      </c>
      <c r="N149" s="15">
        <v>90351</v>
      </c>
      <c r="O149" s="17" cm="1">
        <f t="array" ref="O149">(H149-H148)/H148</f>
        <v>-0.00591005189313857</v>
      </c>
      <c r="P149" s="8"/>
      <c r="Q149" s="8"/>
    </row>
    <row r="150" ht="13.65" customHeight="1">
      <c r="A150" s="12">
        <v>44503</v>
      </c>
      <c r="B150" t="s" s="13">
        <v>22</v>
      </c>
      <c r="C150" s="14">
        <v>3102.1</v>
      </c>
      <c r="D150" s="14">
        <v>3182.9</v>
      </c>
      <c r="E150" s="14">
        <v>3095</v>
      </c>
      <c r="F150" s="14">
        <v>3103.35</v>
      </c>
      <c r="G150" s="14">
        <v>3178.9</v>
      </c>
      <c r="H150" s="14">
        <v>3170.65</v>
      </c>
      <c r="I150" s="14">
        <v>3144.32</v>
      </c>
      <c r="J150" s="14">
        <v>3505</v>
      </c>
      <c r="K150" s="14">
        <v>2117.15</v>
      </c>
      <c r="L150" s="15">
        <v>879227</v>
      </c>
      <c r="M150" t="s" s="13">
        <v>6472</v>
      </c>
      <c r="N150" s="15">
        <v>58153</v>
      </c>
      <c r="O150" s="17" cm="1">
        <f t="array" ref="O150">(H150-H149)/H149</f>
        <v>0.0216862422865613</v>
      </c>
      <c r="P150" s="8"/>
      <c r="Q150" s="8"/>
    </row>
    <row r="151" ht="13.65" customHeight="1">
      <c r="A151" s="12">
        <v>44504</v>
      </c>
      <c r="B151" t="s" s="13">
        <v>22</v>
      </c>
      <c r="C151" s="14">
        <v>3179</v>
      </c>
      <c r="D151" s="14">
        <v>3190</v>
      </c>
      <c r="E151" s="14">
        <v>3145</v>
      </c>
      <c r="F151" s="14">
        <v>3170.65</v>
      </c>
      <c r="G151" s="14">
        <v>3157.7</v>
      </c>
      <c r="H151" s="14">
        <v>3159.25</v>
      </c>
      <c r="I151" s="14">
        <v>3167.59</v>
      </c>
      <c r="J151" s="14">
        <v>3505</v>
      </c>
      <c r="K151" s="14">
        <v>2117.15</v>
      </c>
      <c r="L151" s="15">
        <v>263595</v>
      </c>
      <c r="M151" t="s" s="13">
        <v>6473</v>
      </c>
      <c r="N151" s="15">
        <v>34643</v>
      </c>
      <c r="O151" s="17" cm="1">
        <f t="array" ref="O151">(H151-H150)/H150</f>
        <v>-0.00359547726806806</v>
      </c>
      <c r="P151" s="8"/>
      <c r="Q151" s="8"/>
    </row>
    <row r="152" ht="13.65" customHeight="1">
      <c r="A152" s="12">
        <v>44508</v>
      </c>
      <c r="B152" t="s" s="13">
        <v>22</v>
      </c>
      <c r="C152" s="14">
        <v>3165</v>
      </c>
      <c r="D152" s="14">
        <v>3181</v>
      </c>
      <c r="E152" s="14">
        <v>3095.15</v>
      </c>
      <c r="F152" s="14">
        <v>3159.25</v>
      </c>
      <c r="G152" s="14">
        <v>3139</v>
      </c>
      <c r="H152" s="14">
        <v>3138</v>
      </c>
      <c r="I152" s="14">
        <v>3133.29</v>
      </c>
      <c r="J152" s="14">
        <v>3505</v>
      </c>
      <c r="K152" s="14">
        <v>2117.15</v>
      </c>
      <c r="L152" s="15">
        <v>787824</v>
      </c>
      <c r="M152" t="s" s="13">
        <v>6474</v>
      </c>
      <c r="N152" s="15">
        <v>81516</v>
      </c>
      <c r="O152" s="17" cm="1">
        <f t="array" ref="O152">(H152-H151)/H151</f>
        <v>-0.00672627997151223</v>
      </c>
      <c r="P152" s="8"/>
      <c r="Q152" s="8"/>
    </row>
    <row r="153" ht="13.65" customHeight="1">
      <c r="A153" s="12">
        <v>44509</v>
      </c>
      <c r="B153" t="s" s="13">
        <v>22</v>
      </c>
      <c r="C153" s="14">
        <v>3140</v>
      </c>
      <c r="D153" s="14">
        <v>3155</v>
      </c>
      <c r="E153" s="14">
        <v>3120</v>
      </c>
      <c r="F153" s="14">
        <v>3138</v>
      </c>
      <c r="G153" s="14">
        <v>3146</v>
      </c>
      <c r="H153" s="14">
        <v>3145.15</v>
      </c>
      <c r="I153" s="14">
        <v>3137.94</v>
      </c>
      <c r="J153" s="14">
        <v>3505</v>
      </c>
      <c r="K153" s="14">
        <v>2117.15</v>
      </c>
      <c r="L153" s="15">
        <v>668840</v>
      </c>
      <c r="M153" t="s" s="13">
        <v>6475</v>
      </c>
      <c r="N153" s="15">
        <v>63210</v>
      </c>
      <c r="O153" s="17" cm="1">
        <f t="array" ref="O153">(H153-H152)/H152</f>
        <v>0.00227852135117909</v>
      </c>
      <c r="P153" s="8"/>
      <c r="Q153" s="8"/>
    </row>
    <row r="154" ht="13.65" customHeight="1">
      <c r="A154" s="18">
        <v>44510</v>
      </c>
      <c r="B154" t="s" s="13">
        <v>22</v>
      </c>
      <c r="C154" s="14">
        <v>3132</v>
      </c>
      <c r="D154" s="14">
        <v>3136.65</v>
      </c>
      <c r="E154" s="14">
        <v>3080.5</v>
      </c>
      <c r="F154" s="14">
        <v>3145.15</v>
      </c>
      <c r="G154" s="14">
        <v>3107</v>
      </c>
      <c r="H154" s="14">
        <v>3108.3</v>
      </c>
      <c r="I154" s="14">
        <v>3104.39</v>
      </c>
      <c r="J154" s="14">
        <v>3505</v>
      </c>
      <c r="K154" s="14">
        <v>2117.15</v>
      </c>
      <c r="L154" s="15">
        <v>872975</v>
      </c>
      <c r="M154" t="s" s="13">
        <v>6476</v>
      </c>
      <c r="N154" s="15">
        <v>75000</v>
      </c>
      <c r="O154" s="17" cm="1">
        <f t="array" ref="O154">(H154-H153)/H153</f>
        <v>-0.0117164523154699</v>
      </c>
      <c r="P154" s="8"/>
      <c r="Q154" s="8"/>
    </row>
    <row r="155" ht="13.65" customHeight="1">
      <c r="A155" s="18">
        <v>44511</v>
      </c>
      <c r="B155" t="s" s="13">
        <v>22</v>
      </c>
      <c r="C155" s="14">
        <v>3090</v>
      </c>
      <c r="D155" s="14">
        <v>3106.65</v>
      </c>
      <c r="E155" s="14">
        <v>3052</v>
      </c>
      <c r="F155" s="14">
        <v>3108.3</v>
      </c>
      <c r="G155" s="14">
        <v>3066.85</v>
      </c>
      <c r="H155" s="14">
        <v>3063.5</v>
      </c>
      <c r="I155" s="14">
        <v>3070.29</v>
      </c>
      <c r="J155" s="14">
        <v>3505</v>
      </c>
      <c r="K155" s="14">
        <v>2117.15</v>
      </c>
      <c r="L155" s="15">
        <v>958143</v>
      </c>
      <c r="M155" t="s" s="13">
        <v>6477</v>
      </c>
      <c r="N155" s="15">
        <v>86302</v>
      </c>
      <c r="O155" s="17" cm="1">
        <f t="array" ref="O155">(H155-H154)/H154</f>
        <v>-0.0144130231959592</v>
      </c>
      <c r="P155" s="8"/>
      <c r="Q155" s="8"/>
    </row>
    <row r="156" ht="13.65" customHeight="1">
      <c r="A156" s="18">
        <v>44512</v>
      </c>
      <c r="B156" t="s" s="13">
        <v>22</v>
      </c>
      <c r="C156" s="14">
        <v>3089</v>
      </c>
      <c r="D156" s="14">
        <v>3128</v>
      </c>
      <c r="E156" s="14">
        <v>3075.8</v>
      </c>
      <c r="F156" s="14">
        <v>3063.5</v>
      </c>
      <c r="G156" s="14">
        <v>3124</v>
      </c>
      <c r="H156" s="14">
        <v>3122.9</v>
      </c>
      <c r="I156" s="14">
        <v>3104.41</v>
      </c>
      <c r="J156" s="14">
        <v>3505</v>
      </c>
      <c r="K156" s="14">
        <v>2117.15</v>
      </c>
      <c r="L156" s="15">
        <v>682344</v>
      </c>
      <c r="M156" t="s" s="13">
        <v>6478</v>
      </c>
      <c r="N156" s="15">
        <v>45996</v>
      </c>
      <c r="O156" s="17" cm="1">
        <f t="array" ref="O156">(H156-H155)/H155</f>
        <v>0.0193895870736086</v>
      </c>
      <c r="P156" s="8"/>
      <c r="Q156" s="8"/>
    </row>
    <row r="157" ht="13.65" customHeight="1">
      <c r="A157" s="18">
        <v>44515</v>
      </c>
      <c r="B157" t="s" s="13">
        <v>22</v>
      </c>
      <c r="C157" s="14">
        <v>3126</v>
      </c>
      <c r="D157" s="14">
        <v>3180</v>
      </c>
      <c r="E157" s="14">
        <v>3126</v>
      </c>
      <c r="F157" s="14">
        <v>3122.9</v>
      </c>
      <c r="G157" s="14">
        <v>3165</v>
      </c>
      <c r="H157" s="14">
        <v>3168.7</v>
      </c>
      <c r="I157" s="14">
        <v>3167.68</v>
      </c>
      <c r="J157" s="14">
        <v>3505</v>
      </c>
      <c r="K157" s="14">
        <v>2117.15</v>
      </c>
      <c r="L157" s="15">
        <v>696377</v>
      </c>
      <c r="M157" t="s" s="13">
        <v>6479</v>
      </c>
      <c r="N157" s="15">
        <v>56166</v>
      </c>
      <c r="O157" s="17" cm="1">
        <f t="array" ref="O157">(H157-H156)/H156</f>
        <v>0.0146658554548657</v>
      </c>
      <c r="P157" s="8"/>
      <c r="Q157" s="8"/>
    </row>
    <row r="158" ht="13.65" customHeight="1">
      <c r="A158" s="18">
        <v>44516</v>
      </c>
      <c r="B158" t="s" s="13">
        <v>22</v>
      </c>
      <c r="C158" s="14">
        <v>3165</v>
      </c>
      <c r="D158" s="14">
        <v>3209</v>
      </c>
      <c r="E158" s="14">
        <v>3120.1</v>
      </c>
      <c r="F158" s="14">
        <v>3168.7</v>
      </c>
      <c r="G158" s="14">
        <v>3154.8</v>
      </c>
      <c r="H158" s="14">
        <v>3151.7</v>
      </c>
      <c r="I158" s="14">
        <v>3160.25</v>
      </c>
      <c r="J158" s="14">
        <v>3505</v>
      </c>
      <c r="K158" s="14">
        <v>2117.15</v>
      </c>
      <c r="L158" s="15">
        <v>1400107</v>
      </c>
      <c r="M158" t="s" s="13">
        <v>6480</v>
      </c>
      <c r="N158" s="15">
        <v>102431</v>
      </c>
      <c r="O158" s="17" cm="1">
        <f t="array" ref="O158">(H158-H157)/H157</f>
        <v>-0.00536497617319405</v>
      </c>
      <c r="P158" s="8"/>
      <c r="Q158" s="8"/>
    </row>
    <row r="159" ht="13.65" customHeight="1">
      <c r="A159" s="18">
        <v>44517</v>
      </c>
      <c r="B159" t="s" s="13">
        <v>22</v>
      </c>
      <c r="C159" s="14">
        <v>3170</v>
      </c>
      <c r="D159" s="14">
        <v>3239.9</v>
      </c>
      <c r="E159" s="14">
        <v>3165.05</v>
      </c>
      <c r="F159" s="14">
        <v>3151.7</v>
      </c>
      <c r="G159" s="14">
        <v>3225.95</v>
      </c>
      <c r="H159" s="14">
        <v>3230.25</v>
      </c>
      <c r="I159" s="14">
        <v>3218.95</v>
      </c>
      <c r="J159" s="14">
        <v>3505</v>
      </c>
      <c r="K159" s="14">
        <v>2117.15</v>
      </c>
      <c r="L159" s="15">
        <v>1616452</v>
      </c>
      <c r="M159" t="s" s="13">
        <v>6481</v>
      </c>
      <c r="N159" s="15">
        <v>128259</v>
      </c>
      <c r="O159" s="17" cm="1">
        <f t="array" ref="O159">(H159-H158)/H158</f>
        <v>0.0249230573975949</v>
      </c>
      <c r="P159" s="8"/>
      <c r="Q159" s="8"/>
    </row>
    <row r="160" ht="13.65" customHeight="1">
      <c r="A160" s="18">
        <v>44518</v>
      </c>
      <c r="B160" t="s" s="13">
        <v>22</v>
      </c>
      <c r="C160" s="14">
        <v>3249.85</v>
      </c>
      <c r="D160" s="14">
        <v>3260</v>
      </c>
      <c r="E160" s="14">
        <v>3214</v>
      </c>
      <c r="F160" s="14">
        <v>3230.25</v>
      </c>
      <c r="G160" s="14">
        <v>3215.2</v>
      </c>
      <c r="H160" s="14">
        <v>3226.85</v>
      </c>
      <c r="I160" s="14">
        <v>3242.12</v>
      </c>
      <c r="J160" s="14">
        <v>3505</v>
      </c>
      <c r="K160" s="14">
        <v>2117.15</v>
      </c>
      <c r="L160" s="15">
        <v>1609821</v>
      </c>
      <c r="M160" t="s" s="13">
        <v>6482</v>
      </c>
      <c r="N160" s="15">
        <v>108657</v>
      </c>
      <c r="O160" s="17" cm="1">
        <f t="array" ref="O160">(H160-H159)/H159</f>
        <v>-0.00105255011222042</v>
      </c>
      <c r="P160" s="8"/>
      <c r="Q160" s="8"/>
    </row>
    <row r="161" ht="13.65" customHeight="1">
      <c r="A161" s="18">
        <v>44522</v>
      </c>
      <c r="B161" t="s" s="13">
        <v>22</v>
      </c>
      <c r="C161" s="14">
        <v>3241</v>
      </c>
      <c r="D161" s="14">
        <v>3308.35</v>
      </c>
      <c r="E161" s="14">
        <v>3215.05</v>
      </c>
      <c r="F161" s="14">
        <v>3226.85</v>
      </c>
      <c r="G161" s="14">
        <v>3263.35</v>
      </c>
      <c r="H161" s="14">
        <v>3261.25</v>
      </c>
      <c r="I161" s="14">
        <v>3273.82</v>
      </c>
      <c r="J161" s="14">
        <v>3505</v>
      </c>
      <c r="K161" s="14">
        <v>2117.15</v>
      </c>
      <c r="L161" s="15">
        <v>2146970</v>
      </c>
      <c r="M161" t="s" s="13">
        <v>6483</v>
      </c>
      <c r="N161" s="15">
        <v>169077</v>
      </c>
      <c r="O161" s="17" cm="1">
        <f t="array" ref="O161">(H161-H160)/H160</f>
        <v>0.0106605513116507</v>
      </c>
      <c r="P161" s="8"/>
      <c r="Q161" s="8"/>
    </row>
    <row r="162" ht="13.65" customHeight="1">
      <c r="A162" s="18">
        <v>44523</v>
      </c>
      <c r="B162" t="s" s="13">
        <v>22</v>
      </c>
      <c r="C162" s="14">
        <v>3261.25</v>
      </c>
      <c r="D162" s="14">
        <v>3288.3</v>
      </c>
      <c r="E162" s="14">
        <v>3171.55</v>
      </c>
      <c r="F162" s="14">
        <v>3261.25</v>
      </c>
      <c r="G162" s="14">
        <v>3176.5</v>
      </c>
      <c r="H162" s="14">
        <v>3185.55</v>
      </c>
      <c r="I162" s="14">
        <v>3216.71</v>
      </c>
      <c r="J162" s="14">
        <v>3505</v>
      </c>
      <c r="K162" s="14">
        <v>2117.15</v>
      </c>
      <c r="L162" s="15">
        <v>1482618</v>
      </c>
      <c r="M162" t="s" s="13">
        <v>6484</v>
      </c>
      <c r="N162" s="15">
        <v>115581</v>
      </c>
      <c r="O162" s="17" cm="1">
        <f t="array" ref="O162">(H162-H161)/H161</f>
        <v>-0.0232119586048294</v>
      </c>
      <c r="P162" s="8"/>
      <c r="Q162" s="8"/>
    </row>
    <row r="163" ht="13.65" customHeight="1">
      <c r="A163" s="18">
        <v>44524</v>
      </c>
      <c r="B163" t="s" s="13">
        <v>22</v>
      </c>
      <c r="C163" s="14">
        <v>3186.05</v>
      </c>
      <c r="D163" s="14">
        <v>3208.9</v>
      </c>
      <c r="E163" s="14">
        <v>3150</v>
      </c>
      <c r="F163" s="14">
        <v>3185.55</v>
      </c>
      <c r="G163" s="14">
        <v>3150</v>
      </c>
      <c r="H163" s="14">
        <v>3157</v>
      </c>
      <c r="I163" s="14">
        <v>3181.1</v>
      </c>
      <c r="J163" s="14">
        <v>3505</v>
      </c>
      <c r="K163" s="14">
        <v>2117.15</v>
      </c>
      <c r="L163" s="15">
        <v>1056213</v>
      </c>
      <c r="M163" t="s" s="13">
        <v>6485</v>
      </c>
      <c r="N163" s="15">
        <v>81824</v>
      </c>
      <c r="O163" s="17" cm="1">
        <f t="array" ref="O163">(H163-H162)/H162</f>
        <v>-0.008962345591813029</v>
      </c>
      <c r="P163" s="8"/>
      <c r="Q163" s="8"/>
    </row>
    <row r="164" ht="13.65" customHeight="1">
      <c r="A164" s="18">
        <v>44525</v>
      </c>
      <c r="B164" t="s" s="13">
        <v>22</v>
      </c>
      <c r="C164" s="14">
        <v>3156.5</v>
      </c>
      <c r="D164" s="14">
        <v>3173.35</v>
      </c>
      <c r="E164" s="14">
        <v>3113</v>
      </c>
      <c r="F164" s="14">
        <v>3157</v>
      </c>
      <c r="G164" s="14">
        <v>3141.85</v>
      </c>
      <c r="H164" s="14">
        <v>3144.25</v>
      </c>
      <c r="I164" s="14">
        <v>3136.88</v>
      </c>
      <c r="J164" s="14">
        <v>3505</v>
      </c>
      <c r="K164" s="14">
        <v>2117.15</v>
      </c>
      <c r="L164" s="15">
        <v>728825</v>
      </c>
      <c r="M164" t="s" s="13">
        <v>6486</v>
      </c>
      <c r="N164" s="15">
        <v>58921</v>
      </c>
      <c r="O164" s="17" cm="1">
        <f t="array" ref="O164">(H164-H163)/H163</f>
        <v>-0.00403864428254672</v>
      </c>
      <c r="P164" s="8"/>
      <c r="Q164" s="8"/>
    </row>
    <row r="165" ht="13.65" customHeight="1">
      <c r="A165" s="18">
        <v>44526</v>
      </c>
      <c r="B165" t="s" s="13">
        <v>22</v>
      </c>
      <c r="C165" s="14">
        <v>3101</v>
      </c>
      <c r="D165" s="14">
        <v>3167.35</v>
      </c>
      <c r="E165" s="14">
        <v>3091</v>
      </c>
      <c r="F165" s="14">
        <v>3144.25</v>
      </c>
      <c r="G165" s="14">
        <v>3138</v>
      </c>
      <c r="H165" s="14">
        <v>3143.1</v>
      </c>
      <c r="I165" s="14">
        <v>3134.09</v>
      </c>
      <c r="J165" s="14">
        <v>3505</v>
      </c>
      <c r="K165" s="14">
        <v>2117.15</v>
      </c>
      <c r="L165" s="15">
        <v>1029110</v>
      </c>
      <c r="M165" t="s" s="13">
        <v>6487</v>
      </c>
      <c r="N165" s="15">
        <v>89084</v>
      </c>
      <c r="O165" s="17" cm="1">
        <f t="array" ref="O165">(H165-H164)/H164</f>
        <v>-0.000365746998489306</v>
      </c>
      <c r="P165" s="8"/>
      <c r="Q165" s="8"/>
    </row>
    <row r="166" ht="13.65" customHeight="1">
      <c r="A166" s="18">
        <v>44529</v>
      </c>
      <c r="B166" t="s" s="13">
        <v>22</v>
      </c>
      <c r="C166" s="14">
        <v>3131</v>
      </c>
      <c r="D166" s="14">
        <v>3178.9</v>
      </c>
      <c r="E166" s="14">
        <v>3071.9</v>
      </c>
      <c r="F166" s="14">
        <v>3143.1</v>
      </c>
      <c r="G166" s="14">
        <v>3138</v>
      </c>
      <c r="H166" s="14">
        <v>3144.3</v>
      </c>
      <c r="I166" s="14">
        <v>3133.72</v>
      </c>
      <c r="J166" s="14">
        <v>3505</v>
      </c>
      <c r="K166" s="14">
        <v>2206.2</v>
      </c>
      <c r="L166" s="15">
        <v>876651</v>
      </c>
      <c r="M166" t="s" s="13">
        <v>6488</v>
      </c>
      <c r="N166" s="15">
        <v>82466</v>
      </c>
      <c r="O166" s="17" cm="1">
        <f t="array" ref="O166">(H166-H165)/H165</f>
        <v>0.000381788679965639</v>
      </c>
      <c r="P166" s="8"/>
      <c r="Q166" s="8"/>
    </row>
    <row r="167" ht="13.65" customHeight="1">
      <c r="A167" s="18">
        <v>44530</v>
      </c>
      <c r="B167" t="s" s="13">
        <v>22</v>
      </c>
      <c r="C167" s="14">
        <v>3116.15</v>
      </c>
      <c r="D167" s="14">
        <v>3189</v>
      </c>
      <c r="E167" s="14">
        <v>3116.15</v>
      </c>
      <c r="F167" s="14">
        <v>3144.3</v>
      </c>
      <c r="G167" s="14">
        <v>3144.75</v>
      </c>
      <c r="H167" s="14">
        <v>3143.65</v>
      </c>
      <c r="I167" s="14">
        <v>3155.91</v>
      </c>
      <c r="J167" s="14">
        <v>3505</v>
      </c>
      <c r="K167" s="14">
        <v>2206.2</v>
      </c>
      <c r="L167" s="15">
        <v>2340489</v>
      </c>
      <c r="M167" t="s" s="13">
        <v>6489</v>
      </c>
      <c r="N167" s="15">
        <v>134876</v>
      </c>
      <c r="O167" s="17" cm="1">
        <f t="array" ref="O167">(H167-H166)/H166</f>
        <v>-0.000206723277040995</v>
      </c>
      <c r="P167" s="8"/>
      <c r="Q167" s="8"/>
    </row>
    <row r="168" ht="13.65" customHeight="1">
      <c r="A168" s="12">
        <v>44531</v>
      </c>
      <c r="B168" t="s" s="13">
        <v>22</v>
      </c>
      <c r="C168" s="14">
        <v>3155.9</v>
      </c>
      <c r="D168" s="14">
        <v>3199.75</v>
      </c>
      <c r="E168" s="14">
        <v>3124.1</v>
      </c>
      <c r="F168" s="14">
        <v>3143.65</v>
      </c>
      <c r="G168" s="14">
        <v>3136.95</v>
      </c>
      <c r="H168" s="14">
        <v>3138.15</v>
      </c>
      <c r="I168" s="14">
        <v>3159.89</v>
      </c>
      <c r="J168" s="14">
        <v>3505</v>
      </c>
      <c r="K168" s="14">
        <v>2206.2</v>
      </c>
      <c r="L168" s="15">
        <v>1741820</v>
      </c>
      <c r="M168" t="s" s="13">
        <v>6490</v>
      </c>
      <c r="N168" s="15">
        <v>111539</v>
      </c>
      <c r="O168" s="17" cm="1">
        <f t="array" ref="O168">(H168-H167)/H167</f>
        <v>-0.00174955863407186</v>
      </c>
      <c r="P168" s="8"/>
      <c r="Q168" s="8"/>
    </row>
    <row r="169" ht="13.65" customHeight="1">
      <c r="A169" s="12">
        <v>44532</v>
      </c>
      <c r="B169" t="s" s="13">
        <v>22</v>
      </c>
      <c r="C169" s="14">
        <v>3160</v>
      </c>
      <c r="D169" s="14">
        <v>3194</v>
      </c>
      <c r="E169" s="14">
        <v>3152.25</v>
      </c>
      <c r="F169" s="14">
        <v>3138.15</v>
      </c>
      <c r="G169" s="14">
        <v>3175.55</v>
      </c>
      <c r="H169" s="14">
        <v>3180.6</v>
      </c>
      <c r="I169" s="14">
        <v>3171.73</v>
      </c>
      <c r="J169" s="14">
        <v>3505</v>
      </c>
      <c r="K169" s="14">
        <v>2206.2</v>
      </c>
      <c r="L169" s="15">
        <v>939320</v>
      </c>
      <c r="M169" t="s" s="13">
        <v>6491</v>
      </c>
      <c r="N169" s="15">
        <v>92854</v>
      </c>
      <c r="O169" s="17" cm="1">
        <f t="array" ref="O169">(H169-H168)/H168</f>
        <v>0.0135270780555423</v>
      </c>
      <c r="P169" s="8"/>
      <c r="Q169" s="8"/>
    </row>
    <row r="170" ht="13.65" customHeight="1">
      <c r="A170" s="12">
        <v>44533</v>
      </c>
      <c r="B170" t="s" s="13">
        <v>22</v>
      </c>
      <c r="C170" s="14">
        <v>3185</v>
      </c>
      <c r="D170" s="14">
        <v>3187.45</v>
      </c>
      <c r="E170" s="14">
        <v>3106</v>
      </c>
      <c r="F170" s="14">
        <v>3180.6</v>
      </c>
      <c r="G170" s="14">
        <v>3115</v>
      </c>
      <c r="H170" s="14">
        <v>3110.45</v>
      </c>
      <c r="I170" s="14">
        <v>3140.95</v>
      </c>
      <c r="J170" s="14">
        <v>3505</v>
      </c>
      <c r="K170" s="14">
        <v>2206.2</v>
      </c>
      <c r="L170" s="15">
        <v>1216263</v>
      </c>
      <c r="M170" t="s" s="13">
        <v>6492</v>
      </c>
      <c r="N170" s="15">
        <v>100441</v>
      </c>
      <c r="O170" s="17" cm="1">
        <f t="array" ref="O170">(H170-H169)/H169</f>
        <v>-0.0220555869961642</v>
      </c>
      <c r="P170" s="8"/>
      <c r="Q170" s="8"/>
    </row>
    <row r="171" ht="13.65" customHeight="1">
      <c r="A171" s="12">
        <v>44536</v>
      </c>
      <c r="B171" t="s" s="13">
        <v>22</v>
      </c>
      <c r="C171" s="14">
        <v>3115</v>
      </c>
      <c r="D171" s="14">
        <v>3115</v>
      </c>
      <c r="E171" s="14">
        <v>3028.25</v>
      </c>
      <c r="F171" s="14">
        <v>3110.45</v>
      </c>
      <c r="G171" s="14">
        <v>3038.55</v>
      </c>
      <c r="H171" s="14">
        <v>3038.3</v>
      </c>
      <c r="I171" s="14">
        <v>3056.94</v>
      </c>
      <c r="J171" s="14">
        <v>3505</v>
      </c>
      <c r="K171" s="14">
        <v>2260</v>
      </c>
      <c r="L171" s="15">
        <v>1107363</v>
      </c>
      <c r="M171" t="s" s="13">
        <v>6493</v>
      </c>
      <c r="N171" s="15">
        <v>131088</v>
      </c>
      <c r="O171" s="17" cm="1">
        <f t="array" ref="O171">(H171-H170)/H170</f>
        <v>-0.0231960005786944</v>
      </c>
      <c r="P171" s="8"/>
      <c r="Q171" s="8"/>
    </row>
    <row r="172" ht="13.65" customHeight="1">
      <c r="A172" s="12">
        <v>44537</v>
      </c>
      <c r="B172" t="s" s="13">
        <v>22</v>
      </c>
      <c r="C172" s="14">
        <v>3040</v>
      </c>
      <c r="D172" s="14">
        <v>3069</v>
      </c>
      <c r="E172" s="14">
        <v>3016.45</v>
      </c>
      <c r="F172" s="14">
        <v>3038.3</v>
      </c>
      <c r="G172" s="14">
        <v>3031.9</v>
      </c>
      <c r="H172" s="14">
        <v>3030.35</v>
      </c>
      <c r="I172" s="14">
        <v>3031.22</v>
      </c>
      <c r="J172" s="14">
        <v>3505</v>
      </c>
      <c r="K172" s="14">
        <v>2260</v>
      </c>
      <c r="L172" s="15">
        <v>2056459</v>
      </c>
      <c r="M172" t="s" s="13">
        <v>6494</v>
      </c>
      <c r="N172" s="15">
        <v>108821</v>
      </c>
      <c r="O172" s="17" cm="1">
        <f t="array" ref="O172">(H172-H171)/H171</f>
        <v>-0.00261659480630616</v>
      </c>
      <c r="P172" s="8"/>
      <c r="Q172" s="8"/>
    </row>
    <row r="173" ht="13.65" customHeight="1">
      <c r="A173" s="12">
        <v>44538</v>
      </c>
      <c r="B173" t="s" s="13">
        <v>22</v>
      </c>
      <c r="C173" s="14">
        <v>3031.9</v>
      </c>
      <c r="D173" s="14">
        <v>3123</v>
      </c>
      <c r="E173" s="14">
        <v>3031</v>
      </c>
      <c r="F173" s="14">
        <v>3030.35</v>
      </c>
      <c r="G173" s="14">
        <v>3110</v>
      </c>
      <c r="H173" s="14">
        <v>3108.5</v>
      </c>
      <c r="I173" s="14">
        <v>3078.23</v>
      </c>
      <c r="J173" s="14">
        <v>3505</v>
      </c>
      <c r="K173" s="14">
        <v>2260</v>
      </c>
      <c r="L173" s="15">
        <v>1171484</v>
      </c>
      <c r="M173" t="s" s="13">
        <v>6495</v>
      </c>
      <c r="N173" s="15">
        <v>113919</v>
      </c>
      <c r="O173" s="17" cm="1">
        <f t="array" ref="O173">(H173-H172)/H172</f>
        <v>0.0257891002689458</v>
      </c>
      <c r="P173" s="8"/>
      <c r="Q173" s="8"/>
    </row>
    <row r="174" ht="13.65" customHeight="1">
      <c r="A174" s="12">
        <v>44539</v>
      </c>
      <c r="B174" t="s" s="13">
        <v>22</v>
      </c>
      <c r="C174" s="14">
        <v>3152.4</v>
      </c>
      <c r="D174" s="14">
        <v>3183.05</v>
      </c>
      <c r="E174" s="14">
        <v>3111</v>
      </c>
      <c r="F174" s="14">
        <v>3108.5</v>
      </c>
      <c r="G174" s="14">
        <v>3177</v>
      </c>
      <c r="H174" s="14">
        <v>3178.7</v>
      </c>
      <c r="I174" s="14">
        <v>3154.95</v>
      </c>
      <c r="J174" s="14">
        <v>3505</v>
      </c>
      <c r="K174" s="14">
        <v>2260</v>
      </c>
      <c r="L174" s="15">
        <v>1287243</v>
      </c>
      <c r="M174" t="s" s="13">
        <v>6496</v>
      </c>
      <c r="N174" s="15">
        <v>81244</v>
      </c>
      <c r="O174" s="17" cm="1">
        <f t="array" ref="O174">(H174-H173)/H173</f>
        <v>0.0225832395045842</v>
      </c>
      <c r="P174" s="8"/>
      <c r="Q174" s="8"/>
    </row>
    <row r="175" ht="13.65" customHeight="1">
      <c r="A175" s="18">
        <v>44540</v>
      </c>
      <c r="B175" t="s" s="13">
        <v>22</v>
      </c>
      <c r="C175" s="14">
        <v>3184</v>
      </c>
      <c r="D175" s="14">
        <v>3292</v>
      </c>
      <c r="E175" s="14">
        <v>3178.7</v>
      </c>
      <c r="F175" s="14">
        <v>3178.7</v>
      </c>
      <c r="G175" s="14">
        <v>3279</v>
      </c>
      <c r="H175" s="14">
        <v>3283.15</v>
      </c>
      <c r="I175" s="14">
        <v>3265.19</v>
      </c>
      <c r="J175" s="14">
        <v>3505</v>
      </c>
      <c r="K175" s="14">
        <v>2260</v>
      </c>
      <c r="L175" s="15">
        <v>2554394</v>
      </c>
      <c r="M175" t="s" s="13">
        <v>6497</v>
      </c>
      <c r="N175" s="15">
        <v>112592</v>
      </c>
      <c r="O175" s="17" cm="1">
        <f t="array" ref="O175">(H175-H174)/H174</f>
        <v>0.0328593450152578</v>
      </c>
      <c r="P175" s="8"/>
      <c r="Q175" s="8"/>
    </row>
    <row r="176" ht="13.65" customHeight="1">
      <c r="A176" s="18">
        <v>44543</v>
      </c>
      <c r="B176" t="s" s="13">
        <v>22</v>
      </c>
      <c r="C176" s="14">
        <v>3285.1</v>
      </c>
      <c r="D176" s="14">
        <v>3341</v>
      </c>
      <c r="E176" s="14">
        <v>3270.95</v>
      </c>
      <c r="F176" s="14">
        <v>3283.15</v>
      </c>
      <c r="G176" s="14">
        <v>3284.75</v>
      </c>
      <c r="H176" s="14">
        <v>3279.85</v>
      </c>
      <c r="I176" s="14">
        <v>3303.44</v>
      </c>
      <c r="J176" s="14">
        <v>3505</v>
      </c>
      <c r="K176" s="14">
        <v>2260</v>
      </c>
      <c r="L176" s="15">
        <v>1265832</v>
      </c>
      <c r="M176" t="s" s="13">
        <v>6498</v>
      </c>
      <c r="N176" s="15">
        <v>98261</v>
      </c>
      <c r="O176" s="17" cm="1">
        <f t="array" ref="O176">(H176-H175)/H175</f>
        <v>-0.00100513226626867</v>
      </c>
      <c r="P176" s="8"/>
      <c r="Q176" s="8"/>
    </row>
    <row r="177" ht="13.65" customHeight="1">
      <c r="A177" s="18">
        <v>44544</v>
      </c>
      <c r="B177" t="s" s="13">
        <v>22</v>
      </c>
      <c r="C177" s="14">
        <v>3274</v>
      </c>
      <c r="D177" s="14">
        <v>3305</v>
      </c>
      <c r="E177" s="14">
        <v>3249</v>
      </c>
      <c r="F177" s="14">
        <v>3279.85</v>
      </c>
      <c r="G177" s="14">
        <v>3294</v>
      </c>
      <c r="H177" s="14">
        <v>3297.5</v>
      </c>
      <c r="I177" s="14">
        <v>3286.01</v>
      </c>
      <c r="J177" s="14">
        <v>3505</v>
      </c>
      <c r="K177" s="14">
        <v>2260</v>
      </c>
      <c r="L177" s="15">
        <v>863179</v>
      </c>
      <c r="M177" t="s" s="13">
        <v>6499</v>
      </c>
      <c r="N177" s="15">
        <v>64474</v>
      </c>
      <c r="O177" s="17" cm="1">
        <f t="array" ref="O177">(H177-H176)/H176</f>
        <v>0.0053813436590088</v>
      </c>
      <c r="P177" s="8"/>
      <c r="Q177" s="8"/>
    </row>
    <row r="178" ht="13.65" customHeight="1">
      <c r="A178" s="18">
        <v>44545</v>
      </c>
      <c r="B178" t="s" s="13">
        <v>22</v>
      </c>
      <c r="C178" s="14">
        <v>3278.15</v>
      </c>
      <c r="D178" s="14">
        <v>3313.95</v>
      </c>
      <c r="E178" s="14">
        <v>3266.5</v>
      </c>
      <c r="F178" s="14">
        <v>3297.5</v>
      </c>
      <c r="G178" s="14">
        <v>3290.55</v>
      </c>
      <c r="H178" s="14">
        <v>3301.95</v>
      </c>
      <c r="I178" s="14">
        <v>3296.89</v>
      </c>
      <c r="J178" s="14">
        <v>3505</v>
      </c>
      <c r="K178" s="14">
        <v>2260</v>
      </c>
      <c r="L178" s="15">
        <v>811946</v>
      </c>
      <c r="M178" t="s" s="13">
        <v>6500</v>
      </c>
      <c r="N178" s="15">
        <v>64141</v>
      </c>
      <c r="O178" s="17" cm="1">
        <f t="array" ref="O178">(H178-H177)/H177</f>
        <v>0.00134950720242608</v>
      </c>
      <c r="P178" s="8"/>
      <c r="Q178" s="8"/>
    </row>
    <row r="179" ht="13.65" customHeight="1">
      <c r="A179" s="18">
        <v>44546</v>
      </c>
      <c r="B179" t="s" s="13">
        <v>22</v>
      </c>
      <c r="C179" s="14">
        <v>3325</v>
      </c>
      <c r="D179" s="14">
        <v>3325</v>
      </c>
      <c r="E179" s="14">
        <v>3270.6</v>
      </c>
      <c r="F179" s="14">
        <v>3301.95</v>
      </c>
      <c r="G179" s="14">
        <v>3300</v>
      </c>
      <c r="H179" s="14">
        <v>3298.6</v>
      </c>
      <c r="I179" s="14">
        <v>3297.52</v>
      </c>
      <c r="J179" s="14">
        <v>3505</v>
      </c>
      <c r="K179" s="14">
        <v>2260</v>
      </c>
      <c r="L179" s="15">
        <v>502930</v>
      </c>
      <c r="M179" t="s" s="13">
        <v>6501</v>
      </c>
      <c r="N179" s="15">
        <v>51275</v>
      </c>
      <c r="O179" s="17" cm="1">
        <f t="array" ref="O179">(H179-H178)/H178</f>
        <v>-0.00101455200714729</v>
      </c>
      <c r="P179" s="8"/>
      <c r="Q179" s="8"/>
    </row>
    <row r="180" ht="13.65" customHeight="1">
      <c r="A180" s="18">
        <v>44547</v>
      </c>
      <c r="B180" t="s" s="13">
        <v>22</v>
      </c>
      <c r="C180" s="14">
        <v>3275</v>
      </c>
      <c r="D180" s="14">
        <v>3293.3</v>
      </c>
      <c r="E180" s="14">
        <v>3227.7</v>
      </c>
      <c r="F180" s="14">
        <v>3298.6</v>
      </c>
      <c r="G180" s="14">
        <v>3243.9</v>
      </c>
      <c r="H180" s="14">
        <v>3243.7</v>
      </c>
      <c r="I180" s="14">
        <v>3250.31</v>
      </c>
      <c r="J180" s="14">
        <v>3505</v>
      </c>
      <c r="K180" s="14">
        <v>2260</v>
      </c>
      <c r="L180" s="15">
        <v>1019403</v>
      </c>
      <c r="M180" t="s" s="13">
        <v>6502</v>
      </c>
      <c r="N180" s="15">
        <v>64236</v>
      </c>
      <c r="O180" s="17" cm="1">
        <f t="array" ref="O180">(H180-H179)/H179</f>
        <v>-0.016643424483114</v>
      </c>
      <c r="P180" s="8"/>
      <c r="Q180" s="8"/>
    </row>
    <row r="181" ht="13.65" customHeight="1">
      <c r="A181" s="18">
        <v>44550</v>
      </c>
      <c r="B181" t="s" s="13">
        <v>22</v>
      </c>
      <c r="C181" s="14">
        <v>3227</v>
      </c>
      <c r="D181" s="14">
        <v>3275</v>
      </c>
      <c r="E181" s="14">
        <v>3181</v>
      </c>
      <c r="F181" s="14">
        <v>3243.7</v>
      </c>
      <c r="G181" s="14">
        <v>3236.2</v>
      </c>
      <c r="H181" s="14">
        <v>3239.45</v>
      </c>
      <c r="I181" s="14">
        <v>3213.98</v>
      </c>
      <c r="J181" s="14">
        <v>3505</v>
      </c>
      <c r="K181" s="14">
        <v>2260</v>
      </c>
      <c r="L181" s="15">
        <v>948872</v>
      </c>
      <c r="M181" t="s" s="13">
        <v>6503</v>
      </c>
      <c r="N181" s="15">
        <v>82163</v>
      </c>
      <c r="O181" s="17" cm="1">
        <f t="array" ref="O181">(H181-H180)/H180</f>
        <v>-0.00131023214230663</v>
      </c>
      <c r="P181" s="8"/>
      <c r="Q181" s="8"/>
    </row>
    <row r="182" ht="13.65" customHeight="1">
      <c r="A182" s="18">
        <v>44551</v>
      </c>
      <c r="B182" t="s" s="13">
        <v>22</v>
      </c>
      <c r="C182" s="14">
        <v>3247</v>
      </c>
      <c r="D182" s="14">
        <v>3296</v>
      </c>
      <c r="E182" s="14">
        <v>3240</v>
      </c>
      <c r="F182" s="14">
        <v>3239.45</v>
      </c>
      <c r="G182" s="14">
        <v>3273</v>
      </c>
      <c r="H182" s="14">
        <v>3271.35</v>
      </c>
      <c r="I182" s="14">
        <v>3267.3</v>
      </c>
      <c r="J182" s="14">
        <v>3505</v>
      </c>
      <c r="K182" s="14">
        <v>2260</v>
      </c>
      <c r="L182" s="15">
        <v>712026</v>
      </c>
      <c r="M182" t="s" s="13">
        <v>6504</v>
      </c>
      <c r="N182" s="15">
        <v>55407</v>
      </c>
      <c r="O182" s="17" cm="1">
        <f t="array" ref="O182">(H182-H181)/H181</f>
        <v>0.00984735063050827</v>
      </c>
      <c r="P182" s="8"/>
      <c r="Q182" s="8"/>
    </row>
    <row r="183" ht="13.65" customHeight="1">
      <c r="A183" s="18">
        <v>44552</v>
      </c>
      <c r="B183" t="s" s="13">
        <v>22</v>
      </c>
      <c r="C183" s="14">
        <v>3275.7</v>
      </c>
      <c r="D183" s="14">
        <v>3285.65</v>
      </c>
      <c r="E183" s="14">
        <v>3241</v>
      </c>
      <c r="F183" s="14">
        <v>3271.35</v>
      </c>
      <c r="G183" s="14">
        <v>3278.7</v>
      </c>
      <c r="H183" s="14">
        <v>3280.1</v>
      </c>
      <c r="I183" s="14">
        <v>3265.96</v>
      </c>
      <c r="J183" s="14">
        <v>3505</v>
      </c>
      <c r="K183" s="14">
        <v>2260</v>
      </c>
      <c r="L183" s="15">
        <v>619865</v>
      </c>
      <c r="M183" t="s" s="13">
        <v>6505</v>
      </c>
      <c r="N183" s="15">
        <v>58795</v>
      </c>
      <c r="O183" s="17" cm="1">
        <f t="array" ref="O183">(H183-H182)/H182</f>
        <v>0.00267473672948477</v>
      </c>
      <c r="P183" s="8"/>
      <c r="Q183" s="8"/>
    </row>
    <row r="184" ht="13.65" customHeight="1">
      <c r="A184" s="18">
        <v>44553</v>
      </c>
      <c r="B184" t="s" s="13">
        <v>22</v>
      </c>
      <c r="C184" s="14">
        <v>3290</v>
      </c>
      <c r="D184" s="14">
        <v>3307.9</v>
      </c>
      <c r="E184" s="14">
        <v>3250</v>
      </c>
      <c r="F184" s="14">
        <v>3280.1</v>
      </c>
      <c r="G184" s="14">
        <v>3271.85</v>
      </c>
      <c r="H184" s="14">
        <v>3267.9</v>
      </c>
      <c r="I184" s="14">
        <v>3262.65</v>
      </c>
      <c r="J184" s="14">
        <v>3505</v>
      </c>
      <c r="K184" s="14">
        <v>2260</v>
      </c>
      <c r="L184" s="15">
        <v>1051596</v>
      </c>
      <c r="M184" t="s" s="13">
        <v>6506</v>
      </c>
      <c r="N184" s="15">
        <v>52571</v>
      </c>
      <c r="O184" s="17" cm="1">
        <f t="array" ref="O184">(H184-H183)/H183</f>
        <v>-0.00371939879881711</v>
      </c>
      <c r="P184" s="8"/>
      <c r="Q184" s="8"/>
    </row>
    <row r="185" ht="13.65" customHeight="1">
      <c r="A185" s="18">
        <v>44554</v>
      </c>
      <c r="B185" t="s" s="13">
        <v>22</v>
      </c>
      <c r="C185" s="14">
        <v>3280</v>
      </c>
      <c r="D185" s="14">
        <v>3300</v>
      </c>
      <c r="E185" s="14">
        <v>3261</v>
      </c>
      <c r="F185" s="14">
        <v>3267.9</v>
      </c>
      <c r="G185" s="14">
        <v>3285</v>
      </c>
      <c r="H185" s="14">
        <v>3284.8</v>
      </c>
      <c r="I185" s="14">
        <v>3282.46</v>
      </c>
      <c r="J185" s="14">
        <v>3505</v>
      </c>
      <c r="K185" s="14">
        <v>2260</v>
      </c>
      <c r="L185" s="15">
        <v>651404</v>
      </c>
      <c r="M185" t="s" s="13">
        <v>6507</v>
      </c>
      <c r="N185" s="15">
        <v>42284</v>
      </c>
      <c r="O185" s="17" cm="1">
        <f t="array" ref="O185">(H185-H184)/H184</f>
        <v>0.0051715168762814</v>
      </c>
      <c r="P185" s="8"/>
      <c r="Q185" s="8"/>
    </row>
    <row r="186" ht="13.65" customHeight="1">
      <c r="A186" s="18">
        <v>44557</v>
      </c>
      <c r="B186" t="s" s="13">
        <v>22</v>
      </c>
      <c r="C186" s="14">
        <v>3280.1</v>
      </c>
      <c r="D186" s="14">
        <v>3284.75</v>
      </c>
      <c r="E186" s="14">
        <v>3226.2</v>
      </c>
      <c r="F186" s="14">
        <v>3284.8</v>
      </c>
      <c r="G186" s="14">
        <v>3270.7</v>
      </c>
      <c r="H186" s="14">
        <v>3272.4</v>
      </c>
      <c r="I186" s="14">
        <v>3258.29</v>
      </c>
      <c r="J186" s="14">
        <v>3505</v>
      </c>
      <c r="K186" s="14">
        <v>2260</v>
      </c>
      <c r="L186" s="15">
        <v>640701</v>
      </c>
      <c r="M186" t="s" s="13">
        <v>6508</v>
      </c>
      <c r="N186" s="15">
        <v>68007</v>
      </c>
      <c r="O186" s="17" cm="1">
        <f t="array" ref="O186">(H186-H185)/H185</f>
        <v>-0.00377496346809547</v>
      </c>
      <c r="P186" s="8"/>
      <c r="Q186" s="8"/>
    </row>
    <row r="187" ht="13.65" customHeight="1">
      <c r="A187" s="18">
        <v>44558</v>
      </c>
      <c r="B187" t="s" s="13">
        <v>22</v>
      </c>
      <c r="C187" s="14">
        <v>3275.95</v>
      </c>
      <c r="D187" s="14">
        <v>3375</v>
      </c>
      <c r="E187" s="14">
        <v>3273</v>
      </c>
      <c r="F187" s="14">
        <v>3272.4</v>
      </c>
      <c r="G187" s="14">
        <v>3365</v>
      </c>
      <c r="H187" s="14">
        <v>3368.2</v>
      </c>
      <c r="I187" s="14">
        <v>3348.39</v>
      </c>
      <c r="J187" s="14">
        <v>3505</v>
      </c>
      <c r="K187" s="14">
        <v>2260</v>
      </c>
      <c r="L187" s="15">
        <v>1211648</v>
      </c>
      <c r="M187" t="s" s="13">
        <v>6509</v>
      </c>
      <c r="N187" s="15">
        <v>93064</v>
      </c>
      <c r="O187" s="17" cm="1">
        <f t="array" ref="O187">(H187-H186)/H186</f>
        <v>0.0292751497371959</v>
      </c>
      <c r="P187" s="8"/>
      <c r="Q187" s="8"/>
    </row>
    <row r="188" ht="13.65" customHeight="1">
      <c r="A188" s="18">
        <v>44559</v>
      </c>
      <c r="B188" t="s" s="13">
        <v>22</v>
      </c>
      <c r="C188" s="14">
        <v>3372.2</v>
      </c>
      <c r="D188" s="14">
        <v>3386</v>
      </c>
      <c r="E188" s="14">
        <v>3346.2</v>
      </c>
      <c r="F188" s="14">
        <v>3368.2</v>
      </c>
      <c r="G188" s="14">
        <v>3362.05</v>
      </c>
      <c r="H188" s="14">
        <v>3367.45</v>
      </c>
      <c r="I188" s="14">
        <v>3370.82</v>
      </c>
      <c r="J188" s="14">
        <v>3505</v>
      </c>
      <c r="K188" s="14">
        <v>2260</v>
      </c>
      <c r="L188" s="15">
        <v>598421</v>
      </c>
      <c r="M188" t="s" s="13">
        <v>6510</v>
      </c>
      <c r="N188" s="15">
        <v>55234</v>
      </c>
      <c r="O188" s="17" cm="1">
        <f t="array" ref="O188">(H188-H187)/H187</f>
        <v>-0.00022267086277537</v>
      </c>
      <c r="P188" s="8"/>
      <c r="Q188" s="8"/>
    </row>
    <row r="189" ht="13.65" customHeight="1">
      <c r="A189" s="18">
        <v>44560</v>
      </c>
      <c r="B189" t="s" s="13">
        <v>22</v>
      </c>
      <c r="C189" s="14">
        <v>3363.25</v>
      </c>
      <c r="D189" s="14">
        <v>3390</v>
      </c>
      <c r="E189" s="14">
        <v>3350.3</v>
      </c>
      <c r="F189" s="14">
        <v>3367.45</v>
      </c>
      <c r="G189" s="14">
        <v>3368</v>
      </c>
      <c r="H189" s="14">
        <v>3365.7</v>
      </c>
      <c r="I189" s="14">
        <v>3372.77</v>
      </c>
      <c r="J189" s="14">
        <v>3505</v>
      </c>
      <c r="K189" s="14">
        <v>2260</v>
      </c>
      <c r="L189" s="15">
        <v>691223</v>
      </c>
      <c r="M189" t="s" s="13">
        <v>6511</v>
      </c>
      <c r="N189" s="15">
        <v>49791</v>
      </c>
      <c r="O189" s="17" cm="1">
        <f t="array" ref="O189">(H189-H188)/H188</f>
        <v>-0.00051968106430682</v>
      </c>
      <c r="P189" s="8"/>
      <c r="Q189" s="8"/>
    </row>
    <row r="190" ht="13.65" customHeight="1">
      <c r="A190" s="18">
        <v>44561</v>
      </c>
      <c r="B190" t="s" s="13">
        <v>22</v>
      </c>
      <c r="C190" s="14">
        <v>3390</v>
      </c>
      <c r="D190" s="14">
        <v>3405</v>
      </c>
      <c r="E190" s="14">
        <v>3361.4</v>
      </c>
      <c r="F190" s="14">
        <v>3365.7</v>
      </c>
      <c r="G190" s="14">
        <v>3384</v>
      </c>
      <c r="H190" s="14">
        <v>3382.95</v>
      </c>
      <c r="I190" s="14">
        <v>3387.8</v>
      </c>
      <c r="J190" s="14">
        <v>3505</v>
      </c>
      <c r="K190" s="14">
        <v>2260</v>
      </c>
      <c r="L190" s="15">
        <v>570671</v>
      </c>
      <c r="M190" t="s" s="13">
        <v>6512</v>
      </c>
      <c r="N190" s="15">
        <v>49002</v>
      </c>
      <c r="O190" s="17" cm="1">
        <f t="array" ref="O190">(H190-H189)/H189</f>
        <v>0.00512523397807291</v>
      </c>
      <c r="P190" s="8"/>
      <c r="Q190" s="8"/>
    </row>
    <row r="191" ht="13.65" customHeight="1">
      <c r="A191" s="12">
        <v>44564</v>
      </c>
      <c r="B191" t="s" s="13">
        <v>22</v>
      </c>
      <c r="C191" s="14">
        <v>3383</v>
      </c>
      <c r="D191" s="14">
        <v>3440.9</v>
      </c>
      <c r="E191" s="14">
        <v>3383</v>
      </c>
      <c r="F191" s="14">
        <v>3382.95</v>
      </c>
      <c r="G191" s="14">
        <v>3425.55</v>
      </c>
      <c r="H191" s="14">
        <v>3422.4</v>
      </c>
      <c r="I191" s="14">
        <v>3425.26</v>
      </c>
      <c r="J191" s="14">
        <v>3505</v>
      </c>
      <c r="K191" s="14">
        <v>2260</v>
      </c>
      <c r="L191" s="15">
        <v>696276</v>
      </c>
      <c r="M191" t="s" s="13">
        <v>6513</v>
      </c>
      <c r="N191" s="15">
        <v>67249</v>
      </c>
      <c r="O191" s="17" cm="1">
        <f t="array" ref="O191">(H191-H190)/H190</f>
        <v>0.0116614197667716</v>
      </c>
      <c r="P191" s="8"/>
      <c r="Q191" s="8"/>
    </row>
    <row r="192" ht="13.65" customHeight="1">
      <c r="A192" s="12">
        <v>44565</v>
      </c>
      <c r="B192" t="s" s="13">
        <v>22</v>
      </c>
      <c r="C192" s="14">
        <v>3434</v>
      </c>
      <c r="D192" s="14">
        <v>3472.45</v>
      </c>
      <c r="E192" s="14">
        <v>3415.05</v>
      </c>
      <c r="F192" s="14">
        <v>3422.4</v>
      </c>
      <c r="G192" s="14">
        <v>3454.25</v>
      </c>
      <c r="H192" s="14">
        <v>3459.3</v>
      </c>
      <c r="I192" s="14">
        <v>3440.9</v>
      </c>
      <c r="J192" s="14">
        <v>3505</v>
      </c>
      <c r="K192" s="14">
        <v>2260</v>
      </c>
      <c r="L192" s="15">
        <v>790886</v>
      </c>
      <c r="M192" t="s" s="13">
        <v>6514</v>
      </c>
      <c r="N192" s="15">
        <v>72589</v>
      </c>
      <c r="O192" s="17" cm="1">
        <f t="array" ref="O192">(H192-H191)/H191</f>
        <v>0.0107819074333801</v>
      </c>
      <c r="P192" s="8"/>
      <c r="Q192" s="8"/>
    </row>
    <row r="193" ht="13.65" customHeight="1">
      <c r="A193" s="12">
        <v>44566</v>
      </c>
      <c r="B193" t="s" s="13">
        <v>22</v>
      </c>
      <c r="C193" s="14">
        <v>3470</v>
      </c>
      <c r="D193" s="14">
        <v>3540</v>
      </c>
      <c r="E193" s="14">
        <v>3452.05</v>
      </c>
      <c r="F193" s="14">
        <v>3459.3</v>
      </c>
      <c r="G193" s="14">
        <v>3526</v>
      </c>
      <c r="H193" s="14">
        <v>3526.8</v>
      </c>
      <c r="I193" s="14">
        <v>3511.78</v>
      </c>
      <c r="J193" s="14">
        <v>3540</v>
      </c>
      <c r="K193" s="14">
        <v>2260</v>
      </c>
      <c r="L193" s="15">
        <v>1024506</v>
      </c>
      <c r="M193" t="s" s="13">
        <v>6515</v>
      </c>
      <c r="N193" s="15">
        <v>92812</v>
      </c>
      <c r="O193" s="17" cm="1">
        <f t="array" ref="O193">(H193-H192)/H192</f>
        <v>0.0195126181597433</v>
      </c>
      <c r="P193" s="8"/>
      <c r="Q193" s="8"/>
    </row>
    <row r="194" ht="13.65" customHeight="1">
      <c r="A194" s="12">
        <v>44567</v>
      </c>
      <c r="B194" t="s" s="13">
        <v>22</v>
      </c>
      <c r="C194" s="14">
        <v>3491.15</v>
      </c>
      <c r="D194" s="14">
        <v>3537.55</v>
      </c>
      <c r="E194" s="14">
        <v>3452.15</v>
      </c>
      <c r="F194" s="14">
        <v>3526.8</v>
      </c>
      <c r="G194" s="14">
        <v>3511</v>
      </c>
      <c r="H194" s="14">
        <v>3514.65</v>
      </c>
      <c r="I194" s="14">
        <v>3499.81</v>
      </c>
      <c r="J194" s="14">
        <v>3540</v>
      </c>
      <c r="K194" s="14">
        <v>2260</v>
      </c>
      <c r="L194" s="15">
        <v>1312743</v>
      </c>
      <c r="M194" t="s" s="13">
        <v>6516</v>
      </c>
      <c r="N194" s="15">
        <v>80773</v>
      </c>
      <c r="O194" s="17" cm="1">
        <f t="array" ref="O194">(H194-H193)/H193</f>
        <v>-0.00344504933650902</v>
      </c>
      <c r="P194" s="8"/>
      <c r="Q194" s="8"/>
    </row>
    <row r="195" ht="13.65" customHeight="1">
      <c r="A195" s="12">
        <v>44568</v>
      </c>
      <c r="B195" t="s" s="13">
        <v>22</v>
      </c>
      <c r="C195" s="14">
        <v>3514.65</v>
      </c>
      <c r="D195" s="14">
        <v>3582</v>
      </c>
      <c r="E195" s="14">
        <v>3496.55</v>
      </c>
      <c r="F195" s="14">
        <v>3514.65</v>
      </c>
      <c r="G195" s="14">
        <v>3573.9</v>
      </c>
      <c r="H195" s="14">
        <v>3576.3</v>
      </c>
      <c r="I195" s="14">
        <v>3562.94</v>
      </c>
      <c r="J195" s="14">
        <v>3582</v>
      </c>
      <c r="K195" s="14">
        <v>2260</v>
      </c>
      <c r="L195" s="15">
        <v>964364</v>
      </c>
      <c r="M195" t="s" s="13">
        <v>6517</v>
      </c>
      <c r="N195" s="15">
        <v>61822</v>
      </c>
      <c r="O195" s="17" cm="1">
        <f t="array" ref="O195">(H195-H194)/H194</f>
        <v>0.0175408646664675</v>
      </c>
      <c r="P195" s="8"/>
      <c r="Q195" s="8"/>
    </row>
    <row r="196" ht="13.65" customHeight="1">
      <c r="A196" s="18">
        <v>44571</v>
      </c>
      <c r="B196" t="s" s="13">
        <v>22</v>
      </c>
      <c r="C196" s="14">
        <v>3580</v>
      </c>
      <c r="D196" s="14">
        <v>3590</v>
      </c>
      <c r="E196" s="14">
        <v>3527</v>
      </c>
      <c r="F196" s="14">
        <v>3576.3</v>
      </c>
      <c r="G196" s="14">
        <v>3550</v>
      </c>
      <c r="H196" s="14">
        <v>3553.5</v>
      </c>
      <c r="I196" s="14">
        <v>3547.94</v>
      </c>
      <c r="J196" s="14">
        <v>3590</v>
      </c>
      <c r="K196" s="14">
        <v>2260</v>
      </c>
      <c r="L196" s="15">
        <v>657511</v>
      </c>
      <c r="M196" t="s" s="13">
        <v>6518</v>
      </c>
      <c r="N196" s="15">
        <v>67243</v>
      </c>
      <c r="O196" s="17" cm="1">
        <f t="array" ref="O196">(H196-H195)/H195</f>
        <v>-0.00637530408522775</v>
      </c>
      <c r="P196" s="8"/>
      <c r="Q196" s="8"/>
    </row>
    <row r="197" ht="13.65" customHeight="1">
      <c r="A197" s="18">
        <v>44572</v>
      </c>
      <c r="B197" t="s" s="13">
        <v>22</v>
      </c>
      <c r="C197" s="14">
        <v>3550.6</v>
      </c>
      <c r="D197" s="14">
        <v>3564</v>
      </c>
      <c r="E197" s="14">
        <v>3495.05</v>
      </c>
      <c r="F197" s="14">
        <v>3553.5</v>
      </c>
      <c r="G197" s="14">
        <v>3535.05</v>
      </c>
      <c r="H197" s="14">
        <v>3538.75</v>
      </c>
      <c r="I197" s="14">
        <v>3530.4</v>
      </c>
      <c r="J197" s="14">
        <v>3590</v>
      </c>
      <c r="K197" s="14">
        <v>2260</v>
      </c>
      <c r="L197" s="15">
        <v>734344</v>
      </c>
      <c r="M197" t="s" s="13">
        <v>6519</v>
      </c>
      <c r="N197" s="15">
        <v>70402</v>
      </c>
      <c r="O197" s="17" cm="1">
        <f t="array" ref="O197">(H197-H196)/H196</f>
        <v>-0.00415083720275784</v>
      </c>
      <c r="P197" s="8"/>
      <c r="Q197" s="8"/>
    </row>
    <row r="198" ht="13.65" customHeight="1">
      <c r="A198" s="18">
        <v>44573</v>
      </c>
      <c r="B198" t="s" s="13">
        <v>22</v>
      </c>
      <c r="C198" s="14">
        <v>3556.9</v>
      </c>
      <c r="D198" s="14">
        <v>3582.45</v>
      </c>
      <c r="E198" s="14">
        <v>3534</v>
      </c>
      <c r="F198" s="14">
        <v>3538.75</v>
      </c>
      <c r="G198" s="14">
        <v>3547</v>
      </c>
      <c r="H198" s="14">
        <v>3543.8</v>
      </c>
      <c r="I198" s="14">
        <v>3550.21</v>
      </c>
      <c r="J198" s="14">
        <v>3590</v>
      </c>
      <c r="K198" s="14">
        <v>2260</v>
      </c>
      <c r="L198" s="15">
        <v>594543</v>
      </c>
      <c r="M198" t="s" s="13">
        <v>6520</v>
      </c>
      <c r="N198" s="15">
        <v>78042</v>
      </c>
      <c r="O198" s="17" cm="1">
        <f t="array" ref="O198">(H198-H197)/H197</f>
        <v>0.00142705757682798</v>
      </c>
      <c r="P198" s="8"/>
      <c r="Q198" s="8"/>
    </row>
    <row r="199" ht="13.65" customHeight="1">
      <c r="A199" s="18">
        <v>44574</v>
      </c>
      <c r="B199" t="s" s="13">
        <v>22</v>
      </c>
      <c r="C199" s="14">
        <v>3560</v>
      </c>
      <c r="D199" s="14">
        <v>3560</v>
      </c>
      <c r="E199" s="14">
        <v>3450</v>
      </c>
      <c r="F199" s="14">
        <v>3543.8</v>
      </c>
      <c r="G199" s="14">
        <v>3458.15</v>
      </c>
      <c r="H199" s="14">
        <v>3456.25</v>
      </c>
      <c r="I199" s="14">
        <v>3496.82</v>
      </c>
      <c r="J199" s="14">
        <v>3590</v>
      </c>
      <c r="K199" s="14">
        <v>2260</v>
      </c>
      <c r="L199" s="15">
        <v>1153984</v>
      </c>
      <c r="M199" t="s" s="13">
        <v>6521</v>
      </c>
      <c r="N199" s="15">
        <v>97385</v>
      </c>
      <c r="O199" s="17" cm="1">
        <f t="array" ref="O199">(H199-H198)/H198</f>
        <v>-0.0247051187990293</v>
      </c>
      <c r="P199" s="8"/>
      <c r="Q199" s="8"/>
    </row>
    <row r="200" ht="13.65" customHeight="1">
      <c r="A200" s="18">
        <v>44575</v>
      </c>
      <c r="B200" t="s" s="13">
        <v>22</v>
      </c>
      <c r="C200" s="14">
        <v>3462</v>
      </c>
      <c r="D200" s="14">
        <v>3462</v>
      </c>
      <c r="E200" s="14">
        <v>3346</v>
      </c>
      <c r="F200" s="14">
        <v>3456.25</v>
      </c>
      <c r="G200" s="14">
        <v>3364</v>
      </c>
      <c r="H200" s="14">
        <v>3364.4</v>
      </c>
      <c r="I200" s="14">
        <v>3365.95</v>
      </c>
      <c r="J200" s="14">
        <v>3590</v>
      </c>
      <c r="K200" s="14">
        <v>2260</v>
      </c>
      <c r="L200" s="15">
        <v>1558978</v>
      </c>
      <c r="M200" t="s" s="13">
        <v>6522</v>
      </c>
      <c r="N200" s="15">
        <v>146062</v>
      </c>
      <c r="O200" s="17" cm="1">
        <f t="array" ref="O200">(H200-H199)/H199</f>
        <v>-0.0265750452079566</v>
      </c>
      <c r="P200" s="8"/>
      <c r="Q200" s="8"/>
    </row>
    <row r="201" ht="13.65" customHeight="1">
      <c r="A201" s="18">
        <v>44578</v>
      </c>
      <c r="B201" t="s" s="13">
        <v>22</v>
      </c>
      <c r="C201" s="14">
        <v>3364.4</v>
      </c>
      <c r="D201" s="14">
        <v>3399</v>
      </c>
      <c r="E201" s="14">
        <v>3321</v>
      </c>
      <c r="F201" s="14">
        <v>3364.4</v>
      </c>
      <c r="G201" s="14">
        <v>3371</v>
      </c>
      <c r="H201" s="14">
        <v>3378.65</v>
      </c>
      <c r="I201" s="14">
        <v>3348.16</v>
      </c>
      <c r="J201" s="14">
        <v>3590</v>
      </c>
      <c r="K201" s="14">
        <v>2260</v>
      </c>
      <c r="L201" s="15">
        <v>1103159</v>
      </c>
      <c r="M201" t="s" s="13">
        <v>6523</v>
      </c>
      <c r="N201" s="15">
        <v>84053</v>
      </c>
      <c r="O201" s="17" cm="1">
        <f t="array" ref="O201">(H201-H200)/H200</f>
        <v>0.00423552490785876</v>
      </c>
      <c r="P201" s="8"/>
      <c r="Q201" s="8"/>
    </row>
    <row r="202" ht="13.65" customHeight="1">
      <c r="A202" s="18">
        <v>44579</v>
      </c>
      <c r="B202" t="s" s="13">
        <v>22</v>
      </c>
      <c r="C202" s="14">
        <v>3379.05</v>
      </c>
      <c r="D202" s="14">
        <v>3396.45</v>
      </c>
      <c r="E202" s="14">
        <v>3351</v>
      </c>
      <c r="F202" s="14">
        <v>3378.65</v>
      </c>
      <c r="G202" s="14">
        <v>3374.5</v>
      </c>
      <c r="H202" s="14">
        <v>3373.7</v>
      </c>
      <c r="I202" s="14">
        <v>3374.37</v>
      </c>
      <c r="J202" s="14">
        <v>3590</v>
      </c>
      <c r="K202" s="14">
        <v>2260</v>
      </c>
      <c r="L202" s="15">
        <v>558543</v>
      </c>
      <c r="M202" t="s" s="13">
        <v>6524</v>
      </c>
      <c r="N202" s="15">
        <v>65228</v>
      </c>
      <c r="O202" s="17" cm="1">
        <f t="array" ref="O202">(H202-H201)/H201</f>
        <v>-0.00146508220739053</v>
      </c>
      <c r="P202" s="8"/>
      <c r="Q202" s="8"/>
    </row>
    <row r="203" ht="13.65" customHeight="1">
      <c r="A203" s="18">
        <v>44580</v>
      </c>
      <c r="B203" t="s" s="13">
        <v>22</v>
      </c>
      <c r="C203" s="14">
        <v>3370</v>
      </c>
      <c r="D203" s="14">
        <v>3370</v>
      </c>
      <c r="E203" s="14">
        <v>3267.75</v>
      </c>
      <c r="F203" s="14">
        <v>3373.7</v>
      </c>
      <c r="G203" s="14">
        <v>3282.95</v>
      </c>
      <c r="H203" s="14">
        <v>3280.4</v>
      </c>
      <c r="I203" s="14">
        <v>3292.09</v>
      </c>
      <c r="J203" s="14">
        <v>3590</v>
      </c>
      <c r="K203" s="14">
        <v>2260</v>
      </c>
      <c r="L203" s="15">
        <v>1495218</v>
      </c>
      <c r="M203" t="s" s="13">
        <v>6525</v>
      </c>
      <c r="N203" s="15">
        <v>123892</v>
      </c>
      <c r="O203" s="17" cm="1">
        <f t="array" ref="O203">(H203-H202)/H202</f>
        <v>-0.0276550967780182</v>
      </c>
      <c r="P203" s="8"/>
      <c r="Q203" s="8"/>
    </row>
    <row r="204" ht="13.65" customHeight="1">
      <c r="A204" s="18">
        <v>44581</v>
      </c>
      <c r="B204" t="s" s="13">
        <v>22</v>
      </c>
      <c r="C204" s="14">
        <v>3282</v>
      </c>
      <c r="D204" s="14">
        <v>3364.9</v>
      </c>
      <c r="E204" s="14">
        <v>3222</v>
      </c>
      <c r="F204" s="14">
        <v>3280.4</v>
      </c>
      <c r="G204" s="14">
        <v>3303</v>
      </c>
      <c r="H204" s="14">
        <v>3306.4</v>
      </c>
      <c r="I204" s="14">
        <v>3282.29</v>
      </c>
      <c r="J204" s="14">
        <v>3590</v>
      </c>
      <c r="K204" s="14">
        <v>2260</v>
      </c>
      <c r="L204" s="15">
        <v>3075678</v>
      </c>
      <c r="M204" t="s" s="13">
        <v>6526</v>
      </c>
      <c r="N204" s="15">
        <v>238580</v>
      </c>
      <c r="O204" s="17" cm="1">
        <f t="array" ref="O204">(H204-H203)/H203</f>
        <v>0.00792586269967077</v>
      </c>
      <c r="P204" s="8"/>
      <c r="Q204" s="8"/>
    </row>
    <row r="205" ht="13.65" customHeight="1">
      <c r="A205" s="18">
        <v>44582</v>
      </c>
      <c r="B205" t="s" s="13">
        <v>22</v>
      </c>
      <c r="C205" s="14">
        <v>3300.05</v>
      </c>
      <c r="D205" s="14">
        <v>3324.95</v>
      </c>
      <c r="E205" s="14">
        <v>3241.75</v>
      </c>
      <c r="F205" s="14">
        <v>3306.4</v>
      </c>
      <c r="G205" s="14">
        <v>3278</v>
      </c>
      <c r="H205" s="14">
        <v>3274.85</v>
      </c>
      <c r="I205" s="14">
        <v>3289.45</v>
      </c>
      <c r="J205" s="14">
        <v>3590</v>
      </c>
      <c r="K205" s="14">
        <v>2260</v>
      </c>
      <c r="L205" s="15">
        <v>1441694</v>
      </c>
      <c r="M205" t="s" s="13">
        <v>6527</v>
      </c>
      <c r="N205" s="15">
        <v>111967</v>
      </c>
      <c r="O205" s="17" cm="1">
        <f t="array" ref="O205">(H205-H204)/H204</f>
        <v>-0.0095421001693685</v>
      </c>
      <c r="P205" s="8"/>
      <c r="Q205" s="8"/>
    </row>
    <row r="206" ht="13.65" customHeight="1">
      <c r="A206" s="18">
        <v>44585</v>
      </c>
      <c r="B206" t="s" s="13">
        <v>22</v>
      </c>
      <c r="C206" s="14">
        <v>3268</v>
      </c>
      <c r="D206" s="14">
        <v>3270</v>
      </c>
      <c r="E206" s="14">
        <v>3135</v>
      </c>
      <c r="F206" s="14">
        <v>3274.85</v>
      </c>
      <c r="G206" s="14">
        <v>3148.7</v>
      </c>
      <c r="H206" s="14">
        <v>3155.15</v>
      </c>
      <c r="I206" s="14">
        <v>3169.22</v>
      </c>
      <c r="J206" s="14">
        <v>3590</v>
      </c>
      <c r="K206" s="14">
        <v>2260</v>
      </c>
      <c r="L206" s="15">
        <v>1575665</v>
      </c>
      <c r="M206" t="s" s="13">
        <v>6528</v>
      </c>
      <c r="N206" s="15">
        <v>155744</v>
      </c>
      <c r="O206" s="17" cm="1">
        <f t="array" ref="O206">(H206-H205)/H205</f>
        <v>-0.0365512924256073</v>
      </c>
      <c r="P206" s="8"/>
      <c r="Q206" s="8"/>
    </row>
    <row r="207" ht="13.65" customHeight="1">
      <c r="A207" s="18">
        <v>44586</v>
      </c>
      <c r="B207" t="s" s="13">
        <v>22</v>
      </c>
      <c r="C207" s="14">
        <v>3100</v>
      </c>
      <c r="D207" s="14">
        <v>3156.95</v>
      </c>
      <c r="E207" s="14">
        <v>3010.75</v>
      </c>
      <c r="F207" s="14">
        <v>3155.15</v>
      </c>
      <c r="G207" s="14">
        <v>3151</v>
      </c>
      <c r="H207" s="14">
        <v>3147.1</v>
      </c>
      <c r="I207" s="14">
        <v>3091.76</v>
      </c>
      <c r="J207" s="14">
        <v>3590</v>
      </c>
      <c r="K207" s="14">
        <v>2260</v>
      </c>
      <c r="L207" s="15">
        <v>2699779</v>
      </c>
      <c r="M207" t="s" s="13">
        <v>6529</v>
      </c>
      <c r="N207" s="15">
        <v>248234</v>
      </c>
      <c r="O207" s="17" cm="1">
        <f t="array" ref="O207">(H207-H206)/H206</f>
        <v>-0.00255138424480611</v>
      </c>
      <c r="P207" s="8"/>
      <c r="Q207" s="8"/>
    </row>
    <row r="208" ht="13.65" customHeight="1">
      <c r="A208" s="18">
        <v>44588</v>
      </c>
      <c r="B208" t="s" s="13">
        <v>22</v>
      </c>
      <c r="C208" s="14">
        <v>3140.1</v>
      </c>
      <c r="D208" s="14">
        <v>3143</v>
      </c>
      <c r="E208" s="14">
        <v>3071.25</v>
      </c>
      <c r="F208" s="14">
        <v>3147.1</v>
      </c>
      <c r="G208" s="14">
        <v>3116.2</v>
      </c>
      <c r="H208" s="14">
        <v>3116.95</v>
      </c>
      <c r="I208" s="14">
        <v>3104.09</v>
      </c>
      <c r="J208" s="14">
        <v>3590</v>
      </c>
      <c r="K208" s="14">
        <v>2260</v>
      </c>
      <c r="L208" s="15">
        <v>1834684</v>
      </c>
      <c r="M208" t="s" s="13">
        <v>6530</v>
      </c>
      <c r="N208" s="15">
        <v>138031</v>
      </c>
      <c r="O208" s="17" cm="1">
        <f t="array" ref="O208">(H208-H207)/H207</f>
        <v>-0.00958024848273013</v>
      </c>
      <c r="P208" s="8"/>
      <c r="Q208" s="8"/>
    </row>
    <row r="209" ht="13.65" customHeight="1">
      <c r="A209" s="18">
        <v>44589</v>
      </c>
      <c r="B209" t="s" s="13">
        <v>22</v>
      </c>
      <c r="C209" s="14">
        <v>3130</v>
      </c>
      <c r="D209" s="14">
        <v>3170</v>
      </c>
      <c r="E209" s="14">
        <v>3103</v>
      </c>
      <c r="F209" s="14">
        <v>3116.95</v>
      </c>
      <c r="G209" s="14">
        <v>3119</v>
      </c>
      <c r="H209" s="14">
        <v>3110.85</v>
      </c>
      <c r="I209" s="14">
        <v>3138.3</v>
      </c>
      <c r="J209" s="14">
        <v>3590</v>
      </c>
      <c r="K209" s="14">
        <v>2260</v>
      </c>
      <c r="L209" s="15">
        <v>892060</v>
      </c>
      <c r="M209" t="s" s="13">
        <v>6531</v>
      </c>
      <c r="N209" s="15">
        <v>97438</v>
      </c>
      <c r="O209" s="17" cm="1">
        <f t="array" ref="O209">(H209-H208)/H208</f>
        <v>-0.00195704133848794</v>
      </c>
      <c r="P209" s="8"/>
      <c r="Q209" s="8"/>
    </row>
    <row r="210" ht="13.65" customHeight="1">
      <c r="A210" s="18">
        <v>44592</v>
      </c>
      <c r="B210" t="s" s="13">
        <v>22</v>
      </c>
      <c r="C210" s="14">
        <v>3140</v>
      </c>
      <c r="D210" s="14">
        <v>3193.45</v>
      </c>
      <c r="E210" s="14">
        <v>3136.4</v>
      </c>
      <c r="F210" s="14">
        <v>3110.85</v>
      </c>
      <c r="G210" s="14">
        <v>3160</v>
      </c>
      <c r="H210" s="14">
        <v>3152.25</v>
      </c>
      <c r="I210" s="14">
        <v>3161.59</v>
      </c>
      <c r="J210" s="14">
        <v>3590</v>
      </c>
      <c r="K210" s="14">
        <v>2260</v>
      </c>
      <c r="L210" s="15">
        <v>944530</v>
      </c>
      <c r="M210" t="s" s="13">
        <v>6532</v>
      </c>
      <c r="N210" s="15">
        <v>112100</v>
      </c>
      <c r="O210" s="17" cm="1">
        <f t="array" ref="O210">(H210-H209)/H209</f>
        <v>0.0133082598003761</v>
      </c>
      <c r="P210" s="8"/>
      <c r="Q210" s="8"/>
    </row>
    <row r="211" ht="13.65" customHeight="1">
      <c r="A211" s="12">
        <v>44593</v>
      </c>
      <c r="B211" t="s" s="13">
        <v>22</v>
      </c>
      <c r="C211" s="14">
        <v>3194</v>
      </c>
      <c r="D211" s="14">
        <v>3212.35</v>
      </c>
      <c r="E211" s="14">
        <v>3141.6</v>
      </c>
      <c r="F211" s="14">
        <v>3152.25</v>
      </c>
      <c r="G211" s="14">
        <v>3205</v>
      </c>
      <c r="H211" s="14">
        <v>3196.25</v>
      </c>
      <c r="I211" s="14">
        <v>3186.31</v>
      </c>
      <c r="J211" s="14">
        <v>3590</v>
      </c>
      <c r="K211" s="14">
        <v>2260</v>
      </c>
      <c r="L211" s="15">
        <v>1008915</v>
      </c>
      <c r="M211" t="s" s="13">
        <v>6533</v>
      </c>
      <c r="N211" s="15">
        <v>89441</v>
      </c>
      <c r="O211" s="17" cm="1">
        <f t="array" ref="O211">(H211-H210)/H210</f>
        <v>0.0139582837655643</v>
      </c>
      <c r="P211" s="8"/>
      <c r="Q211" s="8"/>
    </row>
    <row r="212" ht="13.65" customHeight="1">
      <c r="A212" s="12">
        <v>44594</v>
      </c>
      <c r="B212" t="s" s="13">
        <v>22</v>
      </c>
      <c r="C212" s="14">
        <v>3204.8</v>
      </c>
      <c r="D212" s="14">
        <v>3244.15</v>
      </c>
      <c r="E212" s="14">
        <v>3192.15</v>
      </c>
      <c r="F212" s="14">
        <v>3196.25</v>
      </c>
      <c r="G212" s="14">
        <v>3204.55</v>
      </c>
      <c r="H212" s="14">
        <v>3197.7</v>
      </c>
      <c r="I212" s="14">
        <v>3207.98</v>
      </c>
      <c r="J212" s="14">
        <v>3590</v>
      </c>
      <c r="K212" s="14">
        <v>2260</v>
      </c>
      <c r="L212" s="15">
        <v>667265</v>
      </c>
      <c r="M212" t="s" s="13">
        <v>6534</v>
      </c>
      <c r="N212" s="15">
        <v>73799</v>
      </c>
      <c r="O212" s="17" cm="1">
        <f t="array" ref="O212">(H212-H211)/H211</f>
        <v>0.000453656628861948</v>
      </c>
      <c r="P212" s="8"/>
      <c r="Q212" s="8"/>
    </row>
    <row r="213" ht="13.65" customHeight="1">
      <c r="A213" s="12">
        <v>44595</v>
      </c>
      <c r="B213" t="s" s="13">
        <v>22</v>
      </c>
      <c r="C213" s="14">
        <v>3212.85</v>
      </c>
      <c r="D213" s="14">
        <v>3241.6</v>
      </c>
      <c r="E213" s="14">
        <v>3190.2</v>
      </c>
      <c r="F213" s="14">
        <v>3197.7</v>
      </c>
      <c r="G213" s="14">
        <v>3194</v>
      </c>
      <c r="H213" s="14">
        <v>3203</v>
      </c>
      <c r="I213" s="14">
        <v>3216.51</v>
      </c>
      <c r="J213" s="14">
        <v>3590</v>
      </c>
      <c r="K213" s="14">
        <v>2260</v>
      </c>
      <c r="L213" s="15">
        <v>899753</v>
      </c>
      <c r="M213" t="s" s="13">
        <v>6535</v>
      </c>
      <c r="N213" s="15">
        <v>78300</v>
      </c>
      <c r="O213" s="17" cm="1">
        <f t="array" ref="O213">(H213-H212)/H212</f>
        <v>0.00165744128592426</v>
      </c>
      <c r="P213" s="8"/>
      <c r="Q213" s="8"/>
    </row>
    <row r="214" ht="13.65" customHeight="1">
      <c r="A214" s="12">
        <v>44596</v>
      </c>
      <c r="B214" t="s" s="13">
        <v>22</v>
      </c>
      <c r="C214" s="14">
        <v>3188</v>
      </c>
      <c r="D214" s="14">
        <v>3248.8</v>
      </c>
      <c r="E214" s="14">
        <v>3176.05</v>
      </c>
      <c r="F214" s="14">
        <v>3203</v>
      </c>
      <c r="G214" s="14">
        <v>3235</v>
      </c>
      <c r="H214" s="14">
        <v>3236.65</v>
      </c>
      <c r="I214" s="14">
        <v>3219.65</v>
      </c>
      <c r="J214" s="14">
        <v>3590</v>
      </c>
      <c r="K214" s="14">
        <v>2260</v>
      </c>
      <c r="L214" s="15">
        <v>705765</v>
      </c>
      <c r="M214" t="s" s="13">
        <v>6536</v>
      </c>
      <c r="N214" s="15">
        <v>67026</v>
      </c>
      <c r="O214" s="17" cm="1">
        <f t="array" ref="O214">(H214-H213)/H213</f>
        <v>0.0105057758351545</v>
      </c>
      <c r="P214" s="8"/>
      <c r="Q214" s="8"/>
    </row>
    <row r="215" ht="13.65" customHeight="1">
      <c r="A215" s="12">
        <v>44599</v>
      </c>
      <c r="B215" t="s" s="13">
        <v>22</v>
      </c>
      <c r="C215" s="14">
        <v>3234</v>
      </c>
      <c r="D215" s="14">
        <v>3251.2</v>
      </c>
      <c r="E215" s="14">
        <v>3143.1</v>
      </c>
      <c r="F215" s="14">
        <v>3236.65</v>
      </c>
      <c r="G215" s="14">
        <v>3171.5</v>
      </c>
      <c r="H215" s="14">
        <v>3174.7</v>
      </c>
      <c r="I215" s="14">
        <v>3186.52</v>
      </c>
      <c r="J215" s="14">
        <v>3590</v>
      </c>
      <c r="K215" s="14">
        <v>2260</v>
      </c>
      <c r="L215" s="15">
        <v>860393</v>
      </c>
      <c r="M215" t="s" s="13">
        <v>6537</v>
      </c>
      <c r="N215" s="15">
        <v>77448</v>
      </c>
      <c r="O215" s="17" cm="1">
        <f t="array" ref="O215">(H215-H214)/H214</f>
        <v>-0.0191401603509802</v>
      </c>
      <c r="P215" s="8"/>
      <c r="Q215" s="8"/>
    </row>
    <row r="216" ht="13.65" customHeight="1">
      <c r="A216" s="12">
        <v>44600</v>
      </c>
      <c r="B216" t="s" s="13">
        <v>22</v>
      </c>
      <c r="C216" s="14">
        <v>3179</v>
      </c>
      <c r="D216" s="14">
        <v>3223.5</v>
      </c>
      <c r="E216" s="14">
        <v>3166.2</v>
      </c>
      <c r="F216" s="14">
        <v>3174.7</v>
      </c>
      <c r="G216" s="14">
        <v>3210</v>
      </c>
      <c r="H216" s="14">
        <v>3216.35</v>
      </c>
      <c r="I216" s="14">
        <v>3202.95</v>
      </c>
      <c r="J216" s="14">
        <v>3590</v>
      </c>
      <c r="K216" s="14">
        <v>2260</v>
      </c>
      <c r="L216" s="15">
        <v>799206</v>
      </c>
      <c r="M216" t="s" s="13">
        <v>6538</v>
      </c>
      <c r="N216" s="15">
        <v>70975</v>
      </c>
      <c r="O216" s="17" cm="1">
        <f t="array" ref="O216">(H216-H215)/H215</f>
        <v>0.0131193498598293</v>
      </c>
      <c r="P216" s="8"/>
      <c r="Q216" s="8"/>
    </row>
    <row r="217" ht="13.65" customHeight="1">
      <c r="A217" s="12">
        <v>44601</v>
      </c>
      <c r="B217" t="s" s="13">
        <v>22</v>
      </c>
      <c r="C217" s="14">
        <v>3230</v>
      </c>
      <c r="D217" s="14">
        <v>3259</v>
      </c>
      <c r="E217" s="14">
        <v>3222.75</v>
      </c>
      <c r="F217" s="14">
        <v>3216.35</v>
      </c>
      <c r="G217" s="14">
        <v>3230.45</v>
      </c>
      <c r="H217" s="14">
        <v>3228.35</v>
      </c>
      <c r="I217" s="14">
        <v>3237.58</v>
      </c>
      <c r="J217" s="14">
        <v>3590</v>
      </c>
      <c r="K217" s="14">
        <v>2260</v>
      </c>
      <c r="L217" s="15">
        <v>472725</v>
      </c>
      <c r="M217" t="s" s="13">
        <v>6539</v>
      </c>
      <c r="N217" s="15">
        <v>61184</v>
      </c>
      <c r="O217" s="17" cm="1">
        <f t="array" ref="O217">(H217-H216)/H216</f>
        <v>0.00373093724252647</v>
      </c>
      <c r="P217" s="8"/>
      <c r="Q217" s="8"/>
    </row>
    <row r="218" ht="13.65" customHeight="1">
      <c r="A218" s="18">
        <v>44602</v>
      </c>
      <c r="B218" t="s" s="13">
        <v>22</v>
      </c>
      <c r="C218" s="14">
        <v>3220</v>
      </c>
      <c r="D218" s="14">
        <v>3248</v>
      </c>
      <c r="E218" s="14">
        <v>3176</v>
      </c>
      <c r="F218" s="14">
        <v>3228.35</v>
      </c>
      <c r="G218" s="14">
        <v>3233.8</v>
      </c>
      <c r="H218" s="14">
        <v>3238.75</v>
      </c>
      <c r="I218" s="14">
        <v>3216.17</v>
      </c>
      <c r="J218" s="14">
        <v>3590</v>
      </c>
      <c r="K218" s="14">
        <v>2260</v>
      </c>
      <c r="L218" s="15">
        <v>728666</v>
      </c>
      <c r="M218" t="s" s="13">
        <v>6540</v>
      </c>
      <c r="N218" s="15">
        <v>91293</v>
      </c>
      <c r="O218" s="17" cm="1">
        <f t="array" ref="O218">(H218-H217)/H217</f>
        <v>0.0032214598788855</v>
      </c>
      <c r="P218" s="8"/>
      <c r="Q218" s="8"/>
    </row>
    <row r="219" ht="13.65" customHeight="1">
      <c r="A219" s="18">
        <v>44603</v>
      </c>
      <c r="B219" t="s" s="13">
        <v>22</v>
      </c>
      <c r="C219" s="14">
        <v>3229.95</v>
      </c>
      <c r="D219" s="14">
        <v>3229.95</v>
      </c>
      <c r="E219" s="14">
        <v>3182.5</v>
      </c>
      <c r="F219" s="14">
        <v>3238.75</v>
      </c>
      <c r="G219" s="14">
        <v>3207</v>
      </c>
      <c r="H219" s="14">
        <v>3216.3</v>
      </c>
      <c r="I219" s="14">
        <v>3205.54</v>
      </c>
      <c r="J219" s="14">
        <v>3590</v>
      </c>
      <c r="K219" s="14">
        <v>2260</v>
      </c>
      <c r="L219" s="15">
        <v>587840</v>
      </c>
      <c r="M219" t="s" s="13">
        <v>6541</v>
      </c>
      <c r="N219" s="15">
        <v>73168</v>
      </c>
      <c r="O219" s="17" cm="1">
        <f t="array" ref="O219">(H219-H218)/H218</f>
        <v>-0.00693168660748746</v>
      </c>
      <c r="P219" s="8"/>
      <c r="Q219" s="8"/>
    </row>
    <row r="220" ht="13.65" customHeight="1">
      <c r="A220" s="18">
        <v>44606</v>
      </c>
      <c r="B220" t="s" s="13">
        <v>22</v>
      </c>
      <c r="C220" s="14">
        <v>3140</v>
      </c>
      <c r="D220" s="14">
        <v>3182.7</v>
      </c>
      <c r="E220" s="14">
        <v>3120</v>
      </c>
      <c r="F220" s="14">
        <v>3216.3</v>
      </c>
      <c r="G220" s="14">
        <v>3132.8</v>
      </c>
      <c r="H220" s="14">
        <v>3143.45</v>
      </c>
      <c r="I220" s="14">
        <v>3158.76</v>
      </c>
      <c r="J220" s="14">
        <v>3590</v>
      </c>
      <c r="K220" s="14">
        <v>2260</v>
      </c>
      <c r="L220" s="15">
        <v>681236</v>
      </c>
      <c r="M220" t="s" s="13">
        <v>6542</v>
      </c>
      <c r="N220" s="15">
        <v>77844</v>
      </c>
      <c r="O220" s="17" cm="1">
        <f t="array" ref="O220">(H220-H219)/H219</f>
        <v>-0.0226502502875975</v>
      </c>
      <c r="P220" s="8"/>
      <c r="Q220" s="8"/>
    </row>
    <row r="221" ht="13.65" customHeight="1">
      <c r="A221" s="18">
        <v>44607</v>
      </c>
      <c r="B221" t="s" s="13">
        <v>22</v>
      </c>
      <c r="C221" s="14">
        <v>3140</v>
      </c>
      <c r="D221" s="14">
        <v>3270</v>
      </c>
      <c r="E221" s="14">
        <v>3132.85</v>
      </c>
      <c r="F221" s="14">
        <v>3143.45</v>
      </c>
      <c r="G221" s="14">
        <v>3258.85</v>
      </c>
      <c r="H221" s="14">
        <v>3264.6</v>
      </c>
      <c r="I221" s="14">
        <v>3207.01</v>
      </c>
      <c r="J221" s="14">
        <v>3590</v>
      </c>
      <c r="K221" s="14">
        <v>2260</v>
      </c>
      <c r="L221" s="15">
        <v>676844</v>
      </c>
      <c r="M221" t="s" s="13">
        <v>6543</v>
      </c>
      <c r="N221" s="15">
        <v>85082</v>
      </c>
      <c r="O221" s="17" cm="1">
        <f t="array" ref="O221">(H221-H220)/H220</f>
        <v>0.0385404571410393</v>
      </c>
      <c r="P221" s="8"/>
      <c r="Q221" s="8"/>
    </row>
    <row r="222" ht="13.65" customHeight="1">
      <c r="A222" s="18">
        <v>44608</v>
      </c>
      <c r="B222" t="s" s="13">
        <v>22</v>
      </c>
      <c r="C222" s="14">
        <v>3280</v>
      </c>
      <c r="D222" s="14">
        <v>3285.1</v>
      </c>
      <c r="E222" s="14">
        <v>3223</v>
      </c>
      <c r="F222" s="14">
        <v>3264.6</v>
      </c>
      <c r="G222" s="14">
        <v>3242.2</v>
      </c>
      <c r="H222" s="14">
        <v>3252.85</v>
      </c>
      <c r="I222" s="14">
        <v>3257.74</v>
      </c>
      <c r="J222" s="14">
        <v>3590</v>
      </c>
      <c r="K222" s="14">
        <v>2260</v>
      </c>
      <c r="L222" s="15">
        <v>624320</v>
      </c>
      <c r="M222" t="s" s="13">
        <v>6544</v>
      </c>
      <c r="N222" s="15">
        <v>65556</v>
      </c>
      <c r="O222" s="17" cm="1">
        <f t="array" ref="O222">(H222-H221)/H221</f>
        <v>-0.00359921583042333</v>
      </c>
      <c r="P222" s="8"/>
      <c r="Q222" s="8"/>
    </row>
    <row r="223" ht="13.65" customHeight="1">
      <c r="A223" s="18">
        <v>44609</v>
      </c>
      <c r="B223" t="s" s="13">
        <v>22</v>
      </c>
      <c r="C223" s="14">
        <v>3273</v>
      </c>
      <c r="D223" s="14">
        <v>3294.95</v>
      </c>
      <c r="E223" s="14">
        <v>3236.4</v>
      </c>
      <c r="F223" s="14">
        <v>3252.85</v>
      </c>
      <c r="G223" s="14">
        <v>3255</v>
      </c>
      <c r="H223" s="14">
        <v>3265.85</v>
      </c>
      <c r="I223" s="14">
        <v>3265.24</v>
      </c>
      <c r="J223" s="14">
        <v>3590</v>
      </c>
      <c r="K223" s="14">
        <v>2260</v>
      </c>
      <c r="L223" s="15">
        <v>636735</v>
      </c>
      <c r="M223" t="s" s="13">
        <v>6545</v>
      </c>
      <c r="N223" s="15">
        <v>50052</v>
      </c>
      <c r="O223" s="17" cm="1">
        <f t="array" ref="O223">(H223-H222)/H222</f>
        <v>0.00399649538097361</v>
      </c>
      <c r="P223" s="8"/>
      <c r="Q223" s="8"/>
    </row>
    <row r="224" ht="13.65" customHeight="1">
      <c r="A224" s="18">
        <v>44610</v>
      </c>
      <c r="B224" t="s" s="13">
        <v>22</v>
      </c>
      <c r="C224" s="14">
        <v>3236.15</v>
      </c>
      <c r="D224" s="14">
        <v>3272</v>
      </c>
      <c r="E224" s="14">
        <v>3230.05</v>
      </c>
      <c r="F224" s="14">
        <v>3265.85</v>
      </c>
      <c r="G224" s="14">
        <v>3255.3</v>
      </c>
      <c r="H224" s="14">
        <v>3258.45</v>
      </c>
      <c r="I224" s="14">
        <v>3252.84</v>
      </c>
      <c r="J224" s="14">
        <v>3590</v>
      </c>
      <c r="K224" s="14">
        <v>2260</v>
      </c>
      <c r="L224" s="15">
        <v>423801</v>
      </c>
      <c r="M224" t="s" s="13">
        <v>6546</v>
      </c>
      <c r="N224" s="15">
        <v>42733</v>
      </c>
      <c r="O224" s="17" cm="1">
        <f t="array" ref="O224">(H224-H223)/H223</f>
        <v>-0.00226587259059663</v>
      </c>
      <c r="P224" s="8"/>
      <c r="Q224" s="8"/>
    </row>
    <row r="225" ht="13.65" customHeight="1">
      <c r="A225" s="18">
        <v>44613</v>
      </c>
      <c r="B225" t="s" s="13">
        <v>22</v>
      </c>
      <c r="C225" s="14">
        <v>3235</v>
      </c>
      <c r="D225" s="14">
        <v>3278.45</v>
      </c>
      <c r="E225" s="14">
        <v>3204.15</v>
      </c>
      <c r="F225" s="14">
        <v>3258.45</v>
      </c>
      <c r="G225" s="14">
        <v>3258</v>
      </c>
      <c r="H225" s="14">
        <v>3251.65</v>
      </c>
      <c r="I225" s="14">
        <v>3247.19</v>
      </c>
      <c r="J225" s="14">
        <v>3590</v>
      </c>
      <c r="K225" s="14">
        <v>2260</v>
      </c>
      <c r="L225" s="15">
        <v>547472</v>
      </c>
      <c r="M225" t="s" s="13">
        <v>6547</v>
      </c>
      <c r="N225" s="15">
        <v>53648</v>
      </c>
      <c r="O225" s="17" cm="1">
        <f t="array" ref="O225">(H225-H224)/H224</f>
        <v>-0.00208688179962866</v>
      </c>
      <c r="P225" s="8"/>
      <c r="Q225" s="8"/>
    </row>
    <row r="226" ht="13.65" customHeight="1">
      <c r="A226" s="18">
        <v>44614</v>
      </c>
      <c r="B226" t="s" s="13">
        <v>22</v>
      </c>
      <c r="C226" s="14">
        <v>3120</v>
      </c>
      <c r="D226" s="14">
        <v>3236.8</v>
      </c>
      <c r="E226" s="14">
        <v>3120</v>
      </c>
      <c r="F226" s="14">
        <v>3251.65</v>
      </c>
      <c r="G226" s="14">
        <v>3215</v>
      </c>
      <c r="H226" s="14">
        <v>3227.15</v>
      </c>
      <c r="I226" s="14">
        <v>3197.24</v>
      </c>
      <c r="J226" s="14">
        <v>3590</v>
      </c>
      <c r="K226" s="14">
        <v>2260</v>
      </c>
      <c r="L226" s="15">
        <v>1147209</v>
      </c>
      <c r="M226" t="s" s="13">
        <v>6548</v>
      </c>
      <c r="N226" s="15">
        <v>106850</v>
      </c>
      <c r="O226" s="17" cm="1">
        <f t="array" ref="O226">(H226-H225)/H225</f>
        <v>-0.00753463626159027</v>
      </c>
      <c r="P226" s="8"/>
      <c r="Q226" s="8"/>
    </row>
    <row r="227" ht="13.65" customHeight="1">
      <c r="A227" s="18">
        <v>44615</v>
      </c>
      <c r="B227" t="s" s="13">
        <v>22</v>
      </c>
      <c r="C227" s="14">
        <v>3236.9</v>
      </c>
      <c r="D227" s="14">
        <v>3296.9</v>
      </c>
      <c r="E227" s="14">
        <v>3230</v>
      </c>
      <c r="F227" s="14">
        <v>3227.15</v>
      </c>
      <c r="G227" s="14">
        <v>3242.65</v>
      </c>
      <c r="H227" s="14">
        <v>3237.2</v>
      </c>
      <c r="I227" s="14">
        <v>3263.58</v>
      </c>
      <c r="J227" s="14">
        <v>3590</v>
      </c>
      <c r="K227" s="14">
        <v>2260</v>
      </c>
      <c r="L227" s="15">
        <v>935896</v>
      </c>
      <c r="M227" t="s" s="13">
        <v>6549</v>
      </c>
      <c r="N227" s="15">
        <v>91015</v>
      </c>
      <c r="O227" s="17" cm="1">
        <f t="array" ref="O227">(H227-H226)/H226</f>
        <v>0.00311420293447779</v>
      </c>
      <c r="P227" s="8"/>
      <c r="Q227" s="8"/>
    </row>
    <row r="228" ht="13.65" customHeight="1">
      <c r="A228" s="18">
        <v>44616</v>
      </c>
      <c r="B228" t="s" s="13">
        <v>22</v>
      </c>
      <c r="C228" s="14">
        <v>3130</v>
      </c>
      <c r="D228" s="14">
        <v>3197.8</v>
      </c>
      <c r="E228" s="14">
        <v>3051.5</v>
      </c>
      <c r="F228" s="14">
        <v>3237.2</v>
      </c>
      <c r="G228" s="14">
        <v>3064</v>
      </c>
      <c r="H228" s="14">
        <v>3069.05</v>
      </c>
      <c r="I228" s="14">
        <v>3112.21</v>
      </c>
      <c r="J228" s="14">
        <v>3590</v>
      </c>
      <c r="K228" s="14">
        <v>2260</v>
      </c>
      <c r="L228" s="15">
        <v>1823450</v>
      </c>
      <c r="M228" t="s" s="13">
        <v>6550</v>
      </c>
      <c r="N228" s="15">
        <v>146060</v>
      </c>
      <c r="O228" s="17" cm="1">
        <f t="array" ref="O228">(H228-H227)/H227</f>
        <v>-0.0519430371926356</v>
      </c>
      <c r="P228" s="8"/>
      <c r="Q228" s="8"/>
    </row>
    <row r="229" ht="13.65" customHeight="1">
      <c r="A229" s="18">
        <v>44617</v>
      </c>
      <c r="B229" t="s" s="13">
        <v>22</v>
      </c>
      <c r="C229" s="14">
        <v>3105</v>
      </c>
      <c r="D229" s="14">
        <v>3141.45</v>
      </c>
      <c r="E229" s="14">
        <v>3083.05</v>
      </c>
      <c r="F229" s="14">
        <v>3069.05</v>
      </c>
      <c r="G229" s="14">
        <v>3122</v>
      </c>
      <c r="H229" s="14">
        <v>3119.2</v>
      </c>
      <c r="I229" s="14">
        <v>3115.56</v>
      </c>
      <c r="J229" s="14">
        <v>3590</v>
      </c>
      <c r="K229" s="14">
        <v>2260</v>
      </c>
      <c r="L229" s="15">
        <v>1239456</v>
      </c>
      <c r="M229" t="s" s="13">
        <v>6551</v>
      </c>
      <c r="N229" s="15">
        <v>88837</v>
      </c>
      <c r="O229" s="17" cm="1">
        <f t="array" ref="O229">(H229-H228)/H228</f>
        <v>0.0163405614115117</v>
      </c>
      <c r="P229" s="8"/>
      <c r="Q229" s="8"/>
    </row>
    <row r="230" ht="13.65" customHeight="1">
      <c r="A230" s="18">
        <v>44620</v>
      </c>
      <c r="B230" t="s" s="13">
        <v>22</v>
      </c>
      <c r="C230" s="14">
        <v>3090</v>
      </c>
      <c r="D230" s="14">
        <v>3190.5</v>
      </c>
      <c r="E230" s="14">
        <v>3015</v>
      </c>
      <c r="F230" s="14">
        <v>3119.2</v>
      </c>
      <c r="G230" s="14">
        <v>3172</v>
      </c>
      <c r="H230" s="14">
        <v>3174.65</v>
      </c>
      <c r="I230" s="14">
        <v>3119.54</v>
      </c>
      <c r="J230" s="14">
        <v>3590</v>
      </c>
      <c r="K230" s="14">
        <v>2300</v>
      </c>
      <c r="L230" s="15">
        <v>1678348</v>
      </c>
      <c r="M230" t="s" s="13">
        <v>6552</v>
      </c>
      <c r="N230" s="15">
        <v>108076</v>
      </c>
      <c r="O230" s="17" cm="1">
        <f t="array" ref="O230">(H230-H229)/H229</f>
        <v>0.0177769941010516</v>
      </c>
      <c r="P230" s="8"/>
      <c r="Q230" s="8"/>
    </row>
    <row r="231" ht="13.65" customHeight="1">
      <c r="A231" s="12">
        <v>44622</v>
      </c>
      <c r="B231" t="s" s="13">
        <v>22</v>
      </c>
      <c r="C231" s="14">
        <v>3107</v>
      </c>
      <c r="D231" s="14">
        <v>3111.2</v>
      </c>
      <c r="E231" s="14">
        <v>2991.1</v>
      </c>
      <c r="F231" s="14">
        <v>3174.65</v>
      </c>
      <c r="G231" s="14">
        <v>3041</v>
      </c>
      <c r="H231" s="14">
        <v>3028.95</v>
      </c>
      <c r="I231" s="14">
        <v>3035.18</v>
      </c>
      <c r="J231" s="14">
        <v>3590</v>
      </c>
      <c r="K231" s="14">
        <v>2300</v>
      </c>
      <c r="L231" s="15">
        <v>3014206</v>
      </c>
      <c r="M231" t="s" s="13">
        <v>6553</v>
      </c>
      <c r="N231" s="15">
        <v>276388</v>
      </c>
      <c r="O231" s="17" cm="1">
        <f t="array" ref="O231">(H231-H230)/H230</f>
        <v>-0.04589482305136</v>
      </c>
      <c r="P231" s="8"/>
      <c r="Q231" s="8"/>
    </row>
    <row r="232" ht="13.65" customHeight="1">
      <c r="A232" s="12">
        <v>44623</v>
      </c>
      <c r="B232" t="s" s="13">
        <v>22</v>
      </c>
      <c r="C232" s="14">
        <v>3029</v>
      </c>
      <c r="D232" s="14">
        <v>3051</v>
      </c>
      <c r="E232" s="14">
        <v>2862</v>
      </c>
      <c r="F232" s="14">
        <v>3028.95</v>
      </c>
      <c r="G232" s="14">
        <v>2871.75</v>
      </c>
      <c r="H232" s="14">
        <v>2871.9</v>
      </c>
      <c r="I232" s="14">
        <v>2913.77</v>
      </c>
      <c r="J232" s="14">
        <v>3590</v>
      </c>
      <c r="K232" s="14">
        <v>2300</v>
      </c>
      <c r="L232" s="15">
        <v>4406840</v>
      </c>
      <c r="M232" t="s" s="13">
        <v>6554</v>
      </c>
      <c r="N232" s="15">
        <v>419117</v>
      </c>
      <c r="O232" s="17" cm="1">
        <f t="array" ref="O232">(H232-H231)/H231</f>
        <v>-0.0518496508691131</v>
      </c>
      <c r="P232" s="8"/>
      <c r="Q232" s="8"/>
    </row>
    <row r="233" ht="13.65" customHeight="1">
      <c r="A233" s="12">
        <v>44624</v>
      </c>
      <c r="B233" t="s" s="13">
        <v>22</v>
      </c>
      <c r="C233" s="14">
        <v>2863.8</v>
      </c>
      <c r="D233" s="14">
        <v>2863.8</v>
      </c>
      <c r="E233" s="14">
        <v>2662.05</v>
      </c>
      <c r="F233" s="14">
        <v>2871.9</v>
      </c>
      <c r="G233" s="14">
        <v>2744</v>
      </c>
      <c r="H233" s="14">
        <v>2738.15</v>
      </c>
      <c r="I233" s="14">
        <v>2728.62</v>
      </c>
      <c r="J233" s="14">
        <v>3590</v>
      </c>
      <c r="K233" s="14">
        <v>2300</v>
      </c>
      <c r="L233" s="15">
        <v>6979253</v>
      </c>
      <c r="M233" t="s" s="13">
        <v>6555</v>
      </c>
      <c r="N233" s="15">
        <v>493884</v>
      </c>
      <c r="O233" s="17" cm="1">
        <f t="array" ref="O233">(H233-H232)/H232</f>
        <v>-0.0465719558480448</v>
      </c>
      <c r="P233" s="8"/>
      <c r="Q233" s="8"/>
    </row>
    <row r="234" ht="13.65" customHeight="1">
      <c r="A234" s="12">
        <v>44627</v>
      </c>
      <c r="B234" t="s" s="13">
        <v>22</v>
      </c>
      <c r="C234" s="14">
        <v>2649.9</v>
      </c>
      <c r="D234" s="14">
        <v>2727.95</v>
      </c>
      <c r="E234" s="14">
        <v>2599.35</v>
      </c>
      <c r="F234" s="14">
        <v>2738.15</v>
      </c>
      <c r="G234" s="14">
        <v>2706.95</v>
      </c>
      <c r="H234" s="14">
        <v>2708.45</v>
      </c>
      <c r="I234" s="14">
        <v>2663.47</v>
      </c>
      <c r="J234" s="14">
        <v>3590</v>
      </c>
      <c r="K234" s="14">
        <v>2343.05</v>
      </c>
      <c r="L234" s="15">
        <v>3233760</v>
      </c>
      <c r="M234" t="s" s="13">
        <v>6556</v>
      </c>
      <c r="N234" s="15">
        <v>252501</v>
      </c>
      <c r="O234" s="17" cm="1">
        <f t="array" ref="O234">(H234-H233)/H233</f>
        <v>-0.0108467395869474</v>
      </c>
      <c r="P234" s="8"/>
      <c r="Q234" s="8"/>
    </row>
    <row r="235" ht="13.65" customHeight="1">
      <c r="A235" s="12">
        <v>44628</v>
      </c>
      <c r="B235" t="s" s="13">
        <v>22</v>
      </c>
      <c r="C235" s="14">
        <v>2690</v>
      </c>
      <c r="D235" s="14">
        <v>2736.95</v>
      </c>
      <c r="E235" s="14">
        <v>2638</v>
      </c>
      <c r="F235" s="14">
        <v>2708.45</v>
      </c>
      <c r="G235" s="14">
        <v>2727</v>
      </c>
      <c r="H235" s="14">
        <v>2723.4</v>
      </c>
      <c r="I235" s="14">
        <v>2675.67</v>
      </c>
      <c r="J235" s="14">
        <v>3590</v>
      </c>
      <c r="K235" s="14">
        <v>2343.05</v>
      </c>
      <c r="L235" s="15">
        <v>2611102</v>
      </c>
      <c r="M235" t="s" s="13">
        <v>6557</v>
      </c>
      <c r="N235" s="15">
        <v>248903</v>
      </c>
      <c r="O235" s="17" cm="1">
        <f t="array" ref="O235">(H235-H234)/H234</f>
        <v>0.0055197622256272</v>
      </c>
      <c r="P235" s="8"/>
      <c r="Q235" s="8"/>
    </row>
    <row r="236" ht="13.65" customHeight="1">
      <c r="A236" s="12">
        <v>44629</v>
      </c>
      <c r="B236" t="s" s="13">
        <v>22</v>
      </c>
      <c r="C236" s="14">
        <v>2750</v>
      </c>
      <c r="D236" s="14">
        <v>2890</v>
      </c>
      <c r="E236" s="14">
        <v>2665.05</v>
      </c>
      <c r="F236" s="14">
        <v>2723.4</v>
      </c>
      <c r="G236" s="14">
        <v>2890</v>
      </c>
      <c r="H236" s="14">
        <v>2874.95</v>
      </c>
      <c r="I236" s="14">
        <v>2775.7</v>
      </c>
      <c r="J236" s="14">
        <v>3590</v>
      </c>
      <c r="K236" s="14">
        <v>2343.05</v>
      </c>
      <c r="L236" s="15">
        <v>4076068</v>
      </c>
      <c r="M236" t="s" s="13">
        <v>6558</v>
      </c>
      <c r="N236" s="15">
        <v>250624</v>
      </c>
      <c r="O236" s="17" cm="1">
        <f t="array" ref="O236">(H236-H235)/H235</f>
        <v>0.0556473525739884</v>
      </c>
      <c r="P236" s="8"/>
      <c r="Q236" s="8"/>
    </row>
    <row r="237" ht="13.65" customHeight="1">
      <c r="A237" s="18">
        <v>44630</v>
      </c>
      <c r="B237" t="s" s="13">
        <v>22</v>
      </c>
      <c r="C237" s="14">
        <v>3000</v>
      </c>
      <c r="D237" s="14">
        <v>3040</v>
      </c>
      <c r="E237" s="14">
        <v>2891.2</v>
      </c>
      <c r="F237" s="14">
        <v>2874.95</v>
      </c>
      <c r="G237" s="14">
        <v>2898.95</v>
      </c>
      <c r="H237" s="14">
        <v>2912.8</v>
      </c>
      <c r="I237" s="14">
        <v>2949.92</v>
      </c>
      <c r="J237" s="14">
        <v>3590</v>
      </c>
      <c r="K237" s="14">
        <v>2343.05</v>
      </c>
      <c r="L237" s="15">
        <v>3971987</v>
      </c>
      <c r="M237" t="s" s="13">
        <v>6559</v>
      </c>
      <c r="N237" s="15">
        <v>258798</v>
      </c>
      <c r="O237" s="17" cm="1">
        <f t="array" ref="O237">(H237-H236)/H236</f>
        <v>0.0131654463555888</v>
      </c>
      <c r="P237" s="8"/>
      <c r="Q237" s="8"/>
    </row>
    <row r="238" ht="13.65" customHeight="1">
      <c r="A238" s="18">
        <v>44631</v>
      </c>
      <c r="B238" t="s" s="13">
        <v>22</v>
      </c>
      <c r="C238" s="14">
        <v>2917</v>
      </c>
      <c r="D238" s="14">
        <v>2939.95</v>
      </c>
      <c r="E238" s="14">
        <v>2882.35</v>
      </c>
      <c r="F238" s="14">
        <v>2912.8</v>
      </c>
      <c r="G238" s="14">
        <v>2935</v>
      </c>
      <c r="H238" s="14">
        <v>2932</v>
      </c>
      <c r="I238" s="14">
        <v>2919.67</v>
      </c>
      <c r="J238" s="14">
        <v>3590</v>
      </c>
      <c r="K238" s="14">
        <v>2343.05</v>
      </c>
      <c r="L238" s="15">
        <v>1265493</v>
      </c>
      <c r="M238" t="s" s="13">
        <v>6560</v>
      </c>
      <c r="N238" s="15">
        <v>87207</v>
      </c>
      <c r="O238" s="17" cm="1">
        <f t="array" ref="O238">(H238-H237)/H237</f>
        <v>0.00659159571546278</v>
      </c>
      <c r="P238" s="8"/>
      <c r="Q238" s="8"/>
    </row>
    <row r="239" ht="13.65" customHeight="1">
      <c r="A239" s="18">
        <v>44634</v>
      </c>
      <c r="B239" t="s" s="13">
        <v>22</v>
      </c>
      <c r="C239" s="14">
        <v>2950</v>
      </c>
      <c r="D239" s="14">
        <v>2972.35</v>
      </c>
      <c r="E239" s="14">
        <v>2917.3</v>
      </c>
      <c r="F239" s="14">
        <v>2932</v>
      </c>
      <c r="G239" s="14">
        <v>2960</v>
      </c>
      <c r="H239" s="14">
        <v>2962.8</v>
      </c>
      <c r="I239" s="14">
        <v>2954.17</v>
      </c>
      <c r="J239" s="14">
        <v>3590</v>
      </c>
      <c r="K239" s="14">
        <v>2343.05</v>
      </c>
      <c r="L239" s="15">
        <v>1214217</v>
      </c>
      <c r="M239" t="s" s="13">
        <v>6561</v>
      </c>
      <c r="N239" s="15">
        <v>89553</v>
      </c>
      <c r="O239" s="17" cm="1">
        <f t="array" ref="O239">(H239-H238)/H238</f>
        <v>0.0105047748976808</v>
      </c>
      <c r="P239" s="8"/>
      <c r="Q239" s="8"/>
    </row>
    <row r="240" ht="13.65" customHeight="1">
      <c r="A240" s="18">
        <v>44635</v>
      </c>
      <c r="B240" t="s" s="13">
        <v>22</v>
      </c>
      <c r="C240" s="14">
        <v>2998</v>
      </c>
      <c r="D240" s="14">
        <v>3032</v>
      </c>
      <c r="E240" s="14">
        <v>2966</v>
      </c>
      <c r="F240" s="14">
        <v>2962.8</v>
      </c>
      <c r="G240" s="14">
        <v>2975.05</v>
      </c>
      <c r="H240" s="14">
        <v>2987.15</v>
      </c>
      <c r="I240" s="14">
        <v>2992.99</v>
      </c>
      <c r="J240" s="14">
        <v>3590</v>
      </c>
      <c r="K240" s="14">
        <v>2343.05</v>
      </c>
      <c r="L240" s="15">
        <v>1857685</v>
      </c>
      <c r="M240" t="s" s="13">
        <v>6562</v>
      </c>
      <c r="N240" s="15">
        <v>138614</v>
      </c>
      <c r="O240" s="17" cm="1">
        <f t="array" ref="O240">(H240-H239)/H239</f>
        <v>0.008218577021736201</v>
      </c>
      <c r="P240" s="8"/>
      <c r="Q240" s="8"/>
    </row>
    <row r="241" ht="13.65" customHeight="1">
      <c r="A241" s="18">
        <v>44636</v>
      </c>
      <c r="B241" t="s" s="13">
        <v>22</v>
      </c>
      <c r="C241" s="14">
        <v>3043</v>
      </c>
      <c r="D241" s="14">
        <v>3050</v>
      </c>
      <c r="E241" s="14">
        <v>3010.75</v>
      </c>
      <c r="F241" s="14">
        <v>2987.15</v>
      </c>
      <c r="G241" s="14">
        <v>3040</v>
      </c>
      <c r="H241" s="14">
        <v>3042</v>
      </c>
      <c r="I241" s="14">
        <v>3032.39</v>
      </c>
      <c r="J241" s="14">
        <v>3590</v>
      </c>
      <c r="K241" s="14">
        <v>2343.05</v>
      </c>
      <c r="L241" s="15">
        <v>1287234</v>
      </c>
      <c r="M241" t="s" s="13">
        <v>6563</v>
      </c>
      <c r="N241" s="15">
        <v>151047</v>
      </c>
      <c r="O241" s="17" cm="1">
        <f t="array" ref="O241">(H241-H240)/H240</f>
        <v>0.0183619838307417</v>
      </c>
      <c r="P241" s="8"/>
      <c r="Q241" s="8"/>
    </row>
    <row r="242" ht="13.65" customHeight="1">
      <c r="A242" s="18">
        <v>44637</v>
      </c>
      <c r="B242" t="s" s="13">
        <v>22</v>
      </c>
      <c r="C242" s="14">
        <v>3113.5</v>
      </c>
      <c r="D242" s="14">
        <v>3163.3</v>
      </c>
      <c r="E242" s="14">
        <v>3076.5</v>
      </c>
      <c r="F242" s="14">
        <v>3042</v>
      </c>
      <c r="G242" s="14">
        <v>3131.1</v>
      </c>
      <c r="H242" s="14">
        <v>3136.6</v>
      </c>
      <c r="I242" s="14">
        <v>3136.49</v>
      </c>
      <c r="J242" s="14">
        <v>3590</v>
      </c>
      <c r="K242" s="14">
        <v>2343.05</v>
      </c>
      <c r="L242" s="15">
        <v>2867519</v>
      </c>
      <c r="M242" t="s" s="13">
        <v>6564</v>
      </c>
      <c r="N242" s="15">
        <v>164756</v>
      </c>
      <c r="O242" s="17" cm="1">
        <f t="array" ref="O242">(H242-H241)/H241</f>
        <v>0.0310979618671926</v>
      </c>
      <c r="P242" s="8"/>
      <c r="Q242" s="8"/>
    </row>
    <row r="243" ht="13.65" customHeight="1">
      <c r="A243" s="18">
        <v>44641</v>
      </c>
      <c r="B243" t="s" s="13">
        <v>22</v>
      </c>
      <c r="C243" s="14">
        <v>3117.3</v>
      </c>
      <c r="D243" s="14">
        <v>3117.3</v>
      </c>
      <c r="E243" s="14">
        <v>3030.1</v>
      </c>
      <c r="F243" s="14">
        <v>3136.6</v>
      </c>
      <c r="G243" s="14">
        <v>3049.9</v>
      </c>
      <c r="H243" s="14">
        <v>3045.75</v>
      </c>
      <c r="I243" s="14">
        <v>3073.28</v>
      </c>
      <c r="J243" s="14">
        <v>3590</v>
      </c>
      <c r="K243" s="14">
        <v>2390</v>
      </c>
      <c r="L243" s="15">
        <v>1259015</v>
      </c>
      <c r="M243" t="s" s="13">
        <v>6565</v>
      </c>
      <c r="N243" s="15">
        <v>111085</v>
      </c>
      <c r="O243" s="17" cm="1">
        <f t="array" ref="O243">(H243-H242)/H242</f>
        <v>-0.0289644838360008</v>
      </c>
      <c r="P243" s="8"/>
      <c r="Q243" s="8"/>
    </row>
    <row r="244" ht="13.65" customHeight="1">
      <c r="A244" s="18">
        <v>44642</v>
      </c>
      <c r="B244" t="s" s="13">
        <v>22</v>
      </c>
      <c r="C244" s="14">
        <v>3024</v>
      </c>
      <c r="D244" s="14">
        <v>3062.7</v>
      </c>
      <c r="E244" s="14">
        <v>2975</v>
      </c>
      <c r="F244" s="14">
        <v>3045.75</v>
      </c>
      <c r="G244" s="14">
        <v>3049.45</v>
      </c>
      <c r="H244" s="14">
        <v>3051.15</v>
      </c>
      <c r="I244" s="14">
        <v>3017.34</v>
      </c>
      <c r="J244" s="14">
        <v>3590</v>
      </c>
      <c r="K244" s="14">
        <v>2390</v>
      </c>
      <c r="L244" s="15">
        <v>1515772</v>
      </c>
      <c r="M244" t="s" s="13">
        <v>6566</v>
      </c>
      <c r="N244" s="15">
        <v>118777</v>
      </c>
      <c r="O244" s="17" cm="1">
        <f t="array" ref="O244">(H244-H243)/H243</f>
        <v>0.0017729623245506</v>
      </c>
      <c r="P244" s="8"/>
      <c r="Q244" s="8"/>
    </row>
    <row r="245" ht="13.65" customHeight="1">
      <c r="A245" s="18">
        <v>44643</v>
      </c>
      <c r="B245" t="s" s="13">
        <v>22</v>
      </c>
      <c r="C245" s="14">
        <v>3060</v>
      </c>
      <c r="D245" s="14">
        <v>3079.9</v>
      </c>
      <c r="E245" s="14">
        <v>3005</v>
      </c>
      <c r="F245" s="14">
        <v>3051.15</v>
      </c>
      <c r="G245" s="14">
        <v>3013.7</v>
      </c>
      <c r="H245" s="14">
        <v>3016.8</v>
      </c>
      <c r="I245" s="14">
        <v>3026.53</v>
      </c>
      <c r="J245" s="14">
        <v>3590</v>
      </c>
      <c r="K245" s="14">
        <v>2390</v>
      </c>
      <c r="L245" s="15">
        <v>948403</v>
      </c>
      <c r="M245" t="s" s="13">
        <v>6567</v>
      </c>
      <c r="N245" s="15">
        <v>70875</v>
      </c>
      <c r="O245" s="17" cm="1">
        <f t="array" ref="O245">(H245-H244)/H244</f>
        <v>-0.0112580502433509</v>
      </c>
      <c r="P245" s="8"/>
      <c r="Q245" s="8"/>
    </row>
    <row r="246" ht="13.65" customHeight="1">
      <c r="A246" s="18">
        <v>44644</v>
      </c>
      <c r="B246" t="s" s="13">
        <v>22</v>
      </c>
      <c r="C246" s="14">
        <v>2969.5</v>
      </c>
      <c r="D246" s="14">
        <v>3038.95</v>
      </c>
      <c r="E246" s="14">
        <v>2950.55</v>
      </c>
      <c r="F246" s="14">
        <v>3016.8</v>
      </c>
      <c r="G246" s="14">
        <v>3020</v>
      </c>
      <c r="H246" s="14">
        <v>3025.35</v>
      </c>
      <c r="I246" s="14">
        <v>3008.92</v>
      </c>
      <c r="J246" s="14">
        <v>3590</v>
      </c>
      <c r="K246" s="14">
        <v>2390</v>
      </c>
      <c r="L246" s="15">
        <v>1243917</v>
      </c>
      <c r="M246" t="s" s="13">
        <v>6568</v>
      </c>
      <c r="N246" s="15">
        <v>93360</v>
      </c>
      <c r="O246" s="17" cm="1">
        <f t="array" ref="O246">(H246-H245)/H245</f>
        <v>0.00283412887828162</v>
      </c>
      <c r="P246" s="8"/>
      <c r="Q246" s="8"/>
    </row>
    <row r="247" ht="13.65" customHeight="1">
      <c r="A247" s="18">
        <v>44645</v>
      </c>
      <c r="B247" t="s" s="13">
        <v>22</v>
      </c>
      <c r="C247" s="14">
        <v>3025.35</v>
      </c>
      <c r="D247" s="14">
        <v>3064.55</v>
      </c>
      <c r="E247" s="14">
        <v>2991</v>
      </c>
      <c r="F247" s="14">
        <v>3025.35</v>
      </c>
      <c r="G247" s="14">
        <v>3047</v>
      </c>
      <c r="H247" s="14">
        <v>3046.95</v>
      </c>
      <c r="I247" s="14">
        <v>3018.28</v>
      </c>
      <c r="J247" s="14">
        <v>3590</v>
      </c>
      <c r="K247" s="14">
        <v>2390</v>
      </c>
      <c r="L247" s="15">
        <v>1083275</v>
      </c>
      <c r="M247" t="s" s="13">
        <v>6569</v>
      </c>
      <c r="N247" s="15">
        <v>81137</v>
      </c>
      <c r="O247" s="17" cm="1">
        <f t="array" ref="O247">(H247-H246)/H246</f>
        <v>0.0071396697902722</v>
      </c>
      <c r="P247" s="8"/>
      <c r="Q247" s="8"/>
    </row>
    <row r="248" ht="13.65" customHeight="1">
      <c r="A248" s="18">
        <v>44648</v>
      </c>
      <c r="B248" t="s" s="13">
        <v>22</v>
      </c>
      <c r="C248" s="14">
        <v>3046.95</v>
      </c>
      <c r="D248" s="14">
        <v>3058.6</v>
      </c>
      <c r="E248" s="14">
        <v>2995.65</v>
      </c>
      <c r="F248" s="14">
        <v>3046.95</v>
      </c>
      <c r="G248" s="14">
        <v>3024.25</v>
      </c>
      <c r="H248" s="14">
        <v>3027.45</v>
      </c>
      <c r="I248" s="14">
        <v>3023.02</v>
      </c>
      <c r="J248" s="14">
        <v>3590</v>
      </c>
      <c r="K248" s="14">
        <v>2484.5</v>
      </c>
      <c r="L248" s="15">
        <v>680332</v>
      </c>
      <c r="M248" t="s" s="13">
        <v>6570</v>
      </c>
      <c r="N248" s="15">
        <v>54048</v>
      </c>
      <c r="O248" s="17" cm="1">
        <f t="array" ref="O248">(H248-H247)/H247</f>
        <v>-0.00639984246541624</v>
      </c>
      <c r="P248" s="8"/>
      <c r="Q248" s="8"/>
    </row>
    <row r="249" ht="13.65" customHeight="1">
      <c r="A249" s="18">
        <v>44649</v>
      </c>
      <c r="B249" t="s" s="13">
        <v>22</v>
      </c>
      <c r="C249" s="14">
        <v>3069</v>
      </c>
      <c r="D249" s="14">
        <v>3087.7</v>
      </c>
      <c r="E249" s="14">
        <v>3012.7</v>
      </c>
      <c r="F249" s="14">
        <v>3027.45</v>
      </c>
      <c r="G249" s="14">
        <v>3040</v>
      </c>
      <c r="H249" s="14">
        <v>3042.6</v>
      </c>
      <c r="I249" s="14">
        <v>3052.13</v>
      </c>
      <c r="J249" s="14">
        <v>3590</v>
      </c>
      <c r="K249" s="14">
        <v>2484.5</v>
      </c>
      <c r="L249" s="15">
        <v>1120936</v>
      </c>
      <c r="M249" t="s" s="13">
        <v>6571</v>
      </c>
      <c r="N249" s="15">
        <v>82039</v>
      </c>
      <c r="O249" s="17" cm="1">
        <f t="array" ref="O249">(H249-H248)/H248</f>
        <v>0.00500421146509439</v>
      </c>
      <c r="P249" s="8"/>
      <c r="Q249" s="8"/>
    </row>
    <row r="250" ht="13.65" customHeight="1">
      <c r="A250" s="18">
        <v>44650</v>
      </c>
      <c r="B250" t="s" s="13">
        <v>22</v>
      </c>
      <c r="C250" s="14">
        <v>3078</v>
      </c>
      <c r="D250" s="14">
        <v>3094.35</v>
      </c>
      <c r="E250" s="14">
        <v>3055.9</v>
      </c>
      <c r="F250" s="14">
        <v>3042.6</v>
      </c>
      <c r="G250" s="14">
        <v>3084.35</v>
      </c>
      <c r="H250" s="14">
        <v>3081.55</v>
      </c>
      <c r="I250" s="14">
        <v>3077.9</v>
      </c>
      <c r="J250" s="14">
        <v>3590</v>
      </c>
      <c r="K250" s="14">
        <v>2484.5</v>
      </c>
      <c r="L250" s="15">
        <v>849545</v>
      </c>
      <c r="M250" t="s" s="13">
        <v>6572</v>
      </c>
      <c r="N250" s="15">
        <v>59816</v>
      </c>
      <c r="O250" s="17" cm="1">
        <f t="array" ref="O250">(H250-H249)/H249</f>
        <v>0.0128015513048051</v>
      </c>
      <c r="P250" s="8"/>
      <c r="Q250" s="8"/>
    </row>
    <row r="251" ht="13.65" customHeight="1">
      <c r="A251" s="18">
        <v>44651</v>
      </c>
      <c r="B251" t="s" s="13">
        <v>22</v>
      </c>
      <c r="C251" s="14">
        <v>3115</v>
      </c>
      <c r="D251" s="14">
        <v>3129.25</v>
      </c>
      <c r="E251" s="14">
        <v>3066.1</v>
      </c>
      <c r="F251" s="14">
        <v>3081.55</v>
      </c>
      <c r="G251" s="14">
        <v>3080</v>
      </c>
      <c r="H251" s="14">
        <v>3079.95</v>
      </c>
      <c r="I251" s="14">
        <v>3098.04</v>
      </c>
      <c r="J251" s="14">
        <v>3590</v>
      </c>
      <c r="K251" s="14">
        <v>2484.5</v>
      </c>
      <c r="L251" s="15">
        <v>1464862</v>
      </c>
      <c r="M251" t="s" s="13">
        <v>6573</v>
      </c>
      <c r="N251" s="15">
        <v>80327</v>
      </c>
      <c r="O251" s="17" cm="1">
        <f t="array" ref="O251">(H251-H250)/H250</f>
        <v>-0.000519219224091772</v>
      </c>
      <c r="P251" s="8"/>
      <c r="Q251" s="8"/>
    </row>
    <row r="252" ht="13.65" customHeight="1">
      <c r="A252" s="12">
        <v>44652</v>
      </c>
      <c r="B252" t="s" s="13">
        <v>22</v>
      </c>
      <c r="C252" s="14">
        <v>3110</v>
      </c>
      <c r="D252" s="14">
        <v>3121</v>
      </c>
      <c r="E252" s="14">
        <v>3087.65</v>
      </c>
      <c r="F252" s="14">
        <v>3079.95</v>
      </c>
      <c r="G252" s="14">
        <v>3112.2</v>
      </c>
      <c r="H252" s="14">
        <v>3114.15</v>
      </c>
      <c r="I252" s="14">
        <v>3103.16</v>
      </c>
      <c r="J252" s="14">
        <v>3590</v>
      </c>
      <c r="K252" s="14">
        <v>2484.5</v>
      </c>
      <c r="L252" s="15">
        <v>637392</v>
      </c>
      <c r="M252" t="s" s="13">
        <v>6574</v>
      </c>
      <c r="N252" s="15">
        <v>56569</v>
      </c>
      <c r="O252" s="17" cm="1">
        <f t="array" ref="O252">(H252-H251)/H251</f>
        <v>0.0111040763648761</v>
      </c>
      <c r="P252" s="8"/>
      <c r="Q252" s="8"/>
    </row>
    <row r="253" ht="13.65" customHeight="1">
      <c r="A253" s="21"/>
      <c r="B253" s="21"/>
      <c r="C253" s="21"/>
      <c r="D253" s="21"/>
      <c r="E253" s="21"/>
      <c r="F253" s="21"/>
      <c r="G253" s="21"/>
      <c r="H253" s="21"/>
      <c r="I253" s="21"/>
      <c r="J253" s="21"/>
      <c r="K253" s="21"/>
      <c r="L253" s="21"/>
      <c r="M253" s="21"/>
      <c r="N253" s="21"/>
      <c r="O253" s="8"/>
      <c r="P253" s="8"/>
      <c r="Q253" s="8"/>
    </row>
    <row r="254" ht="13.65" customHeight="1">
      <c r="A254" s="8"/>
      <c r="B254" s="8"/>
      <c r="C254" s="8"/>
      <c r="D254" s="8"/>
      <c r="E254" s="8"/>
      <c r="F254" s="8"/>
      <c r="G254" s="8"/>
      <c r="H254" s="8"/>
      <c r="I254" s="8"/>
      <c r="J254" s="8"/>
      <c r="K254" s="8"/>
      <c r="L254" s="8"/>
      <c r="M254" s="8"/>
      <c r="N254" t="s" s="7">
        <v>1028</v>
      </c>
      <c r="O254" s="22" cm="1">
        <f t="array" ref="O254">AVERAGE(O4:O252)</f>
        <v>0.000946341465781584</v>
      </c>
      <c r="P254" s="8"/>
      <c r="Q254" s="8"/>
    </row>
    <row r="255" ht="13.65" customHeight="1">
      <c r="A255" s="8"/>
      <c r="B255" s="8"/>
      <c r="C255" s="8"/>
      <c r="D255" s="8"/>
      <c r="E255" s="8"/>
      <c r="F255" s="8"/>
      <c r="G255" s="8"/>
      <c r="H255" s="8"/>
      <c r="I255" s="8"/>
      <c r="J255" s="8"/>
      <c r="K255" s="8"/>
      <c r="L255" s="8"/>
      <c r="M255" s="8"/>
      <c r="N255" t="s" s="7">
        <v>273</v>
      </c>
      <c r="O255" s="22">
        <v>0.017</v>
      </c>
      <c r="P255" s="8"/>
      <c r="Q255" s="8"/>
    </row>
    <row r="256" ht="13.65" customHeight="1">
      <c r="A256" s="8"/>
      <c r="B256" s="8"/>
      <c r="C256" s="8"/>
      <c r="D256" s="8"/>
      <c r="E256" s="8"/>
      <c r="F256" s="8"/>
      <c r="G256" s="8"/>
      <c r="H256" s="8"/>
      <c r="I256" s="8"/>
      <c r="J256" s="8"/>
      <c r="K256" s="8"/>
      <c r="L256" s="8"/>
      <c r="M256" s="8"/>
      <c r="N256" t="s" s="7">
        <v>274</v>
      </c>
      <c r="O256" s="23">
        <v>1341429.221</v>
      </c>
      <c r="P256" s="8"/>
      <c r="Q256" s="8"/>
    </row>
    <row r="257" ht="13.65" customHeight="1">
      <c r="A257" s="8"/>
      <c r="B257" s="8"/>
      <c r="C257" s="8"/>
      <c r="D257" s="8"/>
      <c r="E257" s="8"/>
      <c r="F257" s="8"/>
      <c r="G257" s="8"/>
      <c r="H257" s="8"/>
      <c r="I257" s="8"/>
      <c r="J257" s="8"/>
      <c r="K257" s="8"/>
      <c r="L257" s="8"/>
      <c r="M257" s="8"/>
      <c r="N257" t="s" s="7">
        <v>275</v>
      </c>
      <c r="O257" s="23" cm="1">
        <f t="array" ref="O257">IF(H252&gt;H4,1,IF(H252&lt;H4,-1,0))</f>
        <v>1</v>
      </c>
      <c r="P257" s="8"/>
      <c r="Q257" s="8"/>
    </row>
    <row r="258" ht="13.65" customHeight="1">
      <c r="A258" s="8"/>
      <c r="B258" s="8"/>
      <c r="C258" s="8"/>
      <c r="D258" s="8"/>
      <c r="E258" s="8"/>
      <c r="F258" s="8"/>
      <c r="G258" s="8"/>
      <c r="H258" s="8"/>
      <c r="I258" s="8"/>
      <c r="J258" s="8"/>
      <c r="K258" s="8"/>
      <c r="L258" s="8"/>
      <c r="M258" s="8"/>
      <c r="N258" t="s" s="7">
        <v>6575</v>
      </c>
      <c r="O258" s="22" cm="1">
        <f t="array" ref="O258">(H252-H4)/H4</f>
        <v>0.220397766238856</v>
      </c>
      <c r="P258" s="8"/>
      <c r="Q258" s="8"/>
    </row>
    <row r="259" ht="13.65" customHeight="1">
      <c r="A259" s="9"/>
      <c r="B259" s="9"/>
      <c r="C259" s="9"/>
      <c r="D259" s="9"/>
      <c r="E259" s="9"/>
      <c r="F259" s="9"/>
      <c r="G259" s="9"/>
      <c r="H259" s="9"/>
      <c r="I259" s="9"/>
      <c r="J259" s="9"/>
      <c r="K259" s="9"/>
      <c r="L259" s="9"/>
      <c r="M259" s="9"/>
      <c r="N259" s="9"/>
      <c r="O259" s="8"/>
      <c r="P259" s="8"/>
      <c r="Q259" s="8"/>
    </row>
    <row r="260" ht="13.65" customHeight="1">
      <c r="A260" t="s" s="10">
        <v>7</v>
      </c>
      <c r="B260" t="s" s="10">
        <v>8</v>
      </c>
      <c r="C260" t="s" s="10">
        <v>9</v>
      </c>
      <c r="D260" t="s" s="10">
        <v>10</v>
      </c>
      <c r="E260" t="s" s="10">
        <v>11</v>
      </c>
      <c r="F260" t="s" s="10">
        <v>12</v>
      </c>
      <c r="G260" t="s" s="10">
        <v>13</v>
      </c>
      <c r="H260" t="s" s="10">
        <v>14</v>
      </c>
      <c r="I260" t="s" s="10">
        <v>15</v>
      </c>
      <c r="J260" t="s" s="10">
        <v>16</v>
      </c>
      <c r="K260" t="s" s="10">
        <v>17</v>
      </c>
      <c r="L260" t="s" s="10">
        <v>18</v>
      </c>
      <c r="M260" t="s" s="10">
        <v>19</v>
      </c>
      <c r="N260" t="s" s="10">
        <v>20</v>
      </c>
      <c r="O260" s="16"/>
      <c r="P260" s="8"/>
      <c r="Q260" s="8"/>
    </row>
    <row r="261" ht="13.65" customHeight="1">
      <c r="A261" s="12">
        <v>44652</v>
      </c>
      <c r="B261" t="s" s="13">
        <v>22</v>
      </c>
      <c r="C261" s="14">
        <v>3110</v>
      </c>
      <c r="D261" s="14">
        <v>3121</v>
      </c>
      <c r="E261" s="14">
        <v>3087.65</v>
      </c>
      <c r="F261" s="14">
        <v>3079.95</v>
      </c>
      <c r="G261" s="14">
        <v>3112.2</v>
      </c>
      <c r="H261" s="14">
        <v>3114.15</v>
      </c>
      <c r="I261" s="14">
        <v>3103.16</v>
      </c>
      <c r="J261" s="14">
        <v>3590</v>
      </c>
      <c r="K261" s="14">
        <v>2484.5</v>
      </c>
      <c r="L261" s="15">
        <v>637392</v>
      </c>
      <c r="M261" t="s" s="13">
        <v>6574</v>
      </c>
      <c r="N261" s="15">
        <v>56569</v>
      </c>
      <c r="O261" s="17" cm="1">
        <f t="array" ref="O261">(H262-H261)/H261</f>
        <v>0.00123629240723793</v>
      </c>
      <c r="P261" s="8"/>
      <c r="Q261" s="8"/>
    </row>
    <row r="262" ht="13.65" customHeight="1">
      <c r="A262" s="12">
        <v>44655</v>
      </c>
      <c r="B262" t="s" s="13">
        <v>22</v>
      </c>
      <c r="C262" s="14">
        <v>3124.95</v>
      </c>
      <c r="D262" s="14">
        <v>3143</v>
      </c>
      <c r="E262" s="14">
        <v>3093.5</v>
      </c>
      <c r="F262" s="14">
        <v>3114.15</v>
      </c>
      <c r="G262" s="14">
        <v>3116</v>
      </c>
      <c r="H262" s="14">
        <v>3118</v>
      </c>
      <c r="I262" s="14">
        <v>3118.57</v>
      </c>
      <c r="J262" s="14">
        <v>3590</v>
      </c>
      <c r="K262" s="14">
        <v>2484.5</v>
      </c>
      <c r="L262" s="15">
        <v>873264</v>
      </c>
      <c r="M262" t="s" s="13">
        <v>6576</v>
      </c>
      <c r="N262" s="15">
        <v>77422</v>
      </c>
      <c r="O262" s="17" cm="1">
        <f t="array" ref="O262">(H263-H262)/H262</f>
        <v>0.00731237973059654</v>
      </c>
      <c r="P262" s="8"/>
      <c r="Q262" s="8"/>
    </row>
    <row r="263" ht="13.65" customHeight="1">
      <c r="A263" s="12">
        <v>44656</v>
      </c>
      <c r="B263" t="s" s="13">
        <v>22</v>
      </c>
      <c r="C263" s="14">
        <v>3110</v>
      </c>
      <c r="D263" s="14">
        <v>3157</v>
      </c>
      <c r="E263" s="14">
        <v>3080</v>
      </c>
      <c r="F263" s="14">
        <v>3118</v>
      </c>
      <c r="G263" s="14">
        <v>3138</v>
      </c>
      <c r="H263" s="14">
        <v>3140.8</v>
      </c>
      <c r="I263" s="14">
        <v>3136.1</v>
      </c>
      <c r="J263" s="14">
        <v>3590</v>
      </c>
      <c r="K263" s="14">
        <v>2484.5</v>
      </c>
      <c r="L263" s="15">
        <v>805874</v>
      </c>
      <c r="M263" t="s" s="13">
        <v>6577</v>
      </c>
      <c r="N263" s="15">
        <v>57391</v>
      </c>
      <c r="O263" s="17" cm="1">
        <f t="array" ref="O263">(H264-H263)/H263</f>
        <v>0.00420275089149261</v>
      </c>
      <c r="P263" s="8"/>
      <c r="Q263" s="8"/>
    </row>
    <row r="264" ht="13.65" customHeight="1">
      <c r="A264" s="12">
        <v>44657</v>
      </c>
      <c r="B264" t="s" s="13">
        <v>22</v>
      </c>
      <c r="C264" s="14">
        <v>3137</v>
      </c>
      <c r="D264" s="14">
        <v>3165</v>
      </c>
      <c r="E264" s="14">
        <v>3113</v>
      </c>
      <c r="F264" s="14">
        <v>3140.8</v>
      </c>
      <c r="G264" s="14">
        <v>3154.95</v>
      </c>
      <c r="H264" s="14">
        <v>3154</v>
      </c>
      <c r="I264" s="14">
        <v>3143.89</v>
      </c>
      <c r="J264" s="14">
        <v>3590</v>
      </c>
      <c r="K264" s="14">
        <v>2484.5</v>
      </c>
      <c r="L264" s="15">
        <v>736379</v>
      </c>
      <c r="M264" t="s" s="13">
        <v>6578</v>
      </c>
      <c r="N264" s="15">
        <v>67987</v>
      </c>
      <c r="O264" s="17" cm="1">
        <f t="array" ref="O264">(H265-H264)/H264</f>
        <v>0.000317057704502219</v>
      </c>
      <c r="P264" s="8"/>
      <c r="Q264" s="8"/>
    </row>
    <row r="265" ht="13.65" customHeight="1">
      <c r="A265" s="12">
        <v>44658</v>
      </c>
      <c r="B265" t="s" s="13">
        <v>22</v>
      </c>
      <c r="C265" s="14">
        <v>3154</v>
      </c>
      <c r="D265" s="14">
        <v>3208.95</v>
      </c>
      <c r="E265" s="14">
        <v>3145.5</v>
      </c>
      <c r="F265" s="14">
        <v>3154</v>
      </c>
      <c r="G265" s="14">
        <v>3155</v>
      </c>
      <c r="H265" s="14">
        <v>3155</v>
      </c>
      <c r="I265" s="14">
        <v>3170.81</v>
      </c>
      <c r="J265" s="14">
        <v>3590</v>
      </c>
      <c r="K265" s="14">
        <v>2484.5</v>
      </c>
      <c r="L265" s="15">
        <v>1025244</v>
      </c>
      <c r="M265" t="s" s="13">
        <v>6579</v>
      </c>
      <c r="N265" s="15">
        <v>81945</v>
      </c>
      <c r="O265" s="17" cm="1">
        <f t="array" ref="O265">(H266-H265)/H265</f>
        <v>0.0162440570522979</v>
      </c>
      <c r="P265" s="8"/>
      <c r="Q265" s="8"/>
    </row>
    <row r="266" ht="13.65" customHeight="1">
      <c r="A266" s="12">
        <v>44659</v>
      </c>
      <c r="B266" t="s" s="13">
        <v>22</v>
      </c>
      <c r="C266" s="14">
        <v>3168</v>
      </c>
      <c r="D266" s="14">
        <v>3220</v>
      </c>
      <c r="E266" s="14">
        <v>3151.2</v>
      </c>
      <c r="F266" s="14">
        <v>3155</v>
      </c>
      <c r="G266" s="14">
        <v>3206</v>
      </c>
      <c r="H266" s="14">
        <v>3206.25</v>
      </c>
      <c r="I266" s="14">
        <v>3188.51</v>
      </c>
      <c r="J266" s="14">
        <v>3590</v>
      </c>
      <c r="K266" s="14">
        <v>2484.5</v>
      </c>
      <c r="L266" s="15">
        <v>678898</v>
      </c>
      <c r="M266" t="s" s="13">
        <v>6580</v>
      </c>
      <c r="N266" s="15">
        <v>54953</v>
      </c>
      <c r="O266" s="17" cm="1">
        <f t="array" ref="O266">(H267-H266)/H266</f>
        <v>-0.0152202729044834</v>
      </c>
      <c r="P266" s="8"/>
      <c r="Q266" s="8"/>
    </row>
    <row r="267" ht="13.65" customHeight="1">
      <c r="A267" s="18">
        <v>44662</v>
      </c>
      <c r="B267" t="s" s="13">
        <v>22</v>
      </c>
      <c r="C267" s="14">
        <v>3184</v>
      </c>
      <c r="D267" s="14">
        <v>3222</v>
      </c>
      <c r="E267" s="14">
        <v>3150</v>
      </c>
      <c r="F267" s="14">
        <v>3206.25</v>
      </c>
      <c r="G267" s="14">
        <v>3158</v>
      </c>
      <c r="H267" s="14">
        <v>3157.45</v>
      </c>
      <c r="I267" s="14">
        <v>3176.75</v>
      </c>
      <c r="J267" s="14">
        <v>3590</v>
      </c>
      <c r="K267" s="14">
        <v>2488</v>
      </c>
      <c r="L267" s="15">
        <v>672652</v>
      </c>
      <c r="M267" t="s" s="13">
        <v>6581</v>
      </c>
      <c r="N267" s="15">
        <v>52685</v>
      </c>
      <c r="O267" s="17" cm="1">
        <f t="array" ref="O267">(H268-H267)/H267</f>
        <v>-0.00912128458091181</v>
      </c>
      <c r="P267" s="8"/>
      <c r="Q267" s="8"/>
    </row>
    <row r="268" ht="13.65" customHeight="1">
      <c r="A268" s="18">
        <v>44663</v>
      </c>
      <c r="B268" t="s" s="13">
        <v>22</v>
      </c>
      <c r="C268" s="14">
        <v>3154.7</v>
      </c>
      <c r="D268" s="14">
        <v>3162.1</v>
      </c>
      <c r="E268" s="14">
        <v>3114.15</v>
      </c>
      <c r="F268" s="14">
        <v>3157.45</v>
      </c>
      <c r="G268" s="14">
        <v>3123</v>
      </c>
      <c r="H268" s="14">
        <v>3128.65</v>
      </c>
      <c r="I268" s="14">
        <v>3136.9</v>
      </c>
      <c r="J268" s="14">
        <v>3590</v>
      </c>
      <c r="K268" s="14">
        <v>2488</v>
      </c>
      <c r="L268" s="15">
        <v>794265</v>
      </c>
      <c r="M268" t="s" s="13">
        <v>6582</v>
      </c>
      <c r="N268" s="15">
        <v>78185</v>
      </c>
      <c r="O268" s="17" cm="1">
        <f t="array" ref="O268">(H269-H268)/H268</f>
        <v>-0.0153420804500344</v>
      </c>
      <c r="P268" s="8"/>
      <c r="Q268" s="8"/>
    </row>
    <row r="269" ht="13.65" customHeight="1">
      <c r="A269" s="18">
        <v>44664</v>
      </c>
      <c r="B269" t="s" s="13">
        <v>22</v>
      </c>
      <c r="C269" s="14">
        <v>3117.2</v>
      </c>
      <c r="D269" s="14">
        <v>3121.9</v>
      </c>
      <c r="E269" s="14">
        <v>3066.1</v>
      </c>
      <c r="F269" s="14">
        <v>3128.65</v>
      </c>
      <c r="G269" s="14">
        <v>3084</v>
      </c>
      <c r="H269" s="14">
        <v>3080.65</v>
      </c>
      <c r="I269" s="14">
        <v>3084.45</v>
      </c>
      <c r="J269" s="14">
        <v>3590</v>
      </c>
      <c r="K269" s="14">
        <v>2488</v>
      </c>
      <c r="L269" s="15">
        <v>1121350</v>
      </c>
      <c r="M269" t="s" s="13">
        <v>6583</v>
      </c>
      <c r="N269" s="15">
        <v>71725</v>
      </c>
      <c r="O269" s="17" cm="1">
        <f t="array" ref="O269">(H270-H269)/H269</f>
        <v>-0.0191842630613669</v>
      </c>
      <c r="P269" s="8"/>
      <c r="Q269" s="8"/>
    </row>
    <row r="270" ht="13.65" customHeight="1">
      <c r="A270" s="18">
        <v>44669</v>
      </c>
      <c r="B270" t="s" s="13">
        <v>22</v>
      </c>
      <c r="C270" s="14">
        <v>3056</v>
      </c>
      <c r="D270" s="14">
        <v>3058</v>
      </c>
      <c r="E270" s="14">
        <v>3013</v>
      </c>
      <c r="F270" s="14">
        <v>3080.65</v>
      </c>
      <c r="G270" s="14">
        <v>3019</v>
      </c>
      <c r="H270" s="14">
        <v>3021.55</v>
      </c>
      <c r="I270" s="14">
        <v>3032.74</v>
      </c>
      <c r="J270" s="14">
        <v>3590</v>
      </c>
      <c r="K270" s="14">
        <v>2488</v>
      </c>
      <c r="L270" s="15">
        <v>1032504</v>
      </c>
      <c r="M270" t="s" s="13">
        <v>6584</v>
      </c>
      <c r="N270" s="15">
        <v>80323</v>
      </c>
      <c r="O270" s="17" cm="1">
        <f t="array" ref="O270">(H271-H270)/H270</f>
        <v>-0.0100445135774685</v>
      </c>
      <c r="P270" s="8"/>
      <c r="Q270" s="8"/>
    </row>
    <row r="271" ht="13.65" customHeight="1">
      <c r="A271" s="18">
        <v>44670</v>
      </c>
      <c r="B271" t="s" s="13">
        <v>22</v>
      </c>
      <c r="C271" s="14">
        <v>3030</v>
      </c>
      <c r="D271" s="14">
        <v>3059.2</v>
      </c>
      <c r="E271" s="14">
        <v>2970</v>
      </c>
      <c r="F271" s="14">
        <v>3021.55</v>
      </c>
      <c r="G271" s="14">
        <v>2981.2</v>
      </c>
      <c r="H271" s="14">
        <v>2991.2</v>
      </c>
      <c r="I271" s="14">
        <v>3020.76</v>
      </c>
      <c r="J271" s="14">
        <v>3590</v>
      </c>
      <c r="K271" s="14">
        <v>2488</v>
      </c>
      <c r="L271" s="15">
        <v>749782</v>
      </c>
      <c r="M271" t="s" s="13">
        <v>6585</v>
      </c>
      <c r="N271" s="15">
        <v>64197</v>
      </c>
      <c r="O271" s="17" cm="1">
        <f t="array" ref="O271">(H272-H271)/H271</f>
        <v>0.0306900240706071</v>
      </c>
      <c r="P271" s="8"/>
      <c r="Q271" s="8"/>
    </row>
    <row r="272" ht="13.65" customHeight="1">
      <c r="A272" s="18">
        <v>44671</v>
      </c>
      <c r="B272" t="s" s="13">
        <v>22</v>
      </c>
      <c r="C272" s="14">
        <v>2991.3</v>
      </c>
      <c r="D272" s="14">
        <v>3089.5</v>
      </c>
      <c r="E272" s="14">
        <v>2980</v>
      </c>
      <c r="F272" s="14">
        <v>2991.2</v>
      </c>
      <c r="G272" s="14">
        <v>3080.05</v>
      </c>
      <c r="H272" s="14">
        <v>3083</v>
      </c>
      <c r="I272" s="14">
        <v>3050.13</v>
      </c>
      <c r="J272" s="14">
        <v>3590</v>
      </c>
      <c r="K272" s="14">
        <v>2488</v>
      </c>
      <c r="L272" s="15">
        <v>838182</v>
      </c>
      <c r="M272" t="s" s="13">
        <v>6586</v>
      </c>
      <c r="N272" s="15">
        <v>68212</v>
      </c>
      <c r="O272" s="17" cm="1">
        <f t="array" ref="O272">(H273-H272)/H272</f>
        <v>0.0244080441128771</v>
      </c>
      <c r="P272" s="8"/>
      <c r="Q272" s="8"/>
    </row>
    <row r="273" ht="13.65" customHeight="1">
      <c r="A273" s="18">
        <v>44672</v>
      </c>
      <c r="B273" t="s" s="13">
        <v>22</v>
      </c>
      <c r="C273" s="14">
        <v>3089.8</v>
      </c>
      <c r="D273" s="14">
        <v>3174.4</v>
      </c>
      <c r="E273" s="14">
        <v>3086.05</v>
      </c>
      <c r="F273" s="14">
        <v>3083</v>
      </c>
      <c r="G273" s="14">
        <v>3150.05</v>
      </c>
      <c r="H273" s="14">
        <v>3158.25</v>
      </c>
      <c r="I273" s="14">
        <v>3150.18</v>
      </c>
      <c r="J273" s="14">
        <v>3590</v>
      </c>
      <c r="K273" s="14">
        <v>2488</v>
      </c>
      <c r="L273" s="15">
        <v>1069035</v>
      </c>
      <c r="M273" t="s" s="13">
        <v>6587</v>
      </c>
      <c r="N273" s="15">
        <v>85589</v>
      </c>
      <c r="O273" s="17" cm="1">
        <f t="array" ref="O273">(H274-H273)/H273</f>
        <v>0.00194728093089527</v>
      </c>
      <c r="P273" s="8"/>
      <c r="Q273" s="8"/>
    </row>
    <row r="274" ht="13.65" customHeight="1">
      <c r="A274" s="18">
        <v>44673</v>
      </c>
      <c r="B274" t="s" s="13">
        <v>22</v>
      </c>
      <c r="C274" s="14">
        <v>3121.5</v>
      </c>
      <c r="D274" s="14">
        <v>3173.3</v>
      </c>
      <c r="E274" s="14">
        <v>3113.25</v>
      </c>
      <c r="F274" s="14">
        <v>3158.25</v>
      </c>
      <c r="G274" s="14">
        <v>3161</v>
      </c>
      <c r="H274" s="14">
        <v>3164.4</v>
      </c>
      <c r="I274" s="14">
        <v>3151.4</v>
      </c>
      <c r="J274" s="14">
        <v>3590</v>
      </c>
      <c r="K274" s="14">
        <v>2488</v>
      </c>
      <c r="L274" s="15">
        <v>681191</v>
      </c>
      <c r="M274" t="s" s="13">
        <v>6588</v>
      </c>
      <c r="N274" s="15">
        <v>48633</v>
      </c>
      <c r="O274" s="17" cm="1">
        <f t="array" ref="O274">(H275-H274)/H274</f>
        <v>-0.0106813297939578</v>
      </c>
      <c r="P274" s="8"/>
      <c r="Q274" s="8"/>
    </row>
    <row r="275" ht="13.65" customHeight="1">
      <c r="A275" s="18">
        <v>44676</v>
      </c>
      <c r="B275" t="s" s="13">
        <v>22</v>
      </c>
      <c r="C275" s="14">
        <v>3134</v>
      </c>
      <c r="D275" s="14">
        <v>3155.1</v>
      </c>
      <c r="E275" s="14">
        <v>3095.1</v>
      </c>
      <c r="F275" s="14">
        <v>3164.4</v>
      </c>
      <c r="G275" s="14">
        <v>3131.35</v>
      </c>
      <c r="H275" s="14">
        <v>3130.6</v>
      </c>
      <c r="I275" s="14">
        <v>3125.39</v>
      </c>
      <c r="J275" s="14">
        <v>3590</v>
      </c>
      <c r="K275" s="14">
        <v>2505.6</v>
      </c>
      <c r="L275" s="15">
        <v>1096774</v>
      </c>
      <c r="M275" t="s" s="13">
        <v>6589</v>
      </c>
      <c r="N275" s="15">
        <v>80416</v>
      </c>
      <c r="O275" s="17" cm="1">
        <f t="array" ref="O275">(H276-H275)/H275</f>
        <v>-0.00158116654954322</v>
      </c>
      <c r="P275" s="8"/>
      <c r="Q275" s="8"/>
    </row>
    <row r="276" ht="13.65" customHeight="1">
      <c r="A276" s="18">
        <v>44677</v>
      </c>
      <c r="B276" t="s" s="13">
        <v>22</v>
      </c>
      <c r="C276" s="14">
        <v>3130</v>
      </c>
      <c r="D276" s="14">
        <v>3148.7</v>
      </c>
      <c r="E276" s="14">
        <v>3105.8</v>
      </c>
      <c r="F276" s="14">
        <v>3130.6</v>
      </c>
      <c r="G276" s="14">
        <v>3125.4</v>
      </c>
      <c r="H276" s="14">
        <v>3125.65</v>
      </c>
      <c r="I276" s="14">
        <v>3124.7</v>
      </c>
      <c r="J276" s="14">
        <v>3590</v>
      </c>
      <c r="K276" s="14">
        <v>2505.6</v>
      </c>
      <c r="L276" s="15">
        <v>1703441</v>
      </c>
      <c r="M276" t="s" s="13">
        <v>6590</v>
      </c>
      <c r="N276" s="15">
        <v>88071</v>
      </c>
      <c r="O276" s="17" cm="1">
        <f t="array" ref="O276">(H277-H276)/H276</f>
        <v>0.00726248940220434</v>
      </c>
      <c r="P276" s="8"/>
      <c r="Q276" s="8"/>
    </row>
    <row r="277" ht="13.65" customHeight="1">
      <c r="A277" s="18">
        <v>44678</v>
      </c>
      <c r="B277" t="s" s="13">
        <v>22</v>
      </c>
      <c r="C277" s="14">
        <v>3096</v>
      </c>
      <c r="D277" s="14">
        <v>3164</v>
      </c>
      <c r="E277" s="14">
        <v>3085.95</v>
      </c>
      <c r="F277" s="14">
        <v>3125.65</v>
      </c>
      <c r="G277" s="14">
        <v>3145</v>
      </c>
      <c r="H277" s="14">
        <v>3148.35</v>
      </c>
      <c r="I277" s="14">
        <v>3132.94</v>
      </c>
      <c r="J277" s="14">
        <v>3590</v>
      </c>
      <c r="K277" s="14">
        <v>2505.6</v>
      </c>
      <c r="L277" s="15">
        <v>963536</v>
      </c>
      <c r="M277" t="s" s="13">
        <v>6591</v>
      </c>
      <c r="N277" s="15">
        <v>72900</v>
      </c>
      <c r="O277" s="17" cm="1">
        <f t="array" ref="O277">(H278-H277)/H277</f>
        <v>0.0315562119840551</v>
      </c>
      <c r="P277" s="8"/>
      <c r="Q277" s="8"/>
    </row>
    <row r="278" ht="13.65" customHeight="1">
      <c r="A278" s="18">
        <v>44679</v>
      </c>
      <c r="B278" t="s" s="13">
        <v>22</v>
      </c>
      <c r="C278" s="14">
        <v>3190</v>
      </c>
      <c r="D278" s="14">
        <v>3268</v>
      </c>
      <c r="E278" s="14">
        <v>3170</v>
      </c>
      <c r="F278" s="14">
        <v>3148.35</v>
      </c>
      <c r="G278" s="14">
        <v>3242.8</v>
      </c>
      <c r="H278" s="14">
        <v>3247.7</v>
      </c>
      <c r="I278" s="14">
        <v>3234.3</v>
      </c>
      <c r="J278" s="14">
        <v>3590</v>
      </c>
      <c r="K278" s="14">
        <v>2505.6</v>
      </c>
      <c r="L278" s="15">
        <v>2001838</v>
      </c>
      <c r="M278" t="s" s="13">
        <v>6592</v>
      </c>
      <c r="N278" s="15">
        <v>131049</v>
      </c>
      <c r="O278" s="17" cm="1">
        <f t="array" ref="O278">(H279-H278)/H278</f>
        <v>-0.00323305724050867</v>
      </c>
      <c r="P278" s="8"/>
      <c r="Q278" s="8"/>
    </row>
    <row r="279" ht="13.65" customHeight="1">
      <c r="A279" s="18">
        <v>44680</v>
      </c>
      <c r="B279" t="s" s="13">
        <v>22</v>
      </c>
      <c r="C279" s="14">
        <v>3249</v>
      </c>
      <c r="D279" s="14">
        <v>3278</v>
      </c>
      <c r="E279" s="14">
        <v>3221.3</v>
      </c>
      <c r="F279" s="14">
        <v>3247.7</v>
      </c>
      <c r="G279" s="14">
        <v>3239.3</v>
      </c>
      <c r="H279" s="14">
        <v>3237.2</v>
      </c>
      <c r="I279" s="14">
        <v>3252.57</v>
      </c>
      <c r="J279" s="14">
        <v>3590</v>
      </c>
      <c r="K279" s="14">
        <v>2505.6</v>
      </c>
      <c r="L279" s="15">
        <v>1088970</v>
      </c>
      <c r="M279" t="s" s="13">
        <v>6593</v>
      </c>
      <c r="N279" s="15">
        <v>79149</v>
      </c>
      <c r="O279" s="17" cm="1">
        <f t="array" ref="O279">(H280-H279)/H279</f>
        <v>-0.0114914123316446</v>
      </c>
      <c r="P279" s="8"/>
      <c r="Q279" s="8"/>
    </row>
    <row r="280" ht="13.65" customHeight="1">
      <c r="A280" s="19">
        <v>44683</v>
      </c>
      <c r="B280" t="s" s="13">
        <v>22</v>
      </c>
      <c r="C280" s="14">
        <v>3195</v>
      </c>
      <c r="D280" s="14">
        <v>3211.5</v>
      </c>
      <c r="E280" s="14">
        <v>3154.05</v>
      </c>
      <c r="F280" s="14">
        <v>3237.2</v>
      </c>
      <c r="G280" s="14">
        <v>3199.85</v>
      </c>
      <c r="H280" s="14">
        <v>3200</v>
      </c>
      <c r="I280" s="14">
        <v>3184.18</v>
      </c>
      <c r="J280" s="14">
        <v>3590</v>
      </c>
      <c r="K280" s="14">
        <v>2505.6</v>
      </c>
      <c r="L280" s="15">
        <v>595522</v>
      </c>
      <c r="M280" t="s" s="13">
        <v>6594</v>
      </c>
      <c r="N280" s="15">
        <v>60098</v>
      </c>
      <c r="O280" s="17" cm="1">
        <f t="array" ref="O280">(H281-H280)/H280</f>
        <v>-0.030984375</v>
      </c>
      <c r="P280" s="8"/>
      <c r="Q280" s="8"/>
    </row>
    <row r="281" ht="13.65" customHeight="1">
      <c r="A281" s="19">
        <v>44685</v>
      </c>
      <c r="B281" t="s" s="13">
        <v>22</v>
      </c>
      <c r="C281" s="14">
        <v>3178</v>
      </c>
      <c r="D281" s="14">
        <v>3194.7</v>
      </c>
      <c r="E281" s="14">
        <v>3081.45</v>
      </c>
      <c r="F281" s="14">
        <v>3200</v>
      </c>
      <c r="G281" s="14">
        <v>3101.75</v>
      </c>
      <c r="H281" s="14">
        <v>3100.85</v>
      </c>
      <c r="I281" s="14">
        <v>3135.3</v>
      </c>
      <c r="J281" s="14">
        <v>3590</v>
      </c>
      <c r="K281" s="14">
        <v>2505.6</v>
      </c>
      <c r="L281" s="15">
        <v>1120002</v>
      </c>
      <c r="M281" t="s" s="13">
        <v>6595</v>
      </c>
      <c r="N281" s="15">
        <v>90624</v>
      </c>
      <c r="O281" s="17" cm="1">
        <f t="array" ref="O281">(H282-H281)/H281</f>
        <v>-0.007836560942967251</v>
      </c>
      <c r="P281" s="8"/>
      <c r="Q281" s="8"/>
    </row>
    <row r="282" ht="13.65" customHeight="1">
      <c r="A282" s="19">
        <v>44686</v>
      </c>
      <c r="B282" t="s" s="13">
        <v>22</v>
      </c>
      <c r="C282" s="14">
        <v>3104.75</v>
      </c>
      <c r="D282" s="14">
        <v>3126.95</v>
      </c>
      <c r="E282" s="14">
        <v>3070</v>
      </c>
      <c r="F282" s="14">
        <v>3100.85</v>
      </c>
      <c r="G282" s="14">
        <v>3081.3</v>
      </c>
      <c r="H282" s="14">
        <v>3076.55</v>
      </c>
      <c r="I282" s="14">
        <v>3101.03</v>
      </c>
      <c r="J282" s="14">
        <v>3590</v>
      </c>
      <c r="K282" s="14">
        <v>2505.6</v>
      </c>
      <c r="L282" s="15">
        <v>724601</v>
      </c>
      <c r="M282" t="s" s="13">
        <v>6596</v>
      </c>
      <c r="N282" s="15">
        <v>53774</v>
      </c>
      <c r="O282" s="17" cm="1">
        <f t="array" ref="O282">(H283-H282)/H282</f>
        <v>-0.0195998764850238</v>
      </c>
      <c r="P282" s="8"/>
      <c r="Q282" s="8"/>
    </row>
    <row r="283" ht="13.65" customHeight="1">
      <c r="A283" s="19">
        <v>44687</v>
      </c>
      <c r="B283" t="s" s="13">
        <v>22</v>
      </c>
      <c r="C283" s="14">
        <v>3020</v>
      </c>
      <c r="D283" s="14">
        <v>3052.4</v>
      </c>
      <c r="E283" s="14">
        <v>3003.9</v>
      </c>
      <c r="F283" s="14">
        <v>3076.55</v>
      </c>
      <c r="G283" s="14">
        <v>3024.9</v>
      </c>
      <c r="H283" s="14">
        <v>3016.25</v>
      </c>
      <c r="I283" s="14">
        <v>3029.39</v>
      </c>
      <c r="J283" s="14">
        <v>3590</v>
      </c>
      <c r="K283" s="14">
        <v>2505.6</v>
      </c>
      <c r="L283" s="15">
        <v>923941</v>
      </c>
      <c r="M283" t="s" s="13">
        <v>6597</v>
      </c>
      <c r="N283" s="15">
        <v>78029</v>
      </c>
      <c r="O283" s="17" cm="1">
        <f t="array" ref="O283">(H284-H283)/H283</f>
        <v>-0.00364691255698301</v>
      </c>
      <c r="P283" s="8"/>
      <c r="Q283" s="8"/>
    </row>
    <row r="284" ht="13.65" customHeight="1">
      <c r="A284" s="19">
        <v>44690</v>
      </c>
      <c r="B284" t="s" s="13">
        <v>22</v>
      </c>
      <c r="C284" s="14">
        <v>3000.85</v>
      </c>
      <c r="D284" s="14">
        <v>3038.8</v>
      </c>
      <c r="E284" s="14">
        <v>2975</v>
      </c>
      <c r="F284" s="14">
        <v>3016.25</v>
      </c>
      <c r="G284" s="14">
        <v>3031</v>
      </c>
      <c r="H284" s="14">
        <v>3005.25</v>
      </c>
      <c r="I284" s="14">
        <v>2994.14</v>
      </c>
      <c r="J284" s="14">
        <v>3590</v>
      </c>
      <c r="K284" s="14">
        <v>2521.3</v>
      </c>
      <c r="L284" s="15">
        <v>998324</v>
      </c>
      <c r="M284" t="s" s="13">
        <v>6598</v>
      </c>
      <c r="N284" s="15">
        <v>94795</v>
      </c>
      <c r="O284" s="17" cm="1">
        <f t="array" ref="O284">(H285-H284)/H284</f>
        <v>0.0269861076449547</v>
      </c>
      <c r="P284" s="8"/>
      <c r="Q284" s="8"/>
    </row>
    <row r="285" ht="13.65" customHeight="1">
      <c r="A285" s="20">
        <v>44691</v>
      </c>
      <c r="B285" t="s" s="13">
        <v>22</v>
      </c>
      <c r="C285" s="14">
        <v>3051</v>
      </c>
      <c r="D285" s="14">
        <v>3138.75</v>
      </c>
      <c r="E285" s="14">
        <v>3036</v>
      </c>
      <c r="F285" s="14">
        <v>3005.25</v>
      </c>
      <c r="G285" s="14">
        <v>3091</v>
      </c>
      <c r="H285" s="14">
        <v>3086.35</v>
      </c>
      <c r="I285" s="14">
        <v>3081.2</v>
      </c>
      <c r="J285" s="14">
        <v>3590</v>
      </c>
      <c r="K285" s="14">
        <v>2521.3</v>
      </c>
      <c r="L285" s="15">
        <v>2460016</v>
      </c>
      <c r="M285" t="s" s="13">
        <v>6599</v>
      </c>
      <c r="N285" s="15">
        <v>163123</v>
      </c>
      <c r="O285" s="17" cm="1">
        <f t="array" ref="O285">(H286-H285)/H285</f>
        <v>-0.0105950394478915</v>
      </c>
      <c r="P285" s="8"/>
      <c r="Q285" s="8"/>
    </row>
    <row r="286" ht="13.65" customHeight="1">
      <c r="A286" s="20">
        <v>44692</v>
      </c>
      <c r="B286" t="s" s="13">
        <v>22</v>
      </c>
      <c r="C286" s="14">
        <v>3090.4</v>
      </c>
      <c r="D286" s="14">
        <v>3109.55</v>
      </c>
      <c r="E286" s="14">
        <v>2979</v>
      </c>
      <c r="F286" s="14">
        <v>3086.35</v>
      </c>
      <c r="G286" s="14">
        <v>3056.5</v>
      </c>
      <c r="H286" s="14">
        <v>3053.65</v>
      </c>
      <c r="I286" s="14">
        <v>3031.19</v>
      </c>
      <c r="J286" s="14">
        <v>3590</v>
      </c>
      <c r="K286" s="14">
        <v>2521.3</v>
      </c>
      <c r="L286" s="15">
        <v>1883969</v>
      </c>
      <c r="M286" t="s" s="13">
        <v>6600</v>
      </c>
      <c r="N286" s="15">
        <v>137584</v>
      </c>
      <c r="O286" s="17" cm="1">
        <f t="array" ref="O286">(H287-H286)/H286</f>
        <v>-0.00448643426718845</v>
      </c>
      <c r="P286" s="8"/>
      <c r="Q286" s="8"/>
    </row>
    <row r="287" ht="13.65" customHeight="1">
      <c r="A287" s="20">
        <v>44693</v>
      </c>
      <c r="B287" t="s" s="13">
        <v>22</v>
      </c>
      <c r="C287" s="14">
        <v>3042</v>
      </c>
      <c r="D287" s="14">
        <v>3078</v>
      </c>
      <c r="E287" s="14">
        <v>2988</v>
      </c>
      <c r="F287" s="14">
        <v>3053.65</v>
      </c>
      <c r="G287" s="14">
        <v>3046.85</v>
      </c>
      <c r="H287" s="14">
        <v>3039.95</v>
      </c>
      <c r="I287" s="14">
        <v>3039.28</v>
      </c>
      <c r="J287" s="14">
        <v>3590</v>
      </c>
      <c r="K287" s="14">
        <v>2521.3</v>
      </c>
      <c r="L287" s="15">
        <v>1254245</v>
      </c>
      <c r="M287" t="s" s="13">
        <v>6601</v>
      </c>
      <c r="N287" s="15">
        <v>91074</v>
      </c>
      <c r="O287" s="17" cm="1">
        <f t="array" ref="O287">(H288-H287)/H287</f>
        <v>0.00791131433082781</v>
      </c>
      <c r="P287" s="8"/>
      <c r="Q287" s="8"/>
    </row>
    <row r="288" ht="13.65" customHeight="1">
      <c r="A288" s="20">
        <v>44694</v>
      </c>
      <c r="B288" t="s" s="13">
        <v>22</v>
      </c>
      <c r="C288" s="14">
        <v>3074.4</v>
      </c>
      <c r="D288" s="14">
        <v>3116.25</v>
      </c>
      <c r="E288" s="14">
        <v>3035.3</v>
      </c>
      <c r="F288" s="14">
        <v>3039.95</v>
      </c>
      <c r="G288" s="14">
        <v>3068.6</v>
      </c>
      <c r="H288" s="14">
        <v>3064</v>
      </c>
      <c r="I288" s="14">
        <v>3077.04</v>
      </c>
      <c r="J288" s="14">
        <v>3590</v>
      </c>
      <c r="K288" s="14">
        <v>2521.3</v>
      </c>
      <c r="L288" s="15">
        <v>1121729</v>
      </c>
      <c r="M288" t="s" s="13">
        <v>6602</v>
      </c>
      <c r="N288" s="15">
        <v>100475</v>
      </c>
      <c r="O288" s="17" cm="1">
        <f t="array" ref="O288">(H289-H288)/H288</f>
        <v>-0.020920365535248</v>
      </c>
      <c r="P288" s="8"/>
      <c r="Q288" s="8"/>
    </row>
    <row r="289" ht="13.65" customHeight="1">
      <c r="A289" s="20">
        <v>44697</v>
      </c>
      <c r="B289" t="s" s="13">
        <v>22</v>
      </c>
      <c r="C289" s="14">
        <v>3089.9</v>
      </c>
      <c r="D289" s="14">
        <v>3089.9</v>
      </c>
      <c r="E289" s="14">
        <v>2985.2</v>
      </c>
      <c r="F289" s="14">
        <v>3064</v>
      </c>
      <c r="G289" s="14">
        <v>3010.6</v>
      </c>
      <c r="H289" s="14">
        <v>2999.9</v>
      </c>
      <c r="I289" s="14">
        <v>3020.48</v>
      </c>
      <c r="J289" s="14">
        <v>3590</v>
      </c>
      <c r="K289" s="14">
        <v>2599.35</v>
      </c>
      <c r="L289" s="15">
        <v>733044</v>
      </c>
      <c r="M289" t="s" s="13">
        <v>6603</v>
      </c>
      <c r="N289" s="15">
        <v>55148</v>
      </c>
      <c r="O289" s="17" cm="1">
        <f t="array" ref="O289">(H290-H289)/H289</f>
        <v>0.0167005566852228</v>
      </c>
      <c r="P289" s="8"/>
      <c r="Q289" s="8"/>
    </row>
    <row r="290" ht="13.65" customHeight="1">
      <c r="A290" s="20">
        <v>44698</v>
      </c>
      <c r="B290" t="s" s="13">
        <v>22</v>
      </c>
      <c r="C290" s="14">
        <v>2998.9</v>
      </c>
      <c r="D290" s="14">
        <v>3056.6</v>
      </c>
      <c r="E290" s="14">
        <v>2951</v>
      </c>
      <c r="F290" s="14">
        <v>2999.9</v>
      </c>
      <c r="G290" s="14">
        <v>3045</v>
      </c>
      <c r="H290" s="14">
        <v>3050</v>
      </c>
      <c r="I290" s="14">
        <v>3004.2</v>
      </c>
      <c r="J290" s="14">
        <v>3590</v>
      </c>
      <c r="K290" s="14">
        <v>2599.35</v>
      </c>
      <c r="L290" s="15">
        <v>1179081</v>
      </c>
      <c r="M290" t="s" s="13">
        <v>6604</v>
      </c>
      <c r="N290" s="15">
        <v>98252</v>
      </c>
      <c r="O290" s="17" cm="1">
        <f t="array" ref="O290">(H291-H290)/H290</f>
        <v>0.0164262295081967</v>
      </c>
      <c r="P290" s="8"/>
      <c r="Q290" s="8"/>
    </row>
    <row r="291" ht="13.65" customHeight="1">
      <c r="A291" s="20">
        <v>44699</v>
      </c>
      <c r="B291" t="s" s="13">
        <v>22</v>
      </c>
      <c r="C291" s="14">
        <v>3030</v>
      </c>
      <c r="D291" s="14">
        <v>3128.8</v>
      </c>
      <c r="E291" s="14">
        <v>3026</v>
      </c>
      <c r="F291" s="14">
        <v>3050</v>
      </c>
      <c r="G291" s="14">
        <v>3105</v>
      </c>
      <c r="H291" s="14">
        <v>3100.1</v>
      </c>
      <c r="I291" s="14">
        <v>3092.5</v>
      </c>
      <c r="J291" s="14">
        <v>3590</v>
      </c>
      <c r="K291" s="14">
        <v>2599.35</v>
      </c>
      <c r="L291" s="15">
        <v>1379763</v>
      </c>
      <c r="M291" t="s" s="13">
        <v>6605</v>
      </c>
      <c r="N291" s="15">
        <v>89791</v>
      </c>
      <c r="O291" s="17" cm="1">
        <f t="array" ref="O291">(H292-H291)/H291</f>
        <v>-0.0171607367504274</v>
      </c>
      <c r="P291" s="8"/>
      <c r="Q291" s="8"/>
    </row>
    <row r="292" ht="13.65" customHeight="1">
      <c r="A292" s="20">
        <v>44700</v>
      </c>
      <c r="B292" t="s" s="13">
        <v>22</v>
      </c>
      <c r="C292" s="14">
        <v>3000.5</v>
      </c>
      <c r="D292" s="14">
        <v>3071.7</v>
      </c>
      <c r="E292" s="14">
        <v>3000.45</v>
      </c>
      <c r="F292" s="14">
        <v>3100.1</v>
      </c>
      <c r="G292" s="14">
        <v>3040</v>
      </c>
      <c r="H292" s="14">
        <v>3046.9</v>
      </c>
      <c r="I292" s="14">
        <v>3044.2</v>
      </c>
      <c r="J292" s="14">
        <v>3590</v>
      </c>
      <c r="K292" s="14">
        <v>2599.35</v>
      </c>
      <c r="L292" s="15">
        <v>772390</v>
      </c>
      <c r="M292" t="s" s="13">
        <v>6606</v>
      </c>
      <c r="N292" s="15">
        <v>66423</v>
      </c>
      <c r="O292" s="17" cm="1">
        <f t="array" ref="O292">(H293-H292)/H292</f>
        <v>0.0206931635432735</v>
      </c>
      <c r="P292" s="8"/>
      <c r="Q292" s="8"/>
    </row>
    <row r="293" ht="13.65" customHeight="1">
      <c r="A293" s="20">
        <v>44701</v>
      </c>
      <c r="B293" t="s" s="13">
        <v>22</v>
      </c>
      <c r="C293" s="14">
        <v>3080</v>
      </c>
      <c r="D293" s="14">
        <v>3125</v>
      </c>
      <c r="E293" s="14">
        <v>3070</v>
      </c>
      <c r="F293" s="14">
        <v>3046.9</v>
      </c>
      <c r="G293" s="14">
        <v>3112.9</v>
      </c>
      <c r="H293" s="14">
        <v>3109.95</v>
      </c>
      <c r="I293" s="14">
        <v>3108.79</v>
      </c>
      <c r="J293" s="14">
        <v>3590</v>
      </c>
      <c r="K293" s="14">
        <v>2599.35</v>
      </c>
      <c r="L293" s="15">
        <v>778957</v>
      </c>
      <c r="M293" t="s" s="13">
        <v>6607</v>
      </c>
      <c r="N293" s="15">
        <v>57353</v>
      </c>
      <c r="O293" s="17" cm="1">
        <f t="array" ref="O293">(H294-H293)/H293</f>
        <v>0.0206594961333784</v>
      </c>
      <c r="P293" s="8"/>
      <c r="Q293" s="8"/>
    </row>
    <row r="294" ht="13.65" customHeight="1">
      <c r="A294" s="20">
        <v>44704</v>
      </c>
      <c r="B294" t="s" s="13">
        <v>22</v>
      </c>
      <c r="C294" s="14">
        <v>3143.95</v>
      </c>
      <c r="D294" s="14">
        <v>3188</v>
      </c>
      <c r="E294" s="14">
        <v>3130.05</v>
      </c>
      <c r="F294" s="14">
        <v>3109.95</v>
      </c>
      <c r="G294" s="14">
        <v>3160</v>
      </c>
      <c r="H294" s="14">
        <v>3174.2</v>
      </c>
      <c r="I294" s="14">
        <v>3173.18</v>
      </c>
      <c r="J294" s="14">
        <v>3590</v>
      </c>
      <c r="K294" s="14">
        <v>2599.35</v>
      </c>
      <c r="L294" s="15">
        <v>813294</v>
      </c>
      <c r="M294" t="s" s="13">
        <v>6608</v>
      </c>
      <c r="N294" s="15">
        <v>70329</v>
      </c>
      <c r="O294" s="17" cm="1">
        <f t="array" ref="O294">(H295-H294)/H294</f>
        <v>-0.0275187448805998</v>
      </c>
      <c r="P294" s="8"/>
      <c r="Q294" s="8"/>
    </row>
    <row r="295" ht="13.65" customHeight="1">
      <c r="A295" s="20">
        <v>44705</v>
      </c>
      <c r="B295" t="s" s="13">
        <v>22</v>
      </c>
      <c r="C295" s="14">
        <v>3174.75</v>
      </c>
      <c r="D295" s="14">
        <v>3183.65</v>
      </c>
      <c r="E295" s="14">
        <v>3070</v>
      </c>
      <c r="F295" s="14">
        <v>3174.2</v>
      </c>
      <c r="G295" s="14">
        <v>3096.15</v>
      </c>
      <c r="H295" s="14">
        <v>3086.85</v>
      </c>
      <c r="I295" s="14">
        <v>3120.81</v>
      </c>
      <c r="J295" s="14">
        <v>3590</v>
      </c>
      <c r="K295" s="14">
        <v>2599.35</v>
      </c>
      <c r="L295" s="15">
        <v>691307</v>
      </c>
      <c r="M295" t="s" s="13">
        <v>6609</v>
      </c>
      <c r="N295" s="15">
        <v>62009</v>
      </c>
      <c r="O295" s="17" cm="1">
        <f t="array" ref="O295">(H296-H295)/H295</f>
        <v>-0.0805999643649675</v>
      </c>
      <c r="P295" s="8"/>
      <c r="Q295" s="8"/>
    </row>
    <row r="296" ht="13.65" customHeight="1">
      <c r="A296" s="20">
        <v>44706</v>
      </c>
      <c r="B296" t="s" s="13">
        <v>22</v>
      </c>
      <c r="C296" s="14">
        <v>3039</v>
      </c>
      <c r="D296" s="14">
        <v>3039</v>
      </c>
      <c r="E296" s="14">
        <v>2826.3</v>
      </c>
      <c r="F296" s="14">
        <v>3086.85</v>
      </c>
      <c r="G296" s="14">
        <v>2839</v>
      </c>
      <c r="H296" s="14">
        <v>2838.05</v>
      </c>
      <c r="I296" s="14">
        <v>2897.66</v>
      </c>
      <c r="J296" s="14">
        <v>3590</v>
      </c>
      <c r="K296" s="14">
        <v>2599.35</v>
      </c>
      <c r="L296" s="15">
        <v>3381427</v>
      </c>
      <c r="M296" t="s" s="13">
        <v>6610</v>
      </c>
      <c r="N296" s="15">
        <v>261310</v>
      </c>
      <c r="O296" s="17" cm="1">
        <f t="array" ref="O296">(H297-H296)/H296</f>
        <v>0.00073994468032628</v>
      </c>
      <c r="P296" s="8"/>
      <c r="Q296" s="8"/>
    </row>
    <row r="297" ht="13.65" customHeight="1">
      <c r="A297" s="20">
        <v>44707</v>
      </c>
      <c r="B297" t="s" s="13">
        <v>22</v>
      </c>
      <c r="C297" s="14">
        <v>2850</v>
      </c>
      <c r="D297" s="14">
        <v>2860</v>
      </c>
      <c r="E297" s="14">
        <v>2718.55</v>
      </c>
      <c r="F297" s="14">
        <v>2838.05</v>
      </c>
      <c r="G297" s="14">
        <v>2847</v>
      </c>
      <c r="H297" s="14">
        <v>2840.15</v>
      </c>
      <c r="I297" s="14">
        <v>2786.98</v>
      </c>
      <c r="J297" s="14">
        <v>3590</v>
      </c>
      <c r="K297" s="14">
        <v>2599.35</v>
      </c>
      <c r="L297" s="15">
        <v>3212196</v>
      </c>
      <c r="M297" t="s" s="13">
        <v>6611</v>
      </c>
      <c r="N297" s="15">
        <v>361374</v>
      </c>
      <c r="O297" s="17" cm="1">
        <f t="array" ref="O297">(H298-H297)/H297</f>
        <v>-0.00186609862155168</v>
      </c>
      <c r="P297" s="8"/>
      <c r="Q297" s="8"/>
    </row>
    <row r="298" ht="13.65" customHeight="1">
      <c r="A298" s="20">
        <v>44708</v>
      </c>
      <c r="B298" t="s" s="13">
        <v>22</v>
      </c>
      <c r="C298" s="14">
        <v>2868</v>
      </c>
      <c r="D298" s="14">
        <v>2869</v>
      </c>
      <c r="E298" s="14">
        <v>2781</v>
      </c>
      <c r="F298" s="14">
        <v>2840.15</v>
      </c>
      <c r="G298" s="14">
        <v>2836.9</v>
      </c>
      <c r="H298" s="14">
        <v>2834.85</v>
      </c>
      <c r="I298" s="14">
        <v>2814.63</v>
      </c>
      <c r="J298" s="14">
        <v>3590</v>
      </c>
      <c r="K298" s="14">
        <v>2599.35</v>
      </c>
      <c r="L298" s="15">
        <v>1879534</v>
      </c>
      <c r="M298" t="s" s="13">
        <v>6612</v>
      </c>
      <c r="N298" s="15">
        <v>143455</v>
      </c>
      <c r="O298" s="17" cm="1">
        <f t="array" ref="O298">(H299-H298)/H298</f>
        <v>0.00322768400444468</v>
      </c>
      <c r="P298" s="8"/>
      <c r="Q298" s="8"/>
    </row>
    <row r="299" ht="13.65" customHeight="1">
      <c r="A299" s="20">
        <v>44711</v>
      </c>
      <c r="B299" t="s" s="13">
        <v>22</v>
      </c>
      <c r="C299" s="14">
        <v>2880</v>
      </c>
      <c r="D299" s="14">
        <v>2884</v>
      </c>
      <c r="E299" s="14">
        <v>2817</v>
      </c>
      <c r="F299" s="14">
        <v>2834.85</v>
      </c>
      <c r="G299" s="14">
        <v>2847.4</v>
      </c>
      <c r="H299" s="14">
        <v>2844</v>
      </c>
      <c r="I299" s="14">
        <v>2856.7</v>
      </c>
      <c r="J299" s="14">
        <v>3590</v>
      </c>
      <c r="K299" s="14">
        <v>2599.35</v>
      </c>
      <c r="L299" s="15">
        <v>2525482</v>
      </c>
      <c r="M299" t="s" s="13">
        <v>6613</v>
      </c>
      <c r="N299" s="15">
        <v>184616</v>
      </c>
      <c r="O299" s="17" cm="1">
        <f t="array" ref="O299">(H300-H299)/H299</f>
        <v>0.0055028129395218</v>
      </c>
      <c r="P299" s="8"/>
      <c r="Q299" s="8"/>
    </row>
    <row r="300" ht="13.65" customHeight="1">
      <c r="A300" s="20">
        <v>44712</v>
      </c>
      <c r="B300" t="s" s="13">
        <v>22</v>
      </c>
      <c r="C300" s="14">
        <v>2844</v>
      </c>
      <c r="D300" s="14">
        <v>2878</v>
      </c>
      <c r="E300" s="14">
        <v>2811</v>
      </c>
      <c r="F300" s="14">
        <v>2844</v>
      </c>
      <c r="G300" s="14">
        <v>2861.95</v>
      </c>
      <c r="H300" s="14">
        <v>2859.65</v>
      </c>
      <c r="I300" s="14">
        <v>2857.56</v>
      </c>
      <c r="J300" s="14">
        <v>3590</v>
      </c>
      <c r="K300" s="14">
        <v>2599.35</v>
      </c>
      <c r="L300" s="15">
        <v>2408221</v>
      </c>
      <c r="M300" t="s" s="13">
        <v>6614</v>
      </c>
      <c r="N300" s="15">
        <v>85708</v>
      </c>
      <c r="O300" s="17" cm="1">
        <f t="array" ref="O300">(H301-H300)/H300</f>
        <v>-0.00250030598150123</v>
      </c>
      <c r="P300" s="8"/>
      <c r="Q300" s="8"/>
    </row>
    <row r="301" ht="13.65" customHeight="1">
      <c r="A301" s="12">
        <v>44713</v>
      </c>
      <c r="B301" t="s" s="13">
        <v>22</v>
      </c>
      <c r="C301" s="14">
        <v>2859.65</v>
      </c>
      <c r="D301" s="14">
        <v>2939.9</v>
      </c>
      <c r="E301" s="14">
        <v>2832.05</v>
      </c>
      <c r="F301" s="14">
        <v>2859.65</v>
      </c>
      <c r="G301" s="14">
        <v>2855</v>
      </c>
      <c r="H301" s="14">
        <v>2852.5</v>
      </c>
      <c r="I301" s="14">
        <v>2882.2</v>
      </c>
      <c r="J301" s="14">
        <v>3590</v>
      </c>
      <c r="K301" s="14">
        <v>2599.35</v>
      </c>
      <c r="L301" s="15">
        <v>1770795</v>
      </c>
      <c r="M301" t="s" s="13">
        <v>6615</v>
      </c>
      <c r="N301" s="15">
        <v>125760</v>
      </c>
      <c r="O301" s="17" cm="1">
        <f t="array" ref="O301">(H302-H301)/H301</f>
        <v>0.019649430324277</v>
      </c>
      <c r="P301" s="8"/>
      <c r="Q301" s="8"/>
    </row>
    <row r="302" ht="13.65" customHeight="1">
      <c r="A302" s="12">
        <v>44714</v>
      </c>
      <c r="B302" t="s" s="13">
        <v>22</v>
      </c>
      <c r="C302" s="14">
        <v>2870.2</v>
      </c>
      <c r="D302" s="14">
        <v>2919</v>
      </c>
      <c r="E302" s="14">
        <v>2848</v>
      </c>
      <c r="F302" s="14">
        <v>2852.5</v>
      </c>
      <c r="G302" s="14">
        <v>2907.75</v>
      </c>
      <c r="H302" s="14">
        <v>2908.55</v>
      </c>
      <c r="I302" s="14">
        <v>2884.48</v>
      </c>
      <c r="J302" s="14">
        <v>3590</v>
      </c>
      <c r="K302" s="14">
        <v>2599.35</v>
      </c>
      <c r="L302" s="15">
        <v>1164197</v>
      </c>
      <c r="M302" t="s" s="13">
        <v>6616</v>
      </c>
      <c r="N302" s="15">
        <v>84984</v>
      </c>
      <c r="O302" s="17" cm="1">
        <f t="array" ref="O302">(H303-H302)/H302</f>
        <v>-0.00744357153908305</v>
      </c>
      <c r="P302" s="8"/>
      <c r="Q302" s="8"/>
    </row>
    <row r="303" ht="13.65" customHeight="1">
      <c r="A303" s="12">
        <v>44715</v>
      </c>
      <c r="B303" t="s" s="13">
        <v>22</v>
      </c>
      <c r="C303" s="14">
        <v>2905</v>
      </c>
      <c r="D303" s="14">
        <v>2919.45</v>
      </c>
      <c r="E303" s="14">
        <v>2856</v>
      </c>
      <c r="F303" s="14">
        <v>2908.55</v>
      </c>
      <c r="G303" s="14">
        <v>2890</v>
      </c>
      <c r="H303" s="14">
        <v>2886.9</v>
      </c>
      <c r="I303" s="14">
        <v>2888.89</v>
      </c>
      <c r="J303" s="14">
        <v>3590</v>
      </c>
      <c r="K303" s="14">
        <v>2599.35</v>
      </c>
      <c r="L303" s="15">
        <v>1228489</v>
      </c>
      <c r="M303" t="s" s="13">
        <v>6617</v>
      </c>
      <c r="N303" s="15">
        <v>65190</v>
      </c>
      <c r="O303" s="17" cm="1">
        <f t="array" ref="O303">(H304-H303)/H303</f>
        <v>-0.0240569468980567</v>
      </c>
      <c r="P303" s="8"/>
      <c r="Q303" s="8"/>
    </row>
    <row r="304" ht="13.65" customHeight="1">
      <c r="A304" s="12">
        <v>44718</v>
      </c>
      <c r="B304" t="s" s="13">
        <v>22</v>
      </c>
      <c r="C304" s="14">
        <v>2871.1</v>
      </c>
      <c r="D304" s="14">
        <v>2872</v>
      </c>
      <c r="E304" s="14">
        <v>2807.7</v>
      </c>
      <c r="F304" s="14">
        <v>2886.9</v>
      </c>
      <c r="G304" s="14">
        <v>2814.05</v>
      </c>
      <c r="H304" s="14">
        <v>2817.45</v>
      </c>
      <c r="I304" s="14">
        <v>2836.48</v>
      </c>
      <c r="J304" s="14">
        <v>3590</v>
      </c>
      <c r="K304" s="14">
        <v>2599.35</v>
      </c>
      <c r="L304" s="15">
        <v>1193698</v>
      </c>
      <c r="M304" t="s" s="13">
        <v>6618</v>
      </c>
      <c r="N304" s="15">
        <v>70212</v>
      </c>
      <c r="O304" s="17" cm="1">
        <f t="array" ref="O304">(H305-H304)/H304</f>
        <v>-0.0258212213171485</v>
      </c>
      <c r="P304" s="8"/>
      <c r="Q304" s="8"/>
    </row>
    <row r="305" ht="13.65" customHeight="1">
      <c r="A305" s="12">
        <v>44719</v>
      </c>
      <c r="B305" t="s" s="13">
        <v>22</v>
      </c>
      <c r="C305" s="14">
        <v>2800</v>
      </c>
      <c r="D305" s="14">
        <v>2804</v>
      </c>
      <c r="E305" s="14">
        <v>2731</v>
      </c>
      <c r="F305" s="14">
        <v>2817.45</v>
      </c>
      <c r="G305" s="14">
        <v>2746.15</v>
      </c>
      <c r="H305" s="14">
        <v>2744.7</v>
      </c>
      <c r="I305" s="14">
        <v>2747.86</v>
      </c>
      <c r="J305" s="14">
        <v>3590</v>
      </c>
      <c r="K305" s="14">
        <v>2599.35</v>
      </c>
      <c r="L305" s="15">
        <v>1403598</v>
      </c>
      <c r="M305" t="s" s="13">
        <v>6619</v>
      </c>
      <c r="N305" s="15">
        <v>116599</v>
      </c>
      <c r="O305" s="17" cm="1">
        <f t="array" ref="O305">(H306-H305)/H305</f>
        <v>-0.0143913724632929</v>
      </c>
      <c r="P305" s="8"/>
      <c r="Q305" s="8"/>
    </row>
    <row r="306" ht="13.65" customHeight="1">
      <c r="A306" s="12">
        <v>44720</v>
      </c>
      <c r="B306" t="s" s="13">
        <v>22</v>
      </c>
      <c r="C306" s="14">
        <v>2771.9</v>
      </c>
      <c r="D306" s="14">
        <v>2775</v>
      </c>
      <c r="E306" s="14">
        <v>2700</v>
      </c>
      <c r="F306" s="14">
        <v>2744.7</v>
      </c>
      <c r="G306" s="14">
        <v>2703.15</v>
      </c>
      <c r="H306" s="14">
        <v>2705.2</v>
      </c>
      <c r="I306" s="14">
        <v>2720.56</v>
      </c>
      <c r="J306" s="14">
        <v>3590</v>
      </c>
      <c r="K306" s="14">
        <v>2599.35</v>
      </c>
      <c r="L306" s="15">
        <v>1743575</v>
      </c>
      <c r="M306" t="s" s="13">
        <v>6620</v>
      </c>
      <c r="N306" s="15">
        <v>127361</v>
      </c>
      <c r="O306" s="17" cm="1">
        <f t="array" ref="O306">(H307-H306)/H306</f>
        <v>-0.00680171521514121</v>
      </c>
      <c r="P306" s="8"/>
      <c r="Q306" s="8"/>
    </row>
    <row r="307" ht="13.65" customHeight="1">
      <c r="A307" s="12">
        <v>44721</v>
      </c>
      <c r="B307" t="s" s="13">
        <v>22</v>
      </c>
      <c r="C307" s="14">
        <v>2680</v>
      </c>
      <c r="D307" s="14">
        <v>2697.6</v>
      </c>
      <c r="E307" s="14">
        <v>2633.75</v>
      </c>
      <c r="F307" s="14">
        <v>2705.2</v>
      </c>
      <c r="G307" s="14">
        <v>2695</v>
      </c>
      <c r="H307" s="14">
        <v>2686.8</v>
      </c>
      <c r="I307" s="14">
        <v>2669.72</v>
      </c>
      <c r="J307" s="14">
        <v>3590</v>
      </c>
      <c r="K307" s="14">
        <v>2599.35</v>
      </c>
      <c r="L307" s="15">
        <v>1857501</v>
      </c>
      <c r="M307" t="s" s="13">
        <v>6621</v>
      </c>
      <c r="N307" s="15">
        <v>117437</v>
      </c>
      <c r="O307" s="17" cm="1">
        <f t="array" ref="O307">(H308-H307)/H307</f>
        <v>0.00816956974839958</v>
      </c>
      <c r="P307" s="8"/>
      <c r="Q307" s="8"/>
    </row>
    <row r="308" ht="13.65" customHeight="1">
      <c r="A308" s="18">
        <v>44722</v>
      </c>
      <c r="B308" t="s" s="13">
        <v>22</v>
      </c>
      <c r="C308" s="14">
        <v>2665</v>
      </c>
      <c r="D308" s="14">
        <v>2736</v>
      </c>
      <c r="E308" s="14">
        <v>2652</v>
      </c>
      <c r="F308" s="14">
        <v>2686.8</v>
      </c>
      <c r="G308" s="14">
        <v>2707</v>
      </c>
      <c r="H308" s="14">
        <v>2708.75</v>
      </c>
      <c r="I308" s="14">
        <v>2710.17</v>
      </c>
      <c r="J308" s="14">
        <v>3590</v>
      </c>
      <c r="K308" s="14">
        <v>2599.35</v>
      </c>
      <c r="L308" s="15">
        <v>1592920</v>
      </c>
      <c r="M308" t="s" s="13">
        <v>6622</v>
      </c>
      <c r="N308" s="15">
        <v>90068</v>
      </c>
      <c r="O308" s="17" cm="1">
        <f t="array" ref="O308">(H309-H308)/H308</f>
        <v>-0.0177203507152746</v>
      </c>
      <c r="P308" s="8"/>
      <c r="Q308" s="8"/>
    </row>
    <row r="309" ht="13.65" customHeight="1">
      <c r="A309" s="18">
        <v>44725</v>
      </c>
      <c r="B309" t="s" s="13">
        <v>22</v>
      </c>
      <c r="C309" s="14">
        <v>2669.95</v>
      </c>
      <c r="D309" s="14">
        <v>2683</v>
      </c>
      <c r="E309" s="14">
        <v>2642.5</v>
      </c>
      <c r="F309" s="14">
        <v>2708.75</v>
      </c>
      <c r="G309" s="14">
        <v>2665.5</v>
      </c>
      <c r="H309" s="14">
        <v>2660.75</v>
      </c>
      <c r="I309" s="14">
        <v>2662.5</v>
      </c>
      <c r="J309" s="14">
        <v>3590</v>
      </c>
      <c r="K309" s="14">
        <v>2599.35</v>
      </c>
      <c r="L309" s="15">
        <v>1674206</v>
      </c>
      <c r="M309" t="s" s="13">
        <v>6623</v>
      </c>
      <c r="N309" s="15">
        <v>114745</v>
      </c>
      <c r="O309" s="17" cm="1">
        <f t="array" ref="O309">(H310-H309)/H309</f>
        <v>-0.0095273888941088</v>
      </c>
      <c r="P309" s="8"/>
      <c r="Q309" s="8"/>
    </row>
    <row r="310" ht="13.65" customHeight="1">
      <c r="A310" s="18">
        <v>44726</v>
      </c>
      <c r="B310" t="s" s="13">
        <v>22</v>
      </c>
      <c r="C310" s="14">
        <v>2617</v>
      </c>
      <c r="D310" s="14">
        <v>2666.35</v>
      </c>
      <c r="E310" s="14">
        <v>2585</v>
      </c>
      <c r="F310" s="14">
        <v>2660.75</v>
      </c>
      <c r="G310" s="14">
        <v>2644</v>
      </c>
      <c r="H310" s="14">
        <v>2635.4</v>
      </c>
      <c r="I310" s="14">
        <v>2628.69</v>
      </c>
      <c r="J310" s="14">
        <v>3590</v>
      </c>
      <c r="K310" s="14">
        <v>2585</v>
      </c>
      <c r="L310" s="15">
        <v>2296040</v>
      </c>
      <c r="M310" t="s" s="13">
        <v>6624</v>
      </c>
      <c r="N310" s="15">
        <v>142187</v>
      </c>
      <c r="O310" s="17" cm="1">
        <f t="array" ref="O310">(H311-H310)/H310</f>
        <v>0.009770812779843671</v>
      </c>
      <c r="P310" s="8"/>
      <c r="Q310" s="8"/>
    </row>
    <row r="311" ht="13.65" customHeight="1">
      <c r="A311" s="18">
        <v>44727</v>
      </c>
      <c r="B311" t="s" s="13">
        <v>22</v>
      </c>
      <c r="C311" s="14">
        <v>2650</v>
      </c>
      <c r="D311" s="14">
        <v>2683.6</v>
      </c>
      <c r="E311" s="14">
        <v>2627.1</v>
      </c>
      <c r="F311" s="14">
        <v>2635.4</v>
      </c>
      <c r="G311" s="14">
        <v>2660.1</v>
      </c>
      <c r="H311" s="14">
        <v>2661.15</v>
      </c>
      <c r="I311" s="14">
        <v>2653.77</v>
      </c>
      <c r="J311" s="14">
        <v>3590</v>
      </c>
      <c r="K311" s="14">
        <v>2585</v>
      </c>
      <c r="L311" s="15">
        <v>928842</v>
      </c>
      <c r="M311" t="s" s="13">
        <v>6625</v>
      </c>
      <c r="N311" s="15">
        <v>75867</v>
      </c>
      <c r="O311" s="17" cm="1">
        <f t="array" ref="O311">(H312-H311)/H311</f>
        <v>-0.00139037634105556</v>
      </c>
      <c r="P311" s="8"/>
      <c r="Q311" s="8"/>
    </row>
    <row r="312" ht="13.65" customHeight="1">
      <c r="A312" s="18">
        <v>44728</v>
      </c>
      <c r="B312" t="s" s="13">
        <v>22</v>
      </c>
      <c r="C312" s="14">
        <v>2694.95</v>
      </c>
      <c r="D312" s="14">
        <v>2725.45</v>
      </c>
      <c r="E312" s="14">
        <v>2640</v>
      </c>
      <c r="F312" s="14">
        <v>2661.15</v>
      </c>
      <c r="G312" s="14">
        <v>2658</v>
      </c>
      <c r="H312" s="14">
        <v>2657.45</v>
      </c>
      <c r="I312" s="14">
        <v>2666.16</v>
      </c>
      <c r="J312" s="14">
        <v>3590</v>
      </c>
      <c r="K312" s="14">
        <v>2585</v>
      </c>
      <c r="L312" s="15">
        <v>1280628</v>
      </c>
      <c r="M312" t="s" s="13">
        <v>6626</v>
      </c>
      <c r="N312" s="15">
        <v>100224</v>
      </c>
      <c r="O312" s="17" cm="1">
        <f t="array" ref="O312">(H313-H312)/H312</f>
        <v>-0.0290692204933301</v>
      </c>
      <c r="P312" s="8"/>
      <c r="Q312" s="8"/>
    </row>
    <row r="313" ht="13.65" customHeight="1">
      <c r="A313" s="18">
        <v>44729</v>
      </c>
      <c r="B313" t="s" s="13">
        <v>22</v>
      </c>
      <c r="C313" s="14">
        <v>2650.1</v>
      </c>
      <c r="D313" s="14">
        <v>2657</v>
      </c>
      <c r="E313" s="14">
        <v>2560</v>
      </c>
      <c r="F313" s="14">
        <v>2657.45</v>
      </c>
      <c r="G313" s="14">
        <v>2581</v>
      </c>
      <c r="H313" s="14">
        <v>2580.2</v>
      </c>
      <c r="I313" s="14">
        <v>2597.48</v>
      </c>
      <c r="J313" s="14">
        <v>3590</v>
      </c>
      <c r="K313" s="14">
        <v>2560</v>
      </c>
      <c r="L313" s="15">
        <v>2043251</v>
      </c>
      <c r="M313" t="s" s="13">
        <v>6627</v>
      </c>
      <c r="N313" s="15">
        <v>119561</v>
      </c>
      <c r="O313" s="17" cm="1">
        <f t="array" ref="O313">(H314-H313)/H313</f>
        <v>0.0311991318502442</v>
      </c>
      <c r="P313" s="8"/>
      <c r="Q313" s="8"/>
    </row>
    <row r="314" ht="13.65" customHeight="1">
      <c r="A314" s="18">
        <v>44732</v>
      </c>
      <c r="B314" t="s" s="13">
        <v>22</v>
      </c>
      <c r="C314" s="14">
        <v>2600</v>
      </c>
      <c r="D314" s="14">
        <v>2673.35</v>
      </c>
      <c r="E314" s="14">
        <v>2588.35</v>
      </c>
      <c r="F314" s="14">
        <v>2580.2</v>
      </c>
      <c r="G314" s="14">
        <v>2657.95</v>
      </c>
      <c r="H314" s="14">
        <v>2660.7</v>
      </c>
      <c r="I314" s="14">
        <v>2632.35</v>
      </c>
      <c r="J314" s="14">
        <v>3590</v>
      </c>
      <c r="K314" s="14">
        <v>2560</v>
      </c>
      <c r="L314" s="15">
        <v>1595360</v>
      </c>
      <c r="M314" t="s" s="13">
        <v>6628</v>
      </c>
      <c r="N314" s="15">
        <v>123339</v>
      </c>
      <c r="O314" s="17" cm="1">
        <f t="array" ref="O314">(H315-H314)/H314</f>
        <v>0.00663359266358477</v>
      </c>
      <c r="P314" s="8"/>
      <c r="Q314" s="8"/>
    </row>
    <row r="315" ht="13.65" customHeight="1">
      <c r="A315" s="18">
        <v>44733</v>
      </c>
      <c r="B315" t="s" s="13">
        <v>22</v>
      </c>
      <c r="C315" s="14">
        <v>2674.95</v>
      </c>
      <c r="D315" s="14">
        <v>2710</v>
      </c>
      <c r="E315" s="14">
        <v>2640</v>
      </c>
      <c r="F315" s="14">
        <v>2660.7</v>
      </c>
      <c r="G315" s="14">
        <v>2681.85</v>
      </c>
      <c r="H315" s="14">
        <v>2678.35</v>
      </c>
      <c r="I315" s="14">
        <v>2686.22</v>
      </c>
      <c r="J315" s="14">
        <v>3590</v>
      </c>
      <c r="K315" s="14">
        <v>2560</v>
      </c>
      <c r="L315" s="15">
        <v>1042074</v>
      </c>
      <c r="M315" t="s" s="13">
        <v>6629</v>
      </c>
      <c r="N315" s="15">
        <v>66546</v>
      </c>
      <c r="O315" s="17" cm="1">
        <f t="array" ref="O315">(H316-H315)/H315</f>
        <v>-0.00448037037728452</v>
      </c>
      <c r="P315" s="8"/>
      <c r="Q315" s="8"/>
    </row>
    <row r="316" ht="13.65" customHeight="1">
      <c r="A316" s="18">
        <v>44734</v>
      </c>
      <c r="B316" t="s" s="13">
        <v>22</v>
      </c>
      <c r="C316" s="14">
        <v>2688</v>
      </c>
      <c r="D316" s="14">
        <v>2707.95</v>
      </c>
      <c r="E316" s="14">
        <v>2626.35</v>
      </c>
      <c r="F316" s="14">
        <v>2678.35</v>
      </c>
      <c r="G316" s="14">
        <v>2663.95</v>
      </c>
      <c r="H316" s="14">
        <v>2666.35</v>
      </c>
      <c r="I316" s="14">
        <v>2658.54</v>
      </c>
      <c r="J316" s="14">
        <v>3590</v>
      </c>
      <c r="K316" s="14">
        <v>2560</v>
      </c>
      <c r="L316" s="15">
        <v>1871760</v>
      </c>
      <c r="M316" t="s" s="13">
        <v>6630</v>
      </c>
      <c r="N316" s="15">
        <v>88330</v>
      </c>
      <c r="O316" s="17" cm="1">
        <f t="array" ref="O316">(H317-H316)/H316</f>
        <v>0.0344478406810809</v>
      </c>
      <c r="P316" s="8"/>
      <c r="Q316" s="8"/>
    </row>
    <row r="317" ht="13.65" customHeight="1">
      <c r="A317" s="18">
        <v>44735</v>
      </c>
      <c r="B317" t="s" s="13">
        <v>22</v>
      </c>
      <c r="C317" s="14">
        <v>2674.95</v>
      </c>
      <c r="D317" s="14">
        <v>2767.95</v>
      </c>
      <c r="E317" s="14">
        <v>2674.95</v>
      </c>
      <c r="F317" s="14">
        <v>2666.35</v>
      </c>
      <c r="G317" s="14">
        <v>2756</v>
      </c>
      <c r="H317" s="14">
        <v>2758.2</v>
      </c>
      <c r="I317" s="14">
        <v>2732.12</v>
      </c>
      <c r="J317" s="14">
        <v>3590</v>
      </c>
      <c r="K317" s="14">
        <v>2560</v>
      </c>
      <c r="L317" s="15">
        <v>1612872</v>
      </c>
      <c r="M317" t="s" s="13">
        <v>6631</v>
      </c>
      <c r="N317" s="15">
        <v>105175</v>
      </c>
      <c r="O317" s="17" cm="1">
        <f t="array" ref="O317">(H318-H317)/H317</f>
        <v>0.0009788992821405261</v>
      </c>
      <c r="P317" s="8"/>
      <c r="Q317" s="8"/>
    </row>
    <row r="318" ht="13.65" customHeight="1">
      <c r="A318" s="18">
        <v>44736</v>
      </c>
      <c r="B318" t="s" s="13">
        <v>22</v>
      </c>
      <c r="C318" s="14">
        <v>2775</v>
      </c>
      <c r="D318" s="14">
        <v>2784.8</v>
      </c>
      <c r="E318" s="14">
        <v>2726</v>
      </c>
      <c r="F318" s="14">
        <v>2758.2</v>
      </c>
      <c r="G318" s="14">
        <v>2760</v>
      </c>
      <c r="H318" s="14">
        <v>2760.9</v>
      </c>
      <c r="I318" s="14">
        <v>2748.39</v>
      </c>
      <c r="J318" s="14">
        <v>3590</v>
      </c>
      <c r="K318" s="14">
        <v>2560</v>
      </c>
      <c r="L318" s="15">
        <v>2215583</v>
      </c>
      <c r="M318" t="s" s="13">
        <v>6632</v>
      </c>
      <c r="N318" s="15">
        <v>122960</v>
      </c>
      <c r="O318" s="17" cm="1">
        <f t="array" ref="O318">(H319-H318)/H318</f>
        <v>0.0217501539353109</v>
      </c>
      <c r="P318" s="8"/>
      <c r="Q318" s="8"/>
    </row>
    <row r="319" ht="13.65" customHeight="1">
      <c r="A319" s="18">
        <v>44739</v>
      </c>
      <c r="B319" t="s" s="13">
        <v>22</v>
      </c>
      <c r="C319" s="14">
        <v>2779.9</v>
      </c>
      <c r="D319" s="14">
        <v>2827.65</v>
      </c>
      <c r="E319" s="14">
        <v>2765</v>
      </c>
      <c r="F319" s="14">
        <v>2760.9</v>
      </c>
      <c r="G319" s="14">
        <v>2820</v>
      </c>
      <c r="H319" s="14">
        <v>2820.95</v>
      </c>
      <c r="I319" s="14">
        <v>2790.94</v>
      </c>
      <c r="J319" s="14">
        <v>3590</v>
      </c>
      <c r="K319" s="14">
        <v>2560</v>
      </c>
      <c r="L319" s="15">
        <v>1295734</v>
      </c>
      <c r="M319" t="s" s="13">
        <v>6633</v>
      </c>
      <c r="N319" s="15">
        <v>108282</v>
      </c>
      <c r="O319" s="17" cm="1">
        <f t="array" ref="O319">(H320-H319)/H319</f>
        <v>-0.0334816285293961</v>
      </c>
      <c r="P319" s="8"/>
      <c r="Q319" s="8"/>
    </row>
    <row r="320" ht="13.65" customHeight="1">
      <c r="A320" s="18">
        <v>44740</v>
      </c>
      <c r="B320" t="s" s="13">
        <v>22</v>
      </c>
      <c r="C320" s="14">
        <v>2780</v>
      </c>
      <c r="D320" s="14">
        <v>2784.8</v>
      </c>
      <c r="E320" s="14">
        <v>2704.3</v>
      </c>
      <c r="F320" s="14">
        <v>2820.95</v>
      </c>
      <c r="G320" s="14">
        <v>2725</v>
      </c>
      <c r="H320" s="14">
        <v>2726.5</v>
      </c>
      <c r="I320" s="14">
        <v>2726.22</v>
      </c>
      <c r="J320" s="14">
        <v>3590</v>
      </c>
      <c r="K320" s="14">
        <v>2560</v>
      </c>
      <c r="L320" s="15">
        <v>1838358</v>
      </c>
      <c r="M320" t="s" s="13">
        <v>6634</v>
      </c>
      <c r="N320" s="15">
        <v>136469</v>
      </c>
      <c r="O320" s="17" cm="1">
        <f t="array" ref="O320">(H321-H320)/H320</f>
        <v>-0.0105263157894737</v>
      </c>
      <c r="P320" s="8"/>
      <c r="Q320" s="8"/>
    </row>
    <row r="321" ht="13.65" customHeight="1">
      <c r="A321" s="18">
        <v>44741</v>
      </c>
      <c r="B321" t="s" s="13">
        <v>22</v>
      </c>
      <c r="C321" s="14">
        <v>2706.5</v>
      </c>
      <c r="D321" s="14">
        <v>2719</v>
      </c>
      <c r="E321" s="14">
        <v>2678</v>
      </c>
      <c r="F321" s="14">
        <v>2726.5</v>
      </c>
      <c r="G321" s="14">
        <v>2700</v>
      </c>
      <c r="H321" s="14">
        <v>2697.8</v>
      </c>
      <c r="I321" s="14">
        <v>2701.44</v>
      </c>
      <c r="J321" s="14">
        <v>3590</v>
      </c>
      <c r="K321" s="14">
        <v>2560</v>
      </c>
      <c r="L321" s="15">
        <v>1066354</v>
      </c>
      <c r="M321" t="s" s="13">
        <v>6635</v>
      </c>
      <c r="N321" s="15">
        <v>93050</v>
      </c>
      <c r="O321" s="17" cm="1">
        <f t="array" ref="O321">(H322-H321)/H321</f>
        <v>-0.000963748239306101</v>
      </c>
      <c r="P321" s="8"/>
      <c r="Q321" s="8"/>
    </row>
    <row r="322" ht="13.65" customHeight="1">
      <c r="A322" s="18">
        <v>44742</v>
      </c>
      <c r="B322" t="s" s="13">
        <v>22</v>
      </c>
      <c r="C322" s="14">
        <v>2714.85</v>
      </c>
      <c r="D322" s="14">
        <v>2726.95</v>
      </c>
      <c r="E322" s="14">
        <v>2680</v>
      </c>
      <c r="F322" s="14">
        <v>2697.8</v>
      </c>
      <c r="G322" s="14">
        <v>2681</v>
      </c>
      <c r="H322" s="14">
        <v>2695.2</v>
      </c>
      <c r="I322" s="14">
        <v>2701.7</v>
      </c>
      <c r="J322" s="14">
        <v>3590</v>
      </c>
      <c r="K322" s="14">
        <v>2560</v>
      </c>
      <c r="L322" s="15">
        <v>1291447</v>
      </c>
      <c r="M322" t="s" s="13">
        <v>6636</v>
      </c>
      <c r="N322" s="15">
        <v>111640</v>
      </c>
      <c r="O322" s="17" cm="1">
        <f t="array" ref="O322">(H323-H322)/H322</f>
        <v>0.0289217868803799</v>
      </c>
      <c r="P322" s="8"/>
      <c r="Q322" s="8"/>
    </row>
    <row r="323" ht="13.65" customHeight="1">
      <c r="A323" s="12">
        <v>44743</v>
      </c>
      <c r="B323" t="s" s="13">
        <v>22</v>
      </c>
      <c r="C323" s="14">
        <v>2704.9</v>
      </c>
      <c r="D323" s="14">
        <v>2780</v>
      </c>
      <c r="E323" s="14">
        <v>2685</v>
      </c>
      <c r="F323" s="14">
        <v>2695.2</v>
      </c>
      <c r="G323" s="14">
        <v>2769.65</v>
      </c>
      <c r="H323" s="14">
        <v>2773.15</v>
      </c>
      <c r="I323" s="14">
        <v>2745.3</v>
      </c>
      <c r="J323" s="14">
        <v>3590</v>
      </c>
      <c r="K323" s="14">
        <v>2560</v>
      </c>
      <c r="L323" s="15">
        <v>1477191</v>
      </c>
      <c r="M323" t="s" s="13">
        <v>6637</v>
      </c>
      <c r="N323" s="15">
        <v>113126</v>
      </c>
      <c r="O323" s="17" cm="1">
        <f t="array" ref="O323">(H324-H323)/H323</f>
        <v>0.00618430304887943</v>
      </c>
      <c r="P323" s="8"/>
      <c r="Q323" s="8"/>
    </row>
    <row r="324" ht="13.65" customHeight="1">
      <c r="A324" s="12">
        <v>44746</v>
      </c>
      <c r="B324" t="s" s="13">
        <v>22</v>
      </c>
      <c r="C324" s="14">
        <v>2775.15</v>
      </c>
      <c r="D324" s="14">
        <v>2798</v>
      </c>
      <c r="E324" s="14">
        <v>2744.8</v>
      </c>
      <c r="F324" s="14">
        <v>2773.15</v>
      </c>
      <c r="G324" s="14">
        <v>2788</v>
      </c>
      <c r="H324" s="14">
        <v>2790.3</v>
      </c>
      <c r="I324" s="14">
        <v>2774.6</v>
      </c>
      <c r="J324" s="14">
        <v>3590</v>
      </c>
      <c r="K324" s="14">
        <v>2560</v>
      </c>
      <c r="L324" s="15">
        <v>653147</v>
      </c>
      <c r="M324" t="s" s="13">
        <v>6638</v>
      </c>
      <c r="N324" s="15">
        <v>67555</v>
      </c>
      <c r="O324" s="17" cm="1">
        <f t="array" ref="O324">(H325-H324)/H324</f>
        <v>-0.00849371035372541</v>
      </c>
      <c r="P324" s="8"/>
      <c r="Q324" s="8"/>
    </row>
    <row r="325" ht="13.65" customHeight="1">
      <c r="A325" s="12">
        <v>44747</v>
      </c>
      <c r="B325" t="s" s="13">
        <v>22</v>
      </c>
      <c r="C325" s="14">
        <v>2785</v>
      </c>
      <c r="D325" s="14">
        <v>2812.3</v>
      </c>
      <c r="E325" s="14">
        <v>2760</v>
      </c>
      <c r="F325" s="14">
        <v>2790.3</v>
      </c>
      <c r="G325" s="14">
        <v>2768</v>
      </c>
      <c r="H325" s="14">
        <v>2766.6</v>
      </c>
      <c r="I325" s="14">
        <v>2787.64</v>
      </c>
      <c r="J325" s="14">
        <v>3590</v>
      </c>
      <c r="K325" s="14">
        <v>2560</v>
      </c>
      <c r="L325" s="15">
        <v>1073043</v>
      </c>
      <c r="M325" t="s" s="13">
        <v>6639</v>
      </c>
      <c r="N325" s="15">
        <v>100593</v>
      </c>
      <c r="O325" s="17" cm="1">
        <f t="array" ref="O325">(H326-H325)/H325</f>
        <v>0.034265885924962</v>
      </c>
      <c r="P325" s="8"/>
      <c r="Q325" s="8"/>
    </row>
    <row r="326" ht="13.65" customHeight="1">
      <c r="A326" s="12">
        <v>44748</v>
      </c>
      <c r="B326" t="s" s="13">
        <v>22</v>
      </c>
      <c r="C326" s="14">
        <v>2830.55</v>
      </c>
      <c r="D326" s="14">
        <v>2869</v>
      </c>
      <c r="E326" s="14">
        <v>2805.15</v>
      </c>
      <c r="F326" s="14">
        <v>2766.6</v>
      </c>
      <c r="G326" s="14">
        <v>2867</v>
      </c>
      <c r="H326" s="14">
        <v>2861.4</v>
      </c>
      <c r="I326" s="14">
        <v>2843.76</v>
      </c>
      <c r="J326" s="14">
        <v>3590</v>
      </c>
      <c r="K326" s="14">
        <v>2560</v>
      </c>
      <c r="L326" s="15">
        <v>2085735</v>
      </c>
      <c r="M326" t="s" s="13">
        <v>6640</v>
      </c>
      <c r="N326" s="15">
        <v>131483</v>
      </c>
      <c r="O326" s="17" cm="1">
        <f t="array" ref="O326">(H327-H326)/H326</f>
        <v>0.0104843782763682</v>
      </c>
      <c r="P326" s="8"/>
      <c r="Q326" s="8"/>
    </row>
    <row r="327" ht="13.65" customHeight="1">
      <c r="A327" s="12">
        <v>44749</v>
      </c>
      <c r="B327" t="s" s="13">
        <v>22</v>
      </c>
      <c r="C327" s="14">
        <v>2901.4</v>
      </c>
      <c r="D327" s="14">
        <v>2932</v>
      </c>
      <c r="E327" s="14">
        <v>2876.8</v>
      </c>
      <c r="F327" s="14">
        <v>2861.4</v>
      </c>
      <c r="G327" s="14">
        <v>2880</v>
      </c>
      <c r="H327" s="14">
        <v>2891.4</v>
      </c>
      <c r="I327" s="14">
        <v>2908.24</v>
      </c>
      <c r="J327" s="14">
        <v>3590</v>
      </c>
      <c r="K327" s="14">
        <v>2560</v>
      </c>
      <c r="L327" s="15">
        <v>1469087</v>
      </c>
      <c r="M327" t="s" s="13">
        <v>6641</v>
      </c>
      <c r="N327" s="15">
        <v>86872</v>
      </c>
      <c r="O327" s="17" cm="1">
        <f t="array" ref="O327">(H328-H327)/H327</f>
        <v>-0.00401189735076434</v>
      </c>
      <c r="P327" s="8"/>
      <c r="Q327" s="8"/>
    </row>
    <row r="328" ht="13.65" customHeight="1">
      <c r="A328" s="12">
        <v>44750</v>
      </c>
      <c r="B328" t="s" s="13">
        <v>22</v>
      </c>
      <c r="C328" s="14">
        <v>2880</v>
      </c>
      <c r="D328" s="14">
        <v>2888</v>
      </c>
      <c r="E328" s="14">
        <v>2840.5</v>
      </c>
      <c r="F328" s="14">
        <v>2891.4</v>
      </c>
      <c r="G328" s="14">
        <v>2880</v>
      </c>
      <c r="H328" s="14">
        <v>2879.8</v>
      </c>
      <c r="I328" s="14">
        <v>2863.18</v>
      </c>
      <c r="J328" s="14">
        <v>3590</v>
      </c>
      <c r="K328" s="14">
        <v>2560</v>
      </c>
      <c r="L328" s="15">
        <v>1274148</v>
      </c>
      <c r="M328" t="s" s="13">
        <v>6642</v>
      </c>
      <c r="N328" s="15">
        <v>70044</v>
      </c>
      <c r="O328" s="17" cm="1">
        <f t="array" ref="O328">(H329-H328)/H328</f>
        <v>0.0184908674213487</v>
      </c>
      <c r="P328" s="8"/>
      <c r="Q328" s="8"/>
    </row>
    <row r="329" ht="13.65" customHeight="1">
      <c r="A329" s="18">
        <v>44753</v>
      </c>
      <c r="B329" t="s" s="13">
        <v>22</v>
      </c>
      <c r="C329" s="14">
        <v>2874</v>
      </c>
      <c r="D329" s="14">
        <v>2940.55</v>
      </c>
      <c r="E329" s="14">
        <v>2851.35</v>
      </c>
      <c r="F329" s="14">
        <v>2879.8</v>
      </c>
      <c r="G329" s="14">
        <v>2926</v>
      </c>
      <c r="H329" s="14">
        <v>2933.05</v>
      </c>
      <c r="I329" s="14">
        <v>2906.61</v>
      </c>
      <c r="J329" s="14">
        <v>3590</v>
      </c>
      <c r="K329" s="14">
        <v>2560</v>
      </c>
      <c r="L329" s="15">
        <v>1081885</v>
      </c>
      <c r="M329" t="s" s="13">
        <v>6643</v>
      </c>
      <c r="N329" s="15">
        <v>54631</v>
      </c>
      <c r="O329" s="17" cm="1">
        <f t="array" ref="O329">(H330-H329)/H329</f>
        <v>-0.0135865396089395</v>
      </c>
      <c r="P329" s="8"/>
      <c r="Q329" s="8"/>
    </row>
    <row r="330" ht="13.65" customHeight="1">
      <c r="A330" s="18">
        <v>44754</v>
      </c>
      <c r="B330" t="s" s="13">
        <v>22</v>
      </c>
      <c r="C330" s="14">
        <v>2920</v>
      </c>
      <c r="D330" s="14">
        <v>2923.25</v>
      </c>
      <c r="E330" s="14">
        <v>2885.4</v>
      </c>
      <c r="F330" s="14">
        <v>2933.05</v>
      </c>
      <c r="G330" s="14">
        <v>2887.35</v>
      </c>
      <c r="H330" s="14">
        <v>2893.2</v>
      </c>
      <c r="I330" s="14">
        <v>2900.02</v>
      </c>
      <c r="J330" s="14">
        <v>3590</v>
      </c>
      <c r="K330" s="14">
        <v>2560</v>
      </c>
      <c r="L330" s="15">
        <v>1115524</v>
      </c>
      <c r="M330" t="s" s="13">
        <v>6644</v>
      </c>
      <c r="N330" s="15">
        <v>53192</v>
      </c>
      <c r="O330" s="17" cm="1">
        <f t="array" ref="O330">(H331-H330)/H330</f>
        <v>0.0165906262961427</v>
      </c>
      <c r="P330" s="8"/>
      <c r="Q330" s="8"/>
    </row>
    <row r="331" ht="13.65" customHeight="1">
      <c r="A331" s="18">
        <v>44755</v>
      </c>
      <c r="B331" t="s" s="13">
        <v>22</v>
      </c>
      <c r="C331" s="14">
        <v>2949</v>
      </c>
      <c r="D331" s="14">
        <v>2968.95</v>
      </c>
      <c r="E331" s="14">
        <v>2926.05</v>
      </c>
      <c r="F331" s="14">
        <v>2893.2</v>
      </c>
      <c r="G331" s="14">
        <v>2940</v>
      </c>
      <c r="H331" s="14">
        <v>2941.2</v>
      </c>
      <c r="I331" s="14">
        <v>2942.25</v>
      </c>
      <c r="J331" s="14">
        <v>3590</v>
      </c>
      <c r="K331" s="14">
        <v>2560</v>
      </c>
      <c r="L331" s="15">
        <v>2153712</v>
      </c>
      <c r="M331" t="s" s="13">
        <v>6645</v>
      </c>
      <c r="N331" s="15">
        <v>110707</v>
      </c>
      <c r="O331" s="17" cm="1">
        <f t="array" ref="O331">(H332-H331)/H331</f>
        <v>-0.000696994424044608</v>
      </c>
      <c r="P331" s="8"/>
      <c r="Q331" s="8"/>
    </row>
    <row r="332" ht="13.65" customHeight="1">
      <c r="A332" s="18">
        <v>44756</v>
      </c>
      <c r="B332" t="s" s="13">
        <v>22</v>
      </c>
      <c r="C332" s="14">
        <v>2952.1</v>
      </c>
      <c r="D332" s="14">
        <v>2954.85</v>
      </c>
      <c r="E332" s="14">
        <v>2912.4</v>
      </c>
      <c r="F332" s="14">
        <v>2941.2</v>
      </c>
      <c r="G332" s="14">
        <v>2945.4</v>
      </c>
      <c r="H332" s="14">
        <v>2939.15</v>
      </c>
      <c r="I332" s="14">
        <v>2937.46</v>
      </c>
      <c r="J332" s="14">
        <v>3590</v>
      </c>
      <c r="K332" s="14">
        <v>2560</v>
      </c>
      <c r="L332" s="15">
        <v>882479</v>
      </c>
      <c r="M332" t="s" s="13">
        <v>6646</v>
      </c>
      <c r="N332" s="15">
        <v>55556</v>
      </c>
      <c r="O332" s="17" cm="1">
        <f t="array" ref="O332">(H333-H332)/H332</f>
        <v>0.0132691424391406</v>
      </c>
      <c r="P332" s="8"/>
      <c r="Q332" s="8"/>
    </row>
    <row r="333" ht="13.65" customHeight="1">
      <c r="A333" s="18">
        <v>44757</v>
      </c>
      <c r="B333" t="s" s="13">
        <v>22</v>
      </c>
      <c r="C333" s="14">
        <v>2949.95</v>
      </c>
      <c r="D333" s="14">
        <v>2985</v>
      </c>
      <c r="E333" s="14">
        <v>2940.45</v>
      </c>
      <c r="F333" s="14">
        <v>2939.15</v>
      </c>
      <c r="G333" s="14">
        <v>2978.4</v>
      </c>
      <c r="H333" s="14">
        <v>2978.15</v>
      </c>
      <c r="I333" s="14">
        <v>2970.19</v>
      </c>
      <c r="J333" s="14">
        <v>3590</v>
      </c>
      <c r="K333" s="14">
        <v>2560</v>
      </c>
      <c r="L333" s="15">
        <v>1668006</v>
      </c>
      <c r="M333" t="s" s="13">
        <v>6647</v>
      </c>
      <c r="N333" s="15">
        <v>49293</v>
      </c>
      <c r="O333" s="17" cm="1">
        <f t="array" ref="O333">(H334-H333)/H333</f>
        <v>0.0133304232493326</v>
      </c>
      <c r="P333" s="8"/>
      <c r="Q333" s="8"/>
    </row>
    <row r="334" ht="13.65" customHeight="1">
      <c r="A334" s="18">
        <v>44760</v>
      </c>
      <c r="B334" t="s" s="13">
        <v>22</v>
      </c>
      <c r="C334" s="14">
        <v>2994.75</v>
      </c>
      <c r="D334" s="14">
        <v>3025</v>
      </c>
      <c r="E334" s="14">
        <v>2988.4</v>
      </c>
      <c r="F334" s="14">
        <v>2978.15</v>
      </c>
      <c r="G334" s="14">
        <v>3010</v>
      </c>
      <c r="H334" s="14">
        <v>3017.85</v>
      </c>
      <c r="I334" s="14">
        <v>3011.65</v>
      </c>
      <c r="J334" s="14">
        <v>3590</v>
      </c>
      <c r="K334" s="14">
        <v>2560</v>
      </c>
      <c r="L334" s="15">
        <v>823390</v>
      </c>
      <c r="M334" t="s" s="13">
        <v>6648</v>
      </c>
      <c r="N334" s="15">
        <v>43637</v>
      </c>
      <c r="O334" s="17" cm="1">
        <f t="array" ref="O334">(H335-H334)/H334</f>
        <v>0.000414202163792104</v>
      </c>
      <c r="P334" s="8"/>
      <c r="Q334" s="8"/>
    </row>
    <row r="335" ht="13.65" customHeight="1">
      <c r="A335" s="18">
        <v>44761</v>
      </c>
      <c r="B335" t="s" s="13">
        <v>22</v>
      </c>
      <c r="C335" s="14">
        <v>2983.45</v>
      </c>
      <c r="D335" s="14">
        <v>3023</v>
      </c>
      <c r="E335" s="14">
        <v>2978.15</v>
      </c>
      <c r="F335" s="14">
        <v>3017.85</v>
      </c>
      <c r="G335" s="14">
        <v>3013.9</v>
      </c>
      <c r="H335" s="14">
        <v>3019.1</v>
      </c>
      <c r="I335" s="14">
        <v>3005.94</v>
      </c>
      <c r="J335" s="14">
        <v>3590</v>
      </c>
      <c r="K335" s="14">
        <v>2560</v>
      </c>
      <c r="L335" s="15">
        <v>638171</v>
      </c>
      <c r="M335" t="s" s="13">
        <v>6649</v>
      </c>
      <c r="N335" s="15">
        <v>37006</v>
      </c>
      <c r="O335" s="17" cm="1">
        <f t="array" ref="O335">(H336-H335)/H335</f>
        <v>-0.00418999039448842</v>
      </c>
      <c r="P335" s="8"/>
      <c r="Q335" s="8"/>
    </row>
    <row r="336" ht="13.65" customHeight="1">
      <c r="A336" s="18">
        <v>44762</v>
      </c>
      <c r="B336" t="s" s="13">
        <v>22</v>
      </c>
      <c r="C336" s="14">
        <v>3033</v>
      </c>
      <c r="D336" s="14">
        <v>3044.7</v>
      </c>
      <c r="E336" s="14">
        <v>3000</v>
      </c>
      <c r="F336" s="14">
        <v>3019.1</v>
      </c>
      <c r="G336" s="14">
        <v>3002</v>
      </c>
      <c r="H336" s="14">
        <v>3006.45</v>
      </c>
      <c r="I336" s="14">
        <v>3024.25</v>
      </c>
      <c r="J336" s="14">
        <v>3590</v>
      </c>
      <c r="K336" s="14">
        <v>2560</v>
      </c>
      <c r="L336" s="15">
        <v>867436</v>
      </c>
      <c r="M336" t="s" s="13">
        <v>6650</v>
      </c>
      <c r="N336" s="15">
        <v>67334</v>
      </c>
      <c r="O336" s="17" cm="1">
        <f t="array" ref="O336">(H337-H336)/H336</f>
        <v>0.0198406758801909</v>
      </c>
      <c r="P336" s="8"/>
      <c r="Q336" s="8"/>
    </row>
    <row r="337" ht="13.65" customHeight="1">
      <c r="A337" s="18">
        <v>44763</v>
      </c>
      <c r="B337" t="s" s="13">
        <v>22</v>
      </c>
      <c r="C337" s="14">
        <v>2981</v>
      </c>
      <c r="D337" s="14">
        <v>3084.95</v>
      </c>
      <c r="E337" s="14">
        <v>2981</v>
      </c>
      <c r="F337" s="14">
        <v>3006.45</v>
      </c>
      <c r="G337" s="14">
        <v>3076.45</v>
      </c>
      <c r="H337" s="14">
        <v>3066.1</v>
      </c>
      <c r="I337" s="14">
        <v>3039.37</v>
      </c>
      <c r="J337" s="14">
        <v>3590</v>
      </c>
      <c r="K337" s="14">
        <v>2560</v>
      </c>
      <c r="L337" s="15">
        <v>1184060</v>
      </c>
      <c r="M337" t="s" s="13">
        <v>6651</v>
      </c>
      <c r="N337" s="15">
        <v>109235</v>
      </c>
      <c r="O337" s="17" cm="1">
        <f t="array" ref="O337">(H338-H337)/H337</f>
        <v>0.000423991389713317</v>
      </c>
      <c r="P337" s="8"/>
      <c r="Q337" s="8"/>
    </row>
    <row r="338" ht="13.65" customHeight="1">
      <c r="A338" s="18">
        <v>44764</v>
      </c>
      <c r="B338" t="s" s="13">
        <v>22</v>
      </c>
      <c r="C338" s="14">
        <v>3066.1</v>
      </c>
      <c r="D338" s="14">
        <v>3092.75</v>
      </c>
      <c r="E338" s="14">
        <v>3048</v>
      </c>
      <c r="F338" s="14">
        <v>3066.1</v>
      </c>
      <c r="G338" s="14">
        <v>3068</v>
      </c>
      <c r="H338" s="14">
        <v>3067.4</v>
      </c>
      <c r="I338" s="14">
        <v>3067.89</v>
      </c>
      <c r="J338" s="14">
        <v>3590</v>
      </c>
      <c r="K338" s="14">
        <v>2560</v>
      </c>
      <c r="L338" s="15">
        <v>1268141</v>
      </c>
      <c r="M338" t="s" s="13">
        <v>6652</v>
      </c>
      <c r="N338" s="15">
        <v>70760</v>
      </c>
      <c r="O338" s="17" cm="1">
        <f t="array" ref="O338">(H339-H338)/H338</f>
        <v>0.0122416378692052</v>
      </c>
      <c r="P338" s="8"/>
      <c r="Q338" s="8"/>
    </row>
    <row r="339" ht="13.65" customHeight="1">
      <c r="A339" s="18">
        <v>44767</v>
      </c>
      <c r="B339" t="s" s="13">
        <v>22</v>
      </c>
      <c r="C339" s="14">
        <v>3069.5</v>
      </c>
      <c r="D339" s="14">
        <v>3117.2</v>
      </c>
      <c r="E339" s="14">
        <v>3051.65</v>
      </c>
      <c r="F339" s="14">
        <v>3067.4</v>
      </c>
      <c r="G339" s="14">
        <v>3108</v>
      </c>
      <c r="H339" s="14">
        <v>3104.95</v>
      </c>
      <c r="I339" s="14">
        <v>3089.68</v>
      </c>
      <c r="J339" s="14">
        <v>3590</v>
      </c>
      <c r="K339" s="14">
        <v>2560</v>
      </c>
      <c r="L339" s="15">
        <v>985844</v>
      </c>
      <c r="M339" t="s" s="13">
        <v>6653</v>
      </c>
      <c r="N339" s="15">
        <v>80720</v>
      </c>
      <c r="O339" s="17" cm="1">
        <f t="array" ref="O339">(H340-H339)/H339</f>
        <v>0.00114333564147571</v>
      </c>
      <c r="P339" s="8"/>
      <c r="Q339" s="8"/>
    </row>
    <row r="340" ht="13.65" customHeight="1">
      <c r="A340" s="18">
        <v>44768</v>
      </c>
      <c r="B340" t="s" s="13">
        <v>22</v>
      </c>
      <c r="C340" s="14">
        <v>3096</v>
      </c>
      <c r="D340" s="14">
        <v>3149.8</v>
      </c>
      <c r="E340" s="14">
        <v>3053</v>
      </c>
      <c r="F340" s="14">
        <v>3104.95</v>
      </c>
      <c r="G340" s="14">
        <v>3105</v>
      </c>
      <c r="H340" s="14">
        <v>3108.5</v>
      </c>
      <c r="I340" s="14">
        <v>3106.7</v>
      </c>
      <c r="J340" s="14">
        <v>3590</v>
      </c>
      <c r="K340" s="14">
        <v>2560</v>
      </c>
      <c r="L340" s="15">
        <v>2876310</v>
      </c>
      <c r="M340" t="s" s="13">
        <v>6654</v>
      </c>
      <c r="N340" s="15">
        <v>141339</v>
      </c>
      <c r="O340" s="17" cm="1">
        <f t="array" ref="O340">(H341-H340)/H340</f>
        <v>0.0249477239826283</v>
      </c>
      <c r="P340" s="8"/>
      <c r="Q340" s="8"/>
    </row>
    <row r="341" ht="13.65" customHeight="1">
      <c r="A341" s="18">
        <v>44769</v>
      </c>
      <c r="B341" t="s" s="13">
        <v>22</v>
      </c>
      <c r="C341" s="14">
        <v>3118.95</v>
      </c>
      <c r="D341" s="14">
        <v>3193</v>
      </c>
      <c r="E341" s="14">
        <v>3096</v>
      </c>
      <c r="F341" s="14">
        <v>3108.5</v>
      </c>
      <c r="G341" s="14">
        <v>3178</v>
      </c>
      <c r="H341" s="14">
        <v>3186.05</v>
      </c>
      <c r="I341" s="14">
        <v>3147.66</v>
      </c>
      <c r="J341" s="14">
        <v>3590</v>
      </c>
      <c r="K341" s="14">
        <v>2560</v>
      </c>
      <c r="L341" s="15">
        <v>1976407</v>
      </c>
      <c r="M341" t="s" s="13">
        <v>6655</v>
      </c>
      <c r="N341" s="15">
        <v>122328</v>
      </c>
      <c r="O341" s="17" cm="1">
        <f t="array" ref="O341">(H342-H341)/H341</f>
        <v>0.027102525070228</v>
      </c>
      <c r="P341" s="8"/>
      <c r="Q341" s="8"/>
    </row>
    <row r="342" ht="13.65" customHeight="1">
      <c r="A342" s="18">
        <v>44770</v>
      </c>
      <c r="B342" t="s" s="13">
        <v>22</v>
      </c>
      <c r="C342" s="14">
        <v>3198</v>
      </c>
      <c r="D342" s="14">
        <v>3280</v>
      </c>
      <c r="E342" s="14">
        <v>3182</v>
      </c>
      <c r="F342" s="14">
        <v>3186.05</v>
      </c>
      <c r="G342" s="14">
        <v>3269.3</v>
      </c>
      <c r="H342" s="14">
        <v>3272.4</v>
      </c>
      <c r="I342" s="14">
        <v>3246.55</v>
      </c>
      <c r="J342" s="14">
        <v>3590</v>
      </c>
      <c r="K342" s="14">
        <v>2560</v>
      </c>
      <c r="L342" s="15">
        <v>1332572</v>
      </c>
      <c r="M342" t="s" s="13">
        <v>6656</v>
      </c>
      <c r="N342" s="15">
        <v>102583</v>
      </c>
      <c r="O342" s="17" cm="1">
        <f t="array" ref="O342">(H343-H342)/H342</f>
        <v>0.0187477081041437</v>
      </c>
      <c r="P342" s="8"/>
      <c r="Q342" s="8"/>
    </row>
    <row r="343" ht="13.65" customHeight="1">
      <c r="A343" s="18">
        <v>44771</v>
      </c>
      <c r="B343" t="s" s="13">
        <v>22</v>
      </c>
      <c r="C343" s="14">
        <v>3285.4</v>
      </c>
      <c r="D343" s="14">
        <v>3354.35</v>
      </c>
      <c r="E343" s="14">
        <v>3275</v>
      </c>
      <c r="F343" s="14">
        <v>3272.4</v>
      </c>
      <c r="G343" s="14">
        <v>3331.95</v>
      </c>
      <c r="H343" s="14">
        <v>3333.75</v>
      </c>
      <c r="I343" s="14">
        <v>3322.43</v>
      </c>
      <c r="J343" s="14">
        <v>3590</v>
      </c>
      <c r="K343" s="14">
        <v>2560</v>
      </c>
      <c r="L343" s="15">
        <v>1836550</v>
      </c>
      <c r="M343" t="s" s="13">
        <v>6657</v>
      </c>
      <c r="N343" s="15">
        <v>118525</v>
      </c>
      <c r="O343" s="17" cm="1">
        <f t="array" ref="O343">(H344-H343)/H343</f>
        <v>-0.00275965504311961</v>
      </c>
      <c r="P343" s="8"/>
      <c r="Q343" s="8"/>
    </row>
    <row r="344" ht="13.65" customHeight="1">
      <c r="A344" s="12">
        <v>44774</v>
      </c>
      <c r="B344" t="s" s="13">
        <v>22</v>
      </c>
      <c r="C344" s="14">
        <v>3340.05</v>
      </c>
      <c r="D344" s="14">
        <v>3355</v>
      </c>
      <c r="E344" s="14">
        <v>3314.5</v>
      </c>
      <c r="F344" s="14">
        <v>3333.75</v>
      </c>
      <c r="G344" s="14">
        <v>3325</v>
      </c>
      <c r="H344" s="14">
        <v>3324.55</v>
      </c>
      <c r="I344" s="14">
        <v>3331.15</v>
      </c>
      <c r="J344" s="14">
        <v>3590</v>
      </c>
      <c r="K344" s="14">
        <v>2560</v>
      </c>
      <c r="L344" s="15">
        <v>1076122</v>
      </c>
      <c r="M344" t="s" s="13">
        <v>6658</v>
      </c>
      <c r="N344" s="15">
        <v>69795</v>
      </c>
      <c r="O344" s="17" cm="1">
        <f t="array" ref="O344">(H345-H344)/H344</f>
        <v>0.0215367493344964</v>
      </c>
      <c r="P344" s="8"/>
      <c r="Q344" s="8"/>
    </row>
    <row r="345" ht="13.65" customHeight="1">
      <c r="A345" s="12">
        <v>44775</v>
      </c>
      <c r="B345" t="s" s="13">
        <v>22</v>
      </c>
      <c r="C345" s="14">
        <v>3331</v>
      </c>
      <c r="D345" s="14">
        <v>3404.75</v>
      </c>
      <c r="E345" s="14">
        <v>3325.6</v>
      </c>
      <c r="F345" s="14">
        <v>3324.55</v>
      </c>
      <c r="G345" s="14">
        <v>3388</v>
      </c>
      <c r="H345" s="14">
        <v>3396.15</v>
      </c>
      <c r="I345" s="14">
        <v>3372.26</v>
      </c>
      <c r="J345" s="14">
        <v>3590</v>
      </c>
      <c r="K345" s="14">
        <v>2560</v>
      </c>
      <c r="L345" s="15">
        <v>1650536</v>
      </c>
      <c r="M345" t="s" s="13">
        <v>6659</v>
      </c>
      <c r="N345" s="15">
        <v>108432</v>
      </c>
      <c r="O345" s="17" cm="1">
        <f t="array" ref="O345">(H346-H345)/H345</f>
        <v>0.0128086215273177</v>
      </c>
      <c r="P345" s="8"/>
      <c r="Q345" s="8"/>
    </row>
    <row r="346" ht="13.65" customHeight="1">
      <c r="A346" s="12">
        <v>44776</v>
      </c>
      <c r="B346" t="s" s="13">
        <v>22</v>
      </c>
      <c r="C346" s="14">
        <v>3404</v>
      </c>
      <c r="D346" s="14">
        <v>3448</v>
      </c>
      <c r="E346" s="14">
        <v>3371.25</v>
      </c>
      <c r="F346" s="14">
        <v>3396.15</v>
      </c>
      <c r="G346" s="14">
        <v>3442.4</v>
      </c>
      <c r="H346" s="14">
        <v>3439.65</v>
      </c>
      <c r="I346" s="14">
        <v>3411.21</v>
      </c>
      <c r="J346" s="14">
        <v>3590</v>
      </c>
      <c r="K346" s="14">
        <v>2560</v>
      </c>
      <c r="L346" s="15">
        <v>1169005</v>
      </c>
      <c r="M346" t="s" s="13">
        <v>6660</v>
      </c>
      <c r="N346" s="15">
        <v>85592</v>
      </c>
      <c r="O346" s="17" cm="1">
        <f t="array" ref="O346">(H347-H346)/H346</f>
        <v>0.00606166325062143</v>
      </c>
      <c r="P346" s="8"/>
      <c r="Q346" s="8"/>
    </row>
    <row r="347" ht="13.65" customHeight="1">
      <c r="A347" s="12">
        <v>44777</v>
      </c>
      <c r="B347" t="s" s="13">
        <v>22</v>
      </c>
      <c r="C347" s="14">
        <v>3455</v>
      </c>
      <c r="D347" s="14">
        <v>3476.95</v>
      </c>
      <c r="E347" s="14">
        <v>3410.9</v>
      </c>
      <c r="F347" s="14">
        <v>3439.65</v>
      </c>
      <c r="G347" s="14">
        <v>3455.65</v>
      </c>
      <c r="H347" s="14">
        <v>3460.5</v>
      </c>
      <c r="I347" s="14">
        <v>3452.45</v>
      </c>
      <c r="J347" s="14">
        <v>3590</v>
      </c>
      <c r="K347" s="14">
        <v>2560</v>
      </c>
      <c r="L347" s="15">
        <v>981434</v>
      </c>
      <c r="M347" t="s" s="13">
        <v>6661</v>
      </c>
      <c r="N347" s="15">
        <v>78592</v>
      </c>
      <c r="O347" s="17" cm="1">
        <f t="array" ref="O347">(H348-H347)/H347</f>
        <v>0.003872272792949</v>
      </c>
      <c r="P347" s="8"/>
      <c r="Q347" s="8"/>
    </row>
    <row r="348" ht="13.65" customHeight="1">
      <c r="A348" s="12">
        <v>44778</v>
      </c>
      <c r="B348" t="s" s="13">
        <v>22</v>
      </c>
      <c r="C348" s="14">
        <v>3475</v>
      </c>
      <c r="D348" s="14">
        <v>3491.95</v>
      </c>
      <c r="E348" s="14">
        <v>3451.55</v>
      </c>
      <c r="F348" s="14">
        <v>3460.5</v>
      </c>
      <c r="G348" s="14">
        <v>3464.15</v>
      </c>
      <c r="H348" s="14">
        <v>3473.9</v>
      </c>
      <c r="I348" s="14">
        <v>3474.92</v>
      </c>
      <c r="J348" s="14">
        <v>3590</v>
      </c>
      <c r="K348" s="14">
        <v>2560</v>
      </c>
      <c r="L348" s="15">
        <v>792478</v>
      </c>
      <c r="M348" t="s" s="13">
        <v>6662</v>
      </c>
      <c r="N348" s="15">
        <v>61346</v>
      </c>
      <c r="O348" s="17" cm="1">
        <f t="array" ref="O348">(H349-H348)/H348</f>
        <v>-0.00444745099168082</v>
      </c>
      <c r="P348" s="8"/>
      <c r="Q348" s="8"/>
    </row>
    <row r="349" ht="13.65" customHeight="1">
      <c r="A349" s="12">
        <v>44781</v>
      </c>
      <c r="B349" t="s" s="13">
        <v>22</v>
      </c>
      <c r="C349" s="14">
        <v>3465</v>
      </c>
      <c r="D349" s="14">
        <v>3476.95</v>
      </c>
      <c r="E349" s="14">
        <v>3436.55</v>
      </c>
      <c r="F349" s="14">
        <v>3473.9</v>
      </c>
      <c r="G349" s="14">
        <v>3461.1</v>
      </c>
      <c r="H349" s="14">
        <v>3458.45</v>
      </c>
      <c r="I349" s="14">
        <v>3453.96</v>
      </c>
      <c r="J349" s="14">
        <v>3590</v>
      </c>
      <c r="K349" s="14">
        <v>2560</v>
      </c>
      <c r="L349" s="15">
        <v>724644</v>
      </c>
      <c r="M349" t="s" s="13">
        <v>6663</v>
      </c>
      <c r="N349" s="15">
        <v>58094</v>
      </c>
      <c r="O349" s="17" cm="1">
        <f t="array" ref="O349">(H350-H349)/H349</f>
        <v>-0.0135320736167937</v>
      </c>
      <c r="P349" s="8"/>
      <c r="Q349" s="8"/>
    </row>
    <row r="350" ht="13.65" customHeight="1">
      <c r="A350" s="18">
        <v>44783</v>
      </c>
      <c r="B350" t="s" s="13">
        <v>22</v>
      </c>
      <c r="C350" s="14">
        <v>3441</v>
      </c>
      <c r="D350" s="14">
        <v>3449.85</v>
      </c>
      <c r="E350" s="14">
        <v>3396</v>
      </c>
      <c r="F350" s="14">
        <v>3458.45</v>
      </c>
      <c r="G350" s="14">
        <v>3413</v>
      </c>
      <c r="H350" s="14">
        <v>3411.65</v>
      </c>
      <c r="I350" s="14">
        <v>3415.29</v>
      </c>
      <c r="J350" s="14">
        <v>3590</v>
      </c>
      <c r="K350" s="14">
        <v>2560</v>
      </c>
      <c r="L350" s="15">
        <v>1089295</v>
      </c>
      <c r="M350" t="s" s="13">
        <v>6664</v>
      </c>
      <c r="N350" s="15">
        <v>80196</v>
      </c>
      <c r="O350" s="17" cm="1">
        <f t="array" ref="O350">(H351-H350)/H350</f>
        <v>-0.00189058080400979</v>
      </c>
      <c r="P350" s="8"/>
      <c r="Q350" s="8"/>
    </row>
    <row r="351" ht="13.65" customHeight="1">
      <c r="A351" s="18">
        <v>44784</v>
      </c>
      <c r="B351" t="s" s="13">
        <v>22</v>
      </c>
      <c r="C351" s="14">
        <v>3450</v>
      </c>
      <c r="D351" s="14">
        <v>3477.95</v>
      </c>
      <c r="E351" s="14">
        <v>3390</v>
      </c>
      <c r="F351" s="14">
        <v>3411.65</v>
      </c>
      <c r="G351" s="14">
        <v>3406.4</v>
      </c>
      <c r="H351" s="14">
        <v>3405.2</v>
      </c>
      <c r="I351" s="14">
        <v>3432.02</v>
      </c>
      <c r="J351" s="14">
        <v>3590</v>
      </c>
      <c r="K351" s="14">
        <v>2560</v>
      </c>
      <c r="L351" s="15">
        <v>1410533</v>
      </c>
      <c r="M351" t="s" s="13">
        <v>6665</v>
      </c>
      <c r="N351" s="15">
        <v>89028</v>
      </c>
      <c r="O351" s="17" cm="1">
        <f t="array" ref="O351">(H352-H351)/H351</f>
        <v>0.00665159168330788</v>
      </c>
      <c r="P351" s="8"/>
      <c r="Q351" s="8"/>
    </row>
    <row r="352" ht="13.65" customHeight="1">
      <c r="A352" s="18">
        <v>44785</v>
      </c>
      <c r="B352" t="s" s="13">
        <v>22</v>
      </c>
      <c r="C352" s="14">
        <v>3399</v>
      </c>
      <c r="D352" s="14">
        <v>3434.8</v>
      </c>
      <c r="E352" s="14">
        <v>3383</v>
      </c>
      <c r="F352" s="14">
        <v>3405.2</v>
      </c>
      <c r="G352" s="14">
        <v>3426.25</v>
      </c>
      <c r="H352" s="14">
        <v>3427.85</v>
      </c>
      <c r="I352" s="14">
        <v>3412.08</v>
      </c>
      <c r="J352" s="14">
        <v>3590</v>
      </c>
      <c r="K352" s="14">
        <v>2560</v>
      </c>
      <c r="L352" s="15">
        <v>548472</v>
      </c>
      <c r="M352" t="s" s="13">
        <v>6666</v>
      </c>
      <c r="N352" s="15">
        <v>50401</v>
      </c>
      <c r="O352" s="17" cm="1">
        <f t="array" ref="O352">(H353-H352)/H352</f>
        <v>0.0213399069387517</v>
      </c>
      <c r="P352" s="8"/>
      <c r="Q352" s="8"/>
    </row>
    <row r="353" ht="13.65" customHeight="1">
      <c r="A353" s="18">
        <v>44789</v>
      </c>
      <c r="B353" t="s" s="13">
        <v>22</v>
      </c>
      <c r="C353" s="14">
        <v>3470</v>
      </c>
      <c r="D353" s="14">
        <v>3509.45</v>
      </c>
      <c r="E353" s="14">
        <v>3455.3</v>
      </c>
      <c r="F353" s="14">
        <v>3427.85</v>
      </c>
      <c r="G353" s="14">
        <v>3502</v>
      </c>
      <c r="H353" s="14">
        <v>3501</v>
      </c>
      <c r="I353" s="14">
        <v>3491.77</v>
      </c>
      <c r="J353" s="14">
        <v>3590</v>
      </c>
      <c r="K353" s="14">
        <v>2560</v>
      </c>
      <c r="L353" s="15">
        <v>911189</v>
      </c>
      <c r="M353" t="s" s="13">
        <v>6667</v>
      </c>
      <c r="N353" s="15">
        <v>60840</v>
      </c>
      <c r="O353" s="17" cm="1">
        <f t="array" ref="O353">(H354-H353)/H353</f>
        <v>0.00648386175378463</v>
      </c>
      <c r="P353" s="8"/>
      <c r="Q353" s="8"/>
    </row>
    <row r="354" ht="13.65" customHeight="1">
      <c r="A354" s="18">
        <v>44790</v>
      </c>
      <c r="B354" t="s" s="13">
        <v>22</v>
      </c>
      <c r="C354" s="14">
        <v>3517.95</v>
      </c>
      <c r="D354" s="14">
        <v>3545.65</v>
      </c>
      <c r="E354" s="14">
        <v>3504.6</v>
      </c>
      <c r="F354" s="14">
        <v>3501</v>
      </c>
      <c r="G354" s="14">
        <v>3516.45</v>
      </c>
      <c r="H354" s="14">
        <v>3523.7</v>
      </c>
      <c r="I354" s="14">
        <v>3525.61</v>
      </c>
      <c r="J354" s="14">
        <v>3590</v>
      </c>
      <c r="K354" s="14">
        <v>2560</v>
      </c>
      <c r="L354" s="15">
        <v>817912</v>
      </c>
      <c r="M354" t="s" s="13">
        <v>6668</v>
      </c>
      <c r="N354" s="15">
        <v>55904</v>
      </c>
      <c r="O354" s="17" cm="1">
        <f t="array" ref="O354">(H355-H354)/H354</f>
        <v>0.00330618384084911</v>
      </c>
      <c r="P354" s="8"/>
      <c r="Q354" s="8"/>
    </row>
    <row r="355" ht="13.65" customHeight="1">
      <c r="A355" s="18">
        <v>44791</v>
      </c>
      <c r="B355" t="s" s="13">
        <v>22</v>
      </c>
      <c r="C355" s="14">
        <v>3525</v>
      </c>
      <c r="D355" s="14">
        <v>3542.7</v>
      </c>
      <c r="E355" s="14">
        <v>3515.55</v>
      </c>
      <c r="F355" s="14">
        <v>3523.7</v>
      </c>
      <c r="G355" s="14">
        <v>3535.35</v>
      </c>
      <c r="H355" s="14">
        <v>3535.35</v>
      </c>
      <c r="I355" s="14">
        <v>3531.61</v>
      </c>
      <c r="J355" s="14">
        <v>3590</v>
      </c>
      <c r="K355" s="14">
        <v>2560</v>
      </c>
      <c r="L355" s="15">
        <v>599877</v>
      </c>
      <c r="M355" t="s" s="13">
        <v>6669</v>
      </c>
      <c r="N355" s="15">
        <v>51423</v>
      </c>
      <c r="O355" s="17" cm="1">
        <f t="array" ref="O355">(H356-H355)/H355</f>
        <v>-0.0149348720777292</v>
      </c>
      <c r="P355" s="8"/>
      <c r="Q355" s="8"/>
    </row>
    <row r="356" ht="13.65" customHeight="1">
      <c r="A356" s="18">
        <v>44792</v>
      </c>
      <c r="B356" t="s" s="13">
        <v>22</v>
      </c>
      <c r="C356" s="14">
        <v>3520</v>
      </c>
      <c r="D356" s="14">
        <v>3538.5</v>
      </c>
      <c r="E356" s="14">
        <v>3464</v>
      </c>
      <c r="F356" s="14">
        <v>3535.35</v>
      </c>
      <c r="G356" s="14">
        <v>3484</v>
      </c>
      <c r="H356" s="14">
        <v>3482.55</v>
      </c>
      <c r="I356" s="14">
        <v>3491.38</v>
      </c>
      <c r="J356" s="14">
        <v>3590</v>
      </c>
      <c r="K356" s="14">
        <v>2560</v>
      </c>
      <c r="L356" s="15">
        <v>581829</v>
      </c>
      <c r="M356" t="s" s="13">
        <v>6670</v>
      </c>
      <c r="N356" s="15">
        <v>48176</v>
      </c>
      <c r="O356" s="17" cm="1">
        <f t="array" ref="O356">(H357-H356)/H356</f>
        <v>-0.038132977272401</v>
      </c>
      <c r="P356" s="8"/>
      <c r="Q356" s="8"/>
    </row>
    <row r="357" ht="13.65" customHeight="1">
      <c r="A357" s="18">
        <v>44795</v>
      </c>
      <c r="B357" t="s" s="13">
        <v>22</v>
      </c>
      <c r="C357" s="14">
        <v>3462.1</v>
      </c>
      <c r="D357" s="14">
        <v>3485.55</v>
      </c>
      <c r="E357" s="14">
        <v>3333.2</v>
      </c>
      <c r="F357" s="14">
        <v>3482.55</v>
      </c>
      <c r="G357" s="14">
        <v>3356.15</v>
      </c>
      <c r="H357" s="14">
        <v>3349.75</v>
      </c>
      <c r="I357" s="14">
        <v>3382.05</v>
      </c>
      <c r="J357" s="14">
        <v>3590</v>
      </c>
      <c r="K357" s="14">
        <v>2560</v>
      </c>
      <c r="L357" s="15">
        <v>2336567</v>
      </c>
      <c r="M357" t="s" s="13">
        <v>6671</v>
      </c>
      <c r="N357" s="15">
        <v>103697</v>
      </c>
      <c r="O357" s="17" cm="1">
        <f t="array" ref="O357">(H358-H357)/H357</f>
        <v>0.00204492872602433</v>
      </c>
      <c r="P357" s="8"/>
      <c r="Q357" s="8"/>
    </row>
    <row r="358" ht="13.65" customHeight="1">
      <c r="A358" s="18">
        <v>44796</v>
      </c>
      <c r="B358" t="s" s="13">
        <v>22</v>
      </c>
      <c r="C358" s="14">
        <v>3333</v>
      </c>
      <c r="D358" s="14">
        <v>3383.95</v>
      </c>
      <c r="E358" s="14">
        <v>3316.85</v>
      </c>
      <c r="F358" s="14">
        <v>3349.75</v>
      </c>
      <c r="G358" s="14">
        <v>3365</v>
      </c>
      <c r="H358" s="14">
        <v>3356.6</v>
      </c>
      <c r="I358" s="14">
        <v>3358.66</v>
      </c>
      <c r="J358" s="14">
        <v>3590</v>
      </c>
      <c r="K358" s="14">
        <v>2560</v>
      </c>
      <c r="L358" s="15">
        <v>831446</v>
      </c>
      <c r="M358" t="s" s="13">
        <v>6672</v>
      </c>
      <c r="N358" s="15">
        <v>71785</v>
      </c>
      <c r="O358" s="17" cm="1">
        <f t="array" ref="O358">(H359-H358)/H358</f>
        <v>0.00662873145444795</v>
      </c>
      <c r="P358" s="8"/>
      <c r="Q358" s="8"/>
    </row>
    <row r="359" ht="13.65" customHeight="1">
      <c r="A359" s="18">
        <v>44797</v>
      </c>
      <c r="B359" t="s" s="13">
        <v>22</v>
      </c>
      <c r="C359" s="14">
        <v>3339.6</v>
      </c>
      <c r="D359" s="14">
        <v>3385</v>
      </c>
      <c r="E359" s="14">
        <v>3302</v>
      </c>
      <c r="F359" s="14">
        <v>3356.6</v>
      </c>
      <c r="G359" s="14">
        <v>3382</v>
      </c>
      <c r="H359" s="14">
        <v>3378.85</v>
      </c>
      <c r="I359" s="14">
        <v>3347.37</v>
      </c>
      <c r="J359" s="14">
        <v>3590</v>
      </c>
      <c r="K359" s="14">
        <v>2560</v>
      </c>
      <c r="L359" s="15">
        <v>1182154</v>
      </c>
      <c r="M359" t="s" s="13">
        <v>6673</v>
      </c>
      <c r="N359" s="15">
        <v>79724</v>
      </c>
      <c r="O359" s="17" cm="1">
        <f t="array" ref="O359">(H360-H359)/H359</f>
        <v>-0.00483892448614173</v>
      </c>
      <c r="P359" s="8"/>
      <c r="Q359" s="8"/>
    </row>
    <row r="360" ht="13.65" customHeight="1">
      <c r="A360" s="18">
        <v>44798</v>
      </c>
      <c r="B360" t="s" s="13">
        <v>22</v>
      </c>
      <c r="C360" s="14">
        <v>3375</v>
      </c>
      <c r="D360" s="14">
        <v>3405.15</v>
      </c>
      <c r="E360" s="14">
        <v>3351.2</v>
      </c>
      <c r="F360" s="14">
        <v>3378.85</v>
      </c>
      <c r="G360" s="14">
        <v>3361</v>
      </c>
      <c r="H360" s="14">
        <v>3362.5</v>
      </c>
      <c r="I360" s="14">
        <v>3381.64</v>
      </c>
      <c r="J360" s="14">
        <v>3590</v>
      </c>
      <c r="K360" s="14">
        <v>2560</v>
      </c>
      <c r="L360" s="15">
        <v>615392</v>
      </c>
      <c r="M360" t="s" s="13">
        <v>6674</v>
      </c>
      <c r="N360" s="15">
        <v>50072</v>
      </c>
      <c r="O360" s="17" cm="1">
        <f t="array" ref="O360">(H361-H360)/H360</f>
        <v>-0.0115836431226766</v>
      </c>
      <c r="P360" s="8"/>
      <c r="Q360" s="8"/>
    </row>
    <row r="361" ht="13.65" customHeight="1">
      <c r="A361" s="18">
        <v>44799</v>
      </c>
      <c r="B361" t="s" s="13">
        <v>22</v>
      </c>
      <c r="C361" s="14">
        <v>3379.35</v>
      </c>
      <c r="D361" s="14">
        <v>3384.5</v>
      </c>
      <c r="E361" s="14">
        <v>3305.65</v>
      </c>
      <c r="F361" s="14">
        <v>3362.5</v>
      </c>
      <c r="G361" s="14">
        <v>3332.05</v>
      </c>
      <c r="H361" s="14">
        <v>3323.55</v>
      </c>
      <c r="I361" s="14">
        <v>3329.77</v>
      </c>
      <c r="J361" s="14">
        <v>3590</v>
      </c>
      <c r="K361" s="14">
        <v>2560</v>
      </c>
      <c r="L361" s="15">
        <v>1384783</v>
      </c>
      <c r="M361" t="s" s="13">
        <v>6675</v>
      </c>
      <c r="N361" s="15">
        <v>70633</v>
      </c>
      <c r="O361" s="17" cm="1">
        <f t="array" ref="O361">(H362-H361)/H361</f>
        <v>0.00592739690993065</v>
      </c>
      <c r="P361" s="8"/>
      <c r="Q361" s="8"/>
    </row>
    <row r="362" ht="13.65" customHeight="1">
      <c r="A362" s="18">
        <v>44802</v>
      </c>
      <c r="B362" t="s" s="13">
        <v>22</v>
      </c>
      <c r="C362" s="14">
        <v>3247</v>
      </c>
      <c r="D362" s="14">
        <v>3348.35</v>
      </c>
      <c r="E362" s="14">
        <v>3236.7</v>
      </c>
      <c r="F362" s="14">
        <v>3323.55</v>
      </c>
      <c r="G362" s="14">
        <v>3344</v>
      </c>
      <c r="H362" s="14">
        <v>3343.25</v>
      </c>
      <c r="I362" s="14">
        <v>3322.01</v>
      </c>
      <c r="J362" s="14">
        <v>3590</v>
      </c>
      <c r="K362" s="14">
        <v>2560</v>
      </c>
      <c r="L362" s="15">
        <v>1031166</v>
      </c>
      <c r="M362" t="s" s="13">
        <v>6676</v>
      </c>
      <c r="N362" s="15">
        <v>71590</v>
      </c>
      <c r="O362" s="17" cm="1">
        <f t="array" ref="O362">(H363-H362)/H362</f>
        <v>0.014461975622523</v>
      </c>
      <c r="P362" s="8"/>
      <c r="Q362" s="8"/>
    </row>
    <row r="363" ht="13.65" customHeight="1">
      <c r="A363" s="18">
        <v>44803</v>
      </c>
      <c r="B363" t="s" s="13">
        <v>22</v>
      </c>
      <c r="C363" s="14">
        <v>3331</v>
      </c>
      <c r="D363" s="14">
        <v>3409.75</v>
      </c>
      <c r="E363" s="14">
        <v>3331</v>
      </c>
      <c r="F363" s="14">
        <v>3343.25</v>
      </c>
      <c r="G363" s="14">
        <v>3399</v>
      </c>
      <c r="H363" s="14">
        <v>3391.6</v>
      </c>
      <c r="I363" s="14">
        <v>3378.66</v>
      </c>
      <c r="J363" s="14">
        <v>3590</v>
      </c>
      <c r="K363" s="14">
        <v>2560</v>
      </c>
      <c r="L363" s="15">
        <v>1426459</v>
      </c>
      <c r="M363" t="s" s="13">
        <v>6677</v>
      </c>
      <c r="N363" s="15">
        <v>90812</v>
      </c>
      <c r="O363" s="17" cm="1">
        <f t="array" ref="O363">(H364-H363)/H363</f>
        <v>0.0162017926642293</v>
      </c>
      <c r="P363" s="8"/>
      <c r="Q363" s="8"/>
    </row>
    <row r="364" ht="13.65" customHeight="1">
      <c r="A364" s="12">
        <v>44805</v>
      </c>
      <c r="B364" t="s" s="13">
        <v>22</v>
      </c>
      <c r="C364" s="14">
        <v>3315</v>
      </c>
      <c r="D364" s="14">
        <v>3474.4</v>
      </c>
      <c r="E364" s="14">
        <v>3315</v>
      </c>
      <c r="F364" s="14">
        <v>3391.6</v>
      </c>
      <c r="G364" s="14">
        <v>3454.4</v>
      </c>
      <c r="H364" s="14">
        <v>3446.55</v>
      </c>
      <c r="I364" s="14">
        <v>3432.58</v>
      </c>
      <c r="J364" s="14">
        <v>3590</v>
      </c>
      <c r="K364" s="14">
        <v>2560</v>
      </c>
      <c r="L364" s="15">
        <v>1417762</v>
      </c>
      <c r="M364" t="s" s="13">
        <v>6678</v>
      </c>
      <c r="N364" s="15">
        <v>104855</v>
      </c>
      <c r="O364" s="17" cm="1">
        <f t="array" ref="O364">(H365-H364)/H364</f>
        <v>-0.00449725087406247</v>
      </c>
      <c r="P364" s="8"/>
      <c r="Q364" s="8"/>
    </row>
    <row r="365" ht="13.65" customHeight="1">
      <c r="A365" s="12">
        <v>44806</v>
      </c>
      <c r="B365" t="s" s="13">
        <v>22</v>
      </c>
      <c r="C365" s="14">
        <v>3489</v>
      </c>
      <c r="D365" s="14">
        <v>3489</v>
      </c>
      <c r="E365" s="14">
        <v>3425</v>
      </c>
      <c r="F365" s="14">
        <v>3446.55</v>
      </c>
      <c r="G365" s="14">
        <v>3429</v>
      </c>
      <c r="H365" s="14">
        <v>3431.05</v>
      </c>
      <c r="I365" s="14">
        <v>3453.52</v>
      </c>
      <c r="J365" s="14">
        <v>3590</v>
      </c>
      <c r="K365" s="14">
        <v>2560</v>
      </c>
      <c r="L365" s="15">
        <v>740821</v>
      </c>
      <c r="M365" t="s" s="13">
        <v>6679</v>
      </c>
      <c r="N365" s="15">
        <v>67373</v>
      </c>
      <c r="O365" s="17" cm="1">
        <f t="array" ref="O365">(H366-H365)/H365</f>
        <v>-0.00182159980180994</v>
      </c>
      <c r="P365" s="8"/>
      <c r="Q365" s="8"/>
    </row>
    <row r="366" ht="13.65" customHeight="1">
      <c r="A366" s="12">
        <v>44809</v>
      </c>
      <c r="B366" t="s" s="13">
        <v>22</v>
      </c>
      <c r="C366" s="14">
        <v>3425.05</v>
      </c>
      <c r="D366" s="14">
        <v>3450</v>
      </c>
      <c r="E366" s="14">
        <v>3405.55</v>
      </c>
      <c r="F366" s="14">
        <v>3431.05</v>
      </c>
      <c r="G366" s="14">
        <v>3425</v>
      </c>
      <c r="H366" s="14">
        <v>3424.8</v>
      </c>
      <c r="I366" s="14">
        <v>3424.07</v>
      </c>
      <c r="J366" s="14">
        <v>3590</v>
      </c>
      <c r="K366" s="14">
        <v>2560</v>
      </c>
      <c r="L366" s="15">
        <v>518438</v>
      </c>
      <c r="M366" t="s" s="13">
        <v>6680</v>
      </c>
      <c r="N366" s="15">
        <v>48588</v>
      </c>
      <c r="O366" s="17" cm="1">
        <f t="array" ref="O366">(H367-H366)/H366</f>
        <v>-0.008628241065171689</v>
      </c>
      <c r="P366" s="8"/>
      <c r="Q366" s="8"/>
    </row>
    <row r="367" ht="13.65" customHeight="1">
      <c r="A367" s="12">
        <v>44810</v>
      </c>
      <c r="B367" t="s" s="13">
        <v>22</v>
      </c>
      <c r="C367" s="14">
        <v>3420</v>
      </c>
      <c r="D367" s="14">
        <v>3434.55</v>
      </c>
      <c r="E367" s="14">
        <v>3384</v>
      </c>
      <c r="F367" s="14">
        <v>3424.8</v>
      </c>
      <c r="G367" s="14">
        <v>3392</v>
      </c>
      <c r="H367" s="14">
        <v>3395.25</v>
      </c>
      <c r="I367" s="14">
        <v>3401.37</v>
      </c>
      <c r="J367" s="14">
        <v>3590</v>
      </c>
      <c r="K367" s="14">
        <v>2560</v>
      </c>
      <c r="L367" s="15">
        <v>540937</v>
      </c>
      <c r="M367" t="s" s="13">
        <v>6681</v>
      </c>
      <c r="N367" s="15">
        <v>54502</v>
      </c>
      <c r="O367" s="17" cm="1">
        <f t="array" ref="O367">(H368-H367)/H367</f>
        <v>0.00150209851999116</v>
      </c>
      <c r="P367" s="8"/>
      <c r="Q367" s="8"/>
    </row>
    <row r="368" ht="13.65" customHeight="1">
      <c r="A368" s="12">
        <v>44811</v>
      </c>
      <c r="B368" t="s" s="13">
        <v>22</v>
      </c>
      <c r="C368" s="14">
        <v>3392</v>
      </c>
      <c r="D368" s="14">
        <v>3435</v>
      </c>
      <c r="E368" s="14">
        <v>3385.95</v>
      </c>
      <c r="F368" s="14">
        <v>3395.25</v>
      </c>
      <c r="G368" s="14">
        <v>3397.8</v>
      </c>
      <c r="H368" s="14">
        <v>3400.35</v>
      </c>
      <c r="I368" s="14">
        <v>3406.39</v>
      </c>
      <c r="J368" s="14">
        <v>3590</v>
      </c>
      <c r="K368" s="14">
        <v>2560</v>
      </c>
      <c r="L368" s="15">
        <v>682921</v>
      </c>
      <c r="M368" t="s" s="13">
        <v>6682</v>
      </c>
      <c r="N368" s="15">
        <v>46106</v>
      </c>
      <c r="O368" s="17" cm="1">
        <f t="array" ref="O368">(H369-H368)/H368</f>
        <v>0.0146455511932595</v>
      </c>
      <c r="P368" s="8"/>
      <c r="Q368" s="8"/>
    </row>
    <row r="369" ht="13.65" customHeight="1">
      <c r="A369" s="12">
        <v>44812</v>
      </c>
      <c r="B369" t="s" s="13">
        <v>22</v>
      </c>
      <c r="C369" s="14">
        <v>3450</v>
      </c>
      <c r="D369" s="14">
        <v>3484.65</v>
      </c>
      <c r="E369" s="14">
        <v>3427.4</v>
      </c>
      <c r="F369" s="14">
        <v>3400.35</v>
      </c>
      <c r="G369" s="14">
        <v>3455</v>
      </c>
      <c r="H369" s="14">
        <v>3450.15</v>
      </c>
      <c r="I369" s="14">
        <v>3454.21</v>
      </c>
      <c r="J369" s="14">
        <v>3590</v>
      </c>
      <c r="K369" s="14">
        <v>2560</v>
      </c>
      <c r="L369" s="15">
        <v>1143090</v>
      </c>
      <c r="M369" t="s" s="13">
        <v>6683</v>
      </c>
      <c r="N369" s="15">
        <v>90776</v>
      </c>
      <c r="O369" s="17" cm="1">
        <f t="array" ref="O369">(H370-H369)/H369</f>
        <v>-0.00240569250612292</v>
      </c>
      <c r="P369" s="8"/>
      <c r="Q369" s="8"/>
    </row>
    <row r="370" ht="13.65" customHeight="1">
      <c r="A370" s="12">
        <v>44813</v>
      </c>
      <c r="B370" t="s" s="13">
        <v>22</v>
      </c>
      <c r="C370" s="14">
        <v>3483.7</v>
      </c>
      <c r="D370" s="14">
        <v>3483.7</v>
      </c>
      <c r="E370" s="14">
        <v>3433.45</v>
      </c>
      <c r="F370" s="14">
        <v>3450.15</v>
      </c>
      <c r="G370" s="14">
        <v>3442</v>
      </c>
      <c r="H370" s="14">
        <v>3441.85</v>
      </c>
      <c r="I370" s="14">
        <v>3457.58</v>
      </c>
      <c r="J370" s="14">
        <v>3590</v>
      </c>
      <c r="K370" s="14">
        <v>2560</v>
      </c>
      <c r="L370" s="15">
        <v>702805</v>
      </c>
      <c r="M370" t="s" s="13">
        <v>6684</v>
      </c>
      <c r="N370" s="15">
        <v>73503</v>
      </c>
      <c r="O370" s="17" cm="1">
        <f t="array" ref="O370">(H371-H370)/H370</f>
        <v>-0.00280372474105496</v>
      </c>
      <c r="P370" s="8"/>
      <c r="Q370" s="8"/>
    </row>
    <row r="371" ht="13.65" customHeight="1">
      <c r="A371" s="18">
        <v>44816</v>
      </c>
      <c r="B371" t="s" s="13">
        <v>22</v>
      </c>
      <c r="C371" s="14">
        <v>3441.85</v>
      </c>
      <c r="D371" s="14">
        <v>3453.65</v>
      </c>
      <c r="E371" s="14">
        <v>3423</v>
      </c>
      <c r="F371" s="14">
        <v>3441.85</v>
      </c>
      <c r="G371" s="14">
        <v>3432</v>
      </c>
      <c r="H371" s="14">
        <v>3432.2</v>
      </c>
      <c r="I371" s="14">
        <v>3437.25</v>
      </c>
      <c r="J371" s="14">
        <v>3590</v>
      </c>
      <c r="K371" s="14">
        <v>2560</v>
      </c>
      <c r="L371" s="15">
        <v>641280</v>
      </c>
      <c r="M371" t="s" s="13">
        <v>6685</v>
      </c>
      <c r="N371" s="15">
        <v>49382</v>
      </c>
      <c r="O371" s="17" cm="1">
        <f t="array" ref="O371">(H372-H371)/H371</f>
        <v>-0.00291358312452654</v>
      </c>
      <c r="P371" s="8"/>
      <c r="Q371" s="8"/>
    </row>
    <row r="372" ht="13.65" customHeight="1">
      <c r="A372" s="18">
        <v>44817</v>
      </c>
      <c r="B372" t="s" s="13">
        <v>22</v>
      </c>
      <c r="C372" s="14">
        <v>3432</v>
      </c>
      <c r="D372" s="14">
        <v>3459</v>
      </c>
      <c r="E372" s="14">
        <v>3414.65</v>
      </c>
      <c r="F372" s="14">
        <v>3432.2</v>
      </c>
      <c r="G372" s="14">
        <v>3424</v>
      </c>
      <c r="H372" s="14">
        <v>3422.2</v>
      </c>
      <c r="I372" s="14">
        <v>3438.19</v>
      </c>
      <c r="J372" s="14">
        <v>3590</v>
      </c>
      <c r="K372" s="14">
        <v>2560</v>
      </c>
      <c r="L372" s="15">
        <v>776044</v>
      </c>
      <c r="M372" t="s" s="13">
        <v>6686</v>
      </c>
      <c r="N372" s="15">
        <v>48807</v>
      </c>
      <c r="O372" s="17" cm="1">
        <f t="array" ref="O372">(H373-H372)/H372</f>
        <v>0.00489451230202794</v>
      </c>
      <c r="P372" s="8"/>
      <c r="Q372" s="8"/>
    </row>
    <row r="373" ht="13.65" customHeight="1">
      <c r="A373" s="18">
        <v>44818</v>
      </c>
      <c r="B373" t="s" s="13">
        <v>22</v>
      </c>
      <c r="C373" s="14">
        <v>3380</v>
      </c>
      <c r="D373" s="14">
        <v>3448.5</v>
      </c>
      <c r="E373" s="14">
        <v>3380</v>
      </c>
      <c r="F373" s="14">
        <v>3422.2</v>
      </c>
      <c r="G373" s="14">
        <v>3432.8</v>
      </c>
      <c r="H373" s="14">
        <v>3438.95</v>
      </c>
      <c r="I373" s="14">
        <v>3436.01</v>
      </c>
      <c r="J373" s="14">
        <v>3590</v>
      </c>
      <c r="K373" s="14">
        <v>2560</v>
      </c>
      <c r="L373" s="15">
        <v>816678</v>
      </c>
      <c r="M373" t="s" s="13">
        <v>6687</v>
      </c>
      <c r="N373" s="15">
        <v>82818</v>
      </c>
      <c r="O373" s="17" cm="1">
        <f t="array" ref="O373">(H374-H373)/H373</f>
        <v>-0.0126637491094666</v>
      </c>
      <c r="P373" s="8"/>
      <c r="Q373" s="8"/>
    </row>
    <row r="374" ht="13.65" customHeight="1">
      <c r="A374" s="18">
        <v>44819</v>
      </c>
      <c r="B374" t="s" s="13">
        <v>22</v>
      </c>
      <c r="C374" s="14">
        <v>3440</v>
      </c>
      <c r="D374" s="14">
        <v>3458.75</v>
      </c>
      <c r="E374" s="14">
        <v>3389.1</v>
      </c>
      <c r="F374" s="14">
        <v>3438.95</v>
      </c>
      <c r="G374" s="14">
        <v>3395</v>
      </c>
      <c r="H374" s="14">
        <v>3395.4</v>
      </c>
      <c r="I374" s="14">
        <v>3407.28</v>
      </c>
      <c r="J374" s="14">
        <v>3590</v>
      </c>
      <c r="K374" s="14">
        <v>2560</v>
      </c>
      <c r="L374" s="15">
        <v>590182</v>
      </c>
      <c r="M374" t="s" s="13">
        <v>6688</v>
      </c>
      <c r="N374" s="15">
        <v>55106</v>
      </c>
      <c r="O374" s="17" cm="1">
        <f t="array" ref="O374">(H375-H374)/H374</f>
        <v>-0.0214554986157743</v>
      </c>
      <c r="P374" s="8"/>
      <c r="Q374" s="8"/>
    </row>
    <row r="375" ht="13.65" customHeight="1">
      <c r="A375" s="18">
        <v>44820</v>
      </c>
      <c r="B375" t="s" s="13">
        <v>22</v>
      </c>
      <c r="C375" s="14">
        <v>3412.4</v>
      </c>
      <c r="D375" s="14">
        <v>3420</v>
      </c>
      <c r="E375" s="14">
        <v>3309.55</v>
      </c>
      <c r="F375" s="14">
        <v>3395.4</v>
      </c>
      <c r="G375" s="14">
        <v>3313.25</v>
      </c>
      <c r="H375" s="14">
        <v>3322.55</v>
      </c>
      <c r="I375" s="14">
        <v>3341.97</v>
      </c>
      <c r="J375" s="14">
        <v>3590</v>
      </c>
      <c r="K375" s="14">
        <v>2560</v>
      </c>
      <c r="L375" s="15">
        <v>1598265</v>
      </c>
      <c r="M375" t="s" s="13">
        <v>6689</v>
      </c>
      <c r="N375" s="15">
        <v>79827</v>
      </c>
      <c r="O375" s="17" cm="1">
        <f t="array" ref="O375">(H376-H375)/H375</f>
        <v>-0.00189613399346887</v>
      </c>
      <c r="P375" s="8"/>
      <c r="Q375" s="8"/>
    </row>
    <row r="376" ht="13.65" customHeight="1">
      <c r="A376" s="18">
        <v>44823</v>
      </c>
      <c r="B376" t="s" s="13">
        <v>22</v>
      </c>
      <c r="C376" s="14">
        <v>3320.65</v>
      </c>
      <c r="D376" s="14">
        <v>3342.1</v>
      </c>
      <c r="E376" s="14">
        <v>3231.3</v>
      </c>
      <c r="F376" s="14">
        <v>3322.55</v>
      </c>
      <c r="G376" s="14">
        <v>3321.2</v>
      </c>
      <c r="H376" s="14">
        <v>3316.25</v>
      </c>
      <c r="I376" s="14">
        <v>3292.06</v>
      </c>
      <c r="J376" s="14">
        <v>3590</v>
      </c>
      <c r="K376" s="14">
        <v>2560</v>
      </c>
      <c r="L376" s="15">
        <v>1013563</v>
      </c>
      <c r="M376" t="s" s="13">
        <v>6690</v>
      </c>
      <c r="N376" s="15">
        <v>77286</v>
      </c>
      <c r="O376" s="17" cm="1">
        <f t="array" ref="O376">(H377-H376)/H376</f>
        <v>0.0232039200904636</v>
      </c>
      <c r="P376" s="8"/>
      <c r="Q376" s="8"/>
    </row>
    <row r="377" ht="13.65" customHeight="1">
      <c r="A377" s="18">
        <v>44824</v>
      </c>
      <c r="B377" t="s" s="13">
        <v>22</v>
      </c>
      <c r="C377" s="14">
        <v>3335.6</v>
      </c>
      <c r="D377" s="14">
        <v>3410</v>
      </c>
      <c r="E377" s="14">
        <v>3334</v>
      </c>
      <c r="F377" s="14">
        <v>3316.25</v>
      </c>
      <c r="G377" s="14">
        <v>3388</v>
      </c>
      <c r="H377" s="14">
        <v>3393.2</v>
      </c>
      <c r="I377" s="14">
        <v>3386.14</v>
      </c>
      <c r="J377" s="14">
        <v>3590</v>
      </c>
      <c r="K377" s="14">
        <v>2560</v>
      </c>
      <c r="L377" s="15">
        <v>708184</v>
      </c>
      <c r="M377" t="s" s="13">
        <v>6691</v>
      </c>
      <c r="N377" s="15">
        <v>57527</v>
      </c>
      <c r="O377" s="17" cm="1">
        <f t="array" ref="O377">(H378-H377)/H377</f>
        <v>-0.0109483673228811</v>
      </c>
      <c r="P377" s="8"/>
      <c r="Q377" s="8"/>
    </row>
    <row r="378" ht="13.65" customHeight="1">
      <c r="A378" s="18">
        <v>44825</v>
      </c>
      <c r="B378" t="s" s="13">
        <v>22</v>
      </c>
      <c r="C378" s="14">
        <v>3405</v>
      </c>
      <c r="D378" s="14">
        <v>3424.9</v>
      </c>
      <c r="E378" s="14">
        <v>3348</v>
      </c>
      <c r="F378" s="14">
        <v>3393.2</v>
      </c>
      <c r="G378" s="14">
        <v>3361.5</v>
      </c>
      <c r="H378" s="14">
        <v>3356.05</v>
      </c>
      <c r="I378" s="14">
        <v>3371.11</v>
      </c>
      <c r="J378" s="14">
        <v>3590</v>
      </c>
      <c r="K378" s="14">
        <v>2560</v>
      </c>
      <c r="L378" s="15">
        <v>605378</v>
      </c>
      <c r="M378" t="s" s="13">
        <v>6692</v>
      </c>
      <c r="N378" s="15">
        <v>56662</v>
      </c>
      <c r="O378" s="17" cm="1">
        <f t="array" ref="O378">(H379-H378)/H378</f>
        <v>0.023822648649454</v>
      </c>
      <c r="P378" s="8"/>
      <c r="Q378" s="8"/>
    </row>
    <row r="379" ht="13.65" customHeight="1">
      <c r="A379" s="18">
        <v>44826</v>
      </c>
      <c r="B379" t="s" s="13">
        <v>22</v>
      </c>
      <c r="C379" s="14">
        <v>3356.05</v>
      </c>
      <c r="D379" s="14">
        <v>3440</v>
      </c>
      <c r="E379" s="14">
        <v>3315.65</v>
      </c>
      <c r="F379" s="14">
        <v>3356.05</v>
      </c>
      <c r="G379" s="14">
        <v>3439</v>
      </c>
      <c r="H379" s="14">
        <v>3436</v>
      </c>
      <c r="I379" s="14">
        <v>3395.95</v>
      </c>
      <c r="J379" s="14">
        <v>3590</v>
      </c>
      <c r="K379" s="14">
        <v>2560</v>
      </c>
      <c r="L379" s="15">
        <v>829396</v>
      </c>
      <c r="M379" t="s" s="13">
        <v>6693</v>
      </c>
      <c r="N379" s="15">
        <v>58298</v>
      </c>
      <c r="O379" s="17" cm="1">
        <f t="array" ref="O379">(H380-H379)/H379</f>
        <v>-0.0118597206053551</v>
      </c>
      <c r="P379" s="8"/>
      <c r="Q379" s="8"/>
    </row>
    <row r="380" ht="13.65" customHeight="1">
      <c r="A380" s="18">
        <v>44827</v>
      </c>
      <c r="B380" t="s" s="13">
        <v>22</v>
      </c>
      <c r="C380" s="14">
        <v>3435</v>
      </c>
      <c r="D380" s="14">
        <v>3437.95</v>
      </c>
      <c r="E380" s="14">
        <v>3382.7</v>
      </c>
      <c r="F380" s="14">
        <v>3436</v>
      </c>
      <c r="G380" s="14">
        <v>3400</v>
      </c>
      <c r="H380" s="14">
        <v>3395.25</v>
      </c>
      <c r="I380" s="14">
        <v>3405.44</v>
      </c>
      <c r="J380" s="14">
        <v>3590</v>
      </c>
      <c r="K380" s="14">
        <v>2560</v>
      </c>
      <c r="L380" s="15">
        <v>513370</v>
      </c>
      <c r="M380" t="s" s="13">
        <v>6694</v>
      </c>
      <c r="N380" s="15">
        <v>61631</v>
      </c>
      <c r="O380" s="17" cm="1">
        <f t="array" ref="O380">(H381-H380)/H380</f>
        <v>0.0126058464030631</v>
      </c>
      <c r="P380" s="8"/>
      <c r="Q380" s="8"/>
    </row>
    <row r="381" ht="13.65" customHeight="1">
      <c r="A381" s="18">
        <v>44830</v>
      </c>
      <c r="B381" t="s" s="13">
        <v>22</v>
      </c>
      <c r="C381" s="14">
        <v>3370</v>
      </c>
      <c r="D381" s="14">
        <v>3468</v>
      </c>
      <c r="E381" s="14">
        <v>3354</v>
      </c>
      <c r="F381" s="14">
        <v>3395.25</v>
      </c>
      <c r="G381" s="14">
        <v>3434</v>
      </c>
      <c r="H381" s="14">
        <v>3438.05</v>
      </c>
      <c r="I381" s="14">
        <v>3425.44</v>
      </c>
      <c r="J381" s="14">
        <v>3590</v>
      </c>
      <c r="K381" s="14">
        <v>2560</v>
      </c>
      <c r="L381" s="15">
        <v>1429914</v>
      </c>
      <c r="M381" t="s" s="13">
        <v>6695</v>
      </c>
      <c r="N381" s="15">
        <v>107201</v>
      </c>
      <c r="O381" s="17" cm="1">
        <f t="array" ref="O381">(H382-H381)/H381</f>
        <v>0.00948211922456043</v>
      </c>
      <c r="P381" s="8"/>
      <c r="Q381" s="8"/>
    </row>
    <row r="382" ht="13.65" customHeight="1">
      <c r="A382" s="18">
        <v>44831</v>
      </c>
      <c r="B382" t="s" s="13">
        <v>22</v>
      </c>
      <c r="C382" s="14">
        <v>3454.85</v>
      </c>
      <c r="D382" s="14">
        <v>3500</v>
      </c>
      <c r="E382" s="14">
        <v>3431.05</v>
      </c>
      <c r="F382" s="14">
        <v>3438.05</v>
      </c>
      <c r="G382" s="14">
        <v>3470</v>
      </c>
      <c r="H382" s="14">
        <v>3470.65</v>
      </c>
      <c r="I382" s="14">
        <v>3467.08</v>
      </c>
      <c r="J382" s="14">
        <v>3590</v>
      </c>
      <c r="K382" s="14">
        <v>2560</v>
      </c>
      <c r="L382" s="15">
        <v>1455383</v>
      </c>
      <c r="M382" t="s" s="13">
        <v>6696</v>
      </c>
      <c r="N382" s="15">
        <v>102160</v>
      </c>
      <c r="O382" s="17" cm="1">
        <f t="array" ref="O382">(H383-H382)/H382</f>
        <v>0.0288130465474767</v>
      </c>
      <c r="P382" s="8"/>
      <c r="Q382" s="8"/>
    </row>
    <row r="383" ht="13.65" customHeight="1">
      <c r="A383" s="18">
        <v>44832</v>
      </c>
      <c r="B383" t="s" s="13">
        <v>22</v>
      </c>
      <c r="C383" s="14">
        <v>3451</v>
      </c>
      <c r="D383" s="14">
        <v>3582.9</v>
      </c>
      <c r="E383" s="14">
        <v>3420</v>
      </c>
      <c r="F383" s="14">
        <v>3470.65</v>
      </c>
      <c r="G383" s="14">
        <v>3568</v>
      </c>
      <c r="H383" s="14">
        <v>3570.65</v>
      </c>
      <c r="I383" s="14">
        <v>3527.33</v>
      </c>
      <c r="J383" s="14">
        <v>3590</v>
      </c>
      <c r="K383" s="14">
        <v>2560</v>
      </c>
      <c r="L383" s="15">
        <v>1843428</v>
      </c>
      <c r="M383" t="s" s="13">
        <v>6697</v>
      </c>
      <c r="N383" s="15">
        <v>119050</v>
      </c>
      <c r="O383" s="17" cm="1">
        <f t="array" ref="O383">(H384-H383)/H383</f>
        <v>-0.0520493467575932</v>
      </c>
      <c r="P383" s="8"/>
      <c r="Q383" s="8"/>
    </row>
    <row r="384" ht="13.65" customHeight="1">
      <c r="A384" s="18">
        <v>44833</v>
      </c>
      <c r="B384" t="s" s="13">
        <v>22</v>
      </c>
      <c r="C384" s="14">
        <v>3563.45</v>
      </c>
      <c r="D384" s="14">
        <v>3563.45</v>
      </c>
      <c r="E384" s="14">
        <v>3372.4</v>
      </c>
      <c r="F384" s="14">
        <v>3570.65</v>
      </c>
      <c r="G384" s="14">
        <v>3402</v>
      </c>
      <c r="H384" s="14">
        <v>3384.8</v>
      </c>
      <c r="I384" s="14">
        <v>3441.06</v>
      </c>
      <c r="J384" s="14">
        <v>3590</v>
      </c>
      <c r="K384" s="14">
        <v>2560</v>
      </c>
      <c r="L384" s="15">
        <v>2624894</v>
      </c>
      <c r="M384" t="s" s="13">
        <v>6698</v>
      </c>
      <c r="N384" s="15">
        <v>202666</v>
      </c>
      <c r="O384" s="17" cm="1">
        <f t="array" ref="O384">(H385-H384)/H384</f>
        <v>-0.0125118175372252</v>
      </c>
      <c r="P384" s="8"/>
      <c r="Q384" s="8"/>
    </row>
    <row r="385" ht="13.65" customHeight="1">
      <c r="A385" s="18">
        <v>44834</v>
      </c>
      <c r="B385" t="s" s="13">
        <v>22</v>
      </c>
      <c r="C385" s="14">
        <v>3402</v>
      </c>
      <c r="D385" s="14">
        <v>3411.9</v>
      </c>
      <c r="E385" s="14">
        <v>3285.25</v>
      </c>
      <c r="F385" s="14">
        <v>3384.8</v>
      </c>
      <c r="G385" s="14">
        <v>3375</v>
      </c>
      <c r="H385" s="14">
        <v>3342.45</v>
      </c>
      <c r="I385" s="14">
        <v>3341.25</v>
      </c>
      <c r="J385" s="14">
        <v>3590</v>
      </c>
      <c r="K385" s="14">
        <v>2560</v>
      </c>
      <c r="L385" s="15">
        <v>2159720</v>
      </c>
      <c r="M385" t="s" s="13">
        <v>6699</v>
      </c>
      <c r="N385" s="15">
        <v>151911</v>
      </c>
      <c r="O385" s="17" cm="1">
        <f t="array" ref="O385">(H386-H385)/H385</f>
        <v>-0.0118326377357926</v>
      </c>
      <c r="P385" s="8"/>
      <c r="Q385" s="8"/>
    </row>
    <row r="386" ht="13.65" customHeight="1">
      <c r="A386" s="12">
        <v>44837</v>
      </c>
      <c r="B386" t="s" s="13">
        <v>22</v>
      </c>
      <c r="C386" s="14">
        <v>3348</v>
      </c>
      <c r="D386" s="14">
        <v>3352.5</v>
      </c>
      <c r="E386" s="14">
        <v>3285.75</v>
      </c>
      <c r="F386" s="14">
        <v>3342.45</v>
      </c>
      <c r="G386" s="14">
        <v>3298</v>
      </c>
      <c r="H386" s="14">
        <v>3302.9</v>
      </c>
      <c r="I386" s="14">
        <v>3311.39</v>
      </c>
      <c r="J386" s="14">
        <v>3590</v>
      </c>
      <c r="K386" s="14">
        <v>2560</v>
      </c>
      <c r="L386" s="15">
        <v>934543</v>
      </c>
      <c r="M386" t="s" s="13">
        <v>6700</v>
      </c>
      <c r="N386" s="15">
        <v>79080</v>
      </c>
      <c r="O386" s="17" cm="1">
        <f t="array" ref="O386">(H387-H386)/H386</f>
        <v>0.0105513336764661</v>
      </c>
      <c r="P386" s="8"/>
      <c r="Q386" s="8"/>
    </row>
    <row r="387" ht="13.65" customHeight="1">
      <c r="A387" s="12">
        <v>44838</v>
      </c>
      <c r="B387" t="s" s="13">
        <v>22</v>
      </c>
      <c r="C387" s="14">
        <v>3330</v>
      </c>
      <c r="D387" s="14">
        <v>3368.35</v>
      </c>
      <c r="E387" s="14">
        <v>3312.05</v>
      </c>
      <c r="F387" s="14">
        <v>3302.9</v>
      </c>
      <c r="G387" s="14">
        <v>3334.75</v>
      </c>
      <c r="H387" s="14">
        <v>3337.75</v>
      </c>
      <c r="I387" s="14">
        <v>3338.52</v>
      </c>
      <c r="J387" s="14">
        <v>3590</v>
      </c>
      <c r="K387" s="14">
        <v>2560</v>
      </c>
      <c r="L387" s="15">
        <v>994382</v>
      </c>
      <c r="M387" t="s" s="13">
        <v>6701</v>
      </c>
      <c r="N387" s="15">
        <v>79809</v>
      </c>
      <c r="O387" s="17" cm="1">
        <f t="array" ref="O387">(H388-H387)/H387</f>
        <v>-0.00263650662871695</v>
      </c>
      <c r="P387" s="8"/>
      <c r="Q387" s="8"/>
    </row>
    <row r="388" ht="13.65" customHeight="1">
      <c r="A388" s="12">
        <v>44840</v>
      </c>
      <c r="B388" t="s" s="13">
        <v>22</v>
      </c>
      <c r="C388" s="14">
        <v>3337.75</v>
      </c>
      <c r="D388" s="14">
        <v>3366.75</v>
      </c>
      <c r="E388" s="14">
        <v>3311.7</v>
      </c>
      <c r="F388" s="14">
        <v>3337.75</v>
      </c>
      <c r="G388" s="14">
        <v>3328</v>
      </c>
      <c r="H388" s="14">
        <v>3328.95</v>
      </c>
      <c r="I388" s="14">
        <v>3339.09</v>
      </c>
      <c r="J388" s="14">
        <v>3590</v>
      </c>
      <c r="K388" s="14">
        <v>2560</v>
      </c>
      <c r="L388" s="15">
        <v>922770</v>
      </c>
      <c r="M388" t="s" s="13">
        <v>6702</v>
      </c>
      <c r="N388" s="15">
        <v>90382</v>
      </c>
      <c r="O388" s="17" cm="1">
        <f t="array" ref="O388">(H389-H388)/H388</f>
        <v>0.00443082653689602</v>
      </c>
      <c r="P388" s="8"/>
      <c r="Q388" s="8"/>
    </row>
    <row r="389" ht="13.65" customHeight="1">
      <c r="A389" s="12">
        <v>44841</v>
      </c>
      <c r="B389" t="s" s="13">
        <v>22</v>
      </c>
      <c r="C389" s="14">
        <v>3318</v>
      </c>
      <c r="D389" s="14">
        <v>3359.6</v>
      </c>
      <c r="E389" s="14">
        <v>3287.25</v>
      </c>
      <c r="F389" s="14">
        <v>3328.95</v>
      </c>
      <c r="G389" s="14">
        <v>3351.95</v>
      </c>
      <c r="H389" s="14">
        <v>3343.7</v>
      </c>
      <c r="I389" s="14">
        <v>3320.87</v>
      </c>
      <c r="J389" s="14">
        <v>3590</v>
      </c>
      <c r="K389" s="14">
        <v>2560</v>
      </c>
      <c r="L389" s="15">
        <v>774544</v>
      </c>
      <c r="M389" t="s" s="13">
        <v>6703</v>
      </c>
      <c r="N389" s="15">
        <v>67947</v>
      </c>
      <c r="O389" s="17" cm="1">
        <f t="array" ref="O389">(H390-H389)/H389</f>
        <v>-0.0196638454406795</v>
      </c>
      <c r="P389" s="8"/>
      <c r="Q389" s="8"/>
    </row>
    <row r="390" ht="13.65" customHeight="1">
      <c r="A390" s="18">
        <v>44844</v>
      </c>
      <c r="B390" t="s" s="13">
        <v>22</v>
      </c>
      <c r="C390" s="14">
        <v>3280</v>
      </c>
      <c r="D390" s="14">
        <v>3299</v>
      </c>
      <c r="E390" s="14">
        <v>3260.2</v>
      </c>
      <c r="F390" s="14">
        <v>3343.7</v>
      </c>
      <c r="G390" s="14">
        <v>3280</v>
      </c>
      <c r="H390" s="14">
        <v>3277.95</v>
      </c>
      <c r="I390" s="14">
        <v>3277.23</v>
      </c>
      <c r="J390" s="14">
        <v>3590</v>
      </c>
      <c r="K390" s="14">
        <v>2560</v>
      </c>
      <c r="L390" s="15">
        <v>734377</v>
      </c>
      <c r="M390" t="s" s="13">
        <v>6704</v>
      </c>
      <c r="N390" s="15">
        <v>65136</v>
      </c>
      <c r="O390" s="17" cm="1">
        <f t="array" ref="O390">(H391-H390)/H390</f>
        <v>0.00633017587211519</v>
      </c>
      <c r="P390" s="8"/>
      <c r="Q390" s="8"/>
    </row>
    <row r="391" ht="13.65" customHeight="1">
      <c r="A391" s="18">
        <v>44845</v>
      </c>
      <c r="B391" t="s" s="13">
        <v>22</v>
      </c>
      <c r="C391" s="14">
        <v>3290.5</v>
      </c>
      <c r="D391" s="14">
        <v>3360</v>
      </c>
      <c r="E391" s="14">
        <v>3274</v>
      </c>
      <c r="F391" s="14">
        <v>3277.95</v>
      </c>
      <c r="G391" s="14">
        <v>3293.55</v>
      </c>
      <c r="H391" s="14">
        <v>3298.7</v>
      </c>
      <c r="I391" s="14">
        <v>3332.51</v>
      </c>
      <c r="J391" s="14">
        <v>3590</v>
      </c>
      <c r="K391" s="14">
        <v>2560</v>
      </c>
      <c r="L391" s="15">
        <v>1411316</v>
      </c>
      <c r="M391" t="s" s="13">
        <v>6705</v>
      </c>
      <c r="N391" s="15">
        <v>101087</v>
      </c>
      <c r="O391" s="17" cm="1">
        <f t="array" ref="O391">(H392-H391)/H391</f>
        <v>-0.0153090611452997</v>
      </c>
      <c r="P391" s="8"/>
      <c r="Q391" s="8"/>
    </row>
    <row r="392" ht="13.65" customHeight="1">
      <c r="A392" s="18">
        <v>44846</v>
      </c>
      <c r="B392" t="s" s="13">
        <v>22</v>
      </c>
      <c r="C392" s="14">
        <v>3335</v>
      </c>
      <c r="D392" s="14">
        <v>3339.5</v>
      </c>
      <c r="E392" s="14">
        <v>3206</v>
      </c>
      <c r="F392" s="14">
        <v>3298.7</v>
      </c>
      <c r="G392" s="14">
        <v>3249</v>
      </c>
      <c r="H392" s="14">
        <v>3248.2</v>
      </c>
      <c r="I392" s="14">
        <v>3252.94</v>
      </c>
      <c r="J392" s="14">
        <v>3590</v>
      </c>
      <c r="K392" s="14">
        <v>2560</v>
      </c>
      <c r="L392" s="15">
        <v>1812549</v>
      </c>
      <c r="M392" t="s" s="13">
        <v>6706</v>
      </c>
      <c r="N392" s="15">
        <v>133942</v>
      </c>
      <c r="O392" s="17" cm="1">
        <f t="array" ref="O392">(H393-H392)/H392</f>
        <v>-0.0120682224000985</v>
      </c>
      <c r="P392" s="8"/>
      <c r="Q392" s="8"/>
    </row>
    <row r="393" ht="13.65" customHeight="1">
      <c r="A393" s="18">
        <v>44847</v>
      </c>
      <c r="B393" t="s" s="13">
        <v>22</v>
      </c>
      <c r="C393" s="14">
        <v>3230.1</v>
      </c>
      <c r="D393" s="14">
        <v>3258.2</v>
      </c>
      <c r="E393" s="14">
        <v>3193.9</v>
      </c>
      <c r="F393" s="14">
        <v>3248.2</v>
      </c>
      <c r="G393" s="14">
        <v>3206</v>
      </c>
      <c r="H393" s="14">
        <v>3209</v>
      </c>
      <c r="I393" s="14">
        <v>3215.23</v>
      </c>
      <c r="J393" s="14">
        <v>3590</v>
      </c>
      <c r="K393" s="14">
        <v>2560</v>
      </c>
      <c r="L393" s="15">
        <v>779890</v>
      </c>
      <c r="M393" t="s" s="13">
        <v>6707</v>
      </c>
      <c r="N393" s="15">
        <v>74367</v>
      </c>
      <c r="O393" s="17" cm="1">
        <f t="array" ref="O393">(H394-H393)/H393</f>
        <v>-0.00732315363041446</v>
      </c>
      <c r="P393" s="8"/>
      <c r="Q393" s="8"/>
    </row>
    <row r="394" ht="13.65" customHeight="1">
      <c r="A394" s="18">
        <v>44848</v>
      </c>
      <c r="B394" t="s" s="13">
        <v>22</v>
      </c>
      <c r="C394" s="14">
        <v>3235</v>
      </c>
      <c r="D394" s="14">
        <v>3246</v>
      </c>
      <c r="E394" s="14">
        <v>3180</v>
      </c>
      <c r="F394" s="14">
        <v>3209</v>
      </c>
      <c r="G394" s="14">
        <v>3183</v>
      </c>
      <c r="H394" s="14">
        <v>3185.5</v>
      </c>
      <c r="I394" s="14">
        <v>3211.67</v>
      </c>
      <c r="J394" s="14">
        <v>3590</v>
      </c>
      <c r="K394" s="14">
        <v>2560</v>
      </c>
      <c r="L394" s="15">
        <v>845765</v>
      </c>
      <c r="M394" t="s" s="13">
        <v>6708</v>
      </c>
      <c r="N394" s="15">
        <v>55990</v>
      </c>
      <c r="O394" s="17" cm="1">
        <f t="array" ref="O394">(H395-H394)/H394</f>
        <v>0.00379846177994035</v>
      </c>
      <c r="P394" s="8"/>
      <c r="Q394" s="8"/>
    </row>
    <row r="395" ht="13.65" customHeight="1">
      <c r="A395" s="18">
        <v>44851</v>
      </c>
      <c r="B395" t="s" s="13">
        <v>22</v>
      </c>
      <c r="C395" s="14">
        <v>3185.5</v>
      </c>
      <c r="D395" s="14">
        <v>3218</v>
      </c>
      <c r="E395" s="14">
        <v>3170.1</v>
      </c>
      <c r="F395" s="14">
        <v>3185.5</v>
      </c>
      <c r="G395" s="14">
        <v>3198</v>
      </c>
      <c r="H395" s="14">
        <v>3197.6</v>
      </c>
      <c r="I395" s="14">
        <v>3198.99</v>
      </c>
      <c r="J395" s="14">
        <v>3590</v>
      </c>
      <c r="K395" s="14">
        <v>2560</v>
      </c>
      <c r="L395" s="15">
        <v>1067773</v>
      </c>
      <c r="M395" t="s" s="13">
        <v>6709</v>
      </c>
      <c r="N395" s="15">
        <v>65211</v>
      </c>
      <c r="O395" s="17" cm="1">
        <f t="array" ref="O395">(H396-H395)/H395</f>
        <v>0.00883475106329747</v>
      </c>
      <c r="P395" s="8"/>
      <c r="Q395" s="8"/>
    </row>
    <row r="396" ht="13.65" customHeight="1">
      <c r="A396" s="18">
        <v>44852</v>
      </c>
      <c r="B396" t="s" s="13">
        <v>22</v>
      </c>
      <c r="C396" s="14">
        <v>3218</v>
      </c>
      <c r="D396" s="14">
        <v>3250</v>
      </c>
      <c r="E396" s="14">
        <v>3212</v>
      </c>
      <c r="F396" s="14">
        <v>3197.6</v>
      </c>
      <c r="G396" s="14">
        <v>3231.85</v>
      </c>
      <c r="H396" s="14">
        <v>3225.85</v>
      </c>
      <c r="I396" s="14">
        <v>3229.21</v>
      </c>
      <c r="J396" s="14">
        <v>3590</v>
      </c>
      <c r="K396" s="14">
        <v>2560</v>
      </c>
      <c r="L396" s="15">
        <v>1015424</v>
      </c>
      <c r="M396" t="s" s="13">
        <v>6710</v>
      </c>
      <c r="N396" s="15">
        <v>92234</v>
      </c>
      <c r="O396" s="17" cm="1">
        <f t="array" ref="O396">(H397-H396)/H396</f>
        <v>-0.00406094517724011</v>
      </c>
      <c r="P396" s="8"/>
      <c r="Q396" s="8"/>
    </row>
    <row r="397" ht="13.65" customHeight="1">
      <c r="A397" s="18">
        <v>44853</v>
      </c>
      <c r="B397" t="s" s="13">
        <v>22</v>
      </c>
      <c r="C397" s="14">
        <v>3242</v>
      </c>
      <c r="D397" s="14">
        <v>3245.7</v>
      </c>
      <c r="E397" s="14">
        <v>3196.35</v>
      </c>
      <c r="F397" s="14">
        <v>3225.85</v>
      </c>
      <c r="G397" s="14">
        <v>3216</v>
      </c>
      <c r="H397" s="14">
        <v>3212.75</v>
      </c>
      <c r="I397" s="14">
        <v>3216.8</v>
      </c>
      <c r="J397" s="14">
        <v>3590</v>
      </c>
      <c r="K397" s="14">
        <v>2560</v>
      </c>
      <c r="L397" s="15">
        <v>943543</v>
      </c>
      <c r="M397" t="s" s="13">
        <v>6711</v>
      </c>
      <c r="N397" s="15">
        <v>76643</v>
      </c>
      <c r="O397" s="17" cm="1">
        <f t="array" ref="O397">(H398-H397)/H397</f>
        <v>-0.0223640183643296</v>
      </c>
      <c r="P397" s="8"/>
      <c r="Q397" s="8"/>
    </row>
    <row r="398" ht="13.65" customHeight="1">
      <c r="A398" s="18">
        <v>44854</v>
      </c>
      <c r="B398" t="s" s="13">
        <v>22</v>
      </c>
      <c r="C398" s="14">
        <v>3198</v>
      </c>
      <c r="D398" s="14">
        <v>3241.85</v>
      </c>
      <c r="E398" s="14">
        <v>3101.8</v>
      </c>
      <c r="F398" s="14">
        <v>3212.75</v>
      </c>
      <c r="G398" s="14">
        <v>3145</v>
      </c>
      <c r="H398" s="14">
        <v>3140.9</v>
      </c>
      <c r="I398" s="14">
        <v>3162.57</v>
      </c>
      <c r="J398" s="14">
        <v>3590</v>
      </c>
      <c r="K398" s="14">
        <v>2560</v>
      </c>
      <c r="L398" s="15">
        <v>2284352</v>
      </c>
      <c r="M398" t="s" s="13">
        <v>6712</v>
      </c>
      <c r="N398" s="15">
        <v>151406</v>
      </c>
      <c r="O398" s="17" cm="1">
        <f t="array" ref="O398">(H399-H398)/H398</f>
        <v>-0.01544143398389</v>
      </c>
      <c r="P398" s="8"/>
      <c r="Q398" s="8"/>
    </row>
    <row r="399" ht="13.65" customHeight="1">
      <c r="A399" s="18">
        <v>44855</v>
      </c>
      <c r="B399" t="s" s="13">
        <v>22</v>
      </c>
      <c r="C399" s="14">
        <v>3140</v>
      </c>
      <c r="D399" s="14">
        <v>3164.75</v>
      </c>
      <c r="E399" s="14">
        <v>3072.65</v>
      </c>
      <c r="F399" s="14">
        <v>3140.9</v>
      </c>
      <c r="G399" s="14">
        <v>3098.05</v>
      </c>
      <c r="H399" s="14">
        <v>3092.4</v>
      </c>
      <c r="I399" s="14">
        <v>3106.88</v>
      </c>
      <c r="J399" s="14">
        <v>3590</v>
      </c>
      <c r="K399" s="14">
        <v>2560</v>
      </c>
      <c r="L399" s="15">
        <v>1738731</v>
      </c>
      <c r="M399" t="s" s="13">
        <v>6713</v>
      </c>
      <c r="N399" s="15">
        <v>129423</v>
      </c>
      <c r="O399" s="17" cm="1">
        <f t="array" ref="O399">(H400-H399)/H399</f>
        <v>0.009458672875436549</v>
      </c>
      <c r="P399" s="8"/>
      <c r="Q399" s="8"/>
    </row>
    <row r="400" ht="13.65" customHeight="1">
      <c r="A400" s="18">
        <v>44858</v>
      </c>
      <c r="B400" t="s" s="13">
        <v>22</v>
      </c>
      <c r="C400" s="14">
        <v>3150</v>
      </c>
      <c r="D400" s="14">
        <v>3159</v>
      </c>
      <c r="E400" s="14">
        <v>3116</v>
      </c>
      <c r="F400" s="14">
        <v>3092.4</v>
      </c>
      <c r="G400" s="14">
        <v>3120.45</v>
      </c>
      <c r="H400" s="14">
        <v>3121.65</v>
      </c>
      <c r="I400" s="14">
        <v>3127.44</v>
      </c>
      <c r="J400" s="14">
        <v>3590</v>
      </c>
      <c r="K400" s="14">
        <v>2560</v>
      </c>
      <c r="L400" s="15">
        <v>178709</v>
      </c>
      <c r="M400" t="s" s="13">
        <v>6714</v>
      </c>
      <c r="N400" s="15">
        <v>22574</v>
      </c>
      <c r="O400" s="17" cm="1">
        <f t="array" ref="O400">(H401-H400)/H400</f>
        <v>-0.0117726202489068</v>
      </c>
      <c r="P400" s="8"/>
      <c r="Q400" s="8"/>
    </row>
    <row r="401" ht="13.65" customHeight="1">
      <c r="A401" s="18">
        <v>44859</v>
      </c>
      <c r="B401" t="s" s="13">
        <v>22</v>
      </c>
      <c r="C401" s="14">
        <v>3134</v>
      </c>
      <c r="D401" s="14">
        <v>3135</v>
      </c>
      <c r="E401" s="14">
        <v>3079.9</v>
      </c>
      <c r="F401" s="14">
        <v>3121.65</v>
      </c>
      <c r="G401" s="14">
        <v>3082.5</v>
      </c>
      <c r="H401" s="14">
        <v>3084.9</v>
      </c>
      <c r="I401" s="14">
        <v>3102.6</v>
      </c>
      <c r="J401" s="14">
        <v>3590</v>
      </c>
      <c r="K401" s="14">
        <v>2560</v>
      </c>
      <c r="L401" s="15">
        <v>1016316</v>
      </c>
      <c r="M401" t="s" s="13">
        <v>6715</v>
      </c>
      <c r="N401" s="15">
        <v>68943</v>
      </c>
      <c r="O401" s="17" cm="1">
        <f t="array" ref="O401">(H402-H401)/H401</f>
        <v>-0.0134364160912833</v>
      </c>
      <c r="P401" s="8"/>
      <c r="Q401" s="8"/>
    </row>
    <row r="402" ht="13.65" customHeight="1">
      <c r="A402" s="18">
        <v>44861</v>
      </c>
      <c r="B402" t="s" s="13">
        <v>22</v>
      </c>
      <c r="C402" s="14">
        <v>3123</v>
      </c>
      <c r="D402" s="14">
        <v>3123</v>
      </c>
      <c r="E402" s="14">
        <v>3033</v>
      </c>
      <c r="F402" s="14">
        <v>3084.9</v>
      </c>
      <c r="G402" s="14">
        <v>3050.95</v>
      </c>
      <c r="H402" s="14">
        <v>3043.45</v>
      </c>
      <c r="I402" s="14">
        <v>3057.91</v>
      </c>
      <c r="J402" s="14">
        <v>3590</v>
      </c>
      <c r="K402" s="14">
        <v>2560</v>
      </c>
      <c r="L402" s="15">
        <v>2005709</v>
      </c>
      <c r="M402" t="s" s="13">
        <v>6716</v>
      </c>
      <c r="N402" s="15">
        <v>127839</v>
      </c>
      <c r="O402" s="17" cm="1">
        <f t="array" ref="O402">(H403-H402)/H402</f>
        <v>0.00326931607222067</v>
      </c>
      <c r="P402" s="8"/>
      <c r="Q402" s="8"/>
    </row>
    <row r="403" ht="13.65" customHeight="1">
      <c r="A403" s="18">
        <v>44862</v>
      </c>
      <c r="B403" t="s" s="13">
        <v>22</v>
      </c>
      <c r="C403" s="14">
        <v>3058.7</v>
      </c>
      <c r="D403" s="14">
        <v>3071.6</v>
      </c>
      <c r="E403" s="14">
        <v>3040</v>
      </c>
      <c r="F403" s="14">
        <v>3043.45</v>
      </c>
      <c r="G403" s="14">
        <v>3054</v>
      </c>
      <c r="H403" s="14">
        <v>3053.4</v>
      </c>
      <c r="I403" s="14">
        <v>3051.72</v>
      </c>
      <c r="J403" s="14">
        <v>3590</v>
      </c>
      <c r="K403" s="14">
        <v>2560</v>
      </c>
      <c r="L403" s="15">
        <v>715736</v>
      </c>
      <c r="M403" t="s" s="13">
        <v>6717</v>
      </c>
      <c r="N403" s="15">
        <v>65312</v>
      </c>
      <c r="O403" s="17" cm="1">
        <f t="array" ref="O403">(H404-H403)/H403</f>
        <v>0.0177834545097269</v>
      </c>
      <c r="P403" s="8"/>
      <c r="Q403" s="8"/>
    </row>
    <row r="404" ht="13.65" customHeight="1">
      <c r="A404" s="18">
        <v>44865</v>
      </c>
      <c r="B404" t="s" s="13">
        <v>22</v>
      </c>
      <c r="C404" s="14">
        <v>3082</v>
      </c>
      <c r="D404" s="14">
        <v>3113</v>
      </c>
      <c r="E404" s="14">
        <v>3061.05</v>
      </c>
      <c r="F404" s="14">
        <v>3053.4</v>
      </c>
      <c r="G404" s="14">
        <v>3111</v>
      </c>
      <c r="H404" s="14">
        <v>3107.7</v>
      </c>
      <c r="I404" s="14">
        <v>3090.44</v>
      </c>
      <c r="J404" s="14">
        <v>3590</v>
      </c>
      <c r="K404" s="14">
        <v>2560</v>
      </c>
      <c r="L404" s="15">
        <v>814364</v>
      </c>
      <c r="M404" t="s" s="13">
        <v>6718</v>
      </c>
      <c r="N404" s="15">
        <v>62186</v>
      </c>
      <c r="O404" s="17" cm="1">
        <f t="array" ref="O404">(H405-H404)/H404</f>
        <v>0.0166360974354024</v>
      </c>
      <c r="P404" s="8"/>
      <c r="Q404" s="8"/>
    </row>
    <row r="405" ht="13.65" customHeight="1">
      <c r="A405" s="12">
        <v>44866</v>
      </c>
      <c r="B405" t="s" s="13">
        <v>22</v>
      </c>
      <c r="C405" s="14">
        <v>3110.5</v>
      </c>
      <c r="D405" s="14">
        <v>3164.4</v>
      </c>
      <c r="E405" s="14">
        <v>3110.5</v>
      </c>
      <c r="F405" s="14">
        <v>3107.7</v>
      </c>
      <c r="G405" s="14">
        <v>3156</v>
      </c>
      <c r="H405" s="14">
        <v>3159.4</v>
      </c>
      <c r="I405" s="14">
        <v>3143.5</v>
      </c>
      <c r="J405" s="14">
        <v>3590</v>
      </c>
      <c r="K405" s="14">
        <v>2560</v>
      </c>
      <c r="L405" s="15">
        <v>939335</v>
      </c>
      <c r="M405" t="s" s="13">
        <v>6719</v>
      </c>
      <c r="N405" s="15">
        <v>83915</v>
      </c>
      <c r="O405" s="17" cm="1">
        <f t="array" ref="O405">(H406-H405)/H405</f>
        <v>-0.00870418433879851</v>
      </c>
      <c r="P405" s="8"/>
      <c r="Q405" s="8"/>
    </row>
    <row r="406" ht="13.65" customHeight="1">
      <c r="A406" s="12">
        <v>44867</v>
      </c>
      <c r="B406" t="s" s="13">
        <v>22</v>
      </c>
      <c r="C406" s="14">
        <v>3158</v>
      </c>
      <c r="D406" s="14">
        <v>3159.95</v>
      </c>
      <c r="E406" s="14">
        <v>3122.1</v>
      </c>
      <c r="F406" s="14">
        <v>3159.4</v>
      </c>
      <c r="G406" s="14">
        <v>3130</v>
      </c>
      <c r="H406" s="14">
        <v>3131.9</v>
      </c>
      <c r="I406" s="14">
        <v>3134.73</v>
      </c>
      <c r="J406" s="14">
        <v>3590</v>
      </c>
      <c r="K406" s="14">
        <v>2560</v>
      </c>
      <c r="L406" s="15">
        <v>787012</v>
      </c>
      <c r="M406" t="s" s="13">
        <v>6720</v>
      </c>
      <c r="N406" s="15">
        <v>68099</v>
      </c>
      <c r="O406" s="17" cm="1">
        <f t="array" ref="O406">(H407-H406)/H406</f>
        <v>0.00300137296848558</v>
      </c>
      <c r="P406" s="8"/>
      <c r="Q406" s="8"/>
    </row>
    <row r="407" ht="13.65" customHeight="1">
      <c r="A407" s="12">
        <v>44868</v>
      </c>
      <c r="B407" t="s" s="13">
        <v>22</v>
      </c>
      <c r="C407" s="14">
        <v>3105</v>
      </c>
      <c r="D407" s="14">
        <v>3148.75</v>
      </c>
      <c r="E407" s="14">
        <v>3105</v>
      </c>
      <c r="F407" s="14">
        <v>3131.9</v>
      </c>
      <c r="G407" s="14">
        <v>3137.55</v>
      </c>
      <c r="H407" s="14">
        <v>3141.3</v>
      </c>
      <c r="I407" s="14">
        <v>3122.72</v>
      </c>
      <c r="J407" s="14">
        <v>3590</v>
      </c>
      <c r="K407" s="14">
        <v>2560</v>
      </c>
      <c r="L407" s="15">
        <v>563798</v>
      </c>
      <c r="M407" t="s" s="13">
        <v>6721</v>
      </c>
      <c r="N407" s="15">
        <v>48432</v>
      </c>
      <c r="O407" s="17" cm="1">
        <f t="array" ref="O407">(H408-H407)/H407</f>
        <v>0.012749498615223</v>
      </c>
      <c r="P407" s="8"/>
      <c r="Q407" s="8"/>
    </row>
    <row r="408" ht="13.65" customHeight="1">
      <c r="A408" s="12">
        <v>44869</v>
      </c>
      <c r="B408" t="s" s="13">
        <v>22</v>
      </c>
      <c r="C408" s="14">
        <v>3148</v>
      </c>
      <c r="D408" s="14">
        <v>3185</v>
      </c>
      <c r="E408" s="14">
        <v>3125.9</v>
      </c>
      <c r="F408" s="14">
        <v>3141.3</v>
      </c>
      <c r="G408" s="14">
        <v>3185</v>
      </c>
      <c r="H408" s="14">
        <v>3181.35</v>
      </c>
      <c r="I408" s="14">
        <v>3159.87</v>
      </c>
      <c r="J408" s="14">
        <v>3590</v>
      </c>
      <c r="K408" s="14">
        <v>2560</v>
      </c>
      <c r="L408" s="15">
        <v>609757</v>
      </c>
      <c r="M408" t="s" s="13">
        <v>6722</v>
      </c>
      <c r="N408" s="15">
        <v>45557</v>
      </c>
      <c r="O408" s="17" cm="1">
        <f t="array" ref="O408">(H409-H408)/H408</f>
        <v>-0.0244550269539661</v>
      </c>
      <c r="P408" s="8"/>
      <c r="Q408" s="8"/>
    </row>
    <row r="409" ht="13.65" customHeight="1">
      <c r="A409" s="12">
        <v>44872</v>
      </c>
      <c r="B409" t="s" s="13">
        <v>22</v>
      </c>
      <c r="C409" s="14">
        <v>3186</v>
      </c>
      <c r="D409" s="14">
        <v>3198</v>
      </c>
      <c r="E409" s="14">
        <v>3097.45</v>
      </c>
      <c r="F409" s="14">
        <v>3181.35</v>
      </c>
      <c r="G409" s="14">
        <v>3106.85</v>
      </c>
      <c r="H409" s="14">
        <v>3103.55</v>
      </c>
      <c r="I409" s="14">
        <v>3118.44</v>
      </c>
      <c r="J409" s="14">
        <v>3590</v>
      </c>
      <c r="K409" s="14">
        <v>2560</v>
      </c>
      <c r="L409" s="15">
        <v>1669943</v>
      </c>
      <c r="M409" t="s" s="13">
        <v>6723</v>
      </c>
      <c r="N409" s="15">
        <v>120236</v>
      </c>
      <c r="O409" s="17" cm="1">
        <f t="array" ref="O409">(H410-H409)/H409</f>
        <v>-0.0054937088173221</v>
      </c>
      <c r="P409" s="8"/>
      <c r="Q409" s="8"/>
    </row>
    <row r="410" ht="13.65" customHeight="1">
      <c r="A410" s="12">
        <v>44874</v>
      </c>
      <c r="B410" t="s" s="13">
        <v>22</v>
      </c>
      <c r="C410" s="14">
        <v>3146</v>
      </c>
      <c r="D410" s="14">
        <v>3146</v>
      </c>
      <c r="E410" s="14">
        <v>3080</v>
      </c>
      <c r="F410" s="14">
        <v>3103.55</v>
      </c>
      <c r="G410" s="14">
        <v>3082</v>
      </c>
      <c r="H410" s="14">
        <v>3086.5</v>
      </c>
      <c r="I410" s="14">
        <v>3096.83</v>
      </c>
      <c r="J410" s="14">
        <v>3590</v>
      </c>
      <c r="K410" s="14">
        <v>2560</v>
      </c>
      <c r="L410" s="15">
        <v>1391333</v>
      </c>
      <c r="M410" t="s" s="13">
        <v>6724</v>
      </c>
      <c r="N410" s="15">
        <v>94315</v>
      </c>
      <c r="O410" s="17" cm="1">
        <f t="array" ref="O410">(H411-H410)/H410</f>
        <v>-0.0133970516766564</v>
      </c>
      <c r="P410" s="8"/>
      <c r="Q410" s="8"/>
    </row>
    <row r="411" ht="13.65" customHeight="1">
      <c r="A411" s="18">
        <v>44875</v>
      </c>
      <c r="B411" t="s" s="13">
        <v>22</v>
      </c>
      <c r="C411" s="14">
        <v>3086</v>
      </c>
      <c r="D411" s="14">
        <v>3086</v>
      </c>
      <c r="E411" s="14">
        <v>3033.5</v>
      </c>
      <c r="F411" s="14">
        <v>3086.5</v>
      </c>
      <c r="G411" s="14">
        <v>3054.7</v>
      </c>
      <c r="H411" s="14">
        <v>3045.15</v>
      </c>
      <c r="I411" s="14">
        <v>3052.6</v>
      </c>
      <c r="J411" s="14">
        <v>3590</v>
      </c>
      <c r="K411" s="14">
        <v>2560</v>
      </c>
      <c r="L411" s="15">
        <v>1375007</v>
      </c>
      <c r="M411" t="s" s="13">
        <v>6725</v>
      </c>
      <c r="N411" s="15">
        <v>84787</v>
      </c>
      <c r="O411" s="17" cm="1">
        <f t="array" ref="O411">(H412-H411)/H411</f>
        <v>0.00336600824261531</v>
      </c>
      <c r="P411" s="8"/>
      <c r="Q411" s="8"/>
    </row>
    <row r="412" ht="13.65" customHeight="1">
      <c r="A412" s="18">
        <v>44876</v>
      </c>
      <c r="B412" t="s" s="13">
        <v>22</v>
      </c>
      <c r="C412" s="14">
        <v>3090.7</v>
      </c>
      <c r="D412" s="14">
        <v>3098</v>
      </c>
      <c r="E412" s="14">
        <v>3048</v>
      </c>
      <c r="F412" s="14">
        <v>3045.15</v>
      </c>
      <c r="G412" s="14">
        <v>3060</v>
      </c>
      <c r="H412" s="14">
        <v>3055.4</v>
      </c>
      <c r="I412" s="14">
        <v>3062.76</v>
      </c>
      <c r="J412" s="14">
        <v>3590</v>
      </c>
      <c r="K412" s="14">
        <v>2560</v>
      </c>
      <c r="L412" s="15">
        <v>810288</v>
      </c>
      <c r="M412" t="s" s="13">
        <v>6726</v>
      </c>
      <c r="N412" s="15">
        <v>77928</v>
      </c>
      <c r="O412" s="17" cm="1">
        <f t="array" ref="O412">(H413-H412)/H412</f>
        <v>-0.000720036656411599</v>
      </c>
      <c r="P412" s="8"/>
      <c r="Q412" s="8"/>
    </row>
    <row r="413" ht="13.65" customHeight="1">
      <c r="A413" s="18">
        <v>44879</v>
      </c>
      <c r="B413" t="s" s="13">
        <v>22</v>
      </c>
      <c r="C413" s="14">
        <v>3056</v>
      </c>
      <c r="D413" s="14">
        <v>3077.95</v>
      </c>
      <c r="E413" s="14">
        <v>3041.05</v>
      </c>
      <c r="F413" s="14">
        <v>3055.4</v>
      </c>
      <c r="G413" s="14">
        <v>3054.5</v>
      </c>
      <c r="H413" s="14">
        <v>3053.2</v>
      </c>
      <c r="I413" s="14">
        <v>3053.2</v>
      </c>
      <c r="J413" s="14">
        <v>3590</v>
      </c>
      <c r="K413" s="14">
        <v>2560</v>
      </c>
      <c r="L413" s="15">
        <v>811702</v>
      </c>
      <c r="M413" t="s" s="13">
        <v>6727</v>
      </c>
      <c r="N413" s="15">
        <v>67895</v>
      </c>
      <c r="O413" s="17" cm="1">
        <f t="array" ref="O413">(H414-H413)/H413</f>
        <v>0.00854840822743351</v>
      </c>
      <c r="P413" s="8"/>
      <c r="Q413" s="8"/>
    </row>
    <row r="414" ht="13.65" customHeight="1">
      <c r="A414" s="18">
        <v>44880</v>
      </c>
      <c r="B414" t="s" s="13">
        <v>22</v>
      </c>
      <c r="C414" s="14">
        <v>3068.5</v>
      </c>
      <c r="D414" s="14">
        <v>3095</v>
      </c>
      <c r="E414" s="14">
        <v>3042</v>
      </c>
      <c r="F414" s="14">
        <v>3053.2</v>
      </c>
      <c r="G414" s="14">
        <v>3093</v>
      </c>
      <c r="H414" s="14">
        <v>3079.3</v>
      </c>
      <c r="I414" s="14">
        <v>3059.33</v>
      </c>
      <c r="J414" s="14">
        <v>3590</v>
      </c>
      <c r="K414" s="14">
        <v>2560</v>
      </c>
      <c r="L414" s="15">
        <v>873840</v>
      </c>
      <c r="M414" t="s" s="13">
        <v>6728</v>
      </c>
      <c r="N414" s="15">
        <v>57620</v>
      </c>
      <c r="O414" s="17" cm="1">
        <f t="array" ref="O414">(H415-H414)/H414</f>
        <v>0.00121780924236028</v>
      </c>
      <c r="P414" s="8"/>
      <c r="Q414" s="8"/>
    </row>
    <row r="415" ht="13.65" customHeight="1">
      <c r="A415" s="18">
        <v>44881</v>
      </c>
      <c r="B415" t="s" s="13">
        <v>22</v>
      </c>
      <c r="C415" s="14">
        <v>3079.3</v>
      </c>
      <c r="D415" s="14">
        <v>3093</v>
      </c>
      <c r="E415" s="14">
        <v>3051</v>
      </c>
      <c r="F415" s="14">
        <v>3079.3</v>
      </c>
      <c r="G415" s="14">
        <v>3081.3</v>
      </c>
      <c r="H415" s="14">
        <v>3083.05</v>
      </c>
      <c r="I415" s="14">
        <v>3069.95</v>
      </c>
      <c r="J415" s="14">
        <v>3590</v>
      </c>
      <c r="K415" s="14">
        <v>2560</v>
      </c>
      <c r="L415" s="15">
        <v>770953</v>
      </c>
      <c r="M415" t="s" s="13">
        <v>6729</v>
      </c>
      <c r="N415" s="15">
        <v>70106</v>
      </c>
      <c r="O415" s="17" cm="1">
        <f t="array" ref="O415">(H416-H415)/H415</f>
        <v>-0.00371385478665607</v>
      </c>
      <c r="P415" s="8"/>
      <c r="Q415" s="8"/>
    </row>
    <row r="416" ht="13.65" customHeight="1">
      <c r="A416" s="18">
        <v>44882</v>
      </c>
      <c r="B416" t="s" s="13">
        <v>22</v>
      </c>
      <c r="C416" s="14">
        <v>3092</v>
      </c>
      <c r="D416" s="14">
        <v>3096.55</v>
      </c>
      <c r="E416" s="14">
        <v>3060</v>
      </c>
      <c r="F416" s="14">
        <v>3083.05</v>
      </c>
      <c r="G416" s="14">
        <v>3061.9</v>
      </c>
      <c r="H416" s="14">
        <v>3071.6</v>
      </c>
      <c r="I416" s="14">
        <v>3079.61</v>
      </c>
      <c r="J416" s="14">
        <v>3590</v>
      </c>
      <c r="K416" s="14">
        <v>2560</v>
      </c>
      <c r="L416" s="15">
        <v>706271</v>
      </c>
      <c r="M416" t="s" s="13">
        <v>6730</v>
      </c>
      <c r="N416" s="15">
        <v>46590</v>
      </c>
      <c r="O416" s="17" cm="1">
        <f t="array" ref="O416">(H417-H416)/H416</f>
        <v>0.00778096106263836</v>
      </c>
      <c r="P416" s="8"/>
      <c r="Q416" s="8"/>
    </row>
    <row r="417" ht="13.65" customHeight="1">
      <c r="A417" s="18">
        <v>44883</v>
      </c>
      <c r="B417" t="s" s="13">
        <v>22</v>
      </c>
      <c r="C417" s="14">
        <v>3095</v>
      </c>
      <c r="D417" s="14">
        <v>3114.85</v>
      </c>
      <c r="E417" s="14">
        <v>3055.75</v>
      </c>
      <c r="F417" s="14">
        <v>3071.6</v>
      </c>
      <c r="G417" s="14">
        <v>3100</v>
      </c>
      <c r="H417" s="14">
        <v>3095.5</v>
      </c>
      <c r="I417" s="14">
        <v>3087.88</v>
      </c>
      <c r="J417" s="14">
        <v>3590</v>
      </c>
      <c r="K417" s="14">
        <v>2560</v>
      </c>
      <c r="L417" s="15">
        <v>1258576</v>
      </c>
      <c r="M417" t="s" s="13">
        <v>6731</v>
      </c>
      <c r="N417" s="15">
        <v>96466</v>
      </c>
      <c r="O417" s="17" cm="1">
        <f t="array" ref="O417">(H418-H417)/H417</f>
        <v>-6.4609917622355e-05</v>
      </c>
      <c r="P417" s="8"/>
      <c r="Q417" s="8"/>
    </row>
    <row r="418" ht="13.65" customHeight="1">
      <c r="A418" s="18">
        <v>44886</v>
      </c>
      <c r="B418" t="s" s="13">
        <v>22</v>
      </c>
      <c r="C418" s="14">
        <v>3105</v>
      </c>
      <c r="D418" s="14">
        <v>3110.35</v>
      </c>
      <c r="E418" s="14">
        <v>3066.2</v>
      </c>
      <c r="F418" s="14">
        <v>3095.5</v>
      </c>
      <c r="G418" s="14">
        <v>3092</v>
      </c>
      <c r="H418" s="14">
        <v>3095.3</v>
      </c>
      <c r="I418" s="14">
        <v>3089.68</v>
      </c>
      <c r="J418" s="14">
        <v>3590</v>
      </c>
      <c r="K418" s="14">
        <v>2560</v>
      </c>
      <c r="L418" s="15">
        <v>612194</v>
      </c>
      <c r="M418" t="s" s="13">
        <v>6732</v>
      </c>
      <c r="N418" s="15">
        <v>45258</v>
      </c>
      <c r="O418" s="17" cm="1">
        <f t="array" ref="O418">(H419-H418)/H418</f>
        <v>0.00276225244725875</v>
      </c>
      <c r="P418" s="8"/>
      <c r="Q418" s="8"/>
    </row>
    <row r="419" ht="13.65" customHeight="1">
      <c r="A419" s="18">
        <v>44887</v>
      </c>
      <c r="B419" t="s" s="13">
        <v>22</v>
      </c>
      <c r="C419" s="14">
        <v>3104</v>
      </c>
      <c r="D419" s="14">
        <v>3119.5</v>
      </c>
      <c r="E419" s="14">
        <v>3072.3</v>
      </c>
      <c r="F419" s="14">
        <v>3095.3</v>
      </c>
      <c r="G419" s="14">
        <v>3104.8</v>
      </c>
      <c r="H419" s="14">
        <v>3103.85</v>
      </c>
      <c r="I419" s="14">
        <v>3105.36</v>
      </c>
      <c r="J419" s="14">
        <v>3590</v>
      </c>
      <c r="K419" s="14">
        <v>2560</v>
      </c>
      <c r="L419" s="15">
        <v>764079</v>
      </c>
      <c r="M419" t="s" s="13">
        <v>6733</v>
      </c>
      <c r="N419" s="15">
        <v>58127</v>
      </c>
      <c r="O419" s="17" cm="1">
        <f t="array" ref="O419">(H420-H419)/H419</f>
        <v>-0.0009826505791194809</v>
      </c>
      <c r="P419" s="8"/>
      <c r="Q419" s="8"/>
    </row>
    <row r="420" ht="13.65" customHeight="1">
      <c r="A420" s="18">
        <v>44888</v>
      </c>
      <c r="B420" t="s" s="13">
        <v>22</v>
      </c>
      <c r="C420" s="14">
        <v>3111</v>
      </c>
      <c r="D420" s="14">
        <v>3114.8</v>
      </c>
      <c r="E420" s="14">
        <v>3090</v>
      </c>
      <c r="F420" s="14">
        <v>3103.85</v>
      </c>
      <c r="G420" s="14">
        <v>3096.35</v>
      </c>
      <c r="H420" s="14">
        <v>3100.8</v>
      </c>
      <c r="I420" s="14">
        <v>3101.49</v>
      </c>
      <c r="J420" s="14">
        <v>3590</v>
      </c>
      <c r="K420" s="14">
        <v>2560</v>
      </c>
      <c r="L420" s="15">
        <v>488341</v>
      </c>
      <c r="M420" t="s" s="13">
        <v>6734</v>
      </c>
      <c r="N420" s="15">
        <v>37792</v>
      </c>
      <c r="O420" s="17" cm="1">
        <f t="array" ref="O420">(H421-H420)/H420</f>
        <v>0.00467621259029928</v>
      </c>
      <c r="P420" s="8"/>
      <c r="Q420" s="8"/>
    </row>
    <row r="421" ht="13.65" customHeight="1">
      <c r="A421" s="18">
        <v>44889</v>
      </c>
      <c r="B421" t="s" s="13">
        <v>22</v>
      </c>
      <c r="C421" s="14">
        <v>3117.95</v>
      </c>
      <c r="D421" s="14">
        <v>3120.25</v>
      </c>
      <c r="E421" s="14">
        <v>3092</v>
      </c>
      <c r="F421" s="14">
        <v>3100.8</v>
      </c>
      <c r="G421" s="14">
        <v>3119.85</v>
      </c>
      <c r="H421" s="14">
        <v>3115.3</v>
      </c>
      <c r="I421" s="14">
        <v>3106.81</v>
      </c>
      <c r="J421" s="14">
        <v>3590</v>
      </c>
      <c r="K421" s="14">
        <v>2560</v>
      </c>
      <c r="L421" s="15">
        <v>571872</v>
      </c>
      <c r="M421" t="s" s="13">
        <v>6735</v>
      </c>
      <c r="N421" s="15">
        <v>42563</v>
      </c>
      <c r="O421" s="17" cm="1">
        <f t="array" ref="O421">(H422-H421)/H421</f>
        <v>-0.00229512406509806</v>
      </c>
      <c r="P421" s="8"/>
      <c r="Q421" s="8"/>
    </row>
    <row r="422" ht="13.65" customHeight="1">
      <c r="A422" s="18">
        <v>44890</v>
      </c>
      <c r="B422" t="s" s="13">
        <v>22</v>
      </c>
      <c r="C422" s="14">
        <v>3115.3</v>
      </c>
      <c r="D422" s="14">
        <v>3119.8</v>
      </c>
      <c r="E422" s="14">
        <v>3075.25</v>
      </c>
      <c r="F422" s="14">
        <v>3115.3</v>
      </c>
      <c r="G422" s="14">
        <v>3110</v>
      </c>
      <c r="H422" s="14">
        <v>3108.15</v>
      </c>
      <c r="I422" s="14">
        <v>3096.63</v>
      </c>
      <c r="J422" s="14">
        <v>3590</v>
      </c>
      <c r="K422" s="14">
        <v>2560</v>
      </c>
      <c r="L422" s="15">
        <v>898769</v>
      </c>
      <c r="M422" t="s" s="13">
        <v>6736</v>
      </c>
      <c r="N422" s="15">
        <v>53327</v>
      </c>
      <c r="O422" s="17" cm="1">
        <f t="array" ref="O422">(H423-H422)/H422</f>
        <v>0.0138506828821003</v>
      </c>
      <c r="P422" s="8"/>
      <c r="Q422" s="8"/>
    </row>
    <row r="423" ht="13.65" customHeight="1">
      <c r="A423" s="18">
        <v>44893</v>
      </c>
      <c r="B423" t="s" s="13">
        <v>22</v>
      </c>
      <c r="C423" s="14">
        <v>3108.15</v>
      </c>
      <c r="D423" s="14">
        <v>3159</v>
      </c>
      <c r="E423" s="14">
        <v>3096.7</v>
      </c>
      <c r="F423" s="14">
        <v>3108.15</v>
      </c>
      <c r="G423" s="14">
        <v>3151</v>
      </c>
      <c r="H423" s="14">
        <v>3151.2</v>
      </c>
      <c r="I423" s="14">
        <v>3140.44</v>
      </c>
      <c r="J423" s="14">
        <v>3590</v>
      </c>
      <c r="K423" s="14">
        <v>2560</v>
      </c>
      <c r="L423" s="15">
        <v>914689</v>
      </c>
      <c r="M423" t="s" s="13">
        <v>6737</v>
      </c>
      <c r="N423" s="15">
        <v>59043</v>
      </c>
      <c r="O423" s="17" cm="1">
        <f t="array" ref="O423">(H424-H423)/H423</f>
        <v>-0.00512503173394263</v>
      </c>
      <c r="P423" s="8"/>
      <c r="Q423" s="8"/>
    </row>
    <row r="424" ht="13.65" customHeight="1">
      <c r="A424" s="18">
        <v>44894</v>
      </c>
      <c r="B424" t="s" s="13">
        <v>22</v>
      </c>
      <c r="C424" s="14">
        <v>3157</v>
      </c>
      <c r="D424" s="14">
        <v>3169</v>
      </c>
      <c r="E424" s="14">
        <v>3127.15</v>
      </c>
      <c r="F424" s="14">
        <v>3151.2</v>
      </c>
      <c r="G424" s="14">
        <v>3133</v>
      </c>
      <c r="H424" s="14">
        <v>3135.05</v>
      </c>
      <c r="I424" s="14">
        <v>3143.55</v>
      </c>
      <c r="J424" s="14">
        <v>3590</v>
      </c>
      <c r="K424" s="14">
        <v>2560</v>
      </c>
      <c r="L424" s="15">
        <v>877720</v>
      </c>
      <c r="M424" t="s" s="13">
        <v>6738</v>
      </c>
      <c r="N424" s="15">
        <v>58639</v>
      </c>
      <c r="O424" s="17" cm="1">
        <f t="array" ref="O424">(H425-H424)/H424</f>
        <v>0.0127908645795123</v>
      </c>
      <c r="P424" s="8"/>
      <c r="Q424" s="8"/>
    </row>
    <row r="425" ht="13.65" customHeight="1">
      <c r="A425" s="18">
        <v>44895</v>
      </c>
      <c r="B425" t="s" s="13">
        <v>22</v>
      </c>
      <c r="C425" s="14">
        <v>3139.9</v>
      </c>
      <c r="D425" s="14">
        <v>3199.95</v>
      </c>
      <c r="E425" s="14">
        <v>3133.3</v>
      </c>
      <c r="F425" s="14">
        <v>3135.05</v>
      </c>
      <c r="G425" s="14">
        <v>3183.35</v>
      </c>
      <c r="H425" s="14">
        <v>3175.15</v>
      </c>
      <c r="I425" s="14">
        <v>3169.4</v>
      </c>
      <c r="J425" s="14">
        <v>3590</v>
      </c>
      <c r="K425" s="14">
        <v>2560</v>
      </c>
      <c r="L425" s="15">
        <v>2547283</v>
      </c>
      <c r="M425" t="s" s="13">
        <v>6739</v>
      </c>
      <c r="N425" s="15">
        <v>93819</v>
      </c>
      <c r="O425" s="17" cm="1">
        <f t="array" ref="O425">(H426-H425)/H425</f>
        <v>0.00132277215249673</v>
      </c>
      <c r="P425" s="8"/>
      <c r="Q425" s="8"/>
    </row>
    <row r="426" ht="13.65" customHeight="1">
      <c r="A426" s="12">
        <v>44896</v>
      </c>
      <c r="B426" t="s" s="13">
        <v>22</v>
      </c>
      <c r="C426" s="14">
        <v>3191</v>
      </c>
      <c r="D426" s="14">
        <v>3197</v>
      </c>
      <c r="E426" s="14">
        <v>3161.25</v>
      </c>
      <c r="F426" s="14">
        <v>3175.15</v>
      </c>
      <c r="G426" s="14">
        <v>3174</v>
      </c>
      <c r="H426" s="14">
        <v>3179.35</v>
      </c>
      <c r="I426" s="14">
        <v>3180.51</v>
      </c>
      <c r="J426" s="14">
        <v>3590</v>
      </c>
      <c r="K426" s="14">
        <v>2560</v>
      </c>
      <c r="L426" s="15">
        <v>761717</v>
      </c>
      <c r="M426" t="s" s="13">
        <v>6740</v>
      </c>
      <c r="N426" s="15">
        <v>60817</v>
      </c>
      <c r="O426" s="17" cm="1">
        <f t="array" ref="O426">(H427-H426)/H426</f>
        <v>-0.0112916162108607</v>
      </c>
      <c r="P426" s="8"/>
      <c r="Q426" s="8"/>
    </row>
    <row r="427" ht="13.65" customHeight="1">
      <c r="A427" s="12">
        <v>44897</v>
      </c>
      <c r="B427" t="s" s="13">
        <v>22</v>
      </c>
      <c r="C427" s="14">
        <v>3173.15</v>
      </c>
      <c r="D427" s="14">
        <v>3174.3</v>
      </c>
      <c r="E427" s="14">
        <v>3134</v>
      </c>
      <c r="F427" s="14">
        <v>3179.35</v>
      </c>
      <c r="G427" s="14">
        <v>3143</v>
      </c>
      <c r="H427" s="14">
        <v>3143.45</v>
      </c>
      <c r="I427" s="14">
        <v>3142.9</v>
      </c>
      <c r="J427" s="14">
        <v>3590</v>
      </c>
      <c r="K427" s="14">
        <v>2560</v>
      </c>
      <c r="L427" s="15">
        <v>932259</v>
      </c>
      <c r="M427" t="s" s="13">
        <v>6741</v>
      </c>
      <c r="N427" s="15">
        <v>64413</v>
      </c>
      <c r="O427" s="17" cm="1">
        <f t="array" ref="O427">(H428-H427)/H427</f>
        <v>0.00427873832890614</v>
      </c>
      <c r="P427" s="8"/>
      <c r="Q427" s="8"/>
    </row>
    <row r="428" ht="13.65" customHeight="1">
      <c r="A428" s="12">
        <v>44900</v>
      </c>
      <c r="B428" t="s" s="13">
        <v>22</v>
      </c>
      <c r="C428" s="14">
        <v>3130</v>
      </c>
      <c r="D428" s="14">
        <v>3168.7</v>
      </c>
      <c r="E428" s="14">
        <v>3112.5</v>
      </c>
      <c r="F428" s="14">
        <v>3143.45</v>
      </c>
      <c r="G428" s="14">
        <v>3152.05</v>
      </c>
      <c r="H428" s="14">
        <v>3156.9</v>
      </c>
      <c r="I428" s="14">
        <v>3147.5</v>
      </c>
      <c r="J428" s="14">
        <v>3590</v>
      </c>
      <c r="K428" s="14">
        <v>2560</v>
      </c>
      <c r="L428" s="15">
        <v>926122</v>
      </c>
      <c r="M428" t="s" s="13">
        <v>6742</v>
      </c>
      <c r="N428" s="15">
        <v>56163</v>
      </c>
      <c r="O428" s="17" cm="1">
        <f t="array" ref="O428">(H429-H428)/H428</f>
        <v>0.00152047895086952</v>
      </c>
      <c r="P428" s="8"/>
      <c r="Q428" s="8"/>
    </row>
    <row r="429" ht="13.65" customHeight="1">
      <c r="A429" s="12">
        <v>44901</v>
      </c>
      <c r="B429" t="s" s="13">
        <v>22</v>
      </c>
      <c r="C429" s="14">
        <v>3125</v>
      </c>
      <c r="D429" s="14">
        <v>3169</v>
      </c>
      <c r="E429" s="14">
        <v>3125</v>
      </c>
      <c r="F429" s="14">
        <v>3156.9</v>
      </c>
      <c r="G429" s="14">
        <v>3164.85</v>
      </c>
      <c r="H429" s="14">
        <v>3161.7</v>
      </c>
      <c r="I429" s="14">
        <v>3151.05</v>
      </c>
      <c r="J429" s="14">
        <v>3590</v>
      </c>
      <c r="K429" s="14">
        <v>2560</v>
      </c>
      <c r="L429" s="15">
        <v>958365</v>
      </c>
      <c r="M429" t="s" s="13">
        <v>6743</v>
      </c>
      <c r="N429" s="15">
        <v>67640</v>
      </c>
      <c r="O429" s="17" cm="1">
        <f t="array" ref="O429">(H430-H429)/H429</f>
        <v>0.0204953031596926</v>
      </c>
      <c r="P429" s="8"/>
      <c r="Q429" s="8"/>
    </row>
    <row r="430" ht="13.65" customHeight="1">
      <c r="A430" s="12">
        <v>44902</v>
      </c>
      <c r="B430" t="s" s="13">
        <v>22</v>
      </c>
      <c r="C430" s="14">
        <v>3180</v>
      </c>
      <c r="D430" s="14">
        <v>3234.7</v>
      </c>
      <c r="E430" s="14">
        <v>3176.4</v>
      </c>
      <c r="F430" s="14">
        <v>3161.7</v>
      </c>
      <c r="G430" s="14">
        <v>3222.1</v>
      </c>
      <c r="H430" s="14">
        <v>3226.5</v>
      </c>
      <c r="I430" s="14">
        <v>3205.88</v>
      </c>
      <c r="J430" s="14">
        <v>3590</v>
      </c>
      <c r="K430" s="14">
        <v>2560</v>
      </c>
      <c r="L430" s="15">
        <v>1832282</v>
      </c>
      <c r="M430" t="s" s="13">
        <v>6744</v>
      </c>
      <c r="N430" s="15">
        <v>101515</v>
      </c>
      <c r="O430" s="17" cm="1">
        <f t="array" ref="O430">(H431-H430)/H430</f>
        <v>-0.00156516348984968</v>
      </c>
      <c r="P430" s="8"/>
      <c r="Q430" s="8"/>
    </row>
    <row r="431" ht="13.65" customHeight="1">
      <c r="A431" s="12">
        <v>44903</v>
      </c>
      <c r="B431" t="s" s="13">
        <v>22</v>
      </c>
      <c r="C431" s="14">
        <v>3230</v>
      </c>
      <c r="D431" s="14">
        <v>3240.9</v>
      </c>
      <c r="E431" s="14">
        <v>3202.65</v>
      </c>
      <c r="F431" s="14">
        <v>3226.5</v>
      </c>
      <c r="G431" s="14">
        <v>3218</v>
      </c>
      <c r="H431" s="14">
        <v>3221.45</v>
      </c>
      <c r="I431" s="14">
        <v>3218.57</v>
      </c>
      <c r="J431" s="14">
        <v>3590</v>
      </c>
      <c r="K431" s="14">
        <v>2560</v>
      </c>
      <c r="L431" s="15">
        <v>851312</v>
      </c>
      <c r="M431" t="s" s="13">
        <v>6745</v>
      </c>
      <c r="N431" s="15">
        <v>58500</v>
      </c>
      <c r="O431" s="17" cm="1">
        <f t="array" ref="O431">(H432-H431)/H431</f>
        <v>0.00170730571636996</v>
      </c>
      <c r="P431" s="8"/>
      <c r="Q431" s="8"/>
    </row>
    <row r="432" ht="13.65" customHeight="1">
      <c r="A432" s="12">
        <v>44904</v>
      </c>
      <c r="B432" t="s" s="13">
        <v>22</v>
      </c>
      <c r="C432" s="14">
        <v>3235</v>
      </c>
      <c r="D432" s="14">
        <v>3242.35</v>
      </c>
      <c r="E432" s="14">
        <v>3206</v>
      </c>
      <c r="F432" s="14">
        <v>3221.45</v>
      </c>
      <c r="G432" s="14">
        <v>3225.9</v>
      </c>
      <c r="H432" s="14">
        <v>3226.95</v>
      </c>
      <c r="I432" s="14">
        <v>3228.51</v>
      </c>
      <c r="J432" s="14">
        <v>3590</v>
      </c>
      <c r="K432" s="14">
        <v>2560</v>
      </c>
      <c r="L432" s="15">
        <v>847879</v>
      </c>
      <c r="M432" t="s" s="13">
        <v>6746</v>
      </c>
      <c r="N432" s="15">
        <v>78188</v>
      </c>
      <c r="O432" s="17" cm="1">
        <f t="array" ref="O432">(H433-H432)/H432</f>
        <v>-0.0187793427230047</v>
      </c>
      <c r="P432" s="8"/>
      <c r="Q432" s="8"/>
    </row>
    <row r="433" ht="13.65" customHeight="1">
      <c r="A433" s="18">
        <v>44907</v>
      </c>
      <c r="B433" t="s" s="13">
        <v>22</v>
      </c>
      <c r="C433" s="14">
        <v>3227</v>
      </c>
      <c r="D433" s="14">
        <v>3230</v>
      </c>
      <c r="E433" s="14">
        <v>3141.9</v>
      </c>
      <c r="F433" s="14">
        <v>3226.95</v>
      </c>
      <c r="G433" s="14">
        <v>3167</v>
      </c>
      <c r="H433" s="14">
        <v>3166.35</v>
      </c>
      <c r="I433" s="14">
        <v>3165.27</v>
      </c>
      <c r="J433" s="14">
        <v>3590</v>
      </c>
      <c r="K433" s="14">
        <v>2560</v>
      </c>
      <c r="L433" s="15">
        <v>1323816</v>
      </c>
      <c r="M433" t="s" s="13">
        <v>6747</v>
      </c>
      <c r="N433" s="15">
        <v>118488</v>
      </c>
      <c r="O433" s="17" cm="1">
        <f t="array" ref="O433">(H434-H433)/H433</f>
        <v>0.00383722582784594</v>
      </c>
      <c r="P433" s="8"/>
      <c r="Q433" s="8"/>
    </row>
    <row r="434" ht="13.65" customHeight="1">
      <c r="A434" s="18">
        <v>44908</v>
      </c>
      <c r="B434" t="s" s="13">
        <v>22</v>
      </c>
      <c r="C434" s="14">
        <v>3185</v>
      </c>
      <c r="D434" s="14">
        <v>3185</v>
      </c>
      <c r="E434" s="14">
        <v>3142.65</v>
      </c>
      <c r="F434" s="14">
        <v>3166.35</v>
      </c>
      <c r="G434" s="14">
        <v>3181</v>
      </c>
      <c r="H434" s="14">
        <v>3178.5</v>
      </c>
      <c r="I434" s="14">
        <v>3162.99</v>
      </c>
      <c r="J434" s="14">
        <v>3590</v>
      </c>
      <c r="K434" s="14">
        <v>2560</v>
      </c>
      <c r="L434" s="15">
        <v>886601</v>
      </c>
      <c r="M434" t="s" s="13">
        <v>6748</v>
      </c>
      <c r="N434" s="15">
        <v>61588</v>
      </c>
      <c r="O434" s="17" cm="1">
        <f t="array" ref="O434">(H435-H434)/H434</f>
        <v>-0.0102406795658329</v>
      </c>
      <c r="P434" s="8"/>
      <c r="Q434" s="8"/>
    </row>
    <row r="435" ht="13.65" customHeight="1">
      <c r="A435" s="18">
        <v>44909</v>
      </c>
      <c r="B435" t="s" s="13">
        <v>22</v>
      </c>
      <c r="C435" s="14">
        <v>3179</v>
      </c>
      <c r="D435" s="14">
        <v>3195</v>
      </c>
      <c r="E435" s="14">
        <v>3125</v>
      </c>
      <c r="F435" s="14">
        <v>3178.5</v>
      </c>
      <c r="G435" s="14">
        <v>3148</v>
      </c>
      <c r="H435" s="14">
        <v>3145.95</v>
      </c>
      <c r="I435" s="14">
        <v>3155.78</v>
      </c>
      <c r="J435" s="14">
        <v>3590</v>
      </c>
      <c r="K435" s="14">
        <v>2560</v>
      </c>
      <c r="L435" s="15">
        <v>1103870</v>
      </c>
      <c r="M435" t="s" s="13">
        <v>6749</v>
      </c>
      <c r="N435" s="15">
        <v>85208</v>
      </c>
      <c r="O435" s="17" cm="1">
        <f t="array" ref="O435">(H436-H435)/H435</f>
        <v>-0.00487928924490218</v>
      </c>
      <c r="P435" s="8"/>
      <c r="Q435" s="8"/>
    </row>
    <row r="436" ht="13.65" customHeight="1">
      <c r="A436" s="18">
        <v>44910</v>
      </c>
      <c r="B436" t="s" s="13">
        <v>22</v>
      </c>
      <c r="C436" s="14">
        <v>3142</v>
      </c>
      <c r="D436" s="14">
        <v>3161.2</v>
      </c>
      <c r="E436" s="14">
        <v>3116.7</v>
      </c>
      <c r="F436" s="14">
        <v>3145.95</v>
      </c>
      <c r="G436" s="14">
        <v>3122.45</v>
      </c>
      <c r="H436" s="14">
        <v>3130.6</v>
      </c>
      <c r="I436" s="14">
        <v>3133.62</v>
      </c>
      <c r="J436" s="14">
        <v>3590</v>
      </c>
      <c r="K436" s="14">
        <v>2560</v>
      </c>
      <c r="L436" s="15">
        <v>799124</v>
      </c>
      <c r="M436" t="s" s="13">
        <v>6750</v>
      </c>
      <c r="N436" s="15">
        <v>59105</v>
      </c>
      <c r="O436" s="17" cm="1">
        <f t="array" ref="O436">(H437-H436)/H436</f>
        <v>-0.0238612406567431</v>
      </c>
      <c r="P436" s="8"/>
      <c r="Q436" s="8"/>
    </row>
    <row r="437" ht="13.65" customHeight="1">
      <c r="A437" s="18">
        <v>44911</v>
      </c>
      <c r="B437" t="s" s="13">
        <v>22</v>
      </c>
      <c r="C437" s="14">
        <v>3115</v>
      </c>
      <c r="D437" s="14">
        <v>3117</v>
      </c>
      <c r="E437" s="14">
        <v>3050.3</v>
      </c>
      <c r="F437" s="14">
        <v>3130.6</v>
      </c>
      <c r="G437" s="14">
        <v>3062</v>
      </c>
      <c r="H437" s="14">
        <v>3055.9</v>
      </c>
      <c r="I437" s="14">
        <v>3075.69</v>
      </c>
      <c r="J437" s="14">
        <v>3590</v>
      </c>
      <c r="K437" s="14">
        <v>2560</v>
      </c>
      <c r="L437" s="15">
        <v>1192821</v>
      </c>
      <c r="M437" t="s" s="13">
        <v>6751</v>
      </c>
      <c r="N437" s="15">
        <v>80923</v>
      </c>
      <c r="O437" s="17" cm="1">
        <f t="array" ref="O437">(H438-H437)/H437</f>
        <v>0.008197257763670279</v>
      </c>
      <c r="P437" s="8"/>
      <c r="Q437" s="8"/>
    </row>
    <row r="438" ht="13.65" customHeight="1">
      <c r="A438" s="18">
        <v>44914</v>
      </c>
      <c r="B438" t="s" s="13">
        <v>22</v>
      </c>
      <c r="C438" s="14">
        <v>3062</v>
      </c>
      <c r="D438" s="14">
        <v>3088</v>
      </c>
      <c r="E438" s="14">
        <v>3041</v>
      </c>
      <c r="F438" s="14">
        <v>3055.9</v>
      </c>
      <c r="G438" s="14">
        <v>3079</v>
      </c>
      <c r="H438" s="14">
        <v>3080.95</v>
      </c>
      <c r="I438" s="14">
        <v>3075.16</v>
      </c>
      <c r="J438" s="14">
        <v>3590</v>
      </c>
      <c r="K438" s="14">
        <v>2560</v>
      </c>
      <c r="L438" s="15">
        <v>655594</v>
      </c>
      <c r="M438" t="s" s="13">
        <v>6752</v>
      </c>
      <c r="N438" s="15">
        <v>50827</v>
      </c>
      <c r="O438" s="17" cm="1">
        <f t="array" ref="O438">(H439-H438)/H438</f>
        <v>0.000389490254629254</v>
      </c>
      <c r="P438" s="8"/>
      <c r="Q438" s="8"/>
    </row>
    <row r="439" ht="13.65" customHeight="1">
      <c r="A439" s="18">
        <v>44915</v>
      </c>
      <c r="B439" t="s" s="13">
        <v>22</v>
      </c>
      <c r="C439" s="14">
        <v>3075.05</v>
      </c>
      <c r="D439" s="14">
        <v>3088.65</v>
      </c>
      <c r="E439" s="14">
        <v>3018</v>
      </c>
      <c r="F439" s="14">
        <v>3080.95</v>
      </c>
      <c r="G439" s="14">
        <v>3076.2</v>
      </c>
      <c r="H439" s="14">
        <v>3082.15</v>
      </c>
      <c r="I439" s="14">
        <v>3053.02</v>
      </c>
      <c r="J439" s="14">
        <v>3590</v>
      </c>
      <c r="K439" s="14">
        <v>2560</v>
      </c>
      <c r="L439" s="15">
        <v>739257</v>
      </c>
      <c r="M439" t="s" s="13">
        <v>6753</v>
      </c>
      <c r="N439" s="15">
        <v>67226</v>
      </c>
      <c r="O439" s="17" cm="1">
        <f t="array" ref="O439">(H440-H439)/H439</f>
        <v>-0.00405561053160943</v>
      </c>
      <c r="P439" s="8"/>
      <c r="Q439" s="8"/>
    </row>
    <row r="440" ht="13.65" customHeight="1">
      <c r="A440" s="18">
        <v>44916</v>
      </c>
      <c r="B440" t="s" s="13">
        <v>22</v>
      </c>
      <c r="C440" s="14">
        <v>3085</v>
      </c>
      <c r="D440" s="14">
        <v>3112.45</v>
      </c>
      <c r="E440" s="14">
        <v>3050.05</v>
      </c>
      <c r="F440" s="14">
        <v>3082.15</v>
      </c>
      <c r="G440" s="14">
        <v>3066.9</v>
      </c>
      <c r="H440" s="14">
        <v>3069.65</v>
      </c>
      <c r="I440" s="14">
        <v>3077.07</v>
      </c>
      <c r="J440" s="14">
        <v>3590</v>
      </c>
      <c r="K440" s="14">
        <v>2560</v>
      </c>
      <c r="L440" s="15">
        <v>616324</v>
      </c>
      <c r="M440" t="s" s="13">
        <v>6754</v>
      </c>
      <c r="N440" s="15">
        <v>55762</v>
      </c>
      <c r="O440" s="17" cm="1">
        <f t="array" ref="O440">(H441-H440)/H440</f>
        <v>0.00615705373576792</v>
      </c>
      <c r="P440" s="8"/>
      <c r="Q440" s="8"/>
    </row>
    <row r="441" ht="13.65" customHeight="1">
      <c r="A441" s="18">
        <v>44917</v>
      </c>
      <c r="B441" t="s" s="13">
        <v>22</v>
      </c>
      <c r="C441" s="14">
        <v>3074</v>
      </c>
      <c r="D441" s="14">
        <v>3093.5</v>
      </c>
      <c r="E441" s="14">
        <v>3038.05</v>
      </c>
      <c r="F441" s="14">
        <v>3069.65</v>
      </c>
      <c r="G441" s="14">
        <v>3090</v>
      </c>
      <c r="H441" s="14">
        <v>3088.55</v>
      </c>
      <c r="I441" s="14">
        <v>3070.16</v>
      </c>
      <c r="J441" s="14">
        <v>3590</v>
      </c>
      <c r="K441" s="14">
        <v>2560</v>
      </c>
      <c r="L441" s="15">
        <v>663202</v>
      </c>
      <c r="M441" t="s" s="13">
        <v>6755</v>
      </c>
      <c r="N441" s="15">
        <v>55060</v>
      </c>
      <c r="O441" s="17" cm="1">
        <f t="array" ref="O441">(H442-H441)/H441</f>
        <v>-0.00992375062731703</v>
      </c>
      <c r="P441" s="8"/>
      <c r="Q441" s="8"/>
    </row>
    <row r="442" ht="13.65" customHeight="1">
      <c r="A442" s="18">
        <v>44918</v>
      </c>
      <c r="B442" t="s" s="13">
        <v>22</v>
      </c>
      <c r="C442" s="14">
        <v>3078.95</v>
      </c>
      <c r="D442" s="14">
        <v>3086.85</v>
      </c>
      <c r="E442" s="14">
        <v>3036</v>
      </c>
      <c r="F442" s="14">
        <v>3088.55</v>
      </c>
      <c r="G442" s="14">
        <v>3053</v>
      </c>
      <c r="H442" s="14">
        <v>3057.9</v>
      </c>
      <c r="I442" s="14">
        <v>3052.99</v>
      </c>
      <c r="J442" s="14">
        <v>3590</v>
      </c>
      <c r="K442" s="14">
        <v>2560</v>
      </c>
      <c r="L442" s="15">
        <v>1230858</v>
      </c>
      <c r="M442" t="s" s="13">
        <v>6756</v>
      </c>
      <c r="N442" s="15">
        <v>92630</v>
      </c>
      <c r="O442" s="17" cm="1">
        <f t="array" ref="O442">(H443-H442)/H442</f>
        <v>-0.000604990352856536</v>
      </c>
      <c r="P442" s="8"/>
      <c r="Q442" s="8"/>
    </row>
    <row r="443" ht="13.65" customHeight="1">
      <c r="A443" s="18">
        <v>44921</v>
      </c>
      <c r="B443" t="s" s="13">
        <v>22</v>
      </c>
      <c r="C443" s="14">
        <v>3057.9</v>
      </c>
      <c r="D443" s="14">
        <v>3071.9</v>
      </c>
      <c r="E443" s="14">
        <v>3028.8</v>
      </c>
      <c r="F443" s="14">
        <v>3057.9</v>
      </c>
      <c r="G443" s="14">
        <v>3060</v>
      </c>
      <c r="H443" s="14">
        <v>3056.05</v>
      </c>
      <c r="I443" s="14">
        <v>3054.96</v>
      </c>
      <c r="J443" s="14">
        <v>3590</v>
      </c>
      <c r="K443" s="14">
        <v>2560</v>
      </c>
      <c r="L443" s="15">
        <v>536884</v>
      </c>
      <c r="M443" t="s" s="13">
        <v>6757</v>
      </c>
      <c r="N443" s="15">
        <v>51835</v>
      </c>
      <c r="O443" s="17" cm="1">
        <f t="array" ref="O443">(H444-H443)/H443</f>
        <v>0.0185042783985864</v>
      </c>
      <c r="P443" s="8"/>
      <c r="Q443" s="8"/>
    </row>
    <row r="444" ht="13.65" customHeight="1">
      <c r="A444" s="18">
        <v>44922</v>
      </c>
      <c r="B444" t="s" s="13">
        <v>22</v>
      </c>
      <c r="C444" s="14">
        <v>3060</v>
      </c>
      <c r="D444" s="14">
        <v>3129</v>
      </c>
      <c r="E444" s="14">
        <v>3056.3</v>
      </c>
      <c r="F444" s="14">
        <v>3056.05</v>
      </c>
      <c r="G444" s="14">
        <v>3112</v>
      </c>
      <c r="H444" s="14">
        <v>3112.6</v>
      </c>
      <c r="I444" s="14">
        <v>3098.34</v>
      </c>
      <c r="J444" s="14">
        <v>3590</v>
      </c>
      <c r="K444" s="14">
        <v>2560</v>
      </c>
      <c r="L444" s="15">
        <v>729041</v>
      </c>
      <c r="M444" t="s" s="13">
        <v>6758</v>
      </c>
      <c r="N444" s="15">
        <v>66348</v>
      </c>
      <c r="O444" s="17" cm="1">
        <f t="array" ref="O444">(H445-H444)/H444</f>
        <v>0.00356615048512498</v>
      </c>
      <c r="P444" s="8"/>
      <c r="Q444" s="8"/>
    </row>
    <row r="445" ht="13.65" customHeight="1">
      <c r="A445" s="18">
        <v>44923</v>
      </c>
      <c r="B445" t="s" s="13">
        <v>22</v>
      </c>
      <c r="C445" s="14">
        <v>3109.95</v>
      </c>
      <c r="D445" s="14">
        <v>3143.8</v>
      </c>
      <c r="E445" s="14">
        <v>3105</v>
      </c>
      <c r="F445" s="14">
        <v>3112.6</v>
      </c>
      <c r="G445" s="14">
        <v>3119</v>
      </c>
      <c r="H445" s="14">
        <v>3123.7</v>
      </c>
      <c r="I445" s="14">
        <v>3126.28</v>
      </c>
      <c r="J445" s="14">
        <v>3590</v>
      </c>
      <c r="K445" s="14">
        <v>2560</v>
      </c>
      <c r="L445" s="15">
        <v>972274</v>
      </c>
      <c r="M445" t="s" s="13">
        <v>6759</v>
      </c>
      <c r="N445" s="15">
        <v>60856</v>
      </c>
      <c r="O445" s="17" cm="1">
        <f t="array" ref="O445">(H446-H445)/H445</f>
        <v>-0.00273713864967827</v>
      </c>
      <c r="P445" s="8"/>
      <c r="Q445" s="8"/>
    </row>
    <row r="446" ht="13.65" customHeight="1">
      <c r="A446" s="18">
        <v>44924</v>
      </c>
      <c r="B446" t="s" s="13">
        <v>22</v>
      </c>
      <c r="C446" s="14">
        <v>3101</v>
      </c>
      <c r="D446" s="14">
        <v>3125</v>
      </c>
      <c r="E446" s="14">
        <v>3092.55</v>
      </c>
      <c r="F446" s="14">
        <v>3123.7</v>
      </c>
      <c r="G446" s="14">
        <v>3118.45</v>
      </c>
      <c r="H446" s="14">
        <v>3115.15</v>
      </c>
      <c r="I446" s="14">
        <v>3108.21</v>
      </c>
      <c r="J446" s="14">
        <v>3590</v>
      </c>
      <c r="K446" s="14">
        <v>2560</v>
      </c>
      <c r="L446" s="15">
        <v>596265</v>
      </c>
      <c r="M446" t="s" s="13">
        <v>6760</v>
      </c>
      <c r="N446" s="15">
        <v>44373</v>
      </c>
      <c r="O446" s="17" cm="1">
        <f t="array" ref="O446">(H447-H446)/H446</f>
        <v>-0.00874757234804103</v>
      </c>
      <c r="P446" s="8"/>
      <c r="Q446" s="8"/>
    </row>
    <row r="447" ht="13.65" customHeight="1">
      <c r="A447" s="18">
        <v>44925</v>
      </c>
      <c r="B447" t="s" s="13">
        <v>22</v>
      </c>
      <c r="C447" s="14">
        <v>3130.75</v>
      </c>
      <c r="D447" s="14">
        <v>3130.75</v>
      </c>
      <c r="E447" s="14">
        <v>3071.3</v>
      </c>
      <c r="F447" s="14">
        <v>3115.15</v>
      </c>
      <c r="G447" s="14">
        <v>3087</v>
      </c>
      <c r="H447" s="14">
        <v>3087.9</v>
      </c>
      <c r="I447" s="14">
        <v>3097.25</v>
      </c>
      <c r="J447" s="14">
        <v>3590</v>
      </c>
      <c r="K447" s="14">
        <v>2560</v>
      </c>
      <c r="L447" s="15">
        <v>836220</v>
      </c>
      <c r="M447" t="s" s="13">
        <v>6761</v>
      </c>
      <c r="N447" s="15">
        <v>48686</v>
      </c>
      <c r="O447" s="17" cm="1">
        <f t="array" ref="O447">(H448-H447)/H447</f>
        <v>-0.0131642864082386</v>
      </c>
      <c r="P447" s="8"/>
      <c r="Q447" s="8"/>
    </row>
    <row r="448" ht="13.65" customHeight="1">
      <c r="A448" s="12">
        <v>44928</v>
      </c>
      <c r="B448" t="s" s="13">
        <v>22</v>
      </c>
      <c r="C448" s="14">
        <v>3087.9</v>
      </c>
      <c r="D448" s="14">
        <v>3087.9</v>
      </c>
      <c r="E448" s="14">
        <v>3021</v>
      </c>
      <c r="F448" s="14">
        <v>3087.9</v>
      </c>
      <c r="G448" s="14">
        <v>3049.7</v>
      </c>
      <c r="H448" s="14">
        <v>3047.25</v>
      </c>
      <c r="I448" s="14">
        <v>3041.37</v>
      </c>
      <c r="J448" s="14">
        <v>3590</v>
      </c>
      <c r="K448" s="14">
        <v>2560</v>
      </c>
      <c r="L448" s="15">
        <v>1015990</v>
      </c>
      <c r="M448" t="s" s="13">
        <v>6762</v>
      </c>
      <c r="N448" s="15">
        <v>73290</v>
      </c>
      <c r="O448" s="17" cm="1">
        <f t="array" ref="O448">(H449-H448)/H448</f>
        <v>-0.00623513003527771</v>
      </c>
      <c r="P448" s="8"/>
      <c r="Q448" s="8"/>
    </row>
    <row r="449" ht="13.65" customHeight="1">
      <c r="A449" s="12">
        <v>44929</v>
      </c>
      <c r="B449" t="s" s="13">
        <v>22</v>
      </c>
      <c r="C449" s="14">
        <v>3047</v>
      </c>
      <c r="D449" s="14">
        <v>3059.95</v>
      </c>
      <c r="E449" s="14">
        <v>3025</v>
      </c>
      <c r="F449" s="14">
        <v>3047.25</v>
      </c>
      <c r="G449" s="14">
        <v>3030.5</v>
      </c>
      <c r="H449" s="14">
        <v>3028.25</v>
      </c>
      <c r="I449" s="14">
        <v>3039.67</v>
      </c>
      <c r="J449" s="14">
        <v>3590</v>
      </c>
      <c r="K449" s="14">
        <v>2560</v>
      </c>
      <c r="L449" s="15">
        <v>860367</v>
      </c>
      <c r="M449" t="s" s="13">
        <v>6763</v>
      </c>
      <c r="N449" s="15">
        <v>79199</v>
      </c>
      <c r="O449" s="17" cm="1">
        <f t="array" ref="O449">(H450-H449)/H449</f>
        <v>-0.0037645504829522</v>
      </c>
      <c r="P449" s="8"/>
      <c r="Q449" s="8"/>
    </row>
    <row r="450" ht="13.65" customHeight="1">
      <c r="A450" s="12">
        <v>44930</v>
      </c>
      <c r="B450" t="s" s="13">
        <v>22</v>
      </c>
      <c r="C450" s="14">
        <v>3035</v>
      </c>
      <c r="D450" s="14">
        <v>3050</v>
      </c>
      <c r="E450" s="14">
        <v>3001.55</v>
      </c>
      <c r="F450" s="14">
        <v>3028.25</v>
      </c>
      <c r="G450" s="14">
        <v>3012</v>
      </c>
      <c r="H450" s="14">
        <v>3016.85</v>
      </c>
      <c r="I450" s="14">
        <v>3030.11</v>
      </c>
      <c r="J450" s="14">
        <v>3590</v>
      </c>
      <c r="K450" s="14">
        <v>2560</v>
      </c>
      <c r="L450" s="15">
        <v>836382</v>
      </c>
      <c r="M450" t="s" s="13">
        <v>6764</v>
      </c>
      <c r="N450" s="15">
        <v>79727</v>
      </c>
      <c r="O450" s="17" cm="1">
        <f t="array" ref="O450">(H451-H450)/H450</f>
        <v>-0.00414339460032816</v>
      </c>
      <c r="P450" s="8"/>
      <c r="Q450" s="8"/>
    </row>
    <row r="451" ht="13.65" customHeight="1">
      <c r="A451" s="12">
        <v>44931</v>
      </c>
      <c r="B451" t="s" s="13">
        <v>22</v>
      </c>
      <c r="C451" s="14">
        <v>3039.55</v>
      </c>
      <c r="D451" s="14">
        <v>3046.6</v>
      </c>
      <c r="E451" s="14">
        <v>2995.4</v>
      </c>
      <c r="F451" s="14">
        <v>3016.85</v>
      </c>
      <c r="G451" s="14">
        <v>3010</v>
      </c>
      <c r="H451" s="14">
        <v>3004.35</v>
      </c>
      <c r="I451" s="14">
        <v>3011.88</v>
      </c>
      <c r="J451" s="14">
        <v>3590</v>
      </c>
      <c r="K451" s="14">
        <v>2560</v>
      </c>
      <c r="L451" s="15">
        <v>1113920</v>
      </c>
      <c r="M451" t="s" s="13">
        <v>6765</v>
      </c>
      <c r="N451" s="15">
        <v>93698</v>
      </c>
      <c r="O451" s="17" cm="1">
        <f t="array" ref="O451">(H452-H451)/H451</f>
        <v>-0.00863747566029258</v>
      </c>
      <c r="P451" s="8"/>
      <c r="Q451" s="8"/>
    </row>
    <row r="452" ht="13.65" customHeight="1">
      <c r="A452" s="12">
        <v>44932</v>
      </c>
      <c r="B452" t="s" s="13">
        <v>22</v>
      </c>
      <c r="C452" s="14">
        <v>3010</v>
      </c>
      <c r="D452" s="14">
        <v>3023.5</v>
      </c>
      <c r="E452" s="14">
        <v>2952</v>
      </c>
      <c r="F452" s="14">
        <v>3004.35</v>
      </c>
      <c r="G452" s="14">
        <v>2982.5</v>
      </c>
      <c r="H452" s="14">
        <v>2978.4</v>
      </c>
      <c r="I452" s="14">
        <v>2975.08</v>
      </c>
      <c r="J452" s="14">
        <v>3590</v>
      </c>
      <c r="K452" s="14">
        <v>2560</v>
      </c>
      <c r="L452" s="15">
        <v>1045526</v>
      </c>
      <c r="M452" t="s" s="13">
        <v>6766</v>
      </c>
      <c r="N452" s="15">
        <v>110098</v>
      </c>
      <c r="O452" s="17" cm="1">
        <f t="array" ref="O452">(H453-H452)/H452</f>
        <v>0.00193056674724684</v>
      </c>
      <c r="P452" s="8"/>
      <c r="Q452" s="8"/>
    </row>
    <row r="453" ht="13.65" customHeight="1">
      <c r="A453" s="12">
        <v>44935</v>
      </c>
      <c r="B453" t="s" s="13">
        <v>22</v>
      </c>
      <c r="C453" s="14">
        <v>2993.3</v>
      </c>
      <c r="D453" s="14">
        <v>3017.65</v>
      </c>
      <c r="E453" s="14">
        <v>2951</v>
      </c>
      <c r="F453" s="14">
        <v>2978.4</v>
      </c>
      <c r="G453" s="14">
        <v>2983</v>
      </c>
      <c r="H453" s="14">
        <v>2984.15</v>
      </c>
      <c r="I453" s="14">
        <v>2989.18</v>
      </c>
      <c r="J453" s="14">
        <v>3590</v>
      </c>
      <c r="K453" s="14">
        <v>2560</v>
      </c>
      <c r="L453" s="15">
        <v>808263</v>
      </c>
      <c r="M453" t="s" s="13">
        <v>6767</v>
      </c>
      <c r="N453" s="15">
        <v>84003</v>
      </c>
      <c r="O453" s="17" cm="1">
        <f t="array" ref="O453">(H454-H453)/H453</f>
        <v>-0.007975470401957009</v>
      </c>
      <c r="P453" s="8"/>
      <c r="Q453" s="8"/>
    </row>
    <row r="454" ht="13.65" customHeight="1">
      <c r="A454" s="18">
        <v>44936</v>
      </c>
      <c r="B454" t="s" s="13">
        <v>22</v>
      </c>
      <c r="C454" s="14">
        <v>2984.15</v>
      </c>
      <c r="D454" s="14">
        <v>2985</v>
      </c>
      <c r="E454" s="14">
        <v>2952.2</v>
      </c>
      <c r="F454" s="14">
        <v>2984.15</v>
      </c>
      <c r="G454" s="14">
        <v>2962</v>
      </c>
      <c r="H454" s="14">
        <v>2960.35</v>
      </c>
      <c r="I454" s="14">
        <v>2961.44</v>
      </c>
      <c r="J454" s="14">
        <v>3590</v>
      </c>
      <c r="K454" s="14">
        <v>2560</v>
      </c>
      <c r="L454" s="15">
        <v>864325</v>
      </c>
      <c r="M454" t="s" s="13">
        <v>6768</v>
      </c>
      <c r="N454" s="15">
        <v>87589</v>
      </c>
      <c r="O454" s="17" cm="1">
        <f t="array" ref="O454">(H455-H454)/H454</f>
        <v>-0.00673906801560626</v>
      </c>
      <c r="P454" s="8"/>
      <c r="Q454" s="8"/>
    </row>
    <row r="455" ht="13.65" customHeight="1">
      <c r="A455" s="18">
        <v>44937</v>
      </c>
      <c r="B455" t="s" s="13">
        <v>22</v>
      </c>
      <c r="C455" s="14">
        <v>2974.9</v>
      </c>
      <c r="D455" s="14">
        <v>2974.9</v>
      </c>
      <c r="E455" s="14">
        <v>2935</v>
      </c>
      <c r="F455" s="14">
        <v>2960.35</v>
      </c>
      <c r="G455" s="14">
        <v>2937.1</v>
      </c>
      <c r="H455" s="14">
        <v>2940.4</v>
      </c>
      <c r="I455" s="14">
        <v>2948.02</v>
      </c>
      <c r="J455" s="14">
        <v>3590</v>
      </c>
      <c r="K455" s="14">
        <v>2560</v>
      </c>
      <c r="L455" s="15">
        <v>890426</v>
      </c>
      <c r="M455" t="s" s="13">
        <v>6769</v>
      </c>
      <c r="N455" s="15">
        <v>89782</v>
      </c>
      <c r="O455" s="17" cm="1">
        <f t="array" ref="O455">(H456-H455)/H455</f>
        <v>-0.008315195211535851</v>
      </c>
      <c r="P455" s="8"/>
      <c r="Q455" s="8"/>
    </row>
    <row r="456" ht="13.65" customHeight="1">
      <c r="A456" s="18">
        <v>44938</v>
      </c>
      <c r="B456" t="s" s="13">
        <v>22</v>
      </c>
      <c r="C456" s="14">
        <v>2939</v>
      </c>
      <c r="D456" s="14">
        <v>2939.85</v>
      </c>
      <c r="E456" s="14">
        <v>2896</v>
      </c>
      <c r="F456" s="14">
        <v>2940.4</v>
      </c>
      <c r="G456" s="14">
        <v>2917</v>
      </c>
      <c r="H456" s="14">
        <v>2915.95</v>
      </c>
      <c r="I456" s="14">
        <v>2907.48</v>
      </c>
      <c r="J456" s="14">
        <v>3590</v>
      </c>
      <c r="K456" s="14">
        <v>2560</v>
      </c>
      <c r="L456" s="15">
        <v>1558620</v>
      </c>
      <c r="M456" t="s" s="13">
        <v>6770</v>
      </c>
      <c r="N456" s="15">
        <v>151131</v>
      </c>
      <c r="O456" s="17" cm="1">
        <f t="array" ref="O456">(H457-H456)/H456</f>
        <v>-0.00233200157753048</v>
      </c>
      <c r="P456" s="8"/>
      <c r="Q456" s="8"/>
    </row>
    <row r="457" ht="13.65" customHeight="1">
      <c r="A457" s="18">
        <v>44939</v>
      </c>
      <c r="B457" t="s" s="13">
        <v>22</v>
      </c>
      <c r="C457" s="14">
        <v>2925</v>
      </c>
      <c r="D457" s="14">
        <v>2925</v>
      </c>
      <c r="E457" s="14">
        <v>2871.75</v>
      </c>
      <c r="F457" s="14">
        <v>2915.95</v>
      </c>
      <c r="G457" s="14">
        <v>2912</v>
      </c>
      <c r="H457" s="14">
        <v>2909.15</v>
      </c>
      <c r="I457" s="14">
        <v>2900.4</v>
      </c>
      <c r="J457" s="14">
        <v>3590</v>
      </c>
      <c r="K457" s="14">
        <v>2560</v>
      </c>
      <c r="L457" s="15">
        <v>1507864</v>
      </c>
      <c r="M457" t="s" s="13">
        <v>6771</v>
      </c>
      <c r="N457" s="15">
        <v>122561</v>
      </c>
      <c r="O457" s="17" cm="1">
        <f t="array" ref="O457">(H458-H457)/H457</f>
        <v>0.00237182682226767</v>
      </c>
      <c r="P457" s="8"/>
      <c r="Q457" s="8"/>
    </row>
    <row r="458" ht="13.65" customHeight="1">
      <c r="A458" s="18">
        <v>44942</v>
      </c>
      <c r="B458" t="s" s="13">
        <v>22</v>
      </c>
      <c r="C458" s="14">
        <v>2925</v>
      </c>
      <c r="D458" s="14">
        <v>2929.6</v>
      </c>
      <c r="E458" s="14">
        <v>2896</v>
      </c>
      <c r="F458" s="14">
        <v>2909.15</v>
      </c>
      <c r="G458" s="14">
        <v>2918</v>
      </c>
      <c r="H458" s="14">
        <v>2916.05</v>
      </c>
      <c r="I458" s="14">
        <v>2913.56</v>
      </c>
      <c r="J458" s="14">
        <v>3582.9</v>
      </c>
      <c r="K458" s="14">
        <v>2560</v>
      </c>
      <c r="L458" s="15">
        <v>644073</v>
      </c>
      <c r="M458" t="s" s="13">
        <v>6772</v>
      </c>
      <c r="N458" s="15">
        <v>62981</v>
      </c>
      <c r="O458" s="17" cm="1">
        <f t="array" ref="O458">(H459-H458)/H458</f>
        <v>0.0085218017523705</v>
      </c>
      <c r="P458" s="8"/>
      <c r="Q458" s="8"/>
    </row>
    <row r="459" ht="13.65" customHeight="1">
      <c r="A459" s="18">
        <v>44943</v>
      </c>
      <c r="B459" t="s" s="13">
        <v>22</v>
      </c>
      <c r="C459" s="14">
        <v>2925</v>
      </c>
      <c r="D459" s="14">
        <v>2944.85</v>
      </c>
      <c r="E459" s="14">
        <v>2911.15</v>
      </c>
      <c r="F459" s="14">
        <v>2916.05</v>
      </c>
      <c r="G459" s="14">
        <v>2943</v>
      </c>
      <c r="H459" s="14">
        <v>2940.9</v>
      </c>
      <c r="I459" s="14">
        <v>2933.96</v>
      </c>
      <c r="J459" s="14">
        <v>3582.9</v>
      </c>
      <c r="K459" s="14">
        <v>2560</v>
      </c>
      <c r="L459" s="15">
        <v>716489</v>
      </c>
      <c r="M459" t="s" s="13">
        <v>6773</v>
      </c>
      <c r="N459" s="15">
        <v>69687</v>
      </c>
      <c r="O459" s="17" cm="1">
        <f t="array" ref="O459">(H460-H459)/H459</f>
        <v>0.00147913903906967</v>
      </c>
      <c r="P459" s="8"/>
      <c r="Q459" s="8"/>
    </row>
    <row r="460" ht="13.65" customHeight="1">
      <c r="A460" s="18">
        <v>44944</v>
      </c>
      <c r="B460" t="s" s="13">
        <v>22</v>
      </c>
      <c r="C460" s="14">
        <v>2947.95</v>
      </c>
      <c r="D460" s="14">
        <v>2960</v>
      </c>
      <c r="E460" s="14">
        <v>2929.35</v>
      </c>
      <c r="F460" s="14">
        <v>2940.9</v>
      </c>
      <c r="G460" s="14">
        <v>2950</v>
      </c>
      <c r="H460" s="14">
        <v>2945.25</v>
      </c>
      <c r="I460" s="14">
        <v>2947.7</v>
      </c>
      <c r="J460" s="14">
        <v>3582.9</v>
      </c>
      <c r="K460" s="14">
        <v>2560</v>
      </c>
      <c r="L460" s="15">
        <v>893808</v>
      </c>
      <c r="M460" t="s" s="13">
        <v>6774</v>
      </c>
      <c r="N460" s="15">
        <v>93917</v>
      </c>
      <c r="O460" s="17" cm="1">
        <f t="array" ref="O460">(H461-H460)/H460</f>
        <v>-0.0268568033273916</v>
      </c>
      <c r="P460" s="8"/>
      <c r="Q460" s="8"/>
    </row>
    <row r="461" ht="13.65" customHeight="1">
      <c r="A461" s="18">
        <v>44945</v>
      </c>
      <c r="B461" t="s" s="13">
        <v>22</v>
      </c>
      <c r="C461" s="14">
        <v>2954.9</v>
      </c>
      <c r="D461" s="14">
        <v>2973.6</v>
      </c>
      <c r="E461" s="14">
        <v>2843.6</v>
      </c>
      <c r="F461" s="14">
        <v>2945.25</v>
      </c>
      <c r="G461" s="14">
        <v>2853.4</v>
      </c>
      <c r="H461" s="14">
        <v>2866.15</v>
      </c>
      <c r="I461" s="14">
        <v>2908.48</v>
      </c>
      <c r="J461" s="14">
        <v>3582.9</v>
      </c>
      <c r="K461" s="14">
        <v>2560</v>
      </c>
      <c r="L461" s="15">
        <v>2379947</v>
      </c>
      <c r="M461" t="s" s="13">
        <v>6775</v>
      </c>
      <c r="N461" s="15">
        <v>153037</v>
      </c>
      <c r="O461" s="17" cm="1">
        <f t="array" ref="O461">(H462-H461)/H461</f>
        <v>-0.0273363222441254</v>
      </c>
      <c r="P461" s="8"/>
      <c r="Q461" s="8"/>
    </row>
    <row r="462" ht="13.65" customHeight="1">
      <c r="A462" s="18">
        <v>44946</v>
      </c>
      <c r="B462" t="s" s="13">
        <v>22</v>
      </c>
      <c r="C462" s="14">
        <v>2848</v>
      </c>
      <c r="D462" s="14">
        <v>2848</v>
      </c>
      <c r="E462" s="14">
        <v>2781</v>
      </c>
      <c r="F462" s="14">
        <v>2866.15</v>
      </c>
      <c r="G462" s="14">
        <v>2784.95</v>
      </c>
      <c r="H462" s="14">
        <v>2787.8</v>
      </c>
      <c r="I462" s="14">
        <v>2804.27</v>
      </c>
      <c r="J462" s="14">
        <v>3582.9</v>
      </c>
      <c r="K462" s="14">
        <v>2560</v>
      </c>
      <c r="L462" s="15">
        <v>3171005</v>
      </c>
      <c r="M462" t="s" s="13">
        <v>6776</v>
      </c>
      <c r="N462" s="15">
        <v>362528</v>
      </c>
      <c r="O462" s="17" cm="1">
        <f t="array" ref="O462">(H463-H462)/H462</f>
        <v>-0.00120166439486333</v>
      </c>
      <c r="P462" s="8"/>
      <c r="Q462" s="8"/>
    </row>
    <row r="463" ht="13.65" customHeight="1">
      <c r="A463" s="18">
        <v>44949</v>
      </c>
      <c r="B463" t="s" s="13">
        <v>22</v>
      </c>
      <c r="C463" s="14">
        <v>2800</v>
      </c>
      <c r="D463" s="14">
        <v>2800</v>
      </c>
      <c r="E463" s="14">
        <v>2767.85</v>
      </c>
      <c r="F463" s="14">
        <v>2787.8</v>
      </c>
      <c r="G463" s="14">
        <v>2786.55</v>
      </c>
      <c r="H463" s="14">
        <v>2784.45</v>
      </c>
      <c r="I463" s="14">
        <v>2785.63</v>
      </c>
      <c r="J463" s="14">
        <v>3582.9</v>
      </c>
      <c r="K463" s="14">
        <v>2560</v>
      </c>
      <c r="L463" s="15">
        <v>1402260</v>
      </c>
      <c r="M463" t="s" s="13">
        <v>6777</v>
      </c>
      <c r="N463" s="15">
        <v>109573</v>
      </c>
      <c r="O463" s="17" cm="1">
        <f t="array" ref="O463">(H464-H463)/H463</f>
        <v>0.00939144175689993</v>
      </c>
      <c r="P463" s="8"/>
      <c r="Q463" s="8"/>
    </row>
    <row r="464" ht="13.65" customHeight="1">
      <c r="A464" s="18">
        <v>44950</v>
      </c>
      <c r="B464" t="s" s="13">
        <v>22</v>
      </c>
      <c r="C464" s="14">
        <v>2795</v>
      </c>
      <c r="D464" s="14">
        <v>2827.1</v>
      </c>
      <c r="E464" s="14">
        <v>2784.45</v>
      </c>
      <c r="F464" s="14">
        <v>2784.45</v>
      </c>
      <c r="G464" s="14">
        <v>2812.9</v>
      </c>
      <c r="H464" s="14">
        <v>2810.6</v>
      </c>
      <c r="I464" s="14">
        <v>2812.43</v>
      </c>
      <c r="J464" s="14">
        <v>3582.9</v>
      </c>
      <c r="K464" s="14">
        <v>2560</v>
      </c>
      <c r="L464" s="15">
        <v>1061471</v>
      </c>
      <c r="M464" t="s" s="13">
        <v>6778</v>
      </c>
      <c r="N464" s="15">
        <v>84076</v>
      </c>
      <c r="O464" s="17" cm="1">
        <f t="array" ref="O464">(H465-H464)/H464</f>
        <v>-0.0126663345904789</v>
      </c>
      <c r="P464" s="8"/>
      <c r="Q464" s="8"/>
    </row>
    <row r="465" ht="13.65" customHeight="1">
      <c r="A465" s="18">
        <v>44951</v>
      </c>
      <c r="B465" t="s" s="13">
        <v>22</v>
      </c>
      <c r="C465" s="14">
        <v>2810.9</v>
      </c>
      <c r="D465" s="14">
        <v>2811</v>
      </c>
      <c r="E465" s="14">
        <v>2767.1</v>
      </c>
      <c r="F465" s="14">
        <v>2810.6</v>
      </c>
      <c r="G465" s="14">
        <v>2774.75</v>
      </c>
      <c r="H465" s="14">
        <v>2775</v>
      </c>
      <c r="I465" s="14">
        <v>2777.81</v>
      </c>
      <c r="J465" s="14">
        <v>3582.9</v>
      </c>
      <c r="K465" s="14">
        <v>2560</v>
      </c>
      <c r="L465" s="15">
        <v>857953</v>
      </c>
      <c r="M465" t="s" s="13">
        <v>6779</v>
      </c>
      <c r="N465" s="15">
        <v>85672</v>
      </c>
      <c r="O465" s="17" cm="1">
        <f t="array" ref="O465">(H466-H465)/H465</f>
        <v>-0.0188648648648649</v>
      </c>
      <c r="P465" s="8"/>
      <c r="Q465" s="8"/>
    </row>
    <row r="466" ht="13.65" customHeight="1">
      <c r="A466" s="18">
        <v>44953</v>
      </c>
      <c r="B466" t="s" s="13">
        <v>22</v>
      </c>
      <c r="C466" s="14">
        <v>2766.6</v>
      </c>
      <c r="D466" s="14">
        <v>2772.85</v>
      </c>
      <c r="E466" s="14">
        <v>2685.85</v>
      </c>
      <c r="F466" s="14">
        <v>2775</v>
      </c>
      <c r="G466" s="14">
        <v>2725</v>
      </c>
      <c r="H466" s="14">
        <v>2722.65</v>
      </c>
      <c r="I466" s="14">
        <v>2717.11</v>
      </c>
      <c r="J466" s="14">
        <v>3582.9</v>
      </c>
      <c r="K466" s="14">
        <v>2560</v>
      </c>
      <c r="L466" s="15">
        <v>1801498</v>
      </c>
      <c r="M466" t="s" s="13">
        <v>6780</v>
      </c>
      <c r="N466" s="15">
        <v>232317</v>
      </c>
      <c r="O466" s="17" cm="1">
        <f t="array" ref="O466">(H467-H466)/H466</f>
        <v>0.0159954456136485</v>
      </c>
      <c r="P466" s="8"/>
      <c r="Q466" s="8"/>
    </row>
    <row r="467" ht="13.65" customHeight="1">
      <c r="A467" s="18">
        <v>44956</v>
      </c>
      <c r="B467" t="s" s="13">
        <v>22</v>
      </c>
      <c r="C467" s="14">
        <v>2724</v>
      </c>
      <c r="D467" s="14">
        <v>2776</v>
      </c>
      <c r="E467" s="14">
        <v>2696.25</v>
      </c>
      <c r="F467" s="14">
        <v>2722.65</v>
      </c>
      <c r="G467" s="14">
        <v>2775</v>
      </c>
      <c r="H467" s="14">
        <v>2766.2</v>
      </c>
      <c r="I467" s="14">
        <v>2737.45</v>
      </c>
      <c r="J467" s="14">
        <v>3582.9</v>
      </c>
      <c r="K467" s="14">
        <v>2560</v>
      </c>
      <c r="L467" s="15">
        <v>1171912</v>
      </c>
      <c r="M467" t="s" s="13">
        <v>6781</v>
      </c>
      <c r="N467" s="15">
        <v>120523</v>
      </c>
      <c r="O467" s="17" cm="1">
        <f t="array" ref="O467">(H468-H467)/H467</f>
        <v>-0.0145867977731184</v>
      </c>
      <c r="P467" s="8"/>
      <c r="Q467" s="8"/>
    </row>
    <row r="468" ht="13.65" customHeight="1">
      <c r="A468" s="18">
        <v>44957</v>
      </c>
      <c r="B468" t="s" s="13">
        <v>22</v>
      </c>
      <c r="C468" s="14">
        <v>2760</v>
      </c>
      <c r="D468" s="14">
        <v>2779.95</v>
      </c>
      <c r="E468" s="14">
        <v>2718.05</v>
      </c>
      <c r="F468" s="14">
        <v>2766.2</v>
      </c>
      <c r="G468" s="14">
        <v>2730</v>
      </c>
      <c r="H468" s="14">
        <v>2725.85</v>
      </c>
      <c r="I468" s="14">
        <v>2735.9</v>
      </c>
      <c r="J468" s="14">
        <v>3582.9</v>
      </c>
      <c r="K468" s="14">
        <v>2560</v>
      </c>
      <c r="L468" s="15">
        <v>1961805</v>
      </c>
      <c r="M468" t="s" s="13">
        <v>6782</v>
      </c>
      <c r="N468" s="15">
        <v>172075</v>
      </c>
      <c r="O468" s="17" cm="1">
        <f t="array" ref="O468">(H469-H468)/H468</f>
        <v>0.00656675899260781</v>
      </c>
      <c r="P468" s="8"/>
      <c r="Q468" s="8"/>
    </row>
    <row r="469" ht="13.65" customHeight="1">
      <c r="A469" s="12">
        <v>44958</v>
      </c>
      <c r="B469" t="s" s="13">
        <v>22</v>
      </c>
      <c r="C469" s="14">
        <v>2749.8</v>
      </c>
      <c r="D469" s="14">
        <v>2778</v>
      </c>
      <c r="E469" s="14">
        <v>2704.8</v>
      </c>
      <c r="F469" s="14">
        <v>2725.85</v>
      </c>
      <c r="G469" s="14">
        <v>2745.8</v>
      </c>
      <c r="H469" s="14">
        <v>2743.75</v>
      </c>
      <c r="I469" s="14">
        <v>2751.7</v>
      </c>
      <c r="J469" s="14">
        <v>3582.9</v>
      </c>
      <c r="K469" s="14">
        <v>2560</v>
      </c>
      <c r="L469" s="15">
        <v>1176872</v>
      </c>
      <c r="M469" t="s" s="13">
        <v>6783</v>
      </c>
      <c r="N469" s="15">
        <v>104610</v>
      </c>
      <c r="O469" s="17" cm="1">
        <f t="array" ref="O469">(H470-H469)/H469</f>
        <v>-0.0138861047835991</v>
      </c>
      <c r="P469" s="8"/>
      <c r="Q469" s="8"/>
    </row>
    <row r="470" ht="13.65" customHeight="1">
      <c r="A470" s="12">
        <v>44959</v>
      </c>
      <c r="B470" t="s" s="13">
        <v>22</v>
      </c>
      <c r="C470" s="14">
        <v>2741</v>
      </c>
      <c r="D470" s="14">
        <v>2741</v>
      </c>
      <c r="E470" s="14">
        <v>2694</v>
      </c>
      <c r="F470" s="14">
        <v>2743.75</v>
      </c>
      <c r="G470" s="14">
        <v>2708</v>
      </c>
      <c r="H470" s="14">
        <v>2705.65</v>
      </c>
      <c r="I470" s="14">
        <v>2713.55</v>
      </c>
      <c r="J470" s="14">
        <v>3582.9</v>
      </c>
      <c r="K470" s="14">
        <v>2560</v>
      </c>
      <c r="L470" s="15">
        <v>1308570</v>
      </c>
      <c r="M470" t="s" s="13">
        <v>6784</v>
      </c>
      <c r="N470" s="15">
        <v>105807</v>
      </c>
      <c r="O470" s="17" cm="1">
        <f t="array" ref="O470">(H471-H470)/H470</f>
        <v>0.0202354332600299</v>
      </c>
      <c r="P470" s="8"/>
      <c r="Q470" s="8"/>
    </row>
    <row r="471" ht="13.65" customHeight="1">
      <c r="A471" s="12">
        <v>44960</v>
      </c>
      <c r="B471" t="s" s="13">
        <v>22</v>
      </c>
      <c r="C471" s="14">
        <v>2705.65</v>
      </c>
      <c r="D471" s="14">
        <v>2763.9</v>
      </c>
      <c r="E471" s="14">
        <v>2700</v>
      </c>
      <c r="F471" s="14">
        <v>2705.65</v>
      </c>
      <c r="G471" s="14">
        <v>2756.9</v>
      </c>
      <c r="H471" s="14">
        <v>2760.4</v>
      </c>
      <c r="I471" s="14">
        <v>2733.95</v>
      </c>
      <c r="J471" s="14">
        <v>3582.9</v>
      </c>
      <c r="K471" s="14">
        <v>2560</v>
      </c>
      <c r="L471" s="15">
        <v>1278409</v>
      </c>
      <c r="M471" t="s" s="13">
        <v>6785</v>
      </c>
      <c r="N471" s="15">
        <v>87216</v>
      </c>
      <c r="O471" s="17" cm="1">
        <f t="array" ref="O471">(H472-H471)/H471</f>
        <v>-0.00224605129691349</v>
      </c>
      <c r="P471" s="8"/>
      <c r="Q471" s="8"/>
    </row>
    <row r="472" ht="13.65" customHeight="1">
      <c r="A472" s="12">
        <v>44963</v>
      </c>
      <c r="B472" t="s" s="13">
        <v>22</v>
      </c>
      <c r="C472" s="14">
        <v>2760.4</v>
      </c>
      <c r="D472" s="14">
        <v>2765</v>
      </c>
      <c r="E472" s="14">
        <v>2718</v>
      </c>
      <c r="F472" s="14">
        <v>2760.4</v>
      </c>
      <c r="G472" s="14">
        <v>2756</v>
      </c>
      <c r="H472" s="14">
        <v>2754.2</v>
      </c>
      <c r="I472" s="14">
        <v>2739.01</v>
      </c>
      <c r="J472" s="14">
        <v>3582.9</v>
      </c>
      <c r="K472" s="14">
        <v>2560</v>
      </c>
      <c r="L472" s="15">
        <v>1120284</v>
      </c>
      <c r="M472" t="s" s="13">
        <v>6786</v>
      </c>
      <c r="N472" s="15">
        <v>135926</v>
      </c>
      <c r="O472" s="17" cm="1">
        <f t="array" ref="O472">(H473-H472)/H472</f>
        <v>0.00139786507878876</v>
      </c>
      <c r="P472" s="8"/>
      <c r="Q472" s="8"/>
    </row>
    <row r="473" ht="13.65" customHeight="1">
      <c r="A473" s="12">
        <v>44964</v>
      </c>
      <c r="B473" t="s" s="13">
        <v>22</v>
      </c>
      <c r="C473" s="14">
        <v>2762</v>
      </c>
      <c r="D473" s="14">
        <v>2774.5</v>
      </c>
      <c r="E473" s="14">
        <v>2748.15</v>
      </c>
      <c r="F473" s="14">
        <v>2754.2</v>
      </c>
      <c r="G473" s="14">
        <v>2759</v>
      </c>
      <c r="H473" s="14">
        <v>2758.05</v>
      </c>
      <c r="I473" s="14">
        <v>2763.26</v>
      </c>
      <c r="J473" s="14">
        <v>3582.9</v>
      </c>
      <c r="K473" s="14">
        <v>2560</v>
      </c>
      <c r="L473" s="15">
        <v>732250</v>
      </c>
      <c r="M473" t="s" s="13">
        <v>6787</v>
      </c>
      <c r="N473" s="15">
        <v>60103</v>
      </c>
      <c r="O473" s="17" cm="1">
        <f t="array" ref="O473">(H474-H473)/H473</f>
        <v>0.00273744130817063</v>
      </c>
      <c r="P473" s="8"/>
      <c r="Q473" s="8"/>
    </row>
    <row r="474" ht="13.65" customHeight="1">
      <c r="A474" s="12">
        <v>44965</v>
      </c>
      <c r="B474" t="s" s="13">
        <v>22</v>
      </c>
      <c r="C474" s="14">
        <v>2768</v>
      </c>
      <c r="D474" s="14">
        <v>2784</v>
      </c>
      <c r="E474" s="14">
        <v>2744.3</v>
      </c>
      <c r="F474" s="14">
        <v>2758.05</v>
      </c>
      <c r="G474" s="14">
        <v>2767.8</v>
      </c>
      <c r="H474" s="14">
        <v>2765.6</v>
      </c>
      <c r="I474" s="14">
        <v>2764.58</v>
      </c>
      <c r="J474" s="14">
        <v>3582.9</v>
      </c>
      <c r="K474" s="14">
        <v>2560</v>
      </c>
      <c r="L474" s="15">
        <v>811956</v>
      </c>
      <c r="M474" t="s" s="13">
        <v>6788</v>
      </c>
      <c r="N474" s="15">
        <v>64510</v>
      </c>
      <c r="O474" s="17" cm="1">
        <f t="array" ref="O474">(H475-H474)/H474</f>
        <v>0.0177176742840613</v>
      </c>
      <c r="P474" s="8"/>
      <c r="Q474" s="8"/>
    </row>
    <row r="475" ht="13.65" customHeight="1">
      <c r="A475" s="12">
        <v>44966</v>
      </c>
      <c r="B475" t="s" s="13">
        <v>22</v>
      </c>
      <c r="C475" s="14">
        <v>2781.95</v>
      </c>
      <c r="D475" s="14">
        <v>2820.35</v>
      </c>
      <c r="E475" s="14">
        <v>2766.15</v>
      </c>
      <c r="F475" s="14">
        <v>2765.6</v>
      </c>
      <c r="G475" s="14">
        <v>2820</v>
      </c>
      <c r="H475" s="14">
        <v>2814.6</v>
      </c>
      <c r="I475" s="14">
        <v>2799.43</v>
      </c>
      <c r="J475" s="14">
        <v>3582.9</v>
      </c>
      <c r="K475" s="14">
        <v>2560</v>
      </c>
      <c r="L475" s="15">
        <v>946372</v>
      </c>
      <c r="M475" t="s" s="13">
        <v>6789</v>
      </c>
      <c r="N475" s="15">
        <v>66431</v>
      </c>
      <c r="O475" s="17" cm="1">
        <f t="array" ref="O475">(H476-H475)/H475</f>
        <v>-0.00355290272152348</v>
      </c>
      <c r="P475" s="8"/>
      <c r="Q475" s="8"/>
    </row>
    <row r="476" ht="13.65" customHeight="1">
      <c r="A476" s="18">
        <v>44967</v>
      </c>
      <c r="B476" t="s" s="13">
        <v>22</v>
      </c>
      <c r="C476" s="14">
        <v>2830</v>
      </c>
      <c r="D476" s="14">
        <v>2830.95</v>
      </c>
      <c r="E476" s="14">
        <v>2793</v>
      </c>
      <c r="F476" s="14">
        <v>2814.6</v>
      </c>
      <c r="G476" s="14">
        <v>2804</v>
      </c>
      <c r="H476" s="14">
        <v>2804.6</v>
      </c>
      <c r="I476" s="14">
        <v>2809.89</v>
      </c>
      <c r="J476" s="14">
        <v>3582.9</v>
      </c>
      <c r="K476" s="14">
        <v>2560</v>
      </c>
      <c r="L476" s="15">
        <v>700072</v>
      </c>
      <c r="M476" t="s" s="13">
        <v>6790</v>
      </c>
      <c r="N476" s="15">
        <v>51716</v>
      </c>
      <c r="O476" s="17" cm="1">
        <f t="array" ref="O476">(H477-H476)/H476</f>
        <v>-0.00493831562433146</v>
      </c>
      <c r="P476" s="8"/>
      <c r="Q476" s="8"/>
    </row>
    <row r="477" ht="13.65" customHeight="1">
      <c r="A477" s="18">
        <v>44970</v>
      </c>
      <c r="B477" t="s" s="13">
        <v>22</v>
      </c>
      <c r="C477" s="14">
        <v>2814.5</v>
      </c>
      <c r="D477" s="14">
        <v>2829</v>
      </c>
      <c r="E477" s="14">
        <v>2780</v>
      </c>
      <c r="F477" s="14">
        <v>2804.6</v>
      </c>
      <c r="G477" s="14">
        <v>2787</v>
      </c>
      <c r="H477" s="14">
        <v>2790.75</v>
      </c>
      <c r="I477" s="14">
        <v>2796.08</v>
      </c>
      <c r="J477" s="14">
        <v>3582.9</v>
      </c>
      <c r="K477" s="14">
        <v>2560</v>
      </c>
      <c r="L477" s="15">
        <v>467228</v>
      </c>
      <c r="M477" t="s" s="13">
        <v>6791</v>
      </c>
      <c r="N477" s="15">
        <v>42088</v>
      </c>
      <c r="O477" s="17" cm="1">
        <f t="array" ref="O477">(H478-H477)/H477</f>
        <v>-0.00492699095225298</v>
      </c>
      <c r="P477" s="8"/>
      <c r="Q477" s="8"/>
    </row>
    <row r="478" ht="13.65" customHeight="1">
      <c r="A478" s="18">
        <v>44971</v>
      </c>
      <c r="B478" t="s" s="13">
        <v>22</v>
      </c>
      <c r="C478" s="14">
        <v>2804.75</v>
      </c>
      <c r="D478" s="14">
        <v>2804.75</v>
      </c>
      <c r="E478" s="14">
        <v>2765</v>
      </c>
      <c r="F478" s="14">
        <v>2790.75</v>
      </c>
      <c r="G478" s="14">
        <v>2774.7</v>
      </c>
      <c r="H478" s="14">
        <v>2777</v>
      </c>
      <c r="I478" s="14">
        <v>2778.33</v>
      </c>
      <c r="J478" s="14">
        <v>3582.9</v>
      </c>
      <c r="K478" s="14">
        <v>2560</v>
      </c>
      <c r="L478" s="15">
        <v>524746</v>
      </c>
      <c r="M478" t="s" s="13">
        <v>6792</v>
      </c>
      <c r="N478" s="15">
        <v>54815</v>
      </c>
      <c r="O478" s="17" cm="1">
        <f t="array" ref="O478">(H479-H478)/H478</f>
        <v>0.00329492257832193</v>
      </c>
      <c r="P478" s="8"/>
      <c r="Q478" s="8"/>
    </row>
    <row r="479" ht="13.65" customHeight="1">
      <c r="A479" s="18">
        <v>44972</v>
      </c>
      <c r="B479" t="s" s="13">
        <v>22</v>
      </c>
      <c r="C479" s="14">
        <v>2777</v>
      </c>
      <c r="D479" s="14">
        <v>2798.3</v>
      </c>
      <c r="E479" s="14">
        <v>2754</v>
      </c>
      <c r="F479" s="14">
        <v>2777</v>
      </c>
      <c r="G479" s="14">
        <v>2798.3</v>
      </c>
      <c r="H479" s="14">
        <v>2786.15</v>
      </c>
      <c r="I479" s="14">
        <v>2778.03</v>
      </c>
      <c r="J479" s="14">
        <v>3582.9</v>
      </c>
      <c r="K479" s="14">
        <v>2560</v>
      </c>
      <c r="L479" s="15">
        <v>817717</v>
      </c>
      <c r="M479" t="s" s="13">
        <v>6793</v>
      </c>
      <c r="N479" s="15">
        <v>59459</v>
      </c>
      <c r="O479" s="17" cm="1">
        <f t="array" ref="O479">(H480-H479)/H479</f>
        <v>0.00710658076557256</v>
      </c>
      <c r="P479" s="8"/>
      <c r="Q479" s="8"/>
    </row>
    <row r="480" ht="13.65" customHeight="1">
      <c r="A480" s="18">
        <v>44973</v>
      </c>
      <c r="B480" t="s" s="13">
        <v>22</v>
      </c>
      <c r="C480" s="14">
        <v>2797</v>
      </c>
      <c r="D480" s="14">
        <v>2834.35</v>
      </c>
      <c r="E480" s="14">
        <v>2790.1</v>
      </c>
      <c r="F480" s="14">
        <v>2786.15</v>
      </c>
      <c r="G480" s="14">
        <v>2807.9</v>
      </c>
      <c r="H480" s="14">
        <v>2805.95</v>
      </c>
      <c r="I480" s="14">
        <v>2816</v>
      </c>
      <c r="J480" s="14">
        <v>3582.9</v>
      </c>
      <c r="K480" s="14">
        <v>2560</v>
      </c>
      <c r="L480" s="15">
        <v>788964</v>
      </c>
      <c r="M480" t="s" s="13">
        <v>6794</v>
      </c>
      <c r="N480" s="15">
        <v>52282</v>
      </c>
      <c r="O480" s="17" cm="1">
        <f t="array" ref="O480">(H481-H480)/H480</f>
        <v>0.00985406012224024</v>
      </c>
      <c r="P480" s="8"/>
      <c r="Q480" s="8"/>
    </row>
    <row r="481" ht="13.65" customHeight="1">
      <c r="A481" s="18">
        <v>44974</v>
      </c>
      <c r="B481" t="s" s="13">
        <v>22</v>
      </c>
      <c r="C481" s="14">
        <v>2802.95</v>
      </c>
      <c r="D481" s="14">
        <v>2845.85</v>
      </c>
      <c r="E481" s="14">
        <v>2785.5</v>
      </c>
      <c r="F481" s="14">
        <v>2805.95</v>
      </c>
      <c r="G481" s="14">
        <v>2838</v>
      </c>
      <c r="H481" s="14">
        <v>2833.6</v>
      </c>
      <c r="I481" s="14">
        <v>2829.62</v>
      </c>
      <c r="J481" s="14">
        <v>3582.9</v>
      </c>
      <c r="K481" s="14">
        <v>2560</v>
      </c>
      <c r="L481" s="15">
        <v>840526</v>
      </c>
      <c r="M481" t="s" s="13">
        <v>6795</v>
      </c>
      <c r="N481" s="15">
        <v>51975</v>
      </c>
      <c r="O481" s="17" cm="1">
        <f t="array" ref="O481">(H482-H481)/H481</f>
        <v>-0.00284090909090909</v>
      </c>
      <c r="P481" s="8"/>
      <c r="Q481" s="8"/>
    </row>
    <row r="482" ht="13.65" customHeight="1">
      <c r="A482" s="18">
        <v>44977</v>
      </c>
      <c r="B482" t="s" s="13">
        <v>22</v>
      </c>
      <c r="C482" s="14">
        <v>2845</v>
      </c>
      <c r="D482" s="14">
        <v>2852</v>
      </c>
      <c r="E482" s="14">
        <v>2812.1</v>
      </c>
      <c r="F482" s="14">
        <v>2833.6</v>
      </c>
      <c r="G482" s="14">
        <v>2829.8</v>
      </c>
      <c r="H482" s="14">
        <v>2825.55</v>
      </c>
      <c r="I482" s="14">
        <v>2826.45</v>
      </c>
      <c r="J482" s="14">
        <v>3582.9</v>
      </c>
      <c r="K482" s="14">
        <v>2560</v>
      </c>
      <c r="L482" s="15">
        <v>646218</v>
      </c>
      <c r="M482" t="s" s="13">
        <v>6796</v>
      </c>
      <c r="N482" s="15">
        <v>48252</v>
      </c>
      <c r="O482" s="17" cm="1">
        <f t="array" ref="O482">(H483-H482)/H482</f>
        <v>-0.00299056820795951</v>
      </c>
      <c r="P482" s="8"/>
      <c r="Q482" s="8"/>
    </row>
    <row r="483" ht="13.65" customHeight="1">
      <c r="A483" s="18">
        <v>44978</v>
      </c>
      <c r="B483" t="s" s="13">
        <v>22</v>
      </c>
      <c r="C483" s="14">
        <v>2837</v>
      </c>
      <c r="D483" s="14">
        <v>2838.7</v>
      </c>
      <c r="E483" s="14">
        <v>2805</v>
      </c>
      <c r="F483" s="14">
        <v>2825.55</v>
      </c>
      <c r="G483" s="14">
        <v>2820</v>
      </c>
      <c r="H483" s="14">
        <v>2817.1</v>
      </c>
      <c r="I483" s="14">
        <v>2813.63</v>
      </c>
      <c r="J483" s="14">
        <v>3582.9</v>
      </c>
      <c r="K483" s="14">
        <v>2560</v>
      </c>
      <c r="L483" s="15">
        <v>631934</v>
      </c>
      <c r="M483" t="s" s="13">
        <v>6797</v>
      </c>
      <c r="N483" s="15">
        <v>49982</v>
      </c>
      <c r="O483" s="17" cm="1">
        <f t="array" ref="O483">(H484-H483)/H483</f>
        <v>-0.00750772070569025</v>
      </c>
      <c r="P483" s="8"/>
      <c r="Q483" s="8"/>
    </row>
    <row r="484" ht="13.65" customHeight="1">
      <c r="A484" s="18">
        <v>44979</v>
      </c>
      <c r="B484" t="s" s="13">
        <v>22</v>
      </c>
      <c r="C484" s="14">
        <v>2809.95</v>
      </c>
      <c r="D484" s="14">
        <v>2813.95</v>
      </c>
      <c r="E484" s="14">
        <v>2780</v>
      </c>
      <c r="F484" s="14">
        <v>2817.1</v>
      </c>
      <c r="G484" s="14">
        <v>2797.9</v>
      </c>
      <c r="H484" s="14">
        <v>2795.95</v>
      </c>
      <c r="I484" s="14">
        <v>2794.79</v>
      </c>
      <c r="J484" s="14">
        <v>3582.9</v>
      </c>
      <c r="K484" s="14">
        <v>2560</v>
      </c>
      <c r="L484" s="15">
        <v>580270</v>
      </c>
      <c r="M484" t="s" s="13">
        <v>6798</v>
      </c>
      <c r="N484" s="15">
        <v>48375</v>
      </c>
      <c r="O484" s="17" cm="1">
        <f t="array" ref="O484">(H485-H484)/H484</f>
        <v>-0.032189416835065</v>
      </c>
      <c r="P484" s="8"/>
      <c r="Q484" s="8"/>
    </row>
    <row r="485" ht="13.65" customHeight="1">
      <c r="A485" s="18">
        <v>44980</v>
      </c>
      <c r="B485" t="s" s="13">
        <v>22</v>
      </c>
      <c r="C485" s="14">
        <v>2805</v>
      </c>
      <c r="D485" s="14">
        <v>2805.55</v>
      </c>
      <c r="E485" s="14">
        <v>2700.1</v>
      </c>
      <c r="F485" s="14">
        <v>2795.95</v>
      </c>
      <c r="G485" s="14">
        <v>2707</v>
      </c>
      <c r="H485" s="14">
        <v>2705.95</v>
      </c>
      <c r="I485" s="14">
        <v>2728.66</v>
      </c>
      <c r="J485" s="14">
        <v>3582.9</v>
      </c>
      <c r="K485" s="14">
        <v>2560</v>
      </c>
      <c r="L485" s="15">
        <v>1790570</v>
      </c>
      <c r="M485" t="s" s="13">
        <v>6799</v>
      </c>
      <c r="N485" s="15">
        <v>152617</v>
      </c>
      <c r="O485" s="17" cm="1">
        <f t="array" ref="O485">(H486-H485)/H485</f>
        <v>0.0120290470999095</v>
      </c>
      <c r="P485" s="8"/>
      <c r="Q485" s="8"/>
    </row>
    <row r="486" ht="13.65" customHeight="1">
      <c r="A486" s="18">
        <v>44981</v>
      </c>
      <c r="B486" t="s" s="13">
        <v>22</v>
      </c>
      <c r="C486" s="14">
        <v>2712.1</v>
      </c>
      <c r="D486" s="14">
        <v>2762</v>
      </c>
      <c r="E486" s="14">
        <v>2710</v>
      </c>
      <c r="F486" s="14">
        <v>2705.95</v>
      </c>
      <c r="G486" s="14">
        <v>2741.4</v>
      </c>
      <c r="H486" s="14">
        <v>2738.5</v>
      </c>
      <c r="I486" s="14">
        <v>2742.98</v>
      </c>
      <c r="J486" s="14">
        <v>3582.9</v>
      </c>
      <c r="K486" s="14">
        <v>2560</v>
      </c>
      <c r="L486" s="15">
        <v>1429040</v>
      </c>
      <c r="M486" t="s" s="13">
        <v>6800</v>
      </c>
      <c r="N486" s="15">
        <v>76267</v>
      </c>
      <c r="O486" s="17" cm="1">
        <f t="array" ref="O486">(H487-H486)/H486</f>
        <v>0.00416286288113931</v>
      </c>
      <c r="P486" s="8"/>
      <c r="Q486" s="8"/>
    </row>
    <row r="487" ht="13.65" customHeight="1">
      <c r="A487" s="18">
        <v>44984</v>
      </c>
      <c r="B487" t="s" s="13">
        <v>22</v>
      </c>
      <c r="C487" s="14">
        <v>2740.4</v>
      </c>
      <c r="D487" s="14">
        <v>2758.65</v>
      </c>
      <c r="E487" s="14">
        <v>2725.05</v>
      </c>
      <c r="F487" s="14">
        <v>2738.5</v>
      </c>
      <c r="G487" s="14">
        <v>2755</v>
      </c>
      <c r="H487" s="14">
        <v>2749.9</v>
      </c>
      <c r="I487" s="14">
        <v>2744.49</v>
      </c>
      <c r="J487" s="14">
        <v>3582.9</v>
      </c>
      <c r="K487" s="14">
        <v>2560</v>
      </c>
      <c r="L487" s="15">
        <v>561317</v>
      </c>
      <c r="M487" t="s" s="13">
        <v>6801</v>
      </c>
      <c r="N487" s="15">
        <v>48281</v>
      </c>
      <c r="O487" s="17" cm="1">
        <f t="array" ref="O487">(H488-H487)/H487</f>
        <v>0.028691952434634</v>
      </c>
      <c r="P487" s="8"/>
      <c r="Q487" s="8"/>
    </row>
    <row r="488" ht="13.65" customHeight="1">
      <c r="A488" s="18">
        <v>44985</v>
      </c>
      <c r="B488" t="s" s="13">
        <v>22</v>
      </c>
      <c r="C488" s="14">
        <v>2750</v>
      </c>
      <c r="D488" s="14">
        <v>2839</v>
      </c>
      <c r="E488" s="14">
        <v>2727.45</v>
      </c>
      <c r="F488" s="14">
        <v>2749.9</v>
      </c>
      <c r="G488" s="14">
        <v>2832.85</v>
      </c>
      <c r="H488" s="14">
        <v>2828.8</v>
      </c>
      <c r="I488" s="14">
        <v>2808.68</v>
      </c>
      <c r="J488" s="14">
        <v>3582.9</v>
      </c>
      <c r="K488" s="14">
        <v>2560</v>
      </c>
      <c r="L488" s="15">
        <v>1815923</v>
      </c>
      <c r="M488" t="s" s="13">
        <v>6802</v>
      </c>
      <c r="N488" s="15">
        <v>79782</v>
      </c>
      <c r="O488" s="17" cm="1">
        <f t="array" ref="O488">(H489-H488)/H488</f>
        <v>0.00427743212669683</v>
      </c>
      <c r="P488" s="8"/>
      <c r="Q488" s="8"/>
    </row>
    <row r="489" ht="13.65" customHeight="1">
      <c r="A489" s="12">
        <v>44986</v>
      </c>
      <c r="B489" t="s" s="13">
        <v>22</v>
      </c>
      <c r="C489" s="14">
        <v>2828</v>
      </c>
      <c r="D489" s="14">
        <v>2853.3</v>
      </c>
      <c r="E489" s="14">
        <v>2816.05</v>
      </c>
      <c r="F489" s="14">
        <v>2828.8</v>
      </c>
      <c r="G489" s="14">
        <v>2844</v>
      </c>
      <c r="H489" s="14">
        <v>2840.9</v>
      </c>
      <c r="I489" s="14">
        <v>2837.61</v>
      </c>
      <c r="J489" s="14">
        <v>3582.9</v>
      </c>
      <c r="K489" s="14">
        <v>2560</v>
      </c>
      <c r="L489" s="15">
        <v>816598</v>
      </c>
      <c r="M489" t="s" s="13">
        <v>6803</v>
      </c>
      <c r="N489" s="15">
        <v>58148</v>
      </c>
      <c r="O489" s="17" cm="1">
        <f t="array" ref="O489">(H490-H489)/H489</f>
        <v>-0.00246400788482523</v>
      </c>
      <c r="P489" s="8"/>
      <c r="Q489" s="8"/>
    </row>
    <row r="490" ht="13.65" customHeight="1">
      <c r="A490" s="12">
        <v>44987</v>
      </c>
      <c r="B490" t="s" s="13">
        <v>22</v>
      </c>
      <c r="C490" s="14">
        <v>2831</v>
      </c>
      <c r="D490" s="14">
        <v>2849</v>
      </c>
      <c r="E490" s="14">
        <v>2811</v>
      </c>
      <c r="F490" s="14">
        <v>2840.9</v>
      </c>
      <c r="G490" s="14">
        <v>2833</v>
      </c>
      <c r="H490" s="14">
        <v>2833.9</v>
      </c>
      <c r="I490" s="14">
        <v>2832.79</v>
      </c>
      <c r="J490" s="14">
        <v>3582.9</v>
      </c>
      <c r="K490" s="14">
        <v>2560</v>
      </c>
      <c r="L490" s="15">
        <v>604523</v>
      </c>
      <c r="M490" t="s" s="13">
        <v>6804</v>
      </c>
      <c r="N490" s="15">
        <v>44537</v>
      </c>
      <c r="O490" s="17" cm="1">
        <f t="array" ref="O490">(H491-H490)/H490</f>
        <v>-0.0017819965418681</v>
      </c>
      <c r="P490" s="8"/>
      <c r="Q490" s="8"/>
    </row>
    <row r="491" ht="13.65" customHeight="1">
      <c r="A491" s="12">
        <v>44988</v>
      </c>
      <c r="B491" t="s" s="13">
        <v>22</v>
      </c>
      <c r="C491" s="14">
        <v>2837.05</v>
      </c>
      <c r="D491" s="14">
        <v>2852</v>
      </c>
      <c r="E491" s="14">
        <v>2810.65</v>
      </c>
      <c r="F491" s="14">
        <v>2833.9</v>
      </c>
      <c r="G491" s="14">
        <v>2830.15</v>
      </c>
      <c r="H491" s="14">
        <v>2828.85</v>
      </c>
      <c r="I491" s="14">
        <v>2826.34</v>
      </c>
      <c r="J491" s="14">
        <v>3582.9</v>
      </c>
      <c r="K491" s="14">
        <v>2560</v>
      </c>
      <c r="L491" s="15">
        <v>679295</v>
      </c>
      <c r="M491" t="s" s="13">
        <v>6805</v>
      </c>
      <c r="N491" s="15">
        <v>64015</v>
      </c>
      <c r="O491" s="17" cm="1">
        <f t="array" ref="O491">(H492-H491)/H491</f>
        <v>0.0126199692454531</v>
      </c>
      <c r="P491" s="8"/>
      <c r="Q491" s="8"/>
    </row>
    <row r="492" ht="13.65" customHeight="1">
      <c r="A492" s="12">
        <v>44991</v>
      </c>
      <c r="B492" t="s" s="13">
        <v>22</v>
      </c>
      <c r="C492" s="14">
        <v>2843</v>
      </c>
      <c r="D492" s="14">
        <v>2884</v>
      </c>
      <c r="E492" s="14">
        <v>2830.25</v>
      </c>
      <c r="F492" s="14">
        <v>2828.85</v>
      </c>
      <c r="G492" s="14">
        <v>2861.6</v>
      </c>
      <c r="H492" s="14">
        <v>2864.55</v>
      </c>
      <c r="I492" s="14">
        <v>2869.75</v>
      </c>
      <c r="J492" s="14">
        <v>3582.9</v>
      </c>
      <c r="K492" s="14">
        <v>2560</v>
      </c>
      <c r="L492" s="15">
        <v>1050267</v>
      </c>
      <c r="M492" t="s" s="13">
        <v>6806</v>
      </c>
      <c r="N492" s="15">
        <v>74159</v>
      </c>
      <c r="O492" s="17" cm="1">
        <f t="array" ref="O492">(H493-H492)/H492</f>
        <v>-0.00174547485643469</v>
      </c>
      <c r="P492" s="8"/>
      <c r="Q492" s="8"/>
    </row>
    <row r="493" ht="13.65" customHeight="1">
      <c r="A493" s="12">
        <v>44993</v>
      </c>
      <c r="B493" t="s" s="13">
        <v>22</v>
      </c>
      <c r="C493" s="14">
        <v>2870</v>
      </c>
      <c r="D493" s="14">
        <v>2870</v>
      </c>
      <c r="E493" s="14">
        <v>2827</v>
      </c>
      <c r="F493" s="14">
        <v>2864.55</v>
      </c>
      <c r="G493" s="14">
        <v>2857</v>
      </c>
      <c r="H493" s="14">
        <v>2859.55</v>
      </c>
      <c r="I493" s="14">
        <v>2850.88</v>
      </c>
      <c r="J493" s="14">
        <v>3582.9</v>
      </c>
      <c r="K493" s="14">
        <v>2560</v>
      </c>
      <c r="L493" s="15">
        <v>580250</v>
      </c>
      <c r="M493" t="s" s="13">
        <v>6807</v>
      </c>
      <c r="N493" s="15">
        <v>50105</v>
      </c>
      <c r="O493" s="17" cm="1">
        <f t="array" ref="O493">(H494-H493)/H493</f>
        <v>-0.00209823223933836</v>
      </c>
      <c r="P493" s="8"/>
      <c r="Q493" s="8"/>
    </row>
    <row r="494" ht="13.65" customHeight="1">
      <c r="A494" s="12">
        <v>44994</v>
      </c>
      <c r="B494" t="s" s="13">
        <v>22</v>
      </c>
      <c r="C494" s="14">
        <v>2862</v>
      </c>
      <c r="D494" s="14">
        <v>2872.45</v>
      </c>
      <c r="E494" s="14">
        <v>2836.85</v>
      </c>
      <c r="F494" s="14">
        <v>2859.55</v>
      </c>
      <c r="G494" s="14">
        <v>2856</v>
      </c>
      <c r="H494" s="14">
        <v>2853.55</v>
      </c>
      <c r="I494" s="14">
        <v>2855.48</v>
      </c>
      <c r="J494" s="14">
        <v>3582.9</v>
      </c>
      <c r="K494" s="14">
        <v>2560</v>
      </c>
      <c r="L494" s="15">
        <v>774224</v>
      </c>
      <c r="M494" t="s" s="13">
        <v>6808</v>
      </c>
      <c r="N494" s="15">
        <v>51928</v>
      </c>
      <c r="O494" s="17" cm="1">
        <f t="array" ref="O494">(H495-H494)/H494</f>
        <v>-0.008182789858246751</v>
      </c>
      <c r="P494" s="8"/>
      <c r="Q494" s="8"/>
    </row>
    <row r="495" ht="13.65" customHeight="1">
      <c r="A495" s="18">
        <v>44995</v>
      </c>
      <c r="B495" t="s" s="13">
        <v>22</v>
      </c>
      <c r="C495" s="14">
        <v>2844</v>
      </c>
      <c r="D495" s="14">
        <v>2844</v>
      </c>
      <c r="E495" s="14">
        <v>2807</v>
      </c>
      <c r="F495" s="14">
        <v>2853.55</v>
      </c>
      <c r="G495" s="14">
        <v>2828</v>
      </c>
      <c r="H495" s="14">
        <v>2830.2</v>
      </c>
      <c r="I495" s="14">
        <v>2827.55</v>
      </c>
      <c r="J495" s="14">
        <v>3582.9</v>
      </c>
      <c r="K495" s="14">
        <v>2560</v>
      </c>
      <c r="L495" s="15">
        <v>489978</v>
      </c>
      <c r="M495" t="s" s="13">
        <v>6809</v>
      </c>
      <c r="N495" s="15">
        <v>54387</v>
      </c>
      <c r="O495" s="17" cm="1">
        <f t="array" ref="O495">(H496-H495)/H495</f>
        <v>-0.0162532683202601</v>
      </c>
      <c r="P495" s="8"/>
      <c r="Q495" s="8"/>
    </row>
    <row r="496" ht="13.65" customHeight="1">
      <c r="A496" s="18">
        <v>44998</v>
      </c>
      <c r="B496" t="s" s="13">
        <v>22</v>
      </c>
      <c r="C496" s="14">
        <v>2823.5</v>
      </c>
      <c r="D496" s="14">
        <v>2849.45</v>
      </c>
      <c r="E496" s="14">
        <v>2772.2</v>
      </c>
      <c r="F496" s="14">
        <v>2830.2</v>
      </c>
      <c r="G496" s="14">
        <v>2790</v>
      </c>
      <c r="H496" s="14">
        <v>2784.2</v>
      </c>
      <c r="I496" s="14">
        <v>2807.41</v>
      </c>
      <c r="J496" s="14">
        <v>3582.9</v>
      </c>
      <c r="K496" s="14">
        <v>2560</v>
      </c>
      <c r="L496" s="15">
        <v>813217</v>
      </c>
      <c r="M496" t="s" s="13">
        <v>6810</v>
      </c>
      <c r="N496" s="15">
        <v>86773</v>
      </c>
      <c r="O496" s="17" cm="1">
        <f t="array" ref="O496">(H497-H496)/H496</f>
        <v>-0.0138639465555635</v>
      </c>
      <c r="P496" s="8"/>
      <c r="Q496" s="8"/>
    </row>
    <row r="497" ht="13.65" customHeight="1">
      <c r="A497" s="18">
        <v>44999</v>
      </c>
      <c r="B497" t="s" s="13">
        <v>22</v>
      </c>
      <c r="C497" s="14">
        <v>2782.95</v>
      </c>
      <c r="D497" s="14">
        <v>2786.95</v>
      </c>
      <c r="E497" s="14">
        <v>2740.05</v>
      </c>
      <c r="F497" s="14">
        <v>2784.2</v>
      </c>
      <c r="G497" s="14">
        <v>2746</v>
      </c>
      <c r="H497" s="14">
        <v>2745.6</v>
      </c>
      <c r="I497" s="14">
        <v>2758.21</v>
      </c>
      <c r="J497" s="14">
        <v>3582.9</v>
      </c>
      <c r="K497" s="14">
        <v>2560</v>
      </c>
      <c r="L497" s="15">
        <v>1060450</v>
      </c>
      <c r="M497" t="s" s="13">
        <v>6811</v>
      </c>
      <c r="N497" s="15">
        <v>119748</v>
      </c>
      <c r="O497" s="17" cm="1">
        <f t="array" ref="O497">(H498-H497)/H497</f>
        <v>0.0297931235431235</v>
      </c>
      <c r="P497" s="8"/>
      <c r="Q497" s="8"/>
    </row>
    <row r="498" ht="13.65" customHeight="1">
      <c r="A498" s="18">
        <v>45000</v>
      </c>
      <c r="B498" t="s" s="13">
        <v>22</v>
      </c>
      <c r="C498" s="14">
        <v>2772.2</v>
      </c>
      <c r="D498" s="14">
        <v>2866.35</v>
      </c>
      <c r="E498" s="14">
        <v>2765.2</v>
      </c>
      <c r="F498" s="14">
        <v>2745.6</v>
      </c>
      <c r="G498" s="14">
        <v>2831.1</v>
      </c>
      <c r="H498" s="14">
        <v>2827.4</v>
      </c>
      <c r="I498" s="14">
        <v>2831.84</v>
      </c>
      <c r="J498" s="14">
        <v>3582.9</v>
      </c>
      <c r="K498" s="14">
        <v>2560</v>
      </c>
      <c r="L498" s="15">
        <v>2170346</v>
      </c>
      <c r="M498" t="s" s="13">
        <v>6812</v>
      </c>
      <c r="N498" s="15">
        <v>127214</v>
      </c>
      <c r="O498" s="17" cm="1">
        <f t="array" ref="O498">(H499-H498)/H498</f>
        <v>0.0232899483624531</v>
      </c>
      <c r="P498" s="8"/>
      <c r="Q498" s="8"/>
    </row>
    <row r="499" ht="13.65" customHeight="1">
      <c r="A499" s="18">
        <v>45001</v>
      </c>
      <c r="B499" t="s" s="13">
        <v>22</v>
      </c>
      <c r="C499" s="14">
        <v>2850</v>
      </c>
      <c r="D499" s="14">
        <v>2900</v>
      </c>
      <c r="E499" s="14">
        <v>2828.7</v>
      </c>
      <c r="F499" s="14">
        <v>2827.4</v>
      </c>
      <c r="G499" s="14">
        <v>2896.55</v>
      </c>
      <c r="H499" s="14">
        <v>2893.25</v>
      </c>
      <c r="I499" s="14">
        <v>2874.46</v>
      </c>
      <c r="J499" s="14">
        <v>3582.9</v>
      </c>
      <c r="K499" s="14">
        <v>2560</v>
      </c>
      <c r="L499" s="15">
        <v>1755487</v>
      </c>
      <c r="M499" t="s" s="13">
        <v>6813</v>
      </c>
      <c r="N499" s="15">
        <v>134035</v>
      </c>
      <c r="O499" s="17" cm="1">
        <f t="array" ref="O499">(H500-H499)/H499</f>
        <v>-0.0105763414844898</v>
      </c>
      <c r="P499" s="8"/>
      <c r="Q499" s="8"/>
    </row>
    <row r="500" ht="13.65" customHeight="1">
      <c r="A500" s="18">
        <v>45002</v>
      </c>
      <c r="B500" t="s" s="13">
        <v>22</v>
      </c>
      <c r="C500" s="14">
        <v>2923.95</v>
      </c>
      <c r="D500" s="14">
        <v>2923.95</v>
      </c>
      <c r="E500" s="14">
        <v>2855.05</v>
      </c>
      <c r="F500" s="14">
        <v>2893.25</v>
      </c>
      <c r="G500" s="14">
        <v>2862.25</v>
      </c>
      <c r="H500" s="14">
        <v>2862.65</v>
      </c>
      <c r="I500" s="14">
        <v>2886.09</v>
      </c>
      <c r="J500" s="14">
        <v>3582.9</v>
      </c>
      <c r="K500" s="14">
        <v>2560</v>
      </c>
      <c r="L500" s="15">
        <v>1848073</v>
      </c>
      <c r="M500" t="s" s="13">
        <v>6814</v>
      </c>
      <c r="N500" s="15">
        <v>105428</v>
      </c>
      <c r="O500" s="17" cm="1">
        <f t="array" ref="O500">(H501-H500)/H500</f>
        <v>-0.00261995004628578</v>
      </c>
      <c r="P500" s="8"/>
      <c r="Q500" s="8"/>
    </row>
    <row r="501" ht="13.65" customHeight="1">
      <c r="A501" s="18">
        <v>45005</v>
      </c>
      <c r="B501" t="s" s="13">
        <v>22</v>
      </c>
      <c r="C501" s="14">
        <v>2915</v>
      </c>
      <c r="D501" s="14">
        <v>2915</v>
      </c>
      <c r="E501" s="14">
        <v>2831.05</v>
      </c>
      <c r="F501" s="14">
        <v>2862.65</v>
      </c>
      <c r="G501" s="14">
        <v>2852</v>
      </c>
      <c r="H501" s="14">
        <v>2855.15</v>
      </c>
      <c r="I501" s="14">
        <v>2847.77</v>
      </c>
      <c r="J501" s="14">
        <v>3582.9</v>
      </c>
      <c r="K501" s="14">
        <v>2560</v>
      </c>
      <c r="L501" s="15">
        <v>1074367</v>
      </c>
      <c r="M501" t="s" s="13">
        <v>6815</v>
      </c>
      <c r="N501" s="15">
        <v>85228</v>
      </c>
      <c r="O501" s="17" cm="1">
        <f t="array" ref="O501">(H502-H501)/H501</f>
        <v>-0.00562142094110642</v>
      </c>
      <c r="P501" s="8"/>
      <c r="Q501" s="8"/>
    </row>
    <row r="502" ht="13.65" customHeight="1">
      <c r="A502" s="18">
        <v>45006</v>
      </c>
      <c r="B502" t="s" s="13">
        <v>22</v>
      </c>
      <c r="C502" s="14">
        <v>2858.15</v>
      </c>
      <c r="D502" s="14">
        <v>2887</v>
      </c>
      <c r="E502" s="14">
        <v>2835</v>
      </c>
      <c r="F502" s="14">
        <v>2855.15</v>
      </c>
      <c r="G502" s="14">
        <v>2839.75</v>
      </c>
      <c r="H502" s="14">
        <v>2839.1</v>
      </c>
      <c r="I502" s="14">
        <v>2855.35</v>
      </c>
      <c r="J502" s="14">
        <v>3582.9</v>
      </c>
      <c r="K502" s="14">
        <v>2560</v>
      </c>
      <c r="L502" s="15">
        <v>691891</v>
      </c>
      <c r="M502" t="s" s="13">
        <v>6816</v>
      </c>
      <c r="N502" s="15">
        <v>80855</v>
      </c>
      <c r="O502" s="17" cm="1">
        <f t="array" ref="O502">(H503-H502)/H502</f>
        <v>0.000264168222323976</v>
      </c>
      <c r="P502" s="8"/>
      <c r="Q502" s="8"/>
    </row>
    <row r="503" ht="13.65" customHeight="1">
      <c r="A503" s="18">
        <v>45007</v>
      </c>
      <c r="B503" t="s" s="13">
        <v>22</v>
      </c>
      <c r="C503" s="14">
        <v>2825</v>
      </c>
      <c r="D503" s="14">
        <v>2853.15</v>
      </c>
      <c r="E503" s="14">
        <v>2814.85</v>
      </c>
      <c r="F503" s="14">
        <v>2839.1</v>
      </c>
      <c r="G503" s="14">
        <v>2836.05</v>
      </c>
      <c r="H503" s="14">
        <v>2839.85</v>
      </c>
      <c r="I503" s="14">
        <v>2837.31</v>
      </c>
      <c r="J503" s="14">
        <v>3582.9</v>
      </c>
      <c r="K503" s="14">
        <v>2560</v>
      </c>
      <c r="L503" s="15">
        <v>731807</v>
      </c>
      <c r="M503" t="s" s="13">
        <v>6817</v>
      </c>
      <c r="N503" s="15">
        <v>55063</v>
      </c>
      <c r="O503" s="17" cm="1">
        <f t="array" ref="O503">(H504-H503)/H503</f>
        <v>-0.0148071200943712</v>
      </c>
      <c r="P503" s="8"/>
      <c r="Q503" s="8"/>
    </row>
    <row r="504" ht="13.65" customHeight="1">
      <c r="A504" s="18">
        <v>45008</v>
      </c>
      <c r="B504" t="s" s="13">
        <v>22</v>
      </c>
      <c r="C504" s="14">
        <v>2817.1</v>
      </c>
      <c r="D504" s="14">
        <v>2823</v>
      </c>
      <c r="E504" s="14">
        <v>2767.75</v>
      </c>
      <c r="F504" s="14">
        <v>2839.85</v>
      </c>
      <c r="G504" s="14">
        <v>2800</v>
      </c>
      <c r="H504" s="14">
        <v>2797.8</v>
      </c>
      <c r="I504" s="14">
        <v>2790.62</v>
      </c>
      <c r="J504" s="14">
        <v>3582.9</v>
      </c>
      <c r="K504" s="14">
        <v>2560</v>
      </c>
      <c r="L504" s="15">
        <v>1016581</v>
      </c>
      <c r="M504" t="s" s="13">
        <v>6818</v>
      </c>
      <c r="N504" s="15">
        <v>72334</v>
      </c>
      <c r="O504" s="17" cm="1">
        <f t="array" ref="O504">(H505-H504)/H504</f>
        <v>0.000250196583029523</v>
      </c>
      <c r="P504" s="8"/>
      <c r="Q504" s="8"/>
    </row>
    <row r="505" ht="13.65" customHeight="1">
      <c r="A505" s="18">
        <v>45009</v>
      </c>
      <c r="B505" t="s" s="13">
        <v>22</v>
      </c>
      <c r="C505" s="14">
        <v>2797.8</v>
      </c>
      <c r="D505" s="14">
        <v>2815.65</v>
      </c>
      <c r="E505" s="14">
        <v>2772.85</v>
      </c>
      <c r="F505" s="14">
        <v>2797.8</v>
      </c>
      <c r="G505" s="14">
        <v>2800</v>
      </c>
      <c r="H505" s="14">
        <v>2798.5</v>
      </c>
      <c r="I505" s="14">
        <v>2797.05</v>
      </c>
      <c r="J505" s="14">
        <v>3582.9</v>
      </c>
      <c r="K505" s="14">
        <v>2560</v>
      </c>
      <c r="L505" s="15">
        <v>784111</v>
      </c>
      <c r="M505" t="s" s="13">
        <v>6819</v>
      </c>
      <c r="N505" s="15">
        <v>62848</v>
      </c>
      <c r="O505" s="17" cm="1">
        <f t="array" ref="O505">(H506-H505)/H505</f>
        <v>0.00187600500268001</v>
      </c>
      <c r="P505" s="8"/>
      <c r="Q505" s="8"/>
    </row>
    <row r="506" ht="13.65" customHeight="1">
      <c r="A506" s="18">
        <v>45012</v>
      </c>
      <c r="B506" t="s" s="13">
        <v>22</v>
      </c>
      <c r="C506" s="14">
        <v>2798.5</v>
      </c>
      <c r="D506" s="14">
        <v>2820</v>
      </c>
      <c r="E506" s="14">
        <v>2786.5</v>
      </c>
      <c r="F506" s="14">
        <v>2798.5</v>
      </c>
      <c r="G506" s="14">
        <v>2802.1</v>
      </c>
      <c r="H506" s="14">
        <v>2803.75</v>
      </c>
      <c r="I506" s="14">
        <v>2802.4</v>
      </c>
      <c r="J506" s="14">
        <v>3582.9</v>
      </c>
      <c r="K506" s="14">
        <v>2560</v>
      </c>
      <c r="L506" s="15">
        <v>791560</v>
      </c>
      <c r="M506" t="s" s="13">
        <v>6820</v>
      </c>
      <c r="N506" s="15">
        <v>54933</v>
      </c>
      <c r="O506" s="17" cm="1">
        <f t="array" ref="O506">(H507-H506)/H506</f>
        <v>-0.00688363798484173</v>
      </c>
      <c r="P506" s="8"/>
      <c r="Q506" s="8"/>
    </row>
    <row r="507" ht="13.65" customHeight="1">
      <c r="A507" s="18">
        <v>45013</v>
      </c>
      <c r="B507" t="s" s="13">
        <v>22</v>
      </c>
      <c r="C507" s="14">
        <v>2791</v>
      </c>
      <c r="D507" s="14">
        <v>2810.6</v>
      </c>
      <c r="E507" s="14">
        <v>2765</v>
      </c>
      <c r="F507" s="14">
        <v>2803.75</v>
      </c>
      <c r="G507" s="14">
        <v>2786</v>
      </c>
      <c r="H507" s="14">
        <v>2784.45</v>
      </c>
      <c r="I507" s="14">
        <v>2784.45</v>
      </c>
      <c r="J507" s="14">
        <v>3582.9</v>
      </c>
      <c r="K507" s="14">
        <v>2560</v>
      </c>
      <c r="L507" s="15">
        <v>558581</v>
      </c>
      <c r="M507" t="s" s="13">
        <v>6821</v>
      </c>
      <c r="N507" s="15">
        <v>58194</v>
      </c>
      <c r="O507" s="17" cm="1">
        <f t="array" ref="O507">(H508-H507)/H507</f>
        <v>-0.00500996606152023</v>
      </c>
      <c r="P507" s="8"/>
      <c r="Q507" s="8"/>
    </row>
    <row r="508" ht="13.65" customHeight="1">
      <c r="A508" s="18">
        <v>45014</v>
      </c>
      <c r="B508" t="s" s="13">
        <v>22</v>
      </c>
      <c r="C508" s="14">
        <v>2784.45</v>
      </c>
      <c r="D508" s="14">
        <v>2793.75</v>
      </c>
      <c r="E508" s="14">
        <v>2755</v>
      </c>
      <c r="F508" s="14">
        <v>2784.45</v>
      </c>
      <c r="G508" s="14">
        <v>2775</v>
      </c>
      <c r="H508" s="14">
        <v>2770.5</v>
      </c>
      <c r="I508" s="14">
        <v>2771.08</v>
      </c>
      <c r="J508" s="14">
        <v>3582.9</v>
      </c>
      <c r="K508" s="14">
        <v>2560</v>
      </c>
      <c r="L508" s="15">
        <v>1087648</v>
      </c>
      <c r="M508" t="s" s="13">
        <v>6822</v>
      </c>
      <c r="N508" s="15">
        <v>77999</v>
      </c>
      <c r="O508" s="17" cm="1">
        <f t="array" ref="O508">(H509-H508)/H508</f>
        <v>-0.00319436924742826</v>
      </c>
      <c r="P508" s="8"/>
      <c r="Q508" s="8"/>
    </row>
    <row r="509" ht="13.65" customHeight="1">
      <c r="A509" s="18">
        <v>45016</v>
      </c>
      <c r="B509" t="s" s="13">
        <v>22</v>
      </c>
      <c r="C509" s="14">
        <v>2756.05</v>
      </c>
      <c r="D509" s="14">
        <v>2775</v>
      </c>
      <c r="E509" s="14">
        <v>2747.5</v>
      </c>
      <c r="F509" s="14">
        <v>2770.5</v>
      </c>
      <c r="G509" s="14">
        <v>2764</v>
      </c>
      <c r="H509" s="14">
        <v>2761.65</v>
      </c>
      <c r="I509" s="14">
        <v>2760.84</v>
      </c>
      <c r="J509" s="14">
        <v>3582.9</v>
      </c>
      <c r="K509" s="14">
        <v>2560</v>
      </c>
      <c r="L509" s="15">
        <v>1967803</v>
      </c>
      <c r="M509" t="s" s="13">
        <v>6823</v>
      </c>
      <c r="N509" s="15">
        <v>115340</v>
      </c>
      <c r="O509" s="17" cm="1">
        <f t="array" ref="O509">(H510-H509)/H509</f>
        <v>-1</v>
      </c>
      <c r="P509" s="8"/>
      <c r="Q509" s="8"/>
    </row>
    <row r="510" ht="13.65" customHeight="1">
      <c r="A510" s="21"/>
      <c r="B510" s="21"/>
      <c r="C510" s="21"/>
      <c r="D510" s="21"/>
      <c r="E510" s="21"/>
      <c r="F510" s="21"/>
      <c r="G510" s="21"/>
      <c r="H510" s="21"/>
      <c r="I510" s="21"/>
      <c r="J510" s="21"/>
      <c r="K510" s="21"/>
      <c r="L510" s="21"/>
      <c r="M510" s="21"/>
      <c r="N510" s="21"/>
      <c r="O510" s="8"/>
      <c r="P510" s="8"/>
      <c r="Q510" s="8"/>
    </row>
    <row r="511" ht="13.65" customHeight="1">
      <c r="A511" s="8"/>
      <c r="B511" s="8"/>
      <c r="C511" s="8"/>
      <c r="D511" s="8"/>
      <c r="E511" s="8"/>
      <c r="F511" s="8"/>
      <c r="G511" s="8"/>
      <c r="H511" s="8"/>
      <c r="I511" s="8"/>
      <c r="J511" s="8"/>
      <c r="K511" s="8"/>
      <c r="L511" s="8"/>
      <c r="M511" t="s" s="7">
        <v>1028</v>
      </c>
      <c r="N511" s="22" cm="1">
        <f t="array" ref="N511">AVERAGE(O261:O509)</f>
        <v>-0.00438716310549475</v>
      </c>
      <c r="O511" s="8"/>
      <c r="P511" s="8"/>
      <c r="Q511" s="8"/>
    </row>
    <row r="512" ht="13.65" customHeight="1">
      <c r="A512" s="8"/>
      <c r="B512" s="8"/>
      <c r="C512" s="8"/>
      <c r="D512" s="8"/>
      <c r="E512" s="8"/>
      <c r="F512" s="8"/>
      <c r="G512" s="8"/>
      <c r="H512" s="8"/>
      <c r="I512" s="8"/>
      <c r="J512" s="8"/>
      <c r="K512" s="8"/>
      <c r="L512" s="8"/>
      <c r="M512" t="s" s="7">
        <v>273</v>
      </c>
      <c r="N512" s="22" cm="1">
        <f t="array" ref="N512">STDEV(O261:O509)</f>
        <v>0.0650756181392927</v>
      </c>
      <c r="O512" s="8"/>
      <c r="P512" s="8"/>
      <c r="Q512" s="8"/>
    </row>
    <row r="513" ht="13.65" customHeight="1">
      <c r="A513" s="8"/>
      <c r="B513" s="8"/>
      <c r="C513" s="8"/>
      <c r="D513" s="8"/>
      <c r="E513" s="8"/>
      <c r="F513" s="8"/>
      <c r="G513" s="8"/>
      <c r="H513" s="8"/>
      <c r="I513" s="8"/>
      <c r="J513" s="8"/>
      <c r="K513" s="8"/>
      <c r="L513" s="8"/>
      <c r="M513" t="s" s="7">
        <v>274</v>
      </c>
      <c r="N513" s="23" cm="1">
        <f t="array" ref="N513">AVERAGE(L261:L509)</f>
        <v>1143603.70682731</v>
      </c>
      <c r="O513" s="8"/>
      <c r="P513" s="8"/>
      <c r="Q513" s="8"/>
    </row>
    <row r="514" ht="13.65" customHeight="1">
      <c r="A514" s="8"/>
      <c r="B514" s="8"/>
      <c r="C514" s="8"/>
      <c r="D514" s="8"/>
      <c r="E514" s="8"/>
      <c r="F514" s="8"/>
      <c r="G514" s="8"/>
      <c r="H514" s="8"/>
      <c r="I514" s="8"/>
      <c r="J514" s="8"/>
      <c r="K514" s="8"/>
      <c r="L514" s="8"/>
      <c r="M514" t="s" s="7">
        <v>275</v>
      </c>
      <c r="N514" s="23" cm="1">
        <f t="array" ref="N514">IF(H509&gt;H261,1,IF(H509&lt;H261,-1,0))</f>
        <v>-1</v>
      </c>
      <c r="O514" s="8"/>
      <c r="P514" s="8"/>
      <c r="Q514" s="8"/>
    </row>
    <row r="515" ht="13.65" customHeight="1">
      <c r="A515" s="8"/>
      <c r="B515" s="8"/>
      <c r="C515" s="8"/>
      <c r="D515" s="8"/>
      <c r="E515" s="8"/>
      <c r="F515" s="8"/>
      <c r="G515" s="8"/>
      <c r="H515" s="8"/>
      <c r="I515" s="8"/>
      <c r="J515" s="8"/>
      <c r="K515" s="8"/>
      <c r="L515" s="8"/>
      <c r="M515" t="s" s="7">
        <v>528</v>
      </c>
      <c r="N515" s="22" cm="1">
        <f t="array" ref="N515">(H509-H261)/H261</f>
        <v>-0.113193006117239</v>
      </c>
      <c r="O515" s="8"/>
      <c r="P515" s="8"/>
      <c r="Q515" s="8"/>
    </row>
    <row r="516" ht="13.65" customHeight="1">
      <c r="A516" t="s" s="7">
        <v>529</v>
      </c>
      <c r="B516" s="8"/>
      <c r="C516" s="8"/>
      <c r="D516" s="8"/>
      <c r="E516" s="8"/>
      <c r="F516" s="8"/>
      <c r="G516" s="8"/>
      <c r="H516" s="8"/>
      <c r="I516" s="8"/>
      <c r="J516" s="8"/>
      <c r="K516" s="8"/>
      <c r="L516" s="8"/>
      <c r="M516" s="8"/>
      <c r="N516" s="8"/>
      <c r="O516" s="8"/>
      <c r="P516" s="8"/>
      <c r="Q516" s="8"/>
    </row>
    <row r="517" ht="13.65" customHeight="1">
      <c r="A517" s="9"/>
      <c r="B517" s="9"/>
      <c r="C517" s="9"/>
      <c r="D517" s="9"/>
      <c r="E517" s="9"/>
      <c r="F517" s="9"/>
      <c r="G517" s="9"/>
      <c r="H517" s="9"/>
      <c r="I517" s="9"/>
      <c r="J517" s="9"/>
      <c r="K517" s="9"/>
      <c r="L517" s="9"/>
      <c r="M517" s="9"/>
      <c r="N517" s="9"/>
      <c r="O517" s="8"/>
      <c r="P517" s="8"/>
      <c r="Q517" s="8"/>
    </row>
    <row r="518" ht="13.65" customHeight="1">
      <c r="A518" t="s" s="10">
        <v>7</v>
      </c>
      <c r="B518" t="s" s="10">
        <v>8</v>
      </c>
      <c r="C518" t="s" s="10">
        <v>9</v>
      </c>
      <c r="D518" t="s" s="10">
        <v>10</v>
      </c>
      <c r="E518" t="s" s="10">
        <v>11</v>
      </c>
      <c r="F518" t="s" s="10">
        <v>12</v>
      </c>
      <c r="G518" t="s" s="10">
        <v>13</v>
      </c>
      <c r="H518" t="s" s="10">
        <v>14</v>
      </c>
      <c r="I518" t="s" s="10">
        <v>15</v>
      </c>
      <c r="J518" t="s" s="10">
        <v>16</v>
      </c>
      <c r="K518" t="s" s="10">
        <v>17</v>
      </c>
      <c r="L518" t="s" s="10">
        <v>18</v>
      </c>
      <c r="M518" t="s" s="10">
        <v>19</v>
      </c>
      <c r="N518" t="s" s="10">
        <v>20</v>
      </c>
      <c r="O518" t="s" s="11">
        <v>21</v>
      </c>
      <c r="P518" s="8"/>
      <c r="Q518" s="8"/>
    </row>
    <row r="519" ht="13.65" customHeight="1">
      <c r="A519" s="12">
        <v>45019</v>
      </c>
      <c r="B519" t="s" s="13">
        <v>22</v>
      </c>
      <c r="C519" s="14">
        <v>2746.95</v>
      </c>
      <c r="D519" s="14">
        <v>2781.65</v>
      </c>
      <c r="E519" s="14">
        <v>2708.65</v>
      </c>
      <c r="F519" s="14">
        <v>2761.65</v>
      </c>
      <c r="G519" s="14">
        <v>2778.5</v>
      </c>
      <c r="H519" s="14">
        <v>2777</v>
      </c>
      <c r="I519" s="14">
        <v>2754.49</v>
      </c>
      <c r="J519" s="14">
        <v>3582.9</v>
      </c>
      <c r="K519" s="14">
        <v>2560</v>
      </c>
      <c r="L519" s="15">
        <v>1035295</v>
      </c>
      <c r="M519" t="s" s="13">
        <v>6824</v>
      </c>
      <c r="N519" s="15">
        <v>74491</v>
      </c>
      <c r="O519" s="16"/>
      <c r="P519" s="8"/>
      <c r="Q519" s="8"/>
    </row>
    <row r="520" ht="13.65" customHeight="1">
      <c r="A520" s="12">
        <v>45021</v>
      </c>
      <c r="B520" t="s" s="13">
        <v>22</v>
      </c>
      <c r="C520" s="14">
        <v>2760</v>
      </c>
      <c r="D520" s="14">
        <v>2811.55</v>
      </c>
      <c r="E520" s="14">
        <v>2752.25</v>
      </c>
      <c r="F520" s="14">
        <v>2777</v>
      </c>
      <c r="G520" s="14">
        <v>2808.1</v>
      </c>
      <c r="H520" s="14">
        <v>2808.5</v>
      </c>
      <c r="I520" s="14">
        <v>2785.7</v>
      </c>
      <c r="J520" s="14">
        <v>3582.9</v>
      </c>
      <c r="K520" s="14">
        <v>2560</v>
      </c>
      <c r="L520" s="15">
        <v>668643</v>
      </c>
      <c r="M520" t="s" s="13">
        <v>6825</v>
      </c>
      <c r="N520" s="15">
        <v>58870</v>
      </c>
      <c r="O520" s="17" cm="1">
        <f t="array" ref="O520">(H520-H519)/H519</f>
        <v>0.011343176089305</v>
      </c>
      <c r="P520" s="8"/>
      <c r="Q520" s="8"/>
    </row>
    <row r="521" ht="13.65" customHeight="1">
      <c r="A521" s="12">
        <v>45022</v>
      </c>
      <c r="B521" t="s" s="13">
        <v>22</v>
      </c>
      <c r="C521" s="14">
        <v>2807.45</v>
      </c>
      <c r="D521" s="14">
        <v>2825</v>
      </c>
      <c r="E521" s="14">
        <v>2786.8</v>
      </c>
      <c r="F521" s="14">
        <v>2808.5</v>
      </c>
      <c r="G521" s="14">
        <v>2810.9</v>
      </c>
      <c r="H521" s="14">
        <v>2809.85</v>
      </c>
      <c r="I521" s="14">
        <v>2810.34</v>
      </c>
      <c r="J521" s="14">
        <v>3582.9</v>
      </c>
      <c r="K521" s="14">
        <v>2560</v>
      </c>
      <c r="L521" s="15">
        <v>627554</v>
      </c>
      <c r="M521" t="s" s="13">
        <v>6826</v>
      </c>
      <c r="N521" s="15">
        <v>58842</v>
      </c>
      <c r="O521" s="17" cm="1">
        <f t="array" ref="O521">(H521-H520)/H520</f>
        <v>0.000480683638953178</v>
      </c>
      <c r="P521" s="8"/>
      <c r="Q521" s="8"/>
    </row>
    <row r="522" ht="13.65" customHeight="1">
      <c r="A522" s="18">
        <v>45026</v>
      </c>
      <c r="B522" t="s" s="13">
        <v>22</v>
      </c>
      <c r="C522" s="14">
        <v>2810</v>
      </c>
      <c r="D522" s="14">
        <v>2810</v>
      </c>
      <c r="E522" s="14">
        <v>2755.1</v>
      </c>
      <c r="F522" s="14">
        <v>2809.85</v>
      </c>
      <c r="G522" s="14">
        <v>2776.35</v>
      </c>
      <c r="H522" s="14">
        <v>2776.35</v>
      </c>
      <c r="I522" s="14">
        <v>2769.17</v>
      </c>
      <c r="J522" s="14">
        <v>3582.9</v>
      </c>
      <c r="K522" s="14">
        <v>2560</v>
      </c>
      <c r="L522" s="15">
        <v>1215461</v>
      </c>
      <c r="M522" t="s" s="13">
        <v>6827</v>
      </c>
      <c r="N522" s="15">
        <v>87638</v>
      </c>
      <c r="O522" s="17" cm="1">
        <f t="array" ref="O522">(H522-H521)/H521</f>
        <v>-0.0119223446091428</v>
      </c>
      <c r="P522" s="8"/>
      <c r="Q522" s="8"/>
    </row>
    <row r="523" ht="13.65" customHeight="1">
      <c r="A523" s="18">
        <v>45027</v>
      </c>
      <c r="B523" t="s" s="13">
        <v>22</v>
      </c>
      <c r="C523" s="14">
        <v>2790</v>
      </c>
      <c r="D523" s="14">
        <v>2790</v>
      </c>
      <c r="E523" s="14">
        <v>2750.05</v>
      </c>
      <c r="F523" s="14">
        <v>2776.35</v>
      </c>
      <c r="G523" s="14">
        <v>2755.9</v>
      </c>
      <c r="H523" s="14">
        <v>2753.8</v>
      </c>
      <c r="I523" s="14">
        <v>2758.11</v>
      </c>
      <c r="J523" s="14">
        <v>3582.9</v>
      </c>
      <c r="K523" s="14">
        <v>2560</v>
      </c>
      <c r="L523" s="15">
        <v>1246379</v>
      </c>
      <c r="M523" t="s" s="13">
        <v>6828</v>
      </c>
      <c r="N523" s="15">
        <v>84669</v>
      </c>
      <c r="O523" s="17" cm="1">
        <f t="array" ref="O523">(H523-H522)/H522</f>
        <v>-0.008122174797846091</v>
      </c>
      <c r="P523" s="8"/>
      <c r="Q523" s="8"/>
    </row>
    <row r="524" ht="13.65" customHeight="1">
      <c r="A524" s="18">
        <v>45028</v>
      </c>
      <c r="B524" t="s" s="13">
        <v>22</v>
      </c>
      <c r="C524" s="14">
        <v>2755.55</v>
      </c>
      <c r="D524" s="14">
        <v>2806.2</v>
      </c>
      <c r="E524" s="14">
        <v>2751</v>
      </c>
      <c r="F524" s="14">
        <v>2753.8</v>
      </c>
      <c r="G524" s="14">
        <v>2787</v>
      </c>
      <c r="H524" s="14">
        <v>2786.75</v>
      </c>
      <c r="I524" s="14">
        <v>2778.17</v>
      </c>
      <c r="J524" s="14">
        <v>3582.9</v>
      </c>
      <c r="K524" s="14">
        <v>2560</v>
      </c>
      <c r="L524" s="15">
        <v>2235399</v>
      </c>
      <c r="M524" t="s" s="13">
        <v>6829</v>
      </c>
      <c r="N524" s="15">
        <v>72778</v>
      </c>
      <c r="O524" s="17" cm="1">
        <f t="array" ref="O524">(H524-H523)/H523</f>
        <v>0.0119652843343743</v>
      </c>
      <c r="P524" s="8"/>
      <c r="Q524" s="8"/>
    </row>
    <row r="525" ht="13.65" customHeight="1">
      <c r="A525" s="18">
        <v>45029</v>
      </c>
      <c r="B525" t="s" s="13">
        <v>22</v>
      </c>
      <c r="C525" s="14">
        <v>2786.7</v>
      </c>
      <c r="D525" s="14">
        <v>2813.3</v>
      </c>
      <c r="E525" s="14">
        <v>2782</v>
      </c>
      <c r="F525" s="14">
        <v>2786.75</v>
      </c>
      <c r="G525" s="14">
        <v>2812</v>
      </c>
      <c r="H525" s="14">
        <v>2809.75</v>
      </c>
      <c r="I525" s="14">
        <v>2803.8</v>
      </c>
      <c r="J525" s="14">
        <v>3582.9</v>
      </c>
      <c r="K525" s="14">
        <v>2560</v>
      </c>
      <c r="L525" s="15">
        <v>602597</v>
      </c>
      <c r="M525" t="s" s="13">
        <v>6830</v>
      </c>
      <c r="N525" s="15">
        <v>48470</v>
      </c>
      <c r="O525" s="17" cm="1">
        <f t="array" ref="O525">(H525-H524)/H524</f>
        <v>0.00825334170628869</v>
      </c>
      <c r="P525" s="8"/>
      <c r="Q525" s="8"/>
    </row>
    <row r="526" ht="13.65" customHeight="1">
      <c r="A526" s="18">
        <v>45033</v>
      </c>
      <c r="B526" t="s" s="13">
        <v>22</v>
      </c>
      <c r="C526" s="14">
        <v>2825</v>
      </c>
      <c r="D526" s="14">
        <v>2845.6</v>
      </c>
      <c r="E526" s="14">
        <v>2806</v>
      </c>
      <c r="F526" s="14">
        <v>2809.75</v>
      </c>
      <c r="G526" s="14">
        <v>2843</v>
      </c>
      <c r="H526" s="14">
        <v>2843.1</v>
      </c>
      <c r="I526" s="14">
        <v>2830.4</v>
      </c>
      <c r="J526" s="14">
        <v>3582.9</v>
      </c>
      <c r="K526" s="14">
        <v>2560</v>
      </c>
      <c r="L526" s="15">
        <v>754555</v>
      </c>
      <c r="M526" t="s" s="13">
        <v>6831</v>
      </c>
      <c r="N526" s="15">
        <v>51872</v>
      </c>
      <c r="O526" s="17" cm="1">
        <f t="array" ref="O526">(H526-H525)/H525</f>
        <v>0.0118693833970994</v>
      </c>
      <c r="P526" s="8"/>
      <c r="Q526" s="8"/>
    </row>
    <row r="527" ht="13.65" customHeight="1">
      <c r="A527" s="18">
        <v>45034</v>
      </c>
      <c r="B527" t="s" s="13">
        <v>22</v>
      </c>
      <c r="C527" s="14">
        <v>2848</v>
      </c>
      <c r="D527" s="14">
        <v>2858.45</v>
      </c>
      <c r="E527" s="14">
        <v>2830.1</v>
      </c>
      <c r="F527" s="14">
        <v>2843.1</v>
      </c>
      <c r="G527" s="14">
        <v>2855</v>
      </c>
      <c r="H527" s="14">
        <v>2854.6</v>
      </c>
      <c r="I527" s="14">
        <v>2848.64</v>
      </c>
      <c r="J527" s="14">
        <v>3582.9</v>
      </c>
      <c r="K527" s="14">
        <v>2560</v>
      </c>
      <c r="L527" s="15">
        <v>717724</v>
      </c>
      <c r="M527" t="s" s="13">
        <v>6832</v>
      </c>
      <c r="N527" s="15">
        <v>38621</v>
      </c>
      <c r="O527" s="17" cm="1">
        <f t="array" ref="O527">(H527-H526)/H526</f>
        <v>0.00404488058809046</v>
      </c>
      <c r="P527" s="8"/>
      <c r="Q527" s="8"/>
    </row>
    <row r="528" ht="13.65" customHeight="1">
      <c r="A528" s="18">
        <v>45035</v>
      </c>
      <c r="B528" t="s" s="13">
        <v>22</v>
      </c>
      <c r="C528" s="14">
        <v>2836.35</v>
      </c>
      <c r="D528" s="14">
        <v>2852.7</v>
      </c>
      <c r="E528" s="14">
        <v>2800.65</v>
      </c>
      <c r="F528" s="14">
        <v>2854.6</v>
      </c>
      <c r="G528" s="14">
        <v>2811</v>
      </c>
      <c r="H528" s="14">
        <v>2809.7</v>
      </c>
      <c r="I528" s="14">
        <v>2820.26</v>
      </c>
      <c r="J528" s="14">
        <v>3582.9</v>
      </c>
      <c r="K528" s="14">
        <v>2560</v>
      </c>
      <c r="L528" s="15">
        <v>799624</v>
      </c>
      <c r="M528" t="s" s="13">
        <v>6833</v>
      </c>
      <c r="N528" s="15">
        <v>48741</v>
      </c>
      <c r="O528" s="17" cm="1">
        <f t="array" ref="O528">(H528-H527)/H527</f>
        <v>-0.01572899880894</v>
      </c>
      <c r="P528" s="8"/>
      <c r="Q528" s="8"/>
    </row>
    <row r="529" ht="13.65" customHeight="1">
      <c r="A529" s="18">
        <v>45036</v>
      </c>
      <c r="B529" t="s" s="13">
        <v>22</v>
      </c>
      <c r="C529" s="14">
        <v>2820</v>
      </c>
      <c r="D529" s="14">
        <v>2851</v>
      </c>
      <c r="E529" s="14">
        <v>2813.15</v>
      </c>
      <c r="F529" s="14">
        <v>2809.7</v>
      </c>
      <c r="G529" s="14">
        <v>2850</v>
      </c>
      <c r="H529" s="14">
        <v>2843.85</v>
      </c>
      <c r="I529" s="14">
        <v>2836.04</v>
      </c>
      <c r="J529" s="14">
        <v>3582.9</v>
      </c>
      <c r="K529" s="14">
        <v>2560</v>
      </c>
      <c r="L529" s="15">
        <v>761101</v>
      </c>
      <c r="M529" t="s" s="13">
        <v>6834</v>
      </c>
      <c r="N529" s="15">
        <v>45647</v>
      </c>
      <c r="O529" s="17" cm="1">
        <f t="array" ref="O529">(H529-H528)/H528</f>
        <v>0.0121543225255365</v>
      </c>
      <c r="P529" s="8"/>
      <c r="Q529" s="8"/>
    </row>
    <row r="530" ht="13.65" customHeight="1">
      <c r="A530" s="18">
        <v>45037</v>
      </c>
      <c r="B530" t="s" s="13">
        <v>22</v>
      </c>
      <c r="C530" s="14">
        <v>2847.1</v>
      </c>
      <c r="D530" s="14">
        <v>2887</v>
      </c>
      <c r="E530" s="14">
        <v>2847.1</v>
      </c>
      <c r="F530" s="14">
        <v>2843.85</v>
      </c>
      <c r="G530" s="14">
        <v>2877.85</v>
      </c>
      <c r="H530" s="14">
        <v>2882.1</v>
      </c>
      <c r="I530" s="14">
        <v>2872.5</v>
      </c>
      <c r="J530" s="14">
        <v>3582.9</v>
      </c>
      <c r="K530" s="14">
        <v>2560</v>
      </c>
      <c r="L530" s="15">
        <v>894930</v>
      </c>
      <c r="M530" t="s" s="13">
        <v>6835</v>
      </c>
      <c r="N530" s="15">
        <v>49493</v>
      </c>
      <c r="O530" s="17" cm="1">
        <f t="array" ref="O530">(H530-H529)/H529</f>
        <v>0.013450076480827</v>
      </c>
      <c r="P530" s="8"/>
      <c r="Q530" s="8"/>
    </row>
    <row r="531" ht="13.65" customHeight="1">
      <c r="A531" s="18">
        <v>45040</v>
      </c>
      <c r="B531" t="s" s="13">
        <v>22</v>
      </c>
      <c r="C531" s="14">
        <v>2882.1</v>
      </c>
      <c r="D531" s="14">
        <v>2898</v>
      </c>
      <c r="E531" s="14">
        <v>2852</v>
      </c>
      <c r="F531" s="14">
        <v>2882.1</v>
      </c>
      <c r="G531" s="14">
        <v>2897.75</v>
      </c>
      <c r="H531" s="14">
        <v>2891.1</v>
      </c>
      <c r="I531" s="14">
        <v>2875.04</v>
      </c>
      <c r="J531" s="14">
        <v>3582.9</v>
      </c>
      <c r="K531" s="14">
        <v>2560</v>
      </c>
      <c r="L531" s="15">
        <v>782967</v>
      </c>
      <c r="M531" t="s" s="13">
        <v>6836</v>
      </c>
      <c r="N531" s="15">
        <v>47584</v>
      </c>
      <c r="O531" s="17" cm="1">
        <f t="array" ref="O531">(H531-H530)/H530</f>
        <v>0.00312272301446862</v>
      </c>
      <c r="P531" s="8"/>
      <c r="Q531" s="8"/>
    </row>
    <row r="532" ht="13.65" customHeight="1">
      <c r="A532" s="18">
        <v>45041</v>
      </c>
      <c r="B532" t="s" s="13">
        <v>22</v>
      </c>
      <c r="C532" s="14">
        <v>2891.05</v>
      </c>
      <c r="D532" s="14">
        <v>2901.75</v>
      </c>
      <c r="E532" s="14">
        <v>2864.15</v>
      </c>
      <c r="F532" s="14">
        <v>2891.1</v>
      </c>
      <c r="G532" s="14">
        <v>2896.95</v>
      </c>
      <c r="H532" s="14">
        <v>2898</v>
      </c>
      <c r="I532" s="14">
        <v>2889.28</v>
      </c>
      <c r="J532" s="14">
        <v>3582.9</v>
      </c>
      <c r="K532" s="14">
        <v>2560</v>
      </c>
      <c r="L532" s="15">
        <v>636120</v>
      </c>
      <c r="M532" t="s" s="13">
        <v>6837</v>
      </c>
      <c r="N532" s="15">
        <v>38261</v>
      </c>
      <c r="O532" s="17" cm="1">
        <f t="array" ref="O532">(H532-H531)/H531</f>
        <v>0.00238663484486874</v>
      </c>
      <c r="P532" s="8"/>
      <c r="Q532" s="8"/>
    </row>
    <row r="533" ht="13.65" customHeight="1">
      <c r="A533" s="18">
        <v>45042</v>
      </c>
      <c r="B533" t="s" s="13">
        <v>22</v>
      </c>
      <c r="C533" s="14">
        <v>2896.95</v>
      </c>
      <c r="D533" s="14">
        <v>2916.45</v>
      </c>
      <c r="E533" s="14">
        <v>2888.05</v>
      </c>
      <c r="F533" s="14">
        <v>2898</v>
      </c>
      <c r="G533" s="14">
        <v>2910.1</v>
      </c>
      <c r="H533" s="14">
        <v>2910</v>
      </c>
      <c r="I533" s="14">
        <v>2905.24</v>
      </c>
      <c r="J533" s="14">
        <v>3582.9</v>
      </c>
      <c r="K533" s="14">
        <v>2560</v>
      </c>
      <c r="L533" s="15">
        <v>569221</v>
      </c>
      <c r="M533" t="s" s="13">
        <v>6838</v>
      </c>
      <c r="N533" s="15">
        <v>42452</v>
      </c>
      <c r="O533" s="17" cm="1">
        <f t="array" ref="O533">(H533-H532)/H532</f>
        <v>0.0041407867494824</v>
      </c>
      <c r="P533" s="8"/>
      <c r="Q533" s="8"/>
    </row>
    <row r="534" ht="13.65" customHeight="1">
      <c r="A534" s="18">
        <v>45043</v>
      </c>
      <c r="B534" t="s" s="13">
        <v>22</v>
      </c>
      <c r="C534" s="14">
        <v>2915.5</v>
      </c>
      <c r="D534" s="14">
        <v>2920</v>
      </c>
      <c r="E534" s="14">
        <v>2893.85</v>
      </c>
      <c r="F534" s="14">
        <v>2910</v>
      </c>
      <c r="G534" s="14">
        <v>2903.25</v>
      </c>
      <c r="H534" s="14">
        <v>2899.95</v>
      </c>
      <c r="I534" s="14">
        <v>2900.6</v>
      </c>
      <c r="J534" s="14">
        <v>3582.9</v>
      </c>
      <c r="K534" s="14">
        <v>2560</v>
      </c>
      <c r="L534" s="15">
        <v>599461</v>
      </c>
      <c r="M534" t="s" s="13">
        <v>6839</v>
      </c>
      <c r="N534" s="15">
        <v>40939</v>
      </c>
      <c r="O534" s="17" cm="1">
        <f t="array" ref="O534">(H534-H533)/H533</f>
        <v>-0.00345360824742268</v>
      </c>
      <c r="P534" s="8"/>
      <c r="Q534" s="8"/>
    </row>
    <row r="535" ht="13.65" customHeight="1">
      <c r="A535" s="18">
        <v>45044</v>
      </c>
      <c r="B535" t="s" s="13">
        <v>22</v>
      </c>
      <c r="C535" s="14">
        <v>2919.95</v>
      </c>
      <c r="D535" s="14">
        <v>2919.95</v>
      </c>
      <c r="E535" s="14">
        <v>2846.6</v>
      </c>
      <c r="F535" s="14">
        <v>2899.95</v>
      </c>
      <c r="G535" s="14">
        <v>2894</v>
      </c>
      <c r="H535" s="14">
        <v>2902.35</v>
      </c>
      <c r="I535" s="14">
        <v>2884.81</v>
      </c>
      <c r="J535" s="14">
        <v>3582.9</v>
      </c>
      <c r="K535" s="14">
        <v>2560</v>
      </c>
      <c r="L535" s="15">
        <v>1080665</v>
      </c>
      <c r="M535" t="s" s="13">
        <v>6840</v>
      </c>
      <c r="N535" s="15">
        <v>57392</v>
      </c>
      <c r="O535" s="17" cm="1">
        <f t="array" ref="O535">(H535-H534)/H534</f>
        <v>0.000827600475870274</v>
      </c>
      <c r="P535" s="8"/>
      <c r="Q535" s="8"/>
    </row>
    <row r="536" ht="13.65" customHeight="1">
      <c r="A536" s="19">
        <v>45048</v>
      </c>
      <c r="B536" t="s" s="13">
        <v>22</v>
      </c>
      <c r="C536" s="14">
        <v>2910.95</v>
      </c>
      <c r="D536" s="14">
        <v>2933.7</v>
      </c>
      <c r="E536" s="14">
        <v>2893</v>
      </c>
      <c r="F536" s="14">
        <v>2902.35</v>
      </c>
      <c r="G536" s="14">
        <v>2897</v>
      </c>
      <c r="H536" s="14">
        <v>2899.55</v>
      </c>
      <c r="I536" s="14">
        <v>2908.24</v>
      </c>
      <c r="J536" s="14">
        <v>3582.9</v>
      </c>
      <c r="K536" s="14">
        <v>2560</v>
      </c>
      <c r="L536" s="15">
        <v>663800</v>
      </c>
      <c r="M536" t="s" s="13">
        <v>6841</v>
      </c>
      <c r="N536" s="15">
        <v>70947</v>
      </c>
      <c r="O536" s="17" cm="1">
        <f t="array" ref="O536">(H536-H535)/H535</f>
        <v>-0.0009647354729787931</v>
      </c>
      <c r="P536" s="8"/>
      <c r="Q536" s="8"/>
    </row>
    <row r="537" ht="13.65" customHeight="1">
      <c r="A537" s="19">
        <v>45049</v>
      </c>
      <c r="B537" t="s" s="13">
        <v>22</v>
      </c>
      <c r="C537" s="14">
        <v>2918</v>
      </c>
      <c r="D537" s="14">
        <v>2962.4</v>
      </c>
      <c r="E537" s="14">
        <v>2897</v>
      </c>
      <c r="F537" s="14">
        <v>2899.55</v>
      </c>
      <c r="G537" s="14">
        <v>2930</v>
      </c>
      <c r="H537" s="14">
        <v>2929.7</v>
      </c>
      <c r="I537" s="14">
        <v>2934.12</v>
      </c>
      <c r="J537" s="14">
        <v>3582.9</v>
      </c>
      <c r="K537" s="14">
        <v>2560</v>
      </c>
      <c r="L537" s="15">
        <v>1237193</v>
      </c>
      <c r="M537" t="s" s="13">
        <v>6842</v>
      </c>
      <c r="N537" s="15">
        <v>83740</v>
      </c>
      <c r="O537" s="17" cm="1">
        <f t="array" ref="O537">(H537-H536)/H536</f>
        <v>0.0103981652325361</v>
      </c>
      <c r="P537" s="8"/>
      <c r="Q537" s="8"/>
    </row>
    <row r="538" ht="13.65" customHeight="1">
      <c r="A538" s="19">
        <v>45050</v>
      </c>
      <c r="B538" t="s" s="13">
        <v>22</v>
      </c>
      <c r="C538" s="14">
        <v>2948</v>
      </c>
      <c r="D538" s="14">
        <v>2986.15</v>
      </c>
      <c r="E538" s="14">
        <v>2922.15</v>
      </c>
      <c r="F538" s="14">
        <v>2929.7</v>
      </c>
      <c r="G538" s="14">
        <v>2978</v>
      </c>
      <c r="H538" s="14">
        <v>2982.85</v>
      </c>
      <c r="I538" s="14">
        <v>2966.3</v>
      </c>
      <c r="J538" s="14">
        <v>3582.9</v>
      </c>
      <c r="K538" s="14">
        <v>2560</v>
      </c>
      <c r="L538" s="15">
        <v>1008540</v>
      </c>
      <c r="M538" t="s" s="13">
        <v>6843</v>
      </c>
      <c r="N538" s="15">
        <v>98527</v>
      </c>
      <c r="O538" s="17" cm="1">
        <f t="array" ref="O538">(H538-H537)/H537</f>
        <v>0.0181417892616992</v>
      </c>
      <c r="P538" s="8"/>
      <c r="Q538" s="8"/>
    </row>
    <row r="539" ht="13.65" customHeight="1">
      <c r="A539" s="19">
        <v>45051</v>
      </c>
      <c r="B539" t="s" s="13">
        <v>22</v>
      </c>
      <c r="C539" s="14">
        <v>2971</v>
      </c>
      <c r="D539" s="14">
        <v>3025</v>
      </c>
      <c r="E539" s="14">
        <v>2951.05</v>
      </c>
      <c r="F539" s="14">
        <v>2982.85</v>
      </c>
      <c r="G539" s="14">
        <v>3005.15</v>
      </c>
      <c r="H539" s="14">
        <v>3012.95</v>
      </c>
      <c r="I539" s="14">
        <v>2994.76</v>
      </c>
      <c r="J539" s="14">
        <v>3582.9</v>
      </c>
      <c r="K539" s="14">
        <v>2560</v>
      </c>
      <c r="L539" s="15">
        <v>1326561</v>
      </c>
      <c r="M539" t="s" s="13">
        <v>6844</v>
      </c>
      <c r="N539" s="15">
        <v>86317</v>
      </c>
      <c r="O539" s="17" cm="1">
        <f t="array" ref="O539">(H539-H538)/H538</f>
        <v>0.0100910203329031</v>
      </c>
      <c r="P539" s="8"/>
      <c r="Q539" s="8"/>
    </row>
    <row r="540" ht="13.65" customHeight="1">
      <c r="A540" s="19">
        <v>45054</v>
      </c>
      <c r="B540" t="s" s="13">
        <v>22</v>
      </c>
      <c r="C540" s="14">
        <v>3015</v>
      </c>
      <c r="D540" s="14">
        <v>3035.7</v>
      </c>
      <c r="E540" s="14">
        <v>2993</v>
      </c>
      <c r="F540" s="14">
        <v>3012.95</v>
      </c>
      <c r="G540" s="14">
        <v>3019</v>
      </c>
      <c r="H540" s="14">
        <v>3019.45</v>
      </c>
      <c r="I540" s="14">
        <v>3017.67</v>
      </c>
      <c r="J540" s="14">
        <v>3582.9</v>
      </c>
      <c r="K540" s="14">
        <v>2560</v>
      </c>
      <c r="L540" s="15">
        <v>941879</v>
      </c>
      <c r="M540" t="s" s="13">
        <v>6845</v>
      </c>
      <c r="N540" s="15">
        <v>68320</v>
      </c>
      <c r="O540" s="17" cm="1">
        <f t="array" ref="O540">(H540-H539)/H539</f>
        <v>0.002157354088186</v>
      </c>
      <c r="P540" s="8"/>
      <c r="Q540" s="8"/>
    </row>
    <row r="541" ht="13.65" customHeight="1">
      <c r="A541" s="19">
        <v>45055</v>
      </c>
      <c r="B541" t="s" s="13">
        <v>22</v>
      </c>
      <c r="C541" s="14">
        <v>3016.05</v>
      </c>
      <c r="D541" s="14">
        <v>3074.8</v>
      </c>
      <c r="E541" s="14">
        <v>3010.75</v>
      </c>
      <c r="F541" s="14">
        <v>3019.45</v>
      </c>
      <c r="G541" s="14">
        <v>3033</v>
      </c>
      <c r="H541" s="14">
        <v>3034.8</v>
      </c>
      <c r="I541" s="14">
        <v>3047.51</v>
      </c>
      <c r="J541" s="14">
        <v>3582.9</v>
      </c>
      <c r="K541" s="14">
        <v>2560</v>
      </c>
      <c r="L541" s="15">
        <v>1025850</v>
      </c>
      <c r="M541" t="s" s="13">
        <v>6846</v>
      </c>
      <c r="N541" s="15">
        <v>89362</v>
      </c>
      <c r="O541" s="17" cm="1">
        <f t="array" ref="O541">(H541-H540)/H540</f>
        <v>0.00508370729768666</v>
      </c>
      <c r="P541" s="8"/>
      <c r="Q541" s="8"/>
    </row>
    <row r="542" ht="13.65" customHeight="1">
      <c r="A542" s="20">
        <v>45056</v>
      </c>
      <c r="B542" t="s" s="13">
        <v>22</v>
      </c>
      <c r="C542" s="14">
        <v>3042.95</v>
      </c>
      <c r="D542" s="14">
        <v>3057</v>
      </c>
      <c r="E542" s="14">
        <v>3018.9</v>
      </c>
      <c r="F542" s="14">
        <v>3034.8</v>
      </c>
      <c r="G542" s="14">
        <v>3039.65</v>
      </c>
      <c r="H542" s="14">
        <v>3041.4</v>
      </c>
      <c r="I542" s="14">
        <v>3038.43</v>
      </c>
      <c r="J542" s="14">
        <v>3582.9</v>
      </c>
      <c r="K542" s="14">
        <v>2560</v>
      </c>
      <c r="L542" s="15">
        <v>751851</v>
      </c>
      <c r="M542" t="s" s="13">
        <v>6847</v>
      </c>
      <c r="N542" s="15">
        <v>45838</v>
      </c>
      <c r="O542" s="17" cm="1">
        <f t="array" ref="O542">(H542-H541)/H541</f>
        <v>0.00217477263740609</v>
      </c>
      <c r="P542" s="8"/>
      <c r="Q542" s="8"/>
    </row>
    <row r="543" ht="13.65" customHeight="1">
      <c r="A543" s="20">
        <v>45057</v>
      </c>
      <c r="B543" t="s" s="13">
        <v>22</v>
      </c>
      <c r="C543" s="14">
        <v>3052.05</v>
      </c>
      <c r="D543" s="14">
        <v>3156.15</v>
      </c>
      <c r="E543" s="14">
        <v>3031.5</v>
      </c>
      <c r="F543" s="14">
        <v>3041.4</v>
      </c>
      <c r="G543" s="14">
        <v>3143</v>
      </c>
      <c r="H543" s="14">
        <v>3139.75</v>
      </c>
      <c r="I543" s="14">
        <v>3096.23</v>
      </c>
      <c r="J543" s="14">
        <v>3582.9</v>
      </c>
      <c r="K543" s="14">
        <v>2560</v>
      </c>
      <c r="L543" s="15">
        <v>3229605</v>
      </c>
      <c r="M543" t="s" s="13">
        <v>6848</v>
      </c>
      <c r="N543" s="15">
        <v>187556</v>
      </c>
      <c r="O543" s="17" cm="1">
        <f t="array" ref="O543">(H543-H542)/H542</f>
        <v>0.0323370816071546</v>
      </c>
      <c r="P543" s="8"/>
      <c r="Q543" s="8"/>
    </row>
    <row r="544" ht="13.65" customHeight="1">
      <c r="A544" s="20">
        <v>45058</v>
      </c>
      <c r="B544" t="s" s="13">
        <v>22</v>
      </c>
      <c r="C544" s="14">
        <v>3139</v>
      </c>
      <c r="D544" s="14">
        <v>3179.75</v>
      </c>
      <c r="E544" s="14">
        <v>3086</v>
      </c>
      <c r="F544" s="14">
        <v>3139.75</v>
      </c>
      <c r="G544" s="14">
        <v>3134</v>
      </c>
      <c r="H544" s="14">
        <v>3131.1</v>
      </c>
      <c r="I544" s="14">
        <v>3142.08</v>
      </c>
      <c r="J544" s="14">
        <v>3582.9</v>
      </c>
      <c r="K544" s="14">
        <v>2560</v>
      </c>
      <c r="L544" s="15">
        <v>1998170</v>
      </c>
      <c r="M544" t="s" s="13">
        <v>6849</v>
      </c>
      <c r="N544" s="15">
        <v>131411</v>
      </c>
      <c r="O544" s="17" cm="1">
        <f t="array" ref="O544">(H544-H543)/H543</f>
        <v>-0.00275499641691217</v>
      </c>
      <c r="P544" s="8"/>
      <c r="Q544" s="8"/>
    </row>
    <row r="545" ht="13.65" customHeight="1">
      <c r="A545" s="20">
        <v>45061</v>
      </c>
      <c r="B545" t="s" s="13">
        <v>22</v>
      </c>
      <c r="C545" s="14">
        <v>3134.2</v>
      </c>
      <c r="D545" s="14">
        <v>3168</v>
      </c>
      <c r="E545" s="14">
        <v>3121.05</v>
      </c>
      <c r="F545" s="14">
        <v>3131.1</v>
      </c>
      <c r="G545" s="14">
        <v>3128.5</v>
      </c>
      <c r="H545" s="14">
        <v>3132</v>
      </c>
      <c r="I545" s="14">
        <v>3149.9</v>
      </c>
      <c r="J545" s="14">
        <v>3582.9</v>
      </c>
      <c r="K545" s="14">
        <v>2560</v>
      </c>
      <c r="L545" s="15">
        <v>810281</v>
      </c>
      <c r="M545" t="s" s="13">
        <v>6850</v>
      </c>
      <c r="N545" s="15">
        <v>61904</v>
      </c>
      <c r="O545" s="17" cm="1">
        <f t="array" ref="O545">(H545-H544)/H544</f>
        <v>0.000287438919229664</v>
      </c>
      <c r="P545" s="8"/>
      <c r="Q545" s="8"/>
    </row>
    <row r="546" ht="13.65" customHeight="1">
      <c r="A546" s="20">
        <v>45062</v>
      </c>
      <c r="B546" t="s" s="13">
        <v>22</v>
      </c>
      <c r="C546" s="14">
        <v>3132</v>
      </c>
      <c r="D546" s="14">
        <v>3165.7</v>
      </c>
      <c r="E546" s="14">
        <v>3122.35</v>
      </c>
      <c r="F546" s="14">
        <v>3132</v>
      </c>
      <c r="G546" s="14">
        <v>3135</v>
      </c>
      <c r="H546" s="14">
        <v>3138.1</v>
      </c>
      <c r="I546" s="14">
        <v>3147.85</v>
      </c>
      <c r="J546" s="14">
        <v>3582.9</v>
      </c>
      <c r="K546" s="14">
        <v>2560</v>
      </c>
      <c r="L546" s="15">
        <v>822404</v>
      </c>
      <c r="M546" t="s" s="13">
        <v>6851</v>
      </c>
      <c r="N546" s="15">
        <v>68581</v>
      </c>
      <c r="O546" s="17" cm="1">
        <f t="array" ref="O546">(H546-H545)/H545</f>
        <v>0.00194763729246488</v>
      </c>
      <c r="P546" s="8"/>
      <c r="Q546" s="8"/>
    </row>
    <row r="547" ht="13.65" customHeight="1">
      <c r="A547" s="20">
        <v>45063</v>
      </c>
      <c r="B547" t="s" s="13">
        <v>22</v>
      </c>
      <c r="C547" s="14">
        <v>3136</v>
      </c>
      <c r="D547" s="14">
        <v>3147.95</v>
      </c>
      <c r="E547" s="14">
        <v>3075.55</v>
      </c>
      <c r="F547" s="14">
        <v>3138.1</v>
      </c>
      <c r="G547" s="14">
        <v>3096</v>
      </c>
      <c r="H547" s="14">
        <v>3092.45</v>
      </c>
      <c r="I547" s="14">
        <v>3100.01</v>
      </c>
      <c r="J547" s="14">
        <v>3582.9</v>
      </c>
      <c r="K547" s="14">
        <v>2560</v>
      </c>
      <c r="L547" s="15">
        <v>835371</v>
      </c>
      <c r="M547" t="s" s="13">
        <v>6852</v>
      </c>
      <c r="N547" s="15">
        <v>69335</v>
      </c>
      <c r="O547" s="17" cm="1">
        <f t="array" ref="O547">(H547-H546)/H546</f>
        <v>-0.0145470188967847</v>
      </c>
      <c r="P547" s="8"/>
      <c r="Q547" s="8"/>
    </row>
    <row r="548" ht="13.65" customHeight="1">
      <c r="A548" s="20">
        <v>45064</v>
      </c>
      <c r="B548" t="s" s="13">
        <v>22</v>
      </c>
      <c r="C548" s="14">
        <v>3105.65</v>
      </c>
      <c r="D548" s="14">
        <v>3125</v>
      </c>
      <c r="E548" s="14">
        <v>3093.25</v>
      </c>
      <c r="F548" s="14">
        <v>3092.45</v>
      </c>
      <c r="G548" s="14">
        <v>3109.2</v>
      </c>
      <c r="H548" s="14">
        <v>3109.05</v>
      </c>
      <c r="I548" s="14">
        <v>3111.03</v>
      </c>
      <c r="J548" s="14">
        <v>3582.9</v>
      </c>
      <c r="K548" s="14">
        <v>2560</v>
      </c>
      <c r="L548" s="15">
        <v>498067</v>
      </c>
      <c r="M548" t="s" s="13">
        <v>6853</v>
      </c>
      <c r="N548" s="15">
        <v>52766</v>
      </c>
      <c r="O548" s="17" cm="1">
        <f t="array" ref="O548">(H548-H547)/H547</f>
        <v>0.00536791217319601</v>
      </c>
      <c r="P548" s="8"/>
      <c r="Q548" s="8"/>
    </row>
    <row r="549" ht="13.65" customHeight="1">
      <c r="A549" s="20">
        <v>45065</v>
      </c>
      <c r="B549" t="s" s="13">
        <v>22</v>
      </c>
      <c r="C549" s="14">
        <v>3124</v>
      </c>
      <c r="D549" s="14">
        <v>3127.95</v>
      </c>
      <c r="E549" s="14">
        <v>3068.05</v>
      </c>
      <c r="F549" s="14">
        <v>3109.05</v>
      </c>
      <c r="G549" s="14">
        <v>3085</v>
      </c>
      <c r="H549" s="14">
        <v>3084.45</v>
      </c>
      <c r="I549" s="14">
        <v>3090.74</v>
      </c>
      <c r="J549" s="14">
        <v>3582.9</v>
      </c>
      <c r="K549" s="14">
        <v>2560</v>
      </c>
      <c r="L549" s="15">
        <v>633262</v>
      </c>
      <c r="M549" t="s" s="13">
        <v>6854</v>
      </c>
      <c r="N549" s="15">
        <v>56554</v>
      </c>
      <c r="O549" s="17" cm="1">
        <f t="array" ref="O549">(H549-H548)/H548</f>
        <v>-0.007912384812080861</v>
      </c>
      <c r="P549" s="8"/>
      <c r="Q549" s="8"/>
    </row>
    <row r="550" ht="13.65" customHeight="1">
      <c r="A550" s="20">
        <v>45068</v>
      </c>
      <c r="B550" t="s" s="13">
        <v>22</v>
      </c>
      <c r="C550" s="14">
        <v>3070</v>
      </c>
      <c r="D550" s="14">
        <v>3105.6</v>
      </c>
      <c r="E550" s="14">
        <v>3046</v>
      </c>
      <c r="F550" s="14">
        <v>3084.45</v>
      </c>
      <c r="G550" s="14">
        <v>3087</v>
      </c>
      <c r="H550" s="14">
        <v>3084.9</v>
      </c>
      <c r="I550" s="14">
        <v>3083.2</v>
      </c>
      <c r="J550" s="14">
        <v>3582.9</v>
      </c>
      <c r="K550" s="14">
        <v>2560</v>
      </c>
      <c r="L550" s="15">
        <v>659425</v>
      </c>
      <c r="M550" t="s" s="13">
        <v>6855</v>
      </c>
      <c r="N550" s="15">
        <v>53673</v>
      </c>
      <c r="O550" s="17" cm="1">
        <f t="array" ref="O550">(H550-H549)/H549</f>
        <v>0.000145893108982152</v>
      </c>
      <c r="P550" s="8"/>
      <c r="Q550" s="8"/>
    </row>
    <row r="551" ht="13.65" customHeight="1">
      <c r="A551" s="20">
        <v>45069</v>
      </c>
      <c r="B551" t="s" s="13">
        <v>22</v>
      </c>
      <c r="C551" s="14">
        <v>3087</v>
      </c>
      <c r="D551" s="14">
        <v>3127.95</v>
      </c>
      <c r="E551" s="14">
        <v>3085</v>
      </c>
      <c r="F551" s="14">
        <v>3084.9</v>
      </c>
      <c r="G551" s="14">
        <v>3117</v>
      </c>
      <c r="H551" s="14">
        <v>3120.6</v>
      </c>
      <c r="I551" s="14">
        <v>3116.44</v>
      </c>
      <c r="J551" s="14">
        <v>3582.9</v>
      </c>
      <c r="K551" s="14">
        <v>2560</v>
      </c>
      <c r="L551" s="15">
        <v>581204</v>
      </c>
      <c r="M551" t="s" s="13">
        <v>6856</v>
      </c>
      <c r="N551" s="15">
        <v>47234</v>
      </c>
      <c r="O551" s="17" cm="1">
        <f t="array" ref="O551">(H551-H550)/H550</f>
        <v>0.011572498298162</v>
      </c>
      <c r="P551" s="8"/>
      <c r="Q551" s="8"/>
    </row>
    <row r="552" ht="13.65" customHeight="1">
      <c r="A552" s="20">
        <v>45070</v>
      </c>
      <c r="B552" t="s" s="13">
        <v>22</v>
      </c>
      <c r="C552" s="14">
        <v>3115</v>
      </c>
      <c r="D552" s="14">
        <v>3133.15</v>
      </c>
      <c r="E552" s="14">
        <v>3098</v>
      </c>
      <c r="F552" s="14">
        <v>3120.6</v>
      </c>
      <c r="G552" s="14">
        <v>3101</v>
      </c>
      <c r="H552" s="14">
        <v>3101.5</v>
      </c>
      <c r="I552" s="14">
        <v>3112.96</v>
      </c>
      <c r="J552" s="14">
        <v>3582.9</v>
      </c>
      <c r="K552" s="14">
        <v>2560</v>
      </c>
      <c r="L552" s="15">
        <v>439465</v>
      </c>
      <c r="M552" t="s" s="13">
        <v>6857</v>
      </c>
      <c r="N552" s="15">
        <v>36302</v>
      </c>
      <c r="O552" s="17" cm="1">
        <f t="array" ref="O552">(H552-H551)/H551</f>
        <v>-0.00612061782990451</v>
      </c>
      <c r="P552" s="8"/>
      <c r="Q552" s="8"/>
    </row>
    <row r="553" ht="13.65" customHeight="1">
      <c r="A553" s="20">
        <v>45071</v>
      </c>
      <c r="B553" t="s" s="13">
        <v>22</v>
      </c>
      <c r="C553" s="14">
        <v>3101.5</v>
      </c>
      <c r="D553" s="14">
        <v>3129</v>
      </c>
      <c r="E553" s="14">
        <v>3086</v>
      </c>
      <c r="F553" s="14">
        <v>3101.5</v>
      </c>
      <c r="G553" s="14">
        <v>3119.9</v>
      </c>
      <c r="H553" s="14">
        <v>3123.55</v>
      </c>
      <c r="I553" s="14">
        <v>3110.46</v>
      </c>
      <c r="J553" s="14">
        <v>3582.9</v>
      </c>
      <c r="K553" s="14">
        <v>2560</v>
      </c>
      <c r="L553" s="15">
        <v>500313</v>
      </c>
      <c r="M553" t="s" s="13">
        <v>6858</v>
      </c>
      <c r="N553" s="15">
        <v>35448</v>
      </c>
      <c r="O553" s="17" cm="1">
        <f t="array" ref="O553">(H553-H552)/H552</f>
        <v>0.00710946316298565</v>
      </c>
      <c r="P553" s="8"/>
      <c r="Q553" s="8"/>
    </row>
    <row r="554" ht="13.65" customHeight="1">
      <c r="A554" s="20">
        <v>45072</v>
      </c>
      <c r="B554" t="s" s="13">
        <v>22</v>
      </c>
      <c r="C554" s="14">
        <v>3123</v>
      </c>
      <c r="D554" s="14">
        <v>3136.95</v>
      </c>
      <c r="E554" s="14">
        <v>3111.75</v>
      </c>
      <c r="F554" s="14">
        <v>3123.55</v>
      </c>
      <c r="G554" s="14">
        <v>3127</v>
      </c>
      <c r="H554" s="14">
        <v>3128.4</v>
      </c>
      <c r="I554" s="14">
        <v>3126.59</v>
      </c>
      <c r="J554" s="14">
        <v>3582.9</v>
      </c>
      <c r="K554" s="14">
        <v>2560</v>
      </c>
      <c r="L554" s="15">
        <v>568249</v>
      </c>
      <c r="M554" t="s" s="13">
        <v>6859</v>
      </c>
      <c r="N554" s="15">
        <v>34782</v>
      </c>
      <c r="O554" s="17" cm="1">
        <f t="array" ref="O554">(H554-H553)/H553</f>
        <v>0.0015527204622945</v>
      </c>
      <c r="P554" s="8"/>
      <c r="Q554" s="8"/>
    </row>
    <row r="555" ht="13.65" customHeight="1">
      <c r="A555" s="20">
        <v>45075</v>
      </c>
      <c r="B555" t="s" s="13">
        <v>22</v>
      </c>
      <c r="C555" s="14">
        <v>3147.2</v>
      </c>
      <c r="D555" s="14">
        <v>3155</v>
      </c>
      <c r="E555" s="14">
        <v>3116.05</v>
      </c>
      <c r="F555" s="14">
        <v>3128.4</v>
      </c>
      <c r="G555" s="14">
        <v>3139</v>
      </c>
      <c r="H555" s="14">
        <v>3137.4</v>
      </c>
      <c r="I555" s="14">
        <v>3129.99</v>
      </c>
      <c r="J555" s="14">
        <v>3582.9</v>
      </c>
      <c r="K555" s="14">
        <v>2560</v>
      </c>
      <c r="L555" s="15">
        <v>535712</v>
      </c>
      <c r="M555" t="s" s="13">
        <v>6860</v>
      </c>
      <c r="N555" s="15">
        <v>43842</v>
      </c>
      <c r="O555" s="17" cm="1">
        <f t="array" ref="O555">(H555-H554)/H554</f>
        <v>0.00287686996547756</v>
      </c>
      <c r="P555" s="8"/>
      <c r="Q555" s="8"/>
    </row>
    <row r="556" ht="13.65" customHeight="1">
      <c r="A556" s="20">
        <v>45076</v>
      </c>
      <c r="B556" t="s" s="13">
        <v>22</v>
      </c>
      <c r="C556" s="14">
        <v>3146.9</v>
      </c>
      <c r="D556" s="14">
        <v>3155</v>
      </c>
      <c r="E556" s="14">
        <v>3127.55</v>
      </c>
      <c r="F556" s="14">
        <v>3137.4</v>
      </c>
      <c r="G556" s="14">
        <v>3141.45</v>
      </c>
      <c r="H556" s="14">
        <v>3144.4</v>
      </c>
      <c r="I556" s="14">
        <v>3143.77</v>
      </c>
      <c r="J556" s="14">
        <v>3582.9</v>
      </c>
      <c r="K556" s="14">
        <v>2560</v>
      </c>
      <c r="L556" s="15">
        <v>506026</v>
      </c>
      <c r="M556" t="s" s="13">
        <v>6861</v>
      </c>
      <c r="N556" s="15">
        <v>48386</v>
      </c>
      <c r="O556" s="17" cm="1">
        <f t="array" ref="O556">(H556-H555)/H555</f>
        <v>0.00223114680946006</v>
      </c>
      <c r="P556" s="8"/>
      <c r="Q556" s="8"/>
    </row>
    <row r="557" ht="13.65" customHeight="1">
      <c r="A557" s="20">
        <v>45077</v>
      </c>
      <c r="B557" t="s" s="13">
        <v>22</v>
      </c>
      <c r="C557" s="14">
        <v>3151.95</v>
      </c>
      <c r="D557" s="14">
        <v>3219.35</v>
      </c>
      <c r="E557" s="14">
        <v>3136.45</v>
      </c>
      <c r="F557" s="14">
        <v>3144.4</v>
      </c>
      <c r="G557" s="14">
        <v>3195</v>
      </c>
      <c r="H557" s="14">
        <v>3192.95</v>
      </c>
      <c r="I557" s="14">
        <v>3190.32</v>
      </c>
      <c r="J557" s="14">
        <v>3582.9</v>
      </c>
      <c r="K557" s="14">
        <v>2560</v>
      </c>
      <c r="L557" s="15">
        <v>2349066</v>
      </c>
      <c r="M557" t="s" s="13">
        <v>6862</v>
      </c>
      <c r="N557" s="15">
        <v>106339</v>
      </c>
      <c r="O557" s="17" cm="1">
        <f t="array" ref="O557">(H557-H556)/H556</f>
        <v>0.0154401475639232</v>
      </c>
      <c r="P557" s="8"/>
      <c r="Q557" s="8"/>
    </row>
    <row r="558" ht="13.65" customHeight="1">
      <c r="A558" s="12">
        <v>45078</v>
      </c>
      <c r="B558" t="s" s="13">
        <v>22</v>
      </c>
      <c r="C558" s="14">
        <v>3235.35</v>
      </c>
      <c r="D558" s="14">
        <v>3249.9</v>
      </c>
      <c r="E558" s="14">
        <v>3207</v>
      </c>
      <c r="F558" s="14">
        <v>3192.95</v>
      </c>
      <c r="G558" s="14">
        <v>3240</v>
      </c>
      <c r="H558" s="14">
        <v>3240.7</v>
      </c>
      <c r="I558" s="14">
        <v>3236.48</v>
      </c>
      <c r="J558" s="14">
        <v>3582.9</v>
      </c>
      <c r="K558" s="14">
        <v>2560</v>
      </c>
      <c r="L558" s="15">
        <v>1104861</v>
      </c>
      <c r="M558" t="s" s="13">
        <v>6863</v>
      </c>
      <c r="N558" s="15">
        <v>93247</v>
      </c>
      <c r="O558" s="17" cm="1">
        <f t="array" ref="O558">(H558-H557)/H557</f>
        <v>0.0149548223429744</v>
      </c>
      <c r="P558" s="8"/>
      <c r="Q558" s="8"/>
    </row>
    <row r="559" ht="13.65" customHeight="1">
      <c r="A559" s="12">
        <v>45079</v>
      </c>
      <c r="B559" t="s" s="13">
        <v>22</v>
      </c>
      <c r="C559" s="14">
        <v>3239.4</v>
      </c>
      <c r="D559" s="14">
        <v>3249.95</v>
      </c>
      <c r="E559" s="14">
        <v>3219</v>
      </c>
      <c r="F559" s="14">
        <v>3240.7</v>
      </c>
      <c r="G559" s="14">
        <v>3232</v>
      </c>
      <c r="H559" s="14">
        <v>3237.25</v>
      </c>
      <c r="I559" s="14">
        <v>3237.82</v>
      </c>
      <c r="J559" s="14">
        <v>3582.9</v>
      </c>
      <c r="K559" s="14">
        <v>2560</v>
      </c>
      <c r="L559" s="15">
        <v>781973</v>
      </c>
      <c r="M559" t="s" s="13">
        <v>6864</v>
      </c>
      <c r="N559" s="15">
        <v>66607</v>
      </c>
      <c r="O559" s="17" cm="1">
        <f t="array" ref="O559">(H559-H558)/H558</f>
        <v>-0.00106458481192335</v>
      </c>
      <c r="P559" s="8"/>
      <c r="Q559" s="8"/>
    </row>
    <row r="560" ht="13.65" customHeight="1">
      <c r="A560" s="12">
        <v>45082</v>
      </c>
      <c r="B560" t="s" s="13">
        <v>22</v>
      </c>
      <c r="C560" s="14">
        <v>3239.95</v>
      </c>
      <c r="D560" s="14">
        <v>3239.95</v>
      </c>
      <c r="E560" s="14">
        <v>3195</v>
      </c>
      <c r="F560" s="14">
        <v>3237.25</v>
      </c>
      <c r="G560" s="14">
        <v>3201.8</v>
      </c>
      <c r="H560" s="14">
        <v>3199.75</v>
      </c>
      <c r="I560" s="14">
        <v>3208.79</v>
      </c>
      <c r="J560" s="14">
        <v>3582.9</v>
      </c>
      <c r="K560" s="14">
        <v>2560</v>
      </c>
      <c r="L560" s="15">
        <v>492565</v>
      </c>
      <c r="M560" t="s" s="13">
        <v>6865</v>
      </c>
      <c r="N560" s="15">
        <v>48058</v>
      </c>
      <c r="O560" s="17" cm="1">
        <f t="array" ref="O560">(H560-H559)/H559</f>
        <v>-0.0115839060931346</v>
      </c>
      <c r="P560" s="8"/>
      <c r="Q560" s="8"/>
    </row>
    <row r="561" ht="13.65" customHeight="1">
      <c r="A561" s="12">
        <v>45083</v>
      </c>
      <c r="B561" t="s" s="13">
        <v>22</v>
      </c>
      <c r="C561" s="14">
        <v>3207.75</v>
      </c>
      <c r="D561" s="14">
        <v>3238.9</v>
      </c>
      <c r="E561" s="14">
        <v>3195</v>
      </c>
      <c r="F561" s="14">
        <v>3199.75</v>
      </c>
      <c r="G561" s="14">
        <v>3213</v>
      </c>
      <c r="H561" s="14">
        <v>3212.75</v>
      </c>
      <c r="I561" s="14">
        <v>3216.85</v>
      </c>
      <c r="J561" s="14">
        <v>3582.9</v>
      </c>
      <c r="K561" s="14">
        <v>2560</v>
      </c>
      <c r="L561" s="15">
        <v>577698</v>
      </c>
      <c r="M561" t="s" s="13">
        <v>6866</v>
      </c>
      <c r="N561" s="15">
        <v>64101</v>
      </c>
      <c r="O561" s="17" cm="1">
        <f t="array" ref="O561">(H561-H560)/H560</f>
        <v>0.00406281740760997</v>
      </c>
      <c r="P561" s="8"/>
      <c r="Q561" s="8"/>
    </row>
    <row r="562" ht="13.65" customHeight="1">
      <c r="A562" s="12">
        <v>45084</v>
      </c>
      <c r="B562" t="s" s="13">
        <v>22</v>
      </c>
      <c r="C562" s="14">
        <v>3217</v>
      </c>
      <c r="D562" s="14">
        <v>3229.25</v>
      </c>
      <c r="E562" s="14">
        <v>3206.25</v>
      </c>
      <c r="F562" s="14">
        <v>3212.75</v>
      </c>
      <c r="G562" s="14">
        <v>3227</v>
      </c>
      <c r="H562" s="14">
        <v>3224.8</v>
      </c>
      <c r="I562" s="14">
        <v>3220.53</v>
      </c>
      <c r="J562" s="14">
        <v>3582.9</v>
      </c>
      <c r="K562" s="14">
        <v>2560</v>
      </c>
      <c r="L562" s="15">
        <v>470038</v>
      </c>
      <c r="M562" t="s" s="13">
        <v>6867</v>
      </c>
      <c r="N562" s="15">
        <v>59601</v>
      </c>
      <c r="O562" s="17" cm="1">
        <f t="array" ref="O562">(H562-H561)/H561</f>
        <v>0.0037506808808653</v>
      </c>
      <c r="P562" s="8"/>
      <c r="Q562" s="8"/>
    </row>
    <row r="563" ht="13.65" customHeight="1">
      <c r="A563" s="12">
        <v>45085</v>
      </c>
      <c r="B563" t="s" s="13">
        <v>22</v>
      </c>
      <c r="C563" s="14">
        <v>3220</v>
      </c>
      <c r="D563" s="14">
        <v>3247</v>
      </c>
      <c r="E563" s="14">
        <v>3193</v>
      </c>
      <c r="F563" s="14">
        <v>3224.8</v>
      </c>
      <c r="G563" s="14">
        <v>3215.8</v>
      </c>
      <c r="H563" s="14">
        <v>3212.25</v>
      </c>
      <c r="I563" s="14">
        <v>3216.2</v>
      </c>
      <c r="J563" s="14">
        <v>3582.9</v>
      </c>
      <c r="K563" s="14">
        <v>2560</v>
      </c>
      <c r="L563" s="15">
        <v>561161</v>
      </c>
      <c r="M563" t="s" s="13">
        <v>6868</v>
      </c>
      <c r="N563" s="15">
        <v>51824</v>
      </c>
      <c r="O563" s="17" cm="1">
        <f t="array" ref="O563">(H563-H562)/H562</f>
        <v>-0.00389171421483503</v>
      </c>
      <c r="P563" s="8"/>
      <c r="Q563" s="8"/>
    </row>
    <row r="564" ht="13.65" customHeight="1">
      <c r="A564" s="12">
        <v>45086</v>
      </c>
      <c r="B564" t="s" s="13">
        <v>22</v>
      </c>
      <c r="C564" s="14">
        <v>3209.8</v>
      </c>
      <c r="D564" s="14">
        <v>3238.9</v>
      </c>
      <c r="E564" s="14">
        <v>3168.55</v>
      </c>
      <c r="F564" s="14">
        <v>3212.25</v>
      </c>
      <c r="G564" s="14">
        <v>3178.9</v>
      </c>
      <c r="H564" s="14">
        <v>3180.55</v>
      </c>
      <c r="I564" s="14">
        <v>3198.83</v>
      </c>
      <c r="J564" s="14">
        <v>3582.9</v>
      </c>
      <c r="K564" s="14">
        <v>2560</v>
      </c>
      <c r="L564" s="15">
        <v>1239045</v>
      </c>
      <c r="M564" t="s" s="13">
        <v>6869</v>
      </c>
      <c r="N564" s="15">
        <v>67292</v>
      </c>
      <c r="O564" s="17" cm="1">
        <f t="array" ref="O564">(H564-H563)/H563</f>
        <v>-0.00986847225465017</v>
      </c>
      <c r="P564" s="8"/>
      <c r="Q564" s="8"/>
    </row>
    <row r="565" ht="13.65" customHeight="1">
      <c r="A565" s="18">
        <v>45089</v>
      </c>
      <c r="B565" t="s" s="13">
        <v>22</v>
      </c>
      <c r="C565" s="14">
        <v>3185.2</v>
      </c>
      <c r="D565" s="14">
        <v>3202.35</v>
      </c>
      <c r="E565" s="14">
        <v>3151.15</v>
      </c>
      <c r="F565" s="14">
        <v>3180.55</v>
      </c>
      <c r="G565" s="14">
        <v>3197.4</v>
      </c>
      <c r="H565" s="14">
        <v>3194.75</v>
      </c>
      <c r="I565" s="14">
        <v>3180.24</v>
      </c>
      <c r="J565" s="14">
        <v>3582.9</v>
      </c>
      <c r="K565" s="14">
        <v>2560</v>
      </c>
      <c r="L565" s="15">
        <v>1029156</v>
      </c>
      <c r="M565" t="s" s="13">
        <v>6870</v>
      </c>
      <c r="N565" s="15">
        <v>49670</v>
      </c>
      <c r="O565" s="17" cm="1">
        <f t="array" ref="O565">(H565-H564)/H564</f>
        <v>0.00446463661945261</v>
      </c>
      <c r="P565" s="8"/>
      <c r="Q565" s="8"/>
    </row>
    <row r="566" ht="13.65" customHeight="1">
      <c r="A566" s="18">
        <v>45090</v>
      </c>
      <c r="B566" t="s" s="13">
        <v>22</v>
      </c>
      <c r="C566" s="14">
        <v>3210</v>
      </c>
      <c r="D566" s="14">
        <v>3272</v>
      </c>
      <c r="E566" s="14">
        <v>3205.15</v>
      </c>
      <c r="F566" s="14">
        <v>3194.75</v>
      </c>
      <c r="G566" s="14">
        <v>3256.1</v>
      </c>
      <c r="H566" s="14">
        <v>3262.85</v>
      </c>
      <c r="I566" s="14">
        <v>3256.54</v>
      </c>
      <c r="J566" s="14">
        <v>3582.9</v>
      </c>
      <c r="K566" s="14">
        <v>2560</v>
      </c>
      <c r="L566" s="15">
        <v>1598821</v>
      </c>
      <c r="M566" t="s" s="13">
        <v>6871</v>
      </c>
      <c r="N566" s="15">
        <v>107400</v>
      </c>
      <c r="O566" s="17" cm="1">
        <f t="array" ref="O566">(H566-H565)/H565</f>
        <v>0.0213162219265983</v>
      </c>
      <c r="P566" s="8"/>
      <c r="Q566" s="8"/>
    </row>
    <row r="567" ht="13.65" customHeight="1">
      <c r="A567" s="18">
        <v>45091</v>
      </c>
      <c r="B567" t="s" s="13">
        <v>22</v>
      </c>
      <c r="C567" s="14">
        <v>3265</v>
      </c>
      <c r="D567" s="14">
        <v>3289.9</v>
      </c>
      <c r="E567" s="14">
        <v>3253</v>
      </c>
      <c r="F567" s="14">
        <v>3262.85</v>
      </c>
      <c r="G567" s="14">
        <v>3270.75</v>
      </c>
      <c r="H567" s="14">
        <v>3270.2</v>
      </c>
      <c r="I567" s="14">
        <v>3270.11</v>
      </c>
      <c r="J567" s="14">
        <v>3582.9</v>
      </c>
      <c r="K567" s="14">
        <v>2560</v>
      </c>
      <c r="L567" s="15">
        <v>741615</v>
      </c>
      <c r="M567" t="s" s="13">
        <v>6872</v>
      </c>
      <c r="N567" s="15">
        <v>81023</v>
      </c>
      <c r="O567" s="17" cm="1">
        <f t="array" ref="O567">(H567-H566)/H566</f>
        <v>0.00225263190155845</v>
      </c>
      <c r="P567" s="8"/>
      <c r="Q567" s="8"/>
    </row>
    <row r="568" ht="13.65" customHeight="1">
      <c r="A568" s="18">
        <v>45092</v>
      </c>
      <c r="B568" t="s" s="13">
        <v>22</v>
      </c>
      <c r="C568" s="14">
        <v>3276</v>
      </c>
      <c r="D568" s="14">
        <v>3304</v>
      </c>
      <c r="E568" s="14">
        <v>3273.35</v>
      </c>
      <c r="F568" s="14">
        <v>3270.2</v>
      </c>
      <c r="G568" s="14">
        <v>3291</v>
      </c>
      <c r="H568" s="14">
        <v>3294.35</v>
      </c>
      <c r="I568" s="14">
        <v>3291.01</v>
      </c>
      <c r="J568" s="14">
        <v>3582.9</v>
      </c>
      <c r="K568" s="14">
        <v>2560</v>
      </c>
      <c r="L568" s="15">
        <v>806994</v>
      </c>
      <c r="M568" t="s" s="13">
        <v>6873</v>
      </c>
      <c r="N568" s="15">
        <v>92700</v>
      </c>
      <c r="O568" s="17" cm="1">
        <f t="array" ref="O568">(H568-H567)/H567</f>
        <v>0.00738486942694636</v>
      </c>
      <c r="P568" s="8"/>
      <c r="Q568" s="8"/>
    </row>
    <row r="569" ht="13.65" customHeight="1">
      <c r="A569" s="18">
        <v>45093</v>
      </c>
      <c r="B569" t="s" s="13">
        <v>22</v>
      </c>
      <c r="C569" s="14">
        <v>3291.75</v>
      </c>
      <c r="D569" s="14">
        <v>3322</v>
      </c>
      <c r="E569" s="14">
        <v>3286.55</v>
      </c>
      <c r="F569" s="14">
        <v>3294.35</v>
      </c>
      <c r="G569" s="14">
        <v>3318.15</v>
      </c>
      <c r="H569" s="14">
        <v>3316.85</v>
      </c>
      <c r="I569" s="14">
        <v>3307.13</v>
      </c>
      <c r="J569" s="14">
        <v>3582.9</v>
      </c>
      <c r="K569" s="14">
        <v>2560</v>
      </c>
      <c r="L569" s="15">
        <v>984671</v>
      </c>
      <c r="M569" t="s" s="13">
        <v>6874</v>
      </c>
      <c r="N569" s="15">
        <v>62695</v>
      </c>
      <c r="O569" s="17" cm="1">
        <f t="array" ref="O569">(H569-H568)/H568</f>
        <v>0.00682987539271784</v>
      </c>
      <c r="P569" s="8"/>
      <c r="Q569" s="8"/>
    </row>
    <row r="570" ht="13.65" customHeight="1">
      <c r="A570" s="18">
        <v>45096</v>
      </c>
      <c r="B570" t="s" s="13">
        <v>22</v>
      </c>
      <c r="C570" s="14">
        <v>3318.85</v>
      </c>
      <c r="D570" s="14">
        <v>3344.95</v>
      </c>
      <c r="E570" s="14">
        <v>3303.25</v>
      </c>
      <c r="F570" s="14">
        <v>3316.85</v>
      </c>
      <c r="G570" s="14">
        <v>3311.2</v>
      </c>
      <c r="H570" s="14">
        <v>3309.7</v>
      </c>
      <c r="I570" s="14">
        <v>3318.54</v>
      </c>
      <c r="J570" s="14">
        <v>3582.9</v>
      </c>
      <c r="K570" s="14">
        <v>2588.35</v>
      </c>
      <c r="L570" s="15">
        <v>516915</v>
      </c>
      <c r="M570" t="s" s="13">
        <v>6875</v>
      </c>
      <c r="N570" s="15">
        <v>45543</v>
      </c>
      <c r="O570" s="17" cm="1">
        <f t="array" ref="O570">(H570-H569)/H569</f>
        <v>-0.00215565973740145</v>
      </c>
      <c r="P570" s="8"/>
      <c r="Q570" s="8"/>
    </row>
    <row r="571" ht="13.65" customHeight="1">
      <c r="A571" s="18">
        <v>45097</v>
      </c>
      <c r="B571" t="s" s="13">
        <v>22</v>
      </c>
      <c r="C571" s="14">
        <v>3315</v>
      </c>
      <c r="D571" s="14">
        <v>3326.85</v>
      </c>
      <c r="E571" s="14">
        <v>3277.1</v>
      </c>
      <c r="F571" s="14">
        <v>3309.7</v>
      </c>
      <c r="G571" s="14">
        <v>3312.7</v>
      </c>
      <c r="H571" s="14">
        <v>3318.7</v>
      </c>
      <c r="I571" s="14">
        <v>3300.28</v>
      </c>
      <c r="J571" s="14">
        <v>3582.9</v>
      </c>
      <c r="K571" s="14">
        <v>2588.35</v>
      </c>
      <c r="L571" s="15">
        <v>866290</v>
      </c>
      <c r="M571" t="s" s="13">
        <v>6876</v>
      </c>
      <c r="N571" s="15">
        <v>78457</v>
      </c>
      <c r="O571" s="17" cm="1">
        <f t="array" ref="O571">(H571-H570)/H570</f>
        <v>0.00271927969302354</v>
      </c>
      <c r="P571" s="8"/>
      <c r="Q571" s="8"/>
    </row>
    <row r="572" ht="13.65" customHeight="1">
      <c r="A572" s="18">
        <v>45098</v>
      </c>
      <c r="B572" t="s" s="13">
        <v>22</v>
      </c>
      <c r="C572" s="14">
        <v>3318.7</v>
      </c>
      <c r="D572" s="14">
        <v>3333</v>
      </c>
      <c r="E572" s="14">
        <v>3300</v>
      </c>
      <c r="F572" s="14">
        <v>3318.7</v>
      </c>
      <c r="G572" s="14">
        <v>3322</v>
      </c>
      <c r="H572" s="14">
        <v>3316.1</v>
      </c>
      <c r="I572" s="14">
        <v>3311.91</v>
      </c>
      <c r="J572" s="14">
        <v>3582.9</v>
      </c>
      <c r="K572" s="14">
        <v>2588.35</v>
      </c>
      <c r="L572" s="15">
        <v>742456</v>
      </c>
      <c r="M572" t="s" s="13">
        <v>6877</v>
      </c>
      <c r="N572" s="15">
        <v>73902</v>
      </c>
      <c r="O572" s="17" cm="1">
        <f t="array" ref="O572">(H572-H571)/H571</f>
        <v>-0.000783439298520505</v>
      </c>
      <c r="P572" s="8"/>
      <c r="Q572" s="8"/>
    </row>
    <row r="573" ht="13.65" customHeight="1">
      <c r="A573" s="18">
        <v>45099</v>
      </c>
      <c r="B573" t="s" s="13">
        <v>22</v>
      </c>
      <c r="C573" s="14">
        <v>3325</v>
      </c>
      <c r="D573" s="14">
        <v>3326.85</v>
      </c>
      <c r="E573" s="14">
        <v>3242.45</v>
      </c>
      <c r="F573" s="14">
        <v>3316.1</v>
      </c>
      <c r="G573" s="14">
        <v>3250</v>
      </c>
      <c r="H573" s="14">
        <v>3248.05</v>
      </c>
      <c r="I573" s="14">
        <v>3280.9</v>
      </c>
      <c r="J573" s="14">
        <v>3582.9</v>
      </c>
      <c r="K573" s="14">
        <v>2588.35</v>
      </c>
      <c r="L573" s="15">
        <v>871640</v>
      </c>
      <c r="M573" t="s" s="13">
        <v>6878</v>
      </c>
      <c r="N573" s="15">
        <v>54536</v>
      </c>
      <c r="O573" s="17" cm="1">
        <f t="array" ref="O573">(H573-H572)/H572</f>
        <v>-0.0205210940562709</v>
      </c>
      <c r="P573" s="8"/>
      <c r="Q573" s="8"/>
    </row>
    <row r="574" ht="13.65" customHeight="1">
      <c r="A574" s="18">
        <v>45100</v>
      </c>
      <c r="B574" t="s" s="13">
        <v>22</v>
      </c>
      <c r="C574" s="14">
        <v>3265</v>
      </c>
      <c r="D574" s="14">
        <v>3304.15</v>
      </c>
      <c r="E574" s="14">
        <v>3253.05</v>
      </c>
      <c r="F574" s="14">
        <v>3248.05</v>
      </c>
      <c r="G574" s="14">
        <v>3297</v>
      </c>
      <c r="H574" s="14">
        <v>3297.7</v>
      </c>
      <c r="I574" s="14">
        <v>3286.45</v>
      </c>
      <c r="J574" s="14">
        <v>3582.9</v>
      </c>
      <c r="K574" s="14">
        <v>2588.35</v>
      </c>
      <c r="L574" s="15">
        <v>1260659</v>
      </c>
      <c r="M574" t="s" s="13">
        <v>6879</v>
      </c>
      <c r="N574" s="15">
        <v>83744</v>
      </c>
      <c r="O574" s="17" cm="1">
        <f t="array" ref="O574">(H574-H573)/H573</f>
        <v>0.0152860947337633</v>
      </c>
      <c r="P574" s="8"/>
      <c r="Q574" s="8"/>
    </row>
    <row r="575" ht="13.65" customHeight="1">
      <c r="A575" s="18">
        <v>45103</v>
      </c>
      <c r="B575" t="s" s="13">
        <v>22</v>
      </c>
      <c r="C575" s="14">
        <v>3295</v>
      </c>
      <c r="D575" s="14">
        <v>3315.35</v>
      </c>
      <c r="E575" s="14">
        <v>3271.4</v>
      </c>
      <c r="F575" s="14">
        <v>3297.7</v>
      </c>
      <c r="G575" s="14">
        <v>3305.75</v>
      </c>
      <c r="H575" s="14">
        <v>3308.15</v>
      </c>
      <c r="I575" s="14">
        <v>3301.9</v>
      </c>
      <c r="J575" s="14">
        <v>3582.9</v>
      </c>
      <c r="K575" s="14">
        <v>2678</v>
      </c>
      <c r="L575" s="15">
        <v>592801</v>
      </c>
      <c r="M575" t="s" s="13">
        <v>6880</v>
      </c>
      <c r="N575" s="15">
        <v>62556</v>
      </c>
      <c r="O575" s="17" cm="1">
        <f t="array" ref="O575">(H575-H574)/H574</f>
        <v>0.00316887527670801</v>
      </c>
      <c r="P575" s="8"/>
      <c r="Q575" s="8"/>
    </row>
    <row r="576" ht="13.65" customHeight="1">
      <c r="A576" s="18">
        <v>45104</v>
      </c>
      <c r="B576" t="s" s="13">
        <v>22</v>
      </c>
      <c r="C576" s="14">
        <v>3275</v>
      </c>
      <c r="D576" s="14">
        <v>3344.5</v>
      </c>
      <c r="E576" s="14">
        <v>3273.35</v>
      </c>
      <c r="F576" s="14">
        <v>3308.15</v>
      </c>
      <c r="G576" s="14">
        <v>3325</v>
      </c>
      <c r="H576" s="14">
        <v>3326</v>
      </c>
      <c r="I576" s="14">
        <v>3325.11</v>
      </c>
      <c r="J576" s="14">
        <v>3582.9</v>
      </c>
      <c r="K576" s="14">
        <v>2678</v>
      </c>
      <c r="L576" s="15">
        <v>914141</v>
      </c>
      <c r="M576" t="s" s="13">
        <v>6881</v>
      </c>
      <c r="N576" s="15">
        <v>80459</v>
      </c>
      <c r="O576" s="17" cm="1">
        <f t="array" ref="O576">(H576-H575)/H575</f>
        <v>0.00539576500460983</v>
      </c>
      <c r="P576" s="8"/>
      <c r="Q576" s="8"/>
    </row>
    <row r="577" ht="13.65" customHeight="1">
      <c r="A577" s="18">
        <v>45105</v>
      </c>
      <c r="B577" t="s" s="13">
        <v>22</v>
      </c>
      <c r="C577" s="14">
        <v>3331</v>
      </c>
      <c r="D577" s="14">
        <v>3355.25</v>
      </c>
      <c r="E577" s="14">
        <v>3323.5</v>
      </c>
      <c r="F577" s="14">
        <v>3326</v>
      </c>
      <c r="G577" s="14">
        <v>3350</v>
      </c>
      <c r="H577" s="14">
        <v>3348.25</v>
      </c>
      <c r="I577" s="14">
        <v>3343.88</v>
      </c>
      <c r="J577" s="14">
        <v>3582.9</v>
      </c>
      <c r="K577" s="14">
        <v>2678</v>
      </c>
      <c r="L577" s="15">
        <v>713110</v>
      </c>
      <c r="M577" t="s" s="13">
        <v>6882</v>
      </c>
      <c r="N577" s="15">
        <v>71197</v>
      </c>
      <c r="O577" s="17" cm="1">
        <f t="array" ref="O577">(H577-H576)/H576</f>
        <v>0.00668971737823211</v>
      </c>
      <c r="P577" s="8"/>
      <c r="Q577" s="8"/>
    </row>
    <row r="578" ht="13.65" customHeight="1">
      <c r="A578" s="18">
        <v>45107</v>
      </c>
      <c r="B578" t="s" s="13">
        <v>22</v>
      </c>
      <c r="C578" s="14">
        <v>3353</v>
      </c>
      <c r="D578" s="14">
        <v>3449.6</v>
      </c>
      <c r="E578" s="14">
        <v>3343.75</v>
      </c>
      <c r="F578" s="14">
        <v>3348.25</v>
      </c>
      <c r="G578" s="14">
        <v>3360</v>
      </c>
      <c r="H578" s="14">
        <v>3362.05</v>
      </c>
      <c r="I578" s="14">
        <v>3385.19</v>
      </c>
      <c r="J578" s="14">
        <v>3582.9</v>
      </c>
      <c r="K578" s="14">
        <v>2678</v>
      </c>
      <c r="L578" s="15">
        <v>1436363</v>
      </c>
      <c r="M578" t="s" s="13">
        <v>6883</v>
      </c>
      <c r="N578" s="15">
        <v>104536</v>
      </c>
      <c r="O578" s="17" cm="1">
        <f t="array" ref="O578">(H578-H577)/H577</f>
        <v>0.00412155603673561</v>
      </c>
      <c r="P578" s="8"/>
      <c r="Q578" s="8"/>
    </row>
    <row r="579" ht="13.65" customHeight="1">
      <c r="A579" s="12">
        <v>45110</v>
      </c>
      <c r="B579" t="s" s="13">
        <v>22</v>
      </c>
      <c r="C579" s="14">
        <v>3365</v>
      </c>
      <c r="D579" s="14">
        <v>3379.95</v>
      </c>
      <c r="E579" s="14">
        <v>3337.2</v>
      </c>
      <c r="F579" s="14">
        <v>3362.05</v>
      </c>
      <c r="G579" s="14">
        <v>3354</v>
      </c>
      <c r="H579" s="14">
        <v>3358.7</v>
      </c>
      <c r="I579" s="14">
        <v>3356.07</v>
      </c>
      <c r="J579" s="14">
        <v>3582.9</v>
      </c>
      <c r="K579" s="14">
        <v>2685.85</v>
      </c>
      <c r="L579" s="15">
        <v>474224</v>
      </c>
      <c r="M579" t="s" s="13">
        <v>6884</v>
      </c>
      <c r="N579" s="15">
        <v>61821</v>
      </c>
      <c r="O579" s="17" cm="1">
        <f t="array" ref="O579">(H579-H578)/H578</f>
        <v>-0.000996415877217769</v>
      </c>
      <c r="P579" s="8"/>
      <c r="Q579" s="8"/>
    </row>
    <row r="580" ht="13.65" customHeight="1">
      <c r="A580" s="12">
        <v>45111</v>
      </c>
      <c r="B580" t="s" s="13">
        <v>22</v>
      </c>
      <c r="C580" s="14">
        <v>3358.7</v>
      </c>
      <c r="D580" s="14">
        <v>3387</v>
      </c>
      <c r="E580" s="14">
        <v>3331</v>
      </c>
      <c r="F580" s="14">
        <v>3358.7</v>
      </c>
      <c r="G580" s="14">
        <v>3344</v>
      </c>
      <c r="H580" s="14">
        <v>3347.7</v>
      </c>
      <c r="I580" s="14">
        <v>3348.6</v>
      </c>
      <c r="J580" s="14">
        <v>3582.9</v>
      </c>
      <c r="K580" s="14">
        <v>2685.85</v>
      </c>
      <c r="L580" s="15">
        <v>473663</v>
      </c>
      <c r="M580" t="s" s="13">
        <v>6885</v>
      </c>
      <c r="N580" s="15">
        <v>55647</v>
      </c>
      <c r="O580" s="17" cm="1">
        <f t="array" ref="O580">(H580-H579)/H579</f>
        <v>-0.00327507666656742</v>
      </c>
      <c r="P580" s="8"/>
      <c r="Q580" s="8"/>
    </row>
    <row r="581" ht="13.65" customHeight="1">
      <c r="A581" s="12">
        <v>45112</v>
      </c>
      <c r="B581" t="s" s="13">
        <v>22</v>
      </c>
      <c r="C581" s="14">
        <v>3351.35</v>
      </c>
      <c r="D581" s="14">
        <v>3400</v>
      </c>
      <c r="E581" s="14">
        <v>3340.75</v>
      </c>
      <c r="F581" s="14">
        <v>3347.7</v>
      </c>
      <c r="G581" s="14">
        <v>3377</v>
      </c>
      <c r="H581" s="14">
        <v>3374.4</v>
      </c>
      <c r="I581" s="14">
        <v>3375.15</v>
      </c>
      <c r="J581" s="14">
        <v>3582.9</v>
      </c>
      <c r="K581" s="14">
        <v>2685.85</v>
      </c>
      <c r="L581" s="15">
        <v>632406</v>
      </c>
      <c r="M581" t="s" s="13">
        <v>6886</v>
      </c>
      <c r="N581" s="15">
        <v>53145</v>
      </c>
      <c r="O581" s="17" cm="1">
        <f t="array" ref="O581">(H581-H580)/H580</f>
        <v>0.007975625056008601</v>
      </c>
      <c r="P581" s="8"/>
      <c r="Q581" s="8"/>
    </row>
    <row r="582" ht="13.65" customHeight="1">
      <c r="A582" s="12">
        <v>45113</v>
      </c>
      <c r="B582" t="s" s="13">
        <v>22</v>
      </c>
      <c r="C582" s="14">
        <v>3410</v>
      </c>
      <c r="D582" s="14">
        <v>3410</v>
      </c>
      <c r="E582" s="14">
        <v>3367.8</v>
      </c>
      <c r="F582" s="14">
        <v>3374.4</v>
      </c>
      <c r="G582" s="14">
        <v>3390</v>
      </c>
      <c r="H582" s="14">
        <v>3399.4</v>
      </c>
      <c r="I582" s="14">
        <v>3390.45</v>
      </c>
      <c r="J582" s="14">
        <v>3582.9</v>
      </c>
      <c r="K582" s="14">
        <v>2685.85</v>
      </c>
      <c r="L582" s="15">
        <v>693995</v>
      </c>
      <c r="M582" t="s" s="13">
        <v>6887</v>
      </c>
      <c r="N582" s="15">
        <v>79906</v>
      </c>
      <c r="O582" s="17" cm="1">
        <f t="array" ref="O582">(H582-H581)/H581</f>
        <v>0.00740872451398767</v>
      </c>
      <c r="P582" s="8"/>
      <c r="Q582" s="8"/>
    </row>
    <row r="583" ht="13.65" customHeight="1">
      <c r="A583" s="12">
        <v>45114</v>
      </c>
      <c r="B583" t="s" s="13">
        <v>22</v>
      </c>
      <c r="C583" s="14">
        <v>3385</v>
      </c>
      <c r="D583" s="14">
        <v>3414</v>
      </c>
      <c r="E583" s="14">
        <v>3337.15</v>
      </c>
      <c r="F583" s="14">
        <v>3399.4</v>
      </c>
      <c r="G583" s="14">
        <v>3346.75</v>
      </c>
      <c r="H583" s="14">
        <v>3343.7</v>
      </c>
      <c r="I583" s="14">
        <v>3370.36</v>
      </c>
      <c r="J583" s="14">
        <v>3582.9</v>
      </c>
      <c r="K583" s="14">
        <v>2685.85</v>
      </c>
      <c r="L583" s="15">
        <v>620761</v>
      </c>
      <c r="M583" t="s" s="13">
        <v>6888</v>
      </c>
      <c r="N583" s="15">
        <v>68126</v>
      </c>
      <c r="O583" s="17" cm="1">
        <f t="array" ref="O583">(H583-H582)/H582</f>
        <v>-0.0163852444549038</v>
      </c>
      <c r="P583" s="8"/>
      <c r="Q583" s="8"/>
    </row>
    <row r="584" ht="13.65" customHeight="1">
      <c r="A584" s="18">
        <v>45117</v>
      </c>
      <c r="B584" t="s" s="13">
        <v>22</v>
      </c>
      <c r="C584" s="14">
        <v>3345</v>
      </c>
      <c r="D584" s="14">
        <v>3372.05</v>
      </c>
      <c r="E584" s="14">
        <v>3293.95</v>
      </c>
      <c r="F584" s="14">
        <v>3343.7</v>
      </c>
      <c r="G584" s="14">
        <v>3336.65</v>
      </c>
      <c r="H584" s="14">
        <v>3343.15</v>
      </c>
      <c r="I584" s="14">
        <v>3332.34</v>
      </c>
      <c r="J584" s="14">
        <v>3582.9</v>
      </c>
      <c r="K584" s="14">
        <v>2685.85</v>
      </c>
      <c r="L584" s="15">
        <v>548838</v>
      </c>
      <c r="M584" t="s" s="13">
        <v>6889</v>
      </c>
      <c r="N584" s="15">
        <v>58406</v>
      </c>
      <c r="O584" s="17" cm="1">
        <f t="array" ref="O584">(H584-H583)/H583</f>
        <v>-0.00016448844094865</v>
      </c>
      <c r="P584" s="8"/>
      <c r="Q584" s="8"/>
    </row>
    <row r="585" ht="13.65" customHeight="1">
      <c r="A585" s="18">
        <v>45118</v>
      </c>
      <c r="B585" t="s" s="13">
        <v>22</v>
      </c>
      <c r="C585" s="14">
        <v>3349.95</v>
      </c>
      <c r="D585" s="14">
        <v>3399.95</v>
      </c>
      <c r="E585" s="14">
        <v>3345</v>
      </c>
      <c r="F585" s="14">
        <v>3343.15</v>
      </c>
      <c r="G585" s="14">
        <v>3388.1</v>
      </c>
      <c r="H585" s="14">
        <v>3392.55</v>
      </c>
      <c r="I585" s="14">
        <v>3383.36</v>
      </c>
      <c r="J585" s="14">
        <v>3582.9</v>
      </c>
      <c r="K585" s="14">
        <v>2685.85</v>
      </c>
      <c r="L585" s="15">
        <v>772158</v>
      </c>
      <c r="M585" t="s" s="13">
        <v>6890</v>
      </c>
      <c r="N585" s="15">
        <v>69821</v>
      </c>
      <c r="O585" s="17" cm="1">
        <f t="array" ref="O585">(H585-H584)/H584</f>
        <v>0.0147764832568087</v>
      </c>
      <c r="P585" s="8"/>
      <c r="Q585" s="8"/>
    </row>
    <row r="586" ht="13.65" customHeight="1">
      <c r="A586" s="18">
        <v>45119</v>
      </c>
      <c r="B586" t="s" s="13">
        <v>22</v>
      </c>
      <c r="C586" s="14">
        <v>3408</v>
      </c>
      <c r="D586" s="14">
        <v>3414.4</v>
      </c>
      <c r="E586" s="14">
        <v>3362.25</v>
      </c>
      <c r="F586" s="14">
        <v>3392.55</v>
      </c>
      <c r="G586" s="14">
        <v>3403</v>
      </c>
      <c r="H586" s="14">
        <v>3406.75</v>
      </c>
      <c r="I586" s="14">
        <v>3393.64</v>
      </c>
      <c r="J586" s="14">
        <v>3582.9</v>
      </c>
      <c r="K586" s="14">
        <v>2685.85</v>
      </c>
      <c r="L586" s="15">
        <v>1025127</v>
      </c>
      <c r="M586" t="s" s="13">
        <v>6891</v>
      </c>
      <c r="N586" s="15">
        <v>85655</v>
      </c>
      <c r="O586" s="17" cm="1">
        <f t="array" ref="O586">(H586-H585)/H585</f>
        <v>0.00418564206865043</v>
      </c>
      <c r="P586" s="8"/>
      <c r="Q586" s="8"/>
    </row>
    <row r="587" ht="13.65" customHeight="1">
      <c r="A587" s="18">
        <v>45120</v>
      </c>
      <c r="B587" t="s" s="13">
        <v>22</v>
      </c>
      <c r="C587" s="14">
        <v>3425</v>
      </c>
      <c r="D587" s="14">
        <v>3425</v>
      </c>
      <c r="E587" s="14">
        <v>3384.35</v>
      </c>
      <c r="F587" s="14">
        <v>3406.75</v>
      </c>
      <c r="G587" s="14">
        <v>3401</v>
      </c>
      <c r="H587" s="14">
        <v>3398.55</v>
      </c>
      <c r="I587" s="14">
        <v>3399.81</v>
      </c>
      <c r="J587" s="14">
        <v>3582.9</v>
      </c>
      <c r="K587" s="14">
        <v>2685.85</v>
      </c>
      <c r="L587" s="15">
        <v>750126</v>
      </c>
      <c r="M587" t="s" s="13">
        <v>6892</v>
      </c>
      <c r="N587" s="15">
        <v>65376</v>
      </c>
      <c r="O587" s="17" cm="1">
        <f t="array" ref="O587">(H587-H586)/H586</f>
        <v>-0.00240698613047626</v>
      </c>
      <c r="P587" s="8"/>
      <c r="Q587" s="8"/>
    </row>
    <row r="588" ht="13.65" customHeight="1">
      <c r="A588" s="18">
        <v>45121</v>
      </c>
      <c r="B588" t="s" s="13">
        <v>22</v>
      </c>
      <c r="C588" s="14">
        <v>3398.55</v>
      </c>
      <c r="D588" s="14">
        <v>3439</v>
      </c>
      <c r="E588" s="14">
        <v>3387</v>
      </c>
      <c r="F588" s="14">
        <v>3398.55</v>
      </c>
      <c r="G588" s="14">
        <v>3425</v>
      </c>
      <c r="H588" s="14">
        <v>3429.75</v>
      </c>
      <c r="I588" s="14">
        <v>3412.09</v>
      </c>
      <c r="J588" s="14">
        <v>3582.9</v>
      </c>
      <c r="K588" s="14">
        <v>2685.85</v>
      </c>
      <c r="L588" s="15">
        <v>832843</v>
      </c>
      <c r="M588" t="s" s="13">
        <v>6893</v>
      </c>
      <c r="N588" s="15">
        <v>77445</v>
      </c>
      <c r="O588" s="17" cm="1">
        <f t="array" ref="O588">(H588-H587)/H587</f>
        <v>0.009180385752747501</v>
      </c>
      <c r="P588" s="8"/>
      <c r="Q588" s="8"/>
    </row>
    <row r="589" ht="13.65" customHeight="1">
      <c r="A589" s="18">
        <v>45124</v>
      </c>
      <c r="B589" t="s" s="13">
        <v>22</v>
      </c>
      <c r="C589" s="14">
        <v>3429.75</v>
      </c>
      <c r="D589" s="14">
        <v>3473</v>
      </c>
      <c r="E589" s="14">
        <v>3425</v>
      </c>
      <c r="F589" s="14">
        <v>3429.75</v>
      </c>
      <c r="G589" s="14">
        <v>3458.15</v>
      </c>
      <c r="H589" s="14">
        <v>3460.4</v>
      </c>
      <c r="I589" s="14">
        <v>3449.54</v>
      </c>
      <c r="J589" s="14">
        <v>3582.9</v>
      </c>
      <c r="K589" s="14">
        <v>2685.85</v>
      </c>
      <c r="L589" s="15">
        <v>817694</v>
      </c>
      <c r="M589" t="s" s="13">
        <v>6894</v>
      </c>
      <c r="N589" s="15">
        <v>73239</v>
      </c>
      <c r="O589" s="17" cm="1">
        <f t="array" ref="O589">(H589-H588)/H588</f>
        <v>0.00893651140753699</v>
      </c>
      <c r="P589" s="8"/>
      <c r="Q589" s="8"/>
    </row>
    <row r="590" ht="13.65" customHeight="1">
      <c r="A590" s="18">
        <v>45125</v>
      </c>
      <c r="B590" t="s" s="13">
        <v>22</v>
      </c>
      <c r="C590" s="14">
        <v>3460</v>
      </c>
      <c r="D590" s="14">
        <v>3523</v>
      </c>
      <c r="E590" s="14">
        <v>3455.6</v>
      </c>
      <c r="F590" s="14">
        <v>3460.4</v>
      </c>
      <c r="G590" s="14">
        <v>3514.45</v>
      </c>
      <c r="H590" s="14">
        <v>3513.45</v>
      </c>
      <c r="I590" s="14">
        <v>3495.91</v>
      </c>
      <c r="J590" s="14">
        <v>3582.9</v>
      </c>
      <c r="K590" s="14">
        <v>2685.85</v>
      </c>
      <c r="L590" s="15">
        <v>962485</v>
      </c>
      <c r="M590" t="s" s="13">
        <v>6895</v>
      </c>
      <c r="N590" s="15">
        <v>89846</v>
      </c>
      <c r="O590" s="17" cm="1">
        <f t="array" ref="O590">(H590-H589)/H589</f>
        <v>0.0153305976187724</v>
      </c>
      <c r="P590" s="8"/>
      <c r="Q590" s="8"/>
    </row>
    <row r="591" ht="13.65" customHeight="1">
      <c r="A591" s="18">
        <v>45126</v>
      </c>
      <c r="B591" t="s" s="13">
        <v>22</v>
      </c>
      <c r="C591" s="14">
        <v>3520</v>
      </c>
      <c r="D591" s="14">
        <v>3530</v>
      </c>
      <c r="E591" s="14">
        <v>3482.5</v>
      </c>
      <c r="F591" s="14">
        <v>3513.45</v>
      </c>
      <c r="G591" s="14">
        <v>3515</v>
      </c>
      <c r="H591" s="14">
        <v>3514.65</v>
      </c>
      <c r="I591" s="14">
        <v>3503.97</v>
      </c>
      <c r="J591" s="14">
        <v>3582.9</v>
      </c>
      <c r="K591" s="14">
        <v>2685.85</v>
      </c>
      <c r="L591" s="15">
        <v>620289</v>
      </c>
      <c r="M591" t="s" s="13">
        <v>6896</v>
      </c>
      <c r="N591" s="15">
        <v>60461</v>
      </c>
      <c r="O591" s="17" cm="1">
        <f t="array" ref="O591">(H591-H590)/H590</f>
        <v>0.000341544635614567</v>
      </c>
      <c r="P591" s="8"/>
      <c r="Q591" s="8"/>
    </row>
    <row r="592" ht="13.65" customHeight="1">
      <c r="A592" s="18">
        <v>45127</v>
      </c>
      <c r="B592" t="s" s="13">
        <v>22</v>
      </c>
      <c r="C592" s="14">
        <v>3510.05</v>
      </c>
      <c r="D592" s="14">
        <v>3535</v>
      </c>
      <c r="E592" s="14">
        <v>3494.95</v>
      </c>
      <c r="F592" s="14">
        <v>3514.65</v>
      </c>
      <c r="G592" s="14">
        <v>3520.2</v>
      </c>
      <c r="H592" s="14">
        <v>3526</v>
      </c>
      <c r="I592" s="14">
        <v>3520.14</v>
      </c>
      <c r="J592" s="14">
        <v>3582.9</v>
      </c>
      <c r="K592" s="14">
        <v>2685.85</v>
      </c>
      <c r="L592" s="15">
        <v>589848</v>
      </c>
      <c r="M592" t="s" s="13">
        <v>6897</v>
      </c>
      <c r="N592" s="15">
        <v>58248</v>
      </c>
      <c r="O592" s="17" cm="1">
        <f t="array" ref="O592">(H592-H591)/H591</f>
        <v>0.00322934004808445</v>
      </c>
      <c r="P592" s="8"/>
      <c r="Q592" s="8"/>
    </row>
    <row r="593" ht="13.65" customHeight="1">
      <c r="A593" s="18">
        <v>45128</v>
      </c>
      <c r="B593" t="s" s="13">
        <v>22</v>
      </c>
      <c r="C593" s="14">
        <v>3535.95</v>
      </c>
      <c r="D593" s="14">
        <v>3537.95</v>
      </c>
      <c r="E593" s="14">
        <v>3505</v>
      </c>
      <c r="F593" s="14">
        <v>3526</v>
      </c>
      <c r="G593" s="14">
        <v>3516</v>
      </c>
      <c r="H593" s="14">
        <v>3517.7</v>
      </c>
      <c r="I593" s="14">
        <v>3517.09</v>
      </c>
      <c r="J593" s="14">
        <v>3582.9</v>
      </c>
      <c r="K593" s="14">
        <v>2685.85</v>
      </c>
      <c r="L593" s="15">
        <v>857975</v>
      </c>
      <c r="M593" t="s" s="13">
        <v>6898</v>
      </c>
      <c r="N593" s="15">
        <v>75871</v>
      </c>
      <c r="O593" s="17" cm="1">
        <f t="array" ref="O593">(H593-H592)/H592</f>
        <v>-0.0023539421440726</v>
      </c>
      <c r="P593" s="8"/>
      <c r="Q593" s="8"/>
    </row>
    <row r="594" ht="13.65" customHeight="1">
      <c r="A594" s="18">
        <v>45131</v>
      </c>
      <c r="B594" t="s" s="13">
        <v>22</v>
      </c>
      <c r="C594" s="14">
        <v>3506</v>
      </c>
      <c r="D594" s="14">
        <v>3568</v>
      </c>
      <c r="E594" s="14">
        <v>3498.5</v>
      </c>
      <c r="F594" s="14">
        <v>3517.7</v>
      </c>
      <c r="G594" s="14">
        <v>3544.65</v>
      </c>
      <c r="H594" s="14">
        <v>3543.7</v>
      </c>
      <c r="I594" s="14">
        <v>3533.43</v>
      </c>
      <c r="J594" s="14">
        <v>3582.9</v>
      </c>
      <c r="K594" s="14">
        <v>2685.85</v>
      </c>
      <c r="L594" s="15">
        <v>680246</v>
      </c>
      <c r="M594" t="s" s="13">
        <v>6899</v>
      </c>
      <c r="N594" s="15">
        <v>58792</v>
      </c>
      <c r="O594" s="17" cm="1">
        <f t="array" ref="O594">(H594-H593)/H593</f>
        <v>0.00739119310913381</v>
      </c>
      <c r="P594" s="8"/>
      <c r="Q594" s="8"/>
    </row>
    <row r="595" ht="13.65" customHeight="1">
      <c r="A595" s="18">
        <v>45132</v>
      </c>
      <c r="B595" t="s" s="13">
        <v>22</v>
      </c>
      <c r="C595" s="14">
        <v>3547.9</v>
      </c>
      <c r="D595" s="14">
        <v>3547.9</v>
      </c>
      <c r="E595" s="14">
        <v>3350</v>
      </c>
      <c r="F595" s="14">
        <v>3543.7</v>
      </c>
      <c r="G595" s="14">
        <v>3395</v>
      </c>
      <c r="H595" s="14">
        <v>3400.4</v>
      </c>
      <c r="I595" s="14">
        <v>3427.15</v>
      </c>
      <c r="J595" s="14">
        <v>3582.9</v>
      </c>
      <c r="K595" s="14">
        <v>2685.85</v>
      </c>
      <c r="L595" s="15">
        <v>2555630</v>
      </c>
      <c r="M595" t="s" s="13">
        <v>6900</v>
      </c>
      <c r="N595" s="15">
        <v>185812</v>
      </c>
      <c r="O595" s="17" cm="1">
        <f t="array" ref="O595">(H595-H594)/H594</f>
        <v>-0.0404379603239552</v>
      </c>
      <c r="P595" s="8"/>
      <c r="Q595" s="8"/>
    </row>
    <row r="596" ht="13.65" customHeight="1">
      <c r="A596" s="18">
        <v>45133</v>
      </c>
      <c r="B596" t="s" s="13">
        <v>22</v>
      </c>
      <c r="C596" s="14">
        <v>3399.85</v>
      </c>
      <c r="D596" s="14">
        <v>3413</v>
      </c>
      <c r="E596" s="14">
        <v>3365</v>
      </c>
      <c r="F596" s="14">
        <v>3400.4</v>
      </c>
      <c r="G596" s="14">
        <v>3365</v>
      </c>
      <c r="H596" s="14">
        <v>3373</v>
      </c>
      <c r="I596" s="14">
        <v>3389.23</v>
      </c>
      <c r="J596" s="14">
        <v>3582.9</v>
      </c>
      <c r="K596" s="14">
        <v>2685.85</v>
      </c>
      <c r="L596" s="15">
        <v>959076</v>
      </c>
      <c r="M596" t="s" s="13">
        <v>6901</v>
      </c>
      <c r="N596" s="15">
        <v>100287</v>
      </c>
      <c r="O596" s="17" cm="1">
        <f t="array" ref="O596">(H596-H595)/H595</f>
        <v>-0.00805787554405364</v>
      </c>
      <c r="P596" s="8"/>
      <c r="Q596" s="8"/>
    </row>
    <row r="597" ht="13.65" customHeight="1">
      <c r="A597" s="18">
        <v>45134</v>
      </c>
      <c r="B597" t="s" s="13">
        <v>22</v>
      </c>
      <c r="C597" s="14">
        <v>3390</v>
      </c>
      <c r="D597" s="14">
        <v>3414</v>
      </c>
      <c r="E597" s="14">
        <v>3351</v>
      </c>
      <c r="F597" s="14">
        <v>3373</v>
      </c>
      <c r="G597" s="14">
        <v>3383</v>
      </c>
      <c r="H597" s="14">
        <v>3369.4</v>
      </c>
      <c r="I597" s="14">
        <v>3376.86</v>
      </c>
      <c r="J597" s="14">
        <v>3582.9</v>
      </c>
      <c r="K597" s="14">
        <v>2685.85</v>
      </c>
      <c r="L597" s="15">
        <v>874078</v>
      </c>
      <c r="M597" t="s" s="13">
        <v>6902</v>
      </c>
      <c r="N597" s="15">
        <v>72854</v>
      </c>
      <c r="O597" s="17" cm="1">
        <f t="array" ref="O597">(H597-H596)/H596</f>
        <v>-0.00106729914023125</v>
      </c>
      <c r="P597" s="8"/>
      <c r="Q597" s="8"/>
    </row>
    <row r="598" ht="13.65" customHeight="1">
      <c r="A598" s="18">
        <v>45135</v>
      </c>
      <c r="B598" t="s" s="13">
        <v>22</v>
      </c>
      <c r="C598" s="14">
        <v>3375</v>
      </c>
      <c r="D598" s="14">
        <v>3399</v>
      </c>
      <c r="E598" s="14">
        <v>3364.5</v>
      </c>
      <c r="F598" s="14">
        <v>3369.4</v>
      </c>
      <c r="G598" s="14">
        <v>3394.4</v>
      </c>
      <c r="H598" s="14">
        <v>3390.7</v>
      </c>
      <c r="I598" s="14">
        <v>3382.56</v>
      </c>
      <c r="J598" s="14">
        <v>3582.9</v>
      </c>
      <c r="K598" s="14">
        <v>2685.85</v>
      </c>
      <c r="L598" s="15">
        <v>553750</v>
      </c>
      <c r="M598" t="s" s="13">
        <v>6903</v>
      </c>
      <c r="N598" s="15">
        <v>55598</v>
      </c>
      <c r="O598" s="17" cm="1">
        <f t="array" ref="O598">(H598-H597)/H597</f>
        <v>0.0063216002849172</v>
      </c>
      <c r="P598" s="8"/>
      <c r="Q598" s="8"/>
    </row>
    <row r="599" ht="13.65" customHeight="1">
      <c r="A599" s="18">
        <v>45138</v>
      </c>
      <c r="B599" t="s" s="13">
        <v>22</v>
      </c>
      <c r="C599" s="14">
        <v>3323.2</v>
      </c>
      <c r="D599" s="14">
        <v>3388</v>
      </c>
      <c r="E599" s="14">
        <v>3323.15</v>
      </c>
      <c r="F599" s="14">
        <v>3390.7</v>
      </c>
      <c r="G599" s="14">
        <v>3375.15</v>
      </c>
      <c r="H599" s="14">
        <v>3377.35</v>
      </c>
      <c r="I599" s="14">
        <v>3361.7</v>
      </c>
      <c r="J599" s="14">
        <v>3582.9</v>
      </c>
      <c r="K599" s="14">
        <v>2685.85</v>
      </c>
      <c r="L599" s="15">
        <v>933890</v>
      </c>
      <c r="M599" t="s" s="13">
        <v>6904</v>
      </c>
      <c r="N599" s="15">
        <v>92632</v>
      </c>
      <c r="O599" s="17" cm="1">
        <f t="array" ref="O599">(H599-H598)/H598</f>
        <v>-0.00393724009791488</v>
      </c>
      <c r="P599" s="8"/>
      <c r="Q599" s="8"/>
    </row>
    <row r="600" ht="13.65" customHeight="1">
      <c r="A600" s="12">
        <v>45139</v>
      </c>
      <c r="B600" t="s" s="13">
        <v>22</v>
      </c>
      <c r="C600" s="14">
        <v>3372</v>
      </c>
      <c r="D600" s="14">
        <v>3385</v>
      </c>
      <c r="E600" s="14">
        <v>3338</v>
      </c>
      <c r="F600" s="14">
        <v>3377.35</v>
      </c>
      <c r="G600" s="14">
        <v>3344</v>
      </c>
      <c r="H600" s="14">
        <v>3342.95</v>
      </c>
      <c r="I600" s="14">
        <v>3349.67</v>
      </c>
      <c r="J600" s="14">
        <v>3582.9</v>
      </c>
      <c r="K600" s="14">
        <v>2685.85</v>
      </c>
      <c r="L600" s="15">
        <v>698667</v>
      </c>
      <c r="M600" t="s" s="13">
        <v>6905</v>
      </c>
      <c r="N600" s="15">
        <v>58927</v>
      </c>
      <c r="O600" s="17" cm="1">
        <f t="array" ref="O600">(H600-H599)/H599</f>
        <v>-0.010185500466342</v>
      </c>
      <c r="P600" s="8"/>
      <c r="Q600" s="8"/>
    </row>
    <row r="601" ht="13.65" customHeight="1">
      <c r="A601" s="12">
        <v>45140</v>
      </c>
      <c r="B601" t="s" s="13">
        <v>22</v>
      </c>
      <c r="C601" s="14">
        <v>3341.2</v>
      </c>
      <c r="D601" s="14">
        <v>3371.95</v>
      </c>
      <c r="E601" s="14">
        <v>3330.65</v>
      </c>
      <c r="F601" s="14">
        <v>3342.95</v>
      </c>
      <c r="G601" s="14">
        <v>3361</v>
      </c>
      <c r="H601" s="14">
        <v>3362.9</v>
      </c>
      <c r="I601" s="14">
        <v>3352.75</v>
      </c>
      <c r="J601" s="14">
        <v>3582.9</v>
      </c>
      <c r="K601" s="14">
        <v>2685.85</v>
      </c>
      <c r="L601" s="15">
        <v>857218</v>
      </c>
      <c r="M601" t="s" s="13">
        <v>6906</v>
      </c>
      <c r="N601" s="15">
        <v>63102</v>
      </c>
      <c r="O601" s="17" cm="1">
        <f t="array" ref="O601">(H601-H600)/H600</f>
        <v>0.00596778294620021</v>
      </c>
      <c r="P601" s="8"/>
      <c r="Q601" s="8"/>
    </row>
    <row r="602" ht="13.65" customHeight="1">
      <c r="A602" s="12">
        <v>45141</v>
      </c>
      <c r="B602" t="s" s="13">
        <v>22</v>
      </c>
      <c r="C602" s="14">
        <v>3370</v>
      </c>
      <c r="D602" s="14">
        <v>3379.95</v>
      </c>
      <c r="E602" s="14">
        <v>3317.95</v>
      </c>
      <c r="F602" s="14">
        <v>3362.9</v>
      </c>
      <c r="G602" s="14">
        <v>3335</v>
      </c>
      <c r="H602" s="14">
        <v>3336.35</v>
      </c>
      <c r="I602" s="14">
        <v>3339.06</v>
      </c>
      <c r="J602" s="14">
        <v>3582.9</v>
      </c>
      <c r="K602" s="14">
        <v>2685.85</v>
      </c>
      <c r="L602" s="15">
        <v>711067</v>
      </c>
      <c r="M602" t="s" s="13">
        <v>6907</v>
      </c>
      <c r="N602" s="15">
        <v>56957</v>
      </c>
      <c r="O602" s="17" cm="1">
        <f t="array" ref="O602">(H602-H601)/H601</f>
        <v>-0.00789497160189122</v>
      </c>
      <c r="P602" s="8"/>
      <c r="Q602" s="8"/>
    </row>
    <row r="603" ht="13.65" customHeight="1">
      <c r="A603" s="12">
        <v>45142</v>
      </c>
      <c r="B603" t="s" s="13">
        <v>22</v>
      </c>
      <c r="C603" s="14">
        <v>3338.15</v>
      </c>
      <c r="D603" s="14">
        <v>3373.3</v>
      </c>
      <c r="E603" s="14">
        <v>3323</v>
      </c>
      <c r="F603" s="14">
        <v>3336.35</v>
      </c>
      <c r="G603" s="14">
        <v>3337.6</v>
      </c>
      <c r="H603" s="14">
        <v>3339.65</v>
      </c>
      <c r="I603" s="14">
        <v>3345.05</v>
      </c>
      <c r="J603" s="14">
        <v>3582.9</v>
      </c>
      <c r="K603" s="14">
        <v>2685.85</v>
      </c>
      <c r="L603" s="15">
        <v>519248</v>
      </c>
      <c r="M603" t="s" s="13">
        <v>6908</v>
      </c>
      <c r="N603" s="15">
        <v>49270</v>
      </c>
      <c r="O603" s="17" cm="1">
        <f t="array" ref="O603">(H603-H602)/H602</f>
        <v>0.000989104860101608</v>
      </c>
      <c r="P603" s="8"/>
      <c r="Q603" s="8"/>
    </row>
    <row r="604" ht="13.65" customHeight="1">
      <c r="A604" s="12">
        <v>45145</v>
      </c>
      <c r="B604" t="s" s="13">
        <v>22</v>
      </c>
      <c r="C604" s="14">
        <v>3316.05</v>
      </c>
      <c r="D604" s="14">
        <v>3350</v>
      </c>
      <c r="E604" s="14">
        <v>3316</v>
      </c>
      <c r="F604" s="14">
        <v>3339.65</v>
      </c>
      <c r="G604" s="14">
        <v>3344</v>
      </c>
      <c r="H604" s="14">
        <v>3343</v>
      </c>
      <c r="I604" s="14">
        <v>3337.51</v>
      </c>
      <c r="J604" s="14">
        <v>3582.9</v>
      </c>
      <c r="K604" s="14">
        <v>2685.85</v>
      </c>
      <c r="L604" s="15">
        <v>360358</v>
      </c>
      <c r="M604" t="s" s="13">
        <v>6909</v>
      </c>
      <c r="N604" s="15">
        <v>40014</v>
      </c>
      <c r="O604" s="17" cm="1">
        <f t="array" ref="O604">(H604-H603)/H603</f>
        <v>0.00100309912715404</v>
      </c>
      <c r="P604" s="8"/>
      <c r="Q604" s="8"/>
    </row>
    <row r="605" ht="13.65" customHeight="1">
      <c r="A605" s="12">
        <v>45146</v>
      </c>
      <c r="B605" t="s" s="13">
        <v>22</v>
      </c>
      <c r="C605" s="14">
        <v>3343</v>
      </c>
      <c r="D605" s="14">
        <v>3359.95</v>
      </c>
      <c r="E605" s="14">
        <v>3332.65</v>
      </c>
      <c r="F605" s="14">
        <v>3343</v>
      </c>
      <c r="G605" s="14">
        <v>3342</v>
      </c>
      <c r="H605" s="14">
        <v>3348.05</v>
      </c>
      <c r="I605" s="14">
        <v>3346.67</v>
      </c>
      <c r="J605" s="14">
        <v>3582.9</v>
      </c>
      <c r="K605" s="14">
        <v>2685.85</v>
      </c>
      <c r="L605" s="15">
        <v>500258</v>
      </c>
      <c r="M605" t="s" s="13">
        <v>6910</v>
      </c>
      <c r="N605" s="15">
        <v>67902</v>
      </c>
      <c r="O605" s="17" cm="1">
        <f t="array" ref="O605">(H605-H604)/H604</f>
        <v>0.00151061920430751</v>
      </c>
      <c r="P605" s="8"/>
      <c r="Q605" s="8"/>
    </row>
    <row r="606" ht="13.65" customHeight="1">
      <c r="A606" s="12">
        <v>45147</v>
      </c>
      <c r="B606" t="s" s="13">
        <v>22</v>
      </c>
      <c r="C606" s="14">
        <v>3332.55</v>
      </c>
      <c r="D606" s="14">
        <v>3356.95</v>
      </c>
      <c r="E606" s="14">
        <v>3303</v>
      </c>
      <c r="F606" s="14">
        <v>3348.05</v>
      </c>
      <c r="G606" s="14">
        <v>3325.2</v>
      </c>
      <c r="H606" s="14">
        <v>3331</v>
      </c>
      <c r="I606" s="14">
        <v>3325.96</v>
      </c>
      <c r="J606" s="14">
        <v>3582.9</v>
      </c>
      <c r="K606" s="14">
        <v>2685.85</v>
      </c>
      <c r="L606" s="15">
        <v>643222</v>
      </c>
      <c r="M606" t="s" s="13">
        <v>6911</v>
      </c>
      <c r="N606" s="15">
        <v>68048</v>
      </c>
      <c r="O606" s="17" cm="1">
        <f t="array" ref="O606">(H606-H605)/H605</f>
        <v>-0.0050925165394782</v>
      </c>
      <c r="P606" s="8"/>
      <c r="Q606" s="8"/>
    </row>
    <row r="607" ht="13.65" customHeight="1">
      <c r="A607" s="18">
        <v>45148</v>
      </c>
      <c r="B607" t="s" s="13">
        <v>22</v>
      </c>
      <c r="C607" s="14">
        <v>3310</v>
      </c>
      <c r="D607" s="14">
        <v>3320</v>
      </c>
      <c r="E607" s="14">
        <v>3230</v>
      </c>
      <c r="F607" s="14">
        <v>3331</v>
      </c>
      <c r="G607" s="14">
        <v>3231</v>
      </c>
      <c r="H607" s="14">
        <v>3237.9</v>
      </c>
      <c r="I607" s="14">
        <v>3253.22</v>
      </c>
      <c r="J607" s="14">
        <v>3582.9</v>
      </c>
      <c r="K607" s="14">
        <v>2685.85</v>
      </c>
      <c r="L607" s="15">
        <v>1253219</v>
      </c>
      <c r="M607" t="s" s="13">
        <v>6912</v>
      </c>
      <c r="N607" s="15">
        <v>124013</v>
      </c>
      <c r="O607" s="17" cm="1">
        <f t="array" ref="O607">(H607-H606)/H606</f>
        <v>-0.0279495646952867</v>
      </c>
      <c r="P607" s="8"/>
      <c r="Q607" s="8"/>
    </row>
    <row r="608" ht="13.65" customHeight="1">
      <c r="A608" s="18">
        <v>45149</v>
      </c>
      <c r="B608" t="s" s="13">
        <v>22</v>
      </c>
      <c r="C608" s="14">
        <v>3237.9</v>
      </c>
      <c r="D608" s="14">
        <v>3248.95</v>
      </c>
      <c r="E608" s="14">
        <v>3180</v>
      </c>
      <c r="F608" s="14">
        <v>3237.9</v>
      </c>
      <c r="G608" s="14">
        <v>3184.95</v>
      </c>
      <c r="H608" s="14">
        <v>3185.35</v>
      </c>
      <c r="I608" s="14">
        <v>3199.9</v>
      </c>
      <c r="J608" s="14">
        <v>3582.9</v>
      </c>
      <c r="K608" s="14">
        <v>2685.85</v>
      </c>
      <c r="L608" s="15">
        <v>919023</v>
      </c>
      <c r="M608" t="s" s="13">
        <v>6913</v>
      </c>
      <c r="N608" s="15">
        <v>94902</v>
      </c>
      <c r="O608" s="17" cm="1">
        <f t="array" ref="O608">(H608-H607)/H607</f>
        <v>-0.0162296550233176</v>
      </c>
      <c r="P608" s="8"/>
      <c r="Q608" s="8"/>
    </row>
    <row r="609" ht="13.65" customHeight="1">
      <c r="A609" s="18">
        <v>45152</v>
      </c>
      <c r="B609" t="s" s="13">
        <v>22</v>
      </c>
      <c r="C609" s="14">
        <v>3185.35</v>
      </c>
      <c r="D609" s="14">
        <v>3209.9</v>
      </c>
      <c r="E609" s="14">
        <v>3152.25</v>
      </c>
      <c r="F609" s="14">
        <v>3185.35</v>
      </c>
      <c r="G609" s="14">
        <v>3198</v>
      </c>
      <c r="H609" s="14">
        <v>3202.6</v>
      </c>
      <c r="I609" s="14">
        <v>3185.32</v>
      </c>
      <c r="J609" s="14">
        <v>3582.9</v>
      </c>
      <c r="K609" s="14">
        <v>2685.85</v>
      </c>
      <c r="L609" s="15">
        <v>815534</v>
      </c>
      <c r="M609" t="s" s="13">
        <v>6914</v>
      </c>
      <c r="N609" s="15">
        <v>106204</v>
      </c>
      <c r="O609" s="17" cm="1">
        <f t="array" ref="O609">(H609-H608)/H608</f>
        <v>0.00541541745805014</v>
      </c>
      <c r="P609" s="8"/>
      <c r="Q609" s="8"/>
    </row>
    <row r="610" ht="13.65" customHeight="1">
      <c r="A610" s="18">
        <v>45154</v>
      </c>
      <c r="B610" t="s" s="13">
        <v>22</v>
      </c>
      <c r="C610" s="14">
        <v>3194.9</v>
      </c>
      <c r="D610" s="14">
        <v>3208.85</v>
      </c>
      <c r="E610" s="14">
        <v>3176.9</v>
      </c>
      <c r="F610" s="14">
        <v>3202.6</v>
      </c>
      <c r="G610" s="14">
        <v>3188.4</v>
      </c>
      <c r="H610" s="14">
        <v>3194.05</v>
      </c>
      <c r="I610" s="14">
        <v>3190.21</v>
      </c>
      <c r="J610" s="14">
        <v>3582.9</v>
      </c>
      <c r="K610" s="14">
        <v>2685.85</v>
      </c>
      <c r="L610" s="15">
        <v>597686</v>
      </c>
      <c r="M610" t="s" s="13">
        <v>6915</v>
      </c>
      <c r="N610" s="15">
        <v>54808</v>
      </c>
      <c r="O610" s="17" cm="1">
        <f t="array" ref="O610">(H610-H609)/H609</f>
        <v>-0.00266970586398551</v>
      </c>
      <c r="P610" s="8"/>
      <c r="Q610" s="8"/>
    </row>
    <row r="611" ht="13.65" customHeight="1">
      <c r="A611" s="18">
        <v>45155</v>
      </c>
      <c r="B611" t="s" s="13">
        <v>22</v>
      </c>
      <c r="C611" s="14">
        <v>3223.9</v>
      </c>
      <c r="D611" s="14">
        <v>3224</v>
      </c>
      <c r="E611" s="14">
        <v>3162</v>
      </c>
      <c r="F611" s="14">
        <v>3194.05</v>
      </c>
      <c r="G611" s="14">
        <v>3177.55</v>
      </c>
      <c r="H611" s="14">
        <v>3183.25</v>
      </c>
      <c r="I611" s="14">
        <v>3181.16</v>
      </c>
      <c r="J611" s="14">
        <v>3582.9</v>
      </c>
      <c r="K611" s="14">
        <v>2685.85</v>
      </c>
      <c r="L611" s="15">
        <v>873392</v>
      </c>
      <c r="M611" t="s" s="13">
        <v>6916</v>
      </c>
      <c r="N611" s="15">
        <v>102774</v>
      </c>
      <c r="O611" s="17" cm="1">
        <f t="array" ref="O611">(H611-H610)/H610</f>
        <v>-0.00338128708066561</v>
      </c>
      <c r="P611" s="8"/>
      <c r="Q611" s="8"/>
    </row>
    <row r="612" ht="13.65" customHeight="1">
      <c r="A612" s="18">
        <v>45156</v>
      </c>
      <c r="B612" t="s" s="13">
        <v>22</v>
      </c>
      <c r="C612" s="14">
        <v>3174.9</v>
      </c>
      <c r="D612" s="14">
        <v>3185.5</v>
      </c>
      <c r="E612" s="14">
        <v>3155</v>
      </c>
      <c r="F612" s="14">
        <v>3183.25</v>
      </c>
      <c r="G612" s="14">
        <v>3160</v>
      </c>
      <c r="H612" s="14">
        <v>3163.55</v>
      </c>
      <c r="I612" s="14">
        <v>3168.75</v>
      </c>
      <c r="J612" s="14">
        <v>3582.9</v>
      </c>
      <c r="K612" s="14">
        <v>2685.85</v>
      </c>
      <c r="L612" s="15">
        <v>592652</v>
      </c>
      <c r="M612" t="s" s="13">
        <v>6917</v>
      </c>
      <c r="N612" s="15">
        <v>59612</v>
      </c>
      <c r="O612" s="17" cm="1">
        <f t="array" ref="O612">(H612-H611)/H611</f>
        <v>-0.00618864368177177</v>
      </c>
      <c r="P612" s="8"/>
      <c r="Q612" s="8"/>
    </row>
    <row r="613" ht="13.65" customHeight="1">
      <c r="A613" s="18">
        <v>45159</v>
      </c>
      <c r="B613" t="s" s="13">
        <v>22</v>
      </c>
      <c r="C613" s="14">
        <v>3159.9</v>
      </c>
      <c r="D613" s="14">
        <v>3187.5</v>
      </c>
      <c r="E613" s="14">
        <v>3152.15</v>
      </c>
      <c r="F613" s="14">
        <v>3163.55</v>
      </c>
      <c r="G613" s="14">
        <v>3184</v>
      </c>
      <c r="H613" s="14">
        <v>3182.3</v>
      </c>
      <c r="I613" s="14">
        <v>3172.66</v>
      </c>
      <c r="J613" s="14">
        <v>3582.9</v>
      </c>
      <c r="K613" s="14">
        <v>2685.85</v>
      </c>
      <c r="L613" s="15">
        <v>353330</v>
      </c>
      <c r="M613" t="s" s="13">
        <v>6918</v>
      </c>
      <c r="N613" s="15">
        <v>45808</v>
      </c>
      <c r="O613" s="17" cm="1">
        <f t="array" ref="O613">(H613-H612)/H612</f>
        <v>0.00592688593510455</v>
      </c>
      <c r="P613" s="8"/>
      <c r="Q613" s="8"/>
    </row>
    <row r="614" ht="13.65" customHeight="1">
      <c r="A614" s="18">
        <v>45160</v>
      </c>
      <c r="B614" t="s" s="13">
        <v>22</v>
      </c>
      <c r="C614" s="14">
        <v>3198.6</v>
      </c>
      <c r="D614" s="14">
        <v>3198.6</v>
      </c>
      <c r="E614" s="14">
        <v>3171</v>
      </c>
      <c r="F614" s="14">
        <v>3182.3</v>
      </c>
      <c r="G614" s="14">
        <v>3178</v>
      </c>
      <c r="H614" s="14">
        <v>3179.7</v>
      </c>
      <c r="I614" s="14">
        <v>3182.59</v>
      </c>
      <c r="J614" s="14">
        <v>3582.9</v>
      </c>
      <c r="K614" s="14">
        <v>2685.85</v>
      </c>
      <c r="L614" s="15">
        <v>377068</v>
      </c>
      <c r="M614" t="s" s="13">
        <v>6919</v>
      </c>
      <c r="N614" s="15">
        <v>51650</v>
      </c>
      <c r="O614" s="17" cm="1">
        <f t="array" ref="O614">(H614-H613)/H613</f>
        <v>-0.0008170191371020961</v>
      </c>
      <c r="P614" s="8"/>
      <c r="Q614" s="8"/>
    </row>
    <row r="615" ht="13.65" customHeight="1">
      <c r="A615" s="18">
        <v>45161</v>
      </c>
      <c r="B615" t="s" s="13">
        <v>22</v>
      </c>
      <c r="C615" s="14">
        <v>3186</v>
      </c>
      <c r="D615" s="14">
        <v>3196</v>
      </c>
      <c r="E615" s="14">
        <v>3165.25</v>
      </c>
      <c r="F615" s="14">
        <v>3179.7</v>
      </c>
      <c r="G615" s="14">
        <v>3167.75</v>
      </c>
      <c r="H615" s="14">
        <v>3168.8</v>
      </c>
      <c r="I615" s="14">
        <v>3177.5</v>
      </c>
      <c r="J615" s="14">
        <v>3582.9</v>
      </c>
      <c r="K615" s="14">
        <v>2685.85</v>
      </c>
      <c r="L615" s="15">
        <v>370811</v>
      </c>
      <c r="M615" t="s" s="13">
        <v>6920</v>
      </c>
      <c r="N615" s="15">
        <v>39159</v>
      </c>
      <c r="O615" s="17" cm="1">
        <f t="array" ref="O615">(H615-H614)/H614</f>
        <v>-0.00342799635185709</v>
      </c>
      <c r="P615" s="8"/>
      <c r="Q615" s="8"/>
    </row>
    <row r="616" ht="13.65" customHeight="1">
      <c r="A616" s="18">
        <v>45162</v>
      </c>
      <c r="B616" t="s" s="13">
        <v>22</v>
      </c>
      <c r="C616" s="14">
        <v>3185</v>
      </c>
      <c r="D616" s="14">
        <v>3232.9</v>
      </c>
      <c r="E616" s="14">
        <v>3170.9</v>
      </c>
      <c r="F616" s="14">
        <v>3168.8</v>
      </c>
      <c r="G616" s="14">
        <v>3225.2</v>
      </c>
      <c r="H616" s="14">
        <v>3225.6</v>
      </c>
      <c r="I616" s="14">
        <v>3214.61</v>
      </c>
      <c r="J616" s="14">
        <v>3582.9</v>
      </c>
      <c r="K616" s="14">
        <v>2685.85</v>
      </c>
      <c r="L616" s="15">
        <v>1167742</v>
      </c>
      <c r="M616" t="s" s="13">
        <v>6921</v>
      </c>
      <c r="N616" s="15">
        <v>76847</v>
      </c>
      <c r="O616" s="17" cm="1">
        <f t="array" ref="O616">(H616-H615)/H615</f>
        <v>0.0179247664731129</v>
      </c>
      <c r="P616" s="8"/>
      <c r="Q616" s="8"/>
    </row>
    <row r="617" ht="13.65" customHeight="1">
      <c r="A617" s="18">
        <v>45163</v>
      </c>
      <c r="B617" t="s" s="13">
        <v>22</v>
      </c>
      <c r="C617" s="14">
        <v>3224.9</v>
      </c>
      <c r="D617" s="14">
        <v>3265</v>
      </c>
      <c r="E617" s="14">
        <v>3216.2</v>
      </c>
      <c r="F617" s="14">
        <v>3225.6</v>
      </c>
      <c r="G617" s="14">
        <v>3255.85</v>
      </c>
      <c r="H617" s="14">
        <v>3259.3</v>
      </c>
      <c r="I617" s="14">
        <v>3245.82</v>
      </c>
      <c r="J617" s="14">
        <v>3582.9</v>
      </c>
      <c r="K617" s="14">
        <v>2685.85</v>
      </c>
      <c r="L617" s="15">
        <v>1363431</v>
      </c>
      <c r="M617" t="s" s="13">
        <v>6922</v>
      </c>
      <c r="N617" s="15">
        <v>99869</v>
      </c>
      <c r="O617" s="17" cm="1">
        <f t="array" ref="O617">(H617-H616)/H616</f>
        <v>0.0104476686507937</v>
      </c>
      <c r="P617" s="8"/>
      <c r="Q617" s="8"/>
    </row>
    <row r="618" ht="13.65" customHeight="1">
      <c r="A618" s="18">
        <v>45166</v>
      </c>
      <c r="B618" t="s" s="13">
        <v>22</v>
      </c>
      <c r="C618" s="14">
        <v>3264.95</v>
      </c>
      <c r="D618" s="14">
        <v>3272</v>
      </c>
      <c r="E618" s="14">
        <v>3231.05</v>
      </c>
      <c r="F618" s="14">
        <v>3259.3</v>
      </c>
      <c r="G618" s="14">
        <v>3264.45</v>
      </c>
      <c r="H618" s="14">
        <v>3259.7</v>
      </c>
      <c r="I618" s="14">
        <v>3258.59</v>
      </c>
      <c r="J618" s="14">
        <v>3582.9</v>
      </c>
      <c r="K618" s="14">
        <v>2685.85</v>
      </c>
      <c r="L618" s="15">
        <v>707315</v>
      </c>
      <c r="M618" t="s" s="13">
        <v>6923</v>
      </c>
      <c r="N618" s="15">
        <v>56536</v>
      </c>
      <c r="O618" s="17" cm="1">
        <f t="array" ref="O618">(H618-H617)/H617</f>
        <v>0.00012272573865554</v>
      </c>
      <c r="P618" s="8"/>
      <c r="Q618" s="8"/>
    </row>
    <row r="619" ht="13.65" customHeight="1">
      <c r="A619" s="18">
        <v>45167</v>
      </c>
      <c r="B619" t="s" s="13">
        <v>22</v>
      </c>
      <c r="C619" s="14">
        <v>3261</v>
      </c>
      <c r="D619" s="14">
        <v>3289</v>
      </c>
      <c r="E619" s="14">
        <v>3255.05</v>
      </c>
      <c r="F619" s="14">
        <v>3259.7</v>
      </c>
      <c r="G619" s="14">
        <v>3288</v>
      </c>
      <c r="H619" s="14">
        <v>3285.7</v>
      </c>
      <c r="I619" s="14">
        <v>3278.37</v>
      </c>
      <c r="J619" s="14">
        <v>3582.9</v>
      </c>
      <c r="K619" s="14">
        <v>2685.85</v>
      </c>
      <c r="L619" s="15">
        <v>533163</v>
      </c>
      <c r="M619" t="s" s="13">
        <v>6924</v>
      </c>
      <c r="N619" s="15">
        <v>48076</v>
      </c>
      <c r="O619" s="17" cm="1">
        <f t="array" ref="O619">(H619-H618)/H618</f>
        <v>0.00797619412829401</v>
      </c>
      <c r="P619" s="8"/>
      <c r="Q619" s="8"/>
    </row>
    <row r="620" ht="13.65" customHeight="1">
      <c r="A620" s="18">
        <v>45168</v>
      </c>
      <c r="B620" t="s" s="13">
        <v>22</v>
      </c>
      <c r="C620" s="14">
        <v>3301.3</v>
      </c>
      <c r="D620" s="14">
        <v>3302.85</v>
      </c>
      <c r="E620" s="14">
        <v>3276.4</v>
      </c>
      <c r="F620" s="14">
        <v>3285.7</v>
      </c>
      <c r="G620" s="14">
        <v>3284</v>
      </c>
      <c r="H620" s="14">
        <v>3294.7</v>
      </c>
      <c r="I620" s="14">
        <v>3289.66</v>
      </c>
      <c r="J620" s="14">
        <v>3582.9</v>
      </c>
      <c r="K620" s="14">
        <v>2685.85</v>
      </c>
      <c r="L620" s="15">
        <v>599080</v>
      </c>
      <c r="M620" t="s" s="13">
        <v>6925</v>
      </c>
      <c r="N620" s="15">
        <v>50537</v>
      </c>
      <c r="O620" s="17" cm="1">
        <f t="array" ref="O620">(H620-H619)/H619</f>
        <v>0.00273914234409715</v>
      </c>
      <c r="P620" s="8"/>
      <c r="Q620" s="8"/>
    </row>
    <row r="621" ht="13.65" customHeight="1">
      <c r="A621" s="18">
        <v>45169</v>
      </c>
      <c r="B621" t="s" s="13">
        <v>22</v>
      </c>
      <c r="C621" s="14">
        <v>3300.05</v>
      </c>
      <c r="D621" s="14">
        <v>3302</v>
      </c>
      <c r="E621" s="14">
        <v>3220</v>
      </c>
      <c r="F621" s="14">
        <v>3294.7</v>
      </c>
      <c r="G621" s="14">
        <v>3255</v>
      </c>
      <c r="H621" s="14">
        <v>3256.1</v>
      </c>
      <c r="I621" s="14">
        <v>3264.35</v>
      </c>
      <c r="J621" s="14">
        <v>3582.9</v>
      </c>
      <c r="K621" s="14">
        <v>2685.85</v>
      </c>
      <c r="L621" s="15">
        <v>1601967</v>
      </c>
      <c r="M621" t="s" s="13">
        <v>6926</v>
      </c>
      <c r="N621" s="15">
        <v>80059</v>
      </c>
      <c r="O621" s="17" cm="1">
        <f t="array" ref="O621">(H621-H620)/H620</f>
        <v>-0.0117157859592679</v>
      </c>
      <c r="P621" s="8"/>
      <c r="Q621" s="8"/>
    </row>
    <row r="622" ht="13.65" customHeight="1">
      <c r="A622" s="12">
        <v>45170</v>
      </c>
      <c r="B622" t="s" s="13">
        <v>22</v>
      </c>
      <c r="C622" s="14">
        <v>3241.1</v>
      </c>
      <c r="D622" s="14">
        <v>3264.2</v>
      </c>
      <c r="E622" s="14">
        <v>3217.1</v>
      </c>
      <c r="F622" s="14">
        <v>3256.1</v>
      </c>
      <c r="G622" s="14">
        <v>3260.95</v>
      </c>
      <c r="H622" s="14">
        <v>3259.55</v>
      </c>
      <c r="I622" s="14">
        <v>3244.7</v>
      </c>
      <c r="J622" s="14">
        <v>3582.9</v>
      </c>
      <c r="K622" s="14">
        <v>2685.85</v>
      </c>
      <c r="L622" s="15">
        <v>650131</v>
      </c>
      <c r="M622" t="s" s="13">
        <v>6927</v>
      </c>
      <c r="N622" s="15">
        <v>52522</v>
      </c>
      <c r="O622" s="17" cm="1">
        <f t="array" ref="O622">(H622-H621)/H621</f>
        <v>0.00105954976812751</v>
      </c>
      <c r="P622" s="8"/>
      <c r="Q622" s="8"/>
    </row>
    <row r="623" ht="13.65" customHeight="1">
      <c r="A623" s="12">
        <v>45173</v>
      </c>
      <c r="B623" t="s" s="13">
        <v>22</v>
      </c>
      <c r="C623" s="14">
        <v>3259.55</v>
      </c>
      <c r="D623" s="14">
        <v>3266.25</v>
      </c>
      <c r="E623" s="14">
        <v>3216.1</v>
      </c>
      <c r="F623" s="14">
        <v>3259.55</v>
      </c>
      <c r="G623" s="14">
        <v>3245.5</v>
      </c>
      <c r="H623" s="14">
        <v>3235.55</v>
      </c>
      <c r="I623" s="14">
        <v>3232.96</v>
      </c>
      <c r="J623" s="14">
        <v>3582.9</v>
      </c>
      <c r="K623" s="14">
        <v>2685.85</v>
      </c>
      <c r="L623" s="15">
        <v>696213</v>
      </c>
      <c r="M623" t="s" s="13">
        <v>6928</v>
      </c>
      <c r="N623" s="15">
        <v>51379</v>
      </c>
      <c r="O623" s="17" cm="1">
        <f t="array" ref="O623">(H623-H622)/H622</f>
        <v>-0.0073629795523922</v>
      </c>
      <c r="P623" s="8"/>
      <c r="Q623" s="8"/>
    </row>
    <row r="624" ht="13.65" customHeight="1">
      <c r="A624" s="12">
        <v>45174</v>
      </c>
      <c r="B624" t="s" s="13">
        <v>22</v>
      </c>
      <c r="C624" s="14">
        <v>3245</v>
      </c>
      <c r="D624" s="14">
        <v>3248.85</v>
      </c>
      <c r="E624" s="14">
        <v>3220</v>
      </c>
      <c r="F624" s="14">
        <v>3235.55</v>
      </c>
      <c r="G624" s="14">
        <v>3222</v>
      </c>
      <c r="H624" s="14">
        <v>3223.3</v>
      </c>
      <c r="I624" s="14">
        <v>3232.74</v>
      </c>
      <c r="J624" s="14">
        <v>3582.9</v>
      </c>
      <c r="K624" s="14">
        <v>2685.85</v>
      </c>
      <c r="L624" s="15">
        <v>597022</v>
      </c>
      <c r="M624" t="s" s="13">
        <v>6929</v>
      </c>
      <c r="N624" s="15">
        <v>50270</v>
      </c>
      <c r="O624" s="17" cm="1">
        <f t="array" ref="O624">(H624-H623)/H623</f>
        <v>-0.00378606419310473</v>
      </c>
      <c r="P624" s="8"/>
      <c r="Q624" s="8"/>
    </row>
    <row r="625" ht="13.65" customHeight="1">
      <c r="A625" s="12">
        <v>45175</v>
      </c>
      <c r="B625" t="s" s="13">
        <v>22</v>
      </c>
      <c r="C625" s="14">
        <v>3209</v>
      </c>
      <c r="D625" s="14">
        <v>3230</v>
      </c>
      <c r="E625" s="14">
        <v>3195</v>
      </c>
      <c r="F625" s="14">
        <v>3223.3</v>
      </c>
      <c r="G625" s="14">
        <v>3223</v>
      </c>
      <c r="H625" s="14">
        <v>3225.3</v>
      </c>
      <c r="I625" s="14">
        <v>3215.62</v>
      </c>
      <c r="J625" s="14">
        <v>3582.9</v>
      </c>
      <c r="K625" s="14">
        <v>2685.85</v>
      </c>
      <c r="L625" s="15">
        <v>754106</v>
      </c>
      <c r="M625" t="s" s="13">
        <v>6930</v>
      </c>
      <c r="N625" s="15">
        <v>64778</v>
      </c>
      <c r="O625" s="17" cm="1">
        <f t="array" ref="O625">(H625-H624)/H624</f>
        <v>0.000620482114603047</v>
      </c>
      <c r="P625" s="8"/>
      <c r="Q625" s="8"/>
    </row>
    <row r="626" ht="13.65" customHeight="1">
      <c r="A626" s="12">
        <v>45176</v>
      </c>
      <c r="B626" t="s" s="13">
        <v>22</v>
      </c>
      <c r="C626" s="14">
        <v>3225.3</v>
      </c>
      <c r="D626" s="14">
        <v>3253.75</v>
      </c>
      <c r="E626" s="14">
        <v>3201.25</v>
      </c>
      <c r="F626" s="14">
        <v>3225.3</v>
      </c>
      <c r="G626" s="14">
        <v>3246</v>
      </c>
      <c r="H626" s="14">
        <v>3246.35</v>
      </c>
      <c r="I626" s="14">
        <v>3230.65</v>
      </c>
      <c r="J626" s="14">
        <v>3582.9</v>
      </c>
      <c r="K626" s="14">
        <v>2685.85</v>
      </c>
      <c r="L626" s="15">
        <v>923108</v>
      </c>
      <c r="M626" t="s" s="13">
        <v>6931</v>
      </c>
      <c r="N626" s="15">
        <v>64965</v>
      </c>
      <c r="O626" s="17" cm="1">
        <f t="array" ref="O626">(H626-H625)/H625</f>
        <v>0.00652652466437231</v>
      </c>
      <c r="P626" s="8"/>
      <c r="Q626" s="8"/>
    </row>
    <row r="627" ht="13.65" customHeight="1">
      <c r="A627" s="12">
        <v>45177</v>
      </c>
      <c r="B627" t="s" s="13">
        <v>22</v>
      </c>
      <c r="C627" s="14">
        <v>3250.55</v>
      </c>
      <c r="D627" s="14">
        <v>3263.05</v>
      </c>
      <c r="E627" s="14">
        <v>3232</v>
      </c>
      <c r="F627" s="14">
        <v>3246.35</v>
      </c>
      <c r="G627" s="14">
        <v>3236.95</v>
      </c>
      <c r="H627" s="14">
        <v>3238.05</v>
      </c>
      <c r="I627" s="14">
        <v>3247.55</v>
      </c>
      <c r="J627" s="14">
        <v>3582.9</v>
      </c>
      <c r="K627" s="14">
        <v>2685.85</v>
      </c>
      <c r="L627" s="15">
        <v>395918</v>
      </c>
      <c r="M627" t="s" s="13">
        <v>6932</v>
      </c>
      <c r="N627" s="15">
        <v>33798</v>
      </c>
      <c r="O627" s="17" cm="1">
        <f t="array" ref="O627">(H627-H626)/H626</f>
        <v>-0.002556717544319</v>
      </c>
      <c r="P627" s="8"/>
      <c r="Q627" s="8"/>
    </row>
    <row r="628" ht="13.65" customHeight="1">
      <c r="A628" s="18">
        <v>45180</v>
      </c>
      <c r="B628" t="s" s="13">
        <v>22</v>
      </c>
      <c r="C628" s="14">
        <v>3242</v>
      </c>
      <c r="D628" s="14">
        <v>3265</v>
      </c>
      <c r="E628" s="14">
        <v>3242</v>
      </c>
      <c r="F628" s="14">
        <v>3238.05</v>
      </c>
      <c r="G628" s="14">
        <v>3260</v>
      </c>
      <c r="H628" s="14">
        <v>3259.4</v>
      </c>
      <c r="I628" s="14">
        <v>3253.7</v>
      </c>
      <c r="J628" s="14">
        <v>3582.9</v>
      </c>
      <c r="K628" s="14">
        <v>2685.85</v>
      </c>
      <c r="L628" s="15">
        <v>359345</v>
      </c>
      <c r="M628" t="s" s="13">
        <v>6933</v>
      </c>
      <c r="N628" s="15">
        <v>45263</v>
      </c>
      <c r="O628" s="17" cm="1">
        <f t="array" ref="O628">(H628-H627)/H627</f>
        <v>0.006593474467658</v>
      </c>
      <c r="P628" s="8"/>
      <c r="Q628" s="8"/>
    </row>
    <row r="629" ht="13.65" customHeight="1">
      <c r="A629" s="18">
        <v>45181</v>
      </c>
      <c r="B629" t="s" s="13">
        <v>22</v>
      </c>
      <c r="C629" s="14">
        <v>3260</v>
      </c>
      <c r="D629" s="14">
        <v>3279.8</v>
      </c>
      <c r="E629" s="14">
        <v>3243</v>
      </c>
      <c r="F629" s="14">
        <v>3259.4</v>
      </c>
      <c r="G629" s="14">
        <v>3260</v>
      </c>
      <c r="H629" s="14">
        <v>3256.85</v>
      </c>
      <c r="I629" s="14">
        <v>3262.63</v>
      </c>
      <c r="J629" s="14">
        <v>3582.9</v>
      </c>
      <c r="K629" s="14">
        <v>2685.85</v>
      </c>
      <c r="L629" s="15">
        <v>554905</v>
      </c>
      <c r="M629" t="s" s="13">
        <v>6934</v>
      </c>
      <c r="N629" s="15">
        <v>60638</v>
      </c>
      <c r="O629" s="17" cm="1">
        <f t="array" ref="O629">(H629-H628)/H628</f>
        <v>-0.00078235258022949</v>
      </c>
      <c r="P629" s="8"/>
      <c r="Q629" s="8"/>
    </row>
    <row r="630" ht="13.65" customHeight="1">
      <c r="A630" s="18">
        <v>45182</v>
      </c>
      <c r="B630" t="s" s="13">
        <v>22</v>
      </c>
      <c r="C630" s="14">
        <v>3245</v>
      </c>
      <c r="D630" s="14">
        <v>3284.65</v>
      </c>
      <c r="E630" s="14">
        <v>3225.3</v>
      </c>
      <c r="F630" s="14">
        <v>3256.85</v>
      </c>
      <c r="G630" s="14">
        <v>3269.15</v>
      </c>
      <c r="H630" s="14">
        <v>3277.75</v>
      </c>
      <c r="I630" s="14">
        <v>3258.31</v>
      </c>
      <c r="J630" s="14">
        <v>3582.9</v>
      </c>
      <c r="K630" s="14">
        <v>2685.85</v>
      </c>
      <c r="L630" s="15">
        <v>880907</v>
      </c>
      <c r="M630" t="s" s="13">
        <v>6935</v>
      </c>
      <c r="N630" s="15">
        <v>59755</v>
      </c>
      <c r="O630" s="17" cm="1">
        <f t="array" ref="O630">(H630-H629)/H629</f>
        <v>0.00641724365567957</v>
      </c>
      <c r="P630" s="8"/>
      <c r="Q630" s="8"/>
    </row>
    <row r="631" ht="13.65" customHeight="1">
      <c r="A631" s="18">
        <v>45183</v>
      </c>
      <c r="B631" t="s" s="13">
        <v>22</v>
      </c>
      <c r="C631" s="14">
        <v>3282</v>
      </c>
      <c r="D631" s="14">
        <v>3294.2</v>
      </c>
      <c r="E631" s="14">
        <v>3223.25</v>
      </c>
      <c r="F631" s="14">
        <v>3277.75</v>
      </c>
      <c r="G631" s="14">
        <v>3240</v>
      </c>
      <c r="H631" s="14">
        <v>3240.25</v>
      </c>
      <c r="I631" s="14">
        <v>3245.86</v>
      </c>
      <c r="J631" s="14">
        <v>3582.9</v>
      </c>
      <c r="K631" s="14">
        <v>2685.85</v>
      </c>
      <c r="L631" s="15">
        <v>1102554</v>
      </c>
      <c r="M631" t="s" s="13">
        <v>6936</v>
      </c>
      <c r="N631" s="15">
        <v>113167</v>
      </c>
      <c r="O631" s="17" cm="1">
        <f t="array" ref="O631">(H631-H630)/H630</f>
        <v>-0.0114407749218214</v>
      </c>
      <c r="P631" s="8"/>
      <c r="Q631" s="8"/>
    </row>
    <row r="632" ht="13.65" customHeight="1">
      <c r="A632" s="18">
        <v>45184</v>
      </c>
      <c r="B632" t="s" s="13">
        <v>22</v>
      </c>
      <c r="C632" s="14">
        <v>3235</v>
      </c>
      <c r="D632" s="14">
        <v>3240</v>
      </c>
      <c r="E632" s="14">
        <v>3185</v>
      </c>
      <c r="F632" s="14">
        <v>3240.25</v>
      </c>
      <c r="G632" s="14">
        <v>3200</v>
      </c>
      <c r="H632" s="14">
        <v>3196.65</v>
      </c>
      <c r="I632" s="14">
        <v>3198.14</v>
      </c>
      <c r="J632" s="14">
        <v>3582.9</v>
      </c>
      <c r="K632" s="14">
        <v>2685.85</v>
      </c>
      <c r="L632" s="15">
        <v>1568607</v>
      </c>
      <c r="M632" t="s" s="13">
        <v>6937</v>
      </c>
      <c r="N632" s="15">
        <v>113418</v>
      </c>
      <c r="O632" s="17" cm="1">
        <f t="array" ref="O632">(H632-H631)/H631</f>
        <v>-0.0134557518709976</v>
      </c>
      <c r="P632" s="8"/>
      <c r="Q632" s="8"/>
    </row>
    <row r="633" ht="13.65" customHeight="1">
      <c r="A633" s="18">
        <v>45187</v>
      </c>
      <c r="B633" t="s" s="13">
        <v>22</v>
      </c>
      <c r="C633" s="14">
        <v>3200</v>
      </c>
      <c r="D633" s="14">
        <v>3229.9</v>
      </c>
      <c r="E633" s="14">
        <v>3190</v>
      </c>
      <c r="F633" s="14">
        <v>3196.65</v>
      </c>
      <c r="G633" s="14">
        <v>3208</v>
      </c>
      <c r="H633" s="14">
        <v>3206.3</v>
      </c>
      <c r="I633" s="14">
        <v>3217.2</v>
      </c>
      <c r="J633" s="14">
        <v>3582.9</v>
      </c>
      <c r="K633" s="14">
        <v>2685.85</v>
      </c>
      <c r="L633" s="15">
        <v>673602</v>
      </c>
      <c r="M633" t="s" s="13">
        <v>6938</v>
      </c>
      <c r="N633" s="15">
        <v>51286</v>
      </c>
      <c r="O633" s="17" cm="1">
        <f t="array" ref="O633">(H633-H632)/H632</f>
        <v>0.00301878529085136</v>
      </c>
      <c r="P633" s="8"/>
      <c r="Q633" s="8"/>
    </row>
    <row r="634" ht="13.65" customHeight="1">
      <c r="A634" s="18">
        <v>45189</v>
      </c>
      <c r="B634" t="s" s="13">
        <v>22</v>
      </c>
      <c r="C634" s="14">
        <v>3206.3</v>
      </c>
      <c r="D634" s="14">
        <v>3228</v>
      </c>
      <c r="E634" s="14">
        <v>3195</v>
      </c>
      <c r="F634" s="14">
        <v>3206.3</v>
      </c>
      <c r="G634" s="14">
        <v>3224.5</v>
      </c>
      <c r="H634" s="14">
        <v>3214.35</v>
      </c>
      <c r="I634" s="14">
        <v>3205.78</v>
      </c>
      <c r="J634" s="14">
        <v>3582.9</v>
      </c>
      <c r="K634" s="14">
        <v>2685.85</v>
      </c>
      <c r="L634" s="15">
        <v>901084</v>
      </c>
      <c r="M634" t="s" s="13">
        <v>6939</v>
      </c>
      <c r="N634" s="15">
        <v>80782</v>
      </c>
      <c r="O634" s="17" cm="1">
        <f t="array" ref="O634">(H634-H633)/H633</f>
        <v>0.0025106820946262</v>
      </c>
      <c r="P634" s="8"/>
      <c r="Q634" s="8"/>
    </row>
    <row r="635" ht="13.65" customHeight="1">
      <c r="A635" s="18">
        <v>45190</v>
      </c>
      <c r="B635" t="s" s="13">
        <v>22</v>
      </c>
      <c r="C635" s="14">
        <v>3210</v>
      </c>
      <c r="D635" s="14">
        <v>3261.2</v>
      </c>
      <c r="E635" s="14">
        <v>3180.55</v>
      </c>
      <c r="F635" s="14">
        <v>3214.35</v>
      </c>
      <c r="G635" s="14">
        <v>3248</v>
      </c>
      <c r="H635" s="14">
        <v>3244.2</v>
      </c>
      <c r="I635" s="14">
        <v>3215.04</v>
      </c>
      <c r="J635" s="14">
        <v>3582.9</v>
      </c>
      <c r="K635" s="14">
        <v>2685.85</v>
      </c>
      <c r="L635" s="15">
        <v>845739</v>
      </c>
      <c r="M635" t="s" s="13">
        <v>6940</v>
      </c>
      <c r="N635" s="15">
        <v>91780</v>
      </c>
      <c r="O635" s="17" cm="1">
        <f t="array" ref="O635">(H635-H634)/H634</f>
        <v>0.00928648093704793</v>
      </c>
      <c r="P635" s="8"/>
      <c r="Q635" s="8"/>
    </row>
    <row r="636" ht="13.65" customHeight="1">
      <c r="A636" s="18">
        <v>45191</v>
      </c>
      <c r="B636" t="s" s="13">
        <v>22</v>
      </c>
      <c r="C636" s="14">
        <v>3234.95</v>
      </c>
      <c r="D636" s="14">
        <v>3283.6</v>
      </c>
      <c r="E636" s="14">
        <v>3221.15</v>
      </c>
      <c r="F636" s="14">
        <v>3244.2</v>
      </c>
      <c r="G636" s="14">
        <v>3280.5</v>
      </c>
      <c r="H636" s="14">
        <v>3274.85</v>
      </c>
      <c r="I636" s="14">
        <v>3262.19</v>
      </c>
      <c r="J636" s="14">
        <v>3582.9</v>
      </c>
      <c r="K636" s="14">
        <v>2685.85</v>
      </c>
      <c r="L636" s="15">
        <v>896521</v>
      </c>
      <c r="M636" t="s" s="13">
        <v>6941</v>
      </c>
      <c r="N636" s="15">
        <v>79565</v>
      </c>
      <c r="O636" s="17" cm="1">
        <f t="array" ref="O636">(H636-H635)/H635</f>
        <v>0.009447629615929969</v>
      </c>
      <c r="P636" s="8"/>
      <c r="Q636" s="8"/>
    </row>
    <row r="637" ht="13.65" customHeight="1">
      <c r="A637" s="18">
        <v>45194</v>
      </c>
      <c r="B637" t="s" s="13">
        <v>22</v>
      </c>
      <c r="C637" s="14">
        <v>3272.3</v>
      </c>
      <c r="D637" s="14">
        <v>3334.8</v>
      </c>
      <c r="E637" s="14">
        <v>3271.15</v>
      </c>
      <c r="F637" s="14">
        <v>3274.85</v>
      </c>
      <c r="G637" s="14">
        <v>3321.15</v>
      </c>
      <c r="H637" s="14">
        <v>3323.25</v>
      </c>
      <c r="I637" s="14">
        <v>3315.09</v>
      </c>
      <c r="J637" s="14">
        <v>3582.9</v>
      </c>
      <c r="K637" s="14">
        <v>2685.85</v>
      </c>
      <c r="L637" s="15">
        <v>1422084</v>
      </c>
      <c r="M637" t="s" s="13">
        <v>6942</v>
      </c>
      <c r="N637" s="15">
        <v>104864</v>
      </c>
      <c r="O637" s="17" cm="1">
        <f t="array" ref="O637">(H637-H636)/H636</f>
        <v>0.0147793028688337</v>
      </c>
      <c r="P637" s="8"/>
      <c r="Q637" s="8"/>
    </row>
    <row r="638" ht="13.65" customHeight="1">
      <c r="A638" s="18">
        <v>45195</v>
      </c>
      <c r="B638" t="s" s="13">
        <v>22</v>
      </c>
      <c r="C638" s="14">
        <v>3323</v>
      </c>
      <c r="D638" s="14">
        <v>3324.9</v>
      </c>
      <c r="E638" s="14">
        <v>3260.35</v>
      </c>
      <c r="F638" s="14">
        <v>3323.25</v>
      </c>
      <c r="G638" s="14">
        <v>3292</v>
      </c>
      <c r="H638" s="14">
        <v>3292.8</v>
      </c>
      <c r="I638" s="14">
        <v>3286.83</v>
      </c>
      <c r="J638" s="14">
        <v>3582.9</v>
      </c>
      <c r="K638" s="14">
        <v>2685.85</v>
      </c>
      <c r="L638" s="15">
        <v>834560</v>
      </c>
      <c r="M638" t="s" s="13">
        <v>6943</v>
      </c>
      <c r="N638" s="15">
        <v>84109</v>
      </c>
      <c r="O638" s="17" cm="1">
        <f t="array" ref="O638">(H638-H637)/H637</f>
        <v>-0.009162717219589261</v>
      </c>
      <c r="P638" s="8"/>
      <c r="Q638" s="8"/>
    </row>
    <row r="639" ht="13.65" customHeight="1">
      <c r="A639" s="18">
        <v>45196</v>
      </c>
      <c r="B639" t="s" s="13">
        <v>22</v>
      </c>
      <c r="C639" s="14">
        <v>3288</v>
      </c>
      <c r="D639" s="14">
        <v>3309</v>
      </c>
      <c r="E639" s="14">
        <v>3271.7</v>
      </c>
      <c r="F639" s="14">
        <v>3292.8</v>
      </c>
      <c r="G639" s="14">
        <v>3307.6</v>
      </c>
      <c r="H639" s="14">
        <v>3301.8</v>
      </c>
      <c r="I639" s="14">
        <v>3294.21</v>
      </c>
      <c r="J639" s="14">
        <v>3582.9</v>
      </c>
      <c r="K639" s="14">
        <v>2685.85</v>
      </c>
      <c r="L639" s="15">
        <v>516326</v>
      </c>
      <c r="M639" t="s" s="13">
        <v>6944</v>
      </c>
      <c r="N639" s="15">
        <v>55381</v>
      </c>
      <c r="O639" s="17" cm="1">
        <f t="array" ref="O639">(H639-H638)/H638</f>
        <v>0.0027332361516035</v>
      </c>
      <c r="P639" s="8"/>
      <c r="Q639" s="8"/>
    </row>
    <row r="640" ht="13.65" customHeight="1">
      <c r="A640" s="18">
        <v>45197</v>
      </c>
      <c r="B640" t="s" s="13">
        <v>22</v>
      </c>
      <c r="C640" s="14">
        <v>3281.8</v>
      </c>
      <c r="D640" s="14">
        <v>3289</v>
      </c>
      <c r="E640" s="14">
        <v>3155</v>
      </c>
      <c r="F640" s="14">
        <v>3301.8</v>
      </c>
      <c r="G640" s="14">
        <v>3180</v>
      </c>
      <c r="H640" s="14">
        <v>3170.35</v>
      </c>
      <c r="I640" s="14">
        <v>3196.13</v>
      </c>
      <c r="J640" s="14">
        <v>3582.9</v>
      </c>
      <c r="K640" s="14">
        <v>2685.85</v>
      </c>
      <c r="L640" s="15">
        <v>2104381</v>
      </c>
      <c r="M640" t="s" s="13">
        <v>6945</v>
      </c>
      <c r="N640" s="15">
        <v>159596</v>
      </c>
      <c r="O640" s="17" cm="1">
        <f t="array" ref="O640">(H640-H639)/H639</f>
        <v>-0.0398116179053849</v>
      </c>
      <c r="P640" s="8"/>
      <c r="Q640" s="8"/>
    </row>
    <row r="641" ht="13.65" customHeight="1">
      <c r="A641" s="18">
        <v>45198</v>
      </c>
      <c r="B641" t="s" s="13">
        <v>22</v>
      </c>
      <c r="C641" s="14">
        <v>3195</v>
      </c>
      <c r="D641" s="14">
        <v>3195</v>
      </c>
      <c r="E641" s="14">
        <v>3134</v>
      </c>
      <c r="F641" s="14">
        <v>3170.35</v>
      </c>
      <c r="G641" s="14">
        <v>3166</v>
      </c>
      <c r="H641" s="14">
        <v>3161.05</v>
      </c>
      <c r="I641" s="14">
        <v>3160.04</v>
      </c>
      <c r="J641" s="14">
        <v>3582.9</v>
      </c>
      <c r="K641" s="14">
        <v>2685.85</v>
      </c>
      <c r="L641" s="15">
        <v>1550585</v>
      </c>
      <c r="M641" t="s" s="13">
        <v>6946</v>
      </c>
      <c r="N641" s="15">
        <v>104346</v>
      </c>
      <c r="O641" s="17" cm="1">
        <f t="array" ref="O641">(H641-H640)/H640</f>
        <v>-0.00293343006292681</v>
      </c>
      <c r="P641" s="8"/>
      <c r="Q641" s="8"/>
    </row>
    <row r="642" ht="13.65" customHeight="1">
      <c r="A642" s="12">
        <v>45202</v>
      </c>
      <c r="B642" t="s" s="13">
        <v>22</v>
      </c>
      <c r="C642" s="14">
        <v>3166.1</v>
      </c>
      <c r="D642" s="14">
        <v>3227.8</v>
      </c>
      <c r="E642" s="14">
        <v>3162</v>
      </c>
      <c r="F642" s="14">
        <v>3161.05</v>
      </c>
      <c r="G642" s="14">
        <v>3167.5</v>
      </c>
      <c r="H642" s="14">
        <v>3166.85</v>
      </c>
      <c r="I642" s="14">
        <v>3188.43</v>
      </c>
      <c r="J642" s="14">
        <v>3568</v>
      </c>
      <c r="K642" s="14">
        <v>2685.85</v>
      </c>
      <c r="L642" s="15">
        <v>1219145</v>
      </c>
      <c r="M642" t="s" s="13">
        <v>6947</v>
      </c>
      <c r="N642" s="15">
        <v>90310</v>
      </c>
      <c r="O642" s="17" cm="1">
        <f t="array" ref="O642">(H642-H641)/H641</f>
        <v>0.00183483336233214</v>
      </c>
      <c r="P642" s="8"/>
      <c r="Q642" s="8"/>
    </row>
    <row r="643" ht="13.65" customHeight="1">
      <c r="A643" s="12">
        <v>45203</v>
      </c>
      <c r="B643" t="s" s="13">
        <v>22</v>
      </c>
      <c r="C643" s="14">
        <v>3164.95</v>
      </c>
      <c r="D643" s="14">
        <v>3189</v>
      </c>
      <c r="E643" s="14">
        <v>3151.35</v>
      </c>
      <c r="F643" s="14">
        <v>3166.85</v>
      </c>
      <c r="G643" s="14">
        <v>3169.1</v>
      </c>
      <c r="H643" s="14">
        <v>3169.9</v>
      </c>
      <c r="I643" s="14">
        <v>3171.84</v>
      </c>
      <c r="J643" s="14">
        <v>3568</v>
      </c>
      <c r="K643" s="14">
        <v>2685.85</v>
      </c>
      <c r="L643" s="15">
        <v>892584</v>
      </c>
      <c r="M643" t="s" s="13">
        <v>6948</v>
      </c>
      <c r="N643" s="15">
        <v>80714</v>
      </c>
      <c r="O643" s="17" cm="1">
        <f t="array" ref="O643">(H643-H642)/H642</f>
        <v>0.000963102136192115</v>
      </c>
      <c r="P643" s="8"/>
      <c r="Q643" s="8"/>
    </row>
    <row r="644" ht="13.65" customHeight="1">
      <c r="A644" s="12">
        <v>45204</v>
      </c>
      <c r="B644" t="s" s="13">
        <v>22</v>
      </c>
      <c r="C644" s="14">
        <v>3210</v>
      </c>
      <c r="D644" s="14">
        <v>3232.1</v>
      </c>
      <c r="E644" s="14">
        <v>3174.3</v>
      </c>
      <c r="F644" s="14">
        <v>3169.9</v>
      </c>
      <c r="G644" s="14">
        <v>3202</v>
      </c>
      <c r="H644" s="14">
        <v>3206.25</v>
      </c>
      <c r="I644" s="14">
        <v>3200.15</v>
      </c>
      <c r="J644" s="14">
        <v>3568</v>
      </c>
      <c r="K644" s="14">
        <v>2685.85</v>
      </c>
      <c r="L644" s="15">
        <v>1002610</v>
      </c>
      <c r="M644" t="s" s="13">
        <v>6949</v>
      </c>
      <c r="N644" s="15">
        <v>83570</v>
      </c>
      <c r="O644" s="17" cm="1">
        <f t="array" ref="O644">(H644-H643)/H643</f>
        <v>0.011467238714155</v>
      </c>
      <c r="P644" s="8"/>
      <c r="Q644" s="8"/>
    </row>
    <row r="645" ht="13.65" customHeight="1">
      <c r="A645" s="12">
        <v>45205</v>
      </c>
      <c r="B645" t="s" s="13">
        <v>22</v>
      </c>
      <c r="C645" s="14">
        <v>3214.75</v>
      </c>
      <c r="D645" s="14">
        <v>3217</v>
      </c>
      <c r="E645" s="14">
        <v>3190</v>
      </c>
      <c r="F645" s="14">
        <v>3206.25</v>
      </c>
      <c r="G645" s="14">
        <v>3197</v>
      </c>
      <c r="H645" s="14">
        <v>3195.75</v>
      </c>
      <c r="I645" s="14">
        <v>3200.44</v>
      </c>
      <c r="J645" s="14">
        <v>3568</v>
      </c>
      <c r="K645" s="14">
        <v>2685.85</v>
      </c>
      <c r="L645" s="15">
        <v>814257</v>
      </c>
      <c r="M645" t="s" s="13">
        <v>6950</v>
      </c>
      <c r="N645" s="15">
        <v>63803</v>
      </c>
      <c r="O645" s="17" cm="1">
        <f t="array" ref="O645">(H645-H644)/H644</f>
        <v>-0.00327485380116959</v>
      </c>
      <c r="P645" s="8"/>
      <c r="Q645" s="8"/>
    </row>
    <row r="646" ht="13.65" customHeight="1">
      <c r="A646" s="12">
        <v>45208</v>
      </c>
      <c r="B646" t="s" s="13">
        <v>22</v>
      </c>
      <c r="C646" s="14">
        <v>3140.05</v>
      </c>
      <c r="D646" s="14">
        <v>3163</v>
      </c>
      <c r="E646" s="14">
        <v>3132.7</v>
      </c>
      <c r="F646" s="14">
        <v>3195.75</v>
      </c>
      <c r="G646" s="14">
        <v>3152</v>
      </c>
      <c r="H646" s="14">
        <v>3152.8</v>
      </c>
      <c r="I646" s="14">
        <v>3152.84</v>
      </c>
      <c r="J646" s="14">
        <v>3568</v>
      </c>
      <c r="K646" s="14">
        <v>2685.85</v>
      </c>
      <c r="L646" s="15">
        <v>700012</v>
      </c>
      <c r="M646" t="s" s="13">
        <v>6951</v>
      </c>
      <c r="N646" s="15">
        <v>67617</v>
      </c>
      <c r="O646" s="17" cm="1">
        <f t="array" ref="O646">(H646-H645)/H645</f>
        <v>-0.0134397246342799</v>
      </c>
      <c r="P646" s="8"/>
      <c r="Q646" s="8"/>
    </row>
    <row r="647" ht="13.65" customHeight="1">
      <c r="A647" s="18">
        <v>45209</v>
      </c>
      <c r="B647" t="s" s="13">
        <v>22</v>
      </c>
      <c r="C647" s="14">
        <v>3150</v>
      </c>
      <c r="D647" s="14">
        <v>3164.9</v>
      </c>
      <c r="E647" s="14">
        <v>3140.05</v>
      </c>
      <c r="F647" s="14">
        <v>3152.8</v>
      </c>
      <c r="G647" s="14">
        <v>3152.95</v>
      </c>
      <c r="H647" s="14">
        <v>3151.5</v>
      </c>
      <c r="I647" s="14">
        <v>3150.31</v>
      </c>
      <c r="J647" s="14">
        <v>3568</v>
      </c>
      <c r="K647" s="14">
        <v>2685.85</v>
      </c>
      <c r="L647" s="15">
        <v>847367</v>
      </c>
      <c r="M647" t="s" s="13">
        <v>6952</v>
      </c>
      <c r="N647" s="15">
        <v>78153</v>
      </c>
      <c r="O647" s="17" cm="1">
        <f t="array" ref="O647">(H647-H646)/H646</f>
        <v>-0.000412331895458006</v>
      </c>
      <c r="P647" s="8"/>
      <c r="Q647" s="8"/>
    </row>
    <row r="648" ht="13.65" customHeight="1">
      <c r="A648" s="18">
        <v>45210</v>
      </c>
      <c r="B648" t="s" s="13">
        <v>22</v>
      </c>
      <c r="C648" s="14">
        <v>3169</v>
      </c>
      <c r="D648" s="14">
        <v>3185</v>
      </c>
      <c r="E648" s="14">
        <v>3152.05</v>
      </c>
      <c r="F648" s="14">
        <v>3151.5</v>
      </c>
      <c r="G648" s="14">
        <v>3164</v>
      </c>
      <c r="H648" s="14">
        <v>3163.9</v>
      </c>
      <c r="I648" s="14">
        <v>3167.68</v>
      </c>
      <c r="J648" s="14">
        <v>3568</v>
      </c>
      <c r="K648" s="14">
        <v>2685.85</v>
      </c>
      <c r="L648" s="15">
        <v>1025317</v>
      </c>
      <c r="M648" t="s" s="13">
        <v>6953</v>
      </c>
      <c r="N648" s="15">
        <v>89674</v>
      </c>
      <c r="O648" s="17" cm="1">
        <f t="array" ref="O648">(H648-H647)/H647</f>
        <v>0.00393463430112645</v>
      </c>
      <c r="P648" s="8"/>
      <c r="Q648" s="8"/>
    </row>
    <row r="649" ht="13.65" customHeight="1">
      <c r="A649" s="18">
        <v>45211</v>
      </c>
      <c r="B649" t="s" s="13">
        <v>22</v>
      </c>
      <c r="C649" s="14">
        <v>3186</v>
      </c>
      <c r="D649" s="14">
        <v>3188.5</v>
      </c>
      <c r="E649" s="14">
        <v>3150.05</v>
      </c>
      <c r="F649" s="14">
        <v>3163.9</v>
      </c>
      <c r="G649" s="14">
        <v>3162</v>
      </c>
      <c r="H649" s="14">
        <v>3159.1</v>
      </c>
      <c r="I649" s="14">
        <v>3159.03</v>
      </c>
      <c r="J649" s="14">
        <v>3568</v>
      </c>
      <c r="K649" s="14">
        <v>2685.85</v>
      </c>
      <c r="L649" s="15">
        <v>992531</v>
      </c>
      <c r="M649" t="s" s="13">
        <v>6954</v>
      </c>
      <c r="N649" s="15">
        <v>103482</v>
      </c>
      <c r="O649" s="17" cm="1">
        <f t="array" ref="O649">(H649-H648)/H648</f>
        <v>-0.00151711495306426</v>
      </c>
      <c r="P649" s="8"/>
      <c r="Q649" s="8"/>
    </row>
    <row r="650" ht="13.65" customHeight="1">
      <c r="A650" s="18">
        <v>45212</v>
      </c>
      <c r="B650" t="s" s="13">
        <v>22</v>
      </c>
      <c r="C650" s="14">
        <v>3150</v>
      </c>
      <c r="D650" s="14">
        <v>3172</v>
      </c>
      <c r="E650" s="14">
        <v>3128.25</v>
      </c>
      <c r="F650" s="14">
        <v>3159.1</v>
      </c>
      <c r="G650" s="14">
        <v>3148</v>
      </c>
      <c r="H650" s="14">
        <v>3148.8</v>
      </c>
      <c r="I650" s="14">
        <v>3147.26</v>
      </c>
      <c r="J650" s="14">
        <v>3568</v>
      </c>
      <c r="K650" s="14">
        <v>2685.85</v>
      </c>
      <c r="L650" s="15">
        <v>854688</v>
      </c>
      <c r="M650" t="s" s="13">
        <v>6955</v>
      </c>
      <c r="N650" s="15">
        <v>110722</v>
      </c>
      <c r="O650" s="17" cm="1">
        <f t="array" ref="O650">(H650-H649)/H649</f>
        <v>-0.00326042227216612</v>
      </c>
      <c r="P650" s="8"/>
      <c r="Q650" s="8"/>
    </row>
    <row r="651" ht="13.65" customHeight="1">
      <c r="A651" s="18">
        <v>45215</v>
      </c>
      <c r="B651" t="s" s="13">
        <v>22</v>
      </c>
      <c r="C651" s="14">
        <v>3124</v>
      </c>
      <c r="D651" s="14">
        <v>3128</v>
      </c>
      <c r="E651" s="14">
        <v>3096.1</v>
      </c>
      <c r="F651" s="14">
        <v>3148.8</v>
      </c>
      <c r="G651" s="14">
        <v>3112</v>
      </c>
      <c r="H651" s="14">
        <v>3112.05</v>
      </c>
      <c r="I651" s="14">
        <v>3113.39</v>
      </c>
      <c r="J651" s="14">
        <v>3568</v>
      </c>
      <c r="K651" s="14">
        <v>2685.85</v>
      </c>
      <c r="L651" s="15">
        <v>853011</v>
      </c>
      <c r="M651" t="s" s="13">
        <v>6956</v>
      </c>
      <c r="N651" s="15">
        <v>89855</v>
      </c>
      <c r="O651" s="17" cm="1">
        <f t="array" ref="O651">(H651-H650)/H650</f>
        <v>-0.011671112804878</v>
      </c>
      <c r="P651" s="8"/>
      <c r="Q651" s="8"/>
    </row>
    <row r="652" ht="13.65" customHeight="1">
      <c r="A652" s="18">
        <v>45216</v>
      </c>
      <c r="B652" t="s" s="13">
        <v>22</v>
      </c>
      <c r="C652" s="14">
        <v>3137</v>
      </c>
      <c r="D652" s="14">
        <v>3137</v>
      </c>
      <c r="E652" s="14">
        <v>3091.8</v>
      </c>
      <c r="F652" s="14">
        <v>3112.05</v>
      </c>
      <c r="G652" s="14">
        <v>3116.9</v>
      </c>
      <c r="H652" s="14">
        <v>3113.55</v>
      </c>
      <c r="I652" s="14">
        <v>3110.94</v>
      </c>
      <c r="J652" s="14">
        <v>3568</v>
      </c>
      <c r="K652" s="14">
        <v>2685.85</v>
      </c>
      <c r="L652" s="15">
        <v>792640</v>
      </c>
      <c r="M652" t="s" s="13">
        <v>6957</v>
      </c>
      <c r="N652" s="15">
        <v>68035</v>
      </c>
      <c r="O652" s="17" cm="1">
        <f t="array" ref="O652">(H652-H651)/H651</f>
        <v>0.000481997397214055</v>
      </c>
      <c r="P652" s="8"/>
      <c r="Q652" s="8"/>
    </row>
    <row r="653" ht="13.65" customHeight="1">
      <c r="A653" s="18">
        <v>45217</v>
      </c>
      <c r="B653" t="s" s="13">
        <v>22</v>
      </c>
      <c r="C653" s="14">
        <v>3110</v>
      </c>
      <c r="D653" s="14">
        <v>3115.2</v>
      </c>
      <c r="E653" s="14">
        <v>3090</v>
      </c>
      <c r="F653" s="14">
        <v>3113.55</v>
      </c>
      <c r="G653" s="14">
        <v>3095.25</v>
      </c>
      <c r="H653" s="14">
        <v>3096.45</v>
      </c>
      <c r="I653" s="14">
        <v>3104.55</v>
      </c>
      <c r="J653" s="14">
        <v>3568</v>
      </c>
      <c r="K653" s="14">
        <v>2685.85</v>
      </c>
      <c r="L653" s="15">
        <v>481985</v>
      </c>
      <c r="M653" t="s" s="13">
        <v>6958</v>
      </c>
      <c r="N653" s="15">
        <v>60993</v>
      </c>
      <c r="O653" s="17" cm="1">
        <f t="array" ref="O653">(H653-H652)/H652</f>
        <v>-0.00549212313918196</v>
      </c>
      <c r="P653" s="8"/>
      <c r="Q653" s="8"/>
    </row>
    <row r="654" ht="13.65" customHeight="1">
      <c r="A654" s="18">
        <v>45218</v>
      </c>
      <c r="B654" t="s" s="13">
        <v>22</v>
      </c>
      <c r="C654" s="14">
        <v>3087.7</v>
      </c>
      <c r="D654" s="14">
        <v>3110.9</v>
      </c>
      <c r="E654" s="14">
        <v>3076.1</v>
      </c>
      <c r="F654" s="14">
        <v>3096.45</v>
      </c>
      <c r="G654" s="14">
        <v>3101</v>
      </c>
      <c r="H654" s="14">
        <v>3101.8</v>
      </c>
      <c r="I654" s="14">
        <v>3095.68</v>
      </c>
      <c r="J654" s="14">
        <v>3568</v>
      </c>
      <c r="K654" s="14">
        <v>2685.85</v>
      </c>
      <c r="L654" s="15">
        <v>568124</v>
      </c>
      <c r="M654" t="s" s="13">
        <v>6959</v>
      </c>
      <c r="N654" s="15">
        <v>73872</v>
      </c>
      <c r="O654" s="17" cm="1">
        <f t="array" ref="O654">(H654-H653)/H653</f>
        <v>0.00172778504416348</v>
      </c>
      <c r="P654" s="8"/>
      <c r="Q654" s="8"/>
    </row>
    <row r="655" ht="13.65" customHeight="1">
      <c r="A655" s="18">
        <v>45219</v>
      </c>
      <c r="B655" t="s" s="13">
        <v>22</v>
      </c>
      <c r="C655" s="14">
        <v>3092.5</v>
      </c>
      <c r="D655" s="14">
        <v>3115.1</v>
      </c>
      <c r="E655" s="14">
        <v>3064.55</v>
      </c>
      <c r="F655" s="14">
        <v>3101.8</v>
      </c>
      <c r="G655" s="14">
        <v>3105</v>
      </c>
      <c r="H655" s="14">
        <v>3105.85</v>
      </c>
      <c r="I655" s="14">
        <v>3098.44</v>
      </c>
      <c r="J655" s="14">
        <v>3568</v>
      </c>
      <c r="K655" s="14">
        <v>2685.85</v>
      </c>
      <c r="L655" s="15">
        <v>711434</v>
      </c>
      <c r="M655" t="s" s="13">
        <v>6960</v>
      </c>
      <c r="N655" s="15">
        <v>89613</v>
      </c>
      <c r="O655" s="17" cm="1">
        <f t="array" ref="O655">(H655-H654)/H654</f>
        <v>0.00130569346830872</v>
      </c>
      <c r="P655" s="8"/>
      <c r="Q655" s="8"/>
    </row>
    <row r="656" ht="13.65" customHeight="1">
      <c r="A656" s="18">
        <v>45222</v>
      </c>
      <c r="B656" t="s" s="13">
        <v>22</v>
      </c>
      <c r="C656" s="14">
        <v>3096.05</v>
      </c>
      <c r="D656" s="14">
        <v>3108.9</v>
      </c>
      <c r="E656" s="14">
        <v>3064</v>
      </c>
      <c r="F656" s="14">
        <v>3105.85</v>
      </c>
      <c r="G656" s="14">
        <v>3068</v>
      </c>
      <c r="H656" s="14">
        <v>3072</v>
      </c>
      <c r="I656" s="14">
        <v>3090.96</v>
      </c>
      <c r="J656" s="14">
        <v>3568</v>
      </c>
      <c r="K656" s="14">
        <v>2685.85</v>
      </c>
      <c r="L656" s="15">
        <v>374476</v>
      </c>
      <c r="M656" t="s" s="13">
        <v>6961</v>
      </c>
      <c r="N656" s="15">
        <v>55331</v>
      </c>
      <c r="O656" s="17" cm="1">
        <f t="array" ref="O656">(H656-H655)/H655</f>
        <v>-0.0108987877714635</v>
      </c>
      <c r="P656" s="8"/>
      <c r="Q656" s="8"/>
    </row>
    <row r="657" ht="13.65" customHeight="1">
      <c r="A657" s="18">
        <v>45224</v>
      </c>
      <c r="B657" t="s" s="13">
        <v>22</v>
      </c>
      <c r="C657" s="14">
        <v>3093.4</v>
      </c>
      <c r="D657" s="14">
        <v>3108</v>
      </c>
      <c r="E657" s="14">
        <v>3052</v>
      </c>
      <c r="F657" s="14">
        <v>3072</v>
      </c>
      <c r="G657" s="14">
        <v>3061.1</v>
      </c>
      <c r="H657" s="14">
        <v>3060.8</v>
      </c>
      <c r="I657" s="14">
        <v>3081.66</v>
      </c>
      <c r="J657" s="14">
        <v>3568</v>
      </c>
      <c r="K657" s="14">
        <v>2685.85</v>
      </c>
      <c r="L657" s="15">
        <v>669290</v>
      </c>
      <c r="M657" t="s" s="13">
        <v>6962</v>
      </c>
      <c r="N657" s="15">
        <v>68987</v>
      </c>
      <c r="O657" s="17" cm="1">
        <f t="array" ref="O657">(H657-H656)/H656</f>
        <v>-0.00364583333333333</v>
      </c>
      <c r="P657" s="8"/>
      <c r="Q657" s="8"/>
    </row>
    <row r="658" ht="13.65" customHeight="1">
      <c r="A658" s="18">
        <v>45225</v>
      </c>
      <c r="B658" t="s" s="13">
        <v>22</v>
      </c>
      <c r="C658" s="14">
        <v>3051.1</v>
      </c>
      <c r="D658" s="14">
        <v>3055</v>
      </c>
      <c r="E658" s="14">
        <v>2940</v>
      </c>
      <c r="F658" s="14">
        <v>3060.8</v>
      </c>
      <c r="G658" s="14">
        <v>2951</v>
      </c>
      <c r="H658" s="14">
        <v>2960.3</v>
      </c>
      <c r="I658" s="14">
        <v>2985.38</v>
      </c>
      <c r="J658" s="14">
        <v>3568</v>
      </c>
      <c r="K658" s="14">
        <v>2685.85</v>
      </c>
      <c r="L658" s="15">
        <v>1834111</v>
      </c>
      <c r="M658" t="s" s="13">
        <v>6963</v>
      </c>
      <c r="N658" s="15">
        <v>161772</v>
      </c>
      <c r="O658" s="17" cm="1">
        <f t="array" ref="O658">(H658-H657)/H657</f>
        <v>-0.032834553058024</v>
      </c>
      <c r="P658" s="8"/>
      <c r="Q658" s="8"/>
    </row>
    <row r="659" ht="13.65" customHeight="1">
      <c r="A659" s="18">
        <v>45226</v>
      </c>
      <c r="B659" t="s" s="13">
        <v>22</v>
      </c>
      <c r="C659" s="14">
        <v>2932.8</v>
      </c>
      <c r="D659" s="14">
        <v>2974.65</v>
      </c>
      <c r="E659" s="14">
        <v>2931</v>
      </c>
      <c r="F659" s="14">
        <v>2960.3</v>
      </c>
      <c r="G659" s="14">
        <v>2959</v>
      </c>
      <c r="H659" s="14">
        <v>2955.15</v>
      </c>
      <c r="I659" s="14">
        <v>2954.69</v>
      </c>
      <c r="J659" s="14">
        <v>3568</v>
      </c>
      <c r="K659" s="14">
        <v>2685.85</v>
      </c>
      <c r="L659" s="15">
        <v>1708185</v>
      </c>
      <c r="M659" t="s" s="13">
        <v>6964</v>
      </c>
      <c r="N659" s="15">
        <v>156670</v>
      </c>
      <c r="O659" s="17" cm="1">
        <f t="array" ref="O659">(H659-H658)/H658</f>
        <v>-0.00173968854507989</v>
      </c>
      <c r="P659" s="8"/>
      <c r="Q659" s="8"/>
    </row>
    <row r="660" ht="13.65" customHeight="1">
      <c r="A660" s="18">
        <v>45229</v>
      </c>
      <c r="B660" t="s" s="13">
        <v>22</v>
      </c>
      <c r="C660" s="14">
        <v>2974</v>
      </c>
      <c r="D660" s="14">
        <v>2991.95</v>
      </c>
      <c r="E660" s="14">
        <v>2939.1</v>
      </c>
      <c r="F660" s="14">
        <v>2955.15</v>
      </c>
      <c r="G660" s="14">
        <v>2973</v>
      </c>
      <c r="H660" s="14">
        <v>2967.1</v>
      </c>
      <c r="I660" s="14">
        <v>2966.44</v>
      </c>
      <c r="J660" s="14">
        <v>3568</v>
      </c>
      <c r="K660" s="14">
        <v>2685.85</v>
      </c>
      <c r="L660" s="15">
        <v>878885</v>
      </c>
      <c r="M660" t="s" s="13">
        <v>6965</v>
      </c>
      <c r="N660" s="15">
        <v>74109</v>
      </c>
      <c r="O660" s="17" cm="1">
        <f t="array" ref="O660">(H660-H659)/H659</f>
        <v>0.00404378796338595</v>
      </c>
      <c r="P660" s="8"/>
      <c r="Q660" s="8"/>
    </row>
    <row r="661" ht="13.65" customHeight="1">
      <c r="A661" s="18">
        <v>45230</v>
      </c>
      <c r="B661" t="s" s="13">
        <v>22</v>
      </c>
      <c r="C661" s="14">
        <v>2969</v>
      </c>
      <c r="D661" s="14">
        <v>3012.75</v>
      </c>
      <c r="E661" s="14">
        <v>2966</v>
      </c>
      <c r="F661" s="14">
        <v>2967.1</v>
      </c>
      <c r="G661" s="14">
        <v>2999</v>
      </c>
      <c r="H661" s="14">
        <v>2995.7</v>
      </c>
      <c r="I661" s="14">
        <v>2994.91</v>
      </c>
      <c r="J661" s="14">
        <v>3568</v>
      </c>
      <c r="K661" s="14">
        <v>2685.85</v>
      </c>
      <c r="L661" s="15">
        <v>1152306</v>
      </c>
      <c r="M661" t="s" s="13">
        <v>6966</v>
      </c>
      <c r="N661" s="15">
        <v>95564</v>
      </c>
      <c r="O661" s="17" cm="1">
        <f t="array" ref="O661">(H661-H660)/H660</f>
        <v>0.009639041488321931</v>
      </c>
      <c r="P661" s="8"/>
      <c r="Q661" s="8"/>
    </row>
    <row r="662" ht="13.65" customHeight="1">
      <c r="A662" s="12">
        <v>45231</v>
      </c>
      <c r="B662" t="s" s="13">
        <v>22</v>
      </c>
      <c r="C662" s="14">
        <v>2997.95</v>
      </c>
      <c r="D662" s="14">
        <v>3008.9</v>
      </c>
      <c r="E662" s="14">
        <v>2930</v>
      </c>
      <c r="F662" s="14">
        <v>2995.7</v>
      </c>
      <c r="G662" s="14">
        <v>2938</v>
      </c>
      <c r="H662" s="14">
        <v>2934.55</v>
      </c>
      <c r="I662" s="14">
        <v>2954.56</v>
      </c>
      <c r="J662" s="14">
        <v>3568</v>
      </c>
      <c r="K662" s="14">
        <v>2685.85</v>
      </c>
      <c r="L662" s="15">
        <v>1029990</v>
      </c>
      <c r="M662" t="s" s="13">
        <v>6967</v>
      </c>
      <c r="N662" s="15">
        <v>118913</v>
      </c>
      <c r="O662" s="17" cm="1">
        <f t="array" ref="O662">(H662-H661)/H661</f>
        <v>-0.0204125913809794</v>
      </c>
      <c r="P662" s="8"/>
      <c r="Q662" s="8"/>
    </row>
    <row r="663" ht="13.65" customHeight="1">
      <c r="A663" s="12">
        <v>45232</v>
      </c>
      <c r="B663" t="s" s="13">
        <v>22</v>
      </c>
      <c r="C663" s="14">
        <v>2961.05</v>
      </c>
      <c r="D663" s="14">
        <v>2962</v>
      </c>
      <c r="E663" s="14">
        <v>2934</v>
      </c>
      <c r="F663" s="14">
        <v>2934.55</v>
      </c>
      <c r="G663" s="14">
        <v>2955.1</v>
      </c>
      <c r="H663" s="14">
        <v>2955.4</v>
      </c>
      <c r="I663" s="14">
        <v>2948.93</v>
      </c>
      <c r="J663" s="14">
        <v>3568</v>
      </c>
      <c r="K663" s="14">
        <v>2685.85</v>
      </c>
      <c r="L663" s="15">
        <v>900125</v>
      </c>
      <c r="M663" t="s" s="13">
        <v>6968</v>
      </c>
      <c r="N663" s="15">
        <v>94444</v>
      </c>
      <c r="O663" s="17" cm="1">
        <f t="array" ref="O663">(H663-H662)/H662</f>
        <v>0.00710500758208243</v>
      </c>
      <c r="P663" s="8"/>
      <c r="Q663" s="8"/>
    </row>
    <row r="664" ht="13.65" customHeight="1">
      <c r="A664" s="12">
        <v>45233</v>
      </c>
      <c r="B664" t="s" s="13">
        <v>22</v>
      </c>
      <c r="C664" s="14">
        <v>2957</v>
      </c>
      <c r="D664" s="14">
        <v>2982.9</v>
      </c>
      <c r="E664" s="14">
        <v>2942</v>
      </c>
      <c r="F664" s="14">
        <v>2955.4</v>
      </c>
      <c r="G664" s="14">
        <v>2978.2</v>
      </c>
      <c r="H664" s="14">
        <v>2977.85</v>
      </c>
      <c r="I664" s="14">
        <v>2969.9</v>
      </c>
      <c r="J664" s="14">
        <v>3568</v>
      </c>
      <c r="K664" s="14">
        <v>2685.85</v>
      </c>
      <c r="L664" s="15">
        <v>715997</v>
      </c>
      <c r="M664" t="s" s="13">
        <v>6969</v>
      </c>
      <c r="N664" s="15">
        <v>70256</v>
      </c>
      <c r="O664" s="17" cm="1">
        <f t="array" ref="O664">(H664-H663)/H663</f>
        <v>0.00759626446504703</v>
      </c>
      <c r="P664" s="8"/>
      <c r="Q664" s="8"/>
    </row>
    <row r="665" ht="13.65" customHeight="1">
      <c r="A665" s="12">
        <v>45236</v>
      </c>
      <c r="B665" t="s" s="13">
        <v>22</v>
      </c>
      <c r="C665" s="14">
        <v>2998</v>
      </c>
      <c r="D665" s="14">
        <v>3034.05</v>
      </c>
      <c r="E665" s="14">
        <v>2983.85</v>
      </c>
      <c r="F665" s="14">
        <v>2977.85</v>
      </c>
      <c r="G665" s="14">
        <v>3029.7</v>
      </c>
      <c r="H665" s="14">
        <v>3029.3</v>
      </c>
      <c r="I665" s="14">
        <v>3014.43</v>
      </c>
      <c r="J665" s="14">
        <v>3568</v>
      </c>
      <c r="K665" s="14">
        <v>2685.85</v>
      </c>
      <c r="L665" s="15">
        <v>620959</v>
      </c>
      <c r="M665" t="s" s="13">
        <v>6970</v>
      </c>
      <c r="N665" s="15">
        <v>62963</v>
      </c>
      <c r="O665" s="17" cm="1">
        <f t="array" ref="O665">(H665-H664)/H664</f>
        <v>0.0172775660291821</v>
      </c>
      <c r="P665" s="8"/>
      <c r="Q665" s="8"/>
    </row>
    <row r="666" ht="13.65" customHeight="1">
      <c r="A666" s="12">
        <v>45237</v>
      </c>
      <c r="B666" t="s" s="13">
        <v>22</v>
      </c>
      <c r="C666" s="14">
        <v>3029.3</v>
      </c>
      <c r="D666" s="14">
        <v>3038.95</v>
      </c>
      <c r="E666" s="14">
        <v>3002.2</v>
      </c>
      <c r="F666" s="14">
        <v>3029.3</v>
      </c>
      <c r="G666" s="14">
        <v>3038</v>
      </c>
      <c r="H666" s="14">
        <v>3033.35</v>
      </c>
      <c r="I666" s="14">
        <v>3022.8</v>
      </c>
      <c r="J666" s="14">
        <v>3568</v>
      </c>
      <c r="K666" s="14">
        <v>2685.85</v>
      </c>
      <c r="L666" s="15">
        <v>757998</v>
      </c>
      <c r="M666" t="s" s="13">
        <v>6971</v>
      </c>
      <c r="N666" s="15">
        <v>58294</v>
      </c>
      <c r="O666" s="17" cm="1">
        <f t="array" ref="O666">(H666-H665)/H665</f>
        <v>0.00133694252797676</v>
      </c>
      <c r="P666" s="8"/>
      <c r="Q666" s="8"/>
    </row>
    <row r="667" ht="13.65" customHeight="1">
      <c r="A667" s="12">
        <v>45238</v>
      </c>
      <c r="B667" t="s" s="13">
        <v>22</v>
      </c>
      <c r="C667" s="14">
        <v>3058</v>
      </c>
      <c r="D667" s="14">
        <v>3098.95</v>
      </c>
      <c r="E667" s="14">
        <v>3046.2</v>
      </c>
      <c r="F667" s="14">
        <v>3033.35</v>
      </c>
      <c r="G667" s="14">
        <v>3098</v>
      </c>
      <c r="H667" s="14">
        <v>3095.25</v>
      </c>
      <c r="I667" s="14">
        <v>3081.68</v>
      </c>
      <c r="J667" s="14">
        <v>3568</v>
      </c>
      <c r="K667" s="14">
        <v>2685.85</v>
      </c>
      <c r="L667" s="15">
        <v>783400</v>
      </c>
      <c r="M667" t="s" s="13">
        <v>6972</v>
      </c>
      <c r="N667" s="15">
        <v>62335</v>
      </c>
      <c r="O667" s="17" cm="1">
        <f t="array" ref="O667">(H667-H666)/H666</f>
        <v>0.0204064812830699</v>
      </c>
      <c r="P667" s="8"/>
      <c r="Q667" s="8"/>
    </row>
    <row r="668" ht="13.65" customHeight="1">
      <c r="A668" s="12">
        <v>45239</v>
      </c>
      <c r="B668" t="s" s="13">
        <v>22</v>
      </c>
      <c r="C668" s="14">
        <v>3100</v>
      </c>
      <c r="D668" s="14">
        <v>3111.4</v>
      </c>
      <c r="E668" s="14">
        <v>3074.05</v>
      </c>
      <c r="F668" s="14">
        <v>3095.25</v>
      </c>
      <c r="G668" s="14">
        <v>3080</v>
      </c>
      <c r="H668" s="14">
        <v>3080.2</v>
      </c>
      <c r="I668" s="14">
        <v>3092.43</v>
      </c>
      <c r="J668" s="14">
        <v>3568</v>
      </c>
      <c r="K668" s="14">
        <v>2685.85</v>
      </c>
      <c r="L668" s="15">
        <v>849702</v>
      </c>
      <c r="M668" t="s" s="13">
        <v>6973</v>
      </c>
      <c r="N668" s="15">
        <v>69891</v>
      </c>
      <c r="O668" s="17" cm="1">
        <f t="array" ref="O668">(H668-H667)/H667</f>
        <v>-0.00486228899119619</v>
      </c>
      <c r="P668" s="8"/>
      <c r="Q668" s="8"/>
    </row>
    <row r="669" ht="13.65" customHeight="1">
      <c r="A669" s="18">
        <v>45240</v>
      </c>
      <c r="B669" t="s" s="13">
        <v>22</v>
      </c>
      <c r="C669" s="14">
        <v>3070</v>
      </c>
      <c r="D669" s="14">
        <v>3085</v>
      </c>
      <c r="E669" s="14">
        <v>3040.1</v>
      </c>
      <c r="F669" s="14">
        <v>3080.2</v>
      </c>
      <c r="G669" s="14">
        <v>3080</v>
      </c>
      <c r="H669" s="14">
        <v>3076.45</v>
      </c>
      <c r="I669" s="14">
        <v>3063.01</v>
      </c>
      <c r="J669" s="14">
        <v>3568</v>
      </c>
      <c r="K669" s="14">
        <v>2685.85</v>
      </c>
      <c r="L669" s="15">
        <v>364232</v>
      </c>
      <c r="M669" t="s" s="13">
        <v>6974</v>
      </c>
      <c r="N669" s="15">
        <v>40004</v>
      </c>
      <c r="O669" s="17" cm="1">
        <f t="array" ref="O669">(H669-H668)/H668</f>
        <v>-0.0012174534121161</v>
      </c>
      <c r="P669" s="8"/>
      <c r="Q669" s="8"/>
    </row>
    <row r="670" ht="13.65" customHeight="1">
      <c r="A670" s="18">
        <v>45242</v>
      </c>
      <c r="B670" t="s" s="13">
        <v>22</v>
      </c>
      <c r="C670" s="14">
        <v>3099.95</v>
      </c>
      <c r="D670" s="14">
        <v>3100</v>
      </c>
      <c r="E670" s="14">
        <v>3090</v>
      </c>
      <c r="F670" s="14">
        <v>3076.45</v>
      </c>
      <c r="G670" s="14">
        <v>3099.5</v>
      </c>
      <c r="H670" s="14">
        <v>3098.15</v>
      </c>
      <c r="I670" s="14">
        <v>3097.92</v>
      </c>
      <c r="J670" s="14">
        <v>3568</v>
      </c>
      <c r="K670" s="14">
        <v>2685.85</v>
      </c>
      <c r="L670" s="15">
        <v>85178</v>
      </c>
      <c r="M670" t="s" s="13">
        <v>6975</v>
      </c>
      <c r="N670" s="15">
        <v>14342</v>
      </c>
      <c r="O670" s="17" cm="1">
        <f t="array" ref="O670">(H670-H669)/H669</f>
        <v>0.00705358448861512</v>
      </c>
      <c r="P670" s="8"/>
      <c r="Q670" s="8"/>
    </row>
    <row r="671" ht="13.65" customHeight="1">
      <c r="A671" s="18">
        <v>45243</v>
      </c>
      <c r="B671" t="s" s="13">
        <v>22</v>
      </c>
      <c r="C671" s="14">
        <v>3098</v>
      </c>
      <c r="D671" s="14">
        <v>3098</v>
      </c>
      <c r="E671" s="14">
        <v>3065</v>
      </c>
      <c r="F671" s="14">
        <v>3098.15</v>
      </c>
      <c r="G671" s="14">
        <v>3083</v>
      </c>
      <c r="H671" s="14">
        <v>3085.6</v>
      </c>
      <c r="I671" s="14">
        <v>3079.6</v>
      </c>
      <c r="J671" s="14">
        <v>3568</v>
      </c>
      <c r="K671" s="14">
        <v>2685.85</v>
      </c>
      <c r="L671" s="15">
        <v>405941</v>
      </c>
      <c r="M671" t="s" s="13">
        <v>6976</v>
      </c>
      <c r="N671" s="15">
        <v>38458</v>
      </c>
      <c r="O671" s="17" cm="1">
        <f t="array" ref="O671">(H671-H670)/H670</f>
        <v>-0.00405080451237029</v>
      </c>
      <c r="P671" s="8"/>
      <c r="Q671" s="8"/>
    </row>
    <row r="672" ht="13.65" customHeight="1">
      <c r="A672" s="18">
        <v>45245</v>
      </c>
      <c r="B672" t="s" s="13">
        <v>22</v>
      </c>
      <c r="C672" s="14">
        <v>3085.7</v>
      </c>
      <c r="D672" s="14">
        <v>3118.85</v>
      </c>
      <c r="E672" s="14">
        <v>3078.7</v>
      </c>
      <c r="F672" s="14">
        <v>3085.6</v>
      </c>
      <c r="G672" s="14">
        <v>3115.8</v>
      </c>
      <c r="H672" s="14">
        <v>3116.2</v>
      </c>
      <c r="I672" s="14">
        <v>3101.22</v>
      </c>
      <c r="J672" s="14">
        <v>3568</v>
      </c>
      <c r="K672" s="14">
        <v>2685.85</v>
      </c>
      <c r="L672" s="15">
        <v>700017</v>
      </c>
      <c r="M672" t="s" s="13">
        <v>6977</v>
      </c>
      <c r="N672" s="15">
        <v>64696</v>
      </c>
      <c r="O672" s="17" cm="1">
        <f t="array" ref="O672">(H672-H671)/H671</f>
        <v>0.0099170339642209</v>
      </c>
      <c r="P672" s="8"/>
      <c r="Q672" s="8"/>
    </row>
    <row r="673" ht="13.65" customHeight="1">
      <c r="A673" s="18">
        <v>45246</v>
      </c>
      <c r="B673" t="s" s="13">
        <v>22</v>
      </c>
      <c r="C673" s="14">
        <v>3119</v>
      </c>
      <c r="D673" s="14">
        <v>3140.9</v>
      </c>
      <c r="E673" s="14">
        <v>3097.6</v>
      </c>
      <c r="F673" s="14">
        <v>3116.2</v>
      </c>
      <c r="G673" s="14">
        <v>3131.1</v>
      </c>
      <c r="H673" s="14">
        <v>3130.3</v>
      </c>
      <c r="I673" s="14">
        <v>3125.99</v>
      </c>
      <c r="J673" s="14">
        <v>3568</v>
      </c>
      <c r="K673" s="14">
        <v>2685.85</v>
      </c>
      <c r="L673" s="15">
        <v>675454</v>
      </c>
      <c r="M673" t="s" s="13">
        <v>6978</v>
      </c>
      <c r="N673" s="15">
        <v>70056</v>
      </c>
      <c r="O673" s="17" cm="1">
        <f t="array" ref="O673">(H673-H672)/H672</f>
        <v>0.0045247416725499</v>
      </c>
      <c r="P673" s="8"/>
      <c r="Q673" s="8"/>
    </row>
    <row r="674" ht="13.65" customHeight="1">
      <c r="A674" s="18">
        <v>45247</v>
      </c>
      <c r="B674" t="s" s="13">
        <v>22</v>
      </c>
      <c r="C674" s="14">
        <v>3150</v>
      </c>
      <c r="D674" s="14">
        <v>3228.25</v>
      </c>
      <c r="E674" s="14">
        <v>3145.65</v>
      </c>
      <c r="F674" s="14">
        <v>3130.3</v>
      </c>
      <c r="G674" s="14">
        <v>3167</v>
      </c>
      <c r="H674" s="14">
        <v>3168.9</v>
      </c>
      <c r="I674" s="14">
        <v>3196.91</v>
      </c>
      <c r="J674" s="14">
        <v>3568</v>
      </c>
      <c r="K674" s="14">
        <v>2685.85</v>
      </c>
      <c r="L674" s="15">
        <v>1430175</v>
      </c>
      <c r="M674" t="s" s="13">
        <v>6979</v>
      </c>
      <c r="N674" s="15">
        <v>111559</v>
      </c>
      <c r="O674" s="17" cm="1">
        <f t="array" ref="O674">(H674-H673)/H673</f>
        <v>0.0123310864773344</v>
      </c>
      <c r="P674" s="8"/>
      <c r="Q674" s="8"/>
    </row>
    <row r="675" ht="13.65" customHeight="1">
      <c r="A675" s="18">
        <v>45250</v>
      </c>
      <c r="B675" t="s" s="13">
        <v>22</v>
      </c>
      <c r="C675" s="14">
        <v>3168.9</v>
      </c>
      <c r="D675" s="14">
        <v>3171.9</v>
      </c>
      <c r="E675" s="14">
        <v>3132</v>
      </c>
      <c r="F675" s="14">
        <v>3168.9</v>
      </c>
      <c r="G675" s="14">
        <v>3140</v>
      </c>
      <c r="H675" s="14">
        <v>3140.35</v>
      </c>
      <c r="I675" s="14">
        <v>3146.59</v>
      </c>
      <c r="J675" s="14">
        <v>3568</v>
      </c>
      <c r="K675" s="14">
        <v>2685.85</v>
      </c>
      <c r="L675" s="15">
        <v>406431</v>
      </c>
      <c r="M675" t="s" s="13">
        <v>6980</v>
      </c>
      <c r="N675" s="15">
        <v>50256</v>
      </c>
      <c r="O675" s="17" cm="1">
        <f t="array" ref="O675">(H675-H674)/H674</f>
        <v>-0.009009435450787339</v>
      </c>
      <c r="P675" s="8"/>
      <c r="Q675" s="8"/>
    </row>
    <row r="676" ht="13.65" customHeight="1">
      <c r="A676" s="18">
        <v>45251</v>
      </c>
      <c r="B676" t="s" s="13">
        <v>22</v>
      </c>
      <c r="C676" s="14">
        <v>3156.9</v>
      </c>
      <c r="D676" s="14">
        <v>3156.9</v>
      </c>
      <c r="E676" s="14">
        <v>3127</v>
      </c>
      <c r="F676" s="14">
        <v>3140.35</v>
      </c>
      <c r="G676" s="14">
        <v>3134.7</v>
      </c>
      <c r="H676" s="14">
        <v>3133.25</v>
      </c>
      <c r="I676" s="14">
        <v>3135.93</v>
      </c>
      <c r="J676" s="14">
        <v>3568</v>
      </c>
      <c r="K676" s="14">
        <v>2685.85</v>
      </c>
      <c r="L676" s="15">
        <v>409069</v>
      </c>
      <c r="M676" t="s" s="13">
        <v>6981</v>
      </c>
      <c r="N676" s="15">
        <v>50458</v>
      </c>
      <c r="O676" s="17" cm="1">
        <f t="array" ref="O676">(H676-H675)/H675</f>
        <v>-0.00226089448628338</v>
      </c>
      <c r="P676" s="8"/>
      <c r="Q676" s="8"/>
    </row>
    <row r="677" ht="13.65" customHeight="1">
      <c r="A677" s="18">
        <v>45252</v>
      </c>
      <c r="B677" t="s" s="13">
        <v>22</v>
      </c>
      <c r="C677" s="14">
        <v>3140</v>
      </c>
      <c r="D677" s="14">
        <v>3157</v>
      </c>
      <c r="E677" s="14">
        <v>3121.2</v>
      </c>
      <c r="F677" s="14">
        <v>3133.25</v>
      </c>
      <c r="G677" s="14">
        <v>3130.3</v>
      </c>
      <c r="H677" s="14">
        <v>3133</v>
      </c>
      <c r="I677" s="14">
        <v>3139.35</v>
      </c>
      <c r="J677" s="14">
        <v>3568</v>
      </c>
      <c r="K677" s="14">
        <v>2685.85</v>
      </c>
      <c r="L677" s="15">
        <v>489889</v>
      </c>
      <c r="M677" t="s" s="13">
        <v>6982</v>
      </c>
      <c r="N677" s="15">
        <v>47598</v>
      </c>
      <c r="O677" s="17" cm="1">
        <f t="array" ref="O677">(H677-H676)/H676</f>
        <v>-7.978935609989631e-05</v>
      </c>
      <c r="P677" s="8"/>
      <c r="Q677" s="8"/>
    </row>
    <row r="678" ht="13.65" customHeight="1">
      <c r="A678" s="18">
        <v>45253</v>
      </c>
      <c r="B678" t="s" s="13">
        <v>22</v>
      </c>
      <c r="C678" s="14">
        <v>3148</v>
      </c>
      <c r="D678" s="14">
        <v>3171.4</v>
      </c>
      <c r="E678" s="14">
        <v>3115.15</v>
      </c>
      <c r="F678" s="14">
        <v>3133</v>
      </c>
      <c r="G678" s="14">
        <v>3119.7</v>
      </c>
      <c r="H678" s="14">
        <v>3122.95</v>
      </c>
      <c r="I678" s="14">
        <v>3139.03</v>
      </c>
      <c r="J678" s="14">
        <v>3568</v>
      </c>
      <c r="K678" s="14">
        <v>2685.85</v>
      </c>
      <c r="L678" s="15">
        <v>792460</v>
      </c>
      <c r="M678" t="s" s="13">
        <v>6983</v>
      </c>
      <c r="N678" s="15">
        <v>65778</v>
      </c>
      <c r="O678" s="17" cm="1">
        <f t="array" ref="O678">(H678-H677)/H677</f>
        <v>-0.00320778806255985</v>
      </c>
      <c r="P678" s="8"/>
      <c r="Q678" s="8"/>
    </row>
    <row r="679" ht="13.65" customHeight="1">
      <c r="A679" s="18">
        <v>45254</v>
      </c>
      <c r="B679" t="s" s="13">
        <v>22</v>
      </c>
      <c r="C679" s="14">
        <v>3118</v>
      </c>
      <c r="D679" s="14">
        <v>3139.8</v>
      </c>
      <c r="E679" s="14">
        <v>3111</v>
      </c>
      <c r="F679" s="14">
        <v>3122.95</v>
      </c>
      <c r="G679" s="14">
        <v>3130.2</v>
      </c>
      <c r="H679" s="14">
        <v>3136.15</v>
      </c>
      <c r="I679" s="14">
        <v>3126.55</v>
      </c>
      <c r="J679" s="14">
        <v>3568</v>
      </c>
      <c r="K679" s="14">
        <v>2685.85</v>
      </c>
      <c r="L679" s="15">
        <v>756329</v>
      </c>
      <c r="M679" t="s" s="13">
        <v>6984</v>
      </c>
      <c r="N679" s="15">
        <v>49189</v>
      </c>
      <c r="O679" s="17" cm="1">
        <f t="array" ref="O679">(H679-H678)/H678</f>
        <v>0.00422677276293248</v>
      </c>
      <c r="P679" s="8"/>
      <c r="Q679" s="8"/>
    </row>
    <row r="680" ht="13.65" customHeight="1">
      <c r="A680" s="18">
        <v>45258</v>
      </c>
      <c r="B680" t="s" s="13">
        <v>22</v>
      </c>
      <c r="C680" s="14">
        <v>3141.15</v>
      </c>
      <c r="D680" s="14">
        <v>3160</v>
      </c>
      <c r="E680" s="14">
        <v>3136.15</v>
      </c>
      <c r="F680" s="14">
        <v>3136.15</v>
      </c>
      <c r="G680" s="14">
        <v>3145.4</v>
      </c>
      <c r="H680" s="14">
        <v>3148.35</v>
      </c>
      <c r="I680" s="14">
        <v>3150.01</v>
      </c>
      <c r="J680" s="14">
        <v>3568</v>
      </c>
      <c r="K680" s="14">
        <v>2685.85</v>
      </c>
      <c r="L680" s="15">
        <v>647883</v>
      </c>
      <c r="M680" t="s" s="13">
        <v>6985</v>
      </c>
      <c r="N680" s="15">
        <v>84580</v>
      </c>
      <c r="O680" s="17" cm="1">
        <f t="array" ref="O680">(H680-H679)/H679</f>
        <v>0.00389012005165569</v>
      </c>
      <c r="P680" s="8"/>
      <c r="Q680" s="8"/>
    </row>
    <row r="681" ht="13.65" customHeight="1">
      <c r="A681" s="18">
        <v>45259</v>
      </c>
      <c r="B681" t="s" s="13">
        <v>22</v>
      </c>
      <c r="C681" s="14">
        <v>3148.35</v>
      </c>
      <c r="D681" s="14">
        <v>3170</v>
      </c>
      <c r="E681" s="14">
        <v>3142</v>
      </c>
      <c r="F681" s="14">
        <v>3148.35</v>
      </c>
      <c r="G681" s="14">
        <v>3149.55</v>
      </c>
      <c r="H681" s="14">
        <v>3148.35</v>
      </c>
      <c r="I681" s="14">
        <v>3158.69</v>
      </c>
      <c r="J681" s="14">
        <v>3568</v>
      </c>
      <c r="K681" s="14">
        <v>2685.85</v>
      </c>
      <c r="L681" s="15">
        <v>620725</v>
      </c>
      <c r="M681" t="s" s="13">
        <v>6986</v>
      </c>
      <c r="N681" s="15">
        <v>61685</v>
      </c>
      <c r="O681" s="17" cm="1">
        <f t="array" ref="O681">(H681-H680)/H680</f>
        <v>0</v>
      </c>
      <c r="P681" s="8"/>
      <c r="Q681" s="8"/>
    </row>
    <row r="682" ht="13.65" customHeight="1">
      <c r="A682" s="18">
        <v>45260</v>
      </c>
      <c r="B682" t="s" s="13">
        <v>22</v>
      </c>
      <c r="C682" s="14">
        <v>3148.35</v>
      </c>
      <c r="D682" s="14">
        <v>3153.95</v>
      </c>
      <c r="E682" s="14">
        <v>3108.35</v>
      </c>
      <c r="F682" s="14">
        <v>3148.35</v>
      </c>
      <c r="G682" s="14">
        <v>3125.2</v>
      </c>
      <c r="H682" s="14">
        <v>3119.9</v>
      </c>
      <c r="I682" s="14">
        <v>3124.04</v>
      </c>
      <c r="J682" s="14">
        <v>3568</v>
      </c>
      <c r="K682" s="14">
        <v>2685.85</v>
      </c>
      <c r="L682" s="15">
        <v>1793116</v>
      </c>
      <c r="M682" t="s" s="13">
        <v>6987</v>
      </c>
      <c r="N682" s="15">
        <v>77072</v>
      </c>
      <c r="O682" s="17" cm="1">
        <f t="array" ref="O682">(H682-H681)/H681</f>
        <v>-0.00903647942573094</v>
      </c>
      <c r="P682" s="8"/>
      <c r="Q682" s="8"/>
    </row>
    <row r="683" ht="13.65" customHeight="1">
      <c r="A683" s="12">
        <v>45261</v>
      </c>
      <c r="B683" t="s" s="13">
        <v>22</v>
      </c>
      <c r="C683" s="14">
        <v>3146.95</v>
      </c>
      <c r="D683" s="14">
        <v>3190.6</v>
      </c>
      <c r="E683" s="14">
        <v>3140.25</v>
      </c>
      <c r="F683" s="14">
        <v>3119.9</v>
      </c>
      <c r="G683" s="14">
        <v>3172</v>
      </c>
      <c r="H683" s="14">
        <v>3173.4</v>
      </c>
      <c r="I683" s="14">
        <v>3169.94</v>
      </c>
      <c r="J683" s="14">
        <v>3568</v>
      </c>
      <c r="K683" s="14">
        <v>2685.85</v>
      </c>
      <c r="L683" s="15">
        <v>960196</v>
      </c>
      <c r="M683" t="s" s="13">
        <v>6988</v>
      </c>
      <c r="N683" s="15">
        <v>69376</v>
      </c>
      <c r="O683" s="17" cm="1">
        <f t="array" ref="O683">(H683-H682)/H682</f>
        <v>0.0171479855123562</v>
      </c>
      <c r="P683" s="8"/>
      <c r="Q683" s="8"/>
    </row>
    <row r="684" ht="13.65" customHeight="1">
      <c r="A684" s="12">
        <v>45264</v>
      </c>
      <c r="B684" t="s" s="13">
        <v>22</v>
      </c>
      <c r="C684" s="14">
        <v>3190</v>
      </c>
      <c r="D684" s="14">
        <v>3204.45</v>
      </c>
      <c r="E684" s="14">
        <v>3166.5</v>
      </c>
      <c r="F684" s="14">
        <v>3173.4</v>
      </c>
      <c r="G684" s="14">
        <v>3196</v>
      </c>
      <c r="H684" s="14">
        <v>3194.55</v>
      </c>
      <c r="I684" s="14">
        <v>3186.39</v>
      </c>
      <c r="J684" s="14">
        <v>3568</v>
      </c>
      <c r="K684" s="14">
        <v>2685.85</v>
      </c>
      <c r="L684" s="15">
        <v>1018189</v>
      </c>
      <c r="M684" t="s" s="13">
        <v>6989</v>
      </c>
      <c r="N684" s="15">
        <v>78512</v>
      </c>
      <c r="O684" s="17" cm="1">
        <f t="array" ref="O684">(H684-H683)/H683</f>
        <v>0.00666477595008508</v>
      </c>
      <c r="P684" s="8"/>
      <c r="Q684" s="8"/>
    </row>
    <row r="685" ht="13.65" customHeight="1">
      <c r="A685" s="12">
        <v>45265</v>
      </c>
      <c r="B685" t="s" s="13">
        <v>22</v>
      </c>
      <c r="C685" s="14">
        <v>3197</v>
      </c>
      <c r="D685" s="14">
        <v>3247.65</v>
      </c>
      <c r="E685" s="14">
        <v>3180</v>
      </c>
      <c r="F685" s="14">
        <v>3194.55</v>
      </c>
      <c r="G685" s="14">
        <v>3220.2</v>
      </c>
      <c r="H685" s="14">
        <v>3226.25</v>
      </c>
      <c r="I685" s="14">
        <v>3217.52</v>
      </c>
      <c r="J685" s="14">
        <v>3568</v>
      </c>
      <c r="K685" s="14">
        <v>2685.85</v>
      </c>
      <c r="L685" s="15">
        <v>1005550</v>
      </c>
      <c r="M685" t="s" s="13">
        <v>6990</v>
      </c>
      <c r="N685" s="15">
        <v>75863</v>
      </c>
      <c r="O685" s="17" cm="1">
        <f t="array" ref="O685">(H685-H684)/H684</f>
        <v>0.00992315036546618</v>
      </c>
      <c r="P685" s="8"/>
      <c r="Q685" s="8"/>
    </row>
    <row r="686" ht="13.65" customHeight="1">
      <c r="A686" s="12">
        <v>45266</v>
      </c>
      <c r="B686" t="s" s="13">
        <v>22</v>
      </c>
      <c r="C686" s="14">
        <v>3265</v>
      </c>
      <c r="D686" s="14">
        <v>3289</v>
      </c>
      <c r="E686" s="14">
        <v>3232.95</v>
      </c>
      <c r="F686" s="14">
        <v>3226.25</v>
      </c>
      <c r="G686" s="14">
        <v>3250</v>
      </c>
      <c r="H686" s="14">
        <v>3252.55</v>
      </c>
      <c r="I686" s="14">
        <v>3266.13</v>
      </c>
      <c r="J686" s="14">
        <v>3568</v>
      </c>
      <c r="K686" s="14">
        <v>2685.85</v>
      </c>
      <c r="L686" s="15">
        <v>1229158</v>
      </c>
      <c r="M686" t="s" s="13">
        <v>6991</v>
      </c>
      <c r="N686" s="15">
        <v>84535</v>
      </c>
      <c r="O686" s="17" cm="1">
        <f t="array" ref="O686">(H686-H685)/H685</f>
        <v>0.00815187911662146</v>
      </c>
      <c r="P686" s="8"/>
      <c r="Q686" s="8"/>
    </row>
    <row r="687" ht="13.65" customHeight="1">
      <c r="A687" s="12">
        <v>45267</v>
      </c>
      <c r="B687" t="s" s="13">
        <v>22</v>
      </c>
      <c r="C687" s="14">
        <v>3284</v>
      </c>
      <c r="D687" s="14">
        <v>3299.95</v>
      </c>
      <c r="E687" s="14">
        <v>3246.85</v>
      </c>
      <c r="F687" s="14">
        <v>3252.55</v>
      </c>
      <c r="G687" s="14">
        <v>3252</v>
      </c>
      <c r="H687" s="14">
        <v>3251.8</v>
      </c>
      <c r="I687" s="14">
        <v>3267.33</v>
      </c>
      <c r="J687" s="14">
        <v>3568</v>
      </c>
      <c r="K687" s="14">
        <v>2685.85</v>
      </c>
      <c r="L687" s="15">
        <v>1071725</v>
      </c>
      <c r="M687" t="s" s="13">
        <v>6992</v>
      </c>
      <c r="N687" s="15">
        <v>118189</v>
      </c>
      <c r="O687" s="17" cm="1">
        <f t="array" ref="O687">(H687-H686)/H686</f>
        <v>-0.000230588307635547</v>
      </c>
      <c r="P687" s="8"/>
      <c r="Q687" s="8"/>
    </row>
    <row r="688" ht="13.65" customHeight="1">
      <c r="A688" s="12">
        <v>45268</v>
      </c>
      <c r="B688" t="s" s="13">
        <v>22</v>
      </c>
      <c r="C688" s="14">
        <v>3255</v>
      </c>
      <c r="D688" s="14">
        <v>3269.8</v>
      </c>
      <c r="E688" s="14">
        <v>3227.8</v>
      </c>
      <c r="F688" s="14">
        <v>3251.8</v>
      </c>
      <c r="G688" s="14">
        <v>3229</v>
      </c>
      <c r="H688" s="14">
        <v>3232</v>
      </c>
      <c r="I688" s="14">
        <v>3241.09</v>
      </c>
      <c r="J688" s="14">
        <v>3568</v>
      </c>
      <c r="K688" s="14">
        <v>2685.85</v>
      </c>
      <c r="L688" s="15">
        <v>895852</v>
      </c>
      <c r="M688" t="s" s="13">
        <v>6993</v>
      </c>
      <c r="N688" s="15">
        <v>127121</v>
      </c>
      <c r="O688" s="17" cm="1">
        <f t="array" ref="O688">(H688-H687)/H687</f>
        <v>-0.00608893535887816</v>
      </c>
      <c r="P688" s="8"/>
      <c r="Q688" s="8"/>
    </row>
    <row r="689" ht="13.65" customHeight="1">
      <c r="A689" s="18">
        <v>45271</v>
      </c>
      <c r="B689" t="s" s="13">
        <v>22</v>
      </c>
      <c r="C689" s="14">
        <v>3230</v>
      </c>
      <c r="D689" s="14">
        <v>3245</v>
      </c>
      <c r="E689" s="14">
        <v>3185.5</v>
      </c>
      <c r="F689" s="14">
        <v>3232</v>
      </c>
      <c r="G689" s="14">
        <v>3240.15</v>
      </c>
      <c r="H689" s="14">
        <v>3233</v>
      </c>
      <c r="I689" s="14">
        <v>3210.75</v>
      </c>
      <c r="J689" s="14">
        <v>3568</v>
      </c>
      <c r="K689" s="14">
        <v>2685.85</v>
      </c>
      <c r="L689" s="15">
        <v>910426</v>
      </c>
      <c r="M689" t="s" s="13">
        <v>6994</v>
      </c>
      <c r="N689" s="15">
        <v>74020</v>
      </c>
      <c r="O689" s="17" cm="1">
        <f t="array" ref="O689">(H689-H688)/H688</f>
        <v>0.000309405940594059</v>
      </c>
      <c r="P689" s="8"/>
      <c r="Q689" s="8"/>
    </row>
    <row r="690" ht="13.65" customHeight="1">
      <c r="A690" s="18">
        <v>45272</v>
      </c>
      <c r="B690" t="s" s="13">
        <v>22</v>
      </c>
      <c r="C690" s="14">
        <v>3228</v>
      </c>
      <c r="D690" s="14">
        <v>3257.05</v>
      </c>
      <c r="E690" s="14">
        <v>3210</v>
      </c>
      <c r="F690" s="14">
        <v>3233</v>
      </c>
      <c r="G690" s="14">
        <v>3213</v>
      </c>
      <c r="H690" s="14">
        <v>3224.75</v>
      </c>
      <c r="I690" s="14">
        <v>3231.72</v>
      </c>
      <c r="J690" s="14">
        <v>3568</v>
      </c>
      <c r="K690" s="14">
        <v>2685.85</v>
      </c>
      <c r="L690" s="15">
        <v>1019030</v>
      </c>
      <c r="M690" t="s" s="13">
        <v>6995</v>
      </c>
      <c r="N690" s="15">
        <v>103825</v>
      </c>
      <c r="O690" s="17" cm="1">
        <f t="array" ref="O690">(H690-H689)/H689</f>
        <v>-0.00255180946489329</v>
      </c>
      <c r="P690" s="8"/>
      <c r="Q690" s="8"/>
    </row>
    <row r="691" ht="13.65" customHeight="1">
      <c r="A691" s="18">
        <v>45273</v>
      </c>
      <c r="B691" t="s" s="13">
        <v>22</v>
      </c>
      <c r="C691" s="14">
        <v>3240</v>
      </c>
      <c r="D691" s="14">
        <v>3254.95</v>
      </c>
      <c r="E691" s="14">
        <v>3190.3</v>
      </c>
      <c r="F691" s="14">
        <v>3224.75</v>
      </c>
      <c r="G691" s="14">
        <v>3237.5</v>
      </c>
      <c r="H691" s="14">
        <v>3243.65</v>
      </c>
      <c r="I691" s="14">
        <v>3221.45</v>
      </c>
      <c r="J691" s="14">
        <v>3568</v>
      </c>
      <c r="K691" s="14">
        <v>2685.85</v>
      </c>
      <c r="L691" s="15">
        <v>1052079</v>
      </c>
      <c r="M691" t="s" s="13">
        <v>6996</v>
      </c>
      <c r="N691" s="15">
        <v>82462</v>
      </c>
      <c r="O691" s="17" cm="1">
        <f t="array" ref="O691">(H691-H690)/H690</f>
        <v>0.00586091945112024</v>
      </c>
      <c r="P691" s="8"/>
      <c r="Q691" s="8"/>
    </row>
    <row r="692" ht="13.65" customHeight="1">
      <c r="A692" s="18">
        <v>45274</v>
      </c>
      <c r="B692" t="s" s="13">
        <v>22</v>
      </c>
      <c r="C692" s="14">
        <v>3255</v>
      </c>
      <c r="D692" s="14">
        <v>3258.6</v>
      </c>
      <c r="E692" s="14">
        <v>3218</v>
      </c>
      <c r="F692" s="14">
        <v>3243.65</v>
      </c>
      <c r="G692" s="14">
        <v>3245.75</v>
      </c>
      <c r="H692" s="14">
        <v>3241.35</v>
      </c>
      <c r="I692" s="14">
        <v>3237.43</v>
      </c>
      <c r="J692" s="14">
        <v>3568</v>
      </c>
      <c r="K692" s="14">
        <v>2685.85</v>
      </c>
      <c r="L692" s="15">
        <v>923107</v>
      </c>
      <c r="M692" t="s" s="13">
        <v>6997</v>
      </c>
      <c r="N692" s="15">
        <v>95724</v>
      </c>
      <c r="O692" s="17" cm="1">
        <f t="array" ref="O692">(H692-H691)/H691</f>
        <v>-0.000709077736500547</v>
      </c>
      <c r="P692" s="8"/>
      <c r="Q692" s="8"/>
    </row>
    <row r="693" ht="13.65" customHeight="1">
      <c r="A693" s="18">
        <v>45275</v>
      </c>
      <c r="B693" t="s" s="13">
        <v>22</v>
      </c>
      <c r="C693" s="14">
        <v>3250</v>
      </c>
      <c r="D693" s="14">
        <v>3326.35</v>
      </c>
      <c r="E693" s="14">
        <v>3242</v>
      </c>
      <c r="F693" s="14">
        <v>3241.35</v>
      </c>
      <c r="G693" s="14">
        <v>3312.65</v>
      </c>
      <c r="H693" s="14">
        <v>3313.9</v>
      </c>
      <c r="I693" s="14">
        <v>3288.17</v>
      </c>
      <c r="J693" s="14">
        <v>3568</v>
      </c>
      <c r="K693" s="14">
        <v>2685.85</v>
      </c>
      <c r="L693" s="15">
        <v>1631687</v>
      </c>
      <c r="M693" t="s" s="13">
        <v>6998</v>
      </c>
      <c r="N693" s="15">
        <v>104245</v>
      </c>
      <c r="O693" s="17" cm="1">
        <f t="array" ref="O693">(H693-H692)/H692</f>
        <v>0.0223826492048066</v>
      </c>
      <c r="P693" s="8"/>
      <c r="Q693" s="8"/>
    </row>
    <row r="694" ht="13.65" customHeight="1">
      <c r="A694" s="18">
        <v>45278</v>
      </c>
      <c r="B694" t="s" s="13">
        <v>22</v>
      </c>
      <c r="C694" s="14">
        <v>3313</v>
      </c>
      <c r="D694" s="14">
        <v>3335.8</v>
      </c>
      <c r="E694" s="14">
        <v>3296</v>
      </c>
      <c r="F694" s="14">
        <v>3313.9</v>
      </c>
      <c r="G694" s="14">
        <v>3335</v>
      </c>
      <c r="H694" s="14">
        <v>3332.05</v>
      </c>
      <c r="I694" s="14">
        <v>3322.04</v>
      </c>
      <c r="J694" s="14">
        <v>3568</v>
      </c>
      <c r="K694" s="14">
        <v>2685.85</v>
      </c>
      <c r="L694" s="15">
        <v>911936</v>
      </c>
      <c r="M694" t="s" s="13">
        <v>6999</v>
      </c>
      <c r="N694" s="15">
        <v>67398</v>
      </c>
      <c r="O694" s="17" cm="1">
        <f t="array" ref="O694">(H694-H693)/H693</f>
        <v>0.00547693050484324</v>
      </c>
      <c r="P694" s="8"/>
      <c r="Q694" s="8"/>
    </row>
    <row r="695" ht="13.65" customHeight="1">
      <c r="A695" s="18">
        <v>45279</v>
      </c>
      <c r="B695" t="s" s="13">
        <v>22</v>
      </c>
      <c r="C695" s="14">
        <v>3335.95</v>
      </c>
      <c r="D695" s="14">
        <v>3353.9</v>
      </c>
      <c r="E695" s="14">
        <v>3300.15</v>
      </c>
      <c r="F695" s="14">
        <v>3332.05</v>
      </c>
      <c r="G695" s="14">
        <v>3335</v>
      </c>
      <c r="H695" s="14">
        <v>3336.05</v>
      </c>
      <c r="I695" s="14">
        <v>3329.54</v>
      </c>
      <c r="J695" s="14">
        <v>3568</v>
      </c>
      <c r="K695" s="14">
        <v>2685.85</v>
      </c>
      <c r="L695" s="15">
        <v>780448</v>
      </c>
      <c r="M695" t="s" s="13">
        <v>7000</v>
      </c>
      <c r="N695" s="15">
        <v>62835</v>
      </c>
      <c r="O695" s="17" cm="1">
        <f t="array" ref="O695">(H695-H694)/H694</f>
        <v>0.00120046217793851</v>
      </c>
      <c r="P695" s="8"/>
      <c r="Q695" s="8"/>
    </row>
    <row r="696" ht="13.65" customHeight="1">
      <c r="A696" s="18">
        <v>45280</v>
      </c>
      <c r="B696" t="s" s="13">
        <v>22</v>
      </c>
      <c r="C696" s="14">
        <v>3336.05</v>
      </c>
      <c r="D696" s="14">
        <v>3359.95</v>
      </c>
      <c r="E696" s="14">
        <v>3282.65</v>
      </c>
      <c r="F696" s="14">
        <v>3336.05</v>
      </c>
      <c r="G696" s="14">
        <v>3288</v>
      </c>
      <c r="H696" s="14">
        <v>3297.15</v>
      </c>
      <c r="I696" s="14">
        <v>3327.79</v>
      </c>
      <c r="J696" s="14">
        <v>3568</v>
      </c>
      <c r="K696" s="14">
        <v>2685.85</v>
      </c>
      <c r="L696" s="15">
        <v>979762</v>
      </c>
      <c r="M696" t="s" s="13">
        <v>7001</v>
      </c>
      <c r="N696" s="15">
        <v>81014</v>
      </c>
      <c r="O696" s="17" cm="1">
        <f t="array" ref="O696">(H696-H695)/H695</f>
        <v>-0.0116604966951934</v>
      </c>
      <c r="P696" s="8"/>
      <c r="Q696" s="8"/>
    </row>
    <row r="697" ht="13.65" customHeight="1">
      <c r="A697" s="18">
        <v>45281</v>
      </c>
      <c r="B697" t="s" s="13">
        <v>22</v>
      </c>
      <c r="C697" s="14">
        <v>3280</v>
      </c>
      <c r="D697" s="14">
        <v>3320</v>
      </c>
      <c r="E697" s="14">
        <v>3271.85</v>
      </c>
      <c r="F697" s="14">
        <v>3297.15</v>
      </c>
      <c r="G697" s="14">
        <v>3305.65</v>
      </c>
      <c r="H697" s="14">
        <v>3302.95</v>
      </c>
      <c r="I697" s="14">
        <v>3296.07</v>
      </c>
      <c r="J697" s="14">
        <v>3568</v>
      </c>
      <c r="K697" s="14">
        <v>2685.85</v>
      </c>
      <c r="L697" s="15">
        <v>1585879</v>
      </c>
      <c r="M697" t="s" s="13">
        <v>7002</v>
      </c>
      <c r="N697" s="15">
        <v>83813</v>
      </c>
      <c r="O697" s="17" cm="1">
        <f t="array" ref="O697">(H697-H696)/H696</f>
        <v>0.00175909497596409</v>
      </c>
      <c r="P697" s="8"/>
      <c r="Q697" s="8"/>
    </row>
    <row r="698" ht="13.65" customHeight="1">
      <c r="A698" s="18">
        <v>45282</v>
      </c>
      <c r="B698" t="s" s="13">
        <v>22</v>
      </c>
      <c r="C698" s="14">
        <v>3309.9</v>
      </c>
      <c r="D698" s="14">
        <v>3350.8</v>
      </c>
      <c r="E698" s="14">
        <v>3287</v>
      </c>
      <c r="F698" s="14">
        <v>3302.95</v>
      </c>
      <c r="G698" s="14">
        <v>3345</v>
      </c>
      <c r="H698" s="14">
        <v>3341.3</v>
      </c>
      <c r="I698" s="14">
        <v>3331.17</v>
      </c>
      <c r="J698" s="14">
        <v>3568</v>
      </c>
      <c r="K698" s="14">
        <v>2685.85</v>
      </c>
      <c r="L698" s="15">
        <v>930563</v>
      </c>
      <c r="M698" t="s" s="13">
        <v>7003</v>
      </c>
      <c r="N698" s="15">
        <v>99092</v>
      </c>
      <c r="O698" s="17" cm="1">
        <f t="array" ref="O698">(H698-H697)/H697</f>
        <v>0.011610832740429</v>
      </c>
      <c r="P698" s="8"/>
      <c r="Q698" s="8"/>
    </row>
    <row r="699" ht="13.65" customHeight="1">
      <c r="A699" s="18">
        <v>45286</v>
      </c>
      <c r="B699" t="s" s="13">
        <v>22</v>
      </c>
      <c r="C699" s="14">
        <v>3349.95</v>
      </c>
      <c r="D699" s="14">
        <v>3391.9</v>
      </c>
      <c r="E699" s="14">
        <v>3345.2</v>
      </c>
      <c r="F699" s="14">
        <v>3341.3</v>
      </c>
      <c r="G699" s="14">
        <v>3383</v>
      </c>
      <c r="H699" s="14">
        <v>3383.35</v>
      </c>
      <c r="I699" s="14">
        <v>3370.47</v>
      </c>
      <c r="J699" s="14">
        <v>3568</v>
      </c>
      <c r="K699" s="14">
        <v>2685.85</v>
      </c>
      <c r="L699" s="15">
        <v>600190</v>
      </c>
      <c r="M699" t="s" s="13">
        <v>7004</v>
      </c>
      <c r="N699" s="15">
        <v>49808</v>
      </c>
      <c r="O699" s="17" cm="1">
        <f t="array" ref="O699">(H699-H698)/H698</f>
        <v>0.0125849220363332</v>
      </c>
      <c r="P699" s="8"/>
      <c r="Q699" s="8"/>
    </row>
    <row r="700" ht="13.65" customHeight="1">
      <c r="A700" s="18">
        <v>45287</v>
      </c>
      <c r="B700" t="s" s="13">
        <v>22</v>
      </c>
      <c r="C700" s="14">
        <v>3381.05</v>
      </c>
      <c r="D700" s="14">
        <v>3409.95</v>
      </c>
      <c r="E700" s="14">
        <v>3354</v>
      </c>
      <c r="F700" s="14">
        <v>3383.35</v>
      </c>
      <c r="G700" s="14">
        <v>3400</v>
      </c>
      <c r="H700" s="14">
        <v>3404.45</v>
      </c>
      <c r="I700" s="14">
        <v>3376.34</v>
      </c>
      <c r="J700" s="14">
        <v>3568</v>
      </c>
      <c r="K700" s="14">
        <v>2685.85</v>
      </c>
      <c r="L700" s="15">
        <v>837182</v>
      </c>
      <c r="M700" t="s" s="13">
        <v>7005</v>
      </c>
      <c r="N700" s="15">
        <v>87270</v>
      </c>
      <c r="O700" s="17" cm="1">
        <f t="array" ref="O700">(H700-H699)/H699</f>
        <v>0.00623642248067744</v>
      </c>
      <c r="P700" s="8"/>
      <c r="Q700" s="8"/>
    </row>
    <row r="701" ht="13.65" customHeight="1">
      <c r="A701" s="18">
        <v>45288</v>
      </c>
      <c r="B701" t="s" s="13">
        <v>22</v>
      </c>
      <c r="C701" s="14">
        <v>3405</v>
      </c>
      <c r="D701" s="14">
        <v>3419.95</v>
      </c>
      <c r="E701" s="14">
        <v>3373.05</v>
      </c>
      <c r="F701" s="14">
        <v>3404.45</v>
      </c>
      <c r="G701" s="14">
        <v>3399.5</v>
      </c>
      <c r="H701" s="14">
        <v>3397.25</v>
      </c>
      <c r="I701" s="14">
        <v>3392.66</v>
      </c>
      <c r="J701" s="14">
        <v>3568</v>
      </c>
      <c r="K701" s="14">
        <v>2685.85</v>
      </c>
      <c r="L701" s="15">
        <v>779250</v>
      </c>
      <c r="M701" t="s" s="13">
        <v>7006</v>
      </c>
      <c r="N701" s="15">
        <v>84398</v>
      </c>
      <c r="O701" s="17" cm="1">
        <f t="array" ref="O701">(H701-H700)/H700</f>
        <v>-0.00211487905535402</v>
      </c>
      <c r="P701" s="8"/>
      <c r="Q701" s="8"/>
    </row>
    <row r="702" ht="13.65" customHeight="1">
      <c r="A702" s="18">
        <v>45289</v>
      </c>
      <c r="B702" t="s" s="13">
        <v>22</v>
      </c>
      <c r="C702" s="14">
        <v>3410</v>
      </c>
      <c r="D702" s="14">
        <v>3422.95</v>
      </c>
      <c r="E702" s="14">
        <v>3383.9</v>
      </c>
      <c r="F702" s="14">
        <v>3397.25</v>
      </c>
      <c r="G702" s="14">
        <v>3394.75</v>
      </c>
      <c r="H702" s="14">
        <v>3402.4</v>
      </c>
      <c r="I702" s="14">
        <v>3401.15</v>
      </c>
      <c r="J702" s="14">
        <v>3568</v>
      </c>
      <c r="K702" s="14">
        <v>2685.85</v>
      </c>
      <c r="L702" s="15">
        <v>615676</v>
      </c>
      <c r="M702" t="s" s="13">
        <v>7007</v>
      </c>
      <c r="N702" s="15">
        <v>67005</v>
      </c>
      <c r="O702" s="17" cm="1">
        <f t="array" ref="O702">(H702-H701)/H701</f>
        <v>0.00151593200382662</v>
      </c>
      <c r="P702" s="8"/>
      <c r="Q702" s="8"/>
    </row>
    <row r="703" ht="13.65" customHeight="1">
      <c r="A703" s="12">
        <v>45292</v>
      </c>
      <c r="B703" t="s" s="13">
        <v>22</v>
      </c>
      <c r="C703" s="14">
        <v>3403</v>
      </c>
      <c r="D703" s="14">
        <v>3411.8</v>
      </c>
      <c r="E703" s="14">
        <v>3389.15</v>
      </c>
      <c r="F703" s="14">
        <v>3402.4</v>
      </c>
      <c r="G703" s="14">
        <v>3390</v>
      </c>
      <c r="H703" s="14">
        <v>3396.1</v>
      </c>
      <c r="I703" s="14">
        <v>3397.12</v>
      </c>
      <c r="J703" s="14">
        <v>3568</v>
      </c>
      <c r="K703" s="14">
        <v>2685.85</v>
      </c>
      <c r="L703" s="15">
        <v>283951</v>
      </c>
      <c r="M703" t="s" s="13">
        <v>7008</v>
      </c>
      <c r="N703" s="15">
        <v>41365</v>
      </c>
      <c r="O703" s="17" cm="1">
        <f t="array" ref="O703">(H703-H702)/H702</f>
        <v>-0.00185163414060663</v>
      </c>
      <c r="P703" s="8"/>
      <c r="Q703" s="8"/>
    </row>
    <row r="704" ht="13.65" customHeight="1">
      <c r="A704" s="12">
        <v>45293</v>
      </c>
      <c r="B704" t="s" s="13">
        <v>22</v>
      </c>
      <c r="C704" s="14">
        <v>3396</v>
      </c>
      <c r="D704" s="14">
        <v>3398.9</v>
      </c>
      <c r="E704" s="14">
        <v>3345</v>
      </c>
      <c r="F704" s="14">
        <v>3396.1</v>
      </c>
      <c r="G704" s="14">
        <v>3390</v>
      </c>
      <c r="H704" s="14">
        <v>3391.35</v>
      </c>
      <c r="I704" s="14">
        <v>3375.92</v>
      </c>
      <c r="J704" s="14">
        <v>3568</v>
      </c>
      <c r="K704" s="14">
        <v>2685.85</v>
      </c>
      <c r="L704" s="15">
        <v>552394</v>
      </c>
      <c r="M704" t="s" s="13">
        <v>7009</v>
      </c>
      <c r="N704" s="15">
        <v>58169</v>
      </c>
      <c r="O704" s="17" cm="1">
        <f t="array" ref="O704">(H704-H703)/H703</f>
        <v>-0.00139866317246253</v>
      </c>
      <c r="P704" s="8"/>
      <c r="Q704" s="8"/>
    </row>
    <row r="705" ht="13.65" customHeight="1">
      <c r="A705" s="12">
        <v>45294</v>
      </c>
      <c r="B705" t="s" s="13">
        <v>22</v>
      </c>
      <c r="C705" s="14">
        <v>3391.35</v>
      </c>
      <c r="D705" s="14">
        <v>3399</v>
      </c>
      <c r="E705" s="14">
        <v>3365</v>
      </c>
      <c r="F705" s="14">
        <v>3391.35</v>
      </c>
      <c r="G705" s="14">
        <v>3374.95</v>
      </c>
      <c r="H705" s="14">
        <v>3373.6</v>
      </c>
      <c r="I705" s="14">
        <v>3384.56</v>
      </c>
      <c r="J705" s="14">
        <v>3568</v>
      </c>
      <c r="K705" s="14">
        <v>2685.85</v>
      </c>
      <c r="L705" s="15">
        <v>379131</v>
      </c>
      <c r="M705" t="s" s="13">
        <v>7010</v>
      </c>
      <c r="N705" s="15">
        <v>45139</v>
      </c>
      <c r="O705" s="17" cm="1">
        <f t="array" ref="O705">(H705-H704)/H704</f>
        <v>-0.00523390390257567</v>
      </c>
      <c r="P705" s="8"/>
      <c r="Q705" s="8"/>
    </row>
    <row r="706" ht="13.65" customHeight="1">
      <c r="A706" s="12">
        <v>45295</v>
      </c>
      <c r="B706" t="s" s="13">
        <v>22</v>
      </c>
      <c r="C706" s="14">
        <v>3372</v>
      </c>
      <c r="D706" s="14">
        <v>3401.25</v>
      </c>
      <c r="E706" s="14">
        <v>3363.8</v>
      </c>
      <c r="F706" s="14">
        <v>3373.6</v>
      </c>
      <c r="G706" s="14">
        <v>3375.35</v>
      </c>
      <c r="H706" s="14">
        <v>3379.95</v>
      </c>
      <c r="I706" s="14">
        <v>3385.28</v>
      </c>
      <c r="J706" s="14">
        <v>3568</v>
      </c>
      <c r="K706" s="14">
        <v>2685.85</v>
      </c>
      <c r="L706" s="15">
        <v>777127</v>
      </c>
      <c r="M706" t="s" s="13">
        <v>7011</v>
      </c>
      <c r="N706" s="15">
        <v>73687</v>
      </c>
      <c r="O706" s="17" cm="1">
        <f t="array" ref="O706">(H706-H705)/H705</f>
        <v>0.00188226227175717</v>
      </c>
      <c r="P706" s="8"/>
      <c r="Q706" s="8"/>
    </row>
    <row r="707" ht="13.65" customHeight="1">
      <c r="A707" s="12">
        <v>45296</v>
      </c>
      <c r="B707" t="s" s="13">
        <v>22</v>
      </c>
      <c r="C707" s="14">
        <v>3379.95</v>
      </c>
      <c r="D707" s="14">
        <v>3380.4</v>
      </c>
      <c r="E707" s="14">
        <v>3348</v>
      </c>
      <c r="F707" s="14">
        <v>3379.95</v>
      </c>
      <c r="G707" s="14">
        <v>3352</v>
      </c>
      <c r="H707" s="14">
        <v>3355.55</v>
      </c>
      <c r="I707" s="14">
        <v>3364.27</v>
      </c>
      <c r="J707" s="14">
        <v>3568</v>
      </c>
      <c r="K707" s="14">
        <v>2685.85</v>
      </c>
      <c r="L707" s="15">
        <v>416956</v>
      </c>
      <c r="M707" t="s" s="13">
        <v>7012</v>
      </c>
      <c r="N707" s="15">
        <v>68006</v>
      </c>
      <c r="O707" s="17" cm="1">
        <f t="array" ref="O707">(H707-H706)/H706</f>
        <v>-0.00721904170180032</v>
      </c>
      <c r="P707" s="8"/>
      <c r="Q707" s="8"/>
    </row>
    <row r="708" ht="13.65" customHeight="1">
      <c r="A708" s="12">
        <v>45299</v>
      </c>
      <c r="B708" t="s" s="13">
        <v>22</v>
      </c>
      <c r="C708" s="14">
        <v>3355</v>
      </c>
      <c r="D708" s="14">
        <v>3376.5</v>
      </c>
      <c r="E708" s="14">
        <v>3294.85</v>
      </c>
      <c r="F708" s="14">
        <v>3355.55</v>
      </c>
      <c r="G708" s="14">
        <v>3301</v>
      </c>
      <c r="H708" s="14">
        <v>3298.4</v>
      </c>
      <c r="I708" s="14">
        <v>3322.1</v>
      </c>
      <c r="J708" s="14">
        <v>3568</v>
      </c>
      <c r="K708" s="14">
        <v>2685.85</v>
      </c>
      <c r="L708" s="15">
        <v>545884</v>
      </c>
      <c r="M708" t="s" s="13">
        <v>7013</v>
      </c>
      <c r="N708" s="15">
        <v>62730</v>
      </c>
      <c r="O708" s="17" cm="1">
        <f t="array" ref="O708">(H708-H707)/H707</f>
        <v>-0.0170314851514655</v>
      </c>
      <c r="P708" s="8"/>
      <c r="Q708" s="8"/>
    </row>
    <row r="709" ht="13.65" customHeight="1">
      <c r="A709" s="12">
        <v>45300</v>
      </c>
      <c r="B709" t="s" s="13">
        <v>22</v>
      </c>
      <c r="C709" s="14">
        <v>3310</v>
      </c>
      <c r="D709" s="14">
        <v>3315</v>
      </c>
      <c r="E709" s="14">
        <v>3262.25</v>
      </c>
      <c r="F709" s="14">
        <v>3298.4</v>
      </c>
      <c r="G709" s="14">
        <v>3272.25</v>
      </c>
      <c r="H709" s="14">
        <v>3267.5</v>
      </c>
      <c r="I709" s="14">
        <v>3288.37</v>
      </c>
      <c r="J709" s="14">
        <v>3568</v>
      </c>
      <c r="K709" s="14">
        <v>2685.85</v>
      </c>
      <c r="L709" s="15">
        <v>670704</v>
      </c>
      <c r="M709" t="s" s="13">
        <v>7014</v>
      </c>
      <c r="N709" s="15">
        <v>58748</v>
      </c>
      <c r="O709" s="17" cm="1">
        <f t="array" ref="O709">(H709-H708)/H708</f>
        <v>-0.009368178510793111</v>
      </c>
      <c r="P709" s="8"/>
      <c r="Q709" s="8"/>
    </row>
    <row r="710" ht="13.65" customHeight="1">
      <c r="A710" s="18">
        <v>45301</v>
      </c>
      <c r="B710" t="s" s="13">
        <v>22</v>
      </c>
      <c r="C710" s="14">
        <v>3292</v>
      </c>
      <c r="D710" s="14">
        <v>3293</v>
      </c>
      <c r="E710" s="14">
        <v>3258.2</v>
      </c>
      <c r="F710" s="14">
        <v>3267.5</v>
      </c>
      <c r="G710" s="14">
        <v>3285</v>
      </c>
      <c r="H710" s="14">
        <v>3286.85</v>
      </c>
      <c r="I710" s="14">
        <v>3276.23</v>
      </c>
      <c r="J710" s="14">
        <v>3568</v>
      </c>
      <c r="K710" s="14">
        <v>2685.85</v>
      </c>
      <c r="L710" s="15">
        <v>691087</v>
      </c>
      <c r="M710" t="s" s="13">
        <v>7015</v>
      </c>
      <c r="N710" s="15">
        <v>59565</v>
      </c>
      <c r="O710" s="17" cm="1">
        <f t="array" ref="O710">(H710-H709)/H709</f>
        <v>0.00592195868400918</v>
      </c>
      <c r="P710" s="8"/>
      <c r="Q710" s="8"/>
    </row>
    <row r="711" ht="13.65" customHeight="1">
      <c r="A711" s="18">
        <v>45302</v>
      </c>
      <c r="B711" t="s" s="13">
        <v>22</v>
      </c>
      <c r="C711" s="14">
        <v>3286.85</v>
      </c>
      <c r="D711" s="14">
        <v>3309.2</v>
      </c>
      <c r="E711" s="14">
        <v>3270.7</v>
      </c>
      <c r="F711" s="14">
        <v>3286.85</v>
      </c>
      <c r="G711" s="14">
        <v>3285</v>
      </c>
      <c r="H711" s="14">
        <v>3288.2</v>
      </c>
      <c r="I711" s="14">
        <v>3285.11</v>
      </c>
      <c r="J711" s="14">
        <v>3568</v>
      </c>
      <c r="K711" s="14">
        <v>2685.85</v>
      </c>
      <c r="L711" s="15">
        <v>537469</v>
      </c>
      <c r="M711" t="s" s="13">
        <v>7016</v>
      </c>
      <c r="N711" s="15">
        <v>74706</v>
      </c>
      <c r="O711" s="17" cm="1">
        <f t="array" ref="O711">(H711-H710)/H710</f>
        <v>0.000410727596330833</v>
      </c>
      <c r="P711" s="8"/>
      <c r="Q711" s="8"/>
    </row>
    <row r="712" ht="13.65" customHeight="1">
      <c r="A712" s="18">
        <v>45303</v>
      </c>
      <c r="B712" t="s" s="13">
        <v>22</v>
      </c>
      <c r="C712" s="14">
        <v>3294.95</v>
      </c>
      <c r="D712" s="14">
        <v>3294.95</v>
      </c>
      <c r="E712" s="14">
        <v>3244</v>
      </c>
      <c r="F712" s="14">
        <v>3288.2</v>
      </c>
      <c r="G712" s="14">
        <v>3287.25</v>
      </c>
      <c r="H712" s="14">
        <v>3277.8</v>
      </c>
      <c r="I712" s="14">
        <v>3265.68</v>
      </c>
      <c r="J712" s="14">
        <v>3568</v>
      </c>
      <c r="K712" s="14">
        <v>2685.85</v>
      </c>
      <c r="L712" s="15">
        <v>673004</v>
      </c>
      <c r="M712" t="s" s="13">
        <v>7017</v>
      </c>
      <c r="N712" s="15">
        <v>87373</v>
      </c>
      <c r="O712" s="17" cm="1">
        <f t="array" ref="O712">(H712-H711)/H711</f>
        <v>-0.00316282464570282</v>
      </c>
      <c r="P712" s="8"/>
      <c r="Q712" s="8"/>
    </row>
    <row r="713" ht="13.65" customHeight="1">
      <c r="A713" s="18">
        <v>45306</v>
      </c>
      <c r="B713" t="s" s="13">
        <v>22</v>
      </c>
      <c r="C713" s="14">
        <v>3282.2</v>
      </c>
      <c r="D713" s="14">
        <v>3287.2</v>
      </c>
      <c r="E713" s="14">
        <v>3258.6</v>
      </c>
      <c r="F713" s="14">
        <v>3277.8</v>
      </c>
      <c r="G713" s="14">
        <v>3280</v>
      </c>
      <c r="H713" s="14">
        <v>3273.9</v>
      </c>
      <c r="I713" s="14">
        <v>3268.89</v>
      </c>
      <c r="J713" s="14">
        <v>3568</v>
      </c>
      <c r="K713" s="14">
        <v>2685.85</v>
      </c>
      <c r="L713" s="15">
        <v>728116</v>
      </c>
      <c r="M713" t="s" s="13">
        <v>7018</v>
      </c>
      <c r="N713" s="15">
        <v>71432</v>
      </c>
      <c r="O713" s="17" cm="1">
        <f t="array" ref="O713">(H713-H712)/H712</f>
        <v>-0.00118982244188175</v>
      </c>
      <c r="P713" s="8"/>
      <c r="Q713" s="8"/>
    </row>
    <row r="714" ht="13.65" customHeight="1">
      <c r="A714" s="18">
        <v>45307</v>
      </c>
      <c r="B714" t="s" s="13">
        <v>22</v>
      </c>
      <c r="C714" s="14">
        <v>3274.95</v>
      </c>
      <c r="D714" s="14">
        <v>3320</v>
      </c>
      <c r="E714" s="14">
        <v>3273.9</v>
      </c>
      <c r="F714" s="14">
        <v>3273.9</v>
      </c>
      <c r="G714" s="14">
        <v>3302.75</v>
      </c>
      <c r="H714" s="14">
        <v>3296.9</v>
      </c>
      <c r="I714" s="14">
        <v>3300.41</v>
      </c>
      <c r="J714" s="14">
        <v>3568</v>
      </c>
      <c r="K714" s="14">
        <v>2685.85</v>
      </c>
      <c r="L714" s="15">
        <v>748215</v>
      </c>
      <c r="M714" t="s" s="13">
        <v>7019</v>
      </c>
      <c r="N714" s="15">
        <v>90527</v>
      </c>
      <c r="O714" s="17" cm="1">
        <f t="array" ref="O714">(H714-H713)/H713</f>
        <v>0.00702526039280369</v>
      </c>
      <c r="P714" s="8"/>
      <c r="Q714" s="8"/>
    </row>
    <row r="715" ht="13.65" customHeight="1">
      <c r="A715" s="18">
        <v>45308</v>
      </c>
      <c r="B715" t="s" s="13">
        <v>22</v>
      </c>
      <c r="C715" s="14">
        <v>3294.1</v>
      </c>
      <c r="D715" s="14">
        <v>3304.35</v>
      </c>
      <c r="E715" s="14">
        <v>3193.05</v>
      </c>
      <c r="F715" s="14">
        <v>3296.9</v>
      </c>
      <c r="G715" s="14">
        <v>3249.7</v>
      </c>
      <c r="H715" s="14">
        <v>3242.3</v>
      </c>
      <c r="I715" s="14">
        <v>3264.05</v>
      </c>
      <c r="J715" s="14">
        <v>3568</v>
      </c>
      <c r="K715" s="14">
        <v>2685.85</v>
      </c>
      <c r="L715" s="15">
        <v>2239241</v>
      </c>
      <c r="M715" t="s" s="13">
        <v>7020</v>
      </c>
      <c r="N715" s="15">
        <v>146143</v>
      </c>
      <c r="O715" s="17" cm="1">
        <f t="array" ref="O715">(H715-H714)/H714</f>
        <v>-0.0165610118596257</v>
      </c>
      <c r="P715" s="8"/>
      <c r="Q715" s="8"/>
    </row>
    <row r="716" ht="13.65" customHeight="1">
      <c r="A716" s="18">
        <v>45309</v>
      </c>
      <c r="B716" t="s" s="13">
        <v>22</v>
      </c>
      <c r="C716" s="14">
        <v>3257.95</v>
      </c>
      <c r="D716" s="14">
        <v>3257.95</v>
      </c>
      <c r="E716" s="14">
        <v>3048.6</v>
      </c>
      <c r="F716" s="14">
        <v>3242.3</v>
      </c>
      <c r="G716" s="14">
        <v>3173</v>
      </c>
      <c r="H716" s="14">
        <v>3163.85</v>
      </c>
      <c r="I716" s="14">
        <v>3147.43</v>
      </c>
      <c r="J716" s="14">
        <v>3568</v>
      </c>
      <c r="K716" s="14">
        <v>2685.85</v>
      </c>
      <c r="L716" s="15">
        <v>1979174</v>
      </c>
      <c r="M716" t="s" s="13">
        <v>7021</v>
      </c>
      <c r="N716" s="15">
        <v>188313</v>
      </c>
      <c r="O716" s="17" cm="1">
        <f t="array" ref="O716">(H716-H715)/H715</f>
        <v>-0.0241957869413688</v>
      </c>
      <c r="P716" s="8"/>
      <c r="Q716" s="8"/>
    </row>
    <row r="717" ht="13.65" customHeight="1">
      <c r="A717" s="18">
        <v>45310</v>
      </c>
      <c r="B717" t="s" s="13">
        <v>22</v>
      </c>
      <c r="C717" s="14">
        <v>3177.8</v>
      </c>
      <c r="D717" s="14">
        <v>3201.55</v>
      </c>
      <c r="E717" s="14">
        <v>3148.6</v>
      </c>
      <c r="F717" s="14">
        <v>3163.85</v>
      </c>
      <c r="G717" s="14">
        <v>3166</v>
      </c>
      <c r="H717" s="14">
        <v>3165.85</v>
      </c>
      <c r="I717" s="14">
        <v>3171.07</v>
      </c>
      <c r="J717" s="14">
        <v>3568</v>
      </c>
      <c r="K717" s="14">
        <v>2685.85</v>
      </c>
      <c r="L717" s="15">
        <v>936201</v>
      </c>
      <c r="M717" t="s" s="13">
        <v>7022</v>
      </c>
      <c r="N717" s="15">
        <v>107564</v>
      </c>
      <c r="O717" s="17" cm="1">
        <f t="array" ref="O717">(H717-H716)/H716</f>
        <v>0.000632141220348626</v>
      </c>
      <c r="P717" s="8"/>
      <c r="Q717" s="8"/>
    </row>
    <row r="718" ht="13.65" customHeight="1">
      <c r="A718" s="18">
        <v>45311</v>
      </c>
      <c r="B718" t="s" s="13">
        <v>22</v>
      </c>
      <c r="C718" s="14">
        <v>3179.9</v>
      </c>
      <c r="D718" s="14">
        <v>3189.2</v>
      </c>
      <c r="E718" s="14">
        <v>3130.35</v>
      </c>
      <c r="F718" s="14">
        <v>3165.85</v>
      </c>
      <c r="G718" s="14">
        <v>3142.85</v>
      </c>
      <c r="H718" s="14">
        <v>3138.8</v>
      </c>
      <c r="I718" s="14">
        <v>3156.45</v>
      </c>
      <c r="J718" s="14">
        <v>3568</v>
      </c>
      <c r="K718" s="14">
        <v>2685.85</v>
      </c>
      <c r="L718" s="15">
        <v>275937</v>
      </c>
      <c r="M718" t="s" s="13">
        <v>7023</v>
      </c>
      <c r="N718" s="15">
        <v>30633</v>
      </c>
      <c r="O718" s="17" cm="1">
        <f t="array" ref="O718">(H718-H717)/H717</f>
        <v>-0.008544308795426191</v>
      </c>
      <c r="P718" s="8"/>
      <c r="Q718" s="8"/>
    </row>
    <row r="719" ht="13.65" customHeight="1">
      <c r="A719" s="18">
        <v>45314</v>
      </c>
      <c r="B719" t="s" s="13">
        <v>22</v>
      </c>
      <c r="C719" s="14">
        <v>3087.55</v>
      </c>
      <c r="D719" s="14">
        <v>3109</v>
      </c>
      <c r="E719" s="14">
        <v>3021.55</v>
      </c>
      <c r="F719" s="14">
        <v>3138.8</v>
      </c>
      <c r="G719" s="14">
        <v>3073.95</v>
      </c>
      <c r="H719" s="14">
        <v>3054.7</v>
      </c>
      <c r="I719" s="14">
        <v>3061.31</v>
      </c>
      <c r="J719" s="14">
        <v>3568</v>
      </c>
      <c r="K719" s="14">
        <v>2685.85</v>
      </c>
      <c r="L719" s="15">
        <v>2365225</v>
      </c>
      <c r="M719" t="s" s="13">
        <v>7024</v>
      </c>
      <c r="N719" s="15">
        <v>177182</v>
      </c>
      <c r="O719" s="17" cm="1">
        <f t="array" ref="O719">(H719-H718)/H718</f>
        <v>-0.0267936791130368</v>
      </c>
      <c r="P719" s="8"/>
      <c r="Q719" s="8"/>
    </row>
    <row r="720" ht="13.65" customHeight="1">
      <c r="A720" s="18">
        <v>45315</v>
      </c>
      <c r="B720" t="s" s="13">
        <v>22</v>
      </c>
      <c r="C720" s="14">
        <v>3055</v>
      </c>
      <c r="D720" s="14">
        <v>3055</v>
      </c>
      <c r="E720" s="14">
        <v>2976.1</v>
      </c>
      <c r="F720" s="14">
        <v>3054.7</v>
      </c>
      <c r="G720" s="14">
        <v>3001.95</v>
      </c>
      <c r="H720" s="14">
        <v>2999.45</v>
      </c>
      <c r="I720" s="14">
        <v>2999.09</v>
      </c>
      <c r="J720" s="14">
        <v>3568</v>
      </c>
      <c r="K720" s="14">
        <v>2685.85</v>
      </c>
      <c r="L720" s="15">
        <v>2665932</v>
      </c>
      <c r="M720" t="s" s="13">
        <v>7025</v>
      </c>
      <c r="N720" s="15">
        <v>191460</v>
      </c>
      <c r="O720" s="17" cm="1">
        <f t="array" ref="O720">(H720-H719)/H719</f>
        <v>-0.0180868825089207</v>
      </c>
      <c r="P720" s="8"/>
      <c r="Q720" s="8"/>
    </row>
    <row r="721" ht="13.65" customHeight="1">
      <c r="A721" s="18">
        <v>45316</v>
      </c>
      <c r="B721" t="s" s="13">
        <v>22</v>
      </c>
      <c r="C721" s="14">
        <v>3010.05</v>
      </c>
      <c r="D721" s="14">
        <v>3016</v>
      </c>
      <c r="E721" s="14">
        <v>2942.3</v>
      </c>
      <c r="F721" s="14">
        <v>2999.45</v>
      </c>
      <c r="G721" s="14">
        <v>2949.1</v>
      </c>
      <c r="H721" s="14">
        <v>2949.2</v>
      </c>
      <c r="I721" s="14">
        <v>2961.59</v>
      </c>
      <c r="J721" s="14">
        <v>3568</v>
      </c>
      <c r="K721" s="14">
        <v>2685.85</v>
      </c>
      <c r="L721" s="15">
        <v>2001961</v>
      </c>
      <c r="M721" t="s" s="13">
        <v>7026</v>
      </c>
      <c r="N721" s="15">
        <v>165587</v>
      </c>
      <c r="O721" s="17" cm="1">
        <f t="array" ref="O721">(H721-H720)/H720</f>
        <v>-0.0167530713964227</v>
      </c>
      <c r="P721" s="8"/>
      <c r="Q721" s="8"/>
    </row>
    <row r="722" ht="13.65" customHeight="1">
      <c r="A722" s="18">
        <v>45320</v>
      </c>
      <c r="B722" t="s" s="13">
        <v>22</v>
      </c>
      <c r="C722" s="14">
        <v>2940.05</v>
      </c>
      <c r="D722" s="14">
        <v>2988.45</v>
      </c>
      <c r="E722" s="14">
        <v>2940.05</v>
      </c>
      <c r="F722" s="14">
        <v>2949.2</v>
      </c>
      <c r="G722" s="14">
        <v>2978</v>
      </c>
      <c r="H722" s="14">
        <v>2976.05</v>
      </c>
      <c r="I722" s="14">
        <v>2971.57</v>
      </c>
      <c r="J722" s="14">
        <v>3568</v>
      </c>
      <c r="K722" s="14">
        <v>2694</v>
      </c>
      <c r="L722" s="15">
        <v>1862723</v>
      </c>
      <c r="M722" t="s" s="13">
        <v>7027</v>
      </c>
      <c r="N722" s="15">
        <v>106094</v>
      </c>
      <c r="O722" s="17" cm="1">
        <f t="array" ref="O722">(H722-H721)/H721</f>
        <v>0.009104163841041639</v>
      </c>
      <c r="P722" s="8"/>
      <c r="Q722" s="8"/>
    </row>
    <row r="723" ht="13.65" customHeight="1">
      <c r="A723" s="18">
        <v>45321</v>
      </c>
      <c r="B723" t="s" s="13">
        <v>22</v>
      </c>
      <c r="C723" s="14">
        <v>2990</v>
      </c>
      <c r="D723" s="14">
        <v>3005</v>
      </c>
      <c r="E723" s="14">
        <v>2951.05</v>
      </c>
      <c r="F723" s="14">
        <v>2976.05</v>
      </c>
      <c r="G723" s="14">
        <v>2959</v>
      </c>
      <c r="H723" s="14">
        <v>2954.1</v>
      </c>
      <c r="I723" s="14">
        <v>2973.7</v>
      </c>
      <c r="J723" s="14">
        <v>3568</v>
      </c>
      <c r="K723" s="14">
        <v>2694</v>
      </c>
      <c r="L723" s="15">
        <v>1273188</v>
      </c>
      <c r="M723" t="s" s="13">
        <v>7028</v>
      </c>
      <c r="N723" s="15">
        <v>69876</v>
      </c>
      <c r="O723" s="17" cm="1">
        <f t="array" ref="O723">(H723-H722)/H722</f>
        <v>-0.00737554812587154</v>
      </c>
      <c r="P723" s="8"/>
      <c r="Q723" s="8"/>
    </row>
    <row r="724" ht="13.65" customHeight="1">
      <c r="A724" s="18">
        <v>45322</v>
      </c>
      <c r="B724" t="s" s="13">
        <v>22</v>
      </c>
      <c r="C724" s="14">
        <v>2966</v>
      </c>
      <c r="D724" s="14">
        <v>2971.9</v>
      </c>
      <c r="E724" s="14">
        <v>2948.05</v>
      </c>
      <c r="F724" s="14">
        <v>2954.1</v>
      </c>
      <c r="G724" s="14">
        <v>2964</v>
      </c>
      <c r="H724" s="14">
        <v>2957.85</v>
      </c>
      <c r="I724" s="14">
        <v>2955.88</v>
      </c>
      <c r="J724" s="14">
        <v>3568</v>
      </c>
      <c r="K724" s="14">
        <v>2694</v>
      </c>
      <c r="L724" s="15">
        <v>1771244</v>
      </c>
      <c r="M724" t="s" s="13">
        <v>7029</v>
      </c>
      <c r="N724" s="15">
        <v>120914</v>
      </c>
      <c r="O724" s="17" cm="1">
        <f t="array" ref="O724">(H724-H723)/H723</f>
        <v>0.00126942215903321</v>
      </c>
      <c r="P724" s="8"/>
      <c r="Q724" s="8"/>
    </row>
    <row r="725" ht="13.65" customHeight="1">
      <c r="A725" s="12">
        <v>45323</v>
      </c>
      <c r="B725" t="s" s="13">
        <v>22</v>
      </c>
      <c r="C725" s="14">
        <v>2961</v>
      </c>
      <c r="D725" s="14">
        <v>2972.85</v>
      </c>
      <c r="E725" s="14">
        <v>2919.95</v>
      </c>
      <c r="F725" s="14">
        <v>2957.85</v>
      </c>
      <c r="G725" s="14">
        <v>2926.1</v>
      </c>
      <c r="H725" s="14">
        <v>2929.35</v>
      </c>
      <c r="I725" s="14">
        <v>2933.01</v>
      </c>
      <c r="J725" s="14">
        <v>3568</v>
      </c>
      <c r="K725" s="14">
        <v>2694</v>
      </c>
      <c r="L725" s="15">
        <v>3006472</v>
      </c>
      <c r="M725" t="s" s="13">
        <v>7030</v>
      </c>
      <c r="N725" s="15">
        <v>141696</v>
      </c>
      <c r="O725" s="17" cm="1">
        <f t="array" ref="O725">(H725-H724)/H724</f>
        <v>-0.009635377047517621</v>
      </c>
      <c r="P725" s="8"/>
      <c r="Q725" s="8"/>
    </row>
    <row r="726" ht="13.65" customHeight="1">
      <c r="A726" s="12">
        <v>45324</v>
      </c>
      <c r="B726" t="s" s="13">
        <v>22</v>
      </c>
      <c r="C726" s="14">
        <v>2950</v>
      </c>
      <c r="D726" s="14">
        <v>2962.35</v>
      </c>
      <c r="E726" s="14">
        <v>2924.05</v>
      </c>
      <c r="F726" s="14">
        <v>2929.35</v>
      </c>
      <c r="G726" s="14">
        <v>2936.35</v>
      </c>
      <c r="H726" s="14">
        <v>2936.3</v>
      </c>
      <c r="I726" s="14">
        <v>2943.51</v>
      </c>
      <c r="J726" s="14">
        <v>3568</v>
      </c>
      <c r="K726" s="14">
        <v>2694</v>
      </c>
      <c r="L726" s="15">
        <v>1881911</v>
      </c>
      <c r="M726" t="s" s="13">
        <v>7031</v>
      </c>
      <c r="N726" s="15">
        <v>171522</v>
      </c>
      <c r="O726" s="17" cm="1">
        <f t="array" ref="O726">(H726-H725)/H725</f>
        <v>0.00237253998327274</v>
      </c>
      <c r="P726" s="8"/>
      <c r="Q726" s="8"/>
    </row>
    <row r="727" ht="13.65" customHeight="1">
      <c r="A727" s="12">
        <v>45327</v>
      </c>
      <c r="B727" t="s" s="13">
        <v>22</v>
      </c>
      <c r="C727" s="14">
        <v>2950</v>
      </c>
      <c r="D727" s="14">
        <v>2965</v>
      </c>
      <c r="E727" s="14">
        <v>2912</v>
      </c>
      <c r="F727" s="14">
        <v>2936.3</v>
      </c>
      <c r="G727" s="14">
        <v>2915.75</v>
      </c>
      <c r="H727" s="14">
        <v>2917.35</v>
      </c>
      <c r="I727" s="14">
        <v>2939.08</v>
      </c>
      <c r="J727" s="14">
        <v>3568</v>
      </c>
      <c r="K727" s="14">
        <v>2700.1</v>
      </c>
      <c r="L727" s="15">
        <v>923435</v>
      </c>
      <c r="M727" t="s" s="13">
        <v>7032</v>
      </c>
      <c r="N727" s="15">
        <v>98327</v>
      </c>
      <c r="O727" s="17" cm="1">
        <f t="array" ref="O727">(H727-H726)/H726</f>
        <v>-0.00645370023498961</v>
      </c>
      <c r="P727" s="8"/>
      <c r="Q727" s="8"/>
    </row>
    <row r="728" ht="13.65" customHeight="1">
      <c r="A728" s="12">
        <v>45328</v>
      </c>
      <c r="B728" t="s" s="13">
        <v>22</v>
      </c>
      <c r="C728" s="14">
        <v>2931</v>
      </c>
      <c r="D728" s="14">
        <v>2947</v>
      </c>
      <c r="E728" s="14">
        <v>2902.65</v>
      </c>
      <c r="F728" s="14">
        <v>2917.35</v>
      </c>
      <c r="G728" s="14">
        <v>2946</v>
      </c>
      <c r="H728" s="14">
        <v>2930.95</v>
      </c>
      <c r="I728" s="14">
        <v>2925.04</v>
      </c>
      <c r="J728" s="14">
        <v>3568</v>
      </c>
      <c r="K728" s="14">
        <v>2700.1</v>
      </c>
      <c r="L728" s="15">
        <v>1471312</v>
      </c>
      <c r="M728" t="s" s="13">
        <v>7033</v>
      </c>
      <c r="N728" s="15">
        <v>105344</v>
      </c>
      <c r="O728" s="17" cm="1">
        <f t="array" ref="O728">(H728-H727)/H727</f>
        <v>0.00466176495792414</v>
      </c>
      <c r="P728" s="8"/>
      <c r="Q728" s="8"/>
    </row>
    <row r="729" ht="13.65" customHeight="1">
      <c r="A729" s="12">
        <v>45329</v>
      </c>
      <c r="B729" t="s" s="13">
        <v>22</v>
      </c>
      <c r="C729" s="14">
        <v>2957</v>
      </c>
      <c r="D729" s="14">
        <v>3002.95</v>
      </c>
      <c r="E729" s="14">
        <v>2936.05</v>
      </c>
      <c r="F729" s="14">
        <v>2930.95</v>
      </c>
      <c r="G729" s="14">
        <v>2985</v>
      </c>
      <c r="H729" s="14">
        <v>2981.15</v>
      </c>
      <c r="I729" s="14">
        <v>2967.2</v>
      </c>
      <c r="J729" s="14">
        <v>3568</v>
      </c>
      <c r="K729" s="14">
        <v>2700.1</v>
      </c>
      <c r="L729" s="15">
        <v>1134012</v>
      </c>
      <c r="M729" t="s" s="13">
        <v>7034</v>
      </c>
      <c r="N729" s="15">
        <v>94761</v>
      </c>
      <c r="O729" s="17" cm="1">
        <f t="array" ref="O729">(H729-H728)/H728</f>
        <v>0.0171275525000426</v>
      </c>
      <c r="P729" s="8"/>
      <c r="Q729" s="8"/>
    </row>
    <row r="730" ht="13.65" customHeight="1">
      <c r="A730" s="12">
        <v>45330</v>
      </c>
      <c r="B730" t="s" s="13">
        <v>22</v>
      </c>
      <c r="C730" s="14">
        <v>2999.75</v>
      </c>
      <c r="D730" s="14">
        <v>2999.75</v>
      </c>
      <c r="E730" s="14">
        <v>2919.8</v>
      </c>
      <c r="F730" s="14">
        <v>2981.15</v>
      </c>
      <c r="G730" s="14">
        <v>2932</v>
      </c>
      <c r="H730" s="14">
        <v>2929.6</v>
      </c>
      <c r="I730" s="14">
        <v>2942.95</v>
      </c>
      <c r="J730" s="14">
        <v>3568</v>
      </c>
      <c r="K730" s="14">
        <v>2700.1</v>
      </c>
      <c r="L730" s="15">
        <v>1633654</v>
      </c>
      <c r="M730" t="s" s="13">
        <v>7035</v>
      </c>
      <c r="N730" s="15">
        <v>138167</v>
      </c>
      <c r="O730" s="17" cm="1">
        <f t="array" ref="O730">(H730-H729)/H729</f>
        <v>-0.0172919846368012</v>
      </c>
      <c r="P730" s="8"/>
      <c r="Q730" s="8"/>
    </row>
    <row r="731" ht="13.65" customHeight="1">
      <c r="A731" s="12">
        <v>45331</v>
      </c>
      <c r="B731" t="s" s="13">
        <v>22</v>
      </c>
      <c r="C731" s="14">
        <v>2930</v>
      </c>
      <c r="D731" s="14">
        <v>2959</v>
      </c>
      <c r="E731" s="14">
        <v>2910.55</v>
      </c>
      <c r="F731" s="14">
        <v>2929.6</v>
      </c>
      <c r="G731" s="14">
        <v>2955.95</v>
      </c>
      <c r="H731" s="14">
        <v>2951.65</v>
      </c>
      <c r="I731" s="14">
        <v>2938.62</v>
      </c>
      <c r="J731" s="14">
        <v>3568</v>
      </c>
      <c r="K731" s="14">
        <v>2700.1</v>
      </c>
      <c r="L731" s="15">
        <v>1144765</v>
      </c>
      <c r="M731" t="s" s="13">
        <v>7036</v>
      </c>
      <c r="N731" s="15">
        <v>104927</v>
      </c>
      <c r="O731" s="17" cm="1">
        <f t="array" ref="O731">(H731-H730)/H730</f>
        <v>0.00752662479519388</v>
      </c>
      <c r="P731" s="8"/>
      <c r="Q731" s="8"/>
    </row>
    <row r="732" ht="13.65" customHeight="1">
      <c r="A732" s="18">
        <v>45334</v>
      </c>
      <c r="B732" t="s" s="13">
        <v>22</v>
      </c>
      <c r="C732" s="14">
        <v>2951.65</v>
      </c>
      <c r="D732" s="14">
        <v>2964.95</v>
      </c>
      <c r="E732" s="14">
        <v>2920.05</v>
      </c>
      <c r="F732" s="14">
        <v>2951.65</v>
      </c>
      <c r="G732" s="14">
        <v>2959</v>
      </c>
      <c r="H732" s="14">
        <v>2953.8</v>
      </c>
      <c r="I732" s="14">
        <v>2943.98</v>
      </c>
      <c r="J732" s="14">
        <v>3568</v>
      </c>
      <c r="K732" s="14">
        <v>2700.1</v>
      </c>
      <c r="L732" s="15">
        <v>614469</v>
      </c>
      <c r="M732" t="s" s="13">
        <v>7037</v>
      </c>
      <c r="N732" s="15">
        <v>58111</v>
      </c>
      <c r="O732" s="17" cm="1">
        <f t="array" ref="O732">(H732-H731)/H731</f>
        <v>0.000728406145715108</v>
      </c>
      <c r="P732" s="8"/>
      <c r="Q732" s="8"/>
    </row>
    <row r="733" ht="13.65" customHeight="1">
      <c r="A733" s="18">
        <v>45335</v>
      </c>
      <c r="B733" t="s" s="13">
        <v>22</v>
      </c>
      <c r="C733" s="14">
        <v>2964.95</v>
      </c>
      <c r="D733" s="14">
        <v>2981.25</v>
      </c>
      <c r="E733" s="14">
        <v>2945.7</v>
      </c>
      <c r="F733" s="14">
        <v>2953.8</v>
      </c>
      <c r="G733" s="14">
        <v>2972.05</v>
      </c>
      <c r="H733" s="14">
        <v>2971.6</v>
      </c>
      <c r="I733" s="14">
        <v>2967.53</v>
      </c>
      <c r="J733" s="14">
        <v>3568</v>
      </c>
      <c r="K733" s="14">
        <v>2700.1</v>
      </c>
      <c r="L733" s="15">
        <v>717118</v>
      </c>
      <c r="M733" t="s" s="13">
        <v>7038</v>
      </c>
      <c r="N733" s="15">
        <v>60920</v>
      </c>
      <c r="O733" s="17" cm="1">
        <f t="array" ref="O733">(H733-H732)/H732</f>
        <v>0.00602613582503893</v>
      </c>
      <c r="P733" s="8"/>
      <c r="Q733" s="8"/>
    </row>
    <row r="734" ht="13.65" customHeight="1">
      <c r="A734" s="18">
        <v>45336</v>
      </c>
      <c r="B734" t="s" s="13">
        <v>22</v>
      </c>
      <c r="C734" s="14">
        <v>2969.9</v>
      </c>
      <c r="D734" s="14">
        <v>2980.8</v>
      </c>
      <c r="E734" s="14">
        <v>2936.05</v>
      </c>
      <c r="F734" s="14">
        <v>2971.6</v>
      </c>
      <c r="G734" s="14">
        <v>2974</v>
      </c>
      <c r="H734" s="14">
        <v>2976.4</v>
      </c>
      <c r="I734" s="14">
        <v>2953.41</v>
      </c>
      <c r="J734" s="14">
        <v>3568</v>
      </c>
      <c r="K734" s="14">
        <v>2700.1</v>
      </c>
      <c r="L734" s="15">
        <v>750339</v>
      </c>
      <c r="M734" t="s" s="13">
        <v>7039</v>
      </c>
      <c r="N734" s="15">
        <v>79621</v>
      </c>
      <c r="O734" s="17" cm="1">
        <f t="array" ref="O734">(H734-H733)/H733</f>
        <v>0.00161529142549468</v>
      </c>
      <c r="P734" s="8"/>
      <c r="Q734" s="8"/>
    </row>
    <row r="735" ht="13.65" customHeight="1">
      <c r="A735" s="18">
        <v>45337</v>
      </c>
      <c r="B735" t="s" s="13">
        <v>22</v>
      </c>
      <c r="C735" s="14">
        <v>2980</v>
      </c>
      <c r="D735" s="14">
        <v>3024.5</v>
      </c>
      <c r="E735" s="14">
        <v>2967.45</v>
      </c>
      <c r="F735" s="14">
        <v>2976.4</v>
      </c>
      <c r="G735" s="14">
        <v>3017.85</v>
      </c>
      <c r="H735" s="14">
        <v>3016.55</v>
      </c>
      <c r="I735" s="14">
        <v>2997.93</v>
      </c>
      <c r="J735" s="14">
        <v>3568</v>
      </c>
      <c r="K735" s="14">
        <v>2700.1</v>
      </c>
      <c r="L735" s="15">
        <v>1068730</v>
      </c>
      <c r="M735" t="s" s="13">
        <v>7040</v>
      </c>
      <c r="N735" s="15">
        <v>96818</v>
      </c>
      <c r="O735" s="17" cm="1">
        <f t="array" ref="O735">(H735-H734)/H734</f>
        <v>0.0134894503426959</v>
      </c>
      <c r="P735" s="8"/>
      <c r="Q735" s="8"/>
    </row>
    <row r="736" ht="13.65" customHeight="1">
      <c r="A736" s="18">
        <v>45338</v>
      </c>
      <c r="B736" t="s" s="13">
        <v>22</v>
      </c>
      <c r="C736" s="14">
        <v>3035</v>
      </c>
      <c r="D736" s="14">
        <v>3035</v>
      </c>
      <c r="E736" s="14">
        <v>3000</v>
      </c>
      <c r="F736" s="14">
        <v>3016.55</v>
      </c>
      <c r="G736" s="14">
        <v>3007</v>
      </c>
      <c r="H736" s="14">
        <v>3007.9</v>
      </c>
      <c r="I736" s="14">
        <v>3020.32</v>
      </c>
      <c r="J736" s="14">
        <v>3568</v>
      </c>
      <c r="K736" s="14">
        <v>2700.1</v>
      </c>
      <c r="L736" s="15">
        <v>1179473</v>
      </c>
      <c r="M736" t="s" s="13">
        <v>7041</v>
      </c>
      <c r="N736" s="15">
        <v>89563</v>
      </c>
      <c r="O736" s="17" cm="1">
        <f t="array" ref="O736">(H736-H735)/H735</f>
        <v>-0.00286751421325687</v>
      </c>
      <c r="P736" s="8"/>
      <c r="Q736" s="8"/>
    </row>
    <row r="737" ht="13.65" customHeight="1">
      <c r="A737" s="18">
        <v>45341</v>
      </c>
      <c r="B737" t="s" s="13">
        <v>22</v>
      </c>
      <c r="C737" s="14">
        <v>3007.9</v>
      </c>
      <c r="D737" s="14">
        <v>3018.7</v>
      </c>
      <c r="E737" s="14">
        <v>2987.5</v>
      </c>
      <c r="F737" s="14">
        <v>3007.9</v>
      </c>
      <c r="G737" s="14">
        <v>2998</v>
      </c>
      <c r="H737" s="14">
        <v>2998.1</v>
      </c>
      <c r="I737" s="14">
        <v>3002.41</v>
      </c>
      <c r="J737" s="14">
        <v>3568</v>
      </c>
      <c r="K737" s="14">
        <v>2700.1</v>
      </c>
      <c r="L737" s="15">
        <v>560700</v>
      </c>
      <c r="M737" t="s" s="13">
        <v>7042</v>
      </c>
      <c r="N737" s="15">
        <v>60876</v>
      </c>
      <c r="O737" s="17" cm="1">
        <f t="array" ref="O737">(H737-H736)/H736</f>
        <v>-0.003258087037468</v>
      </c>
      <c r="P737" s="8"/>
      <c r="Q737" s="8"/>
    </row>
    <row r="738" ht="13.65" customHeight="1">
      <c r="A738" s="18">
        <v>45342</v>
      </c>
      <c r="B738" t="s" s="13">
        <v>22</v>
      </c>
      <c r="C738" s="14">
        <v>2998.1</v>
      </c>
      <c r="D738" s="14">
        <v>3017.1</v>
      </c>
      <c r="E738" s="14">
        <v>2972.1</v>
      </c>
      <c r="F738" s="14">
        <v>2998.1</v>
      </c>
      <c r="G738" s="14">
        <v>3014</v>
      </c>
      <c r="H738" s="14">
        <v>3011.65</v>
      </c>
      <c r="I738" s="14">
        <v>2999.94</v>
      </c>
      <c r="J738" s="14">
        <v>3568</v>
      </c>
      <c r="K738" s="14">
        <v>2700.1</v>
      </c>
      <c r="L738" s="15">
        <v>729371</v>
      </c>
      <c r="M738" t="s" s="13">
        <v>7043</v>
      </c>
      <c r="N738" s="15">
        <v>76225</v>
      </c>
      <c r="O738" s="17" cm="1">
        <f t="array" ref="O738">(H738-H737)/H737</f>
        <v>0.00451952903505554</v>
      </c>
      <c r="P738" s="8"/>
      <c r="Q738" s="8"/>
    </row>
    <row r="739" ht="13.65" customHeight="1">
      <c r="A739" s="18">
        <v>45343</v>
      </c>
      <c r="B739" t="s" s="13">
        <v>22</v>
      </c>
      <c r="C739" s="14">
        <v>3012.05</v>
      </c>
      <c r="D739" s="14">
        <v>3026.75</v>
      </c>
      <c r="E739" s="14">
        <v>2983.5</v>
      </c>
      <c r="F739" s="14">
        <v>3011.65</v>
      </c>
      <c r="G739" s="14">
        <v>2990</v>
      </c>
      <c r="H739" s="14">
        <v>3001.8</v>
      </c>
      <c r="I739" s="14">
        <v>3010.99</v>
      </c>
      <c r="J739" s="14">
        <v>3568</v>
      </c>
      <c r="K739" s="14">
        <v>2700.1</v>
      </c>
      <c r="L739" s="15">
        <v>927130</v>
      </c>
      <c r="M739" t="s" s="13">
        <v>7044</v>
      </c>
      <c r="N739" s="15">
        <v>93289</v>
      </c>
      <c r="O739" s="17" cm="1">
        <f t="array" ref="O739">(H739-H738)/H738</f>
        <v>-0.00327063237760032</v>
      </c>
      <c r="P739" s="8"/>
      <c r="Q739" s="8"/>
    </row>
    <row r="740" ht="13.65" customHeight="1">
      <c r="A740" s="18">
        <v>45344</v>
      </c>
      <c r="B740" t="s" s="13">
        <v>22</v>
      </c>
      <c r="C740" s="14">
        <v>2983</v>
      </c>
      <c r="D740" s="14">
        <v>3027.2</v>
      </c>
      <c r="E740" s="14">
        <v>2932.1</v>
      </c>
      <c r="F740" s="14">
        <v>3001.8</v>
      </c>
      <c r="G740" s="14">
        <v>3007</v>
      </c>
      <c r="H740" s="14">
        <v>3017.4</v>
      </c>
      <c r="I740" s="14">
        <v>2981.94</v>
      </c>
      <c r="J740" s="14">
        <v>3568</v>
      </c>
      <c r="K740" s="14">
        <v>2700.1</v>
      </c>
      <c r="L740" s="15">
        <v>2615821</v>
      </c>
      <c r="M740" t="s" s="13">
        <v>7045</v>
      </c>
      <c r="N740" s="15">
        <v>185909</v>
      </c>
      <c r="O740" s="17" cm="1">
        <f t="array" ref="O740">(H740-H739)/H739</f>
        <v>0.00519688187087747</v>
      </c>
      <c r="P740" s="8"/>
      <c r="Q740" s="8"/>
    </row>
    <row r="741" ht="13.65" customHeight="1">
      <c r="A741" s="18">
        <v>45345</v>
      </c>
      <c r="B741" t="s" s="13">
        <v>22</v>
      </c>
      <c r="C741" s="14">
        <v>2999</v>
      </c>
      <c r="D741" s="14">
        <v>3005</v>
      </c>
      <c r="E741" s="14">
        <v>2966.2</v>
      </c>
      <c r="F741" s="14">
        <v>3017.4</v>
      </c>
      <c r="G741" s="14">
        <v>2982.85</v>
      </c>
      <c r="H741" s="14">
        <v>2985.95</v>
      </c>
      <c r="I741" s="14">
        <v>2982.15</v>
      </c>
      <c r="J741" s="14">
        <v>3568</v>
      </c>
      <c r="K741" s="14">
        <v>2700.1</v>
      </c>
      <c r="L741" s="15">
        <v>1650523</v>
      </c>
      <c r="M741" t="s" s="13">
        <v>7046</v>
      </c>
      <c r="N741" s="15">
        <v>96242</v>
      </c>
      <c r="O741" s="17" cm="1">
        <f t="array" ref="O741">(H741-H740)/H740</f>
        <v>-0.0104228806257042</v>
      </c>
      <c r="P741" s="8"/>
      <c r="Q741" s="8"/>
    </row>
    <row r="742" ht="13.65" customHeight="1">
      <c r="A742" s="18">
        <v>45348</v>
      </c>
      <c r="B742" t="s" s="13">
        <v>22</v>
      </c>
      <c r="C742" s="14">
        <v>2920</v>
      </c>
      <c r="D742" s="14">
        <v>2930</v>
      </c>
      <c r="E742" s="14">
        <v>2847.8</v>
      </c>
      <c r="F742" s="14">
        <v>2985.95</v>
      </c>
      <c r="G742" s="14">
        <v>2868</v>
      </c>
      <c r="H742" s="14">
        <v>2868.45</v>
      </c>
      <c r="I742" s="14">
        <v>2873.04</v>
      </c>
      <c r="J742" s="14">
        <v>3568</v>
      </c>
      <c r="K742" s="14">
        <v>2708.65</v>
      </c>
      <c r="L742" s="15">
        <v>3524491</v>
      </c>
      <c r="M742" t="s" s="13">
        <v>7047</v>
      </c>
      <c r="N742" s="15">
        <v>231648</v>
      </c>
      <c r="O742" s="17" cm="1">
        <f t="array" ref="O742">(H742-H741)/H741</f>
        <v>-0.039350960330883</v>
      </c>
      <c r="P742" s="8"/>
      <c r="Q742" s="8"/>
    </row>
    <row r="743" ht="13.65" customHeight="1">
      <c r="A743" s="18">
        <v>45349</v>
      </c>
      <c r="B743" t="s" s="13">
        <v>22</v>
      </c>
      <c r="C743" s="14">
        <v>2855</v>
      </c>
      <c r="D743" s="14">
        <v>2870</v>
      </c>
      <c r="E743" s="14">
        <v>2850.1</v>
      </c>
      <c r="F743" s="14">
        <v>2868.45</v>
      </c>
      <c r="G743" s="14">
        <v>2859.6</v>
      </c>
      <c r="H743" s="14">
        <v>2859.55</v>
      </c>
      <c r="I743" s="14">
        <v>2859.78</v>
      </c>
      <c r="J743" s="14">
        <v>3568</v>
      </c>
      <c r="K743" s="14">
        <v>2708.65</v>
      </c>
      <c r="L743" s="15">
        <v>1296180</v>
      </c>
      <c r="M743" t="s" s="13">
        <v>7048</v>
      </c>
      <c r="N743" s="15">
        <v>122760</v>
      </c>
      <c r="O743" s="17" cm="1">
        <f t="array" ref="O743">(H743-H742)/H742</f>
        <v>-0.00310272098171486</v>
      </c>
      <c r="P743" s="8"/>
      <c r="Q743" s="8"/>
    </row>
    <row r="744" ht="13.65" customHeight="1">
      <c r="A744" s="18">
        <v>45350</v>
      </c>
      <c r="B744" t="s" s="13">
        <v>22</v>
      </c>
      <c r="C744" s="14">
        <v>2850.15</v>
      </c>
      <c r="D744" s="14">
        <v>2859.4</v>
      </c>
      <c r="E744" s="14">
        <v>2785.5</v>
      </c>
      <c r="F744" s="14">
        <v>2859.55</v>
      </c>
      <c r="G744" s="14">
        <v>2789.5</v>
      </c>
      <c r="H744" s="14">
        <v>2794.35</v>
      </c>
      <c r="I744" s="14">
        <v>2807.58</v>
      </c>
      <c r="J744" s="14">
        <v>3568</v>
      </c>
      <c r="K744" s="14">
        <v>2708.65</v>
      </c>
      <c r="L744" s="15">
        <v>2472196</v>
      </c>
      <c r="M744" t="s" s="13">
        <v>7049</v>
      </c>
      <c r="N744" s="15">
        <v>212934</v>
      </c>
      <c r="O744" s="17" cm="1">
        <f t="array" ref="O744">(H744-H743)/H743</f>
        <v>-0.0228007903341435</v>
      </c>
      <c r="P744" s="8"/>
      <c r="Q744" s="8"/>
    </row>
    <row r="745" ht="13.65" customHeight="1">
      <c r="A745" s="18">
        <v>45351</v>
      </c>
      <c r="B745" t="s" s="13">
        <v>22</v>
      </c>
      <c r="C745" s="14">
        <v>2785</v>
      </c>
      <c r="D745" s="14">
        <v>2838</v>
      </c>
      <c r="E745" s="14">
        <v>2776.75</v>
      </c>
      <c r="F745" s="14">
        <v>2794.35</v>
      </c>
      <c r="G745" s="14">
        <v>2834.7</v>
      </c>
      <c r="H745" s="14">
        <v>2821.9</v>
      </c>
      <c r="I745" s="14">
        <v>2810.42</v>
      </c>
      <c r="J745" s="14">
        <v>3568</v>
      </c>
      <c r="K745" s="14">
        <v>2708.65</v>
      </c>
      <c r="L745" s="15">
        <v>2284424</v>
      </c>
      <c r="M745" t="s" s="13">
        <v>7050</v>
      </c>
      <c r="N745" s="15">
        <v>166939</v>
      </c>
      <c r="O745" s="17" cm="1">
        <f t="array" ref="O745">(H745-H744)/H744</f>
        <v>0.009859180131336451</v>
      </c>
      <c r="P745" s="8"/>
      <c r="Q745" s="8"/>
    </row>
    <row r="746" ht="13.65" customHeight="1">
      <c r="A746" s="12">
        <v>45352</v>
      </c>
      <c r="B746" t="s" s="13">
        <v>22</v>
      </c>
      <c r="C746" s="14">
        <v>2832.9</v>
      </c>
      <c r="D746" s="14">
        <v>2845.95</v>
      </c>
      <c r="E746" s="14">
        <v>2815.05</v>
      </c>
      <c r="F746" s="14">
        <v>2821.9</v>
      </c>
      <c r="G746" s="14">
        <v>2834</v>
      </c>
      <c r="H746" s="14">
        <v>2831.75</v>
      </c>
      <c r="I746" s="14">
        <v>2831.5</v>
      </c>
      <c r="J746" s="14">
        <v>3568</v>
      </c>
      <c r="K746" s="14">
        <v>2708.65</v>
      </c>
      <c r="L746" s="15">
        <v>978174</v>
      </c>
      <c r="M746" t="s" s="13">
        <v>7051</v>
      </c>
      <c r="N746" s="15">
        <v>108138</v>
      </c>
      <c r="O746" s="17" cm="1">
        <f t="array" ref="O746">(H746-H745)/H745</f>
        <v>0.00349055600836316</v>
      </c>
      <c r="P746" s="8"/>
      <c r="Q746" s="8"/>
    </row>
    <row r="747" ht="13.65" customHeight="1">
      <c r="A747" s="12">
        <v>45353</v>
      </c>
      <c r="B747" t="s" s="13">
        <v>22</v>
      </c>
      <c r="C747" s="14">
        <v>2840</v>
      </c>
      <c r="D747" s="14">
        <v>2862.1</v>
      </c>
      <c r="E747" s="14">
        <v>2836.05</v>
      </c>
      <c r="F747" s="14">
        <v>2831.75</v>
      </c>
      <c r="G747" s="14">
        <v>2849.2</v>
      </c>
      <c r="H747" s="14">
        <v>2849.8</v>
      </c>
      <c r="I747" s="14">
        <v>2850.35</v>
      </c>
      <c r="J747" s="14">
        <v>3568</v>
      </c>
      <c r="K747" s="14">
        <v>2708.65</v>
      </c>
      <c r="L747" s="15">
        <v>89988</v>
      </c>
      <c r="M747" t="s" s="13">
        <v>7052</v>
      </c>
      <c r="N747" s="15">
        <v>8918</v>
      </c>
      <c r="O747" s="17" cm="1">
        <f t="array" ref="O747">(H747-H746)/H746</f>
        <v>0.00637415026043966</v>
      </c>
      <c r="P747" s="8"/>
      <c r="Q747" s="8"/>
    </row>
    <row r="748" ht="13.65" customHeight="1">
      <c r="A748" s="12">
        <v>45355</v>
      </c>
      <c r="B748" t="s" s="13">
        <v>22</v>
      </c>
      <c r="C748" s="14">
        <v>2860</v>
      </c>
      <c r="D748" s="14">
        <v>2860.95</v>
      </c>
      <c r="E748" s="14">
        <v>2828</v>
      </c>
      <c r="F748" s="14">
        <v>2849.8</v>
      </c>
      <c r="G748" s="14">
        <v>2829.9</v>
      </c>
      <c r="H748" s="14">
        <v>2831.75</v>
      </c>
      <c r="I748" s="14">
        <v>2836.16</v>
      </c>
      <c r="J748" s="14">
        <v>3568</v>
      </c>
      <c r="K748" s="14">
        <v>2708.65</v>
      </c>
      <c r="L748" s="15">
        <v>971299</v>
      </c>
      <c r="M748" t="s" s="13">
        <v>7053</v>
      </c>
      <c r="N748" s="15">
        <v>85927</v>
      </c>
      <c r="O748" s="17" cm="1">
        <f t="array" ref="O748">(H748-H747)/H747</f>
        <v>-0.00633377780896905</v>
      </c>
      <c r="P748" s="8"/>
      <c r="Q748" s="8"/>
    </row>
    <row r="749" ht="13.65" customHeight="1">
      <c r="A749" s="12">
        <v>45356</v>
      </c>
      <c r="B749" t="s" s="13">
        <v>22</v>
      </c>
      <c r="C749" s="14">
        <v>2834</v>
      </c>
      <c r="D749" s="14">
        <v>2834.85</v>
      </c>
      <c r="E749" s="14">
        <v>2805</v>
      </c>
      <c r="F749" s="14">
        <v>2831.75</v>
      </c>
      <c r="G749" s="14">
        <v>2819</v>
      </c>
      <c r="H749" s="14">
        <v>2820.4</v>
      </c>
      <c r="I749" s="14">
        <v>2822.27</v>
      </c>
      <c r="J749" s="14">
        <v>3568</v>
      </c>
      <c r="K749" s="14">
        <v>2708.65</v>
      </c>
      <c r="L749" s="15">
        <v>736381</v>
      </c>
      <c r="M749" t="s" s="13">
        <v>7054</v>
      </c>
      <c r="N749" s="15">
        <v>80666</v>
      </c>
      <c r="O749" s="17" cm="1">
        <f t="array" ref="O749">(H749-H748)/H748</f>
        <v>-0.00400812218592743</v>
      </c>
      <c r="P749" s="8"/>
      <c r="Q749" s="8"/>
    </row>
    <row r="750" ht="13.65" customHeight="1">
      <c r="A750" s="12">
        <v>45357</v>
      </c>
      <c r="B750" t="s" s="13">
        <v>22</v>
      </c>
      <c r="C750" s="14">
        <v>2827.95</v>
      </c>
      <c r="D750" s="14">
        <v>2839</v>
      </c>
      <c r="E750" s="14">
        <v>2777.75</v>
      </c>
      <c r="F750" s="14">
        <v>2820.4</v>
      </c>
      <c r="G750" s="14">
        <v>2834</v>
      </c>
      <c r="H750" s="14">
        <v>2827.3</v>
      </c>
      <c r="I750" s="14">
        <v>2811.89</v>
      </c>
      <c r="J750" s="14">
        <v>3568</v>
      </c>
      <c r="K750" s="14">
        <v>2708.65</v>
      </c>
      <c r="L750" s="15">
        <v>1723066</v>
      </c>
      <c r="M750" t="s" s="13">
        <v>7055</v>
      </c>
      <c r="N750" s="15">
        <v>88947</v>
      </c>
      <c r="O750" s="17" cm="1">
        <f t="array" ref="O750">(H750-H749)/H749</f>
        <v>0.00244646149482343</v>
      </c>
      <c r="P750" s="8"/>
      <c r="Q750" s="8"/>
    </row>
    <row r="751" ht="13.65" customHeight="1">
      <c r="A751" s="12">
        <v>45358</v>
      </c>
      <c r="B751" t="s" s="13">
        <v>22</v>
      </c>
      <c r="C751" s="14">
        <v>2825</v>
      </c>
      <c r="D751" s="14">
        <v>2894</v>
      </c>
      <c r="E751" s="14">
        <v>2825</v>
      </c>
      <c r="F751" s="14">
        <v>2827.3</v>
      </c>
      <c r="G751" s="14">
        <v>2869.9</v>
      </c>
      <c r="H751" s="14">
        <v>2870.55</v>
      </c>
      <c r="I751" s="14">
        <v>2869.67</v>
      </c>
      <c r="J751" s="14">
        <v>3568</v>
      </c>
      <c r="K751" s="14">
        <v>2708.65</v>
      </c>
      <c r="L751" s="15">
        <v>1564364</v>
      </c>
      <c r="M751" t="s" s="13">
        <v>7056</v>
      </c>
      <c r="N751" s="15">
        <v>117954</v>
      </c>
      <c r="O751" s="17" cm="1">
        <f t="array" ref="O751">(H751-H750)/H750</f>
        <v>0.0152972800905458</v>
      </c>
      <c r="P751" s="8"/>
      <c r="Q751" s="8"/>
    </row>
    <row r="752" ht="13.65" customHeight="1">
      <c r="A752" s="18">
        <v>45362</v>
      </c>
      <c r="B752" t="s" s="13">
        <v>22</v>
      </c>
      <c r="C752" s="14">
        <v>2895.55</v>
      </c>
      <c r="D752" s="14">
        <v>2896.55</v>
      </c>
      <c r="E752" s="14">
        <v>2853.1</v>
      </c>
      <c r="F752" s="14">
        <v>2870.55</v>
      </c>
      <c r="G752" s="14">
        <v>2880</v>
      </c>
      <c r="H752" s="14">
        <v>2876.85</v>
      </c>
      <c r="I752" s="14">
        <v>2873.27</v>
      </c>
      <c r="J752" s="14">
        <v>3568</v>
      </c>
      <c r="K752" s="14">
        <v>2708.65</v>
      </c>
      <c r="L752" s="15">
        <v>866546</v>
      </c>
      <c r="M752" t="s" s="13">
        <v>7057</v>
      </c>
      <c r="N752" s="15">
        <v>73604</v>
      </c>
      <c r="O752" s="17" cm="1">
        <f t="array" ref="O752">(H752-H751)/H751</f>
        <v>0.00219470136385013</v>
      </c>
      <c r="P752" s="8"/>
      <c r="Q752" s="8"/>
    </row>
    <row r="753" ht="13.65" customHeight="1">
      <c r="A753" s="18">
        <v>45363</v>
      </c>
      <c r="B753" t="s" s="13">
        <v>22</v>
      </c>
      <c r="C753" s="14">
        <v>2880</v>
      </c>
      <c r="D753" s="14">
        <v>2899.9</v>
      </c>
      <c r="E753" s="14">
        <v>2865.45</v>
      </c>
      <c r="F753" s="14">
        <v>2876.85</v>
      </c>
      <c r="G753" s="14">
        <v>2878</v>
      </c>
      <c r="H753" s="14">
        <v>2876.15</v>
      </c>
      <c r="I753" s="14">
        <v>2882.92</v>
      </c>
      <c r="J753" s="14">
        <v>3568</v>
      </c>
      <c r="K753" s="14">
        <v>2708.65</v>
      </c>
      <c r="L753" s="15">
        <v>663186</v>
      </c>
      <c r="M753" t="s" s="13">
        <v>7058</v>
      </c>
      <c r="N753" s="15">
        <v>66823</v>
      </c>
      <c r="O753" s="17" cm="1">
        <f t="array" ref="O753">(H753-H752)/H752</f>
        <v>-0.000243321688652519</v>
      </c>
      <c r="P753" s="8"/>
      <c r="Q753" s="8"/>
    </row>
    <row r="754" ht="13.65" customHeight="1">
      <c r="A754" s="18">
        <v>45364</v>
      </c>
      <c r="B754" t="s" s="13">
        <v>22</v>
      </c>
      <c r="C754" s="14">
        <v>2878.6</v>
      </c>
      <c r="D754" s="14">
        <v>2887.25</v>
      </c>
      <c r="E754" s="14">
        <v>2835</v>
      </c>
      <c r="F754" s="14">
        <v>2876.15</v>
      </c>
      <c r="G754" s="14">
        <v>2853</v>
      </c>
      <c r="H754" s="14">
        <v>2860.15</v>
      </c>
      <c r="I754" s="14">
        <v>2857.7</v>
      </c>
      <c r="J754" s="14">
        <v>3568</v>
      </c>
      <c r="K754" s="14">
        <v>2708.65</v>
      </c>
      <c r="L754" s="15">
        <v>955841</v>
      </c>
      <c r="M754" t="s" s="13">
        <v>7059</v>
      </c>
      <c r="N754" s="15">
        <v>95622</v>
      </c>
      <c r="O754" s="17" cm="1">
        <f t="array" ref="O754">(H754-H753)/H753</f>
        <v>-0.00556299219442658</v>
      </c>
      <c r="P754" s="8"/>
      <c r="Q754" s="8"/>
    </row>
    <row r="755" ht="13.65" customHeight="1">
      <c r="A755" s="18">
        <v>45365</v>
      </c>
      <c r="B755" t="s" s="13">
        <v>22</v>
      </c>
      <c r="C755" s="14">
        <v>2860</v>
      </c>
      <c r="D755" s="14">
        <v>2898.05</v>
      </c>
      <c r="E755" s="14">
        <v>2841</v>
      </c>
      <c r="F755" s="14">
        <v>2860.15</v>
      </c>
      <c r="G755" s="14">
        <v>2898</v>
      </c>
      <c r="H755" s="14">
        <v>2892.25</v>
      </c>
      <c r="I755" s="14">
        <v>2884.47</v>
      </c>
      <c r="J755" s="14">
        <v>3568</v>
      </c>
      <c r="K755" s="14">
        <v>2708.65</v>
      </c>
      <c r="L755" s="15">
        <v>1381741</v>
      </c>
      <c r="M755" t="s" s="13">
        <v>7060</v>
      </c>
      <c r="N755" s="15">
        <v>108233</v>
      </c>
      <c r="O755" s="17" cm="1">
        <f t="array" ref="O755">(H755-H754)/H754</f>
        <v>0.0112231875950562</v>
      </c>
      <c r="P755" s="8"/>
      <c r="Q755" s="8"/>
    </row>
    <row r="756" ht="13.65" customHeight="1">
      <c r="A756" s="18">
        <v>45366</v>
      </c>
      <c r="B756" t="s" s="13">
        <v>22</v>
      </c>
      <c r="C756" s="14">
        <v>2895</v>
      </c>
      <c r="D756" s="14">
        <v>2896.95</v>
      </c>
      <c r="E756" s="14">
        <v>2850</v>
      </c>
      <c r="F756" s="14">
        <v>2892.25</v>
      </c>
      <c r="G756" s="14">
        <v>2859.3</v>
      </c>
      <c r="H756" s="14">
        <v>2867.55</v>
      </c>
      <c r="I756" s="14">
        <v>2873.34</v>
      </c>
      <c r="J756" s="14">
        <v>3568</v>
      </c>
      <c r="K756" s="14">
        <v>2708.65</v>
      </c>
      <c r="L756" s="15">
        <v>1356226</v>
      </c>
      <c r="M756" t="s" s="13">
        <v>7061</v>
      </c>
      <c r="N756" s="15">
        <v>102968</v>
      </c>
      <c r="O756" s="17" cm="1">
        <f t="array" ref="O756">(H756-H755)/H755</f>
        <v>-0.00854006396404184</v>
      </c>
      <c r="P756" s="8"/>
      <c r="Q756" s="8"/>
    </row>
    <row r="757" ht="13.65" customHeight="1">
      <c r="A757" s="18">
        <v>45369</v>
      </c>
      <c r="B757" t="s" s="13">
        <v>22</v>
      </c>
      <c r="C757" s="14">
        <v>2866</v>
      </c>
      <c r="D757" s="14">
        <v>2866</v>
      </c>
      <c r="E757" s="14">
        <v>2817.25</v>
      </c>
      <c r="F757" s="14">
        <v>2867.55</v>
      </c>
      <c r="G757" s="14">
        <v>2845</v>
      </c>
      <c r="H757" s="14">
        <v>2846.5</v>
      </c>
      <c r="I757" s="14">
        <v>2838.32</v>
      </c>
      <c r="J757" s="14">
        <v>3568</v>
      </c>
      <c r="K757" s="14">
        <v>2708.65</v>
      </c>
      <c r="L757" s="15">
        <v>940424</v>
      </c>
      <c r="M757" t="s" s="13">
        <v>7062</v>
      </c>
      <c r="N757" s="15">
        <v>81997</v>
      </c>
      <c r="O757" s="17" cm="1">
        <f t="array" ref="O757">(H757-H756)/H756</f>
        <v>-0.00734076127704835</v>
      </c>
      <c r="P757" s="8"/>
      <c r="Q757" s="8"/>
    </row>
    <row r="758" ht="13.65" customHeight="1">
      <c r="A758" s="18">
        <v>45370</v>
      </c>
      <c r="B758" t="s" s="13">
        <v>22</v>
      </c>
      <c r="C758" s="14">
        <v>2840</v>
      </c>
      <c r="D758" s="14">
        <v>2840</v>
      </c>
      <c r="E758" s="14">
        <v>2801</v>
      </c>
      <c r="F758" s="14">
        <v>2846.5</v>
      </c>
      <c r="G758" s="14">
        <v>2813.55</v>
      </c>
      <c r="H758" s="14">
        <v>2815.1</v>
      </c>
      <c r="I758" s="14">
        <v>2812.89</v>
      </c>
      <c r="J758" s="14">
        <v>3568</v>
      </c>
      <c r="K758" s="14">
        <v>2708.65</v>
      </c>
      <c r="L758" s="15">
        <v>1199135</v>
      </c>
      <c r="M758" t="s" s="13">
        <v>7063</v>
      </c>
      <c r="N758" s="15">
        <v>87075</v>
      </c>
      <c r="O758" s="17" cm="1">
        <f t="array" ref="O758">(H758-H757)/H757</f>
        <v>-0.0110310908132795</v>
      </c>
      <c r="P758" s="8"/>
      <c r="Q758" s="8"/>
    </row>
    <row r="759" ht="13.65" customHeight="1">
      <c r="A759" s="18">
        <v>45371</v>
      </c>
      <c r="B759" t="s" s="13">
        <v>22</v>
      </c>
      <c r="C759" s="14">
        <v>2815.1</v>
      </c>
      <c r="D759" s="14">
        <v>2837.05</v>
      </c>
      <c r="E759" s="14">
        <v>2797.55</v>
      </c>
      <c r="F759" s="14">
        <v>2815.1</v>
      </c>
      <c r="G759" s="14">
        <v>2835</v>
      </c>
      <c r="H759" s="14">
        <v>2824.9</v>
      </c>
      <c r="I759" s="14">
        <v>2816.72</v>
      </c>
      <c r="J759" s="14">
        <v>3568</v>
      </c>
      <c r="K759" s="14">
        <v>2708.65</v>
      </c>
      <c r="L759" s="15">
        <v>818910</v>
      </c>
      <c r="M759" t="s" s="13">
        <v>7064</v>
      </c>
      <c r="N759" s="15">
        <v>80385</v>
      </c>
      <c r="O759" s="17" cm="1">
        <f t="array" ref="O759">(H759-H758)/H758</f>
        <v>0.00348122624418316</v>
      </c>
      <c r="P759" s="8"/>
      <c r="Q759" s="8"/>
    </row>
    <row r="760" ht="13.65" customHeight="1">
      <c r="A760" s="18">
        <v>45372</v>
      </c>
      <c r="B760" t="s" s="13">
        <v>22</v>
      </c>
      <c r="C760" s="14">
        <v>2845</v>
      </c>
      <c r="D760" s="14">
        <v>2845.4</v>
      </c>
      <c r="E760" s="14">
        <v>2806</v>
      </c>
      <c r="F760" s="14">
        <v>2824.9</v>
      </c>
      <c r="G760" s="14">
        <v>2818.8</v>
      </c>
      <c r="H760" s="14">
        <v>2821.15</v>
      </c>
      <c r="I760" s="14">
        <v>2827.5</v>
      </c>
      <c r="J760" s="14">
        <v>3568</v>
      </c>
      <c r="K760" s="14">
        <v>2708.65</v>
      </c>
      <c r="L760" s="15">
        <v>1167680</v>
      </c>
      <c r="M760" t="s" s="13">
        <v>7065</v>
      </c>
      <c r="N760" s="15">
        <v>81700</v>
      </c>
      <c r="O760" s="17" cm="1">
        <f t="array" ref="O760">(H760-H759)/H759</f>
        <v>-0.00132748061878297</v>
      </c>
      <c r="P760" s="8"/>
      <c r="Q760" s="8"/>
    </row>
    <row r="761" ht="13.65" customHeight="1">
      <c r="A761" s="18">
        <v>45373</v>
      </c>
      <c r="B761" t="s" s="13">
        <v>22</v>
      </c>
      <c r="C761" s="14">
        <v>2821.15</v>
      </c>
      <c r="D761" s="14">
        <v>2855.15</v>
      </c>
      <c r="E761" s="14">
        <v>2808</v>
      </c>
      <c r="F761" s="14">
        <v>2821.15</v>
      </c>
      <c r="G761" s="14">
        <v>2844.8</v>
      </c>
      <c r="H761" s="14">
        <v>2841.5</v>
      </c>
      <c r="I761" s="14">
        <v>2829.95</v>
      </c>
      <c r="J761" s="14">
        <v>3568</v>
      </c>
      <c r="K761" s="14">
        <v>2708.65</v>
      </c>
      <c r="L761" s="15">
        <v>1652689</v>
      </c>
      <c r="M761" t="s" s="13">
        <v>7066</v>
      </c>
      <c r="N761" s="15">
        <v>148454</v>
      </c>
      <c r="O761" s="17" cm="1">
        <f t="array" ref="O761">(H761-H760)/H760</f>
        <v>0.00721337043404285</v>
      </c>
      <c r="P761" s="8"/>
      <c r="Q761" s="8"/>
    </row>
    <row r="762" ht="13.65" customHeight="1">
      <c r="A762" s="18">
        <v>45377</v>
      </c>
      <c r="B762" t="s" s="13">
        <v>22</v>
      </c>
      <c r="C762" s="14">
        <v>2820</v>
      </c>
      <c r="D762" s="14">
        <v>2844.15</v>
      </c>
      <c r="E762" s="14">
        <v>2810</v>
      </c>
      <c r="F762" s="14">
        <v>2841.5</v>
      </c>
      <c r="G762" s="14">
        <v>2817.5</v>
      </c>
      <c r="H762" s="14">
        <v>2814.65</v>
      </c>
      <c r="I762" s="14">
        <v>2821.39</v>
      </c>
      <c r="J762" s="14">
        <v>3568</v>
      </c>
      <c r="K762" s="14">
        <v>2708.65</v>
      </c>
      <c r="L762" s="15">
        <v>1372390</v>
      </c>
      <c r="M762" t="s" s="13">
        <v>7067</v>
      </c>
      <c r="N762" s="15">
        <v>80817</v>
      </c>
      <c r="O762" s="17" cm="1">
        <f t="array" ref="O762">(H762-H761)/H761</f>
        <v>-0.009449234559211679</v>
      </c>
      <c r="P762" s="8"/>
      <c r="Q762" s="8"/>
    </row>
    <row r="763" ht="13.65" customHeight="1">
      <c r="A763" s="18">
        <v>45378</v>
      </c>
      <c r="B763" t="s" s="13">
        <v>22</v>
      </c>
      <c r="C763" s="14">
        <v>2817.95</v>
      </c>
      <c r="D763" s="14">
        <v>2842.85</v>
      </c>
      <c r="E763" s="14">
        <v>2817.7</v>
      </c>
      <c r="F763" s="14">
        <v>2814.65</v>
      </c>
      <c r="G763" s="14">
        <v>2830</v>
      </c>
      <c r="H763" s="14">
        <v>2830.5</v>
      </c>
      <c r="I763" s="14">
        <v>2831.45</v>
      </c>
      <c r="J763" s="14">
        <v>3568</v>
      </c>
      <c r="K763" s="14">
        <v>2708.65</v>
      </c>
      <c r="L763" s="15">
        <v>1156231</v>
      </c>
      <c r="M763" t="s" s="13">
        <v>7068</v>
      </c>
      <c r="N763" s="15">
        <v>78114</v>
      </c>
      <c r="O763" s="17" cm="1">
        <f t="array" ref="O763">(H763-H762)/H762</f>
        <v>0.00563125077718366</v>
      </c>
      <c r="P763" s="8"/>
      <c r="Q763" s="8"/>
    </row>
    <row r="764" ht="13.65" customHeight="1">
      <c r="A764" s="18">
        <v>45379</v>
      </c>
      <c r="B764" t="s" s="13">
        <v>22</v>
      </c>
      <c r="C764" s="14">
        <v>2835.05</v>
      </c>
      <c r="D764" s="14">
        <v>2868</v>
      </c>
      <c r="E764" s="14">
        <v>2819</v>
      </c>
      <c r="F764" s="14">
        <v>2830.5</v>
      </c>
      <c r="G764" s="14">
        <v>2856.65</v>
      </c>
      <c r="H764" s="14">
        <v>2846.75</v>
      </c>
      <c r="I764" s="14">
        <v>2845.87</v>
      </c>
      <c r="J764" s="14">
        <v>3568</v>
      </c>
      <c r="K764" s="14">
        <v>2708.65</v>
      </c>
      <c r="L764" s="15">
        <v>1864623</v>
      </c>
      <c r="M764" t="s" s="13">
        <v>7069</v>
      </c>
      <c r="N764" s="15">
        <v>121437</v>
      </c>
      <c r="O764" s="17" cm="1">
        <f t="array" ref="O764">(H764-H763)/H763</f>
        <v>0.00574103515279986</v>
      </c>
      <c r="P764" s="8"/>
      <c r="Q764" s="8"/>
    </row>
    <row r="765" ht="13.65" customHeight="1">
      <c r="A765" s="12">
        <v>45383</v>
      </c>
      <c r="B765" t="s" s="13">
        <v>22</v>
      </c>
      <c r="C765" s="14">
        <v>2860.95</v>
      </c>
      <c r="D765" s="14">
        <v>2886.45</v>
      </c>
      <c r="E765" s="14">
        <v>2852.35</v>
      </c>
      <c r="F765" s="14">
        <v>2846.75</v>
      </c>
      <c r="G765" s="14">
        <v>2870</v>
      </c>
      <c r="H765" s="14">
        <v>2871</v>
      </c>
      <c r="I765" s="14">
        <v>2869.01</v>
      </c>
      <c r="J765" s="14">
        <v>3568</v>
      </c>
      <c r="K765" s="14">
        <v>2708.65</v>
      </c>
      <c r="L765" s="15">
        <v>558086</v>
      </c>
      <c r="M765" t="s" s="13">
        <v>7070</v>
      </c>
      <c r="N765" s="15">
        <v>43805</v>
      </c>
      <c r="O765" s="17" cm="1">
        <f t="array" ref="O765">(H765-H764)/H764</f>
        <v>0.008518485992798809</v>
      </c>
      <c r="P765" s="8"/>
      <c r="Q765" s="8"/>
    </row>
    <row r="766" ht="13.65" customHeight="1">
      <c r="A766" s="21"/>
      <c r="B766" s="21"/>
      <c r="C766" s="21"/>
      <c r="D766" s="21"/>
      <c r="E766" s="21"/>
      <c r="F766" s="21"/>
      <c r="G766" s="21"/>
      <c r="H766" s="21"/>
      <c r="I766" s="21"/>
      <c r="J766" s="21"/>
      <c r="K766" s="21"/>
      <c r="L766" s="21"/>
      <c r="M766" s="21"/>
      <c r="N766" s="21"/>
      <c r="O766" s="8"/>
      <c r="P766" s="8"/>
      <c r="Q766" s="8"/>
    </row>
    <row r="767" ht="13.65" customHeight="1">
      <c r="A767" s="8"/>
      <c r="B767" s="8"/>
      <c r="C767" s="8"/>
      <c r="D767" s="8"/>
      <c r="E767" s="8"/>
      <c r="F767" s="8"/>
      <c r="G767" s="8"/>
      <c r="H767" s="8"/>
      <c r="I767" s="8"/>
      <c r="J767" s="8"/>
      <c r="K767" s="8"/>
      <c r="L767" s="8"/>
      <c r="M767" s="8"/>
      <c r="N767" t="s" s="7">
        <v>1028</v>
      </c>
      <c r="O767" s="22" cm="1">
        <f t="array" ref="O767">AVERAGE(O519:O765)</f>
        <v>0.000188033958891396</v>
      </c>
      <c r="P767" s="8"/>
      <c r="Q767" s="8"/>
    </row>
    <row r="768" ht="13.65" customHeight="1">
      <c r="A768" s="8"/>
      <c r="B768" s="8"/>
      <c r="C768" s="8"/>
      <c r="D768" s="8"/>
      <c r="E768" s="8"/>
      <c r="F768" s="8"/>
      <c r="G768" s="8"/>
      <c r="H768" s="8"/>
      <c r="I768" s="8"/>
      <c r="J768" s="8"/>
      <c r="K768" s="8"/>
      <c r="L768" s="8"/>
      <c r="M768" s="8"/>
      <c r="N768" t="s" s="7">
        <v>273</v>
      </c>
      <c r="O768" s="22">
        <v>0.0103</v>
      </c>
      <c r="P768" s="8"/>
      <c r="Q768" s="8"/>
    </row>
    <row r="769" ht="13.65" customHeight="1">
      <c r="A769" s="8"/>
      <c r="B769" s="8"/>
      <c r="C769" s="8"/>
      <c r="D769" s="8"/>
      <c r="E769" s="8"/>
      <c r="F769" s="8"/>
      <c r="G769" s="8"/>
      <c r="H769" s="8"/>
      <c r="I769" s="8"/>
      <c r="J769" s="8"/>
      <c r="K769" s="8"/>
      <c r="L769" s="8"/>
      <c r="M769" s="8"/>
      <c r="N769" t="s" s="7">
        <v>274</v>
      </c>
      <c r="O769" s="23" cm="1">
        <f t="array" ref="O769">AVERAGE(L519:L765)</f>
        <v>966192.295546559</v>
      </c>
      <c r="P769" t="s" s="7">
        <v>275</v>
      </c>
      <c r="Q769" s="23" cm="1">
        <f t="array" ref="Q769">IF(H765&gt;H519,1,IF(H765&lt;H519,-1,0))</f>
        <v>1</v>
      </c>
    </row>
    <row r="770" ht="13.65" customHeight="1">
      <c r="A770" s="8"/>
      <c r="B770" s="8"/>
      <c r="C770" s="8"/>
      <c r="D770" s="8"/>
      <c r="E770" s="8"/>
      <c r="F770" s="8"/>
      <c r="G770" s="8"/>
      <c r="H770" s="8"/>
      <c r="I770" s="8"/>
      <c r="J770" s="8"/>
      <c r="K770" s="8"/>
      <c r="L770" s="8"/>
      <c r="M770" s="8"/>
      <c r="N770" t="s" s="7">
        <v>528</v>
      </c>
      <c r="O770" s="22" cm="1">
        <f t="array" ref="O770">(H765-H519)/H519</f>
        <v>0.0338494778537991</v>
      </c>
      <c r="P770" s="8"/>
      <c r="Q770" s="8"/>
    </row>
    <row r="771" ht="13.65" customHeight="1">
      <c r="A771" s="9"/>
      <c r="B771" s="9"/>
      <c r="C771" s="9"/>
      <c r="D771" s="9"/>
      <c r="E771" s="9"/>
      <c r="F771" s="9"/>
      <c r="G771" s="9"/>
      <c r="H771" s="9"/>
      <c r="I771" s="9"/>
      <c r="J771" s="9"/>
      <c r="K771" s="9"/>
      <c r="L771" s="9"/>
      <c r="M771" s="9"/>
      <c r="N771" s="9"/>
      <c r="O771" s="8"/>
      <c r="P771" s="8"/>
      <c r="Q771" s="8"/>
    </row>
    <row r="772" ht="13.65" customHeight="1">
      <c r="A772" t="s" s="10">
        <v>7</v>
      </c>
      <c r="B772" t="s" s="10">
        <v>8</v>
      </c>
      <c r="C772" t="s" s="10">
        <v>9</v>
      </c>
      <c r="D772" t="s" s="10">
        <v>10</v>
      </c>
      <c r="E772" t="s" s="10">
        <v>11</v>
      </c>
      <c r="F772" t="s" s="10">
        <v>12</v>
      </c>
      <c r="G772" t="s" s="10">
        <v>13</v>
      </c>
      <c r="H772" t="s" s="10">
        <v>14</v>
      </c>
      <c r="I772" t="s" s="10">
        <v>15</v>
      </c>
      <c r="J772" t="s" s="10">
        <v>16</v>
      </c>
      <c r="K772" t="s" s="10">
        <v>17</v>
      </c>
      <c r="L772" t="s" s="10">
        <v>18</v>
      </c>
      <c r="M772" t="s" s="10">
        <v>19</v>
      </c>
      <c r="N772" t="s" s="10">
        <v>20</v>
      </c>
      <c r="O772" t="s" s="11">
        <v>21</v>
      </c>
      <c r="P772" s="8"/>
      <c r="Q772" s="8"/>
    </row>
    <row r="773" ht="13.65" customHeight="1">
      <c r="A773" s="12">
        <v>45383</v>
      </c>
      <c r="B773" t="s" s="13">
        <v>22</v>
      </c>
      <c r="C773" s="14">
        <v>2860.95</v>
      </c>
      <c r="D773" s="14">
        <v>2886.45</v>
      </c>
      <c r="E773" s="14">
        <v>2852.35</v>
      </c>
      <c r="F773" s="14">
        <v>2846.75</v>
      </c>
      <c r="G773" s="14">
        <v>2870</v>
      </c>
      <c r="H773" s="14">
        <v>2871</v>
      </c>
      <c r="I773" s="14">
        <v>2869.01</v>
      </c>
      <c r="J773" s="14">
        <v>3568</v>
      </c>
      <c r="K773" s="14">
        <v>2708.65</v>
      </c>
      <c r="L773" s="15">
        <v>558086</v>
      </c>
      <c r="M773" t="s" s="13">
        <v>7070</v>
      </c>
      <c r="N773" s="15">
        <v>43805</v>
      </c>
      <c r="O773" s="17"/>
      <c r="P773" s="8"/>
      <c r="Q773" s="8"/>
    </row>
    <row r="774" ht="13.65" customHeight="1">
      <c r="A774" s="12">
        <v>45384</v>
      </c>
      <c r="B774" t="s" s="13">
        <v>22</v>
      </c>
      <c r="C774" s="14">
        <v>2874.05</v>
      </c>
      <c r="D774" s="14">
        <v>2892.4</v>
      </c>
      <c r="E774" s="14">
        <v>2856</v>
      </c>
      <c r="F774" s="14">
        <v>2871</v>
      </c>
      <c r="G774" s="14">
        <v>2876.95</v>
      </c>
      <c r="H774" s="14">
        <v>2874.2</v>
      </c>
      <c r="I774" s="14">
        <v>2874.94</v>
      </c>
      <c r="J774" s="14">
        <v>3568</v>
      </c>
      <c r="K774" s="14">
        <v>2708.65</v>
      </c>
      <c r="L774" s="15">
        <v>562473</v>
      </c>
      <c r="M774" t="s" s="13">
        <v>7071</v>
      </c>
      <c r="N774" s="15">
        <v>41125</v>
      </c>
      <c r="O774" s="17" cm="1">
        <f t="array" ref="O774">(H774-H773)/H773</f>
        <v>0.00111459421804249</v>
      </c>
      <c r="P774" s="8"/>
      <c r="Q774" s="8"/>
    </row>
    <row r="775" ht="13.65" customHeight="1">
      <c r="A775" s="12">
        <v>45385</v>
      </c>
      <c r="B775" t="s" s="13">
        <v>22</v>
      </c>
      <c r="C775" s="14">
        <v>2845</v>
      </c>
      <c r="D775" s="14">
        <v>2884.55</v>
      </c>
      <c r="E775" s="14">
        <v>2845</v>
      </c>
      <c r="F775" s="14">
        <v>2874.2</v>
      </c>
      <c r="G775" s="14">
        <v>2871.7</v>
      </c>
      <c r="H775" s="14">
        <v>2869.35</v>
      </c>
      <c r="I775" s="14">
        <v>2866.57</v>
      </c>
      <c r="J775" s="14">
        <v>3568</v>
      </c>
      <c r="K775" s="14">
        <v>2708.65</v>
      </c>
      <c r="L775" s="15">
        <v>816676</v>
      </c>
      <c r="M775" t="s" s="13">
        <v>7072</v>
      </c>
      <c r="N775" s="15">
        <v>66524</v>
      </c>
      <c r="O775" s="17" cm="1">
        <f t="array" ref="O775">(H775-H774)/H774</f>
        <v>-0.00168742606638369</v>
      </c>
      <c r="P775" s="8"/>
      <c r="Q775" s="8"/>
    </row>
    <row r="776" ht="13.65" customHeight="1">
      <c r="A776" s="12">
        <v>45386</v>
      </c>
      <c r="B776" t="s" s="13">
        <v>22</v>
      </c>
      <c r="C776" s="14">
        <v>2870</v>
      </c>
      <c r="D776" s="14">
        <v>2943.25</v>
      </c>
      <c r="E776" s="14">
        <v>2851.25</v>
      </c>
      <c r="F776" s="14">
        <v>2869.35</v>
      </c>
      <c r="G776" s="14">
        <v>2920.95</v>
      </c>
      <c r="H776" s="14">
        <v>2918.3</v>
      </c>
      <c r="I776" s="14">
        <v>2900.83</v>
      </c>
      <c r="J776" s="14">
        <v>3568</v>
      </c>
      <c r="K776" s="14">
        <v>2708.65</v>
      </c>
      <c r="L776" s="15">
        <v>1831347</v>
      </c>
      <c r="M776" t="s" s="13">
        <v>7073</v>
      </c>
      <c r="N776" s="15">
        <v>132396</v>
      </c>
      <c r="O776" s="17" cm="1">
        <f t="array" ref="O776">(H776-H775)/H775</f>
        <v>0.0170596128042937</v>
      </c>
      <c r="P776" s="8"/>
      <c r="Q776" s="8"/>
    </row>
    <row r="777" ht="13.65" customHeight="1">
      <c r="A777" s="12">
        <v>45387</v>
      </c>
      <c r="B777" t="s" s="13">
        <v>22</v>
      </c>
      <c r="C777" s="14">
        <v>2924</v>
      </c>
      <c r="D777" s="14">
        <v>2927.75</v>
      </c>
      <c r="E777" s="14">
        <v>2880</v>
      </c>
      <c r="F777" s="14">
        <v>2918.3</v>
      </c>
      <c r="G777" s="14">
        <v>2890</v>
      </c>
      <c r="H777" s="14">
        <v>2883.45</v>
      </c>
      <c r="I777" s="14">
        <v>2901.38</v>
      </c>
      <c r="J777" s="14">
        <v>3568</v>
      </c>
      <c r="K777" s="14">
        <v>2708.65</v>
      </c>
      <c r="L777" s="15">
        <v>1155672</v>
      </c>
      <c r="M777" t="s" s="13">
        <v>7074</v>
      </c>
      <c r="N777" s="15">
        <v>80381</v>
      </c>
      <c r="O777" s="17" cm="1">
        <f t="array" ref="O777">(H777-H776)/H776</f>
        <v>-0.0119418839735462</v>
      </c>
      <c r="P777" s="8"/>
      <c r="Q777" s="8"/>
    </row>
    <row r="778" ht="13.65" customHeight="1">
      <c r="A778" s="12">
        <v>45390</v>
      </c>
      <c r="B778" t="s" s="13">
        <v>22</v>
      </c>
      <c r="C778" s="14">
        <v>2908</v>
      </c>
      <c r="D778" s="14">
        <v>2908.95</v>
      </c>
      <c r="E778" s="14">
        <v>2873.8</v>
      </c>
      <c r="F778" s="14">
        <v>2883.45</v>
      </c>
      <c r="G778" s="14">
        <v>2893</v>
      </c>
      <c r="H778" s="14">
        <v>2892</v>
      </c>
      <c r="I778" s="14">
        <v>2889.85</v>
      </c>
      <c r="J778" s="14">
        <v>3568</v>
      </c>
      <c r="K778" s="14">
        <v>2750.05</v>
      </c>
      <c r="L778" s="15">
        <v>570695</v>
      </c>
      <c r="M778" t="s" s="13">
        <v>7075</v>
      </c>
      <c r="N778" s="15">
        <v>42472</v>
      </c>
      <c r="O778" s="17" cm="1">
        <f t="array" ref="O778">(H778-H777)/H777</f>
        <v>0.00296519793996775</v>
      </c>
      <c r="P778" s="8"/>
      <c r="Q778" s="8"/>
    </row>
    <row r="779" ht="13.65" customHeight="1">
      <c r="A779" s="12">
        <v>45391</v>
      </c>
      <c r="B779" t="s" s="13">
        <v>22</v>
      </c>
      <c r="C779" s="14">
        <v>2893</v>
      </c>
      <c r="D779" s="14">
        <v>2916.45</v>
      </c>
      <c r="E779" s="14">
        <v>2845</v>
      </c>
      <c r="F779" s="14">
        <v>2892</v>
      </c>
      <c r="G779" s="14">
        <v>2857</v>
      </c>
      <c r="H779" s="14">
        <v>2857.15</v>
      </c>
      <c r="I779" s="14">
        <v>2870.13</v>
      </c>
      <c r="J779" s="14">
        <v>3568</v>
      </c>
      <c r="K779" s="14">
        <v>2750.05</v>
      </c>
      <c r="L779" s="15">
        <v>1017670</v>
      </c>
      <c r="M779" t="s" s="13">
        <v>7076</v>
      </c>
      <c r="N779" s="15">
        <v>74467</v>
      </c>
      <c r="O779" s="17" cm="1">
        <f t="array" ref="O779">(H779-H778)/H778</f>
        <v>-0.0120504840940526</v>
      </c>
      <c r="P779" s="8"/>
      <c r="Q779" s="8"/>
    </row>
    <row r="780" ht="13.65" customHeight="1">
      <c r="A780" s="18">
        <v>45392</v>
      </c>
      <c r="B780" t="s" s="13">
        <v>22</v>
      </c>
      <c r="C780" s="14">
        <v>2883.3</v>
      </c>
      <c r="D780" s="14">
        <v>2899.1</v>
      </c>
      <c r="E780" s="14">
        <v>2858</v>
      </c>
      <c r="F780" s="14">
        <v>2857.15</v>
      </c>
      <c r="G780" s="14">
        <v>2895.45</v>
      </c>
      <c r="H780" s="14">
        <v>2896.75</v>
      </c>
      <c r="I780" s="14">
        <v>2882.82</v>
      </c>
      <c r="J780" s="14">
        <v>3568</v>
      </c>
      <c r="K780" s="14">
        <v>2750.05</v>
      </c>
      <c r="L780" s="15">
        <v>740495</v>
      </c>
      <c r="M780" t="s" s="13">
        <v>7077</v>
      </c>
      <c r="N780" s="15">
        <v>60224</v>
      </c>
      <c r="O780" s="17" cm="1">
        <f t="array" ref="O780">(H780-H779)/H779</f>
        <v>0.0138599653500866</v>
      </c>
      <c r="P780" s="8"/>
      <c r="Q780" s="8"/>
    </row>
    <row r="781" ht="13.65" customHeight="1">
      <c r="A781" s="18">
        <v>45394</v>
      </c>
      <c r="B781" t="s" s="13">
        <v>22</v>
      </c>
      <c r="C781" s="14">
        <v>2890</v>
      </c>
      <c r="D781" s="14">
        <v>2893</v>
      </c>
      <c r="E781" s="14">
        <v>2845</v>
      </c>
      <c r="F781" s="14">
        <v>2896.75</v>
      </c>
      <c r="G781" s="14">
        <v>2853</v>
      </c>
      <c r="H781" s="14">
        <v>2854.5</v>
      </c>
      <c r="I781" s="14">
        <v>2857.46</v>
      </c>
      <c r="J781" s="14">
        <v>3568</v>
      </c>
      <c r="K781" s="14">
        <v>2750.05</v>
      </c>
      <c r="L781" s="15">
        <v>1766311</v>
      </c>
      <c r="M781" t="s" s="13">
        <v>7078</v>
      </c>
      <c r="N781" s="15">
        <v>125951</v>
      </c>
      <c r="O781" s="17" cm="1">
        <f t="array" ref="O781">(H781-H780)/H780</f>
        <v>-0.0145853111245361</v>
      </c>
      <c r="P781" s="8"/>
      <c r="Q781" s="8"/>
    </row>
    <row r="782" ht="13.65" customHeight="1">
      <c r="A782" s="18">
        <v>45397</v>
      </c>
      <c r="B782" t="s" s="13">
        <v>22</v>
      </c>
      <c r="C782" s="14">
        <v>2830.2</v>
      </c>
      <c r="D782" s="14">
        <v>2853.5</v>
      </c>
      <c r="E782" s="14">
        <v>2812.35</v>
      </c>
      <c r="F782" s="14">
        <v>2854.5</v>
      </c>
      <c r="G782" s="14">
        <v>2841</v>
      </c>
      <c r="H782" s="14">
        <v>2844.4</v>
      </c>
      <c r="I782" s="14">
        <v>2838.41</v>
      </c>
      <c r="J782" s="14">
        <v>3568</v>
      </c>
      <c r="K782" s="14">
        <v>2776.75</v>
      </c>
      <c r="L782" s="15">
        <v>884519</v>
      </c>
      <c r="M782" t="s" s="13">
        <v>7079</v>
      </c>
      <c r="N782" s="15">
        <v>65321</v>
      </c>
      <c r="O782" s="17" cm="1">
        <f t="array" ref="O782">(H782-H781)/H781</f>
        <v>-0.00353827290243475</v>
      </c>
      <c r="P782" s="8"/>
      <c r="Q782" s="8"/>
    </row>
    <row r="783" ht="13.65" customHeight="1">
      <c r="A783" s="18">
        <v>45398</v>
      </c>
      <c r="B783" t="s" s="13">
        <v>22</v>
      </c>
      <c r="C783" s="14">
        <v>2827.65</v>
      </c>
      <c r="D783" s="14">
        <v>2841.45</v>
      </c>
      <c r="E783" s="14">
        <v>2820</v>
      </c>
      <c r="F783" s="14">
        <v>2844.4</v>
      </c>
      <c r="G783" s="14">
        <v>2833.45</v>
      </c>
      <c r="H783" s="14">
        <v>2830</v>
      </c>
      <c r="I783" s="14">
        <v>2830.63</v>
      </c>
      <c r="J783" s="14">
        <v>3568</v>
      </c>
      <c r="K783" s="14">
        <v>2776.75</v>
      </c>
      <c r="L783" s="15">
        <v>911249</v>
      </c>
      <c r="M783" t="s" s="13">
        <v>7080</v>
      </c>
      <c r="N783" s="15">
        <v>71383</v>
      </c>
      <c r="O783" s="17" cm="1">
        <f t="array" ref="O783">(H783-H782)/H782</f>
        <v>-0.00506257910279848</v>
      </c>
      <c r="P783" s="8"/>
      <c r="Q783" s="8"/>
    </row>
    <row r="784" ht="13.65" customHeight="1">
      <c r="A784" s="18">
        <v>45400</v>
      </c>
      <c r="B784" t="s" s="13">
        <v>22</v>
      </c>
      <c r="C784" s="14">
        <v>2855</v>
      </c>
      <c r="D784" s="14">
        <v>2859.2</v>
      </c>
      <c r="E784" s="14">
        <v>2800.1</v>
      </c>
      <c r="F784" s="14">
        <v>2830</v>
      </c>
      <c r="G784" s="14">
        <v>2810</v>
      </c>
      <c r="H784" s="14">
        <v>2807.7</v>
      </c>
      <c r="I784" s="14">
        <v>2826</v>
      </c>
      <c r="J784" s="14">
        <v>3568</v>
      </c>
      <c r="K784" s="14">
        <v>2776.75</v>
      </c>
      <c r="L784" s="15">
        <v>1732434</v>
      </c>
      <c r="M784" t="s" s="13">
        <v>7081</v>
      </c>
      <c r="N784" s="15">
        <v>135725</v>
      </c>
      <c r="O784" s="17" cm="1">
        <f t="array" ref="O784">(H784-H783)/H783</f>
        <v>-0.00787985865724382</v>
      </c>
      <c r="P784" s="8"/>
      <c r="Q784" s="8"/>
    </row>
    <row r="785" ht="13.65" customHeight="1">
      <c r="A785" s="18">
        <v>45401</v>
      </c>
      <c r="B785" t="s" s="13">
        <v>22</v>
      </c>
      <c r="C785" s="14">
        <v>2790</v>
      </c>
      <c r="D785" s="14">
        <v>2822.1</v>
      </c>
      <c r="E785" s="14">
        <v>2766.15</v>
      </c>
      <c r="F785" s="14">
        <v>2807.7</v>
      </c>
      <c r="G785" s="14">
        <v>2809.7</v>
      </c>
      <c r="H785" s="14">
        <v>2808.55</v>
      </c>
      <c r="I785" s="14">
        <v>2789.51</v>
      </c>
      <c r="J785" s="14">
        <v>3568</v>
      </c>
      <c r="K785" s="14">
        <v>2766.15</v>
      </c>
      <c r="L785" s="15">
        <v>1337807</v>
      </c>
      <c r="M785" t="s" s="13">
        <v>7082</v>
      </c>
      <c r="N785" s="15">
        <v>119695</v>
      </c>
      <c r="O785" s="17" cm="1">
        <f t="array" ref="O785">(H785-H784)/H784</f>
        <v>0.000302738896605763</v>
      </c>
      <c r="P785" s="8"/>
      <c r="Q785" s="8"/>
    </row>
    <row r="786" ht="13.65" customHeight="1">
      <c r="A786" s="18">
        <v>45404</v>
      </c>
      <c r="B786" t="s" s="13">
        <v>22</v>
      </c>
      <c r="C786" s="14">
        <v>2846.6</v>
      </c>
      <c r="D786" s="14">
        <v>2846.6</v>
      </c>
      <c r="E786" s="14">
        <v>2814.05</v>
      </c>
      <c r="F786" s="14">
        <v>2808.55</v>
      </c>
      <c r="G786" s="14">
        <v>2843.35</v>
      </c>
      <c r="H786" s="14">
        <v>2841.85</v>
      </c>
      <c r="I786" s="14">
        <v>2834.89</v>
      </c>
      <c r="J786" s="14">
        <v>3568</v>
      </c>
      <c r="K786" s="14">
        <v>2766.15</v>
      </c>
      <c r="L786" s="15">
        <v>676040</v>
      </c>
      <c r="M786" t="s" s="13">
        <v>7083</v>
      </c>
      <c r="N786" s="15">
        <v>65109</v>
      </c>
      <c r="O786" s="17" cm="1">
        <f t="array" ref="O786">(H786-H785)/H785</f>
        <v>0.0118566520090438</v>
      </c>
      <c r="P786" s="8"/>
      <c r="Q786" s="8"/>
    </row>
    <row r="787" ht="13.65" customHeight="1">
      <c r="A787" s="18">
        <v>45405</v>
      </c>
      <c r="B787" t="s" s="13">
        <v>22</v>
      </c>
      <c r="C787" s="14">
        <v>2852</v>
      </c>
      <c r="D787" s="14">
        <v>2877.95</v>
      </c>
      <c r="E787" s="14">
        <v>2844</v>
      </c>
      <c r="F787" s="14">
        <v>2841.85</v>
      </c>
      <c r="G787" s="14">
        <v>2874</v>
      </c>
      <c r="H787" s="14">
        <v>2874.9</v>
      </c>
      <c r="I787" s="14">
        <v>2865.63</v>
      </c>
      <c r="J787" s="14">
        <v>3568</v>
      </c>
      <c r="K787" s="14">
        <v>2766.15</v>
      </c>
      <c r="L787" s="15">
        <v>929062</v>
      </c>
      <c r="M787" t="s" s="13">
        <v>7084</v>
      </c>
      <c r="N787" s="15">
        <v>66553</v>
      </c>
      <c r="O787" s="17" cm="1">
        <f t="array" ref="O787">(H787-H786)/H786</f>
        <v>0.0116297482273871</v>
      </c>
      <c r="P787" s="8"/>
      <c r="Q787" s="8"/>
    </row>
    <row r="788" ht="13.65" customHeight="1">
      <c r="A788" s="18">
        <v>45406</v>
      </c>
      <c r="B788" t="s" s="13">
        <v>22</v>
      </c>
      <c r="C788" s="14">
        <v>2882.95</v>
      </c>
      <c r="D788" s="14">
        <v>2883.1</v>
      </c>
      <c r="E788" s="14">
        <v>2860</v>
      </c>
      <c r="F788" s="14">
        <v>2874.9</v>
      </c>
      <c r="G788" s="14">
        <v>2869.8</v>
      </c>
      <c r="H788" s="14">
        <v>2867.75</v>
      </c>
      <c r="I788" s="14">
        <v>2869.18</v>
      </c>
      <c r="J788" s="14">
        <v>3568</v>
      </c>
      <c r="K788" s="14">
        <v>2766.15</v>
      </c>
      <c r="L788" s="15">
        <v>718441</v>
      </c>
      <c r="M788" t="s" s="13">
        <v>7085</v>
      </c>
      <c r="N788" s="15">
        <v>55435</v>
      </c>
      <c r="O788" s="17" cm="1">
        <f t="array" ref="O788">(H788-H787)/H787</f>
        <v>-0.00248704302758357</v>
      </c>
      <c r="P788" s="8"/>
      <c r="Q788" s="8"/>
    </row>
    <row r="789" ht="13.65" customHeight="1">
      <c r="A789" s="18">
        <v>45407</v>
      </c>
      <c r="B789" t="s" s="13">
        <v>22</v>
      </c>
      <c r="C789" s="14">
        <v>2865</v>
      </c>
      <c r="D789" s="14">
        <v>2869.9</v>
      </c>
      <c r="E789" s="14">
        <v>2829.05</v>
      </c>
      <c r="F789" s="14">
        <v>2867.75</v>
      </c>
      <c r="G789" s="14">
        <v>2858.85</v>
      </c>
      <c r="H789" s="14">
        <v>2861.45</v>
      </c>
      <c r="I789" s="14">
        <v>2850.86</v>
      </c>
      <c r="J789" s="14">
        <v>3568</v>
      </c>
      <c r="K789" s="14">
        <v>2766.15</v>
      </c>
      <c r="L789" s="15">
        <v>1594152</v>
      </c>
      <c r="M789" t="s" s="13">
        <v>7086</v>
      </c>
      <c r="N789" s="15">
        <v>113559</v>
      </c>
      <c r="O789" s="17" cm="1">
        <f t="array" ref="O789">(H789-H788)/H788</f>
        <v>-0.00219684421584866</v>
      </c>
      <c r="P789" s="8"/>
      <c r="Q789" s="8"/>
    </row>
    <row r="790" ht="13.65" customHeight="1">
      <c r="A790" s="18">
        <v>45408</v>
      </c>
      <c r="B790" t="s" s="13">
        <v>22</v>
      </c>
      <c r="C790" s="14">
        <v>2870</v>
      </c>
      <c r="D790" s="14">
        <v>2878.2</v>
      </c>
      <c r="E790" s="14">
        <v>2837.05</v>
      </c>
      <c r="F790" s="14">
        <v>2861.45</v>
      </c>
      <c r="G790" s="14">
        <v>2850.15</v>
      </c>
      <c r="H790" s="14">
        <v>2844.15</v>
      </c>
      <c r="I790" s="14">
        <v>2855.97</v>
      </c>
      <c r="J790" s="14">
        <v>3568</v>
      </c>
      <c r="K790" s="14">
        <v>2766.15</v>
      </c>
      <c r="L790" s="15">
        <v>625507</v>
      </c>
      <c r="M790" t="s" s="13">
        <v>7087</v>
      </c>
      <c r="N790" s="15">
        <v>76141</v>
      </c>
      <c r="O790" s="17" cm="1">
        <f t="array" ref="O790">(H790-H789)/H789</f>
        <v>-0.00604588582711562</v>
      </c>
      <c r="P790" s="8"/>
      <c r="Q790" s="8"/>
    </row>
    <row r="791" ht="13.65" customHeight="1">
      <c r="A791" s="18">
        <v>45411</v>
      </c>
      <c r="B791" t="s" s="13">
        <v>22</v>
      </c>
      <c r="C791" s="14">
        <v>2844.15</v>
      </c>
      <c r="D791" s="14">
        <v>2873.95</v>
      </c>
      <c r="E791" s="14">
        <v>2839</v>
      </c>
      <c r="F791" s="14">
        <v>2844.15</v>
      </c>
      <c r="G791" s="14">
        <v>2863</v>
      </c>
      <c r="H791" s="14">
        <v>2868.2</v>
      </c>
      <c r="I791" s="14">
        <v>2865.04</v>
      </c>
      <c r="J791" s="14">
        <v>3568</v>
      </c>
      <c r="K791" s="14">
        <v>2766.15</v>
      </c>
      <c r="L791" s="15">
        <v>566219</v>
      </c>
      <c r="M791" t="s" s="13">
        <v>7088</v>
      </c>
      <c r="N791" s="15">
        <v>53934</v>
      </c>
      <c r="O791" s="17" cm="1">
        <f t="array" ref="O791">(H791-H790)/H790</f>
        <v>0.00845595344830617</v>
      </c>
      <c r="P791" s="8"/>
      <c r="Q791" s="8"/>
    </row>
    <row r="792" ht="13.65" customHeight="1">
      <c r="A792" s="18">
        <v>45412</v>
      </c>
      <c r="B792" t="s" s="13">
        <v>22</v>
      </c>
      <c r="C792" s="14">
        <v>2855</v>
      </c>
      <c r="D792" s="14">
        <v>2912</v>
      </c>
      <c r="E792" s="14">
        <v>2855</v>
      </c>
      <c r="F792" s="14">
        <v>2868.2</v>
      </c>
      <c r="G792" s="14">
        <v>2875</v>
      </c>
      <c r="H792" s="14">
        <v>2875.9</v>
      </c>
      <c r="I792" s="14">
        <v>2889.65</v>
      </c>
      <c r="J792" s="14">
        <v>3568</v>
      </c>
      <c r="K792" s="14">
        <v>2766.15</v>
      </c>
      <c r="L792" s="15">
        <v>1290649</v>
      </c>
      <c r="M792" t="s" s="13">
        <v>7089</v>
      </c>
      <c r="N792" s="15">
        <v>88067</v>
      </c>
      <c r="O792" s="17" cm="1">
        <f t="array" ref="O792">(H792-H791)/H791</f>
        <v>0.00268461055714385</v>
      </c>
      <c r="P792" s="8"/>
      <c r="Q792" s="8"/>
    </row>
    <row r="793" ht="13.65" customHeight="1">
      <c r="A793" s="19">
        <v>45414</v>
      </c>
      <c r="B793" t="s" s="13">
        <v>22</v>
      </c>
      <c r="C793" s="14">
        <v>2875.1</v>
      </c>
      <c r="D793" s="14">
        <v>2988</v>
      </c>
      <c r="E793" s="14">
        <v>2875.1</v>
      </c>
      <c r="F793" s="14">
        <v>2875.9</v>
      </c>
      <c r="G793" s="14">
        <v>2968</v>
      </c>
      <c r="H793" s="14">
        <v>2975.4</v>
      </c>
      <c r="I793" s="14">
        <v>2948.02</v>
      </c>
      <c r="J793" s="14">
        <v>3568</v>
      </c>
      <c r="K793" s="14">
        <v>2766.15</v>
      </c>
      <c r="L793" s="15">
        <v>2493406</v>
      </c>
      <c r="M793" t="s" s="13">
        <v>7090</v>
      </c>
      <c r="N793" s="15">
        <v>191618</v>
      </c>
      <c r="O793" s="17" cm="1">
        <f t="array" ref="O793">(H793-H792)/H792</f>
        <v>0.0345978650161689</v>
      </c>
      <c r="P793" s="8"/>
      <c r="Q793" s="8"/>
    </row>
    <row r="794" ht="13.65" customHeight="1">
      <c r="A794" s="19">
        <v>45415</v>
      </c>
      <c r="B794" t="s" s="13">
        <v>22</v>
      </c>
      <c r="C794" s="14">
        <v>2983.05</v>
      </c>
      <c r="D794" s="14">
        <v>2997</v>
      </c>
      <c r="E794" s="14">
        <v>2909.25</v>
      </c>
      <c r="F794" s="14">
        <v>2975.4</v>
      </c>
      <c r="G794" s="14">
        <v>2930</v>
      </c>
      <c r="H794" s="14">
        <v>2929.75</v>
      </c>
      <c r="I794" s="14">
        <v>2943.33</v>
      </c>
      <c r="J794" s="14">
        <v>3568</v>
      </c>
      <c r="K794" s="14">
        <v>2766.15</v>
      </c>
      <c r="L794" s="15">
        <v>1594445</v>
      </c>
      <c r="M794" t="s" s="13">
        <v>7091</v>
      </c>
      <c r="N794" s="15">
        <v>141235</v>
      </c>
      <c r="O794" s="17" cm="1">
        <f t="array" ref="O794">(H794-H793)/H793</f>
        <v>-0.0153424749613497</v>
      </c>
      <c r="P794" s="8"/>
      <c r="Q794" s="8"/>
    </row>
    <row r="795" ht="13.65" customHeight="1">
      <c r="A795" s="19">
        <v>45418</v>
      </c>
      <c r="B795" t="s" s="13">
        <v>22</v>
      </c>
      <c r="C795" s="14">
        <v>2950</v>
      </c>
      <c r="D795" s="14">
        <v>2959</v>
      </c>
      <c r="E795" s="14">
        <v>2911.2</v>
      </c>
      <c r="F795" s="14">
        <v>2929.75</v>
      </c>
      <c r="G795" s="14">
        <v>2932.65</v>
      </c>
      <c r="H795" s="14">
        <v>2932.15</v>
      </c>
      <c r="I795" s="14">
        <v>2936.44</v>
      </c>
      <c r="J795" s="14">
        <v>3568</v>
      </c>
      <c r="K795" s="14">
        <v>2766.15</v>
      </c>
      <c r="L795" s="15">
        <v>768806</v>
      </c>
      <c r="M795" t="s" s="13">
        <v>7092</v>
      </c>
      <c r="N795" s="15">
        <v>61093</v>
      </c>
      <c r="O795" s="17" cm="1">
        <f t="array" ref="O795">(H795-H794)/H794</f>
        <v>0.000819182524106152</v>
      </c>
      <c r="P795" s="8"/>
      <c r="Q795" s="8"/>
    </row>
    <row r="796" ht="13.65" customHeight="1">
      <c r="A796" s="19">
        <v>45419</v>
      </c>
      <c r="B796" t="s" s="13">
        <v>22</v>
      </c>
      <c r="C796" s="14">
        <v>2947</v>
      </c>
      <c r="D796" s="14">
        <v>2967.95</v>
      </c>
      <c r="E796" s="14">
        <v>2904</v>
      </c>
      <c r="F796" s="14">
        <v>2932.15</v>
      </c>
      <c r="G796" s="14">
        <v>2908.65</v>
      </c>
      <c r="H796" s="14">
        <v>2913</v>
      </c>
      <c r="I796" s="14">
        <v>2929.29</v>
      </c>
      <c r="J796" s="14">
        <v>3568</v>
      </c>
      <c r="K796" s="14">
        <v>2766.15</v>
      </c>
      <c r="L796" s="15">
        <v>629534</v>
      </c>
      <c r="M796" t="s" s="13">
        <v>7093</v>
      </c>
      <c r="N796" s="15">
        <v>56355</v>
      </c>
      <c r="O796" s="17" cm="1">
        <f t="array" ref="O796">(H796-H795)/H795</f>
        <v>-0.00653104377334038</v>
      </c>
      <c r="P796" s="8"/>
      <c r="Q796" s="8"/>
    </row>
    <row r="797" ht="13.65" customHeight="1">
      <c r="A797" s="19">
        <v>45420</v>
      </c>
      <c r="B797" t="s" s="13">
        <v>22</v>
      </c>
      <c r="C797" s="14">
        <v>2900</v>
      </c>
      <c r="D797" s="14">
        <v>2905</v>
      </c>
      <c r="E797" s="14">
        <v>2821</v>
      </c>
      <c r="F797" s="14">
        <v>2913</v>
      </c>
      <c r="G797" s="14">
        <v>2848.7</v>
      </c>
      <c r="H797" s="14">
        <v>2843.3</v>
      </c>
      <c r="I797" s="14">
        <v>2847.71</v>
      </c>
      <c r="J797" s="14">
        <v>3568</v>
      </c>
      <c r="K797" s="14">
        <v>2766.15</v>
      </c>
      <c r="L797" s="15">
        <v>1652877</v>
      </c>
      <c r="M797" t="s" s="13">
        <v>7094</v>
      </c>
      <c r="N797" s="15">
        <v>127616</v>
      </c>
      <c r="O797" s="17" cm="1">
        <f t="array" ref="O797">(H797-H796)/H796</f>
        <v>-0.0239272227943701</v>
      </c>
      <c r="P797" s="8"/>
      <c r="Q797" s="8"/>
    </row>
    <row r="798" ht="13.65" customHeight="1">
      <c r="A798" s="19">
        <v>45421</v>
      </c>
      <c r="B798" t="s" s="13">
        <v>22</v>
      </c>
      <c r="C798" s="14">
        <v>2828</v>
      </c>
      <c r="D798" s="14">
        <v>2853.95</v>
      </c>
      <c r="E798" s="14">
        <v>2703.8</v>
      </c>
      <c r="F798" s="14">
        <v>2843.3</v>
      </c>
      <c r="G798" s="14">
        <v>2716</v>
      </c>
      <c r="H798" s="14">
        <v>2710.1</v>
      </c>
      <c r="I798" s="14">
        <v>2761.87</v>
      </c>
      <c r="J798" s="14">
        <v>3568</v>
      </c>
      <c r="K798" s="14">
        <v>2703.8</v>
      </c>
      <c r="L798" s="15">
        <v>3547959</v>
      </c>
      <c r="M798" t="s" s="13">
        <v>7095</v>
      </c>
      <c r="N798" s="15">
        <v>256530</v>
      </c>
      <c r="O798" s="17" cm="1">
        <f t="array" ref="O798">(H798-H797)/H797</f>
        <v>-0.0468469735870292</v>
      </c>
      <c r="P798" s="8"/>
      <c r="Q798" s="8"/>
    </row>
    <row r="799" ht="13.65" customHeight="1">
      <c r="A799" s="20">
        <v>45422</v>
      </c>
      <c r="B799" t="s" s="13">
        <v>22</v>
      </c>
      <c r="C799" s="14">
        <v>2699</v>
      </c>
      <c r="D799" s="14">
        <v>2792.6</v>
      </c>
      <c r="E799" s="14">
        <v>2670.1</v>
      </c>
      <c r="F799" s="14">
        <v>2710.1</v>
      </c>
      <c r="G799" s="14">
        <v>2770</v>
      </c>
      <c r="H799" s="14">
        <v>2771.25</v>
      </c>
      <c r="I799" s="14">
        <v>2758.79</v>
      </c>
      <c r="J799" s="14">
        <v>3568</v>
      </c>
      <c r="K799" s="14">
        <v>2670.1</v>
      </c>
      <c r="L799" s="15">
        <v>2478584</v>
      </c>
      <c r="M799" t="s" s="13">
        <v>7096</v>
      </c>
      <c r="N799" s="15">
        <v>148636</v>
      </c>
      <c r="O799" s="17" cm="1">
        <f t="array" ref="O799">(H799-H798)/H798</f>
        <v>0.0225637430353124</v>
      </c>
      <c r="P799" s="8"/>
      <c r="Q799" s="8"/>
    </row>
    <row r="800" ht="13.65" customHeight="1">
      <c r="A800" s="20">
        <v>45425</v>
      </c>
      <c r="B800" t="s" s="13">
        <v>22</v>
      </c>
      <c r="C800" s="14">
        <v>2771.25</v>
      </c>
      <c r="D800" s="14">
        <v>2895</v>
      </c>
      <c r="E800" s="14">
        <v>2754.1</v>
      </c>
      <c r="F800" s="14">
        <v>2771.25</v>
      </c>
      <c r="G800" s="14">
        <v>2878</v>
      </c>
      <c r="H800" s="14">
        <v>2879.25</v>
      </c>
      <c r="I800" s="14">
        <v>2851.84</v>
      </c>
      <c r="J800" s="14">
        <v>3568</v>
      </c>
      <c r="K800" s="14">
        <v>2670.1</v>
      </c>
      <c r="L800" s="15">
        <v>2748823</v>
      </c>
      <c r="M800" t="s" s="13">
        <v>7097</v>
      </c>
      <c r="N800" s="15">
        <v>122123</v>
      </c>
      <c r="O800" s="17" cm="1">
        <f t="array" ref="O800">(H800-H799)/H799</f>
        <v>0.0389715832205683</v>
      </c>
      <c r="P800" s="8"/>
      <c r="Q800" s="8"/>
    </row>
    <row r="801" ht="13.65" customHeight="1">
      <c r="A801" s="20">
        <v>45426</v>
      </c>
      <c r="B801" t="s" s="13">
        <v>22</v>
      </c>
      <c r="C801" s="14">
        <v>2879</v>
      </c>
      <c r="D801" s="14">
        <v>2888</v>
      </c>
      <c r="E801" s="14">
        <v>2842</v>
      </c>
      <c r="F801" s="14">
        <v>2879.25</v>
      </c>
      <c r="G801" s="14">
        <v>2866.7</v>
      </c>
      <c r="H801" s="14">
        <v>2866.15</v>
      </c>
      <c r="I801" s="14">
        <v>2866.25</v>
      </c>
      <c r="J801" s="14">
        <v>3568</v>
      </c>
      <c r="K801" s="14">
        <v>2670.1</v>
      </c>
      <c r="L801" s="15">
        <v>999330</v>
      </c>
      <c r="M801" t="s" s="13">
        <v>7098</v>
      </c>
      <c r="N801" s="15">
        <v>87367</v>
      </c>
      <c r="O801" s="17" cm="1">
        <f t="array" ref="O801">(H801-H800)/H800</f>
        <v>-0.00454979595380742</v>
      </c>
      <c r="P801" s="8"/>
      <c r="Q801" s="8"/>
    </row>
    <row r="802" ht="13.65" customHeight="1">
      <c r="A802" s="20">
        <v>45427</v>
      </c>
      <c r="B802" t="s" s="13">
        <v>22</v>
      </c>
      <c r="C802" s="14">
        <v>2866.15</v>
      </c>
      <c r="D802" s="14">
        <v>2874.25</v>
      </c>
      <c r="E802" s="14">
        <v>2806.15</v>
      </c>
      <c r="F802" s="14">
        <v>2866.15</v>
      </c>
      <c r="G802" s="14">
        <v>2813</v>
      </c>
      <c r="H802" s="14">
        <v>2813.7</v>
      </c>
      <c r="I802" s="14">
        <v>2835.68</v>
      </c>
      <c r="J802" s="14">
        <v>3568</v>
      </c>
      <c r="K802" s="14">
        <v>2670.1</v>
      </c>
      <c r="L802" s="15">
        <v>1230520</v>
      </c>
      <c r="M802" t="s" s="13">
        <v>7099</v>
      </c>
      <c r="N802" s="15">
        <v>124776</v>
      </c>
      <c r="O802" s="17" cm="1">
        <f t="array" ref="O802">(H802-H801)/H801</f>
        <v>-0.0182998098494496</v>
      </c>
      <c r="P802" s="8"/>
      <c r="Q802" s="8"/>
    </row>
    <row r="803" ht="13.65" customHeight="1">
      <c r="A803" s="20">
        <v>45428</v>
      </c>
      <c r="B803" t="s" s="13">
        <v>22</v>
      </c>
      <c r="C803" s="14">
        <v>2821.05</v>
      </c>
      <c r="D803" s="14">
        <v>2837.6</v>
      </c>
      <c r="E803" s="14">
        <v>2786.55</v>
      </c>
      <c r="F803" s="14">
        <v>2813.7</v>
      </c>
      <c r="G803" s="14">
        <v>2814.6</v>
      </c>
      <c r="H803" s="14">
        <v>2814.05</v>
      </c>
      <c r="I803" s="14">
        <v>2803.49</v>
      </c>
      <c r="J803" s="14">
        <v>3568</v>
      </c>
      <c r="K803" s="14">
        <v>2670.1</v>
      </c>
      <c r="L803" s="15">
        <v>1534319</v>
      </c>
      <c r="M803" t="s" s="13">
        <v>7100</v>
      </c>
      <c r="N803" s="15">
        <v>169357</v>
      </c>
      <c r="O803" s="17" cm="1">
        <f t="array" ref="O803">(H803-H802)/H802</f>
        <v>0.000124391370792906</v>
      </c>
      <c r="P803" s="8"/>
      <c r="Q803" s="8"/>
    </row>
    <row r="804" ht="13.65" customHeight="1">
      <c r="A804" s="20">
        <v>45429</v>
      </c>
      <c r="B804" t="s" s="13">
        <v>22</v>
      </c>
      <c r="C804" s="14">
        <v>2814.6</v>
      </c>
      <c r="D804" s="14">
        <v>2838.2</v>
      </c>
      <c r="E804" s="14">
        <v>2786.1</v>
      </c>
      <c r="F804" s="14">
        <v>2814.05</v>
      </c>
      <c r="G804" s="14">
        <v>2819</v>
      </c>
      <c r="H804" s="14">
        <v>2809.9</v>
      </c>
      <c r="I804" s="14">
        <v>2808.53</v>
      </c>
      <c r="J804" s="14">
        <v>3568</v>
      </c>
      <c r="K804" s="14">
        <v>2670.1</v>
      </c>
      <c r="L804" s="15">
        <v>1325150</v>
      </c>
      <c r="M804" t="s" s="13">
        <v>7101</v>
      </c>
      <c r="N804" s="15">
        <v>118183</v>
      </c>
      <c r="O804" s="17" cm="1">
        <f t="array" ref="O804">(H804-H803)/H803</f>
        <v>-0.00147474280840781</v>
      </c>
      <c r="P804" s="8"/>
      <c r="Q804" s="8"/>
    </row>
    <row r="805" ht="13.65" customHeight="1">
      <c r="A805" s="20">
        <v>45430</v>
      </c>
      <c r="B805" t="s" s="13">
        <v>22</v>
      </c>
      <c r="C805" s="14">
        <v>2824</v>
      </c>
      <c r="D805" s="14">
        <v>2830</v>
      </c>
      <c r="E805" s="14">
        <v>2810.2</v>
      </c>
      <c r="F805" s="14">
        <v>2809.9</v>
      </c>
      <c r="G805" s="14">
        <v>2817.5</v>
      </c>
      <c r="H805" s="14">
        <v>2816.35</v>
      </c>
      <c r="I805" s="14">
        <v>2819.39</v>
      </c>
      <c r="J805" s="14">
        <v>3568</v>
      </c>
      <c r="K805" s="14">
        <v>2670.1</v>
      </c>
      <c r="L805" s="15">
        <v>52260</v>
      </c>
      <c r="M805" t="s" s="13">
        <v>7102</v>
      </c>
      <c r="N805" s="15">
        <v>5827</v>
      </c>
      <c r="O805" s="17" cm="1">
        <f t="array" ref="O805">(H805-H804)/H804</f>
        <v>0.00229545535428307</v>
      </c>
      <c r="P805" s="8"/>
      <c r="Q805" s="8"/>
    </row>
    <row r="806" ht="13.65" customHeight="1">
      <c r="A806" s="20">
        <v>45433</v>
      </c>
      <c r="B806" t="s" s="13">
        <v>22</v>
      </c>
      <c r="C806" s="14">
        <v>2815</v>
      </c>
      <c r="D806" s="14">
        <v>2866.95</v>
      </c>
      <c r="E806" s="14">
        <v>2801</v>
      </c>
      <c r="F806" s="14">
        <v>2816.35</v>
      </c>
      <c r="G806" s="14">
        <v>2846</v>
      </c>
      <c r="H806" s="14">
        <v>2851.8</v>
      </c>
      <c r="I806" s="14">
        <v>2844.64</v>
      </c>
      <c r="J806" s="14">
        <v>3568</v>
      </c>
      <c r="K806" s="14">
        <v>2670.1</v>
      </c>
      <c r="L806" s="15">
        <v>921822</v>
      </c>
      <c r="M806" t="s" s="13">
        <v>7103</v>
      </c>
      <c r="N806" s="15">
        <v>103927</v>
      </c>
      <c r="O806" s="17" cm="1">
        <f t="array" ref="O806">(H806-H805)/H805</f>
        <v>0.0125872139471302</v>
      </c>
      <c r="P806" s="8"/>
      <c r="Q806" s="8"/>
    </row>
    <row r="807" ht="13.65" customHeight="1">
      <c r="A807" s="20">
        <v>45434</v>
      </c>
      <c r="B807" t="s" s="13">
        <v>22</v>
      </c>
      <c r="C807" s="14">
        <v>2851.8</v>
      </c>
      <c r="D807" s="14">
        <v>2895</v>
      </c>
      <c r="E807" s="14">
        <v>2836.6</v>
      </c>
      <c r="F807" s="14">
        <v>2851.8</v>
      </c>
      <c r="G807" s="14">
        <v>2890</v>
      </c>
      <c r="H807" s="14">
        <v>2885.75</v>
      </c>
      <c r="I807" s="14">
        <v>2879.03</v>
      </c>
      <c r="J807" s="14">
        <v>3568</v>
      </c>
      <c r="K807" s="14">
        <v>2670.1</v>
      </c>
      <c r="L807" s="15">
        <v>933846</v>
      </c>
      <c r="M807" t="s" s="13">
        <v>7104</v>
      </c>
      <c r="N807" s="15">
        <v>66910</v>
      </c>
      <c r="O807" s="17" cm="1">
        <f t="array" ref="O807">(H807-H806)/H806</f>
        <v>0.0119047619047619</v>
      </c>
      <c r="P807" s="8"/>
      <c r="Q807" s="8"/>
    </row>
    <row r="808" ht="13.65" customHeight="1">
      <c r="A808" s="20">
        <v>45435</v>
      </c>
      <c r="B808" t="s" s="13">
        <v>22</v>
      </c>
      <c r="C808" s="14">
        <v>2885</v>
      </c>
      <c r="D808" s="14">
        <v>2921.25</v>
      </c>
      <c r="E808" s="14">
        <v>2877.3</v>
      </c>
      <c r="F808" s="14">
        <v>2885.75</v>
      </c>
      <c r="G808" s="14">
        <v>2900</v>
      </c>
      <c r="H808" s="14">
        <v>2903.75</v>
      </c>
      <c r="I808" s="14">
        <v>2898.64</v>
      </c>
      <c r="J808" s="14">
        <v>3568</v>
      </c>
      <c r="K808" s="14">
        <v>2670.1</v>
      </c>
      <c r="L808" s="15">
        <v>1181894</v>
      </c>
      <c r="M808" t="s" s="13">
        <v>7105</v>
      </c>
      <c r="N808" s="15">
        <v>122242</v>
      </c>
      <c r="O808" s="17" cm="1">
        <f t="array" ref="O808">(H808-H807)/H807</f>
        <v>0.00623754656501776</v>
      </c>
      <c r="P808" s="8"/>
      <c r="Q808" s="8"/>
    </row>
    <row r="809" ht="13.65" customHeight="1">
      <c r="A809" s="20">
        <v>45436</v>
      </c>
      <c r="B809" t="s" s="13">
        <v>22</v>
      </c>
      <c r="C809" s="14">
        <v>2910.2</v>
      </c>
      <c r="D809" s="14">
        <v>2910.2</v>
      </c>
      <c r="E809" s="14">
        <v>2867</v>
      </c>
      <c r="F809" s="14">
        <v>2903.75</v>
      </c>
      <c r="G809" s="14">
        <v>2870</v>
      </c>
      <c r="H809" s="14">
        <v>2874.75</v>
      </c>
      <c r="I809" s="14">
        <v>2883.35</v>
      </c>
      <c r="J809" s="14">
        <v>3568</v>
      </c>
      <c r="K809" s="14">
        <v>2670.1</v>
      </c>
      <c r="L809" s="15">
        <v>755822</v>
      </c>
      <c r="M809" t="s" s="13">
        <v>7106</v>
      </c>
      <c r="N809" s="15">
        <v>57103</v>
      </c>
      <c r="O809" s="17" cm="1">
        <f t="array" ref="O809">(H809-H808)/H808</f>
        <v>-0.00998708566508825</v>
      </c>
      <c r="P809" s="8"/>
      <c r="Q809" s="8"/>
    </row>
    <row r="810" ht="13.65" customHeight="1">
      <c r="A810" s="20">
        <v>45439</v>
      </c>
      <c r="B810" t="s" s="13">
        <v>22</v>
      </c>
      <c r="C810" s="14">
        <v>2887.9</v>
      </c>
      <c r="D810" s="14">
        <v>2898.3</v>
      </c>
      <c r="E810" s="14">
        <v>2855.55</v>
      </c>
      <c r="F810" s="14">
        <v>2874.75</v>
      </c>
      <c r="G810" s="14">
        <v>2875.85</v>
      </c>
      <c r="H810" s="14">
        <v>2872.3</v>
      </c>
      <c r="I810" s="14">
        <v>2878.86</v>
      </c>
      <c r="J810" s="14">
        <v>3568</v>
      </c>
      <c r="K810" s="14">
        <v>2670.1</v>
      </c>
      <c r="L810" s="15">
        <v>817091</v>
      </c>
      <c r="M810" t="s" s="13">
        <v>7107</v>
      </c>
      <c r="N810" s="15">
        <v>67730</v>
      </c>
      <c r="O810" s="17" cm="1">
        <f t="array" ref="O810">(H810-H809)/H809</f>
        <v>-0.0008522480215670929</v>
      </c>
      <c r="P810" s="8"/>
      <c r="Q810" s="8"/>
    </row>
    <row r="811" ht="13.65" customHeight="1">
      <c r="A811" s="20">
        <v>45440</v>
      </c>
      <c r="B811" t="s" s="13">
        <v>22</v>
      </c>
      <c r="C811" s="14">
        <v>2875.85</v>
      </c>
      <c r="D811" s="14">
        <v>2921</v>
      </c>
      <c r="E811" s="14">
        <v>2864</v>
      </c>
      <c r="F811" s="14">
        <v>2872.3</v>
      </c>
      <c r="G811" s="14">
        <v>2920</v>
      </c>
      <c r="H811" s="14">
        <v>2911.2</v>
      </c>
      <c r="I811" s="14">
        <v>2898.1</v>
      </c>
      <c r="J811" s="14">
        <v>3568</v>
      </c>
      <c r="K811" s="14">
        <v>2670.1</v>
      </c>
      <c r="L811" s="15">
        <v>1084544</v>
      </c>
      <c r="M811" t="s" s="13">
        <v>7108</v>
      </c>
      <c r="N811" s="15">
        <v>65182</v>
      </c>
      <c r="O811" s="17" cm="1">
        <f t="array" ref="O811">(H811-H810)/H810</f>
        <v>0.0135431535703095</v>
      </c>
      <c r="P811" s="8"/>
      <c r="Q811" s="8"/>
    </row>
    <row r="812" ht="13.65" customHeight="1">
      <c r="A812" s="20">
        <v>45441</v>
      </c>
      <c r="B812" t="s" s="13">
        <v>22</v>
      </c>
      <c r="C812" s="14">
        <v>2896</v>
      </c>
      <c r="D812" s="14">
        <v>2921.7</v>
      </c>
      <c r="E812" s="14">
        <v>2881.1</v>
      </c>
      <c r="F812" s="14">
        <v>2911.2</v>
      </c>
      <c r="G812" s="14">
        <v>2894</v>
      </c>
      <c r="H812" s="14">
        <v>2900.15</v>
      </c>
      <c r="I812" s="14">
        <v>2904.89</v>
      </c>
      <c r="J812" s="14">
        <v>3568</v>
      </c>
      <c r="K812" s="14">
        <v>2670.1</v>
      </c>
      <c r="L812" s="15">
        <v>1758297</v>
      </c>
      <c r="M812" t="s" s="13">
        <v>7109</v>
      </c>
      <c r="N812" s="15">
        <v>101092</v>
      </c>
      <c r="O812" s="17" cm="1">
        <f t="array" ref="O812">(H812-H811)/H811</f>
        <v>-0.00379568562791976</v>
      </c>
      <c r="P812" s="8"/>
      <c r="Q812" s="8"/>
    </row>
    <row r="813" ht="13.65" customHeight="1">
      <c r="A813" s="20">
        <v>45442</v>
      </c>
      <c r="B813" t="s" s="13">
        <v>22</v>
      </c>
      <c r="C813" s="14">
        <v>2875.25</v>
      </c>
      <c r="D813" s="14">
        <v>2910.85</v>
      </c>
      <c r="E813" s="14">
        <v>2875</v>
      </c>
      <c r="F813" s="14">
        <v>2900.15</v>
      </c>
      <c r="G813" s="14">
        <v>2889.3</v>
      </c>
      <c r="H813" s="14">
        <v>2883.7</v>
      </c>
      <c r="I813" s="14">
        <v>2889.96</v>
      </c>
      <c r="J813" s="14">
        <v>3568</v>
      </c>
      <c r="K813" s="14">
        <v>2670.1</v>
      </c>
      <c r="L813" s="15">
        <v>1344426</v>
      </c>
      <c r="M813" t="s" s="13">
        <v>7110</v>
      </c>
      <c r="N813" s="15">
        <v>120152</v>
      </c>
      <c r="O813" s="17" cm="1">
        <f t="array" ref="O813">(H813-H812)/H812</f>
        <v>-0.00567212040756513</v>
      </c>
      <c r="P813" s="8"/>
      <c r="Q813" s="8"/>
    </row>
    <row r="814" ht="13.65" customHeight="1">
      <c r="A814" s="20">
        <v>45443</v>
      </c>
      <c r="B814" t="s" s="13">
        <v>22</v>
      </c>
      <c r="C814" s="14">
        <v>2883.7</v>
      </c>
      <c r="D814" s="14">
        <v>2906</v>
      </c>
      <c r="E814" s="14">
        <v>2855.6</v>
      </c>
      <c r="F814" s="14">
        <v>2883.7</v>
      </c>
      <c r="G814" s="14">
        <v>2881.3</v>
      </c>
      <c r="H814" s="14">
        <v>2881.2</v>
      </c>
      <c r="I814" s="14">
        <v>2881.75</v>
      </c>
      <c r="J814" s="14">
        <v>3568</v>
      </c>
      <c r="K814" s="14">
        <v>2670.1</v>
      </c>
      <c r="L814" s="15">
        <v>2520363</v>
      </c>
      <c r="M814" t="s" s="13">
        <v>7111</v>
      </c>
      <c r="N814" s="15">
        <v>140388</v>
      </c>
      <c r="O814" s="17" cm="1">
        <f t="array" ref="O814">(H814-H813)/H813</f>
        <v>-0.000866941776190311</v>
      </c>
      <c r="P814" s="8"/>
      <c r="Q814" s="8"/>
    </row>
    <row r="815" ht="13.65" customHeight="1">
      <c r="A815" s="12">
        <v>45446</v>
      </c>
      <c r="B815" t="s" s="13">
        <v>22</v>
      </c>
      <c r="C815" s="14">
        <v>2950</v>
      </c>
      <c r="D815" s="14">
        <v>2950</v>
      </c>
      <c r="E815" s="14">
        <v>2860.05</v>
      </c>
      <c r="F815" s="14">
        <v>2881.2</v>
      </c>
      <c r="G815" s="14">
        <v>2875</v>
      </c>
      <c r="H815" s="14">
        <v>2866.45</v>
      </c>
      <c r="I815" s="14">
        <v>2881.55</v>
      </c>
      <c r="J815" s="14">
        <v>3568</v>
      </c>
      <c r="K815" s="14">
        <v>2670.1</v>
      </c>
      <c r="L815" s="15">
        <v>952701</v>
      </c>
      <c r="M815" t="s" s="13">
        <v>7112</v>
      </c>
      <c r="N815" s="15">
        <v>78065</v>
      </c>
      <c r="O815" s="17" cm="1">
        <f t="array" ref="O815">(H815-H814)/H814</f>
        <v>-0.00511939469665417</v>
      </c>
      <c r="P815" s="8"/>
      <c r="Q815" s="8"/>
    </row>
    <row r="816" ht="13.65" customHeight="1">
      <c r="A816" s="12">
        <v>45447</v>
      </c>
      <c r="B816" t="s" s="13">
        <v>22</v>
      </c>
      <c r="C816" s="14">
        <v>2880</v>
      </c>
      <c r="D816" s="14">
        <v>2897</v>
      </c>
      <c r="E816" s="14">
        <v>2775.75</v>
      </c>
      <c r="F816" s="14">
        <v>2866.45</v>
      </c>
      <c r="G816" s="14">
        <v>2873.95</v>
      </c>
      <c r="H816" s="14">
        <v>2857.65</v>
      </c>
      <c r="I816" s="14">
        <v>2858.03</v>
      </c>
      <c r="J816" s="14">
        <v>3568</v>
      </c>
      <c r="K816" s="14">
        <v>2670.1</v>
      </c>
      <c r="L816" s="15">
        <v>2683847</v>
      </c>
      <c r="M816" t="s" s="13">
        <v>7113</v>
      </c>
      <c r="N816" s="15">
        <v>255550</v>
      </c>
      <c r="O816" s="17" cm="1">
        <f t="array" ref="O816">(H816-H815)/H815</f>
        <v>-0.00306999947670463</v>
      </c>
      <c r="P816" s="8"/>
      <c r="Q816" s="8"/>
    </row>
    <row r="817" ht="13.65" customHeight="1">
      <c r="A817" s="12">
        <v>45448</v>
      </c>
      <c r="B817" t="s" s="13">
        <v>22</v>
      </c>
      <c r="C817" s="14">
        <v>2864.5</v>
      </c>
      <c r="D817" s="14">
        <v>3027.3</v>
      </c>
      <c r="E817" s="14">
        <v>2864.5</v>
      </c>
      <c r="F817" s="14">
        <v>2857.65</v>
      </c>
      <c r="G817" s="14">
        <v>2960</v>
      </c>
      <c r="H817" s="14">
        <v>2961.75</v>
      </c>
      <c r="I817" s="14">
        <v>2975.38</v>
      </c>
      <c r="J817" s="14">
        <v>3568</v>
      </c>
      <c r="K817" s="14">
        <v>2670.1</v>
      </c>
      <c r="L817" s="15">
        <v>2410576</v>
      </c>
      <c r="M817" t="s" s="13">
        <v>7114</v>
      </c>
      <c r="N817" s="15">
        <v>165017</v>
      </c>
      <c r="O817" s="17" cm="1">
        <f t="array" ref="O817">(H817-H816)/H816</f>
        <v>0.0364285339352265</v>
      </c>
      <c r="P817" s="8"/>
      <c r="Q817" s="8"/>
    </row>
    <row r="818" ht="13.65" customHeight="1">
      <c r="A818" s="12">
        <v>45449</v>
      </c>
      <c r="B818" t="s" s="13">
        <v>22</v>
      </c>
      <c r="C818" s="14">
        <v>2960</v>
      </c>
      <c r="D818" s="14">
        <v>2961.75</v>
      </c>
      <c r="E818" s="14">
        <v>2882.25</v>
      </c>
      <c r="F818" s="14">
        <v>2961.75</v>
      </c>
      <c r="G818" s="14">
        <v>2910</v>
      </c>
      <c r="H818" s="14">
        <v>2904.8</v>
      </c>
      <c r="I818" s="14">
        <v>2918.03</v>
      </c>
      <c r="J818" s="14">
        <v>3568</v>
      </c>
      <c r="K818" s="14">
        <v>2670.1</v>
      </c>
      <c r="L818" s="15">
        <v>1689408</v>
      </c>
      <c r="M818" t="s" s="13">
        <v>7115</v>
      </c>
      <c r="N818" s="15">
        <v>161111</v>
      </c>
      <c r="O818" s="17" cm="1">
        <f t="array" ref="O818">(H818-H817)/H817</f>
        <v>-0.0192284966658226</v>
      </c>
      <c r="P818" s="8"/>
      <c r="Q818" s="8"/>
    </row>
    <row r="819" ht="13.65" customHeight="1">
      <c r="A819" s="12">
        <v>45450</v>
      </c>
      <c r="B819" t="s" s="13">
        <v>22</v>
      </c>
      <c r="C819" s="14">
        <v>2904.8</v>
      </c>
      <c r="D819" s="14">
        <v>2943.1</v>
      </c>
      <c r="E819" s="14">
        <v>2888.85</v>
      </c>
      <c r="F819" s="14">
        <v>2904.8</v>
      </c>
      <c r="G819" s="14">
        <v>2933</v>
      </c>
      <c r="H819" s="14">
        <v>2927.7</v>
      </c>
      <c r="I819" s="14">
        <v>2924.38</v>
      </c>
      <c r="J819" s="14">
        <v>3568</v>
      </c>
      <c r="K819" s="14">
        <v>2670.1</v>
      </c>
      <c r="L819" s="15">
        <v>1600180</v>
      </c>
      <c r="M819" t="s" s="13">
        <v>7116</v>
      </c>
      <c r="N819" s="15">
        <v>127721</v>
      </c>
      <c r="O819" s="17" cm="1">
        <f t="array" ref="O819">(H819-H818)/H818</f>
        <v>0.00788350316717158</v>
      </c>
      <c r="P819" s="8"/>
      <c r="Q819" s="8"/>
    </row>
    <row r="820" ht="13.65" customHeight="1">
      <c r="A820" s="18">
        <v>45453</v>
      </c>
      <c r="B820" t="s" s="13">
        <v>22</v>
      </c>
      <c r="C820" s="14">
        <v>2928</v>
      </c>
      <c r="D820" s="14">
        <v>2951.9</v>
      </c>
      <c r="E820" s="14">
        <v>2915</v>
      </c>
      <c r="F820" s="14">
        <v>2927.7</v>
      </c>
      <c r="G820" s="14">
        <v>2940</v>
      </c>
      <c r="H820" s="14">
        <v>2937.55</v>
      </c>
      <c r="I820" s="14">
        <v>2935.03</v>
      </c>
      <c r="J820" s="14">
        <v>3568</v>
      </c>
      <c r="K820" s="14">
        <v>2670.1</v>
      </c>
      <c r="L820" s="15">
        <v>876867</v>
      </c>
      <c r="M820" t="s" s="13">
        <v>7117</v>
      </c>
      <c r="N820" s="15">
        <v>64133</v>
      </c>
      <c r="O820" s="17" cm="1">
        <f t="array" ref="O820">(H820-H819)/H819</f>
        <v>0.00336441575298016</v>
      </c>
      <c r="P820" s="8"/>
      <c r="Q820" s="8"/>
    </row>
    <row r="821" ht="13.65" customHeight="1">
      <c r="A821" s="18">
        <v>45454</v>
      </c>
      <c r="B821" t="s" s="13">
        <v>22</v>
      </c>
      <c r="C821" s="14">
        <v>2915</v>
      </c>
      <c r="D821" s="14">
        <v>2920.35</v>
      </c>
      <c r="E821" s="14">
        <v>2895</v>
      </c>
      <c r="F821" s="14">
        <v>2937.55</v>
      </c>
      <c r="G821" s="14">
        <v>2901</v>
      </c>
      <c r="H821" s="14">
        <v>2902.45</v>
      </c>
      <c r="I821" s="14">
        <v>2908.64</v>
      </c>
      <c r="J821" s="14">
        <v>3568</v>
      </c>
      <c r="K821" s="14">
        <v>2670.1</v>
      </c>
      <c r="L821" s="15">
        <v>855430</v>
      </c>
      <c r="M821" t="s" s="13">
        <v>7118</v>
      </c>
      <c r="N821" s="15">
        <v>63578</v>
      </c>
      <c r="O821" s="17" cm="1">
        <f t="array" ref="O821">(H821-H820)/H820</f>
        <v>-0.011948732787527</v>
      </c>
      <c r="P821" s="8"/>
      <c r="Q821" s="8"/>
    </row>
    <row r="822" ht="13.65" customHeight="1">
      <c r="A822" s="18">
        <v>45455</v>
      </c>
      <c r="B822" t="s" s="13">
        <v>22</v>
      </c>
      <c r="C822" s="14">
        <v>2909</v>
      </c>
      <c r="D822" s="14">
        <v>2918</v>
      </c>
      <c r="E822" s="14">
        <v>2865.65</v>
      </c>
      <c r="F822" s="14">
        <v>2902.45</v>
      </c>
      <c r="G822" s="14">
        <v>2904.15</v>
      </c>
      <c r="H822" s="14">
        <v>2905.8</v>
      </c>
      <c r="I822" s="14">
        <v>2891.46</v>
      </c>
      <c r="J822" s="14">
        <v>3568</v>
      </c>
      <c r="K822" s="14">
        <v>2670.1</v>
      </c>
      <c r="L822" s="15">
        <v>1701770</v>
      </c>
      <c r="M822" t="s" s="13">
        <v>7119</v>
      </c>
      <c r="N822" s="15">
        <v>108150</v>
      </c>
      <c r="O822" s="17" cm="1">
        <f t="array" ref="O822">(H822-H821)/H821</f>
        <v>0.00115419731606057</v>
      </c>
      <c r="P822" s="8"/>
      <c r="Q822" s="8"/>
    </row>
    <row r="823" ht="13.65" customHeight="1">
      <c r="A823" s="18">
        <v>45456</v>
      </c>
      <c r="B823" t="s" s="13">
        <v>22</v>
      </c>
      <c r="C823" s="14">
        <v>2929</v>
      </c>
      <c r="D823" s="14">
        <v>2929</v>
      </c>
      <c r="E823" s="14">
        <v>2905</v>
      </c>
      <c r="F823" s="14">
        <v>2905.8</v>
      </c>
      <c r="G823" s="14">
        <v>2913</v>
      </c>
      <c r="H823" s="14">
        <v>2910</v>
      </c>
      <c r="I823" s="14">
        <v>2912.59</v>
      </c>
      <c r="J823" s="14">
        <v>3568</v>
      </c>
      <c r="K823" s="14">
        <v>2670.1</v>
      </c>
      <c r="L823" s="15">
        <v>726380</v>
      </c>
      <c r="M823" t="s" s="13">
        <v>7120</v>
      </c>
      <c r="N823" s="15">
        <v>57428</v>
      </c>
      <c r="O823" s="17" cm="1">
        <f t="array" ref="O823">(H823-H822)/H822</f>
        <v>0.0014453850918852</v>
      </c>
      <c r="P823" s="8"/>
      <c r="Q823" s="8"/>
    </row>
    <row r="824" ht="13.65" customHeight="1">
      <c r="A824" s="18">
        <v>45457</v>
      </c>
      <c r="B824" t="s" s="13">
        <v>22</v>
      </c>
      <c r="C824" s="14">
        <v>2910</v>
      </c>
      <c r="D824" s="14">
        <v>2931.35</v>
      </c>
      <c r="E824" s="14">
        <v>2905.1</v>
      </c>
      <c r="F824" s="14">
        <v>2910</v>
      </c>
      <c r="G824" s="14">
        <v>2919</v>
      </c>
      <c r="H824" s="14">
        <v>2921.6</v>
      </c>
      <c r="I824" s="14">
        <v>2921.24</v>
      </c>
      <c r="J824" s="14">
        <v>3568</v>
      </c>
      <c r="K824" s="14">
        <v>2670.1</v>
      </c>
      <c r="L824" s="15">
        <v>982815</v>
      </c>
      <c r="M824" t="s" s="13">
        <v>7121</v>
      </c>
      <c r="N824" s="15">
        <v>62392</v>
      </c>
      <c r="O824" s="17" cm="1">
        <f t="array" ref="O824">(H824-H823)/H823</f>
        <v>0.00398625429553265</v>
      </c>
      <c r="P824" s="8"/>
      <c r="Q824" s="8"/>
    </row>
    <row r="825" ht="13.65" customHeight="1">
      <c r="A825" s="18">
        <v>45461</v>
      </c>
      <c r="B825" t="s" s="13">
        <v>22</v>
      </c>
      <c r="C825" s="14">
        <v>2921.6</v>
      </c>
      <c r="D825" s="14">
        <v>2928</v>
      </c>
      <c r="E825" s="14">
        <v>2905</v>
      </c>
      <c r="F825" s="14">
        <v>2921.6</v>
      </c>
      <c r="G825" s="14">
        <v>2920</v>
      </c>
      <c r="H825" s="14">
        <v>2918.5</v>
      </c>
      <c r="I825" s="14">
        <v>2916.53</v>
      </c>
      <c r="J825" s="14">
        <v>3568</v>
      </c>
      <c r="K825" s="14">
        <v>2670.1</v>
      </c>
      <c r="L825" s="15">
        <v>741098</v>
      </c>
      <c r="M825" t="s" s="13">
        <v>7122</v>
      </c>
      <c r="N825" s="15">
        <v>57204</v>
      </c>
      <c r="O825" s="17" cm="1">
        <f t="array" ref="O825">(H825-H824)/H824</f>
        <v>-0.00106106243154436</v>
      </c>
      <c r="P825" s="8"/>
      <c r="Q825" s="8"/>
    </row>
    <row r="826" ht="13.65" customHeight="1">
      <c r="A826" s="18">
        <v>45462</v>
      </c>
      <c r="B826" t="s" s="13">
        <v>22</v>
      </c>
      <c r="C826" s="14">
        <v>2918</v>
      </c>
      <c r="D826" s="14">
        <v>2920</v>
      </c>
      <c r="E826" s="14">
        <v>2882.65</v>
      </c>
      <c r="F826" s="14">
        <v>2918.5</v>
      </c>
      <c r="G826" s="14">
        <v>2889.95</v>
      </c>
      <c r="H826" s="14">
        <v>2891.7</v>
      </c>
      <c r="I826" s="14">
        <v>2896.71</v>
      </c>
      <c r="J826" s="14">
        <v>3568</v>
      </c>
      <c r="K826" s="14">
        <v>2670.1</v>
      </c>
      <c r="L826" s="15">
        <v>1018294</v>
      </c>
      <c r="M826" t="s" s="13">
        <v>7123</v>
      </c>
      <c r="N826" s="15">
        <v>61344</v>
      </c>
      <c r="O826" s="17" cm="1">
        <f t="array" ref="O826">(H826-H825)/H825</f>
        <v>-0.00918279938324482</v>
      </c>
      <c r="P826" s="8"/>
      <c r="Q826" s="8"/>
    </row>
    <row r="827" ht="13.65" customHeight="1">
      <c r="A827" s="18">
        <v>45463</v>
      </c>
      <c r="B827" t="s" s="13">
        <v>22</v>
      </c>
      <c r="C827" s="14">
        <v>2885</v>
      </c>
      <c r="D827" s="14">
        <v>2924.5</v>
      </c>
      <c r="E827" s="14">
        <v>2872.4</v>
      </c>
      <c r="F827" s="14">
        <v>2891.7</v>
      </c>
      <c r="G827" s="14">
        <v>2914.8</v>
      </c>
      <c r="H827" s="14">
        <v>2915.5</v>
      </c>
      <c r="I827" s="14">
        <v>2905.96</v>
      </c>
      <c r="J827" s="14">
        <v>3568</v>
      </c>
      <c r="K827" s="14">
        <v>2670.1</v>
      </c>
      <c r="L827" s="15">
        <v>1129752</v>
      </c>
      <c r="M827" t="s" s="13">
        <v>7124</v>
      </c>
      <c r="N827" s="15">
        <v>79992</v>
      </c>
      <c r="O827" s="17" cm="1">
        <f t="array" ref="O827">(H827-H826)/H826</f>
        <v>0.00823045267489712</v>
      </c>
      <c r="P827" s="8"/>
      <c r="Q827" s="8"/>
    </row>
    <row r="828" ht="13.65" customHeight="1">
      <c r="A828" s="18">
        <v>45464</v>
      </c>
      <c r="B828" t="s" s="13">
        <v>22</v>
      </c>
      <c r="C828" s="14">
        <v>2925</v>
      </c>
      <c r="D828" s="14">
        <v>2928</v>
      </c>
      <c r="E828" s="14">
        <v>2880.1</v>
      </c>
      <c r="F828" s="14">
        <v>2915.5</v>
      </c>
      <c r="G828" s="14">
        <v>2886</v>
      </c>
      <c r="H828" s="14">
        <v>2890.85</v>
      </c>
      <c r="I828" s="14">
        <v>2894.67</v>
      </c>
      <c r="J828" s="14">
        <v>3568</v>
      </c>
      <c r="K828" s="14">
        <v>2670.1</v>
      </c>
      <c r="L828" s="15">
        <v>1722379</v>
      </c>
      <c r="M828" t="s" s="13">
        <v>7125</v>
      </c>
      <c r="N828" s="15">
        <v>116694</v>
      </c>
      <c r="O828" s="17" cm="1">
        <f t="array" ref="O828">(H828-H827)/H827</f>
        <v>-0.008454810495626819</v>
      </c>
      <c r="P828" s="8"/>
      <c r="Q828" s="8"/>
    </row>
    <row r="829" ht="13.65" customHeight="1">
      <c r="A829" s="18">
        <v>45467</v>
      </c>
      <c r="B829" t="s" s="13">
        <v>22</v>
      </c>
      <c r="C829" s="14">
        <v>2883</v>
      </c>
      <c r="D829" s="14">
        <v>2899.95</v>
      </c>
      <c r="E829" s="14">
        <v>2871.4</v>
      </c>
      <c r="F829" s="14">
        <v>2890.85</v>
      </c>
      <c r="G829" s="14">
        <v>2896</v>
      </c>
      <c r="H829" s="14">
        <v>2896.05</v>
      </c>
      <c r="I829" s="14">
        <v>2886.39</v>
      </c>
      <c r="J829" s="14">
        <v>3568</v>
      </c>
      <c r="K829" s="14">
        <v>2670.1</v>
      </c>
      <c r="L829" s="15">
        <v>892125</v>
      </c>
      <c r="M829" t="s" s="13">
        <v>7126</v>
      </c>
      <c r="N829" s="15">
        <v>63587</v>
      </c>
      <c r="O829" s="17" cm="1">
        <f t="array" ref="O829">(H829-H828)/H828</f>
        <v>0.00179877890585814</v>
      </c>
      <c r="P829" s="8"/>
      <c r="Q829" s="8"/>
    </row>
    <row r="830" ht="13.65" customHeight="1">
      <c r="A830" s="18">
        <v>45468</v>
      </c>
      <c r="B830" t="s" s="13">
        <v>22</v>
      </c>
      <c r="C830" s="14">
        <v>2876</v>
      </c>
      <c r="D830" s="14">
        <v>2894.95</v>
      </c>
      <c r="E830" s="14">
        <v>2856</v>
      </c>
      <c r="F830" s="14">
        <v>2896.05</v>
      </c>
      <c r="G830" s="14">
        <v>2861</v>
      </c>
      <c r="H830" s="14">
        <v>2858.45</v>
      </c>
      <c r="I830" s="14">
        <v>2873.78</v>
      </c>
      <c r="J830" s="14">
        <v>3568</v>
      </c>
      <c r="K830" s="14">
        <v>2670.1</v>
      </c>
      <c r="L830" s="15">
        <v>1217792</v>
      </c>
      <c r="M830" t="s" s="13">
        <v>7127</v>
      </c>
      <c r="N830" s="15">
        <v>64339</v>
      </c>
      <c r="O830" s="17" cm="1">
        <f t="array" ref="O830">(H830-H829)/H829</f>
        <v>-0.0129832012568844</v>
      </c>
      <c r="P830" s="8"/>
      <c r="Q830" s="8"/>
    </row>
    <row r="831" ht="13.65" customHeight="1">
      <c r="A831" s="18">
        <v>45469</v>
      </c>
      <c r="B831" t="s" s="13">
        <v>22</v>
      </c>
      <c r="C831" s="14">
        <v>2860.2</v>
      </c>
      <c r="D831" s="14">
        <v>2873.85</v>
      </c>
      <c r="E831" s="14">
        <v>2844.05</v>
      </c>
      <c r="F831" s="14">
        <v>2858.45</v>
      </c>
      <c r="G831" s="14">
        <v>2865.6</v>
      </c>
      <c r="H831" s="14">
        <v>2863.35</v>
      </c>
      <c r="I831" s="14">
        <v>2862.44</v>
      </c>
      <c r="J831" s="14">
        <v>3568</v>
      </c>
      <c r="K831" s="14">
        <v>2670.1</v>
      </c>
      <c r="L831" s="15">
        <v>960622</v>
      </c>
      <c r="M831" t="s" s="13">
        <v>7128</v>
      </c>
      <c r="N831" s="15">
        <v>57113</v>
      </c>
      <c r="O831" s="17" cm="1">
        <f t="array" ref="O831">(H831-H830)/H830</f>
        <v>0.00171421574629607</v>
      </c>
      <c r="P831" s="8"/>
      <c r="Q831" s="8"/>
    </row>
    <row r="832" ht="13.65" customHeight="1">
      <c r="A832" s="18">
        <v>45470</v>
      </c>
      <c r="B832" t="s" s="13">
        <v>22</v>
      </c>
      <c r="C832" s="14">
        <v>2860.75</v>
      </c>
      <c r="D832" s="14">
        <v>2903</v>
      </c>
      <c r="E832" s="14">
        <v>2845</v>
      </c>
      <c r="F832" s="14">
        <v>2863.35</v>
      </c>
      <c r="G832" s="14">
        <v>2885.8</v>
      </c>
      <c r="H832" s="14">
        <v>2880.85</v>
      </c>
      <c r="I832" s="14">
        <v>2874.55</v>
      </c>
      <c r="J832" s="14">
        <v>3568</v>
      </c>
      <c r="K832" s="14">
        <v>2670.1</v>
      </c>
      <c r="L832" s="15">
        <v>1628022</v>
      </c>
      <c r="M832" t="s" s="13">
        <v>7129</v>
      </c>
      <c r="N832" s="15">
        <v>140448</v>
      </c>
      <c r="O832" s="17" cm="1">
        <f t="array" ref="O832">(H832-H831)/H831</f>
        <v>0.00611172228333945</v>
      </c>
      <c r="P832" s="8"/>
      <c r="Q832" s="8"/>
    </row>
    <row r="833" ht="13.65" customHeight="1">
      <c r="A833" s="18">
        <v>45471</v>
      </c>
      <c r="B833" t="s" s="13">
        <v>22</v>
      </c>
      <c r="C833" s="14">
        <v>2865</v>
      </c>
      <c r="D833" s="14">
        <v>2932</v>
      </c>
      <c r="E833" s="14">
        <v>2862.2</v>
      </c>
      <c r="F833" s="14">
        <v>2880.85</v>
      </c>
      <c r="G833" s="14">
        <v>2916.5</v>
      </c>
      <c r="H833" s="14">
        <v>2917.05</v>
      </c>
      <c r="I833" s="14">
        <v>2914.99</v>
      </c>
      <c r="J833" s="14">
        <v>3568</v>
      </c>
      <c r="K833" s="14">
        <v>2670.1</v>
      </c>
      <c r="L833" s="15">
        <v>1206712</v>
      </c>
      <c r="M833" t="s" s="13">
        <v>7130</v>
      </c>
      <c r="N833" s="15">
        <v>92017</v>
      </c>
      <c r="O833" s="17" cm="1">
        <f t="array" ref="O833">(H833-H832)/H832</f>
        <v>0.0125657358071403</v>
      </c>
      <c r="P833" s="8"/>
      <c r="Q833" s="8"/>
    </row>
    <row r="834" ht="13.65" customHeight="1">
      <c r="A834" s="12">
        <v>45474</v>
      </c>
      <c r="B834" t="s" s="13">
        <v>22</v>
      </c>
      <c r="C834" s="14">
        <v>2889.3</v>
      </c>
      <c r="D834" s="14">
        <v>2939</v>
      </c>
      <c r="E834" s="14">
        <v>2888</v>
      </c>
      <c r="F834" s="14">
        <v>2917.05</v>
      </c>
      <c r="G834" s="14">
        <v>2923.2</v>
      </c>
      <c r="H834" s="14">
        <v>2927.8</v>
      </c>
      <c r="I834" s="14">
        <v>2920.68</v>
      </c>
      <c r="J834" s="14">
        <v>3568</v>
      </c>
      <c r="K834" s="14">
        <v>2670.1</v>
      </c>
      <c r="L834" s="15">
        <v>1104110</v>
      </c>
      <c r="M834" t="s" s="13">
        <v>7131</v>
      </c>
      <c r="N834" s="15">
        <v>68851</v>
      </c>
      <c r="O834" s="17" cm="1">
        <f t="array" ref="O834">(H834-H833)/H833</f>
        <v>0.00368522994120773</v>
      </c>
      <c r="P834" s="8"/>
      <c r="Q834" s="8"/>
    </row>
    <row r="835" ht="13.65" customHeight="1">
      <c r="A835" s="12">
        <v>45475</v>
      </c>
      <c r="B835" t="s" s="13">
        <v>22</v>
      </c>
      <c r="C835" s="14">
        <v>2927.8</v>
      </c>
      <c r="D835" s="14">
        <v>2936</v>
      </c>
      <c r="E835" s="14">
        <v>2912</v>
      </c>
      <c r="F835" s="14">
        <v>2927.8</v>
      </c>
      <c r="G835" s="14">
        <v>2928</v>
      </c>
      <c r="H835" s="14">
        <v>2925.6</v>
      </c>
      <c r="I835" s="14">
        <v>2923.83</v>
      </c>
      <c r="J835" s="14">
        <v>3568</v>
      </c>
      <c r="K835" s="14">
        <v>2670.1</v>
      </c>
      <c r="L835" s="15">
        <v>1064295</v>
      </c>
      <c r="M835" t="s" s="13">
        <v>7132</v>
      </c>
      <c r="N835" s="15">
        <v>60594</v>
      </c>
      <c r="O835" s="17" cm="1">
        <f t="array" ref="O835">(H835-H834)/H834</f>
        <v>-0.000751417446546895</v>
      </c>
      <c r="P835" s="8"/>
      <c r="Q835" s="8"/>
    </row>
    <row r="836" ht="13.65" customHeight="1">
      <c r="A836" s="12">
        <v>45476</v>
      </c>
      <c r="B836" t="s" s="13">
        <v>22</v>
      </c>
      <c r="C836" s="14">
        <v>2929.7</v>
      </c>
      <c r="D836" s="14">
        <v>2948.95</v>
      </c>
      <c r="E836" s="14">
        <v>2916</v>
      </c>
      <c r="F836" s="14">
        <v>2925.6</v>
      </c>
      <c r="G836" s="14">
        <v>2929.9</v>
      </c>
      <c r="H836" s="14">
        <v>2925.55</v>
      </c>
      <c r="I836" s="14">
        <v>2934.19</v>
      </c>
      <c r="J836" s="14">
        <v>3568</v>
      </c>
      <c r="K836" s="14">
        <v>2670.1</v>
      </c>
      <c r="L836" s="15">
        <v>925189</v>
      </c>
      <c r="M836" t="s" s="13">
        <v>7133</v>
      </c>
      <c r="N836" s="15">
        <v>52612</v>
      </c>
      <c r="O836" s="17" cm="1">
        <f t="array" ref="O836">(H836-H835)/H835</f>
        <v>-1.70905113480995e-05</v>
      </c>
      <c r="P836" s="8"/>
      <c r="Q836" s="8"/>
    </row>
    <row r="837" ht="13.65" customHeight="1">
      <c r="A837" s="12">
        <v>45477</v>
      </c>
      <c r="B837" t="s" s="13">
        <v>22</v>
      </c>
      <c r="C837" s="14">
        <v>2940</v>
      </c>
      <c r="D837" s="14">
        <v>2968.45</v>
      </c>
      <c r="E837" s="14">
        <v>2923</v>
      </c>
      <c r="F837" s="14">
        <v>2925.55</v>
      </c>
      <c r="G837" s="14">
        <v>2932.25</v>
      </c>
      <c r="H837" s="14">
        <v>2934.9</v>
      </c>
      <c r="I837" s="14">
        <v>2945.16</v>
      </c>
      <c r="J837" s="14">
        <v>3568</v>
      </c>
      <c r="K837" s="14">
        <v>2670.1</v>
      </c>
      <c r="L837" s="15">
        <v>968666</v>
      </c>
      <c r="M837" t="s" s="13">
        <v>7134</v>
      </c>
      <c r="N837" s="15">
        <v>64641</v>
      </c>
      <c r="O837" s="17" cm="1">
        <f t="array" ref="O837">(H837-H836)/H836</f>
        <v>0.00319598024303122</v>
      </c>
      <c r="P837" s="8"/>
      <c r="Q837" s="8"/>
    </row>
    <row r="838" ht="13.65" customHeight="1">
      <c r="A838" s="12">
        <v>45478</v>
      </c>
      <c r="B838" t="s" s="13">
        <v>22</v>
      </c>
      <c r="C838" s="14">
        <v>2937.15</v>
      </c>
      <c r="D838" s="14">
        <v>2946.9</v>
      </c>
      <c r="E838" s="14">
        <v>2913.1</v>
      </c>
      <c r="F838" s="14">
        <v>2934.9</v>
      </c>
      <c r="G838" s="14">
        <v>2939.95</v>
      </c>
      <c r="H838" s="14">
        <v>2935.9</v>
      </c>
      <c r="I838" s="14">
        <v>2930.16</v>
      </c>
      <c r="J838" s="14">
        <v>3568</v>
      </c>
      <c r="K838" s="14">
        <v>2670.1</v>
      </c>
      <c r="L838" s="15">
        <v>817429</v>
      </c>
      <c r="M838" t="s" s="13">
        <v>7135</v>
      </c>
      <c r="N838" s="15">
        <v>51977</v>
      </c>
      <c r="O838" s="17" cm="1">
        <f t="array" ref="O838">(H838-H837)/H837</f>
        <v>0.000340727111656274</v>
      </c>
      <c r="P838" s="8"/>
      <c r="Q838" s="8"/>
    </row>
    <row r="839" ht="13.65" customHeight="1">
      <c r="A839" s="12">
        <v>45481</v>
      </c>
      <c r="B839" t="s" s="13">
        <v>22</v>
      </c>
      <c r="C839" s="14">
        <v>2935.9</v>
      </c>
      <c r="D839" s="14">
        <v>2935.9</v>
      </c>
      <c r="E839" s="14">
        <v>2890.7</v>
      </c>
      <c r="F839" s="14">
        <v>2935.9</v>
      </c>
      <c r="G839" s="14">
        <v>2901</v>
      </c>
      <c r="H839" s="14">
        <v>2898.15</v>
      </c>
      <c r="I839" s="14">
        <v>2902.08</v>
      </c>
      <c r="J839" s="14">
        <v>3568</v>
      </c>
      <c r="K839" s="14">
        <v>2670.1</v>
      </c>
      <c r="L839" s="15">
        <v>828260</v>
      </c>
      <c r="M839" t="s" s="13">
        <v>7136</v>
      </c>
      <c r="N839" s="15">
        <v>57283</v>
      </c>
      <c r="O839" s="17" cm="1">
        <f t="array" ref="O839">(H839-H838)/H838</f>
        <v>-0.0128580673728669</v>
      </c>
      <c r="P839" s="8"/>
      <c r="Q839" s="8"/>
    </row>
    <row r="840" ht="13.65" customHeight="1">
      <c r="A840" s="12">
        <v>45482</v>
      </c>
      <c r="B840" t="s" s="13">
        <v>22</v>
      </c>
      <c r="C840" s="14">
        <v>2908.95</v>
      </c>
      <c r="D840" s="14">
        <v>2913.2</v>
      </c>
      <c r="E840" s="14">
        <v>2890</v>
      </c>
      <c r="F840" s="14">
        <v>2898.15</v>
      </c>
      <c r="G840" s="14">
        <v>2906.85</v>
      </c>
      <c r="H840" s="14">
        <v>2905</v>
      </c>
      <c r="I840" s="14">
        <v>2904.52</v>
      </c>
      <c r="J840" s="14">
        <v>3568</v>
      </c>
      <c r="K840" s="14">
        <v>2670.1</v>
      </c>
      <c r="L840" s="15">
        <v>685431</v>
      </c>
      <c r="M840" t="s" s="13">
        <v>7137</v>
      </c>
      <c r="N840" s="15">
        <v>45585</v>
      </c>
      <c r="O840" s="17" cm="1">
        <f t="array" ref="O840">(H840-H839)/H839</f>
        <v>0.00236357676448769</v>
      </c>
      <c r="P840" s="8"/>
      <c r="Q840" s="8"/>
    </row>
    <row r="841" ht="13.65" customHeight="1">
      <c r="A841" s="18">
        <v>45483</v>
      </c>
      <c r="B841" t="s" s="13">
        <v>22</v>
      </c>
      <c r="C841" s="14">
        <v>2900.05</v>
      </c>
      <c r="D841" s="14">
        <v>3014.5</v>
      </c>
      <c r="E841" s="14">
        <v>2894.35</v>
      </c>
      <c r="F841" s="14">
        <v>2905</v>
      </c>
      <c r="G841" s="14">
        <v>3000</v>
      </c>
      <c r="H841" s="14">
        <v>2996.45</v>
      </c>
      <c r="I841" s="14">
        <v>2970.31</v>
      </c>
      <c r="J841" s="14">
        <v>3568</v>
      </c>
      <c r="K841" s="14">
        <v>2670.1</v>
      </c>
      <c r="L841" s="15">
        <v>2299950</v>
      </c>
      <c r="M841" t="s" s="13">
        <v>7138</v>
      </c>
      <c r="N841" s="15">
        <v>128651</v>
      </c>
      <c r="O841" s="17" cm="1">
        <f t="array" ref="O841">(H841-H840)/H840</f>
        <v>0.0314802065404475</v>
      </c>
      <c r="P841" s="8"/>
      <c r="Q841" s="8"/>
    </row>
    <row r="842" ht="13.65" customHeight="1">
      <c r="A842" s="18">
        <v>45484</v>
      </c>
      <c r="B842" t="s" s="13">
        <v>22</v>
      </c>
      <c r="C842" s="14">
        <v>2999</v>
      </c>
      <c r="D842" s="14">
        <v>3030</v>
      </c>
      <c r="E842" s="14">
        <v>2973</v>
      </c>
      <c r="F842" s="14">
        <v>2996.45</v>
      </c>
      <c r="G842" s="14">
        <v>3022</v>
      </c>
      <c r="H842" s="14">
        <v>3022.05</v>
      </c>
      <c r="I842" s="14">
        <v>3010.38</v>
      </c>
      <c r="J842" s="14">
        <v>3568</v>
      </c>
      <c r="K842" s="14">
        <v>2670.1</v>
      </c>
      <c r="L842" s="15">
        <v>1968980</v>
      </c>
      <c r="M842" t="s" s="13">
        <v>7139</v>
      </c>
      <c r="N842" s="15">
        <v>141086</v>
      </c>
      <c r="O842" s="17" cm="1">
        <f t="array" ref="O842">(H842-H841)/H841</f>
        <v>0.00854344307430459</v>
      </c>
      <c r="P842" s="8"/>
      <c r="Q842" s="8"/>
    </row>
    <row r="843" ht="13.65" customHeight="1">
      <c r="A843" s="18">
        <v>45485</v>
      </c>
      <c r="B843" t="s" s="13">
        <v>22</v>
      </c>
      <c r="C843" s="14">
        <v>3025</v>
      </c>
      <c r="D843" s="14">
        <v>3052</v>
      </c>
      <c r="E843" s="14">
        <v>2970.9</v>
      </c>
      <c r="F843" s="14">
        <v>3022.05</v>
      </c>
      <c r="G843" s="14">
        <v>2991.4</v>
      </c>
      <c r="H843" s="14">
        <v>2999.15</v>
      </c>
      <c r="I843" s="14">
        <v>3009</v>
      </c>
      <c r="J843" s="14">
        <v>3568</v>
      </c>
      <c r="K843" s="14">
        <v>2670.1</v>
      </c>
      <c r="L843" s="15">
        <v>1879930</v>
      </c>
      <c r="M843" t="s" s="13">
        <v>7140</v>
      </c>
      <c r="N843" s="15">
        <v>119771</v>
      </c>
      <c r="O843" s="17" cm="1">
        <f t="array" ref="O843">(H843-H842)/H842</f>
        <v>-0.00757763769626578</v>
      </c>
      <c r="P843" s="8"/>
      <c r="Q843" s="8"/>
    </row>
    <row r="844" ht="13.65" customHeight="1">
      <c r="A844" s="18">
        <v>45488</v>
      </c>
      <c r="B844" t="s" s="13">
        <v>22</v>
      </c>
      <c r="C844" s="14">
        <v>2999</v>
      </c>
      <c r="D844" s="14">
        <v>2999</v>
      </c>
      <c r="E844" s="14">
        <v>2932.55</v>
      </c>
      <c r="F844" s="14">
        <v>2999.15</v>
      </c>
      <c r="G844" s="14">
        <v>2959</v>
      </c>
      <c r="H844" s="14">
        <v>2956.5</v>
      </c>
      <c r="I844" s="14">
        <v>2958.63</v>
      </c>
      <c r="J844" s="14">
        <v>3568</v>
      </c>
      <c r="K844" s="14">
        <v>2670.1</v>
      </c>
      <c r="L844" s="15">
        <v>2425341</v>
      </c>
      <c r="M844" t="s" s="13">
        <v>7141</v>
      </c>
      <c r="N844" s="15">
        <v>105659</v>
      </c>
      <c r="O844" s="17" cm="1">
        <f t="array" ref="O844">(H844-H843)/H843</f>
        <v>-0.0142206958638281</v>
      </c>
      <c r="P844" s="8"/>
      <c r="Q844" s="8"/>
    </row>
    <row r="845" ht="13.65" customHeight="1">
      <c r="A845" s="18">
        <v>45489</v>
      </c>
      <c r="B845" t="s" s="13">
        <v>22</v>
      </c>
      <c r="C845" s="14">
        <v>2959</v>
      </c>
      <c r="D845" s="14">
        <v>3015.95</v>
      </c>
      <c r="E845" s="14">
        <v>2941.5</v>
      </c>
      <c r="F845" s="14">
        <v>2956.5</v>
      </c>
      <c r="G845" s="14">
        <v>2972</v>
      </c>
      <c r="H845" s="14">
        <v>2974.45</v>
      </c>
      <c r="I845" s="14">
        <v>2980.95</v>
      </c>
      <c r="J845" s="14">
        <v>3568</v>
      </c>
      <c r="K845" s="14">
        <v>2670.1</v>
      </c>
      <c r="L845" s="15">
        <v>2085611</v>
      </c>
      <c r="M845" t="s" s="13">
        <v>7142</v>
      </c>
      <c r="N845" s="15">
        <v>87466</v>
      </c>
      <c r="O845" s="17" cm="1">
        <f t="array" ref="O845">(H845-H844)/H844</f>
        <v>0.00607136817182479</v>
      </c>
      <c r="P845" s="8"/>
      <c r="Q845" s="8"/>
    </row>
    <row r="846" ht="13.65" customHeight="1">
      <c r="A846" s="18">
        <v>45491</v>
      </c>
      <c r="B846" t="s" s="13">
        <v>22</v>
      </c>
      <c r="C846" s="14">
        <v>2875</v>
      </c>
      <c r="D846" s="14">
        <v>2957.9</v>
      </c>
      <c r="E846" s="14">
        <v>2842</v>
      </c>
      <c r="F846" s="14">
        <v>2974.45</v>
      </c>
      <c r="G846" s="14">
        <v>2932.8</v>
      </c>
      <c r="H846" s="14">
        <v>2931.55</v>
      </c>
      <c r="I846" s="14">
        <v>2911.84</v>
      </c>
      <c r="J846" s="14">
        <v>3568</v>
      </c>
      <c r="K846" s="14">
        <v>2670.1</v>
      </c>
      <c r="L846" s="15">
        <v>5384611</v>
      </c>
      <c r="M846" t="s" s="13">
        <v>7143</v>
      </c>
      <c r="N846" s="15">
        <v>248518</v>
      </c>
      <c r="O846" s="17" cm="1">
        <f t="array" ref="O846">(H846-H845)/H845</f>
        <v>-0.0144228344736002</v>
      </c>
      <c r="P846" s="8"/>
      <c r="Q846" s="8"/>
    </row>
    <row r="847" ht="13.65" customHeight="1">
      <c r="A847" s="18">
        <v>45492</v>
      </c>
      <c r="B847" t="s" s="13">
        <v>22</v>
      </c>
      <c r="C847" s="14">
        <v>2925</v>
      </c>
      <c r="D847" s="14">
        <v>2980</v>
      </c>
      <c r="E847" s="14">
        <v>2917.25</v>
      </c>
      <c r="F847" s="14">
        <v>2931.55</v>
      </c>
      <c r="G847" s="14">
        <v>2949</v>
      </c>
      <c r="H847" s="14">
        <v>2946.05</v>
      </c>
      <c r="I847" s="14">
        <v>2955.01</v>
      </c>
      <c r="J847" s="14">
        <v>3568</v>
      </c>
      <c r="K847" s="14">
        <v>2670.1</v>
      </c>
      <c r="L847" s="15">
        <v>2164746</v>
      </c>
      <c r="M847" t="s" s="13">
        <v>7144</v>
      </c>
      <c r="N847" s="15">
        <v>115188</v>
      </c>
      <c r="O847" s="17" cm="1">
        <f t="array" ref="O847">(H847-H846)/H846</f>
        <v>0.00494618887619178</v>
      </c>
      <c r="P847" s="8"/>
      <c r="Q847" s="8"/>
    </row>
    <row r="848" ht="13.65" customHeight="1">
      <c r="A848" s="18">
        <v>45495</v>
      </c>
      <c r="B848" t="s" s="13">
        <v>22</v>
      </c>
      <c r="C848" s="14">
        <v>2937</v>
      </c>
      <c r="D848" s="14">
        <v>2973.35</v>
      </c>
      <c r="E848" s="14">
        <v>2917.15</v>
      </c>
      <c r="F848" s="14">
        <v>2946.05</v>
      </c>
      <c r="G848" s="14">
        <v>2933.1</v>
      </c>
      <c r="H848" s="14">
        <v>2934.3</v>
      </c>
      <c r="I848" s="14">
        <v>2941.68</v>
      </c>
      <c r="J848" s="14">
        <v>3568</v>
      </c>
      <c r="K848" s="14">
        <v>2670.1</v>
      </c>
      <c r="L848" s="15">
        <v>1616347</v>
      </c>
      <c r="M848" t="s" s="13">
        <v>7145</v>
      </c>
      <c r="N848" s="15">
        <v>76014</v>
      </c>
      <c r="O848" s="17" cm="1">
        <f t="array" ref="O848">(H848-H847)/H847</f>
        <v>-0.00398839123572241</v>
      </c>
      <c r="P848" s="8"/>
      <c r="Q848" s="8"/>
    </row>
    <row r="849" ht="13.65" customHeight="1">
      <c r="A849" s="18">
        <v>45496</v>
      </c>
      <c r="B849" t="s" s="13">
        <v>22</v>
      </c>
      <c r="C849" s="14">
        <v>2934.3</v>
      </c>
      <c r="D849" s="14">
        <v>2947.3</v>
      </c>
      <c r="E849" s="14">
        <v>2886</v>
      </c>
      <c r="F849" s="14">
        <v>2934.3</v>
      </c>
      <c r="G849" s="14">
        <v>2900</v>
      </c>
      <c r="H849" s="14">
        <v>2897.1</v>
      </c>
      <c r="I849" s="14">
        <v>2908.57</v>
      </c>
      <c r="J849" s="14">
        <v>3568</v>
      </c>
      <c r="K849" s="14">
        <v>2670.1</v>
      </c>
      <c r="L849" s="15">
        <v>1906312</v>
      </c>
      <c r="M849" t="s" s="13">
        <v>7146</v>
      </c>
      <c r="N849" s="15">
        <v>107200</v>
      </c>
      <c r="O849" s="17" cm="1">
        <f t="array" ref="O849">(H849-H848)/H848</f>
        <v>-0.0126776403230754</v>
      </c>
      <c r="P849" s="8"/>
      <c r="Q849" s="8"/>
    </row>
    <row r="850" ht="13.65" customHeight="1">
      <c r="A850" s="18">
        <v>45497</v>
      </c>
      <c r="B850" t="s" s="13">
        <v>22</v>
      </c>
      <c r="C850" s="14">
        <v>2901</v>
      </c>
      <c r="D850" s="14">
        <v>2927</v>
      </c>
      <c r="E850" s="14">
        <v>2886.2</v>
      </c>
      <c r="F850" s="14">
        <v>2897.1</v>
      </c>
      <c r="G850" s="14">
        <v>2915</v>
      </c>
      <c r="H850" s="14">
        <v>2912.8</v>
      </c>
      <c r="I850" s="14">
        <v>2907.99</v>
      </c>
      <c r="J850" s="14">
        <v>3568</v>
      </c>
      <c r="K850" s="14">
        <v>2670.1</v>
      </c>
      <c r="L850" s="15">
        <v>1476148</v>
      </c>
      <c r="M850" t="s" s="13">
        <v>7147</v>
      </c>
      <c r="N850" s="15">
        <v>98355</v>
      </c>
      <c r="O850" s="17" cm="1">
        <f t="array" ref="O850">(H850-H849)/H849</f>
        <v>0.00541921231576404</v>
      </c>
      <c r="P850" s="8"/>
      <c r="Q850" s="8"/>
    </row>
    <row r="851" ht="13.65" customHeight="1">
      <c r="A851" s="18">
        <v>45498</v>
      </c>
      <c r="B851" t="s" s="13">
        <v>22</v>
      </c>
      <c r="C851" s="14">
        <v>2892.05</v>
      </c>
      <c r="D851" s="14">
        <v>2908.7</v>
      </c>
      <c r="E851" s="14">
        <v>2885.25</v>
      </c>
      <c r="F851" s="14">
        <v>2912.8</v>
      </c>
      <c r="G851" s="14">
        <v>2906</v>
      </c>
      <c r="H851" s="14">
        <v>2901.4</v>
      </c>
      <c r="I851" s="14">
        <v>2897.12</v>
      </c>
      <c r="J851" s="14">
        <v>3568</v>
      </c>
      <c r="K851" s="14">
        <v>2670.1</v>
      </c>
      <c r="L851" s="15">
        <v>1239922</v>
      </c>
      <c r="M851" t="s" s="13">
        <v>7148</v>
      </c>
      <c r="N851" s="15">
        <v>71053</v>
      </c>
      <c r="O851" s="17" cm="1">
        <f t="array" ref="O851">(H851-H850)/H850</f>
        <v>-0.00391375995605603</v>
      </c>
      <c r="P851" s="8"/>
      <c r="Q851" s="8"/>
    </row>
    <row r="852" ht="13.65" customHeight="1">
      <c r="A852" s="18">
        <v>45499</v>
      </c>
      <c r="B852" t="s" s="13">
        <v>22</v>
      </c>
      <c r="C852" s="14">
        <v>2902.2</v>
      </c>
      <c r="D852" s="14">
        <v>2964.45</v>
      </c>
      <c r="E852" s="14">
        <v>2900.7</v>
      </c>
      <c r="F852" s="14">
        <v>2901.4</v>
      </c>
      <c r="G852" s="14">
        <v>2948.35</v>
      </c>
      <c r="H852" s="14">
        <v>2950.15</v>
      </c>
      <c r="I852" s="14">
        <v>2944.21</v>
      </c>
      <c r="J852" s="14">
        <v>3568</v>
      </c>
      <c r="K852" s="14">
        <v>2670.1</v>
      </c>
      <c r="L852" s="15">
        <v>1359780</v>
      </c>
      <c r="M852" t="s" s="13">
        <v>7149</v>
      </c>
      <c r="N852" s="15">
        <v>85366</v>
      </c>
      <c r="O852" s="17" cm="1">
        <f t="array" ref="O852">(H852-H851)/H851</f>
        <v>0.0168022334045633</v>
      </c>
      <c r="P852" s="8"/>
      <c r="Q852" s="8"/>
    </row>
    <row r="853" ht="13.65" customHeight="1">
      <c r="A853" s="18">
        <v>45502</v>
      </c>
      <c r="B853" t="s" s="13">
        <v>22</v>
      </c>
      <c r="C853" s="14">
        <v>2953.05</v>
      </c>
      <c r="D853" s="14">
        <v>2965.1</v>
      </c>
      <c r="E853" s="14">
        <v>2936</v>
      </c>
      <c r="F853" s="14">
        <v>2950.15</v>
      </c>
      <c r="G853" s="14">
        <v>2962</v>
      </c>
      <c r="H853" s="14">
        <v>2954.7</v>
      </c>
      <c r="I853" s="14">
        <v>2948.47</v>
      </c>
      <c r="J853" s="14">
        <v>3422.95</v>
      </c>
      <c r="K853" s="14">
        <v>2670.1</v>
      </c>
      <c r="L853" s="15">
        <v>854408</v>
      </c>
      <c r="M853" t="s" s="13">
        <v>7150</v>
      </c>
      <c r="N853" s="15">
        <v>56138</v>
      </c>
      <c r="O853" s="17" cm="1">
        <f t="array" ref="O853">(H853-H852)/H852</f>
        <v>0.00154229445960375</v>
      </c>
      <c r="P853" s="8"/>
      <c r="Q853" s="8"/>
    </row>
    <row r="854" ht="13.65" customHeight="1">
      <c r="A854" s="18">
        <v>45503</v>
      </c>
      <c r="B854" t="s" s="13">
        <v>22</v>
      </c>
      <c r="C854" s="14">
        <v>2973.5</v>
      </c>
      <c r="D854" s="14">
        <v>3032.8</v>
      </c>
      <c r="E854" s="14">
        <v>2970</v>
      </c>
      <c r="F854" s="14">
        <v>2954.7</v>
      </c>
      <c r="G854" s="14">
        <v>3003</v>
      </c>
      <c r="H854" s="14">
        <v>3005.05</v>
      </c>
      <c r="I854" s="14">
        <v>3009.56</v>
      </c>
      <c r="J854" s="14">
        <v>3422.95</v>
      </c>
      <c r="K854" s="14">
        <v>2670.1</v>
      </c>
      <c r="L854" s="15">
        <v>2144591</v>
      </c>
      <c r="M854" t="s" s="13">
        <v>7151</v>
      </c>
      <c r="N854" s="15">
        <v>111220</v>
      </c>
      <c r="O854" s="17" cm="1">
        <f t="array" ref="O854">(H854-H853)/H853</f>
        <v>0.017040647104613</v>
      </c>
      <c r="P854" s="8"/>
      <c r="Q854" s="8"/>
    </row>
    <row r="855" ht="13.65" customHeight="1">
      <c r="A855" s="18">
        <v>45504</v>
      </c>
      <c r="B855" t="s" s="13">
        <v>22</v>
      </c>
      <c r="C855" s="14">
        <v>3005.05</v>
      </c>
      <c r="D855" s="14">
        <v>3098</v>
      </c>
      <c r="E855" s="14">
        <v>3005.05</v>
      </c>
      <c r="F855" s="14">
        <v>3005.05</v>
      </c>
      <c r="G855" s="14">
        <v>3087.3</v>
      </c>
      <c r="H855" s="14">
        <v>3084.45</v>
      </c>
      <c r="I855" s="14">
        <v>3075.55</v>
      </c>
      <c r="J855" s="14">
        <v>3422.95</v>
      </c>
      <c r="K855" s="14">
        <v>2670.1</v>
      </c>
      <c r="L855" s="15">
        <v>3549501</v>
      </c>
      <c r="M855" t="s" s="13">
        <v>7152</v>
      </c>
      <c r="N855" s="15">
        <v>170009</v>
      </c>
      <c r="O855" s="17" cm="1">
        <f t="array" ref="O855">(H855-H854)/H854</f>
        <v>0.0264221893146537</v>
      </c>
      <c r="P855" s="8"/>
      <c r="Q855" s="8"/>
    </row>
    <row r="856" ht="13.65" customHeight="1">
      <c r="A856" s="12">
        <v>45505</v>
      </c>
      <c r="B856" t="s" s="13">
        <v>22</v>
      </c>
      <c r="C856" s="14">
        <v>3088</v>
      </c>
      <c r="D856" s="14">
        <v>3128.95</v>
      </c>
      <c r="E856" s="14">
        <v>3062.8</v>
      </c>
      <c r="F856" s="14">
        <v>3084.45</v>
      </c>
      <c r="G856" s="14">
        <v>3090</v>
      </c>
      <c r="H856" s="14">
        <v>3099.35</v>
      </c>
      <c r="I856" s="14">
        <v>3098.26</v>
      </c>
      <c r="J856" s="14">
        <v>3422.95</v>
      </c>
      <c r="K856" s="14">
        <v>2670.1</v>
      </c>
      <c r="L856" s="15">
        <v>1675122</v>
      </c>
      <c r="M856" t="s" s="13">
        <v>7153</v>
      </c>
      <c r="N856" s="15">
        <v>98772</v>
      </c>
      <c r="O856" s="17" cm="1">
        <f t="array" ref="O856">(H856-H855)/H855</f>
        <v>0.00483068294185349</v>
      </c>
      <c r="P856" s="8"/>
      <c r="Q856" s="8"/>
    </row>
    <row r="857" ht="13.65" customHeight="1">
      <c r="A857" s="12">
        <v>45506</v>
      </c>
      <c r="B857" t="s" s="13">
        <v>22</v>
      </c>
      <c r="C857" s="14">
        <v>3070</v>
      </c>
      <c r="D857" s="14">
        <v>3129.05</v>
      </c>
      <c r="E857" s="14">
        <v>3060</v>
      </c>
      <c r="F857" s="14">
        <v>3099.35</v>
      </c>
      <c r="G857" s="14">
        <v>3105</v>
      </c>
      <c r="H857" s="14">
        <v>3106.7</v>
      </c>
      <c r="I857" s="14">
        <v>3106.13</v>
      </c>
      <c r="J857" s="14">
        <v>3422.95</v>
      </c>
      <c r="K857" s="14">
        <v>2670.1</v>
      </c>
      <c r="L857" s="15">
        <v>1348780</v>
      </c>
      <c r="M857" t="s" s="13">
        <v>7154</v>
      </c>
      <c r="N857" s="15">
        <v>91022</v>
      </c>
      <c r="O857" s="17" cm="1">
        <f t="array" ref="O857">(H857-H856)/H856</f>
        <v>0.00237146498459354</v>
      </c>
      <c r="P857" s="8"/>
      <c r="Q857" s="8"/>
    </row>
    <row r="858" ht="13.65" customHeight="1">
      <c r="A858" s="12">
        <v>45509</v>
      </c>
      <c r="B858" t="s" s="13">
        <v>22</v>
      </c>
      <c r="C858" s="14">
        <v>3069.95</v>
      </c>
      <c r="D858" s="14">
        <v>3145</v>
      </c>
      <c r="E858" s="14">
        <v>3055.3</v>
      </c>
      <c r="F858" s="14">
        <v>3106.7</v>
      </c>
      <c r="G858" s="14">
        <v>3096</v>
      </c>
      <c r="H858" s="14">
        <v>3093.4</v>
      </c>
      <c r="I858" s="14">
        <v>3100.65</v>
      </c>
      <c r="J858" s="14">
        <v>3422.95</v>
      </c>
      <c r="K858" s="14">
        <v>2670.1</v>
      </c>
      <c r="L858" s="15">
        <v>2019141</v>
      </c>
      <c r="M858" t="s" s="13">
        <v>7155</v>
      </c>
      <c r="N858" s="15">
        <v>122740</v>
      </c>
      <c r="O858" s="17" cm="1">
        <f t="array" ref="O858">(H858-H857)/H857</f>
        <v>-0.00428106994560144</v>
      </c>
      <c r="P858" s="8"/>
      <c r="Q858" s="8"/>
    </row>
    <row r="859" ht="13.65" customHeight="1">
      <c r="A859" s="12">
        <v>45510</v>
      </c>
      <c r="B859" t="s" s="13">
        <v>22</v>
      </c>
      <c r="C859" s="14">
        <v>3101.7</v>
      </c>
      <c r="D859" s="14">
        <v>3135</v>
      </c>
      <c r="E859" s="14">
        <v>3086.05</v>
      </c>
      <c r="F859" s="14">
        <v>3093.4</v>
      </c>
      <c r="G859" s="14">
        <v>3090.25</v>
      </c>
      <c r="H859" s="14">
        <v>3101.75</v>
      </c>
      <c r="I859" s="14">
        <v>3115.97</v>
      </c>
      <c r="J859" s="14">
        <v>3422.95</v>
      </c>
      <c r="K859" s="14">
        <v>2670.1</v>
      </c>
      <c r="L859" s="15">
        <v>885743</v>
      </c>
      <c r="M859" t="s" s="13">
        <v>7156</v>
      </c>
      <c r="N859" s="15">
        <v>74147</v>
      </c>
      <c r="O859" s="17" cm="1">
        <f t="array" ref="O859">(H859-H858)/H858</f>
        <v>0.00269929527380875</v>
      </c>
      <c r="P859" s="8"/>
      <c r="Q859" s="8"/>
    </row>
    <row r="860" ht="13.65" customHeight="1">
      <c r="A860" s="12">
        <v>45511</v>
      </c>
      <c r="B860" t="s" s="13">
        <v>22</v>
      </c>
      <c r="C860" s="14">
        <v>3101.75</v>
      </c>
      <c r="D860" s="14">
        <v>3118.5</v>
      </c>
      <c r="E860" s="14">
        <v>3060.05</v>
      </c>
      <c r="F860" s="14">
        <v>3101.75</v>
      </c>
      <c r="G860" s="14">
        <v>3101</v>
      </c>
      <c r="H860" s="14">
        <v>3101.45</v>
      </c>
      <c r="I860" s="14">
        <v>3090.33</v>
      </c>
      <c r="J860" s="14">
        <v>3422.95</v>
      </c>
      <c r="K860" s="14">
        <v>2670.1</v>
      </c>
      <c r="L860" s="15">
        <v>1907105</v>
      </c>
      <c r="M860" t="s" s="13">
        <v>7157</v>
      </c>
      <c r="N860" s="15">
        <v>72543</v>
      </c>
      <c r="O860" s="17" cm="1">
        <f t="array" ref="O860">(H860-H859)/H859</f>
        <v>-9.67195937777061e-05</v>
      </c>
      <c r="P860" s="8"/>
      <c r="Q860" s="8"/>
    </row>
    <row r="861" ht="13.65" customHeight="1">
      <c r="A861" s="12">
        <v>45512</v>
      </c>
      <c r="B861" t="s" s="13">
        <v>22</v>
      </c>
      <c r="C861" s="14">
        <v>3080</v>
      </c>
      <c r="D861" s="14">
        <v>3089.7</v>
      </c>
      <c r="E861" s="14">
        <v>2990.4</v>
      </c>
      <c r="F861" s="14">
        <v>3101.45</v>
      </c>
      <c r="G861" s="14">
        <v>2996.9</v>
      </c>
      <c r="H861" s="14">
        <v>3005.4</v>
      </c>
      <c r="I861" s="14">
        <v>3027.99</v>
      </c>
      <c r="J861" s="14">
        <v>3422.95</v>
      </c>
      <c r="K861" s="14">
        <v>2670.1</v>
      </c>
      <c r="L861" s="15">
        <v>1280109</v>
      </c>
      <c r="M861" t="s" s="13">
        <v>7158</v>
      </c>
      <c r="N861" s="15">
        <v>107153</v>
      </c>
      <c r="O861" s="17" cm="1">
        <f t="array" ref="O861">(H861-H860)/H860</f>
        <v>-0.0309693852875268</v>
      </c>
      <c r="P861" s="8"/>
      <c r="Q861" s="8"/>
    </row>
    <row r="862" ht="13.65" customHeight="1">
      <c r="A862" s="12">
        <v>45513</v>
      </c>
      <c r="B862" t="s" s="13">
        <v>22</v>
      </c>
      <c r="C862" s="14">
        <v>3039</v>
      </c>
      <c r="D862" s="14">
        <v>3052.75</v>
      </c>
      <c r="E862" s="14">
        <v>2966</v>
      </c>
      <c r="F862" s="14">
        <v>3005.4</v>
      </c>
      <c r="G862" s="14">
        <v>3040</v>
      </c>
      <c r="H862" s="14">
        <v>3040.6</v>
      </c>
      <c r="I862" s="14">
        <v>3011.3</v>
      </c>
      <c r="J862" s="14">
        <v>3422.95</v>
      </c>
      <c r="K862" s="14">
        <v>2670.1</v>
      </c>
      <c r="L862" s="15">
        <v>1665414</v>
      </c>
      <c r="M862" t="s" s="13">
        <v>7159</v>
      </c>
      <c r="N862" s="15">
        <v>90841</v>
      </c>
      <c r="O862" s="17" cm="1">
        <f t="array" ref="O862">(H862-H861)/H861</f>
        <v>0.0117122512810275</v>
      </c>
      <c r="P862" s="8"/>
      <c r="Q862" s="8"/>
    </row>
    <row r="863" ht="13.65" customHeight="1">
      <c r="A863" s="18">
        <v>45516</v>
      </c>
      <c r="B863" t="s" s="13">
        <v>22</v>
      </c>
      <c r="C863" s="14">
        <v>3020</v>
      </c>
      <c r="D863" s="14">
        <v>3084</v>
      </c>
      <c r="E863" s="14">
        <v>3003.7</v>
      </c>
      <c r="F863" s="14">
        <v>3040.6</v>
      </c>
      <c r="G863" s="14">
        <v>3050</v>
      </c>
      <c r="H863" s="14">
        <v>3053.2</v>
      </c>
      <c r="I863" s="14">
        <v>3050.07</v>
      </c>
      <c r="J863" s="14">
        <v>3422.95</v>
      </c>
      <c r="K863" s="14">
        <v>2670.1</v>
      </c>
      <c r="L863" s="15">
        <v>1736881</v>
      </c>
      <c r="M863" t="s" s="13">
        <v>7160</v>
      </c>
      <c r="N863" s="15">
        <v>90374</v>
      </c>
      <c r="O863" s="17" cm="1">
        <f t="array" ref="O863">(H863-H862)/H862</f>
        <v>0.00414391896336249</v>
      </c>
      <c r="P863" s="8"/>
      <c r="Q863" s="8"/>
    </row>
    <row r="864" ht="13.65" customHeight="1">
      <c r="A864" s="18">
        <v>45517</v>
      </c>
      <c r="B864" t="s" s="13">
        <v>22</v>
      </c>
      <c r="C864" s="14">
        <v>3054.9</v>
      </c>
      <c r="D864" s="14">
        <v>3059.8</v>
      </c>
      <c r="E864" s="14">
        <v>3013</v>
      </c>
      <c r="F864" s="14">
        <v>3053.2</v>
      </c>
      <c r="G864" s="14">
        <v>3021.2</v>
      </c>
      <c r="H864" s="14">
        <v>3023.55</v>
      </c>
      <c r="I864" s="14">
        <v>3028.2</v>
      </c>
      <c r="J864" s="14">
        <v>3422.95</v>
      </c>
      <c r="K864" s="14">
        <v>2670.1</v>
      </c>
      <c r="L864" s="15">
        <v>502260</v>
      </c>
      <c r="M864" t="s" s="13">
        <v>7161</v>
      </c>
      <c r="N864" s="15">
        <v>43606</v>
      </c>
      <c r="O864" s="17" cm="1">
        <f t="array" ref="O864">(H864-H863)/H863</f>
        <v>-0.009711122756452251</v>
      </c>
      <c r="P864" s="8"/>
      <c r="Q864" s="8"/>
    </row>
    <row r="865" ht="13.65" customHeight="1">
      <c r="A865" s="18">
        <v>45518</v>
      </c>
      <c r="B865" t="s" s="13">
        <v>22</v>
      </c>
      <c r="C865" s="14">
        <v>3034.8</v>
      </c>
      <c r="D865" s="14">
        <v>3034.8</v>
      </c>
      <c r="E865" s="14">
        <v>2994.05</v>
      </c>
      <c r="F865" s="14">
        <v>3023.55</v>
      </c>
      <c r="G865" s="14">
        <v>3027</v>
      </c>
      <c r="H865" s="14">
        <v>3025.85</v>
      </c>
      <c r="I865" s="14">
        <v>3016.21</v>
      </c>
      <c r="J865" s="14">
        <v>3422.95</v>
      </c>
      <c r="K865" s="14">
        <v>2670.1</v>
      </c>
      <c r="L865" s="15">
        <v>454671</v>
      </c>
      <c r="M865" t="s" s="13">
        <v>7162</v>
      </c>
      <c r="N865" s="15">
        <v>47902</v>
      </c>
      <c r="O865" s="17" cm="1">
        <f t="array" ref="O865">(H865-H864)/H864</f>
        <v>0.000760695209273867</v>
      </c>
      <c r="P865" s="8"/>
      <c r="Q865" s="8"/>
    </row>
    <row r="866" ht="13.65" customHeight="1">
      <c r="A866" s="18">
        <v>45520</v>
      </c>
      <c r="B866" t="s" s="13">
        <v>22</v>
      </c>
      <c r="C866" s="14">
        <v>3054</v>
      </c>
      <c r="D866" s="14">
        <v>3054</v>
      </c>
      <c r="E866" s="14">
        <v>3003</v>
      </c>
      <c r="F866" s="14">
        <v>3025.85</v>
      </c>
      <c r="G866" s="14">
        <v>3049.95</v>
      </c>
      <c r="H866" s="14">
        <v>3048.15</v>
      </c>
      <c r="I866" s="14">
        <v>3030.31</v>
      </c>
      <c r="J866" s="14">
        <v>3422.95</v>
      </c>
      <c r="K866" s="14">
        <v>2670.1</v>
      </c>
      <c r="L866" s="15">
        <v>514229</v>
      </c>
      <c r="M866" t="s" s="13">
        <v>7163</v>
      </c>
      <c r="N866" s="15">
        <v>53382</v>
      </c>
      <c r="O866" s="17" cm="1">
        <f t="array" ref="O866">(H866-H865)/H865</f>
        <v>0.00736982996513376</v>
      </c>
      <c r="P866" s="8"/>
      <c r="Q866" s="8"/>
    </row>
    <row r="867" ht="13.65" customHeight="1">
      <c r="A867" s="18">
        <v>45523</v>
      </c>
      <c r="B867" t="s" s="13">
        <v>22</v>
      </c>
      <c r="C867" s="14">
        <v>3053.95</v>
      </c>
      <c r="D867" s="14">
        <v>3087.85</v>
      </c>
      <c r="E867" s="14">
        <v>3038.35</v>
      </c>
      <c r="F867" s="14">
        <v>3048.15</v>
      </c>
      <c r="G867" s="14">
        <v>3075.95</v>
      </c>
      <c r="H867" s="14">
        <v>3076.3</v>
      </c>
      <c r="I867" s="14">
        <v>3068.6</v>
      </c>
      <c r="J867" s="14">
        <v>3422.95</v>
      </c>
      <c r="K867" s="14">
        <v>2670.1</v>
      </c>
      <c r="L867" s="15">
        <v>542858</v>
      </c>
      <c r="M867" t="s" s="13">
        <v>7164</v>
      </c>
      <c r="N867" s="15">
        <v>43936</v>
      </c>
      <c r="O867" s="17" cm="1">
        <f t="array" ref="O867">(H867-H866)/H866</f>
        <v>0.009235109820710919</v>
      </c>
      <c r="P867" s="8"/>
      <c r="Q867" s="8"/>
    </row>
    <row r="868" ht="13.65" customHeight="1">
      <c r="A868" s="18">
        <v>45524</v>
      </c>
      <c r="B868" t="s" s="13">
        <v>22</v>
      </c>
      <c r="C868" s="14">
        <v>3096</v>
      </c>
      <c r="D868" s="14">
        <v>3106.35</v>
      </c>
      <c r="E868" s="14">
        <v>3078</v>
      </c>
      <c r="F868" s="14">
        <v>3076.3</v>
      </c>
      <c r="G868" s="14">
        <v>3096</v>
      </c>
      <c r="H868" s="14">
        <v>3103.2</v>
      </c>
      <c r="I868" s="14">
        <v>3097.97</v>
      </c>
      <c r="J868" s="14">
        <v>3422.95</v>
      </c>
      <c r="K868" s="14">
        <v>2670.1</v>
      </c>
      <c r="L868" s="15">
        <v>668282</v>
      </c>
      <c r="M868" t="s" s="13">
        <v>7165</v>
      </c>
      <c r="N868" s="15">
        <v>45243</v>
      </c>
      <c r="O868" s="17" cm="1">
        <f t="array" ref="O868">(H868-H867)/H867</f>
        <v>0.00874427071481975</v>
      </c>
      <c r="P868" s="8"/>
      <c r="Q868" s="8"/>
    </row>
    <row r="869" ht="13.65" customHeight="1">
      <c r="A869" s="18">
        <v>45525</v>
      </c>
      <c r="B869" t="s" s="13">
        <v>22</v>
      </c>
      <c r="C869" s="14">
        <v>3101</v>
      </c>
      <c r="D869" s="14">
        <v>3170.6</v>
      </c>
      <c r="E869" s="14">
        <v>3084.05</v>
      </c>
      <c r="F869" s="14">
        <v>3103.2</v>
      </c>
      <c r="G869" s="14">
        <v>3150</v>
      </c>
      <c r="H869" s="14">
        <v>3151.55</v>
      </c>
      <c r="I869" s="14">
        <v>3141.12</v>
      </c>
      <c r="J869" s="14">
        <v>3422.95</v>
      </c>
      <c r="K869" s="14">
        <v>2670.1</v>
      </c>
      <c r="L869" s="15">
        <v>1186536</v>
      </c>
      <c r="M869" t="s" s="13">
        <v>7166</v>
      </c>
      <c r="N869" s="15">
        <v>75579</v>
      </c>
      <c r="O869" s="17" cm="1">
        <f t="array" ref="O869">(H869-H868)/H868</f>
        <v>0.0155806908997164</v>
      </c>
      <c r="P869" s="8"/>
      <c r="Q869" s="8"/>
    </row>
    <row r="870" ht="13.65" customHeight="1">
      <c r="A870" s="18">
        <v>45526</v>
      </c>
      <c r="B870" t="s" s="13">
        <v>22</v>
      </c>
      <c r="C870" s="14">
        <v>3167</v>
      </c>
      <c r="D870" s="14">
        <v>3198.65</v>
      </c>
      <c r="E870" s="14">
        <v>3156.05</v>
      </c>
      <c r="F870" s="14">
        <v>3151.55</v>
      </c>
      <c r="G870" s="14">
        <v>3180</v>
      </c>
      <c r="H870" s="14">
        <v>3186.6</v>
      </c>
      <c r="I870" s="14">
        <v>3186.29</v>
      </c>
      <c r="J870" s="14">
        <v>3422.95</v>
      </c>
      <c r="K870" s="14">
        <v>2670.1</v>
      </c>
      <c r="L870" s="15">
        <v>1540888</v>
      </c>
      <c r="M870" t="s" s="13">
        <v>7167</v>
      </c>
      <c r="N870" s="15">
        <v>93251</v>
      </c>
      <c r="O870" s="17" cm="1">
        <f t="array" ref="O870">(H870-H869)/H869</f>
        <v>0.0111215116371309</v>
      </c>
      <c r="P870" s="8"/>
      <c r="Q870" s="8"/>
    </row>
    <row r="871" ht="13.65" customHeight="1">
      <c r="A871" s="18">
        <v>45527</v>
      </c>
      <c r="B871" t="s" s="13">
        <v>22</v>
      </c>
      <c r="C871" s="14">
        <v>3190</v>
      </c>
      <c r="D871" s="14">
        <v>3198.6</v>
      </c>
      <c r="E871" s="14">
        <v>3148.75</v>
      </c>
      <c r="F871" s="14">
        <v>3186.6</v>
      </c>
      <c r="G871" s="14">
        <v>3155</v>
      </c>
      <c r="H871" s="14">
        <v>3154.65</v>
      </c>
      <c r="I871" s="14">
        <v>3163.62</v>
      </c>
      <c r="J871" s="14">
        <v>3422.95</v>
      </c>
      <c r="K871" s="14">
        <v>2670.1</v>
      </c>
      <c r="L871" s="15">
        <v>779284</v>
      </c>
      <c r="M871" t="s" s="13">
        <v>7168</v>
      </c>
      <c r="N871" s="15">
        <v>50040</v>
      </c>
      <c r="O871" s="17" cm="1">
        <f t="array" ref="O871">(H871-H870)/H870</f>
        <v>-0.0100263603841085</v>
      </c>
      <c r="P871" s="8"/>
      <c r="Q871" s="8"/>
    </row>
    <row r="872" ht="13.65" customHeight="1">
      <c r="A872" s="18">
        <v>45530</v>
      </c>
      <c r="B872" t="s" s="13">
        <v>22</v>
      </c>
      <c r="C872" s="14">
        <v>3155</v>
      </c>
      <c r="D872" s="14">
        <v>3177.45</v>
      </c>
      <c r="E872" s="14">
        <v>3141.5</v>
      </c>
      <c r="F872" s="14">
        <v>3154.65</v>
      </c>
      <c r="G872" s="14">
        <v>3167.65</v>
      </c>
      <c r="H872" s="14">
        <v>3171.35</v>
      </c>
      <c r="I872" s="14">
        <v>3164.61</v>
      </c>
      <c r="J872" s="14">
        <v>3422.95</v>
      </c>
      <c r="K872" s="14">
        <v>2670.1</v>
      </c>
      <c r="L872" s="15">
        <v>472874</v>
      </c>
      <c r="M872" t="s" s="13">
        <v>7169</v>
      </c>
      <c r="N872" s="15">
        <v>38331</v>
      </c>
      <c r="O872" s="17" cm="1">
        <f t="array" ref="O872">(H872-H871)/H871</f>
        <v>0.00529377268476693</v>
      </c>
      <c r="P872" s="8"/>
      <c r="Q872" s="8"/>
    </row>
    <row r="873" ht="13.65" customHeight="1">
      <c r="A873" s="18">
        <v>45531</v>
      </c>
      <c r="B873" t="s" s="13">
        <v>22</v>
      </c>
      <c r="C873" s="14">
        <v>3154</v>
      </c>
      <c r="D873" s="14">
        <v>3203.65</v>
      </c>
      <c r="E873" s="14">
        <v>3150</v>
      </c>
      <c r="F873" s="14">
        <v>3171.35</v>
      </c>
      <c r="G873" s="14">
        <v>3152.95</v>
      </c>
      <c r="H873" s="14">
        <v>3166.2</v>
      </c>
      <c r="I873" s="14">
        <v>3182.77</v>
      </c>
      <c r="J873" s="14">
        <v>3422.95</v>
      </c>
      <c r="K873" s="14">
        <v>2670.1</v>
      </c>
      <c r="L873" s="15">
        <v>1003501</v>
      </c>
      <c r="M873" t="s" s="13">
        <v>7170</v>
      </c>
      <c r="N873" s="15">
        <v>54750</v>
      </c>
      <c r="O873" s="17" cm="1">
        <f t="array" ref="O873">(H873-H872)/H872</f>
        <v>-0.0016239141059801</v>
      </c>
      <c r="P873" s="8"/>
      <c r="Q873" s="8"/>
    </row>
    <row r="874" ht="13.65" customHeight="1">
      <c r="A874" s="18">
        <v>45532</v>
      </c>
      <c r="B874" t="s" s="13">
        <v>22</v>
      </c>
      <c r="C874" s="14">
        <v>3152.95</v>
      </c>
      <c r="D874" s="14">
        <v>3165.5</v>
      </c>
      <c r="E874" s="14">
        <v>3118.8</v>
      </c>
      <c r="F874" s="14">
        <v>3166.2</v>
      </c>
      <c r="G874" s="14">
        <v>3124</v>
      </c>
      <c r="H874" s="14">
        <v>3125.5</v>
      </c>
      <c r="I874" s="14">
        <v>3136.65</v>
      </c>
      <c r="J874" s="14">
        <v>3422.95</v>
      </c>
      <c r="K874" s="14">
        <v>2670.1</v>
      </c>
      <c r="L874" s="15">
        <v>538366</v>
      </c>
      <c r="M874" t="s" s="13">
        <v>7171</v>
      </c>
      <c r="N874" s="15">
        <v>40765</v>
      </c>
      <c r="O874" s="17" cm="1">
        <f t="array" ref="O874">(H874-H873)/H873</f>
        <v>-0.0128545259301371</v>
      </c>
      <c r="P874" s="8"/>
      <c r="Q874" s="8"/>
    </row>
    <row r="875" ht="13.65" customHeight="1">
      <c r="A875" s="18">
        <v>45533</v>
      </c>
      <c r="B875" t="s" s="13">
        <v>22</v>
      </c>
      <c r="C875" s="14">
        <v>3125.5</v>
      </c>
      <c r="D875" s="14">
        <v>3143.95</v>
      </c>
      <c r="E875" s="14">
        <v>3092.7</v>
      </c>
      <c r="F875" s="14">
        <v>3125.5</v>
      </c>
      <c r="G875" s="14">
        <v>3115</v>
      </c>
      <c r="H875" s="14">
        <v>3115.85</v>
      </c>
      <c r="I875" s="14">
        <v>3115.85</v>
      </c>
      <c r="J875" s="14">
        <v>3422.95</v>
      </c>
      <c r="K875" s="14">
        <v>2670.1</v>
      </c>
      <c r="L875" s="15">
        <v>849866</v>
      </c>
      <c r="M875" t="s" s="13">
        <v>7172</v>
      </c>
      <c r="N875" s="15">
        <v>79759</v>
      </c>
      <c r="O875" s="17" cm="1">
        <f t="array" ref="O875">(H875-H874)/H874</f>
        <v>-0.00308750599904015</v>
      </c>
      <c r="P875" s="8"/>
      <c r="Q875" s="8"/>
    </row>
    <row r="876" ht="13.65" customHeight="1">
      <c r="A876" s="18">
        <v>45534</v>
      </c>
      <c r="B876" t="s" s="13">
        <v>22</v>
      </c>
      <c r="C876" s="14">
        <v>3130.05</v>
      </c>
      <c r="D876" s="14">
        <v>3166.75</v>
      </c>
      <c r="E876" s="14">
        <v>3110.7</v>
      </c>
      <c r="F876" s="14">
        <v>3115.85</v>
      </c>
      <c r="G876" s="14">
        <v>3133</v>
      </c>
      <c r="H876" s="14">
        <v>3126.8</v>
      </c>
      <c r="I876" s="14">
        <v>3132.04</v>
      </c>
      <c r="J876" s="14">
        <v>3422.95</v>
      </c>
      <c r="K876" s="14">
        <v>2670.1</v>
      </c>
      <c r="L876" s="15">
        <v>1567031</v>
      </c>
      <c r="M876" t="s" s="13">
        <v>7173</v>
      </c>
      <c r="N876" s="15">
        <v>86932</v>
      </c>
      <c r="O876" s="17" cm="1">
        <f t="array" ref="O876">(H876-H875)/H875</f>
        <v>0.00351428984065343</v>
      </c>
      <c r="P876" s="8"/>
      <c r="Q876" s="8"/>
    </row>
    <row r="877" ht="13.65" customHeight="1">
      <c r="A877" s="12">
        <v>45537</v>
      </c>
      <c r="B877" t="s" s="13">
        <v>22</v>
      </c>
      <c r="C877" s="14">
        <v>3148</v>
      </c>
      <c r="D877" s="14">
        <v>3184</v>
      </c>
      <c r="E877" s="14">
        <v>3139.6</v>
      </c>
      <c r="F877" s="14">
        <v>3126.8</v>
      </c>
      <c r="G877" s="14">
        <v>3153</v>
      </c>
      <c r="H877" s="14">
        <v>3150.95</v>
      </c>
      <c r="I877" s="14">
        <v>3155.29</v>
      </c>
      <c r="J877" s="14">
        <v>3422.95</v>
      </c>
      <c r="K877" s="14">
        <v>2670.1</v>
      </c>
      <c r="L877" s="15">
        <v>702358</v>
      </c>
      <c r="M877" t="s" s="13">
        <v>7174</v>
      </c>
      <c r="N877" s="15">
        <v>61354</v>
      </c>
      <c r="O877" s="17" cm="1">
        <f t="array" ref="O877">(H877-H876)/H876</f>
        <v>0.00772355123448893</v>
      </c>
      <c r="P877" s="8"/>
      <c r="Q877" s="8"/>
    </row>
    <row r="878" ht="13.65" customHeight="1">
      <c r="A878" s="12">
        <v>45538</v>
      </c>
      <c r="B878" t="s" s="13">
        <v>22</v>
      </c>
      <c r="C878" s="14">
        <v>3164.95</v>
      </c>
      <c r="D878" s="14">
        <v>3174.55</v>
      </c>
      <c r="E878" s="14">
        <v>3147.5</v>
      </c>
      <c r="F878" s="14">
        <v>3150.95</v>
      </c>
      <c r="G878" s="14">
        <v>3150.1</v>
      </c>
      <c r="H878" s="14">
        <v>3154.85</v>
      </c>
      <c r="I878" s="14">
        <v>3159.48</v>
      </c>
      <c r="J878" s="14">
        <v>3422.95</v>
      </c>
      <c r="K878" s="14">
        <v>2670.1</v>
      </c>
      <c r="L878" s="15">
        <v>577471</v>
      </c>
      <c r="M878" t="s" s="13">
        <v>7175</v>
      </c>
      <c r="N878" s="15">
        <v>49057</v>
      </c>
      <c r="O878" s="17" cm="1">
        <f t="array" ref="O878">(H878-H877)/H877</f>
        <v>0.00123772195687015</v>
      </c>
      <c r="P878" s="8"/>
      <c r="Q878" s="8"/>
    </row>
    <row r="879" ht="13.65" customHeight="1">
      <c r="A879" s="12">
        <v>45539</v>
      </c>
      <c r="B879" t="s" s="13">
        <v>22</v>
      </c>
      <c r="C879" s="14">
        <v>3155.5</v>
      </c>
      <c r="D879" s="14">
        <v>3252</v>
      </c>
      <c r="E879" s="14">
        <v>3155.5</v>
      </c>
      <c r="F879" s="14">
        <v>3154.85</v>
      </c>
      <c r="G879" s="14">
        <v>3233.8</v>
      </c>
      <c r="H879" s="14">
        <v>3231.65</v>
      </c>
      <c r="I879" s="14">
        <v>3226.73</v>
      </c>
      <c r="J879" s="14">
        <v>3422.95</v>
      </c>
      <c r="K879" s="14">
        <v>2670.1</v>
      </c>
      <c r="L879" s="15">
        <v>2379110</v>
      </c>
      <c r="M879" t="s" s="13">
        <v>7176</v>
      </c>
      <c r="N879" s="15">
        <v>185570</v>
      </c>
      <c r="O879" s="17" cm="1">
        <f t="array" ref="O879">(H879-H878)/H878</f>
        <v>0.0243434711634468</v>
      </c>
      <c r="P879" s="8"/>
      <c r="Q879" s="8"/>
    </row>
    <row r="880" ht="13.65" customHeight="1">
      <c r="A880" s="12">
        <v>45540</v>
      </c>
      <c r="B880" t="s" s="13">
        <v>22</v>
      </c>
      <c r="C880" s="14">
        <v>3240</v>
      </c>
      <c r="D880" s="14">
        <v>3257</v>
      </c>
      <c r="E880" s="14">
        <v>3217</v>
      </c>
      <c r="F880" s="14">
        <v>3231.65</v>
      </c>
      <c r="G880" s="14">
        <v>3238</v>
      </c>
      <c r="H880" s="14">
        <v>3238.25</v>
      </c>
      <c r="I880" s="14">
        <v>3239.82</v>
      </c>
      <c r="J880" s="14">
        <v>3422.95</v>
      </c>
      <c r="K880" s="14">
        <v>2670.1</v>
      </c>
      <c r="L880" s="15">
        <v>1482119</v>
      </c>
      <c r="M880" t="s" s="13">
        <v>7177</v>
      </c>
      <c r="N880" s="15">
        <v>108587</v>
      </c>
      <c r="O880" s="17" cm="1">
        <f t="array" ref="O880">(H880-H879)/H879</f>
        <v>0.00204230037287454</v>
      </c>
      <c r="P880" s="8"/>
      <c r="Q880" s="8"/>
    </row>
    <row r="881" ht="13.65" customHeight="1">
      <c r="A881" s="12">
        <v>45541</v>
      </c>
      <c r="B881" t="s" s="13">
        <v>22</v>
      </c>
      <c r="C881" s="14">
        <v>3238</v>
      </c>
      <c r="D881" s="14">
        <v>3285.9</v>
      </c>
      <c r="E881" s="14">
        <v>3225.35</v>
      </c>
      <c r="F881" s="14">
        <v>3238.25</v>
      </c>
      <c r="G881" s="14">
        <v>3266.5</v>
      </c>
      <c r="H881" s="14">
        <v>3273.7</v>
      </c>
      <c r="I881" s="14">
        <v>3265.53</v>
      </c>
      <c r="J881" s="14">
        <v>3422.95</v>
      </c>
      <c r="K881" s="14">
        <v>2670.1</v>
      </c>
      <c r="L881" s="15">
        <v>2131256</v>
      </c>
      <c r="M881" t="s" s="13">
        <v>7178</v>
      </c>
      <c r="N881" s="15">
        <v>120887</v>
      </c>
      <c r="O881" s="17" cm="1">
        <f t="array" ref="O881">(H881-H880)/H880</f>
        <v>0.0109472709024936</v>
      </c>
      <c r="P881" s="8"/>
      <c r="Q881" s="8"/>
    </row>
    <row r="882" ht="13.65" customHeight="1">
      <c r="A882" s="12">
        <v>45544</v>
      </c>
      <c r="B882" t="s" s="13">
        <v>22</v>
      </c>
      <c r="C882" s="14">
        <v>3273.7</v>
      </c>
      <c r="D882" s="14">
        <v>3314</v>
      </c>
      <c r="E882" s="14">
        <v>3258</v>
      </c>
      <c r="F882" s="14">
        <v>3273.7</v>
      </c>
      <c r="G882" s="14">
        <v>3275</v>
      </c>
      <c r="H882" s="14">
        <v>3280.75</v>
      </c>
      <c r="I882" s="14">
        <v>3283.79</v>
      </c>
      <c r="J882" s="14">
        <v>3422.95</v>
      </c>
      <c r="K882" s="14">
        <v>2670.1</v>
      </c>
      <c r="L882" s="15">
        <v>1272289</v>
      </c>
      <c r="M882" t="s" s="13">
        <v>7179</v>
      </c>
      <c r="N882" s="15">
        <v>93539</v>
      </c>
      <c r="O882" s="17" cm="1">
        <f t="array" ref="O882">(H882-H881)/H881</f>
        <v>0.00215352659070776</v>
      </c>
      <c r="P882" s="8"/>
      <c r="Q882" s="8"/>
    </row>
    <row r="883" ht="13.65" customHeight="1">
      <c r="A883" s="18">
        <v>45545</v>
      </c>
      <c r="B883" t="s" s="13">
        <v>22</v>
      </c>
      <c r="C883" s="14">
        <v>3290</v>
      </c>
      <c r="D883" s="14">
        <v>3310</v>
      </c>
      <c r="E883" s="14">
        <v>3270.9</v>
      </c>
      <c r="F883" s="14">
        <v>3280.75</v>
      </c>
      <c r="G883" s="14">
        <v>3292.05</v>
      </c>
      <c r="H883" s="14">
        <v>3295.05</v>
      </c>
      <c r="I883" s="14">
        <v>3295.35</v>
      </c>
      <c r="J883" s="14">
        <v>3422.95</v>
      </c>
      <c r="K883" s="14">
        <v>2670.1</v>
      </c>
      <c r="L883" s="15">
        <v>928920</v>
      </c>
      <c r="M883" t="s" s="13">
        <v>7180</v>
      </c>
      <c r="N883" s="15">
        <v>100633</v>
      </c>
      <c r="O883" s="17" cm="1">
        <f t="array" ref="O883">(H883-H882)/H882</f>
        <v>0.00435875943000838</v>
      </c>
      <c r="P883" s="8"/>
      <c r="Q883" s="8"/>
    </row>
    <row r="884" ht="13.65" customHeight="1">
      <c r="A884" s="18">
        <v>45546</v>
      </c>
      <c r="B884" t="s" s="13">
        <v>22</v>
      </c>
      <c r="C884" s="14">
        <v>3315</v>
      </c>
      <c r="D884" s="14">
        <v>3382.95</v>
      </c>
      <c r="E884" s="14">
        <v>3315</v>
      </c>
      <c r="F884" s="14">
        <v>3295.05</v>
      </c>
      <c r="G884" s="14">
        <v>3368.5</v>
      </c>
      <c r="H884" s="14">
        <v>3367.45</v>
      </c>
      <c r="I884" s="14">
        <v>3358.46</v>
      </c>
      <c r="J884" s="14">
        <v>3422.95</v>
      </c>
      <c r="K884" s="14">
        <v>2670.1</v>
      </c>
      <c r="L884" s="15">
        <v>2561892</v>
      </c>
      <c r="M884" t="s" s="13">
        <v>7181</v>
      </c>
      <c r="N884" s="15">
        <v>195313</v>
      </c>
      <c r="O884" s="17" cm="1">
        <f t="array" ref="O884">(H884-H883)/H883</f>
        <v>0.0219723524680961</v>
      </c>
      <c r="P884" s="8"/>
      <c r="Q884" s="8"/>
    </row>
    <row r="885" ht="13.65" customHeight="1">
      <c r="A885" s="18">
        <v>45547</v>
      </c>
      <c r="B885" t="s" s="13">
        <v>22</v>
      </c>
      <c r="C885" s="14">
        <v>3370</v>
      </c>
      <c r="D885" s="14">
        <v>3393</v>
      </c>
      <c r="E885" s="14">
        <v>3340.3</v>
      </c>
      <c r="F885" s="14">
        <v>3367.45</v>
      </c>
      <c r="G885" s="14">
        <v>3368.95</v>
      </c>
      <c r="H885" s="14">
        <v>3383.25</v>
      </c>
      <c r="I885" s="14">
        <v>3373.72</v>
      </c>
      <c r="J885" s="14">
        <v>3422.95</v>
      </c>
      <c r="K885" s="14">
        <v>2670.1</v>
      </c>
      <c r="L885" s="15">
        <v>1643536</v>
      </c>
      <c r="M885" t="s" s="13">
        <v>7182</v>
      </c>
      <c r="N885" s="15">
        <v>136297</v>
      </c>
      <c r="O885" s="17" cm="1">
        <f t="array" ref="O885">(H885-H884)/H884</f>
        <v>0.00469197760917014</v>
      </c>
      <c r="P885" s="8"/>
      <c r="Q885" s="8"/>
    </row>
    <row r="886" ht="13.65" customHeight="1">
      <c r="A886" s="18">
        <v>45548</v>
      </c>
      <c r="B886" t="s" s="13">
        <v>22</v>
      </c>
      <c r="C886" s="14">
        <v>3355.55</v>
      </c>
      <c r="D886" s="14">
        <v>3369.7</v>
      </c>
      <c r="E886" s="14">
        <v>3320.9</v>
      </c>
      <c r="F886" s="14">
        <v>3383.25</v>
      </c>
      <c r="G886" s="14">
        <v>3358.6</v>
      </c>
      <c r="H886" s="14">
        <v>3358.05</v>
      </c>
      <c r="I886" s="14">
        <v>3349.61</v>
      </c>
      <c r="J886" s="14">
        <v>3422.95</v>
      </c>
      <c r="K886" s="14">
        <v>2670.1</v>
      </c>
      <c r="L886" s="15">
        <v>1029400</v>
      </c>
      <c r="M886" t="s" s="13">
        <v>7183</v>
      </c>
      <c r="N886" s="15">
        <v>82492</v>
      </c>
      <c r="O886" s="17" cm="1">
        <f t="array" ref="O886">(H886-H885)/H885</f>
        <v>-0.00744845932165817</v>
      </c>
      <c r="P886" s="8"/>
      <c r="Q886" s="8"/>
    </row>
    <row r="887" ht="13.65" customHeight="1">
      <c r="A887" s="18">
        <v>45551</v>
      </c>
      <c r="B887" t="s" s="13">
        <v>22</v>
      </c>
      <c r="C887" s="14">
        <v>3360</v>
      </c>
      <c r="D887" s="14">
        <v>3394.9</v>
      </c>
      <c r="E887" s="14">
        <v>3330.6</v>
      </c>
      <c r="F887" s="14">
        <v>3358.05</v>
      </c>
      <c r="G887" s="14">
        <v>3334</v>
      </c>
      <c r="H887" s="14">
        <v>3335.8</v>
      </c>
      <c r="I887" s="14">
        <v>3356.47</v>
      </c>
      <c r="J887" s="14">
        <v>3422.95</v>
      </c>
      <c r="K887" s="14">
        <v>2670.1</v>
      </c>
      <c r="L887" s="15">
        <v>1019280</v>
      </c>
      <c r="M887" t="s" s="13">
        <v>7184</v>
      </c>
      <c r="N887" s="15">
        <v>54011</v>
      </c>
      <c r="O887" s="17" cm="1">
        <f t="array" ref="O887">(H887-H886)/H886</f>
        <v>-0.00662586918003008</v>
      </c>
      <c r="P887" s="8"/>
      <c r="Q887" s="8"/>
    </row>
    <row r="888" ht="13.65" customHeight="1">
      <c r="A888" s="18">
        <v>45552</v>
      </c>
      <c r="B888" t="s" s="13">
        <v>22</v>
      </c>
      <c r="C888" s="14">
        <v>3335.8</v>
      </c>
      <c r="D888" s="14">
        <v>3349.9</v>
      </c>
      <c r="E888" s="14">
        <v>3301.8</v>
      </c>
      <c r="F888" s="14">
        <v>3335.8</v>
      </c>
      <c r="G888" s="14">
        <v>3313.95</v>
      </c>
      <c r="H888" s="14">
        <v>3312.8</v>
      </c>
      <c r="I888" s="14">
        <v>3319.95</v>
      </c>
      <c r="J888" s="14">
        <v>3422.95</v>
      </c>
      <c r="K888" s="14">
        <v>2670.1</v>
      </c>
      <c r="L888" s="15">
        <v>586834</v>
      </c>
      <c r="M888" t="s" s="13">
        <v>7185</v>
      </c>
      <c r="N888" s="15">
        <v>52026</v>
      </c>
      <c r="O888" s="17" cm="1">
        <f t="array" ref="O888">(H888-H887)/H887</f>
        <v>-0.00689489777564602</v>
      </c>
      <c r="P888" s="8"/>
      <c r="Q888" s="8"/>
    </row>
    <row r="889" ht="13.65" customHeight="1">
      <c r="A889" s="18">
        <v>45553</v>
      </c>
      <c r="B889" t="s" s="13">
        <v>22</v>
      </c>
      <c r="C889" s="14">
        <v>3312.8</v>
      </c>
      <c r="D889" s="14">
        <v>3324.85</v>
      </c>
      <c r="E889" s="14">
        <v>3251.55</v>
      </c>
      <c r="F889" s="14">
        <v>3312.8</v>
      </c>
      <c r="G889" s="14">
        <v>3276</v>
      </c>
      <c r="H889" s="14">
        <v>3274.65</v>
      </c>
      <c r="I889" s="14">
        <v>3283.38</v>
      </c>
      <c r="J889" s="14">
        <v>3422.95</v>
      </c>
      <c r="K889" s="14">
        <v>2670.1</v>
      </c>
      <c r="L889" s="15">
        <v>410510</v>
      </c>
      <c r="M889" t="s" s="13">
        <v>7186</v>
      </c>
      <c r="N889" s="15">
        <v>44243</v>
      </c>
      <c r="O889" s="17" cm="1">
        <f t="array" ref="O889">(H889-H888)/H888</f>
        <v>-0.0115159381791838</v>
      </c>
      <c r="P889" s="8"/>
      <c r="Q889" s="8"/>
    </row>
    <row r="890" ht="13.65" customHeight="1">
      <c r="A890" s="18">
        <v>45554</v>
      </c>
      <c r="B890" t="s" s="13">
        <v>22</v>
      </c>
      <c r="C890" s="14">
        <v>3294</v>
      </c>
      <c r="D890" s="14">
        <v>3320</v>
      </c>
      <c r="E890" s="14">
        <v>3275</v>
      </c>
      <c r="F890" s="14">
        <v>3274.65</v>
      </c>
      <c r="G890" s="14">
        <v>3300.9</v>
      </c>
      <c r="H890" s="14">
        <v>3293.85</v>
      </c>
      <c r="I890" s="14">
        <v>3296.58</v>
      </c>
      <c r="J890" s="14">
        <v>3422.95</v>
      </c>
      <c r="K890" s="14">
        <v>2670.1</v>
      </c>
      <c r="L890" s="15">
        <v>963456</v>
      </c>
      <c r="M890" t="s" s="13">
        <v>7187</v>
      </c>
      <c r="N890" s="15">
        <v>94031</v>
      </c>
      <c r="O890" s="17" cm="1">
        <f t="array" ref="O890">(H890-H889)/H889</f>
        <v>0.00586322202372773</v>
      </c>
      <c r="P890" s="8"/>
      <c r="Q890" s="8"/>
    </row>
    <row r="891" ht="13.65" customHeight="1">
      <c r="A891" s="18">
        <v>45555</v>
      </c>
      <c r="B891" t="s" s="13">
        <v>22</v>
      </c>
      <c r="C891" s="14">
        <v>3304</v>
      </c>
      <c r="D891" s="14">
        <v>3324.8</v>
      </c>
      <c r="E891" s="14">
        <v>3266.05</v>
      </c>
      <c r="F891" s="14">
        <v>3293.85</v>
      </c>
      <c r="G891" s="14">
        <v>3313.25</v>
      </c>
      <c r="H891" s="14">
        <v>3306.95</v>
      </c>
      <c r="I891" s="14">
        <v>3305.29</v>
      </c>
      <c r="J891" s="14">
        <v>3422.95</v>
      </c>
      <c r="K891" s="14">
        <v>2670.1</v>
      </c>
      <c r="L891" s="15">
        <v>1504277</v>
      </c>
      <c r="M891" t="s" s="13">
        <v>7188</v>
      </c>
      <c r="N891" s="15">
        <v>106675</v>
      </c>
      <c r="O891" s="17" cm="1">
        <f t="array" ref="O891">(H891-H890)/H890</f>
        <v>0.00397710885438013</v>
      </c>
      <c r="P891" s="8"/>
      <c r="Q891" s="8"/>
    </row>
    <row r="892" ht="13.65" customHeight="1">
      <c r="A892" s="18">
        <v>45558</v>
      </c>
      <c r="B892" t="s" s="13">
        <v>22</v>
      </c>
      <c r="C892" s="14">
        <v>3316.95</v>
      </c>
      <c r="D892" s="14">
        <v>3324.9</v>
      </c>
      <c r="E892" s="14">
        <v>3273.2</v>
      </c>
      <c r="F892" s="14">
        <v>3306.95</v>
      </c>
      <c r="G892" s="14">
        <v>3274</v>
      </c>
      <c r="H892" s="14">
        <v>3277.45</v>
      </c>
      <c r="I892" s="14">
        <v>3287.56</v>
      </c>
      <c r="J892" s="14">
        <v>3422.95</v>
      </c>
      <c r="K892" s="14">
        <v>2670.1</v>
      </c>
      <c r="L892" s="15">
        <v>522775</v>
      </c>
      <c r="M892" t="s" s="13">
        <v>7189</v>
      </c>
      <c r="N892" s="15">
        <v>49884</v>
      </c>
      <c r="O892" s="17" cm="1">
        <f t="array" ref="O892">(H892-H891)/H891</f>
        <v>-0.00892060660124888</v>
      </c>
      <c r="P892" s="8"/>
      <c r="Q892" s="8"/>
    </row>
    <row r="893" ht="13.65" customHeight="1">
      <c r="A893" s="18">
        <v>45559</v>
      </c>
      <c r="B893" t="s" s="13">
        <v>22</v>
      </c>
      <c r="C893" s="14">
        <v>3277.45</v>
      </c>
      <c r="D893" s="14">
        <v>3297.75</v>
      </c>
      <c r="E893" s="14">
        <v>3241.1</v>
      </c>
      <c r="F893" s="14">
        <v>3277.45</v>
      </c>
      <c r="G893" s="14">
        <v>3249.5</v>
      </c>
      <c r="H893" s="14">
        <v>3248.4</v>
      </c>
      <c r="I893" s="14">
        <v>3268.56</v>
      </c>
      <c r="J893" s="14">
        <v>3422.95</v>
      </c>
      <c r="K893" s="14">
        <v>2670.1</v>
      </c>
      <c r="L893" s="15">
        <v>1057933</v>
      </c>
      <c r="M893" t="s" s="13">
        <v>7190</v>
      </c>
      <c r="N893" s="15">
        <v>61806</v>
      </c>
      <c r="O893" s="17" cm="1">
        <f t="array" ref="O893">(H893-H892)/H892</f>
        <v>-0.0088635982242292</v>
      </c>
      <c r="P893" s="8"/>
      <c r="Q893" s="8"/>
    </row>
    <row r="894" ht="13.65" customHeight="1">
      <c r="A894" s="18">
        <v>45560</v>
      </c>
      <c r="B894" t="s" s="13">
        <v>22</v>
      </c>
      <c r="C894" s="14">
        <v>3252</v>
      </c>
      <c r="D894" s="14">
        <v>3252</v>
      </c>
      <c r="E894" s="14">
        <v>3206.75</v>
      </c>
      <c r="F894" s="14">
        <v>3248.4</v>
      </c>
      <c r="G894" s="14">
        <v>3240</v>
      </c>
      <c r="H894" s="14">
        <v>3244.75</v>
      </c>
      <c r="I894" s="14">
        <v>3228.58</v>
      </c>
      <c r="J894" s="14">
        <v>3422.95</v>
      </c>
      <c r="K894" s="14">
        <v>2670.1</v>
      </c>
      <c r="L894" s="15">
        <v>740636</v>
      </c>
      <c r="M894" t="s" s="13">
        <v>7191</v>
      </c>
      <c r="N894" s="15">
        <v>70336</v>
      </c>
      <c r="O894" s="17" cm="1">
        <f t="array" ref="O894">(H894-H893)/H893</f>
        <v>-0.00112363009481591</v>
      </c>
      <c r="P894" s="8"/>
      <c r="Q894" s="8"/>
    </row>
    <row r="895" ht="13.65" customHeight="1">
      <c r="A895" s="18">
        <v>45561</v>
      </c>
      <c r="B895" t="s" s="13">
        <v>22</v>
      </c>
      <c r="C895" s="14">
        <v>3250</v>
      </c>
      <c r="D895" s="14">
        <v>3285.85</v>
      </c>
      <c r="E895" s="14">
        <v>3227.1</v>
      </c>
      <c r="F895" s="14">
        <v>3244.75</v>
      </c>
      <c r="G895" s="14">
        <v>3276.6</v>
      </c>
      <c r="H895" s="14">
        <v>3277.05</v>
      </c>
      <c r="I895" s="14">
        <v>3260.71</v>
      </c>
      <c r="J895" s="14">
        <v>3422.95</v>
      </c>
      <c r="K895" s="14">
        <v>2670.1</v>
      </c>
      <c r="L895" s="15">
        <v>951080</v>
      </c>
      <c r="M895" t="s" s="13">
        <v>7192</v>
      </c>
      <c r="N895" s="15">
        <v>79224</v>
      </c>
      <c r="O895" s="17" cm="1">
        <f t="array" ref="O895">(H895-H894)/H894</f>
        <v>0.00995454195238462</v>
      </c>
      <c r="P895" s="8"/>
      <c r="Q895" s="8"/>
    </row>
    <row r="896" ht="13.65" customHeight="1">
      <c r="A896" s="18">
        <v>45562</v>
      </c>
      <c r="B896" t="s" s="13">
        <v>22</v>
      </c>
      <c r="C896" s="14">
        <v>3290.95</v>
      </c>
      <c r="D896" s="14">
        <v>3337.95</v>
      </c>
      <c r="E896" s="14">
        <v>3277.05</v>
      </c>
      <c r="F896" s="14">
        <v>3277.05</v>
      </c>
      <c r="G896" s="14">
        <v>3308</v>
      </c>
      <c r="H896" s="14">
        <v>3310.75</v>
      </c>
      <c r="I896" s="14">
        <v>3312.64</v>
      </c>
      <c r="J896" s="14">
        <v>3422.95</v>
      </c>
      <c r="K896" s="14">
        <v>2670.1</v>
      </c>
      <c r="L896" s="15">
        <v>1315996</v>
      </c>
      <c r="M896" t="s" s="13">
        <v>7193</v>
      </c>
      <c r="N896" s="15">
        <v>98063</v>
      </c>
      <c r="O896" s="17" cm="1">
        <f t="array" ref="O896">(H896-H895)/H895</f>
        <v>0.0102836392487145</v>
      </c>
      <c r="P896" s="8"/>
      <c r="Q896" s="8"/>
    </row>
    <row r="897" ht="13.65" customHeight="1">
      <c r="A897" s="18">
        <v>45565</v>
      </c>
      <c r="B897" t="s" s="13">
        <v>22</v>
      </c>
      <c r="C897" s="14">
        <v>3310.75</v>
      </c>
      <c r="D897" s="14">
        <v>3358</v>
      </c>
      <c r="E897" s="14">
        <v>3305.15</v>
      </c>
      <c r="F897" s="14">
        <v>3310.75</v>
      </c>
      <c r="G897" s="14">
        <v>3320</v>
      </c>
      <c r="H897" s="14">
        <v>3329.1</v>
      </c>
      <c r="I897" s="14">
        <v>3335.77</v>
      </c>
      <c r="J897" s="14">
        <v>3422.95</v>
      </c>
      <c r="K897" s="14">
        <v>2670.1</v>
      </c>
      <c r="L897" s="15">
        <v>1088162</v>
      </c>
      <c r="M897" t="s" s="13">
        <v>7194</v>
      </c>
      <c r="N897" s="15">
        <v>82479</v>
      </c>
      <c r="O897" s="17" cm="1">
        <f t="array" ref="O897">(H897-H896)/H896</f>
        <v>0.00554255078154497</v>
      </c>
      <c r="P897" s="8"/>
      <c r="Q897" s="8"/>
    </row>
    <row r="898" ht="13.65" customHeight="1">
      <c r="A898" s="12">
        <v>45566</v>
      </c>
      <c r="B898" t="s" s="13">
        <v>22</v>
      </c>
      <c r="C898" s="14">
        <v>3317</v>
      </c>
      <c r="D898" s="14">
        <v>3328.95</v>
      </c>
      <c r="E898" s="14">
        <v>3244.05</v>
      </c>
      <c r="F898" s="14">
        <v>3329.1</v>
      </c>
      <c r="G898" s="14">
        <v>3275</v>
      </c>
      <c r="H898" s="14">
        <v>3277.35</v>
      </c>
      <c r="I898" s="14">
        <v>3269.51</v>
      </c>
      <c r="J898" s="14">
        <v>3422.95</v>
      </c>
      <c r="K898" s="14">
        <v>2670.1</v>
      </c>
      <c r="L898" s="15">
        <v>968660</v>
      </c>
      <c r="M898" t="s" s="13">
        <v>7195</v>
      </c>
      <c r="N898" s="15">
        <v>70952</v>
      </c>
      <c r="O898" s="17" cm="1">
        <f t="array" ref="O898">(H898-H897)/H897</f>
        <v>-0.0155447418221141</v>
      </c>
      <c r="P898" s="8"/>
      <c r="Q898" s="8"/>
    </row>
    <row r="899" ht="13.65" customHeight="1">
      <c r="A899" s="12">
        <v>45568</v>
      </c>
      <c r="B899" t="s" s="13">
        <v>22</v>
      </c>
      <c r="C899" s="14">
        <v>3192.3</v>
      </c>
      <c r="D899" s="14">
        <v>3225.9</v>
      </c>
      <c r="E899" s="14">
        <v>3126.5</v>
      </c>
      <c r="F899" s="14">
        <v>3277.35</v>
      </c>
      <c r="G899" s="14">
        <v>3152</v>
      </c>
      <c r="H899" s="14">
        <v>3149.3</v>
      </c>
      <c r="I899" s="14">
        <v>3163</v>
      </c>
      <c r="J899" s="14">
        <v>3422.95</v>
      </c>
      <c r="K899" s="14">
        <v>2670.1</v>
      </c>
      <c r="L899" s="15">
        <v>1741363</v>
      </c>
      <c r="M899" t="s" s="13">
        <v>7196</v>
      </c>
      <c r="N899" s="15">
        <v>169211</v>
      </c>
      <c r="O899" s="17" cm="1">
        <f t="array" ref="O899">(H899-H898)/H898</f>
        <v>-0.0390712008177338</v>
      </c>
      <c r="P899" s="8"/>
      <c r="Q899" s="8"/>
    </row>
    <row r="900" ht="13.65" customHeight="1">
      <c r="A900" s="12">
        <v>45569</v>
      </c>
      <c r="B900" t="s" s="13">
        <v>22</v>
      </c>
      <c r="C900" s="14">
        <v>3135</v>
      </c>
      <c r="D900" s="14">
        <v>3156.75</v>
      </c>
      <c r="E900" s="14">
        <v>3054.55</v>
      </c>
      <c r="F900" s="14">
        <v>3149.3</v>
      </c>
      <c r="G900" s="14">
        <v>3073.85</v>
      </c>
      <c r="H900" s="14">
        <v>3072.5</v>
      </c>
      <c r="I900" s="14">
        <v>3098.08</v>
      </c>
      <c r="J900" s="14">
        <v>3422.95</v>
      </c>
      <c r="K900" s="14">
        <v>2670.1</v>
      </c>
      <c r="L900" s="15">
        <v>1551818</v>
      </c>
      <c r="M900" t="s" s="13">
        <v>7197</v>
      </c>
      <c r="N900" s="15">
        <v>141806</v>
      </c>
      <c r="O900" s="17" cm="1">
        <f t="array" ref="O900">(H900-H899)/H899</f>
        <v>-0.0243863715746356</v>
      </c>
      <c r="P900" s="8"/>
      <c r="Q900" s="8"/>
    </row>
    <row r="901" ht="13.65" customHeight="1">
      <c r="A901" s="12">
        <v>45572</v>
      </c>
      <c r="B901" t="s" s="13">
        <v>22</v>
      </c>
      <c r="C901" s="14">
        <v>3075</v>
      </c>
      <c r="D901" s="14">
        <v>3098.55</v>
      </c>
      <c r="E901" s="14">
        <v>3038</v>
      </c>
      <c r="F901" s="14">
        <v>3072.5</v>
      </c>
      <c r="G901" s="14">
        <v>3069.9</v>
      </c>
      <c r="H901" s="14">
        <v>3062.25</v>
      </c>
      <c r="I901" s="14">
        <v>3060.6</v>
      </c>
      <c r="J901" s="14">
        <v>3422.95</v>
      </c>
      <c r="K901" s="14">
        <v>2670.1</v>
      </c>
      <c r="L901" s="15">
        <v>909812</v>
      </c>
      <c r="M901" t="s" s="13">
        <v>7198</v>
      </c>
      <c r="N901" s="15">
        <v>91414</v>
      </c>
      <c r="O901" s="17" cm="1">
        <f t="array" ref="O901">(H901-H900)/H900</f>
        <v>-0.00333604556550041</v>
      </c>
      <c r="P901" s="8"/>
      <c r="Q901" s="8"/>
    </row>
    <row r="902" ht="13.65" customHeight="1">
      <c r="A902" s="12">
        <v>45573</v>
      </c>
      <c r="B902" t="s" s="13">
        <v>22</v>
      </c>
      <c r="C902" s="14">
        <v>3058</v>
      </c>
      <c r="D902" s="14">
        <v>3099</v>
      </c>
      <c r="E902" s="14">
        <v>3045.65</v>
      </c>
      <c r="F902" s="14">
        <v>3062.25</v>
      </c>
      <c r="G902" s="14">
        <v>3098</v>
      </c>
      <c r="H902" s="14">
        <v>3088.05</v>
      </c>
      <c r="I902" s="14">
        <v>3079.61</v>
      </c>
      <c r="J902" s="14">
        <v>3422.95</v>
      </c>
      <c r="K902" s="14">
        <v>2670.1</v>
      </c>
      <c r="L902" s="15">
        <v>817718</v>
      </c>
      <c r="M902" t="s" s="13">
        <v>7199</v>
      </c>
      <c r="N902" s="15">
        <v>80023</v>
      </c>
      <c r="O902" s="17" cm="1">
        <f t="array" ref="O902">(H902-H901)/H901</f>
        <v>0.00842517756551555</v>
      </c>
      <c r="P902" s="8"/>
      <c r="Q902" s="8"/>
    </row>
    <row r="903" ht="13.65" customHeight="1">
      <c r="A903" s="12">
        <v>45574</v>
      </c>
      <c r="B903" t="s" s="13">
        <v>22</v>
      </c>
      <c r="C903" s="14">
        <v>3095.55</v>
      </c>
      <c r="D903" s="14">
        <v>3146.7</v>
      </c>
      <c r="E903" s="14">
        <v>3071.75</v>
      </c>
      <c r="F903" s="14">
        <v>3088.05</v>
      </c>
      <c r="G903" s="14">
        <v>3086.55</v>
      </c>
      <c r="H903" s="14">
        <v>3078.85</v>
      </c>
      <c r="I903" s="14">
        <v>3101.14</v>
      </c>
      <c r="J903" s="14">
        <v>3422.95</v>
      </c>
      <c r="K903" s="14">
        <v>2670.1</v>
      </c>
      <c r="L903" s="15">
        <v>1225598</v>
      </c>
      <c r="M903" t="s" s="13">
        <v>7200</v>
      </c>
      <c r="N903" s="15">
        <v>89592</v>
      </c>
      <c r="O903" s="17" cm="1">
        <f t="array" ref="O903">(H903-H902)/H902</f>
        <v>-0.00297922637262998</v>
      </c>
      <c r="P903" s="8"/>
      <c r="Q903" s="8"/>
    </row>
    <row r="904" ht="13.65" customHeight="1">
      <c r="A904" s="18">
        <v>45575</v>
      </c>
      <c r="B904" t="s" s="13">
        <v>22</v>
      </c>
      <c r="C904" s="14">
        <v>3090.05</v>
      </c>
      <c r="D904" s="14">
        <v>3095</v>
      </c>
      <c r="E904" s="14">
        <v>3043</v>
      </c>
      <c r="F904" s="14">
        <v>3078.85</v>
      </c>
      <c r="G904" s="14">
        <v>3065</v>
      </c>
      <c r="H904" s="14">
        <v>3059.1</v>
      </c>
      <c r="I904" s="14">
        <v>3059.51</v>
      </c>
      <c r="J904" s="14">
        <v>3422.95</v>
      </c>
      <c r="K904" s="14">
        <v>2670.1</v>
      </c>
      <c r="L904" s="15">
        <v>1161933</v>
      </c>
      <c r="M904" t="s" s="13">
        <v>7201</v>
      </c>
      <c r="N904" s="15">
        <v>97292</v>
      </c>
      <c r="O904" s="17" cm="1">
        <f t="array" ref="O904">(H904-H903)/H903</f>
        <v>-0.00641473277360053</v>
      </c>
      <c r="P904" s="8"/>
      <c r="Q904" s="8"/>
    </row>
    <row r="905" ht="13.65" customHeight="1">
      <c r="A905" s="18">
        <v>45576</v>
      </c>
      <c r="B905" t="s" s="13">
        <v>22</v>
      </c>
      <c r="C905" s="14">
        <v>3059.2</v>
      </c>
      <c r="D905" s="14">
        <v>3064</v>
      </c>
      <c r="E905" s="14">
        <v>3026</v>
      </c>
      <c r="F905" s="14">
        <v>3059.1</v>
      </c>
      <c r="G905" s="14">
        <v>3042.95</v>
      </c>
      <c r="H905" s="14">
        <v>3037.2</v>
      </c>
      <c r="I905" s="14">
        <v>3039.94</v>
      </c>
      <c r="J905" s="14">
        <v>3422.95</v>
      </c>
      <c r="K905" s="14">
        <v>2670.1</v>
      </c>
      <c r="L905" s="15">
        <v>976017</v>
      </c>
      <c r="M905" t="s" s="13">
        <v>7202</v>
      </c>
      <c r="N905" s="15">
        <v>65051</v>
      </c>
      <c r="O905" s="17" cm="1">
        <f t="array" ref="O905">(H905-H904)/H904</f>
        <v>-0.00715896832401687</v>
      </c>
      <c r="P905" s="8"/>
      <c r="Q905" s="8"/>
    </row>
    <row r="906" ht="13.65" customHeight="1">
      <c r="A906" s="18">
        <v>45579</v>
      </c>
      <c r="B906" t="s" s="13">
        <v>22</v>
      </c>
      <c r="C906" s="14">
        <v>3037</v>
      </c>
      <c r="D906" s="14">
        <v>3055</v>
      </c>
      <c r="E906" s="14">
        <v>3017.2</v>
      </c>
      <c r="F906" s="14">
        <v>3037.2</v>
      </c>
      <c r="G906" s="14">
        <v>3040</v>
      </c>
      <c r="H906" s="14">
        <v>3039.15</v>
      </c>
      <c r="I906" s="14">
        <v>3039.16</v>
      </c>
      <c r="J906" s="14">
        <v>3422.95</v>
      </c>
      <c r="K906" s="14">
        <v>2670.1</v>
      </c>
      <c r="L906" s="15">
        <v>716011</v>
      </c>
      <c r="M906" t="s" s="13">
        <v>7203</v>
      </c>
      <c r="N906" s="15">
        <v>65593</v>
      </c>
      <c r="O906" s="17" cm="1">
        <f t="array" ref="O906">(H906-H905)/H905</f>
        <v>0.000642038719873568</v>
      </c>
      <c r="P906" s="8"/>
      <c r="Q906" s="8"/>
    </row>
    <row r="907" ht="13.65" customHeight="1">
      <c r="A907" s="18">
        <v>45580</v>
      </c>
      <c r="B907" t="s" s="13">
        <v>22</v>
      </c>
      <c r="C907" s="14">
        <v>3075</v>
      </c>
      <c r="D907" s="14">
        <v>3096.8</v>
      </c>
      <c r="E907" s="14">
        <v>3047.65</v>
      </c>
      <c r="F907" s="14">
        <v>3039.15</v>
      </c>
      <c r="G907" s="14">
        <v>3075</v>
      </c>
      <c r="H907" s="14">
        <v>3067.1</v>
      </c>
      <c r="I907" s="14">
        <v>3072.09</v>
      </c>
      <c r="J907" s="14">
        <v>3422.95</v>
      </c>
      <c r="K907" s="14">
        <v>2670.1</v>
      </c>
      <c r="L907" s="15">
        <v>1242322</v>
      </c>
      <c r="M907" t="s" s="13">
        <v>7204</v>
      </c>
      <c r="N907" s="15">
        <v>76416</v>
      </c>
      <c r="O907" s="17" cm="1">
        <f t="array" ref="O907">(H907-H906)/H906</f>
        <v>0.00919665037921787</v>
      </c>
      <c r="P907" s="8"/>
      <c r="Q907" s="8"/>
    </row>
    <row r="908" ht="13.65" customHeight="1">
      <c r="A908" s="18">
        <v>45581</v>
      </c>
      <c r="B908" t="s" s="13">
        <v>22</v>
      </c>
      <c r="C908" s="14">
        <v>3088</v>
      </c>
      <c r="D908" s="14">
        <v>3103.55</v>
      </c>
      <c r="E908" s="14">
        <v>3066.1</v>
      </c>
      <c r="F908" s="14">
        <v>3067.1</v>
      </c>
      <c r="G908" s="14">
        <v>3078</v>
      </c>
      <c r="H908" s="14">
        <v>3082.1</v>
      </c>
      <c r="I908" s="14">
        <v>3081.19</v>
      </c>
      <c r="J908" s="14">
        <v>3422.95</v>
      </c>
      <c r="K908" s="14">
        <v>2670.1</v>
      </c>
      <c r="L908" s="15">
        <v>764001</v>
      </c>
      <c r="M908" t="s" s="13">
        <v>7205</v>
      </c>
      <c r="N908" s="15">
        <v>51357</v>
      </c>
      <c r="O908" s="17" cm="1">
        <f t="array" ref="O908">(H908-H907)/H907</f>
        <v>0.00489061328290568</v>
      </c>
      <c r="P908" s="8"/>
      <c r="Q908" s="8"/>
    </row>
    <row r="909" ht="13.65" customHeight="1">
      <c r="A909" s="18">
        <v>45582</v>
      </c>
      <c r="B909" t="s" s="13">
        <v>22</v>
      </c>
      <c r="C909" s="14">
        <v>3082.9</v>
      </c>
      <c r="D909" s="14">
        <v>3085</v>
      </c>
      <c r="E909" s="14">
        <v>3037</v>
      </c>
      <c r="F909" s="14">
        <v>3082.1</v>
      </c>
      <c r="G909" s="14">
        <v>3055</v>
      </c>
      <c r="H909" s="14">
        <v>3055.85</v>
      </c>
      <c r="I909" s="14">
        <v>3053.34</v>
      </c>
      <c r="J909" s="14">
        <v>3422.95</v>
      </c>
      <c r="K909" s="14">
        <v>2670.1</v>
      </c>
      <c r="L909" s="15">
        <v>674481</v>
      </c>
      <c r="M909" t="s" s="13">
        <v>7206</v>
      </c>
      <c r="N909" s="15">
        <v>49764</v>
      </c>
      <c r="O909" s="17" cm="1">
        <f t="array" ref="O909">(H909-H908)/H908</f>
        <v>-0.008516920281626161</v>
      </c>
      <c r="P909" s="8"/>
      <c r="Q909" s="8"/>
    </row>
    <row r="910" ht="13.65" customHeight="1">
      <c r="A910" s="18">
        <v>45583</v>
      </c>
      <c r="B910" t="s" s="13">
        <v>22</v>
      </c>
      <c r="C910" s="14">
        <v>3057</v>
      </c>
      <c r="D910" s="14">
        <v>3069</v>
      </c>
      <c r="E910" s="14">
        <v>2980.6</v>
      </c>
      <c r="F910" s="14">
        <v>3055.85</v>
      </c>
      <c r="G910" s="14">
        <v>2998.85</v>
      </c>
      <c r="H910" s="14">
        <v>2992.15</v>
      </c>
      <c r="I910" s="14">
        <v>3018.01</v>
      </c>
      <c r="J910" s="14">
        <v>3422.95</v>
      </c>
      <c r="K910" s="14">
        <v>2670.1</v>
      </c>
      <c r="L910" s="15">
        <v>899318</v>
      </c>
      <c r="M910" t="s" s="13">
        <v>7207</v>
      </c>
      <c r="N910" s="15">
        <v>74852</v>
      </c>
      <c r="O910" s="17" cm="1">
        <f t="array" ref="O910">(H910-H909)/H909</f>
        <v>-0.0208452640018326</v>
      </c>
      <c r="P910" s="8"/>
      <c r="Q910" s="8"/>
    </row>
    <row r="911" ht="13.65" customHeight="1">
      <c r="A911" s="18">
        <v>45586</v>
      </c>
      <c r="B911" t="s" s="13">
        <v>22</v>
      </c>
      <c r="C911" s="14">
        <v>3007.05</v>
      </c>
      <c r="D911" s="14">
        <v>3057</v>
      </c>
      <c r="E911" s="14">
        <v>3000.55</v>
      </c>
      <c r="F911" s="14">
        <v>2992.15</v>
      </c>
      <c r="G911" s="14">
        <v>3043</v>
      </c>
      <c r="H911" s="14">
        <v>3049.2</v>
      </c>
      <c r="I911" s="14">
        <v>3031.23</v>
      </c>
      <c r="J911" s="14">
        <v>3422.95</v>
      </c>
      <c r="K911" s="14">
        <v>2670.1</v>
      </c>
      <c r="L911" s="15">
        <v>806970</v>
      </c>
      <c r="M911" t="s" s="13">
        <v>7208</v>
      </c>
      <c r="N911" s="15">
        <v>64693</v>
      </c>
      <c r="O911" s="17" cm="1">
        <f t="array" ref="O911">(H911-H910)/H910</f>
        <v>0.0190665574921043</v>
      </c>
      <c r="P911" s="8"/>
      <c r="Q911" s="8"/>
    </row>
    <row r="912" ht="13.65" customHeight="1">
      <c r="A912" s="18">
        <v>45587</v>
      </c>
      <c r="B912" t="s" s="13">
        <v>22</v>
      </c>
      <c r="C912" s="14">
        <v>3054</v>
      </c>
      <c r="D912" s="14">
        <v>3057.95</v>
      </c>
      <c r="E912" s="14">
        <v>2995.25</v>
      </c>
      <c r="F912" s="14">
        <v>3049.2</v>
      </c>
      <c r="G912" s="14">
        <v>3010.85</v>
      </c>
      <c r="H912" s="14">
        <v>3006.85</v>
      </c>
      <c r="I912" s="14">
        <v>3017.54</v>
      </c>
      <c r="J912" s="14">
        <v>3422.95</v>
      </c>
      <c r="K912" s="14">
        <v>2670.1</v>
      </c>
      <c r="L912" s="15">
        <v>541838</v>
      </c>
      <c r="M912" t="s" s="13">
        <v>7209</v>
      </c>
      <c r="N912" s="15">
        <v>61303</v>
      </c>
      <c r="O912" s="17" cm="1">
        <f t="array" ref="O912">(H912-H911)/H911</f>
        <v>-0.0138888888888889</v>
      </c>
      <c r="P912" s="8"/>
      <c r="Q912" s="8"/>
    </row>
    <row r="913" ht="13.65" customHeight="1">
      <c r="A913" s="18">
        <v>45588</v>
      </c>
      <c r="B913" t="s" s="13">
        <v>22</v>
      </c>
      <c r="C913" s="14">
        <v>2999.95</v>
      </c>
      <c r="D913" s="14">
        <v>3026.5</v>
      </c>
      <c r="E913" s="14">
        <v>2972.05</v>
      </c>
      <c r="F913" s="14">
        <v>3006.85</v>
      </c>
      <c r="G913" s="14">
        <v>2995</v>
      </c>
      <c r="H913" s="14">
        <v>2989.7</v>
      </c>
      <c r="I913" s="14">
        <v>2999.85</v>
      </c>
      <c r="J913" s="14">
        <v>3422.95</v>
      </c>
      <c r="K913" s="14">
        <v>2670.1</v>
      </c>
      <c r="L913" s="15">
        <v>624689</v>
      </c>
      <c r="M913" t="s" s="13">
        <v>7210</v>
      </c>
      <c r="N913" s="15">
        <v>46783</v>
      </c>
      <c r="O913" s="17" cm="1">
        <f t="array" ref="O913">(H913-H912)/H912</f>
        <v>-0.00570364334768944</v>
      </c>
      <c r="P913" s="8"/>
      <c r="Q913" s="8"/>
    </row>
    <row r="914" ht="13.65" customHeight="1">
      <c r="A914" s="18">
        <v>45589</v>
      </c>
      <c r="B914" t="s" s="13">
        <v>22</v>
      </c>
      <c r="C914" s="14">
        <v>2989.7</v>
      </c>
      <c r="D914" s="14">
        <v>3002.3</v>
      </c>
      <c r="E914" s="14">
        <v>2951</v>
      </c>
      <c r="F914" s="14">
        <v>2989.7</v>
      </c>
      <c r="G914" s="14">
        <v>2975</v>
      </c>
      <c r="H914" s="14">
        <v>2972</v>
      </c>
      <c r="I914" s="14">
        <v>2973.64</v>
      </c>
      <c r="J914" s="14">
        <v>3422.95</v>
      </c>
      <c r="K914" s="14">
        <v>2670.1</v>
      </c>
      <c r="L914" s="15">
        <v>571259</v>
      </c>
      <c r="M914" t="s" s="13">
        <v>7211</v>
      </c>
      <c r="N914" s="15">
        <v>88357</v>
      </c>
      <c r="O914" s="17" cm="1">
        <f t="array" ref="O914">(H914-H913)/H913</f>
        <v>-0.00592032645415928</v>
      </c>
      <c r="P914" s="8"/>
      <c r="Q914" s="8"/>
    </row>
    <row r="915" ht="13.65" customHeight="1">
      <c r="A915" s="18">
        <v>45590</v>
      </c>
      <c r="B915" t="s" s="13">
        <v>22</v>
      </c>
      <c r="C915" s="14">
        <v>2975.5</v>
      </c>
      <c r="D915" s="14">
        <v>3015.55</v>
      </c>
      <c r="E915" s="14">
        <v>2952</v>
      </c>
      <c r="F915" s="14">
        <v>2972</v>
      </c>
      <c r="G915" s="14">
        <v>2960</v>
      </c>
      <c r="H915" s="14">
        <v>2958</v>
      </c>
      <c r="I915" s="14">
        <v>2980.56</v>
      </c>
      <c r="J915" s="14">
        <v>3422.95</v>
      </c>
      <c r="K915" s="14">
        <v>2670.1</v>
      </c>
      <c r="L915" s="15">
        <v>1047769</v>
      </c>
      <c r="M915" t="s" s="13">
        <v>7212</v>
      </c>
      <c r="N915" s="15">
        <v>83131</v>
      </c>
      <c r="O915" s="17" cm="1">
        <f t="array" ref="O915">(H915-H914)/H914</f>
        <v>-0.00471063257065949</v>
      </c>
      <c r="P915" s="8"/>
      <c r="Q915" s="8"/>
    </row>
    <row r="916" ht="13.65" customHeight="1">
      <c r="A916" s="18">
        <v>45593</v>
      </c>
      <c r="B916" t="s" s="13">
        <v>22</v>
      </c>
      <c r="C916" s="14">
        <v>2987.9</v>
      </c>
      <c r="D916" s="14">
        <v>3021.7</v>
      </c>
      <c r="E916" s="14">
        <v>2963.05</v>
      </c>
      <c r="F916" s="14">
        <v>2958</v>
      </c>
      <c r="G916" s="14">
        <v>3004</v>
      </c>
      <c r="H916" s="14">
        <v>3001.85</v>
      </c>
      <c r="I916" s="14">
        <v>3002.66</v>
      </c>
      <c r="J916" s="14">
        <v>3422.95</v>
      </c>
      <c r="K916" s="14">
        <v>2670.1</v>
      </c>
      <c r="L916" s="15">
        <v>504961</v>
      </c>
      <c r="M916" t="s" s="13">
        <v>7213</v>
      </c>
      <c r="N916" s="15">
        <v>42844</v>
      </c>
      <c r="O916" s="17" cm="1">
        <f t="array" ref="O916">(H916-H915)/H915</f>
        <v>0.0148242055442867</v>
      </c>
      <c r="P916" s="8"/>
      <c r="Q916" s="8"/>
    </row>
    <row r="917" ht="13.65" customHeight="1">
      <c r="A917" s="18">
        <v>45594</v>
      </c>
      <c r="B917" t="s" s="13">
        <v>22</v>
      </c>
      <c r="C917" s="14">
        <v>3020</v>
      </c>
      <c r="D917" s="14">
        <v>3028</v>
      </c>
      <c r="E917" s="14">
        <v>2941.1</v>
      </c>
      <c r="F917" s="14">
        <v>3001.85</v>
      </c>
      <c r="G917" s="14">
        <v>2992</v>
      </c>
      <c r="H917" s="14">
        <v>2992.85</v>
      </c>
      <c r="I917" s="14">
        <v>2979.4</v>
      </c>
      <c r="J917" s="14">
        <v>3422.95</v>
      </c>
      <c r="K917" s="14">
        <v>2670.1</v>
      </c>
      <c r="L917" s="15">
        <v>613459</v>
      </c>
      <c r="M917" t="s" s="13">
        <v>7214</v>
      </c>
      <c r="N917" s="15">
        <v>54559</v>
      </c>
      <c r="O917" s="17" cm="1">
        <f t="array" ref="O917">(H917-H916)/H916</f>
        <v>-0.00299815114013025</v>
      </c>
      <c r="P917" s="8"/>
      <c r="Q917" s="8"/>
    </row>
    <row r="918" ht="13.65" customHeight="1">
      <c r="A918" s="18">
        <v>45595</v>
      </c>
      <c r="B918" t="s" s="13">
        <v>22</v>
      </c>
      <c r="C918" s="14">
        <v>3006</v>
      </c>
      <c r="D918" s="14">
        <v>3006</v>
      </c>
      <c r="E918" s="14">
        <v>2963.55</v>
      </c>
      <c r="F918" s="14">
        <v>2992.85</v>
      </c>
      <c r="G918" s="14">
        <v>2996.3</v>
      </c>
      <c r="H918" s="14">
        <v>2996.65</v>
      </c>
      <c r="I918" s="14">
        <v>2989.42</v>
      </c>
      <c r="J918" s="14">
        <v>3422.95</v>
      </c>
      <c r="K918" s="14">
        <v>2670.1</v>
      </c>
      <c r="L918" s="15">
        <v>812725</v>
      </c>
      <c r="M918" t="s" s="13">
        <v>7215</v>
      </c>
      <c r="N918" s="15">
        <v>59712</v>
      </c>
      <c r="O918" s="17" cm="1">
        <f t="array" ref="O918">(H918-H917)/H917</f>
        <v>0.00126969276776317</v>
      </c>
      <c r="P918" s="8"/>
      <c r="Q918" s="8"/>
    </row>
    <row r="919" ht="13.65" customHeight="1">
      <c r="A919" s="18">
        <v>45596</v>
      </c>
      <c r="B919" t="s" s="13">
        <v>22</v>
      </c>
      <c r="C919" s="14">
        <v>2994.2</v>
      </c>
      <c r="D919" s="14">
        <v>2996.5</v>
      </c>
      <c r="E919" s="14">
        <v>2919</v>
      </c>
      <c r="F919" s="14">
        <v>2996.65</v>
      </c>
      <c r="G919" s="14">
        <v>2926.35</v>
      </c>
      <c r="H919" s="14">
        <v>2935.65</v>
      </c>
      <c r="I919" s="14">
        <v>2946.39</v>
      </c>
      <c r="J919" s="14">
        <v>3422.95</v>
      </c>
      <c r="K919" s="14">
        <v>2670.1</v>
      </c>
      <c r="L919" s="15">
        <v>1031171</v>
      </c>
      <c r="M919" t="s" s="13">
        <v>7216</v>
      </c>
      <c r="N919" s="15">
        <v>86563</v>
      </c>
      <c r="O919" s="17" cm="1">
        <f t="array" ref="O919">(H919-H918)/H918</f>
        <v>-0.0203560642717701</v>
      </c>
      <c r="P919" s="8"/>
      <c r="Q919" s="8"/>
    </row>
    <row r="920" ht="13.65" customHeight="1">
      <c r="A920" s="12">
        <v>45597</v>
      </c>
      <c r="B920" t="s" s="13">
        <v>22</v>
      </c>
      <c r="C920" s="14">
        <v>2958</v>
      </c>
      <c r="D920" s="14">
        <v>2965.75</v>
      </c>
      <c r="E920" s="14">
        <v>2930</v>
      </c>
      <c r="F920" s="14">
        <v>2935.65</v>
      </c>
      <c r="G920" s="14">
        <v>2936</v>
      </c>
      <c r="H920" s="14">
        <v>2939.85</v>
      </c>
      <c r="I920" s="14">
        <v>2945.16</v>
      </c>
      <c r="J920" s="14">
        <v>3422.95</v>
      </c>
      <c r="K920" s="14">
        <v>2670.1</v>
      </c>
      <c r="L920" s="15">
        <v>112249</v>
      </c>
      <c r="M920" t="s" s="13">
        <v>7217</v>
      </c>
      <c r="N920" s="15">
        <v>14114</v>
      </c>
      <c r="O920" s="17" cm="1">
        <f t="array" ref="O920">(H920-H919)/H919</f>
        <v>0.00143068826324664</v>
      </c>
      <c r="P920" s="8"/>
      <c r="Q920" s="8"/>
    </row>
    <row r="921" ht="13.65" customHeight="1">
      <c r="A921" s="12">
        <v>45600</v>
      </c>
      <c r="B921" t="s" s="13">
        <v>22</v>
      </c>
      <c r="C921" s="14">
        <v>2962.15</v>
      </c>
      <c r="D921" s="14">
        <v>2962.15</v>
      </c>
      <c r="E921" s="14">
        <v>2885.5</v>
      </c>
      <c r="F921" s="14">
        <v>2939.85</v>
      </c>
      <c r="G921" s="14">
        <v>2911.45</v>
      </c>
      <c r="H921" s="14">
        <v>2915.3</v>
      </c>
      <c r="I921" s="14">
        <v>2910.23</v>
      </c>
      <c r="J921" s="14">
        <v>3422.95</v>
      </c>
      <c r="K921" s="14">
        <v>2670.1</v>
      </c>
      <c r="L921" s="15">
        <v>1146008</v>
      </c>
      <c r="M921" t="s" s="13">
        <v>7218</v>
      </c>
      <c r="N921" s="15">
        <v>80106</v>
      </c>
      <c r="O921" s="17" cm="1">
        <f t="array" ref="O921">(H921-H920)/H920</f>
        <v>-0.00835076619555419</v>
      </c>
      <c r="P921" s="8"/>
      <c r="Q921" s="8"/>
    </row>
    <row r="922" ht="13.65" customHeight="1">
      <c r="A922" s="12">
        <v>45601</v>
      </c>
      <c r="B922" t="s" s="13">
        <v>22</v>
      </c>
      <c r="C922" s="14">
        <v>2895</v>
      </c>
      <c r="D922" s="14">
        <v>2918.8</v>
      </c>
      <c r="E922" s="14">
        <v>2872.7</v>
      </c>
      <c r="F922" s="14">
        <v>2915.3</v>
      </c>
      <c r="G922" s="14">
        <v>2890</v>
      </c>
      <c r="H922" s="14">
        <v>2887.3</v>
      </c>
      <c r="I922" s="14">
        <v>2895.09</v>
      </c>
      <c r="J922" s="14">
        <v>3422.95</v>
      </c>
      <c r="K922" s="14">
        <v>2670.1</v>
      </c>
      <c r="L922" s="15">
        <v>935516</v>
      </c>
      <c r="M922" t="s" s="13">
        <v>7219</v>
      </c>
      <c r="N922" s="15">
        <v>88027</v>
      </c>
      <c r="O922" s="17" cm="1">
        <f t="array" ref="O922">(H922-H921)/H921</f>
        <v>-0.00960450039447055</v>
      </c>
      <c r="P922" s="8"/>
      <c r="Q922" s="8"/>
    </row>
    <row r="923" ht="13.65" customHeight="1">
      <c r="A923" s="12">
        <v>45602</v>
      </c>
      <c r="B923" t="s" s="13">
        <v>22</v>
      </c>
      <c r="C923" s="14">
        <v>2890.5</v>
      </c>
      <c r="D923" s="14">
        <v>2907.85</v>
      </c>
      <c r="E923" s="14">
        <v>2860</v>
      </c>
      <c r="F923" s="14">
        <v>2887.3</v>
      </c>
      <c r="G923" s="14">
        <v>2903</v>
      </c>
      <c r="H923" s="14">
        <v>2897.3</v>
      </c>
      <c r="I923" s="14">
        <v>2884.91</v>
      </c>
      <c r="J923" s="14">
        <v>3422.95</v>
      </c>
      <c r="K923" s="14">
        <v>2670.1</v>
      </c>
      <c r="L923" s="15">
        <v>1817087</v>
      </c>
      <c r="M923" t="s" s="13">
        <v>7220</v>
      </c>
      <c r="N923" s="15">
        <v>192927</v>
      </c>
      <c r="O923" s="17" cm="1">
        <f t="array" ref="O923">(H923-H922)/H922</f>
        <v>0.00346344335538392</v>
      </c>
      <c r="P923" s="8"/>
      <c r="Q923" s="8"/>
    </row>
    <row r="924" ht="13.65" customHeight="1">
      <c r="A924" s="12">
        <v>45603</v>
      </c>
      <c r="B924" t="s" s="13">
        <v>22</v>
      </c>
      <c r="C924" s="14">
        <v>2900</v>
      </c>
      <c r="D924" s="14">
        <v>2904.95</v>
      </c>
      <c r="E924" s="14">
        <v>2825</v>
      </c>
      <c r="F924" s="14">
        <v>2897.3</v>
      </c>
      <c r="G924" s="14">
        <v>2846</v>
      </c>
      <c r="H924" s="14">
        <v>2842.85</v>
      </c>
      <c r="I924" s="14">
        <v>2854.92</v>
      </c>
      <c r="J924" s="14">
        <v>3422.95</v>
      </c>
      <c r="K924" s="14">
        <v>2670.1</v>
      </c>
      <c r="L924" s="15">
        <v>1112515</v>
      </c>
      <c r="M924" t="s" s="13">
        <v>7221</v>
      </c>
      <c r="N924" s="15">
        <v>132834</v>
      </c>
      <c r="O924" s="17" cm="1">
        <f t="array" ref="O924">(H924-H923)/H923</f>
        <v>-0.0187933593345529</v>
      </c>
      <c r="P924" s="8"/>
      <c r="Q924" s="8"/>
    </row>
    <row r="925" ht="13.65" customHeight="1">
      <c r="A925" s="12">
        <v>45604</v>
      </c>
      <c r="B925" t="s" s="13">
        <v>22</v>
      </c>
      <c r="C925" s="14">
        <v>2842.85</v>
      </c>
      <c r="D925" s="14">
        <v>2847</v>
      </c>
      <c r="E925" s="14">
        <v>2762.4</v>
      </c>
      <c r="F925" s="14">
        <v>2842.85</v>
      </c>
      <c r="G925" s="14">
        <v>2767</v>
      </c>
      <c r="H925" s="14">
        <v>2769.45</v>
      </c>
      <c r="I925" s="14">
        <v>2788.33</v>
      </c>
      <c r="J925" s="14">
        <v>3422.95</v>
      </c>
      <c r="K925" s="14">
        <v>2670.1</v>
      </c>
      <c r="L925" s="15">
        <v>2060486</v>
      </c>
      <c r="M925" t="s" s="13">
        <v>7222</v>
      </c>
      <c r="N925" s="15">
        <v>170154</v>
      </c>
      <c r="O925" s="17" cm="1">
        <f t="array" ref="O925">(H925-H924)/H924</f>
        <v>-0.0258191603496491</v>
      </c>
      <c r="P925" s="8"/>
      <c r="Q925" s="8"/>
    </row>
    <row r="926" ht="13.65" customHeight="1">
      <c r="A926" s="18">
        <v>45607</v>
      </c>
      <c r="B926" t="s" s="13">
        <v>22</v>
      </c>
      <c r="C926" s="14">
        <v>2565.05</v>
      </c>
      <c r="D926" s="14">
        <v>2598.75</v>
      </c>
      <c r="E926" s="14">
        <v>2506</v>
      </c>
      <c r="F926" s="14">
        <v>2769.45</v>
      </c>
      <c r="G926" s="14">
        <v>2547.8</v>
      </c>
      <c r="H926" s="14">
        <v>2543.1</v>
      </c>
      <c r="I926" s="14">
        <v>2541.71</v>
      </c>
      <c r="J926" s="14">
        <v>3422.95</v>
      </c>
      <c r="K926" s="14">
        <v>2506</v>
      </c>
      <c r="L926" s="15">
        <v>8855022</v>
      </c>
      <c r="M926" t="s" s="13">
        <v>7223</v>
      </c>
      <c r="N926" s="15">
        <v>531328</v>
      </c>
      <c r="O926" s="17" cm="1">
        <f t="array" ref="O926">(H926-H925)/H925</f>
        <v>-0.0817310296268212</v>
      </c>
      <c r="P926" s="8"/>
      <c r="Q926" s="8"/>
    </row>
    <row r="927" ht="13.65" customHeight="1">
      <c r="A927" s="18">
        <v>45608</v>
      </c>
      <c r="B927" t="s" s="13">
        <v>22</v>
      </c>
      <c r="C927" s="14">
        <v>2535</v>
      </c>
      <c r="D927" s="14">
        <v>2535</v>
      </c>
      <c r="E927" s="14">
        <v>2470</v>
      </c>
      <c r="F927" s="14">
        <v>2543.1</v>
      </c>
      <c r="G927" s="14">
        <v>2470.3</v>
      </c>
      <c r="H927" s="14">
        <v>2474.85</v>
      </c>
      <c r="I927" s="14">
        <v>2497.31</v>
      </c>
      <c r="J927" s="14">
        <v>3422.95</v>
      </c>
      <c r="K927" s="14">
        <v>2470</v>
      </c>
      <c r="L927" s="15">
        <v>3445983</v>
      </c>
      <c r="M927" t="s" s="13">
        <v>7224</v>
      </c>
      <c r="N927" s="15">
        <v>315876</v>
      </c>
      <c r="O927" s="17" cm="1">
        <f t="array" ref="O927">(H927-H926)/H926</f>
        <v>-0.0268373245251858</v>
      </c>
      <c r="P927" s="8"/>
      <c r="Q927" s="8"/>
    </row>
    <row r="928" ht="13.65" customHeight="1">
      <c r="A928" s="18">
        <v>45609</v>
      </c>
      <c r="B928" t="s" s="13">
        <v>22</v>
      </c>
      <c r="C928" s="14">
        <v>2470</v>
      </c>
      <c r="D928" s="14">
        <v>2498</v>
      </c>
      <c r="E928" s="14">
        <v>2451.1</v>
      </c>
      <c r="F928" s="14">
        <v>2474.85</v>
      </c>
      <c r="G928" s="14">
        <v>2478</v>
      </c>
      <c r="H928" s="14">
        <v>2470.5</v>
      </c>
      <c r="I928" s="14">
        <v>2471.03</v>
      </c>
      <c r="J928" s="14">
        <v>3422.95</v>
      </c>
      <c r="K928" s="14">
        <v>2451.1</v>
      </c>
      <c r="L928" s="15">
        <v>1803849</v>
      </c>
      <c r="M928" t="s" s="13">
        <v>7225</v>
      </c>
      <c r="N928" s="15">
        <v>155496</v>
      </c>
      <c r="O928" s="17" cm="1">
        <f t="array" ref="O928">(H928-H927)/H927</f>
        <v>-0.00175768228377477</v>
      </c>
      <c r="P928" s="8"/>
      <c r="Q928" s="8"/>
    </row>
    <row r="929" ht="13.65" customHeight="1">
      <c r="A929" s="18">
        <v>45610</v>
      </c>
      <c r="B929" t="s" s="13">
        <v>22</v>
      </c>
      <c r="C929" s="14">
        <v>2482.8</v>
      </c>
      <c r="D929" s="14">
        <v>2501.75</v>
      </c>
      <c r="E929" s="14">
        <v>2466.2</v>
      </c>
      <c r="F929" s="14">
        <v>2470.5</v>
      </c>
      <c r="G929" s="14">
        <v>2487.9</v>
      </c>
      <c r="H929" s="14">
        <v>2483.15</v>
      </c>
      <c r="I929" s="14">
        <v>2480.94</v>
      </c>
      <c r="J929" s="14">
        <v>3422.95</v>
      </c>
      <c r="K929" s="14">
        <v>2451.1</v>
      </c>
      <c r="L929" s="15">
        <v>1206975</v>
      </c>
      <c r="M929" t="s" s="13">
        <v>7226</v>
      </c>
      <c r="N929" s="15">
        <v>120096</v>
      </c>
      <c r="O929" s="17" cm="1">
        <f t="array" ref="O929">(H929-H928)/H928</f>
        <v>0.0051204209674155</v>
      </c>
      <c r="P929" s="8"/>
      <c r="Q929" s="8"/>
    </row>
    <row r="930" ht="13.65" customHeight="1">
      <c r="A930" s="18">
        <v>45614</v>
      </c>
      <c r="B930" t="s" s="13">
        <v>22</v>
      </c>
      <c r="C930" s="14">
        <v>2520</v>
      </c>
      <c r="D930" s="14">
        <v>2520</v>
      </c>
      <c r="E930" s="14">
        <v>2470.8</v>
      </c>
      <c r="F930" s="14">
        <v>2483.15</v>
      </c>
      <c r="G930" s="14">
        <v>2482</v>
      </c>
      <c r="H930" s="14">
        <v>2483.7</v>
      </c>
      <c r="I930" s="14">
        <v>2493.38</v>
      </c>
      <c r="J930" s="14">
        <v>3422.95</v>
      </c>
      <c r="K930" s="14">
        <v>2451.1</v>
      </c>
      <c r="L930" s="15">
        <v>945477</v>
      </c>
      <c r="M930" t="s" s="13">
        <v>7227</v>
      </c>
      <c r="N930" s="15">
        <v>143861</v>
      </c>
      <c r="O930" s="17" cm="1">
        <f t="array" ref="O930">(H930-H929)/H929</f>
        <v>0.000221492861889133</v>
      </c>
      <c r="P930" s="8"/>
      <c r="Q930" s="8"/>
    </row>
    <row r="931" ht="13.65" customHeight="1">
      <c r="A931" s="18">
        <v>45615</v>
      </c>
      <c r="B931" t="s" s="13">
        <v>22</v>
      </c>
      <c r="C931" s="14">
        <v>2488</v>
      </c>
      <c r="D931" s="14">
        <v>2503.2</v>
      </c>
      <c r="E931" s="14">
        <v>2472.35</v>
      </c>
      <c r="F931" s="14">
        <v>2483.7</v>
      </c>
      <c r="G931" s="14">
        <v>2483.55</v>
      </c>
      <c r="H931" s="14">
        <v>2483.7</v>
      </c>
      <c r="I931" s="14">
        <v>2488.85</v>
      </c>
      <c r="J931" s="14">
        <v>3422.95</v>
      </c>
      <c r="K931" s="14">
        <v>2451.1</v>
      </c>
      <c r="L931" s="15">
        <v>941558</v>
      </c>
      <c r="M931" t="s" s="13">
        <v>7228</v>
      </c>
      <c r="N931" s="15">
        <v>109986</v>
      </c>
      <c r="O931" s="17" cm="1">
        <f t="array" ref="O931">(H931-H930)/H930</f>
        <v>0</v>
      </c>
      <c r="P931" s="8"/>
      <c r="Q931" s="8"/>
    </row>
    <row r="932" ht="13.65" customHeight="1">
      <c r="A932" s="18">
        <v>45617</v>
      </c>
      <c r="B932" t="s" s="13">
        <v>22</v>
      </c>
      <c r="C932" s="14">
        <v>2454.7</v>
      </c>
      <c r="D932" s="14">
        <v>2465.95</v>
      </c>
      <c r="E932" s="14">
        <v>2425</v>
      </c>
      <c r="F932" s="14">
        <v>2483.7</v>
      </c>
      <c r="G932" s="14">
        <v>2427</v>
      </c>
      <c r="H932" s="14">
        <v>2428.15</v>
      </c>
      <c r="I932" s="14">
        <v>2438.48</v>
      </c>
      <c r="J932" s="14">
        <v>3422.95</v>
      </c>
      <c r="K932" s="14">
        <v>2425</v>
      </c>
      <c r="L932" s="15">
        <v>1377624</v>
      </c>
      <c r="M932" t="s" s="13">
        <v>7229</v>
      </c>
      <c r="N932" s="15">
        <v>151130</v>
      </c>
      <c r="O932" s="17" cm="1">
        <f t="array" ref="O932">(H932-H931)/H931</f>
        <v>-0.0223658251801747</v>
      </c>
      <c r="P932" s="8"/>
      <c r="Q932" s="8"/>
    </row>
    <row r="933" ht="13.65" customHeight="1">
      <c r="A933" s="18">
        <v>45618</v>
      </c>
      <c r="B933" t="s" s="13">
        <v>22</v>
      </c>
      <c r="C933" s="14">
        <v>2430</v>
      </c>
      <c r="D933" s="14">
        <v>2493.95</v>
      </c>
      <c r="E933" s="14">
        <v>2422.95</v>
      </c>
      <c r="F933" s="14">
        <v>2428.15</v>
      </c>
      <c r="G933" s="14">
        <v>2469.75</v>
      </c>
      <c r="H933" s="14">
        <v>2472.2</v>
      </c>
      <c r="I933" s="14">
        <v>2463.06</v>
      </c>
      <c r="J933" s="14">
        <v>3422.95</v>
      </c>
      <c r="K933" s="14">
        <v>2422.95</v>
      </c>
      <c r="L933" s="15">
        <v>3805854</v>
      </c>
      <c r="M933" t="s" s="13">
        <v>7230</v>
      </c>
      <c r="N933" s="15">
        <v>127561</v>
      </c>
      <c r="O933" s="17" cm="1">
        <f t="array" ref="O933">(H933-H932)/H932</f>
        <v>0.0181413833577003</v>
      </c>
      <c r="P933" s="8"/>
      <c r="Q933" s="8"/>
    </row>
    <row r="934" ht="13.65" customHeight="1">
      <c r="A934" s="18">
        <v>45621</v>
      </c>
      <c r="B934" t="s" s="13">
        <v>22</v>
      </c>
      <c r="C934" s="14">
        <v>2505</v>
      </c>
      <c r="D934" s="14">
        <v>2507.95</v>
      </c>
      <c r="E934" s="14">
        <v>2450.05</v>
      </c>
      <c r="F934" s="14">
        <v>2472.2</v>
      </c>
      <c r="G934" s="14">
        <v>2470.7</v>
      </c>
      <c r="H934" s="14">
        <v>2459.7</v>
      </c>
      <c r="I934" s="14">
        <v>2467.19</v>
      </c>
      <c r="J934" s="14">
        <v>3422.95</v>
      </c>
      <c r="K934" s="14">
        <v>2422.95</v>
      </c>
      <c r="L934" s="15">
        <v>1857124</v>
      </c>
      <c r="M934" t="s" s="13">
        <v>7231</v>
      </c>
      <c r="N934" s="15">
        <v>84364</v>
      </c>
      <c r="O934" s="17" cm="1">
        <f t="array" ref="O934">(H934-H933)/H933</f>
        <v>-0.0050562252244964</v>
      </c>
      <c r="P934" s="8"/>
      <c r="Q934" s="8"/>
    </row>
    <row r="935" ht="13.65" customHeight="1">
      <c r="A935" s="18">
        <v>45622</v>
      </c>
      <c r="B935" t="s" s="13">
        <v>22</v>
      </c>
      <c r="C935" s="14">
        <v>2459.9</v>
      </c>
      <c r="D935" s="14">
        <v>2518</v>
      </c>
      <c r="E935" s="14">
        <v>2457.6</v>
      </c>
      <c r="F935" s="14">
        <v>2459.7</v>
      </c>
      <c r="G935" s="14">
        <v>2505.7</v>
      </c>
      <c r="H935" s="14">
        <v>2505</v>
      </c>
      <c r="I935" s="14">
        <v>2501.95</v>
      </c>
      <c r="J935" s="14">
        <v>3422.95</v>
      </c>
      <c r="K935" s="14">
        <v>2422.95</v>
      </c>
      <c r="L935" s="15">
        <v>1152258</v>
      </c>
      <c r="M935" t="s" s="13">
        <v>7232</v>
      </c>
      <c r="N935" s="15">
        <v>63301</v>
      </c>
      <c r="O935" s="17" cm="1">
        <f t="array" ref="O935">(H935-H934)/H934</f>
        <v>0.0184168801073302</v>
      </c>
      <c r="P935" s="8"/>
      <c r="Q935" s="8"/>
    </row>
    <row r="936" ht="13.65" customHeight="1">
      <c r="A936" s="18">
        <v>45623</v>
      </c>
      <c r="B936" t="s" s="13">
        <v>22</v>
      </c>
      <c r="C936" s="14">
        <v>2517.5</v>
      </c>
      <c r="D936" s="14">
        <v>2517.65</v>
      </c>
      <c r="E936" s="14">
        <v>2480</v>
      </c>
      <c r="F936" s="14">
        <v>2505</v>
      </c>
      <c r="G936" s="14">
        <v>2490</v>
      </c>
      <c r="H936" s="14">
        <v>2491.9</v>
      </c>
      <c r="I936" s="14">
        <v>2491.92</v>
      </c>
      <c r="J936" s="14">
        <v>3422.95</v>
      </c>
      <c r="K936" s="14">
        <v>2422.95</v>
      </c>
      <c r="L936" s="15">
        <v>864733</v>
      </c>
      <c r="M936" t="s" s="13">
        <v>7233</v>
      </c>
      <c r="N936" s="15">
        <v>65183</v>
      </c>
      <c r="O936" s="17" cm="1">
        <f t="array" ref="O936">(H936-H935)/H935</f>
        <v>-0.00522954091816367</v>
      </c>
      <c r="P936" s="8"/>
      <c r="Q936" s="8"/>
    </row>
    <row r="937" ht="13.65" customHeight="1">
      <c r="A937" s="18">
        <v>45624</v>
      </c>
      <c r="B937" t="s" s="13">
        <v>22</v>
      </c>
      <c r="C937" s="14">
        <v>2500</v>
      </c>
      <c r="D937" s="14">
        <v>2506</v>
      </c>
      <c r="E937" s="14">
        <v>2453.3</v>
      </c>
      <c r="F937" s="14">
        <v>2491.9</v>
      </c>
      <c r="G937" s="14">
        <v>2460.9</v>
      </c>
      <c r="H937" s="14">
        <v>2458.05</v>
      </c>
      <c r="I937" s="14">
        <v>2468.3</v>
      </c>
      <c r="J937" s="14">
        <v>3422.95</v>
      </c>
      <c r="K937" s="14">
        <v>2422.95</v>
      </c>
      <c r="L937" s="15">
        <v>1506233</v>
      </c>
      <c r="M937" t="s" s="13">
        <v>7234</v>
      </c>
      <c r="N937" s="15">
        <v>127061</v>
      </c>
      <c r="O937" s="17" cm="1">
        <f t="array" ref="O937">(H937-H936)/H936</f>
        <v>-0.0135840121995265</v>
      </c>
      <c r="P937" s="8"/>
      <c r="Q937" s="8"/>
    </row>
    <row r="938" ht="13.65" customHeight="1">
      <c r="A938" s="18">
        <v>45625</v>
      </c>
      <c r="B938" t="s" s="13">
        <v>22</v>
      </c>
      <c r="C938" s="14">
        <v>2458.05</v>
      </c>
      <c r="D938" s="14">
        <v>2491.5</v>
      </c>
      <c r="E938" s="14">
        <v>2455.05</v>
      </c>
      <c r="F938" s="14">
        <v>2458.05</v>
      </c>
      <c r="G938" s="14">
        <v>2478</v>
      </c>
      <c r="H938" s="14">
        <v>2479.6</v>
      </c>
      <c r="I938" s="14">
        <v>2479.66</v>
      </c>
      <c r="J938" s="14">
        <v>3422.95</v>
      </c>
      <c r="K938" s="14">
        <v>2422.95</v>
      </c>
      <c r="L938" s="15">
        <v>1030935</v>
      </c>
      <c r="M938" t="s" s="13">
        <v>7235</v>
      </c>
      <c r="N938" s="15">
        <v>75877</v>
      </c>
      <c r="O938" s="17" cm="1">
        <f t="array" ref="O938">(H938-H937)/H937</f>
        <v>0.00876711214173837</v>
      </c>
      <c r="P938" s="8"/>
      <c r="Q938" s="8"/>
    </row>
    <row r="939" ht="13.65" customHeight="1">
      <c r="A939" s="12">
        <v>45628</v>
      </c>
      <c r="B939" t="s" s="13">
        <v>22</v>
      </c>
      <c r="C939" s="14">
        <v>2479.6</v>
      </c>
      <c r="D939" s="14">
        <v>2486</v>
      </c>
      <c r="E939" s="14">
        <v>2461.35</v>
      </c>
      <c r="F939" s="14">
        <v>2479.6</v>
      </c>
      <c r="G939" s="14">
        <v>2478</v>
      </c>
      <c r="H939" s="14">
        <v>2479.05</v>
      </c>
      <c r="I939" s="14">
        <v>2475.27</v>
      </c>
      <c r="J939" s="14">
        <v>3422.95</v>
      </c>
      <c r="K939" s="14">
        <v>2422.95</v>
      </c>
      <c r="L939" s="15">
        <v>914674</v>
      </c>
      <c r="M939" t="s" s="13">
        <v>7236</v>
      </c>
      <c r="N939" s="15">
        <v>59229</v>
      </c>
      <c r="O939" s="17" cm="1">
        <f t="array" ref="O939">(H939-H938)/H938</f>
        <v>-0.000221809969349895</v>
      </c>
      <c r="P939" s="8"/>
      <c r="Q939" s="8"/>
    </row>
    <row r="940" ht="13.65" customHeight="1">
      <c r="A940" s="12">
        <v>45629</v>
      </c>
      <c r="B940" t="s" s="13">
        <v>22</v>
      </c>
      <c r="C940" s="14">
        <v>2494</v>
      </c>
      <c r="D940" s="14">
        <v>2494</v>
      </c>
      <c r="E940" s="14">
        <v>2463.5</v>
      </c>
      <c r="F940" s="14">
        <v>2479.05</v>
      </c>
      <c r="G940" s="14">
        <v>2470.3</v>
      </c>
      <c r="H940" s="14">
        <v>2469.4</v>
      </c>
      <c r="I940" s="14">
        <v>2470.47</v>
      </c>
      <c r="J940" s="14">
        <v>3422.95</v>
      </c>
      <c r="K940" s="14">
        <v>2422.95</v>
      </c>
      <c r="L940" s="15">
        <v>1344774</v>
      </c>
      <c r="M940" t="s" s="13">
        <v>7237</v>
      </c>
      <c r="N940" s="15">
        <v>70847</v>
      </c>
      <c r="O940" s="17" cm="1">
        <f t="array" ref="O940">(H940-H939)/H939</f>
        <v>-0.00389262015691495</v>
      </c>
      <c r="P940" s="8"/>
      <c r="Q940" s="8"/>
    </row>
    <row r="941" ht="13.65" customHeight="1">
      <c r="A941" s="12">
        <v>45630</v>
      </c>
      <c r="B941" t="s" s="13">
        <v>22</v>
      </c>
      <c r="C941" s="14">
        <v>2478.9</v>
      </c>
      <c r="D941" s="14">
        <v>2479.1</v>
      </c>
      <c r="E941" s="14">
        <v>2453.2</v>
      </c>
      <c r="F941" s="14">
        <v>2469.4</v>
      </c>
      <c r="G941" s="14">
        <v>2459</v>
      </c>
      <c r="H941" s="14">
        <v>2459.45</v>
      </c>
      <c r="I941" s="14">
        <v>2465.8</v>
      </c>
      <c r="J941" s="14">
        <v>3422.95</v>
      </c>
      <c r="K941" s="14">
        <v>2422.95</v>
      </c>
      <c r="L941" s="15">
        <v>1005016</v>
      </c>
      <c r="M941" t="s" s="13">
        <v>7238</v>
      </c>
      <c r="N941" s="15">
        <v>79840</v>
      </c>
      <c r="O941" s="17" cm="1">
        <f t="array" ref="O941">(H941-H940)/H940</f>
        <v>-0.00402931886288167</v>
      </c>
      <c r="P941" s="8"/>
      <c r="Q941" s="8"/>
    </row>
    <row r="942" ht="13.65" customHeight="1">
      <c r="A942" s="12">
        <v>45631</v>
      </c>
      <c r="B942" t="s" s="13">
        <v>22</v>
      </c>
      <c r="C942" s="14">
        <v>2465</v>
      </c>
      <c r="D942" s="14">
        <v>2466.9</v>
      </c>
      <c r="E942" s="14">
        <v>2423.9</v>
      </c>
      <c r="F942" s="14">
        <v>2459.45</v>
      </c>
      <c r="G942" s="14">
        <v>2457</v>
      </c>
      <c r="H942" s="14">
        <v>2452.2</v>
      </c>
      <c r="I942" s="14">
        <v>2443.84</v>
      </c>
      <c r="J942" s="14">
        <v>3422.95</v>
      </c>
      <c r="K942" s="14">
        <v>2422.95</v>
      </c>
      <c r="L942" s="15">
        <v>3190866</v>
      </c>
      <c r="M942" t="s" s="13">
        <v>7239</v>
      </c>
      <c r="N942" s="15">
        <v>170647</v>
      </c>
      <c r="O942" s="17" cm="1">
        <f t="array" ref="O942">(H942-H941)/H941</f>
        <v>-0.00294781353554657</v>
      </c>
      <c r="P942" s="8"/>
      <c r="Q942" s="8"/>
    </row>
    <row r="943" ht="13.65" customHeight="1">
      <c r="A943" s="12">
        <v>45632</v>
      </c>
      <c r="B943" t="s" s="13">
        <v>22</v>
      </c>
      <c r="C943" s="14">
        <v>2468</v>
      </c>
      <c r="D943" s="14">
        <v>2468</v>
      </c>
      <c r="E943" s="14">
        <v>2427</v>
      </c>
      <c r="F943" s="14">
        <v>2452.2</v>
      </c>
      <c r="G943" s="14">
        <v>2428.8</v>
      </c>
      <c r="H943" s="14">
        <v>2429.7</v>
      </c>
      <c r="I943" s="14">
        <v>2436.2</v>
      </c>
      <c r="J943" s="14">
        <v>3422.95</v>
      </c>
      <c r="K943" s="14">
        <v>2422.95</v>
      </c>
      <c r="L943" s="15">
        <v>1736042</v>
      </c>
      <c r="M943" t="s" s="13">
        <v>7240</v>
      </c>
      <c r="N943" s="15">
        <v>151112</v>
      </c>
      <c r="O943" s="17" cm="1">
        <f t="array" ref="O943">(H943-H942)/H942</f>
        <v>-0.00917543430389038</v>
      </c>
      <c r="P943" s="8"/>
      <c r="Q943" s="8"/>
    </row>
    <row r="944" ht="13.65" customHeight="1">
      <c r="A944" s="12">
        <v>45635</v>
      </c>
      <c r="B944" t="s" s="13">
        <v>22</v>
      </c>
      <c r="C944" s="14">
        <v>2438.15</v>
      </c>
      <c r="D944" s="14">
        <v>2439</v>
      </c>
      <c r="E944" s="14">
        <v>2387</v>
      </c>
      <c r="F944" s="14">
        <v>2429.7</v>
      </c>
      <c r="G944" s="14">
        <v>2392.9</v>
      </c>
      <c r="H944" s="14">
        <v>2391.85</v>
      </c>
      <c r="I944" s="14">
        <v>2399.46</v>
      </c>
      <c r="J944" s="14">
        <v>3422.95</v>
      </c>
      <c r="K944" s="14">
        <v>2387</v>
      </c>
      <c r="L944" s="15">
        <v>2301291</v>
      </c>
      <c r="M944" t="s" s="13">
        <v>7241</v>
      </c>
      <c r="N944" s="15">
        <v>192815</v>
      </c>
      <c r="O944" s="17" cm="1">
        <f t="array" ref="O944">(H944-H943)/H943</f>
        <v>-0.0155780549038976</v>
      </c>
      <c r="P944" s="8"/>
      <c r="Q944" s="8"/>
    </row>
    <row r="945" ht="13.65" customHeight="1">
      <c r="A945" s="18">
        <v>45636</v>
      </c>
      <c r="B945" t="s" s="13">
        <v>22</v>
      </c>
      <c r="C945" s="14">
        <v>2399.9</v>
      </c>
      <c r="D945" s="14">
        <v>2404.65</v>
      </c>
      <c r="E945" s="14">
        <v>2385.05</v>
      </c>
      <c r="F945" s="14">
        <v>2391.85</v>
      </c>
      <c r="G945" s="14">
        <v>2392.6</v>
      </c>
      <c r="H945" s="14">
        <v>2388.9</v>
      </c>
      <c r="I945" s="14">
        <v>2390.84</v>
      </c>
      <c r="J945" s="14">
        <v>3422.95</v>
      </c>
      <c r="K945" s="14">
        <v>2385.05</v>
      </c>
      <c r="L945" s="15">
        <v>1657888</v>
      </c>
      <c r="M945" t="s" s="13">
        <v>7242</v>
      </c>
      <c r="N945" s="15">
        <v>125397</v>
      </c>
      <c r="O945" s="17" cm="1">
        <f t="array" ref="O945">(H945-H944)/H944</f>
        <v>-0.00123335493446495</v>
      </c>
      <c r="P945" s="8"/>
      <c r="Q945" s="8"/>
    </row>
    <row r="946" ht="13.65" customHeight="1">
      <c r="A946" s="18">
        <v>45637</v>
      </c>
      <c r="B946" t="s" s="13">
        <v>22</v>
      </c>
      <c r="C946" s="14">
        <v>2399.75</v>
      </c>
      <c r="D946" s="14">
        <v>2428</v>
      </c>
      <c r="E946" s="14">
        <v>2392.65</v>
      </c>
      <c r="F946" s="14">
        <v>2388.9</v>
      </c>
      <c r="G946" s="14">
        <v>2417.6</v>
      </c>
      <c r="H946" s="14">
        <v>2417.3</v>
      </c>
      <c r="I946" s="14">
        <v>2414.5</v>
      </c>
      <c r="J946" s="14">
        <v>3422.95</v>
      </c>
      <c r="K946" s="14">
        <v>2385.05</v>
      </c>
      <c r="L946" s="15">
        <v>1337745</v>
      </c>
      <c r="M946" t="s" s="13">
        <v>7243</v>
      </c>
      <c r="N946" s="15">
        <v>83254</v>
      </c>
      <c r="O946" s="17" cm="1">
        <f t="array" ref="O946">(H946-H945)/H945</f>
        <v>0.0118883167985265</v>
      </c>
      <c r="P946" s="8"/>
      <c r="Q946" s="8"/>
    </row>
    <row r="947" ht="13.65" customHeight="1">
      <c r="A947" s="18">
        <v>45638</v>
      </c>
      <c r="B947" t="s" s="13">
        <v>22</v>
      </c>
      <c r="C947" s="14">
        <v>2413</v>
      </c>
      <c r="D947" s="14">
        <v>2415</v>
      </c>
      <c r="E947" s="14">
        <v>2380.7</v>
      </c>
      <c r="F947" s="14">
        <v>2417.3</v>
      </c>
      <c r="G947" s="14">
        <v>2388</v>
      </c>
      <c r="H947" s="14">
        <v>2389.55</v>
      </c>
      <c r="I947" s="14">
        <v>2394.96</v>
      </c>
      <c r="J947" s="14">
        <v>3422.95</v>
      </c>
      <c r="K947" s="14">
        <v>2380.7</v>
      </c>
      <c r="L947" s="15">
        <v>1089049</v>
      </c>
      <c r="M947" t="s" s="13">
        <v>7244</v>
      </c>
      <c r="N947" s="15">
        <v>82311</v>
      </c>
      <c r="O947" s="17" cm="1">
        <f t="array" ref="O947">(H947-H946)/H946</f>
        <v>-0.0114797501344475</v>
      </c>
      <c r="P947" s="8"/>
      <c r="Q947" s="8"/>
    </row>
    <row r="948" ht="13.65" customHeight="1">
      <c r="A948" s="18">
        <v>45639</v>
      </c>
      <c r="B948" t="s" s="13">
        <v>22</v>
      </c>
      <c r="C948" s="14">
        <v>2389.55</v>
      </c>
      <c r="D948" s="14">
        <v>2412</v>
      </c>
      <c r="E948" s="14">
        <v>2354</v>
      </c>
      <c r="F948" s="14">
        <v>2389.55</v>
      </c>
      <c r="G948" s="14">
        <v>2409.75</v>
      </c>
      <c r="H948" s="14">
        <v>2407.65</v>
      </c>
      <c r="I948" s="14">
        <v>2387.8</v>
      </c>
      <c r="J948" s="14">
        <v>3422.95</v>
      </c>
      <c r="K948" s="14">
        <v>2354</v>
      </c>
      <c r="L948" s="15">
        <v>1150900</v>
      </c>
      <c r="M948" t="s" s="13">
        <v>7245</v>
      </c>
      <c r="N948" s="15">
        <v>120910</v>
      </c>
      <c r="O948" s="17" cm="1">
        <f t="array" ref="O948">(H948-H947)/H947</f>
        <v>0.00757464794626603</v>
      </c>
      <c r="P948" s="8"/>
      <c r="Q948" s="8"/>
    </row>
    <row r="949" ht="13.65" customHeight="1">
      <c r="A949" s="18">
        <v>45642</v>
      </c>
      <c r="B949" t="s" s="13">
        <v>22</v>
      </c>
      <c r="C949" s="14">
        <v>2419.95</v>
      </c>
      <c r="D949" s="14">
        <v>2419.95</v>
      </c>
      <c r="E949" s="14">
        <v>2386.15</v>
      </c>
      <c r="F949" s="14">
        <v>2407.65</v>
      </c>
      <c r="G949" s="14">
        <v>2396</v>
      </c>
      <c r="H949" s="14">
        <v>2402.25</v>
      </c>
      <c r="I949" s="14">
        <v>2397.66</v>
      </c>
      <c r="J949" s="14">
        <v>3422.95</v>
      </c>
      <c r="K949" s="14">
        <v>2354</v>
      </c>
      <c r="L949" s="15">
        <v>987790</v>
      </c>
      <c r="M949" t="s" s="13">
        <v>7246</v>
      </c>
      <c r="N949" s="15">
        <v>77582</v>
      </c>
      <c r="O949" s="17" cm="1">
        <f t="array" ref="O949">(H949-H948)/H948</f>
        <v>-0.00224285091271572</v>
      </c>
      <c r="P949" s="8"/>
      <c r="Q949" s="8"/>
    </row>
    <row r="950" ht="13.65" customHeight="1">
      <c r="A950" s="18">
        <v>45643</v>
      </c>
      <c r="B950" t="s" s="13">
        <v>22</v>
      </c>
      <c r="C950" s="14">
        <v>2388</v>
      </c>
      <c r="D950" s="14">
        <v>2399.9</v>
      </c>
      <c r="E950" s="14">
        <v>2350.5</v>
      </c>
      <c r="F950" s="14">
        <v>2402.25</v>
      </c>
      <c r="G950" s="14">
        <v>2356.8</v>
      </c>
      <c r="H950" s="14">
        <v>2356</v>
      </c>
      <c r="I950" s="14">
        <v>2369.89</v>
      </c>
      <c r="J950" s="14">
        <v>3422.95</v>
      </c>
      <c r="K950" s="14">
        <v>2350.5</v>
      </c>
      <c r="L950" s="15">
        <v>1258249</v>
      </c>
      <c r="M950" t="s" s="13">
        <v>7247</v>
      </c>
      <c r="N950" s="15">
        <v>92530</v>
      </c>
      <c r="O950" s="17" cm="1">
        <f t="array" ref="O950">(H950-H949)/H949</f>
        <v>-0.0192527838484754</v>
      </c>
      <c r="P950" s="8"/>
      <c r="Q950" s="8"/>
    </row>
    <row r="951" ht="13.65" customHeight="1">
      <c r="A951" s="18">
        <v>45644</v>
      </c>
      <c r="B951" t="s" s="13">
        <v>22</v>
      </c>
      <c r="C951" s="14">
        <v>2356.8</v>
      </c>
      <c r="D951" s="14">
        <v>2372.7</v>
      </c>
      <c r="E951" s="14">
        <v>2341</v>
      </c>
      <c r="F951" s="14">
        <v>2356</v>
      </c>
      <c r="G951" s="14">
        <v>2345</v>
      </c>
      <c r="H951" s="14">
        <v>2345.45</v>
      </c>
      <c r="I951" s="14">
        <v>2357.35</v>
      </c>
      <c r="J951" s="14">
        <v>3422.95</v>
      </c>
      <c r="K951" s="14">
        <v>2341</v>
      </c>
      <c r="L951" s="15">
        <v>855724</v>
      </c>
      <c r="M951" t="s" s="13">
        <v>7248</v>
      </c>
      <c r="N951" s="15">
        <v>62975</v>
      </c>
      <c r="O951" s="17" cm="1">
        <f t="array" ref="O951">(H951-H950)/H950</f>
        <v>-0.00447792869269949</v>
      </c>
      <c r="P951" s="8"/>
      <c r="Q951" s="8"/>
    </row>
    <row r="952" ht="13.65" customHeight="1">
      <c r="A952" s="18">
        <v>45645</v>
      </c>
      <c r="B952" t="s" s="13">
        <v>22</v>
      </c>
      <c r="C952" s="14">
        <v>2325</v>
      </c>
      <c r="D952" s="14">
        <v>2325</v>
      </c>
      <c r="E952" s="14">
        <v>2265.35</v>
      </c>
      <c r="F952" s="14">
        <v>2345.45</v>
      </c>
      <c r="G952" s="14">
        <v>2295</v>
      </c>
      <c r="H952" s="14">
        <v>2291.85</v>
      </c>
      <c r="I952" s="14">
        <v>2285.73</v>
      </c>
      <c r="J952" s="14">
        <v>3422.95</v>
      </c>
      <c r="K952" s="14">
        <v>2265.35</v>
      </c>
      <c r="L952" s="15">
        <v>2784410</v>
      </c>
      <c r="M952" t="s" s="13">
        <v>7249</v>
      </c>
      <c r="N952" s="15">
        <v>173134</v>
      </c>
      <c r="O952" s="17" cm="1">
        <f t="array" ref="O952">(H952-H951)/H951</f>
        <v>-0.0228527574665842</v>
      </c>
      <c r="P952" s="8"/>
      <c r="Q952" s="8"/>
    </row>
    <row r="953" ht="13.65" customHeight="1">
      <c r="A953" s="18">
        <v>45646</v>
      </c>
      <c r="B953" t="s" s="13">
        <v>22</v>
      </c>
      <c r="C953" s="14">
        <v>2297</v>
      </c>
      <c r="D953" s="14">
        <v>2318</v>
      </c>
      <c r="E953" s="14">
        <v>2276</v>
      </c>
      <c r="F953" s="14">
        <v>2291.85</v>
      </c>
      <c r="G953" s="14">
        <v>2280</v>
      </c>
      <c r="H953" s="14">
        <v>2282.35</v>
      </c>
      <c r="I953" s="14">
        <v>2294.95</v>
      </c>
      <c r="J953" s="14">
        <v>3422.95</v>
      </c>
      <c r="K953" s="14">
        <v>2265.35</v>
      </c>
      <c r="L953" s="15">
        <v>1719699</v>
      </c>
      <c r="M953" t="s" s="13">
        <v>7250</v>
      </c>
      <c r="N953" s="15">
        <v>115146</v>
      </c>
      <c r="O953" s="17" cm="1">
        <f t="array" ref="O953">(H953-H952)/H952</f>
        <v>-0.0041451229356197</v>
      </c>
      <c r="P953" s="8"/>
      <c r="Q953" s="8"/>
    </row>
    <row r="954" ht="13.65" customHeight="1">
      <c r="A954" s="18">
        <v>45649</v>
      </c>
      <c r="B954" t="s" s="13">
        <v>22</v>
      </c>
      <c r="C954" s="14">
        <v>2300</v>
      </c>
      <c r="D954" s="14">
        <v>2302.55</v>
      </c>
      <c r="E954" s="14">
        <v>2266.05</v>
      </c>
      <c r="F954" s="14">
        <v>2282.35</v>
      </c>
      <c r="G954" s="14">
        <v>2275.3</v>
      </c>
      <c r="H954" s="14">
        <v>2279.2</v>
      </c>
      <c r="I954" s="14">
        <v>2283.25</v>
      </c>
      <c r="J954" s="14">
        <v>3422.95</v>
      </c>
      <c r="K954" s="14">
        <v>2265.35</v>
      </c>
      <c r="L954" s="15">
        <v>855677</v>
      </c>
      <c r="M954" t="s" s="13">
        <v>7251</v>
      </c>
      <c r="N954" s="15">
        <v>67772</v>
      </c>
      <c r="O954" s="17" cm="1">
        <f t="array" ref="O954">(H954-H953)/H953</f>
        <v>-0.00138015641772734</v>
      </c>
      <c r="P954" s="8"/>
      <c r="Q954" s="8"/>
    </row>
    <row r="955" ht="13.65" customHeight="1">
      <c r="A955" s="18">
        <v>45650</v>
      </c>
      <c r="B955" t="s" s="13">
        <v>22</v>
      </c>
      <c r="C955" s="14">
        <v>2282.1</v>
      </c>
      <c r="D955" s="14">
        <v>2295</v>
      </c>
      <c r="E955" s="14">
        <v>2277.15</v>
      </c>
      <c r="F955" s="14">
        <v>2279.2</v>
      </c>
      <c r="G955" s="14">
        <v>2285</v>
      </c>
      <c r="H955" s="14">
        <v>2284</v>
      </c>
      <c r="I955" s="14">
        <v>2286.17</v>
      </c>
      <c r="J955" s="14">
        <v>3422.95</v>
      </c>
      <c r="K955" s="14">
        <v>2265.35</v>
      </c>
      <c r="L955" s="15">
        <v>601634</v>
      </c>
      <c r="M955" t="s" s="13">
        <v>7252</v>
      </c>
      <c r="N955" s="15">
        <v>45905</v>
      </c>
      <c r="O955" s="17" cm="1">
        <f t="array" ref="O955">(H955-H954)/H954</f>
        <v>0.00210600210600211</v>
      </c>
      <c r="P955" s="8"/>
      <c r="Q955" s="8"/>
    </row>
    <row r="956" ht="13.65" customHeight="1">
      <c r="A956" s="18">
        <v>45652</v>
      </c>
      <c r="B956" t="s" s="13">
        <v>22</v>
      </c>
      <c r="C956" s="14">
        <v>2284</v>
      </c>
      <c r="D956" s="14">
        <v>2287.45</v>
      </c>
      <c r="E956" s="14">
        <v>2256.5</v>
      </c>
      <c r="F956" s="14">
        <v>2284</v>
      </c>
      <c r="G956" s="14">
        <v>2261.5</v>
      </c>
      <c r="H956" s="14">
        <v>2262.4</v>
      </c>
      <c r="I956" s="14">
        <v>2267.48</v>
      </c>
      <c r="J956" s="14">
        <v>3422.95</v>
      </c>
      <c r="K956" s="14">
        <v>2256.5</v>
      </c>
      <c r="L956" s="15">
        <v>1267383</v>
      </c>
      <c r="M956" t="s" s="13">
        <v>7253</v>
      </c>
      <c r="N956" s="15">
        <v>90752</v>
      </c>
      <c r="O956" s="17" cm="1">
        <f t="array" ref="O956">(H956-H955)/H955</f>
        <v>-0.00945709281961471</v>
      </c>
      <c r="P956" s="8"/>
      <c r="Q956" s="8"/>
    </row>
    <row r="957" ht="13.65" customHeight="1">
      <c r="A957" s="18">
        <v>45653</v>
      </c>
      <c r="B957" t="s" s="13">
        <v>22</v>
      </c>
      <c r="C957" s="14">
        <v>2270.25</v>
      </c>
      <c r="D957" s="14">
        <v>2290.8</v>
      </c>
      <c r="E957" s="14">
        <v>2260.05</v>
      </c>
      <c r="F957" s="14">
        <v>2262.4</v>
      </c>
      <c r="G957" s="14">
        <v>2273.75</v>
      </c>
      <c r="H957" s="14">
        <v>2271.4</v>
      </c>
      <c r="I957" s="14">
        <v>2274.44</v>
      </c>
      <c r="J957" s="14">
        <v>3422.95</v>
      </c>
      <c r="K957" s="14">
        <v>2256.5</v>
      </c>
      <c r="L957" s="15">
        <v>822000</v>
      </c>
      <c r="M957" t="s" s="13">
        <v>7254</v>
      </c>
      <c r="N957" s="15">
        <v>53458</v>
      </c>
      <c r="O957" s="17" cm="1">
        <f t="array" ref="O957">(H957-H956)/H956</f>
        <v>0.00397807637906648</v>
      </c>
      <c r="P957" s="8"/>
      <c r="Q957" s="8"/>
    </row>
    <row r="958" ht="13.65" customHeight="1">
      <c r="A958" s="18">
        <v>45656</v>
      </c>
      <c r="B958" t="s" s="13">
        <v>22</v>
      </c>
      <c r="C958" s="14">
        <v>2280.25</v>
      </c>
      <c r="D958" s="14">
        <v>2298.8</v>
      </c>
      <c r="E958" s="14">
        <v>2256.8</v>
      </c>
      <c r="F958" s="14">
        <v>2271.4</v>
      </c>
      <c r="G958" s="14">
        <v>2272.5</v>
      </c>
      <c r="H958" s="14">
        <v>2288.25</v>
      </c>
      <c r="I958" s="14">
        <v>2277.52</v>
      </c>
      <c r="J958" s="14">
        <v>3411.8</v>
      </c>
      <c r="K958" s="14">
        <v>2256.5</v>
      </c>
      <c r="L958" s="15">
        <v>1076978</v>
      </c>
      <c r="M958" t="s" s="13">
        <v>7255</v>
      </c>
      <c r="N958" s="15">
        <v>66326</v>
      </c>
      <c r="O958" s="17" cm="1">
        <f t="array" ref="O958">(H958-H957)/H957</f>
        <v>0.00741833230606674</v>
      </c>
      <c r="P958" s="8"/>
      <c r="Q958" s="8"/>
    </row>
    <row r="959" ht="13.65" customHeight="1">
      <c r="A959" s="18">
        <v>45657</v>
      </c>
      <c r="B959" t="s" s="13">
        <v>22</v>
      </c>
      <c r="C959" s="14">
        <v>2280</v>
      </c>
      <c r="D959" s="14">
        <v>2297.65</v>
      </c>
      <c r="E959" s="14">
        <v>2273</v>
      </c>
      <c r="F959" s="14">
        <v>2288.25</v>
      </c>
      <c r="G959" s="14">
        <v>2284.2</v>
      </c>
      <c r="H959" s="14">
        <v>2281.35</v>
      </c>
      <c r="I959" s="14">
        <v>2284.3</v>
      </c>
      <c r="J959" s="14">
        <v>3411.8</v>
      </c>
      <c r="K959" s="14">
        <v>2256.5</v>
      </c>
      <c r="L959" s="15">
        <v>685486</v>
      </c>
      <c r="M959" t="s" s="13">
        <v>7256</v>
      </c>
      <c r="N959" s="15">
        <v>55912</v>
      </c>
      <c r="O959" s="17" cm="1">
        <f t="array" ref="O959">(H959-H958)/H958</f>
        <v>-0.00301540478531629</v>
      </c>
      <c r="P959" s="8"/>
      <c r="Q959" s="8"/>
    </row>
    <row r="960" ht="13.65" customHeight="1">
      <c r="A960" s="12">
        <v>45658</v>
      </c>
      <c r="B960" t="s" s="13">
        <v>22</v>
      </c>
      <c r="C960" s="14">
        <v>2280</v>
      </c>
      <c r="D960" s="14">
        <v>2323.2</v>
      </c>
      <c r="E960" s="14">
        <v>2280</v>
      </c>
      <c r="F960" s="14">
        <v>2281.35</v>
      </c>
      <c r="G960" s="14">
        <v>2304.8</v>
      </c>
      <c r="H960" s="14">
        <v>2304.65</v>
      </c>
      <c r="I960" s="14">
        <v>2310.17</v>
      </c>
      <c r="J960" s="14">
        <v>3411.8</v>
      </c>
      <c r="K960" s="14">
        <v>2256.5</v>
      </c>
      <c r="L960" s="15">
        <v>1067329</v>
      </c>
      <c r="M960" t="s" s="13">
        <v>7257</v>
      </c>
      <c r="N960" s="15">
        <v>67605</v>
      </c>
      <c r="O960" s="17" cm="1">
        <f t="array" ref="O960">(H960-H959)/H959</f>
        <v>0.0102132509259868</v>
      </c>
      <c r="P960" s="8"/>
      <c r="Q960" s="8"/>
    </row>
    <row r="961" ht="13.65" customHeight="1">
      <c r="A961" s="12">
        <v>45659</v>
      </c>
      <c r="B961" t="s" s="13">
        <v>22</v>
      </c>
      <c r="C961" s="14">
        <v>2314</v>
      </c>
      <c r="D961" s="14">
        <v>2347.95</v>
      </c>
      <c r="E961" s="14">
        <v>2294</v>
      </c>
      <c r="F961" s="14">
        <v>2304.65</v>
      </c>
      <c r="G961" s="14">
        <v>2338</v>
      </c>
      <c r="H961" s="14">
        <v>2343.25</v>
      </c>
      <c r="I961" s="14">
        <v>2327.49</v>
      </c>
      <c r="J961" s="14">
        <v>3411.8</v>
      </c>
      <c r="K961" s="14">
        <v>2256.5</v>
      </c>
      <c r="L961" s="15">
        <v>1342922</v>
      </c>
      <c r="M961" t="s" s="13">
        <v>7258</v>
      </c>
      <c r="N961" s="15">
        <v>84907</v>
      </c>
      <c r="O961" s="17" cm="1">
        <f t="array" ref="O961">(H961-H960)/H960</f>
        <v>0.0167487470982579</v>
      </c>
      <c r="P961" s="8"/>
      <c r="Q961" s="8"/>
    </row>
    <row r="962" ht="13.65" customHeight="1">
      <c r="A962" s="12">
        <v>45660</v>
      </c>
      <c r="B962" t="s" s="13">
        <v>22</v>
      </c>
      <c r="C962" s="14">
        <v>2344</v>
      </c>
      <c r="D962" s="14">
        <v>2348.95</v>
      </c>
      <c r="E962" s="14">
        <v>2322.15</v>
      </c>
      <c r="F962" s="14">
        <v>2343.25</v>
      </c>
      <c r="G962" s="14">
        <v>2333.8</v>
      </c>
      <c r="H962" s="14">
        <v>2335.95</v>
      </c>
      <c r="I962" s="14">
        <v>2337.6</v>
      </c>
      <c r="J962" s="14">
        <v>3411.8</v>
      </c>
      <c r="K962" s="14">
        <v>2256.5</v>
      </c>
      <c r="L962" s="15">
        <v>1355358</v>
      </c>
      <c r="M962" t="s" s="13">
        <v>7259</v>
      </c>
      <c r="N962" s="15">
        <v>89891</v>
      </c>
      <c r="O962" s="17" cm="1">
        <f t="array" ref="O962">(H962-H961)/H961</f>
        <v>-0.00311533127067108</v>
      </c>
      <c r="P962" s="8"/>
      <c r="Q962" s="8"/>
    </row>
    <row r="963" ht="13.65" customHeight="1">
      <c r="A963" s="12">
        <v>45663</v>
      </c>
      <c r="B963" t="s" s="13">
        <v>22</v>
      </c>
      <c r="C963" s="14">
        <v>2335.95</v>
      </c>
      <c r="D963" s="14">
        <v>2340</v>
      </c>
      <c r="E963" s="14">
        <v>2256.7</v>
      </c>
      <c r="F963" s="14">
        <v>2335.95</v>
      </c>
      <c r="G963" s="14">
        <v>2270</v>
      </c>
      <c r="H963" s="14">
        <v>2267.15</v>
      </c>
      <c r="I963" s="14">
        <v>2282.63</v>
      </c>
      <c r="J963" s="14">
        <v>3394.9</v>
      </c>
      <c r="K963" s="14">
        <v>2256.5</v>
      </c>
      <c r="L963" s="15">
        <v>1191044</v>
      </c>
      <c r="M963" t="s" s="13">
        <v>7260</v>
      </c>
      <c r="N963" s="15">
        <v>104012</v>
      </c>
      <c r="O963" s="17" cm="1">
        <f t="array" ref="O963">(H963-H962)/H962</f>
        <v>-0.0294526852030223</v>
      </c>
      <c r="P963" s="8"/>
      <c r="Q963" s="8"/>
    </row>
    <row r="964" ht="13.65" customHeight="1">
      <c r="A964" s="12">
        <v>45664</v>
      </c>
      <c r="B964" t="s" s="13">
        <v>22</v>
      </c>
      <c r="C964" s="14">
        <v>2272</v>
      </c>
      <c r="D964" s="14">
        <v>2316</v>
      </c>
      <c r="E964" s="14">
        <v>2272</v>
      </c>
      <c r="F964" s="14">
        <v>2267.15</v>
      </c>
      <c r="G964" s="14">
        <v>2292</v>
      </c>
      <c r="H964" s="14">
        <v>2292.6</v>
      </c>
      <c r="I964" s="14">
        <v>2296.01</v>
      </c>
      <c r="J964" s="14">
        <v>3394.9</v>
      </c>
      <c r="K964" s="14">
        <v>2256.5</v>
      </c>
      <c r="L964" s="15">
        <v>740798</v>
      </c>
      <c r="M964" t="s" s="13">
        <v>7261</v>
      </c>
      <c r="N964" s="15">
        <v>60009</v>
      </c>
      <c r="O964" s="17" cm="1">
        <f t="array" ref="O964">(H964-H963)/H963</f>
        <v>0.0112255474935492</v>
      </c>
      <c r="P964" s="8"/>
      <c r="Q964" s="8"/>
    </row>
    <row r="965" ht="13.65" customHeight="1">
      <c r="A965" s="12">
        <v>45665</v>
      </c>
      <c r="B965" t="s" s="13">
        <v>22</v>
      </c>
      <c r="C965" s="14">
        <v>2287.05</v>
      </c>
      <c r="D965" s="14">
        <v>2338</v>
      </c>
      <c r="E965" s="14">
        <v>2272.7</v>
      </c>
      <c r="F965" s="14">
        <v>2292.6</v>
      </c>
      <c r="G965" s="14">
        <v>2336.5</v>
      </c>
      <c r="H965" s="14">
        <v>2334.35</v>
      </c>
      <c r="I965" s="14">
        <v>2308.37</v>
      </c>
      <c r="J965" s="14">
        <v>3394.9</v>
      </c>
      <c r="K965" s="14">
        <v>2256.5</v>
      </c>
      <c r="L965" s="15">
        <v>1439655</v>
      </c>
      <c r="M965" t="s" s="13">
        <v>7262</v>
      </c>
      <c r="N965" s="15">
        <v>80037</v>
      </c>
      <c r="O965" s="17" cm="1">
        <f t="array" ref="O965">(H965-H964)/H964</f>
        <v>0.0182107650702259</v>
      </c>
      <c r="P965" s="8"/>
      <c r="Q965" s="8"/>
    </row>
    <row r="966" ht="13.65" customHeight="1">
      <c r="A966" s="12">
        <v>45666</v>
      </c>
      <c r="B966" t="s" s="13">
        <v>22</v>
      </c>
      <c r="C966" s="14">
        <v>2341.9</v>
      </c>
      <c r="D966" s="14">
        <v>2361.4</v>
      </c>
      <c r="E966" s="14">
        <v>2321.3</v>
      </c>
      <c r="F966" s="14">
        <v>2334.35</v>
      </c>
      <c r="G966" s="14">
        <v>2352</v>
      </c>
      <c r="H966" s="14">
        <v>2350.2</v>
      </c>
      <c r="I966" s="14">
        <v>2347.44</v>
      </c>
      <c r="J966" s="14">
        <v>3394.9</v>
      </c>
      <c r="K966" s="14">
        <v>2256.5</v>
      </c>
      <c r="L966" s="15">
        <v>1362314</v>
      </c>
      <c r="M966" t="s" s="13">
        <v>7263</v>
      </c>
      <c r="N966" s="15">
        <v>109001</v>
      </c>
      <c r="O966" s="17" cm="1">
        <f t="array" ref="O966">(H966-H965)/H965</f>
        <v>0.00678989868700066</v>
      </c>
      <c r="P966" s="8"/>
      <c r="Q966" s="8"/>
    </row>
    <row r="967" ht="13.65" customHeight="1">
      <c r="A967" s="18">
        <v>45667</v>
      </c>
      <c r="B967" t="s" s="13">
        <v>22</v>
      </c>
      <c r="C967" s="14">
        <v>2335.6</v>
      </c>
      <c r="D967" s="14">
        <v>2348.9</v>
      </c>
      <c r="E967" s="14">
        <v>2316</v>
      </c>
      <c r="F967" s="14">
        <v>2350.2</v>
      </c>
      <c r="G967" s="14">
        <v>2318</v>
      </c>
      <c r="H967" s="14">
        <v>2320.75</v>
      </c>
      <c r="I967" s="14">
        <v>2329.11</v>
      </c>
      <c r="J967" s="14">
        <v>3394.9</v>
      </c>
      <c r="K967" s="14">
        <v>2256.5</v>
      </c>
      <c r="L967" s="15">
        <v>1214382</v>
      </c>
      <c r="M967" t="s" s="13">
        <v>7264</v>
      </c>
      <c r="N967" s="15">
        <v>61912</v>
      </c>
      <c r="O967" s="17" cm="1">
        <f t="array" ref="O967">(H967-H966)/H966</f>
        <v>-0.0125308484384308</v>
      </c>
      <c r="P967" s="8"/>
      <c r="Q967" s="8"/>
    </row>
    <row r="968" ht="13.65" customHeight="1">
      <c r="A968" s="18">
        <v>45670</v>
      </c>
      <c r="B968" t="s" s="13">
        <v>22</v>
      </c>
      <c r="C968" s="14">
        <v>2291.75</v>
      </c>
      <c r="D968" s="14">
        <v>2301.9</v>
      </c>
      <c r="E968" s="14">
        <v>2246.4</v>
      </c>
      <c r="F968" s="14">
        <v>2320.75</v>
      </c>
      <c r="G968" s="14">
        <v>2250.7</v>
      </c>
      <c r="H968" s="14">
        <v>2252.65</v>
      </c>
      <c r="I968" s="14">
        <v>2272.11</v>
      </c>
      <c r="J968" s="14">
        <v>3394.9</v>
      </c>
      <c r="K968" s="14">
        <v>2246.4</v>
      </c>
      <c r="L968" s="15">
        <v>1181928</v>
      </c>
      <c r="M968" t="s" s="13">
        <v>7265</v>
      </c>
      <c r="N968" s="15">
        <v>96556</v>
      </c>
      <c r="O968" s="17" cm="1">
        <f t="array" ref="O968">(H968-H967)/H967</f>
        <v>-0.0293439620812237</v>
      </c>
      <c r="P968" s="8"/>
      <c r="Q968" s="8"/>
    </row>
    <row r="969" ht="13.65" customHeight="1">
      <c r="A969" s="18">
        <v>45671</v>
      </c>
      <c r="B969" t="s" s="13">
        <v>22</v>
      </c>
      <c r="C969" s="14">
        <v>2269</v>
      </c>
      <c r="D969" s="14">
        <v>2286.35</v>
      </c>
      <c r="E969" s="14">
        <v>2237</v>
      </c>
      <c r="F969" s="14">
        <v>2252.65</v>
      </c>
      <c r="G969" s="14">
        <v>2240</v>
      </c>
      <c r="H969" s="14">
        <v>2239.95</v>
      </c>
      <c r="I969" s="14">
        <v>2251.85</v>
      </c>
      <c r="J969" s="14">
        <v>3394.9</v>
      </c>
      <c r="K969" s="14">
        <v>2237</v>
      </c>
      <c r="L969" s="15">
        <v>1317678</v>
      </c>
      <c r="M969" t="s" s="13">
        <v>7266</v>
      </c>
      <c r="N969" s="15">
        <v>87016</v>
      </c>
      <c r="O969" s="17" cm="1">
        <f t="array" ref="O969">(H969-H968)/H968</f>
        <v>-0.00563780436374936</v>
      </c>
      <c r="P969" s="8"/>
      <c r="Q969" s="8"/>
    </row>
    <row r="970" ht="13.65" customHeight="1">
      <c r="A970" s="18">
        <v>45672</v>
      </c>
      <c r="B970" t="s" s="13">
        <v>22</v>
      </c>
      <c r="C970" s="14">
        <v>2249</v>
      </c>
      <c r="D970" s="14">
        <v>2253.75</v>
      </c>
      <c r="E970" s="14">
        <v>2220</v>
      </c>
      <c r="F970" s="14">
        <v>2239.95</v>
      </c>
      <c r="G970" s="14">
        <v>2230</v>
      </c>
      <c r="H970" s="14">
        <v>2229.7</v>
      </c>
      <c r="I970" s="14">
        <v>2228.39</v>
      </c>
      <c r="J970" s="14">
        <v>3394.9</v>
      </c>
      <c r="K970" s="14">
        <v>2220</v>
      </c>
      <c r="L970" s="15">
        <v>1308999</v>
      </c>
      <c r="M970" t="s" s="13">
        <v>7267</v>
      </c>
      <c r="N970" s="15">
        <v>94121</v>
      </c>
      <c r="O970" s="17" cm="1">
        <f t="array" ref="O970">(H970-H969)/H969</f>
        <v>-0.00457599499988839</v>
      </c>
      <c r="P970" s="8"/>
      <c r="Q970" s="8"/>
    </row>
    <row r="971" ht="13.65" customHeight="1">
      <c r="A971" s="18">
        <v>45673</v>
      </c>
      <c r="B971" t="s" s="13">
        <v>22</v>
      </c>
      <c r="C971" s="14">
        <v>2239</v>
      </c>
      <c r="D971" s="14">
        <v>2239.85</v>
      </c>
      <c r="E971" s="14">
        <v>2207.8</v>
      </c>
      <c r="F971" s="14">
        <v>2229.7</v>
      </c>
      <c r="G971" s="14">
        <v>2219</v>
      </c>
      <c r="H971" s="14">
        <v>2215.6</v>
      </c>
      <c r="I971" s="14">
        <v>2217.13</v>
      </c>
      <c r="J971" s="14">
        <v>3394.9</v>
      </c>
      <c r="K971" s="14">
        <v>2207.8</v>
      </c>
      <c r="L971" s="15">
        <v>1936132</v>
      </c>
      <c r="M971" t="s" s="13">
        <v>7268</v>
      </c>
      <c r="N971" s="15">
        <v>106569</v>
      </c>
      <c r="O971" s="17" cm="1">
        <f t="array" ref="O971">(H971-H970)/H970</f>
        <v>-0.0063237206799121</v>
      </c>
      <c r="P971" s="8"/>
      <c r="Q971" s="8"/>
    </row>
    <row r="972" ht="13.65" customHeight="1">
      <c r="A972" s="18">
        <v>45674</v>
      </c>
      <c r="B972" t="s" s="13">
        <v>22</v>
      </c>
      <c r="C972" s="14">
        <v>2225.65</v>
      </c>
      <c r="D972" s="14">
        <v>2269.05</v>
      </c>
      <c r="E972" s="14">
        <v>2212.5</v>
      </c>
      <c r="F972" s="14">
        <v>2215.6</v>
      </c>
      <c r="G972" s="14">
        <v>2257.55</v>
      </c>
      <c r="H972" s="14">
        <v>2261</v>
      </c>
      <c r="I972" s="14">
        <v>2250.06</v>
      </c>
      <c r="J972" s="14">
        <v>3394.9</v>
      </c>
      <c r="K972" s="14">
        <v>2207.8</v>
      </c>
      <c r="L972" s="15">
        <v>878871</v>
      </c>
      <c r="M972" t="s" s="13">
        <v>7269</v>
      </c>
      <c r="N972" s="15">
        <v>59699</v>
      </c>
      <c r="O972" s="17" cm="1">
        <f t="array" ref="O972">(H972-H971)/H971</f>
        <v>0.0204910633688391</v>
      </c>
      <c r="P972" s="8"/>
      <c r="Q972" s="8"/>
    </row>
    <row r="973" ht="13.65" customHeight="1">
      <c r="A973" s="18">
        <v>45677</v>
      </c>
      <c r="B973" t="s" s="13">
        <v>22</v>
      </c>
      <c r="C973" s="14">
        <v>2272.25</v>
      </c>
      <c r="D973" s="14">
        <v>2286.9</v>
      </c>
      <c r="E973" s="14">
        <v>2251</v>
      </c>
      <c r="F973" s="14">
        <v>2261</v>
      </c>
      <c r="G973" s="14">
        <v>2279.15</v>
      </c>
      <c r="H973" s="14">
        <v>2280.55</v>
      </c>
      <c r="I973" s="14">
        <v>2275.35</v>
      </c>
      <c r="J973" s="14">
        <v>3394.9</v>
      </c>
      <c r="K973" s="14">
        <v>2207.8</v>
      </c>
      <c r="L973" s="15">
        <v>555730</v>
      </c>
      <c r="M973" t="s" s="13">
        <v>7270</v>
      </c>
      <c r="N973" s="15">
        <v>56946</v>
      </c>
      <c r="O973" s="17" cm="1">
        <f t="array" ref="O973">(H973-H972)/H972</f>
        <v>0.00864661654135338</v>
      </c>
      <c r="P973" s="8"/>
      <c r="Q973" s="8"/>
    </row>
    <row r="974" ht="13.65" customHeight="1">
      <c r="A974" s="18">
        <v>45678</v>
      </c>
      <c r="B974" t="s" s="13">
        <v>22</v>
      </c>
      <c r="C974" s="14">
        <v>2280.55</v>
      </c>
      <c r="D974" s="14">
        <v>2315</v>
      </c>
      <c r="E974" s="14">
        <v>2255</v>
      </c>
      <c r="F974" s="14">
        <v>2280.55</v>
      </c>
      <c r="G974" s="14">
        <v>2262.8</v>
      </c>
      <c r="H974" s="14">
        <v>2260.35</v>
      </c>
      <c r="I974" s="14">
        <v>2284.09</v>
      </c>
      <c r="J974" s="14">
        <v>3394.9</v>
      </c>
      <c r="K974" s="14">
        <v>2207.8</v>
      </c>
      <c r="L974" s="15">
        <v>1410331</v>
      </c>
      <c r="M974" t="s" s="13">
        <v>7271</v>
      </c>
      <c r="N974" s="15">
        <v>98781</v>
      </c>
      <c r="O974" s="17" cm="1">
        <f t="array" ref="O974">(H974-H973)/H973</f>
        <v>-0.00885751244217404</v>
      </c>
      <c r="P974" s="8"/>
      <c r="Q974" s="8"/>
    </row>
    <row r="975" ht="13.65" customHeight="1">
      <c r="A975" s="18">
        <v>45679</v>
      </c>
      <c r="B975" t="s" s="13">
        <v>22</v>
      </c>
      <c r="C975" s="14">
        <v>2270</v>
      </c>
      <c r="D975" s="14">
        <v>2270</v>
      </c>
      <c r="E975" s="14">
        <v>2244.9</v>
      </c>
      <c r="F975" s="14">
        <v>2260.35</v>
      </c>
      <c r="G975" s="14">
        <v>2260.05</v>
      </c>
      <c r="H975" s="14">
        <v>2262.1</v>
      </c>
      <c r="I975" s="14">
        <v>2257.34</v>
      </c>
      <c r="J975" s="14">
        <v>3394.9</v>
      </c>
      <c r="K975" s="14">
        <v>2207.8</v>
      </c>
      <c r="L975" s="15">
        <v>835523</v>
      </c>
      <c r="M975" t="s" s="13">
        <v>7272</v>
      </c>
      <c r="N975" s="15">
        <v>64392</v>
      </c>
      <c r="O975" s="17" cm="1">
        <f t="array" ref="O975">(H975-H974)/H974</f>
        <v>0.000774216382418652</v>
      </c>
      <c r="P975" s="8"/>
      <c r="Q975" s="8"/>
    </row>
    <row r="976" ht="13.65" customHeight="1">
      <c r="A976" s="18">
        <v>45680</v>
      </c>
      <c r="B976" t="s" s="13">
        <v>22</v>
      </c>
      <c r="C976" s="14">
        <v>2262.1</v>
      </c>
      <c r="D976" s="14">
        <v>2301.8</v>
      </c>
      <c r="E976" s="14">
        <v>2246.2</v>
      </c>
      <c r="F976" s="14">
        <v>2262.1</v>
      </c>
      <c r="G976" s="14">
        <v>2278.4</v>
      </c>
      <c r="H976" s="14">
        <v>2276.35</v>
      </c>
      <c r="I976" s="14">
        <v>2280.93</v>
      </c>
      <c r="J976" s="14">
        <v>3394.9</v>
      </c>
      <c r="K976" s="14">
        <v>2207.8</v>
      </c>
      <c r="L976" s="15">
        <v>1142498</v>
      </c>
      <c r="M976" t="s" s="13">
        <v>7273</v>
      </c>
      <c r="N976" s="15">
        <v>74388</v>
      </c>
      <c r="O976" s="17" cm="1">
        <f t="array" ref="O976">(H976-H975)/H975</f>
        <v>0.00629945625745988</v>
      </c>
      <c r="P976" s="8"/>
      <c r="Q976" s="8"/>
    </row>
    <row r="977" ht="13.65" customHeight="1">
      <c r="A977" s="18">
        <v>45681</v>
      </c>
      <c r="B977" t="s" s="13">
        <v>22</v>
      </c>
      <c r="C977" s="14">
        <v>2283</v>
      </c>
      <c r="D977" s="14">
        <v>2296.55</v>
      </c>
      <c r="E977" s="14">
        <v>2255.05</v>
      </c>
      <c r="F977" s="14">
        <v>2276.35</v>
      </c>
      <c r="G977" s="14">
        <v>2263.5</v>
      </c>
      <c r="H977" s="14">
        <v>2262.4</v>
      </c>
      <c r="I977" s="14">
        <v>2273.84</v>
      </c>
      <c r="J977" s="14">
        <v>3394.9</v>
      </c>
      <c r="K977" s="14">
        <v>2207.8</v>
      </c>
      <c r="L977" s="15">
        <v>543217</v>
      </c>
      <c r="M977" t="s" s="13">
        <v>7274</v>
      </c>
      <c r="N977" s="15">
        <v>49773</v>
      </c>
      <c r="O977" s="17" cm="1">
        <f t="array" ref="O977">(H977-H976)/H976</f>
        <v>-0.00612823159883146</v>
      </c>
      <c r="P977" s="8"/>
      <c r="Q977" s="8"/>
    </row>
    <row r="978" ht="13.65" customHeight="1">
      <c r="A978" s="18">
        <v>45684</v>
      </c>
      <c r="B978" t="s" s="13">
        <v>22</v>
      </c>
      <c r="C978" s="14">
        <v>2255.3</v>
      </c>
      <c r="D978" s="14">
        <v>2277.75</v>
      </c>
      <c r="E978" s="14">
        <v>2246.2</v>
      </c>
      <c r="F978" s="14">
        <v>2262.4</v>
      </c>
      <c r="G978" s="14">
        <v>2249.5</v>
      </c>
      <c r="H978" s="14">
        <v>2251.5</v>
      </c>
      <c r="I978" s="14">
        <v>2262.6</v>
      </c>
      <c r="J978" s="14">
        <v>3394.9</v>
      </c>
      <c r="K978" s="14">
        <v>2207.8</v>
      </c>
      <c r="L978" s="15">
        <v>1097947</v>
      </c>
      <c r="M978" t="s" s="13">
        <v>7275</v>
      </c>
      <c r="N978" s="15">
        <v>76944</v>
      </c>
      <c r="O978" s="17" cm="1">
        <f t="array" ref="O978">(H978-H977)/H977</f>
        <v>-0.00481789250353607</v>
      </c>
      <c r="P978" s="8"/>
      <c r="Q978" s="8"/>
    </row>
    <row r="979" ht="13.65" customHeight="1">
      <c r="A979" s="18">
        <v>45685</v>
      </c>
      <c r="B979" t="s" s="13">
        <v>22</v>
      </c>
      <c r="C979" s="14">
        <v>2260</v>
      </c>
      <c r="D979" s="14">
        <v>2267.05</v>
      </c>
      <c r="E979" s="14">
        <v>2234.1</v>
      </c>
      <c r="F979" s="14">
        <v>2251.5</v>
      </c>
      <c r="G979" s="14">
        <v>2239</v>
      </c>
      <c r="H979" s="14">
        <v>2241.8</v>
      </c>
      <c r="I979" s="14">
        <v>2251.73</v>
      </c>
      <c r="J979" s="14">
        <v>3394.9</v>
      </c>
      <c r="K979" s="14">
        <v>2207.8</v>
      </c>
      <c r="L979" s="15">
        <v>897503</v>
      </c>
      <c r="M979" t="s" s="13">
        <v>7276</v>
      </c>
      <c r="N979" s="15">
        <v>72849</v>
      </c>
      <c r="O979" s="17" cm="1">
        <f t="array" ref="O979">(H979-H978)/H978</f>
        <v>-0.0043082389518099</v>
      </c>
      <c r="P979" s="8"/>
      <c r="Q979" s="8"/>
    </row>
    <row r="980" ht="13.65" customHeight="1">
      <c r="A980" s="18">
        <v>45686</v>
      </c>
      <c r="B980" t="s" s="13">
        <v>22</v>
      </c>
      <c r="C980" s="14">
        <v>2241.8</v>
      </c>
      <c r="D980" s="14">
        <v>2246.8</v>
      </c>
      <c r="E980" s="14">
        <v>2212.05</v>
      </c>
      <c r="F980" s="14">
        <v>2241.8</v>
      </c>
      <c r="G980" s="14">
        <v>2223.7</v>
      </c>
      <c r="H980" s="14">
        <v>2223.15</v>
      </c>
      <c r="I980" s="14">
        <v>2225.07</v>
      </c>
      <c r="J980" s="14">
        <v>3394.9</v>
      </c>
      <c r="K980" s="14">
        <v>2207.8</v>
      </c>
      <c r="L980" s="15">
        <v>1281122</v>
      </c>
      <c r="M980" t="s" s="13">
        <v>7277</v>
      </c>
      <c r="N980" s="15">
        <v>75757</v>
      </c>
      <c r="O980" s="17" cm="1">
        <f t="array" ref="O980">(H980-H979)/H979</f>
        <v>-0.00831920777946293</v>
      </c>
      <c r="P980" s="8"/>
      <c r="Q980" s="8"/>
    </row>
    <row r="981" ht="13.65" customHeight="1">
      <c r="A981" s="18">
        <v>45687</v>
      </c>
      <c r="B981" t="s" s="13">
        <v>22</v>
      </c>
      <c r="C981" s="14">
        <v>2223.15</v>
      </c>
      <c r="D981" s="14">
        <v>2259.25</v>
      </c>
      <c r="E981" s="14">
        <v>2215</v>
      </c>
      <c r="F981" s="14">
        <v>2223.15</v>
      </c>
      <c r="G981" s="14">
        <v>2255</v>
      </c>
      <c r="H981" s="14">
        <v>2249.85</v>
      </c>
      <c r="I981" s="14">
        <v>2243.61</v>
      </c>
      <c r="J981" s="14">
        <v>3394.9</v>
      </c>
      <c r="K981" s="14">
        <v>2207.8</v>
      </c>
      <c r="L981" s="15">
        <v>1155749</v>
      </c>
      <c r="M981" t="s" s="13">
        <v>7278</v>
      </c>
      <c r="N981" s="15">
        <v>64226</v>
      </c>
      <c r="O981" s="17" cm="1">
        <f t="array" ref="O981">(H981-H980)/H980</f>
        <v>0.0120099858309156</v>
      </c>
      <c r="P981" s="8"/>
      <c r="Q981" s="8"/>
    </row>
    <row r="982" ht="13.65" customHeight="1">
      <c r="A982" s="18">
        <v>45688</v>
      </c>
      <c r="B982" t="s" s="13">
        <v>22</v>
      </c>
      <c r="C982" s="14">
        <v>2255</v>
      </c>
      <c r="D982" s="14">
        <v>2305</v>
      </c>
      <c r="E982" s="14">
        <v>2234.85</v>
      </c>
      <c r="F982" s="14">
        <v>2249.85</v>
      </c>
      <c r="G982" s="14">
        <v>2305</v>
      </c>
      <c r="H982" s="14">
        <v>2300.8</v>
      </c>
      <c r="I982" s="14">
        <v>2280.31</v>
      </c>
      <c r="J982" s="14">
        <v>3394.9</v>
      </c>
      <c r="K982" s="14">
        <v>2207.8</v>
      </c>
      <c r="L982" s="15">
        <v>1292925</v>
      </c>
      <c r="M982" t="s" s="13">
        <v>7279</v>
      </c>
      <c r="N982" s="15">
        <v>77356</v>
      </c>
      <c r="O982" s="17" cm="1">
        <f t="array" ref="O982">(H982-H981)/H981</f>
        <v>0.0226459541747228</v>
      </c>
      <c r="P982" s="8"/>
      <c r="Q982" s="8"/>
    </row>
    <row r="983" ht="13.65" customHeight="1">
      <c r="A983" s="12">
        <v>45689</v>
      </c>
      <c r="B983" t="s" s="13">
        <v>22</v>
      </c>
      <c r="C983" s="14">
        <v>2312</v>
      </c>
      <c r="D983" s="14">
        <v>2389</v>
      </c>
      <c r="E983" s="14">
        <v>2285.3</v>
      </c>
      <c r="F983" s="14">
        <v>2300.8</v>
      </c>
      <c r="G983" s="14">
        <v>2351.85</v>
      </c>
      <c r="H983" s="14">
        <v>2351.15</v>
      </c>
      <c r="I983" s="14">
        <v>2346.09</v>
      </c>
      <c r="J983" s="14">
        <v>3394.9</v>
      </c>
      <c r="K983" s="14">
        <v>2207.8</v>
      </c>
      <c r="L983" s="15">
        <v>1318652</v>
      </c>
      <c r="M983" t="s" s="13">
        <v>7280</v>
      </c>
      <c r="N983" s="15">
        <v>70668</v>
      </c>
      <c r="O983" s="17" cm="1">
        <f t="array" ref="O983">(H983-H982)/H982</f>
        <v>0.0218836926286509</v>
      </c>
      <c r="P983" s="8"/>
      <c r="Q983" s="8"/>
    </row>
    <row r="984" ht="13.65" customHeight="1">
      <c r="A984" s="12">
        <v>45691</v>
      </c>
      <c r="B984" t="s" s="13">
        <v>22</v>
      </c>
      <c r="C984" s="14">
        <v>2351.15</v>
      </c>
      <c r="D984" s="14">
        <v>2364.45</v>
      </c>
      <c r="E984" s="14">
        <v>2277.7</v>
      </c>
      <c r="F984" s="14">
        <v>2351.15</v>
      </c>
      <c r="G984" s="14">
        <v>2291.15</v>
      </c>
      <c r="H984" s="14">
        <v>2292.25</v>
      </c>
      <c r="I984" s="14">
        <v>2309.88</v>
      </c>
      <c r="J984" s="14">
        <v>3394.9</v>
      </c>
      <c r="K984" s="14">
        <v>2207.8</v>
      </c>
      <c r="L984" s="15">
        <v>1070392</v>
      </c>
      <c r="M984" t="s" s="13">
        <v>7281</v>
      </c>
      <c r="N984" s="15">
        <v>91492</v>
      </c>
      <c r="O984" s="17" cm="1">
        <f t="array" ref="O984">(H984-H983)/H983</f>
        <v>-0.0250515705080493</v>
      </c>
      <c r="P984" s="8"/>
      <c r="Q984" s="8"/>
    </row>
    <row r="985" ht="13.65" customHeight="1">
      <c r="A985" s="12">
        <v>45692</v>
      </c>
      <c r="B985" t="s" s="13">
        <v>22</v>
      </c>
      <c r="C985" s="14">
        <v>2304.65</v>
      </c>
      <c r="D985" s="14">
        <v>2418.6</v>
      </c>
      <c r="E985" s="14">
        <v>2263.75</v>
      </c>
      <c r="F985" s="14">
        <v>2292.25</v>
      </c>
      <c r="G985" s="14">
        <v>2350</v>
      </c>
      <c r="H985" s="14">
        <v>2354.35</v>
      </c>
      <c r="I985" s="14">
        <v>2344.96</v>
      </c>
      <c r="J985" s="14">
        <v>3394.9</v>
      </c>
      <c r="K985" s="14">
        <v>2207.8</v>
      </c>
      <c r="L985" s="15">
        <v>5373740</v>
      </c>
      <c r="M985" t="s" s="13">
        <v>7282</v>
      </c>
      <c r="N985" s="15">
        <v>255010</v>
      </c>
      <c r="O985" s="17" cm="1">
        <f t="array" ref="O985">(H985-H984)/H984</f>
        <v>0.0270912858545098</v>
      </c>
      <c r="P985" s="8"/>
      <c r="Q985" s="8"/>
    </row>
    <row r="986" ht="13.65" customHeight="1">
      <c r="A986" s="12">
        <v>45693</v>
      </c>
      <c r="B986" t="s" s="13">
        <v>22</v>
      </c>
      <c r="C986" s="14">
        <v>2269</v>
      </c>
      <c r="D986" s="14">
        <v>2295.55</v>
      </c>
      <c r="E986" s="14">
        <v>2237.25</v>
      </c>
      <c r="F986" s="14">
        <v>2354.35</v>
      </c>
      <c r="G986" s="14">
        <v>2274.2</v>
      </c>
      <c r="H986" s="14">
        <v>2275.2</v>
      </c>
      <c r="I986" s="14">
        <v>2267.8</v>
      </c>
      <c r="J986" s="14">
        <v>3394.9</v>
      </c>
      <c r="K986" s="14">
        <v>2207.8</v>
      </c>
      <c r="L986" s="15">
        <v>3474657</v>
      </c>
      <c r="M986" t="s" s="13">
        <v>7283</v>
      </c>
      <c r="N986" s="15">
        <v>166103</v>
      </c>
      <c r="O986" s="17" cm="1">
        <f t="array" ref="O986">(H986-H985)/H985</f>
        <v>-0.0336186208507656</v>
      </c>
      <c r="P986" s="8"/>
      <c r="Q986" s="8"/>
    </row>
    <row r="987" ht="13.65" customHeight="1">
      <c r="A987" s="12">
        <v>45694</v>
      </c>
      <c r="B987" t="s" s="13">
        <v>22</v>
      </c>
      <c r="C987" s="14">
        <v>2287.2</v>
      </c>
      <c r="D987" s="14">
        <v>2298.9</v>
      </c>
      <c r="E987" s="14">
        <v>2260.25</v>
      </c>
      <c r="F987" s="14">
        <v>2275.2</v>
      </c>
      <c r="G987" s="14">
        <v>2266</v>
      </c>
      <c r="H987" s="14">
        <v>2263.4</v>
      </c>
      <c r="I987" s="14">
        <v>2274.53</v>
      </c>
      <c r="J987" s="14">
        <v>3394.9</v>
      </c>
      <c r="K987" s="14">
        <v>2207.8</v>
      </c>
      <c r="L987" s="15">
        <v>1285982</v>
      </c>
      <c r="M987" t="s" s="13">
        <v>7284</v>
      </c>
      <c r="N987" s="15">
        <v>87116</v>
      </c>
      <c r="O987" s="17" cm="1">
        <f t="array" ref="O987">(H987-H986)/H986</f>
        <v>-0.00518635724331927</v>
      </c>
      <c r="P987" s="8"/>
      <c r="Q987" s="8"/>
    </row>
    <row r="988" ht="13.65" customHeight="1">
      <c r="A988" s="12">
        <v>45695</v>
      </c>
      <c r="B988" t="s" s="13">
        <v>22</v>
      </c>
      <c r="C988" s="14">
        <v>2266</v>
      </c>
      <c r="D988" s="14">
        <v>2276.3</v>
      </c>
      <c r="E988" s="14">
        <v>2243.2</v>
      </c>
      <c r="F988" s="14">
        <v>2263.4</v>
      </c>
      <c r="G988" s="14">
        <v>2273.8</v>
      </c>
      <c r="H988" s="14">
        <v>2271</v>
      </c>
      <c r="I988" s="14">
        <v>2260.34</v>
      </c>
      <c r="J988" s="14">
        <v>3394.9</v>
      </c>
      <c r="K988" s="14">
        <v>2207.8</v>
      </c>
      <c r="L988" s="15">
        <v>1336756</v>
      </c>
      <c r="M988" t="s" s="13">
        <v>7285</v>
      </c>
      <c r="N988" s="15">
        <v>82789</v>
      </c>
      <c r="O988" s="17" cm="1">
        <f t="array" ref="O988">(H988-H987)/H987</f>
        <v>0.00335778033047627</v>
      </c>
      <c r="P988" s="8"/>
      <c r="Q988" s="8"/>
    </row>
    <row r="989" ht="13.65" customHeight="1">
      <c r="A989" s="18">
        <v>45698</v>
      </c>
      <c r="B989" t="s" s="13">
        <v>22</v>
      </c>
      <c r="C989" s="14">
        <v>2271.05</v>
      </c>
      <c r="D989" s="14">
        <v>2278</v>
      </c>
      <c r="E989" s="14">
        <v>2254</v>
      </c>
      <c r="F989" s="14">
        <v>2271</v>
      </c>
      <c r="G989" s="14">
        <v>2270</v>
      </c>
      <c r="H989" s="14">
        <v>2270.15</v>
      </c>
      <c r="I989" s="14">
        <v>2267.1</v>
      </c>
      <c r="J989" s="14">
        <v>3394.9</v>
      </c>
      <c r="K989" s="14">
        <v>2207.8</v>
      </c>
      <c r="L989" s="15">
        <v>1181565</v>
      </c>
      <c r="M989" t="s" s="13">
        <v>7286</v>
      </c>
      <c r="N989" s="15">
        <v>84314</v>
      </c>
      <c r="O989" s="17" cm="1">
        <f t="array" ref="O989">(H989-H988)/H988</f>
        <v>-0.000374284456186702</v>
      </c>
      <c r="P989" s="8"/>
      <c r="Q989" s="8"/>
    </row>
    <row r="990" ht="13.65" customHeight="1">
      <c r="A990" s="18">
        <v>45699</v>
      </c>
      <c r="B990" t="s" s="13">
        <v>22</v>
      </c>
      <c r="C990" s="14">
        <v>2279</v>
      </c>
      <c r="D990" s="14">
        <v>2282.9</v>
      </c>
      <c r="E990" s="14">
        <v>2226</v>
      </c>
      <c r="F990" s="14">
        <v>2270.15</v>
      </c>
      <c r="G990" s="14">
        <v>2238</v>
      </c>
      <c r="H990" s="14">
        <v>2240.85</v>
      </c>
      <c r="I990" s="14">
        <v>2245.54</v>
      </c>
      <c r="J990" s="14">
        <v>3394.9</v>
      </c>
      <c r="K990" s="14">
        <v>2207.8</v>
      </c>
      <c r="L990" s="15">
        <v>1607952</v>
      </c>
      <c r="M990" t="s" s="13">
        <v>7287</v>
      </c>
      <c r="N990" s="15">
        <v>109879</v>
      </c>
      <c r="O990" s="17" cm="1">
        <f t="array" ref="O990">(H990-H989)/H989</f>
        <v>-0.0129066361253662</v>
      </c>
      <c r="P990" s="8"/>
      <c r="Q990" s="8"/>
    </row>
    <row r="991" ht="13.65" customHeight="1">
      <c r="A991" s="18">
        <v>45700</v>
      </c>
      <c r="B991" t="s" s="13">
        <v>22</v>
      </c>
      <c r="C991" s="14">
        <v>2241.85</v>
      </c>
      <c r="D991" s="14">
        <v>2247.95</v>
      </c>
      <c r="E991" s="14">
        <v>2185.7</v>
      </c>
      <c r="F991" s="14">
        <v>2240.85</v>
      </c>
      <c r="G991" s="14">
        <v>2228</v>
      </c>
      <c r="H991" s="14">
        <v>2228.25</v>
      </c>
      <c r="I991" s="14">
        <v>2216.58</v>
      </c>
      <c r="J991" s="14">
        <v>3394.9</v>
      </c>
      <c r="K991" s="14">
        <v>2185.7</v>
      </c>
      <c r="L991" s="15">
        <v>1181718</v>
      </c>
      <c r="M991" t="s" s="13">
        <v>7288</v>
      </c>
      <c r="N991" s="15">
        <v>100126</v>
      </c>
      <c r="O991" s="17" cm="1">
        <f t="array" ref="O991">(H991-H990)/H990</f>
        <v>-0.00562286632304706</v>
      </c>
      <c r="P991" s="8"/>
      <c r="Q991" s="8"/>
    </row>
    <row r="992" ht="13.65" customHeight="1">
      <c r="A992" s="18">
        <v>45701</v>
      </c>
      <c r="B992" t="s" s="13">
        <v>22</v>
      </c>
      <c r="C992" s="14">
        <v>2228.25</v>
      </c>
      <c r="D992" s="14">
        <v>2249.95</v>
      </c>
      <c r="E992" s="14">
        <v>2220</v>
      </c>
      <c r="F992" s="14">
        <v>2228.25</v>
      </c>
      <c r="G992" s="14">
        <v>2232</v>
      </c>
      <c r="H992" s="14">
        <v>2236.4</v>
      </c>
      <c r="I992" s="14">
        <v>2236.75</v>
      </c>
      <c r="J992" s="14">
        <v>3394.9</v>
      </c>
      <c r="K992" s="14">
        <v>2185.7</v>
      </c>
      <c r="L992" s="15">
        <v>921923</v>
      </c>
      <c r="M992" t="s" s="13">
        <v>7289</v>
      </c>
      <c r="N992" s="15">
        <v>85854</v>
      </c>
      <c r="O992" s="17" cm="1">
        <f t="array" ref="O992">(H992-H991)/H991</f>
        <v>0.00365757881745765</v>
      </c>
      <c r="P992" s="8"/>
      <c r="Q992" s="8"/>
    </row>
    <row r="993" ht="13.65" customHeight="1">
      <c r="A993" s="18">
        <v>45702</v>
      </c>
      <c r="B993" t="s" s="13">
        <v>22</v>
      </c>
      <c r="C993" s="14">
        <v>2236.4</v>
      </c>
      <c r="D993" s="14">
        <v>2250.55</v>
      </c>
      <c r="E993" s="14">
        <v>2203</v>
      </c>
      <c r="F993" s="14">
        <v>2236.4</v>
      </c>
      <c r="G993" s="14">
        <v>2224.95</v>
      </c>
      <c r="H993" s="14">
        <v>2231.3</v>
      </c>
      <c r="I993" s="14">
        <v>2223.47</v>
      </c>
      <c r="J993" s="14">
        <v>3394.9</v>
      </c>
      <c r="K993" s="14">
        <v>2185.7</v>
      </c>
      <c r="L993" s="15">
        <v>1380052</v>
      </c>
      <c r="M993" t="s" s="13">
        <v>7290</v>
      </c>
      <c r="N993" s="15">
        <v>96135</v>
      </c>
      <c r="O993" s="17" cm="1">
        <f t="array" ref="O993">(H993-H992)/H992</f>
        <v>-0.00228045072437847</v>
      </c>
      <c r="P993" s="8"/>
      <c r="Q993" s="8"/>
    </row>
    <row r="994" ht="13.65" customHeight="1">
      <c r="A994" s="18">
        <v>45705</v>
      </c>
      <c r="B994" t="s" s="13">
        <v>22</v>
      </c>
      <c r="C994" s="14">
        <v>2231.3</v>
      </c>
      <c r="D994" s="14">
        <v>2260</v>
      </c>
      <c r="E994" s="14">
        <v>2226.05</v>
      </c>
      <c r="F994" s="14">
        <v>2231.3</v>
      </c>
      <c r="G994" s="14">
        <v>2249.5</v>
      </c>
      <c r="H994" s="14">
        <v>2250.85</v>
      </c>
      <c r="I994" s="14">
        <v>2247.92</v>
      </c>
      <c r="J994" s="14">
        <v>3394.9</v>
      </c>
      <c r="K994" s="14">
        <v>2185.7</v>
      </c>
      <c r="L994" s="15">
        <v>923979</v>
      </c>
      <c r="M994" t="s" s="13">
        <v>7291</v>
      </c>
      <c r="N994" s="15">
        <v>59539</v>
      </c>
      <c r="O994" s="17" cm="1">
        <f t="array" ref="O994">(H994-H993)/H993</f>
        <v>0.00876170842109981</v>
      </c>
      <c r="P994" s="8"/>
      <c r="Q994" s="8"/>
    </row>
    <row r="995" ht="13.65" customHeight="1">
      <c r="A995" s="18">
        <v>45706</v>
      </c>
      <c r="B995" t="s" s="13">
        <v>22</v>
      </c>
      <c r="C995" s="14">
        <v>2248</v>
      </c>
      <c r="D995" s="14">
        <v>2251.95</v>
      </c>
      <c r="E995" s="14">
        <v>2218.75</v>
      </c>
      <c r="F995" s="14">
        <v>2250.85</v>
      </c>
      <c r="G995" s="14">
        <v>2232.65</v>
      </c>
      <c r="H995" s="14">
        <v>2237.6</v>
      </c>
      <c r="I995" s="14">
        <v>2232.03</v>
      </c>
      <c r="J995" s="14">
        <v>3394.9</v>
      </c>
      <c r="K995" s="14">
        <v>2185.7</v>
      </c>
      <c r="L995" s="15">
        <v>735853</v>
      </c>
      <c r="M995" t="s" s="13">
        <v>7292</v>
      </c>
      <c r="N995" s="15">
        <v>64195</v>
      </c>
      <c r="O995" s="17" cm="1">
        <f t="array" ref="O995">(H995-H994)/H994</f>
        <v>-0.00588666503765244</v>
      </c>
      <c r="P995" s="8"/>
      <c r="Q995" s="8"/>
    </row>
    <row r="996" ht="13.65" customHeight="1">
      <c r="A996" s="18">
        <v>45707</v>
      </c>
      <c r="B996" t="s" s="13">
        <v>22</v>
      </c>
      <c r="C996" s="14">
        <v>2237.6</v>
      </c>
      <c r="D996" s="14">
        <v>2249.8</v>
      </c>
      <c r="E996" s="14">
        <v>2226.1</v>
      </c>
      <c r="F996" s="14">
        <v>2237.6</v>
      </c>
      <c r="G996" s="14">
        <v>2239.7</v>
      </c>
      <c r="H996" s="14">
        <v>2239.1</v>
      </c>
      <c r="I996" s="14">
        <v>2238.83</v>
      </c>
      <c r="J996" s="14">
        <v>3394.9</v>
      </c>
      <c r="K996" s="14">
        <v>2185.7</v>
      </c>
      <c r="L996" s="15">
        <v>645236</v>
      </c>
      <c r="M996" t="s" s="13">
        <v>7293</v>
      </c>
      <c r="N996" s="15">
        <v>55477</v>
      </c>
      <c r="O996" s="17" cm="1">
        <f t="array" ref="O996">(H996-H995)/H995</f>
        <v>0.000670361101179836</v>
      </c>
      <c r="P996" s="8"/>
      <c r="Q996" s="8"/>
    </row>
    <row r="997" ht="13.65" customHeight="1">
      <c r="A997" s="18">
        <v>45708</v>
      </c>
      <c r="B997" t="s" s="13">
        <v>22</v>
      </c>
      <c r="C997" s="14">
        <v>2239.1</v>
      </c>
      <c r="D997" s="14">
        <v>2257.1</v>
      </c>
      <c r="E997" s="14">
        <v>2231.05</v>
      </c>
      <c r="F997" s="14">
        <v>2239.1</v>
      </c>
      <c r="G997" s="14">
        <v>2247.9</v>
      </c>
      <c r="H997" s="14">
        <v>2249.05</v>
      </c>
      <c r="I997" s="14">
        <v>2248.55</v>
      </c>
      <c r="J997" s="14">
        <v>3394.9</v>
      </c>
      <c r="K997" s="14">
        <v>2185.7</v>
      </c>
      <c r="L997" s="15">
        <v>637444</v>
      </c>
      <c r="M997" t="s" s="13">
        <v>7294</v>
      </c>
      <c r="N997" s="15">
        <v>51610</v>
      </c>
      <c r="O997" s="17" cm="1">
        <f t="array" ref="O997">(H997-H996)/H996</f>
        <v>0.00444374972086999</v>
      </c>
      <c r="P997" s="8"/>
      <c r="Q997" s="8"/>
    </row>
    <row r="998" ht="13.65" customHeight="1">
      <c r="A998" s="18">
        <v>45709</v>
      </c>
      <c r="B998" t="s" s="13">
        <v>22</v>
      </c>
      <c r="C998" s="14">
        <v>2249.05</v>
      </c>
      <c r="D998" s="14">
        <v>2265.8</v>
      </c>
      <c r="E998" s="14">
        <v>2237</v>
      </c>
      <c r="F998" s="14">
        <v>2249.05</v>
      </c>
      <c r="G998" s="14">
        <v>2254</v>
      </c>
      <c r="H998" s="14">
        <v>2257.6</v>
      </c>
      <c r="I998" s="14">
        <v>2250.9</v>
      </c>
      <c r="J998" s="14">
        <v>3394.9</v>
      </c>
      <c r="K998" s="14">
        <v>2185.7</v>
      </c>
      <c r="L998" s="15">
        <v>755633</v>
      </c>
      <c r="M998" t="s" s="13">
        <v>7295</v>
      </c>
      <c r="N998" s="15">
        <v>45219</v>
      </c>
      <c r="O998" s="17" cm="1">
        <f t="array" ref="O998">(H998-H997)/H997</f>
        <v>0.00380160512216269</v>
      </c>
      <c r="P998" s="8"/>
      <c r="Q998" s="8"/>
    </row>
    <row r="999" ht="13.65" customHeight="1">
      <c r="A999" s="18">
        <v>45712</v>
      </c>
      <c r="B999" t="s" s="13">
        <v>22</v>
      </c>
      <c r="C999" s="14">
        <v>2245.9</v>
      </c>
      <c r="D999" s="14">
        <v>2259</v>
      </c>
      <c r="E999" s="14">
        <v>2241</v>
      </c>
      <c r="F999" s="14">
        <v>2257.6</v>
      </c>
      <c r="G999" s="14">
        <v>2243.9</v>
      </c>
      <c r="H999" s="14">
        <v>2246.2</v>
      </c>
      <c r="I999" s="14">
        <v>2249.63</v>
      </c>
      <c r="J999" s="14">
        <v>3394.9</v>
      </c>
      <c r="K999" s="14">
        <v>2185.7</v>
      </c>
      <c r="L999" s="15">
        <v>765060</v>
      </c>
      <c r="M999" t="s" s="13">
        <v>7296</v>
      </c>
      <c r="N999" s="15">
        <v>73952</v>
      </c>
      <c r="O999" s="17" cm="1">
        <f t="array" ref="O999">(H999-H998)/H998</f>
        <v>-0.00504961020552799</v>
      </c>
      <c r="P999" s="8"/>
      <c r="Q999" s="8"/>
    </row>
    <row r="1000" ht="13.65" customHeight="1">
      <c r="A1000" s="18">
        <v>45713</v>
      </c>
      <c r="B1000" t="s" s="13">
        <v>22</v>
      </c>
      <c r="C1000" s="14">
        <v>2246.2</v>
      </c>
      <c r="D1000" s="14">
        <v>2257.1</v>
      </c>
      <c r="E1000" s="14">
        <v>2217.7</v>
      </c>
      <c r="F1000" s="14">
        <v>2246.2</v>
      </c>
      <c r="G1000" s="14">
        <v>2218.1</v>
      </c>
      <c r="H1000" s="14">
        <v>2224.75</v>
      </c>
      <c r="I1000" s="14">
        <v>2239.74</v>
      </c>
      <c r="J1000" s="14">
        <v>3394.9</v>
      </c>
      <c r="K1000" s="14">
        <v>2185.7</v>
      </c>
      <c r="L1000" s="15">
        <v>947724</v>
      </c>
      <c r="M1000" t="s" s="13">
        <v>7297</v>
      </c>
      <c r="N1000" s="15">
        <v>75396</v>
      </c>
      <c r="O1000" s="17" cm="1">
        <f t="array" ref="O1000">(H1000-H999)/H999</f>
        <v>-0.009549461312438791</v>
      </c>
      <c r="P1000" s="8"/>
      <c r="Q1000" s="8"/>
    </row>
    <row r="1001" ht="13.65" customHeight="1">
      <c r="A1001" s="18">
        <v>45715</v>
      </c>
      <c r="B1001" t="s" s="13">
        <v>22</v>
      </c>
      <c r="C1001" s="14">
        <v>2214</v>
      </c>
      <c r="D1001" s="14">
        <v>2228.4</v>
      </c>
      <c r="E1001" s="14">
        <v>2198</v>
      </c>
      <c r="F1001" s="14">
        <v>2224.75</v>
      </c>
      <c r="G1001" s="14">
        <v>2211.05</v>
      </c>
      <c r="H1001" s="14">
        <v>2213.65</v>
      </c>
      <c r="I1001" s="14">
        <v>2212.79</v>
      </c>
      <c r="J1001" s="14">
        <v>3394.9</v>
      </c>
      <c r="K1001" s="14">
        <v>2185.7</v>
      </c>
      <c r="L1001" s="15">
        <v>1027196</v>
      </c>
      <c r="M1001" t="s" s="13">
        <v>7298</v>
      </c>
      <c r="N1001" s="15">
        <v>95543</v>
      </c>
      <c r="O1001" s="17" cm="1">
        <f t="array" ref="O1001">(H1001-H1000)/H1000</f>
        <v>-0.00498932464321834</v>
      </c>
      <c r="P1001" s="8"/>
      <c r="Q1001" s="8"/>
    </row>
    <row r="1002" ht="13.65" customHeight="1">
      <c r="A1002" s="18">
        <v>45716</v>
      </c>
      <c r="B1002" t="s" s="13">
        <v>22</v>
      </c>
      <c r="C1002" s="14">
        <v>2210</v>
      </c>
      <c r="D1002" s="14">
        <v>2211.35</v>
      </c>
      <c r="E1002" s="14">
        <v>2175.8</v>
      </c>
      <c r="F1002" s="14">
        <v>2213.65</v>
      </c>
      <c r="G1002" s="14">
        <v>2181.2</v>
      </c>
      <c r="H1002" s="14">
        <v>2179.75</v>
      </c>
      <c r="I1002" s="14">
        <v>2186.11</v>
      </c>
      <c r="J1002" s="14">
        <v>3394.9</v>
      </c>
      <c r="K1002" s="14">
        <v>2175.8</v>
      </c>
      <c r="L1002" s="15">
        <v>1701193</v>
      </c>
      <c r="M1002" t="s" s="13">
        <v>7299</v>
      </c>
      <c r="N1002" s="15">
        <v>99936</v>
      </c>
      <c r="O1002" s="17" cm="1">
        <f t="array" ref="O1002">(H1002-H1001)/H1001</f>
        <v>-0.0153140740406117</v>
      </c>
      <c r="P1002" s="8"/>
      <c r="Q1002" s="8"/>
    </row>
    <row r="1003" ht="13.65" customHeight="1">
      <c r="A1003" s="12">
        <v>45719</v>
      </c>
      <c r="B1003" t="s" s="13">
        <v>22</v>
      </c>
      <c r="C1003" s="14">
        <v>2179.75</v>
      </c>
      <c r="D1003" s="14">
        <v>2193.35</v>
      </c>
      <c r="E1003" s="14">
        <v>2129</v>
      </c>
      <c r="F1003" s="14">
        <v>2179.75</v>
      </c>
      <c r="G1003" s="14">
        <v>2180.4</v>
      </c>
      <c r="H1003" s="14">
        <v>2166.4</v>
      </c>
      <c r="I1003" s="14">
        <v>2155.65</v>
      </c>
      <c r="J1003" s="14">
        <v>3394.9</v>
      </c>
      <c r="K1003" s="14">
        <v>2129</v>
      </c>
      <c r="L1003" s="15">
        <v>959075</v>
      </c>
      <c r="M1003" t="s" s="13">
        <v>7300</v>
      </c>
      <c r="N1003" s="15">
        <v>74350</v>
      </c>
      <c r="O1003" s="17" cm="1">
        <f t="array" ref="O1003">(H1003-H1002)/H1002</f>
        <v>-0.00612455556829912</v>
      </c>
      <c r="P1003" s="8"/>
      <c r="Q1003" s="8"/>
    </row>
    <row r="1004" ht="13.65" customHeight="1">
      <c r="A1004" s="12">
        <v>45720</v>
      </c>
      <c r="B1004" t="s" s="13">
        <v>22</v>
      </c>
      <c r="C1004" s="14">
        <v>2154.05</v>
      </c>
      <c r="D1004" s="14">
        <v>2159.85</v>
      </c>
      <c r="E1004" s="14">
        <v>2124.75</v>
      </c>
      <c r="F1004" s="14">
        <v>2166.4</v>
      </c>
      <c r="G1004" s="14">
        <v>2128</v>
      </c>
      <c r="H1004" s="14">
        <v>2132.1</v>
      </c>
      <c r="I1004" s="14">
        <v>2140.96</v>
      </c>
      <c r="J1004" s="14">
        <v>3394.9</v>
      </c>
      <c r="K1004" s="14">
        <v>2124.75</v>
      </c>
      <c r="L1004" s="15">
        <v>2181015</v>
      </c>
      <c r="M1004" t="s" s="13">
        <v>7301</v>
      </c>
      <c r="N1004" s="15">
        <v>100470</v>
      </c>
      <c r="O1004" s="17" cm="1">
        <f t="array" ref="O1004">(H1004-H1003)/H1003</f>
        <v>-0.015832717872969</v>
      </c>
      <c r="P1004" s="8"/>
      <c r="Q1004" s="8"/>
    </row>
    <row r="1005" ht="13.65" customHeight="1">
      <c r="A1005" s="12">
        <v>45721</v>
      </c>
      <c r="B1005" t="s" s="13">
        <v>22</v>
      </c>
      <c r="C1005" s="14">
        <v>2132</v>
      </c>
      <c r="D1005" s="14">
        <v>2182.8</v>
      </c>
      <c r="E1005" s="14">
        <v>2124.75</v>
      </c>
      <c r="F1005" s="14">
        <v>2132.1</v>
      </c>
      <c r="G1005" s="14">
        <v>2168.4</v>
      </c>
      <c r="H1005" s="14">
        <v>2164.15</v>
      </c>
      <c r="I1005" s="14">
        <v>2158.03</v>
      </c>
      <c r="J1005" s="14">
        <v>3394.9</v>
      </c>
      <c r="K1005" s="14">
        <v>2124.75</v>
      </c>
      <c r="L1005" s="15">
        <v>1535212</v>
      </c>
      <c r="M1005" t="s" s="13">
        <v>7302</v>
      </c>
      <c r="N1005" s="15">
        <v>82283</v>
      </c>
      <c r="O1005" s="17" cm="1">
        <f t="array" ref="O1005">(H1005-H1004)/H1004</f>
        <v>0.0150321279489705</v>
      </c>
      <c r="P1005" s="8"/>
      <c r="Q1005" s="8"/>
    </row>
    <row r="1006" ht="13.65" customHeight="1">
      <c r="A1006" s="12">
        <v>45722</v>
      </c>
      <c r="B1006" t="s" s="13">
        <v>22</v>
      </c>
      <c r="C1006" s="14">
        <v>2189.85</v>
      </c>
      <c r="D1006" s="14">
        <v>2275</v>
      </c>
      <c r="E1006" s="14">
        <v>2183.1</v>
      </c>
      <c r="F1006" s="14">
        <v>2164.15</v>
      </c>
      <c r="G1006" s="14">
        <v>2267</v>
      </c>
      <c r="H1006" s="14">
        <v>2267.7</v>
      </c>
      <c r="I1006" s="14">
        <v>2245.27</v>
      </c>
      <c r="J1006" s="14">
        <v>3394.9</v>
      </c>
      <c r="K1006" s="14">
        <v>2124.75</v>
      </c>
      <c r="L1006" s="15">
        <v>1985096</v>
      </c>
      <c r="M1006" t="s" s="13">
        <v>7303</v>
      </c>
      <c r="N1006" s="15">
        <v>129082</v>
      </c>
      <c r="O1006" s="17" cm="1">
        <f t="array" ref="O1006">(H1006-H1005)/H1005</f>
        <v>0.0478478848508652</v>
      </c>
      <c r="P1006" s="8"/>
      <c r="Q1006" s="8"/>
    </row>
    <row r="1007" ht="13.65" customHeight="1">
      <c r="A1007" s="12">
        <v>45723</v>
      </c>
      <c r="B1007" t="s" s="13">
        <v>22</v>
      </c>
      <c r="C1007" s="14">
        <v>2267.7</v>
      </c>
      <c r="D1007" s="14">
        <v>2277.95</v>
      </c>
      <c r="E1007" s="14">
        <v>2248</v>
      </c>
      <c r="F1007" s="14">
        <v>2267.7</v>
      </c>
      <c r="G1007" s="14">
        <v>2262.1</v>
      </c>
      <c r="H1007" s="14">
        <v>2270</v>
      </c>
      <c r="I1007" s="14">
        <v>2264.87</v>
      </c>
      <c r="J1007" s="14">
        <v>3394.9</v>
      </c>
      <c r="K1007" s="14">
        <v>2124.75</v>
      </c>
      <c r="L1007" s="15">
        <v>921429</v>
      </c>
      <c r="M1007" t="s" s="13">
        <v>7304</v>
      </c>
      <c r="N1007" s="15">
        <v>53822</v>
      </c>
      <c r="O1007" s="17" cm="1">
        <f t="array" ref="O1007">(H1007-H1006)/H1006</f>
        <v>0.00101424350663668</v>
      </c>
      <c r="P1007" s="8"/>
      <c r="Q1007" s="8"/>
    </row>
    <row r="1008" ht="13.65" customHeight="1">
      <c r="A1008" s="18">
        <v>45726</v>
      </c>
      <c r="B1008" t="s" s="13">
        <v>22</v>
      </c>
      <c r="C1008" s="14">
        <v>2270</v>
      </c>
      <c r="D1008" s="14">
        <v>2293</v>
      </c>
      <c r="E1008" s="14">
        <v>2261.85</v>
      </c>
      <c r="F1008" s="14">
        <v>2270</v>
      </c>
      <c r="G1008" s="14">
        <v>2273.6</v>
      </c>
      <c r="H1008" s="14">
        <v>2278.6</v>
      </c>
      <c r="I1008" s="14">
        <v>2281.33</v>
      </c>
      <c r="J1008" s="14">
        <v>3394.9</v>
      </c>
      <c r="K1008" s="14">
        <v>2124.75</v>
      </c>
      <c r="L1008" s="15">
        <v>1072395</v>
      </c>
      <c r="M1008" t="s" s="13">
        <v>7305</v>
      </c>
      <c r="N1008" s="15">
        <v>67199</v>
      </c>
      <c r="O1008" s="17" cm="1">
        <f t="array" ref="O1008">(H1008-H1007)/H1007</f>
        <v>0.00378854625550661</v>
      </c>
      <c r="P1008" s="8"/>
      <c r="Q1008" s="8"/>
    </row>
    <row r="1009" ht="13.65" customHeight="1">
      <c r="A1009" s="18">
        <v>45727</v>
      </c>
      <c r="B1009" t="s" s="13">
        <v>22</v>
      </c>
      <c r="C1009" s="14">
        <v>2274</v>
      </c>
      <c r="D1009" s="14">
        <v>2290.9</v>
      </c>
      <c r="E1009" s="14">
        <v>2257.9</v>
      </c>
      <c r="F1009" s="14">
        <v>2278.6</v>
      </c>
      <c r="G1009" s="14">
        <v>2286</v>
      </c>
      <c r="H1009" s="14">
        <v>2287.4</v>
      </c>
      <c r="I1009" s="14">
        <v>2281.69</v>
      </c>
      <c r="J1009" s="14">
        <v>3394.9</v>
      </c>
      <c r="K1009" s="14">
        <v>2124.75</v>
      </c>
      <c r="L1009" s="15">
        <v>601228</v>
      </c>
      <c r="M1009" t="s" s="13">
        <v>7306</v>
      </c>
      <c r="N1009" s="15">
        <v>45071</v>
      </c>
      <c r="O1009" s="17" cm="1">
        <f t="array" ref="O1009">(H1009-H1008)/H1008</f>
        <v>0.00386202053892741</v>
      </c>
      <c r="P1009" s="8"/>
      <c r="Q1009" s="8"/>
    </row>
    <row r="1010" ht="13.65" customHeight="1">
      <c r="A1010" s="18">
        <v>45728</v>
      </c>
      <c r="B1010" t="s" s="13">
        <v>22</v>
      </c>
      <c r="C1010" s="14">
        <v>2287.4</v>
      </c>
      <c r="D1010" s="14">
        <v>2295.95</v>
      </c>
      <c r="E1010" s="14">
        <v>2247</v>
      </c>
      <c r="F1010" s="14">
        <v>2287.4</v>
      </c>
      <c r="G1010" s="14">
        <v>2250</v>
      </c>
      <c r="H1010" s="14">
        <v>2251.3</v>
      </c>
      <c r="I1010" s="14">
        <v>2261.49</v>
      </c>
      <c r="J1010" s="14">
        <v>3394.9</v>
      </c>
      <c r="K1010" s="14">
        <v>2124.75</v>
      </c>
      <c r="L1010" s="15">
        <v>749232</v>
      </c>
      <c r="M1010" t="s" s="13">
        <v>7307</v>
      </c>
      <c r="N1010" s="15">
        <v>43263</v>
      </c>
      <c r="O1010" s="17" cm="1">
        <f t="array" ref="O1010">(H1010-H1009)/H1009</f>
        <v>-0.0157821106933636</v>
      </c>
      <c r="P1010" s="8"/>
      <c r="Q1010" s="8"/>
    </row>
    <row r="1011" ht="13.65" customHeight="1">
      <c r="A1011" s="18">
        <v>45729</v>
      </c>
      <c r="B1011" t="s" s="13">
        <v>22</v>
      </c>
      <c r="C1011" s="14">
        <v>2255.25</v>
      </c>
      <c r="D1011" s="14">
        <v>2257.2</v>
      </c>
      <c r="E1011" s="14">
        <v>2222.5</v>
      </c>
      <c r="F1011" s="14">
        <v>2251.3</v>
      </c>
      <c r="G1011" s="14">
        <v>2228</v>
      </c>
      <c r="H1011" s="14">
        <v>2231.3</v>
      </c>
      <c r="I1011" s="14">
        <v>2239.46</v>
      </c>
      <c r="J1011" s="14">
        <v>3394.9</v>
      </c>
      <c r="K1011" s="14">
        <v>2124.75</v>
      </c>
      <c r="L1011" s="15">
        <v>747500</v>
      </c>
      <c r="M1011" t="s" s="13">
        <v>7308</v>
      </c>
      <c r="N1011" s="15">
        <v>56228</v>
      </c>
      <c r="O1011" s="17" cm="1">
        <f t="array" ref="O1011">(H1011-H1010)/H1010</f>
        <v>-0.00888375605205881</v>
      </c>
      <c r="P1011" s="8"/>
      <c r="Q1011" s="8"/>
    </row>
    <row r="1012" ht="13.65" customHeight="1">
      <c r="A1012" s="18">
        <v>45733</v>
      </c>
      <c r="B1012" t="s" s="13">
        <v>22</v>
      </c>
      <c r="C1012" s="14">
        <v>2205</v>
      </c>
      <c r="D1012" s="14">
        <v>2239.25</v>
      </c>
      <c r="E1012" s="14">
        <v>2196.05</v>
      </c>
      <c r="F1012" s="14">
        <v>2231.3</v>
      </c>
      <c r="G1012" s="14">
        <v>2222</v>
      </c>
      <c r="H1012" s="14">
        <v>2219.55</v>
      </c>
      <c r="I1012" s="14">
        <v>2211.29</v>
      </c>
      <c r="J1012" s="14">
        <v>3394.9</v>
      </c>
      <c r="K1012" s="14">
        <v>2124.75</v>
      </c>
      <c r="L1012" s="15">
        <v>838016</v>
      </c>
      <c r="M1012" t="s" s="13">
        <v>7309</v>
      </c>
      <c r="N1012" s="15">
        <v>46143</v>
      </c>
      <c r="O1012" s="17" cm="1">
        <f t="array" ref="O1012">(H1012-H1011)/H1011</f>
        <v>-0.0052659884372339</v>
      </c>
      <c r="P1012" s="8"/>
      <c r="Q1012" s="8"/>
    </row>
    <row r="1013" ht="13.65" customHeight="1">
      <c r="A1013" s="18">
        <v>45734</v>
      </c>
      <c r="B1013" t="s" s="13">
        <v>22</v>
      </c>
      <c r="C1013" s="14">
        <v>2230.65</v>
      </c>
      <c r="D1013" s="14">
        <v>2290</v>
      </c>
      <c r="E1013" s="14">
        <v>2222.75</v>
      </c>
      <c r="F1013" s="14">
        <v>2219.55</v>
      </c>
      <c r="G1013" s="14">
        <v>2275</v>
      </c>
      <c r="H1013" s="14">
        <v>2273.95</v>
      </c>
      <c r="I1013" s="14">
        <v>2262.07</v>
      </c>
      <c r="J1013" s="14">
        <v>3394.9</v>
      </c>
      <c r="K1013" s="14">
        <v>2124.75</v>
      </c>
      <c r="L1013" s="15">
        <v>816364</v>
      </c>
      <c r="M1013" t="s" s="13">
        <v>7310</v>
      </c>
      <c r="N1013" s="15">
        <v>59044</v>
      </c>
      <c r="O1013" s="17" cm="1">
        <f t="array" ref="O1013">(H1013-H1012)/H1012</f>
        <v>0.0245094726408506</v>
      </c>
      <c r="P1013" s="8"/>
      <c r="Q1013" s="8"/>
    </row>
    <row r="1014" ht="13.65" customHeight="1">
      <c r="A1014" s="18">
        <v>45735</v>
      </c>
      <c r="B1014" t="s" s="13">
        <v>22</v>
      </c>
      <c r="C1014" s="14">
        <v>2274</v>
      </c>
      <c r="D1014" s="14">
        <v>2287.95</v>
      </c>
      <c r="E1014" s="14">
        <v>2267.85</v>
      </c>
      <c r="F1014" s="14">
        <v>2273.95</v>
      </c>
      <c r="G1014" s="14">
        <v>2281</v>
      </c>
      <c r="H1014" s="14">
        <v>2280.7</v>
      </c>
      <c r="I1014" s="14">
        <v>2279.37</v>
      </c>
      <c r="J1014" s="14">
        <v>3394.9</v>
      </c>
      <c r="K1014" s="14">
        <v>2124.75</v>
      </c>
      <c r="L1014" s="15">
        <v>663342</v>
      </c>
      <c r="M1014" t="s" s="13">
        <v>7311</v>
      </c>
      <c r="N1014" s="15">
        <v>37919</v>
      </c>
      <c r="O1014" s="17" cm="1">
        <f t="array" ref="O1014">(H1014-H1013)/H1013</f>
        <v>0.00296840299918644</v>
      </c>
      <c r="P1014" s="8"/>
      <c r="Q1014" s="8"/>
    </row>
    <row r="1015" ht="13.65" customHeight="1">
      <c r="A1015" s="18">
        <v>45736</v>
      </c>
      <c r="B1015" t="s" s="13">
        <v>22</v>
      </c>
      <c r="C1015" s="14">
        <v>2290</v>
      </c>
      <c r="D1015" s="14">
        <v>2307</v>
      </c>
      <c r="E1015" s="14">
        <v>2268.75</v>
      </c>
      <c r="F1015" s="14">
        <v>2280.7</v>
      </c>
      <c r="G1015" s="14">
        <v>2282.8</v>
      </c>
      <c r="H1015" s="14">
        <v>2287.2</v>
      </c>
      <c r="I1015" s="14">
        <v>2289.27</v>
      </c>
      <c r="J1015" s="14">
        <v>3394.9</v>
      </c>
      <c r="K1015" s="14">
        <v>2124.75</v>
      </c>
      <c r="L1015" s="15">
        <v>1166849</v>
      </c>
      <c r="M1015" t="s" s="13">
        <v>7312</v>
      </c>
      <c r="N1015" s="15">
        <v>66693</v>
      </c>
      <c r="O1015" s="17" cm="1">
        <f t="array" ref="O1015">(H1015-H1014)/H1014</f>
        <v>0.00285000219230938</v>
      </c>
      <c r="P1015" s="8"/>
      <c r="Q1015" s="8"/>
    </row>
    <row r="1016" ht="13.65" customHeight="1">
      <c r="A1016" s="18">
        <v>45737</v>
      </c>
      <c r="B1016" t="s" s="13">
        <v>22</v>
      </c>
      <c r="C1016" s="14">
        <v>2291.65</v>
      </c>
      <c r="D1016" s="14">
        <v>2314.5</v>
      </c>
      <c r="E1016" s="14">
        <v>2277.85</v>
      </c>
      <c r="F1016" s="14">
        <v>2287.2</v>
      </c>
      <c r="G1016" s="14">
        <v>2301.1</v>
      </c>
      <c r="H1016" s="14">
        <v>2300.4</v>
      </c>
      <c r="I1016" s="14">
        <v>2302.23</v>
      </c>
      <c r="J1016" s="14">
        <v>3394.9</v>
      </c>
      <c r="K1016" s="14">
        <v>2124.75</v>
      </c>
      <c r="L1016" s="15">
        <v>1624115</v>
      </c>
      <c r="M1016" t="s" s="13">
        <v>7313</v>
      </c>
      <c r="N1016" s="15">
        <v>72528</v>
      </c>
      <c r="O1016" s="17" cm="1">
        <f t="array" ref="O1016">(H1016-H1015)/H1015</f>
        <v>0.00577124868835257</v>
      </c>
      <c r="P1016" s="8"/>
      <c r="Q1016" s="8"/>
    </row>
    <row r="1017" ht="13.65" customHeight="1">
      <c r="A1017" s="18">
        <v>45740</v>
      </c>
      <c r="B1017" t="s" s="13">
        <v>22</v>
      </c>
      <c r="C1017" s="14">
        <v>2302.4</v>
      </c>
      <c r="D1017" s="14">
        <v>2330.25</v>
      </c>
      <c r="E1017" s="14">
        <v>2302.1</v>
      </c>
      <c r="F1017" s="14">
        <v>2300.4</v>
      </c>
      <c r="G1017" s="14">
        <v>2318.5</v>
      </c>
      <c r="H1017" s="14">
        <v>2322.5</v>
      </c>
      <c r="I1017" s="14">
        <v>2315.43</v>
      </c>
      <c r="J1017" s="14">
        <v>3394.9</v>
      </c>
      <c r="K1017" s="14">
        <v>2124.75</v>
      </c>
      <c r="L1017" s="15">
        <v>1100353</v>
      </c>
      <c r="M1017" t="s" s="13">
        <v>7314</v>
      </c>
      <c r="N1017" s="15">
        <v>58769</v>
      </c>
      <c r="O1017" s="17" cm="1">
        <f t="array" ref="O1017">(H1017-H1016)/H1016</f>
        <v>0.009607024865240831</v>
      </c>
      <c r="P1017" s="8"/>
      <c r="Q1017" s="8"/>
    </row>
    <row r="1018" ht="13.65" customHeight="1">
      <c r="A1018" s="18">
        <v>45741</v>
      </c>
      <c r="B1018" t="s" s="13">
        <v>22</v>
      </c>
      <c r="C1018" s="14">
        <v>2325</v>
      </c>
      <c r="D1018" s="14">
        <v>2344.5</v>
      </c>
      <c r="E1018" s="14">
        <v>2308</v>
      </c>
      <c r="F1018" s="14">
        <v>2322.5</v>
      </c>
      <c r="G1018" s="14">
        <v>2324</v>
      </c>
      <c r="H1018" s="14">
        <v>2330.75</v>
      </c>
      <c r="I1018" s="14">
        <v>2325.8</v>
      </c>
      <c r="J1018" s="14">
        <v>3394.9</v>
      </c>
      <c r="K1018" s="14">
        <v>2124.75</v>
      </c>
      <c r="L1018" s="15">
        <v>1828005</v>
      </c>
      <c r="M1018" t="s" s="13">
        <v>7315</v>
      </c>
      <c r="N1018" s="15">
        <v>89092</v>
      </c>
      <c r="O1018" s="17" cm="1">
        <f t="array" ref="O1018">(H1018-H1017)/H1017</f>
        <v>0.00355220667384284</v>
      </c>
      <c r="P1018" s="8"/>
      <c r="Q1018" s="8"/>
    </row>
    <row r="1019" ht="13.65" customHeight="1">
      <c r="A1019" s="18">
        <v>45742</v>
      </c>
      <c r="B1019" t="s" s="13">
        <v>22</v>
      </c>
      <c r="C1019" s="14">
        <v>2340</v>
      </c>
      <c r="D1019" s="14">
        <v>2340.95</v>
      </c>
      <c r="E1019" s="14">
        <v>2304</v>
      </c>
      <c r="F1019" s="14">
        <v>2330.75</v>
      </c>
      <c r="G1019" s="14">
        <v>2315</v>
      </c>
      <c r="H1019" s="14">
        <v>2323.15</v>
      </c>
      <c r="I1019" s="14">
        <v>2319.07</v>
      </c>
      <c r="J1019" s="14">
        <v>3394.9</v>
      </c>
      <c r="K1019" s="14">
        <v>2124.75</v>
      </c>
      <c r="L1019" s="15">
        <v>1934492</v>
      </c>
      <c r="M1019" t="s" s="13">
        <v>7316</v>
      </c>
      <c r="N1019" s="15">
        <v>91980</v>
      </c>
      <c r="O1019" s="17" cm="1">
        <f t="array" ref="O1019">(H1019-H1018)/H1018</f>
        <v>-0.00326075297650971</v>
      </c>
      <c r="P1019" s="8"/>
      <c r="Q1019" s="8"/>
    </row>
    <row r="1020" ht="13.65" customHeight="1">
      <c r="A1020" s="18">
        <v>45743</v>
      </c>
      <c r="B1020" t="s" s="13">
        <v>22</v>
      </c>
      <c r="C1020" s="14">
        <v>2315</v>
      </c>
      <c r="D1020" s="14">
        <v>2350.1</v>
      </c>
      <c r="E1020" s="14">
        <v>2290.5</v>
      </c>
      <c r="F1020" s="14">
        <v>2323.15</v>
      </c>
      <c r="G1020" s="14">
        <v>2340</v>
      </c>
      <c r="H1020" s="14">
        <v>2338.1</v>
      </c>
      <c r="I1020" s="14">
        <v>2330.53</v>
      </c>
      <c r="J1020" s="14">
        <v>3394.9</v>
      </c>
      <c r="K1020" s="14">
        <v>2124.75</v>
      </c>
      <c r="L1020" s="15">
        <v>1497869</v>
      </c>
      <c r="M1020" t="s" s="13">
        <v>7317</v>
      </c>
      <c r="N1020" s="15">
        <v>80747</v>
      </c>
      <c r="O1020" s="17" cm="1">
        <f t="array" ref="O1020">(H1020-H1019)/H1019</f>
        <v>0.00643522803090631</v>
      </c>
      <c r="P1020" s="8"/>
      <c r="Q1020" s="8"/>
    </row>
    <row r="1021" ht="13.65" customHeight="1">
      <c r="A1021" s="18">
        <v>45744</v>
      </c>
      <c r="B1021" t="s" s="13">
        <v>22</v>
      </c>
      <c r="C1021" s="14">
        <v>2343.95</v>
      </c>
      <c r="D1021" s="14">
        <v>2364</v>
      </c>
      <c r="E1021" s="14">
        <v>2325</v>
      </c>
      <c r="F1021" s="14">
        <v>2338.1</v>
      </c>
      <c r="G1021" s="14">
        <v>2326.25</v>
      </c>
      <c r="H1021" s="14">
        <v>2340.65</v>
      </c>
      <c r="I1021" s="14">
        <v>2343.47</v>
      </c>
      <c r="J1021" s="14">
        <v>3394.9</v>
      </c>
      <c r="K1021" s="14">
        <v>2124.75</v>
      </c>
      <c r="L1021" s="15">
        <v>1281871</v>
      </c>
      <c r="M1021" t="s" s="13">
        <v>7318</v>
      </c>
      <c r="N1021" s="15">
        <v>67780</v>
      </c>
      <c r="O1021" s="17" cm="1">
        <f t="array" ref="O1021">(H1021-H1020)/H1020</f>
        <v>0.0010906291433215</v>
      </c>
      <c r="P1021" s="8"/>
      <c r="Q1021" s="8"/>
    </row>
    <row r="1022" ht="13.65" customHeight="1">
      <c r="A1022" s="12">
        <v>45748</v>
      </c>
      <c r="B1022" t="s" s="13">
        <v>22</v>
      </c>
      <c r="C1022" s="14">
        <v>2342</v>
      </c>
      <c r="D1022" s="14">
        <v>2361.7</v>
      </c>
      <c r="E1022" s="14">
        <v>2305.75</v>
      </c>
      <c r="F1022" s="14">
        <v>2340.65</v>
      </c>
      <c r="G1022" s="14">
        <v>2316.7</v>
      </c>
      <c r="H1022" s="14">
        <v>2316</v>
      </c>
      <c r="I1022" s="14">
        <v>2326.81</v>
      </c>
      <c r="J1022" s="14">
        <v>3394.9</v>
      </c>
      <c r="K1022" s="14">
        <v>2124.75</v>
      </c>
      <c r="L1022" s="15">
        <v>970583</v>
      </c>
      <c r="M1022" t="s" s="13">
        <v>7319</v>
      </c>
      <c r="N1022" s="15">
        <v>60637</v>
      </c>
      <c r="O1022" s="17" cm="1">
        <f t="array" ref="O1022">(H1022-H1021)/H1021</f>
        <v>-0.0105312626834426</v>
      </c>
      <c r="P1022" s="8"/>
      <c r="Q1022" s="8"/>
    </row>
    <row r="1023" ht="13.65" customHeight="1">
      <c r="A1023" s="21"/>
      <c r="B1023" s="21"/>
      <c r="C1023" s="21"/>
      <c r="D1023" s="21"/>
      <c r="E1023" s="21"/>
      <c r="F1023" s="21"/>
      <c r="G1023" s="21"/>
      <c r="H1023" s="21"/>
      <c r="I1023" s="21"/>
      <c r="J1023" s="21"/>
      <c r="K1023" s="21"/>
      <c r="L1023" s="21"/>
      <c r="M1023" s="21"/>
      <c r="N1023" s="21"/>
      <c r="O1023" s="8"/>
      <c r="P1023" s="8"/>
      <c r="Q1023" s="8"/>
    </row>
    <row r="1024" ht="13.65" customHeight="1">
      <c r="A1024" s="8"/>
      <c r="B1024" s="8"/>
      <c r="C1024" s="8"/>
      <c r="D1024" s="8"/>
      <c r="E1024" s="8"/>
      <c r="F1024" s="8"/>
      <c r="G1024" s="8"/>
      <c r="H1024" s="8"/>
      <c r="I1024" s="8"/>
      <c r="J1024" s="8"/>
      <c r="K1024" s="8"/>
      <c r="L1024" s="8"/>
      <c r="M1024" s="8"/>
      <c r="N1024" t="s" s="7">
        <v>1028</v>
      </c>
      <c r="O1024" s="22" cm="1">
        <f t="array" ref="O1024">AVERAGE(O773:O1022)</f>
        <v>-0.000766796985095821</v>
      </c>
      <c r="P1024" s="8"/>
      <c r="Q1024" s="8"/>
    </row>
    <row r="1025" ht="13.65" customHeight="1">
      <c r="A1025" s="8"/>
      <c r="B1025" s="8"/>
      <c r="C1025" s="8"/>
      <c r="D1025" s="8"/>
      <c r="E1025" s="8"/>
      <c r="F1025" s="8"/>
      <c r="G1025" s="8"/>
      <c r="H1025" s="8"/>
      <c r="I1025" s="8"/>
      <c r="J1025" s="8"/>
      <c r="K1025" s="8"/>
      <c r="L1025" s="8"/>
      <c r="M1025" s="8"/>
      <c r="N1025" t="s" s="7">
        <v>273</v>
      </c>
      <c r="O1025" s="22" cm="1">
        <f t="array" ref="O1025">STDEV(O774:O1022)</f>
        <v>0.0137988560254039</v>
      </c>
      <c r="P1025" s="8"/>
      <c r="Q1025" s="8"/>
    </row>
    <row r="1026" ht="13.65" customHeight="1">
      <c r="A1026" s="8"/>
      <c r="B1026" s="8"/>
      <c r="C1026" s="8"/>
      <c r="D1026" s="8"/>
      <c r="E1026" s="8"/>
      <c r="F1026" s="8"/>
      <c r="G1026" s="8"/>
      <c r="H1026" s="8"/>
      <c r="I1026" s="8"/>
      <c r="J1026" s="8"/>
      <c r="K1026" s="8"/>
      <c r="L1026" s="8"/>
      <c r="M1026" s="8"/>
      <c r="N1026" t="s" s="7">
        <v>274</v>
      </c>
      <c r="O1026" s="23" cm="1">
        <f t="array" ref="O1026">AVERAGE(L773:L1022)</f>
        <v>1314142.152</v>
      </c>
      <c r="P1026" s="8"/>
      <c r="Q1026" s="8"/>
    </row>
    <row r="1027" ht="13.65" customHeight="1">
      <c r="A1027" s="8"/>
      <c r="B1027" s="8"/>
      <c r="C1027" s="8"/>
      <c r="D1027" s="8"/>
      <c r="E1027" s="8"/>
      <c r="F1027" s="8"/>
      <c r="G1027" s="8"/>
      <c r="H1027" s="8"/>
      <c r="I1027" s="8"/>
      <c r="J1027" s="8"/>
      <c r="K1027" s="8"/>
      <c r="L1027" s="8"/>
      <c r="M1027" s="8"/>
      <c r="N1027" t="s" s="7">
        <v>275</v>
      </c>
      <c r="O1027" s="23" cm="1">
        <f t="array" ref="O1027">IF(H1022&gt;H773,1,IF(H1022&lt;H773,-1,0))</f>
        <v>-1</v>
      </c>
      <c r="P1027" s="8"/>
      <c r="Q1027" s="8"/>
    </row>
    <row r="1028" ht="13.65" customHeight="1">
      <c r="A1028" s="8"/>
      <c r="B1028" s="8"/>
      <c r="C1028" s="8"/>
      <c r="D1028" s="8"/>
      <c r="E1028" s="8"/>
      <c r="F1028" s="8"/>
      <c r="G1028" s="8"/>
      <c r="H1028" s="8"/>
      <c r="I1028" s="8"/>
      <c r="J1028" s="8"/>
      <c r="K1028" s="8"/>
      <c r="L1028" s="8"/>
      <c r="M1028" s="8"/>
      <c r="N1028" t="s" s="7">
        <v>528</v>
      </c>
      <c r="O1028" s="22" cm="1">
        <f t="array" ref="O1028">(H1022-H773)/H773</f>
        <v>-0.193312434691745</v>
      </c>
      <c r="P1028" s="8"/>
      <c r="Q1028" s="8"/>
    </row>
    <row r="1029" ht="13.65" customHeight="1">
      <c r="A1029" s="9"/>
      <c r="B1029" s="9"/>
      <c r="C1029" s="9"/>
      <c r="D1029" s="9"/>
      <c r="E1029" s="9"/>
      <c r="F1029" s="9"/>
      <c r="G1029" s="9"/>
      <c r="H1029" s="9"/>
      <c r="I1029" s="9"/>
      <c r="J1029" s="9"/>
      <c r="K1029" s="9"/>
      <c r="L1029" s="9"/>
      <c r="M1029" s="9"/>
      <c r="N1029" s="9"/>
      <c r="O1029" s="8"/>
      <c r="P1029" s="8"/>
      <c r="Q1029" s="8"/>
    </row>
    <row r="1030" ht="13.65" customHeight="1">
      <c r="A1030" t="s" s="10">
        <v>7</v>
      </c>
      <c r="B1030" t="s" s="10">
        <v>8</v>
      </c>
      <c r="C1030" t="s" s="10">
        <v>9</v>
      </c>
      <c r="D1030" t="s" s="10">
        <v>10</v>
      </c>
      <c r="E1030" t="s" s="10">
        <v>11</v>
      </c>
      <c r="F1030" t="s" s="10">
        <v>12</v>
      </c>
      <c r="G1030" t="s" s="10">
        <v>13</v>
      </c>
      <c r="H1030" t="s" s="10">
        <v>14</v>
      </c>
      <c r="I1030" t="s" s="10">
        <v>15</v>
      </c>
      <c r="J1030" t="s" s="10">
        <v>16</v>
      </c>
      <c r="K1030" t="s" s="10">
        <v>17</v>
      </c>
      <c r="L1030" t="s" s="10">
        <v>18</v>
      </c>
      <c r="M1030" t="s" s="10">
        <v>19</v>
      </c>
      <c r="N1030" t="s" s="10">
        <v>20</v>
      </c>
      <c r="O1030" t="s" s="11">
        <v>21</v>
      </c>
      <c r="P1030" s="8"/>
      <c r="Q1030" s="8"/>
    </row>
    <row r="1031" ht="13.65" customHeight="1">
      <c r="A1031" s="12">
        <v>45748</v>
      </c>
      <c r="B1031" t="s" s="13">
        <v>22</v>
      </c>
      <c r="C1031" s="14">
        <v>2342</v>
      </c>
      <c r="D1031" s="14">
        <v>2361.7</v>
      </c>
      <c r="E1031" s="14">
        <v>2305.75</v>
      </c>
      <c r="F1031" s="14">
        <v>2340.65</v>
      </c>
      <c r="G1031" s="14">
        <v>2316.7</v>
      </c>
      <c r="H1031" s="14">
        <v>2316</v>
      </c>
      <c r="I1031" s="14">
        <v>2326.81</v>
      </c>
      <c r="J1031" s="14">
        <v>3394.9</v>
      </c>
      <c r="K1031" s="14">
        <v>2124.75</v>
      </c>
      <c r="L1031" s="15">
        <v>970583</v>
      </c>
      <c r="M1031" t="s" s="13">
        <v>7319</v>
      </c>
      <c r="N1031" s="15">
        <v>60637</v>
      </c>
      <c r="O1031" s="16"/>
      <c r="P1031" s="8"/>
      <c r="Q1031" s="8"/>
    </row>
    <row r="1032" ht="13.65" customHeight="1">
      <c r="A1032" s="12">
        <v>45749</v>
      </c>
      <c r="B1032" t="s" s="13">
        <v>22</v>
      </c>
      <c r="C1032" s="14">
        <v>2328</v>
      </c>
      <c r="D1032" s="14">
        <v>2328.4</v>
      </c>
      <c r="E1032" s="14">
        <v>2292.15</v>
      </c>
      <c r="F1032" s="14">
        <v>2316</v>
      </c>
      <c r="G1032" s="14">
        <v>2308.95</v>
      </c>
      <c r="H1032" s="14">
        <v>2306.65</v>
      </c>
      <c r="I1032" s="14">
        <v>2303.78</v>
      </c>
      <c r="J1032" s="14">
        <v>3394.9</v>
      </c>
      <c r="K1032" s="14">
        <v>2124.75</v>
      </c>
      <c r="L1032" s="15">
        <v>792695</v>
      </c>
      <c r="M1032" t="s" s="13">
        <v>7320</v>
      </c>
      <c r="N1032" s="15">
        <v>37627</v>
      </c>
      <c r="O1032" s="17" cm="1">
        <f t="array" ref="O1032">(H1032-H1031)/H1031</f>
        <v>-0.00403713298791019</v>
      </c>
      <c r="P1032" s="8"/>
      <c r="Q1032" s="8"/>
    </row>
    <row r="1033" ht="13.65" customHeight="1">
      <c r="A1033" s="12">
        <v>45750</v>
      </c>
      <c r="B1033" t="s" s="13">
        <v>22</v>
      </c>
      <c r="C1033" s="14">
        <v>2295</v>
      </c>
      <c r="D1033" s="14">
        <v>2354.9</v>
      </c>
      <c r="E1033" s="14">
        <v>2289.8</v>
      </c>
      <c r="F1033" s="14">
        <v>2306.65</v>
      </c>
      <c r="G1033" s="14">
        <v>2347.7</v>
      </c>
      <c r="H1033" s="14">
        <v>2349.4</v>
      </c>
      <c r="I1033" s="14">
        <v>2339.57</v>
      </c>
      <c r="J1033" s="14">
        <v>3394.9</v>
      </c>
      <c r="K1033" s="14">
        <v>2124.75</v>
      </c>
      <c r="L1033" s="15">
        <v>608846</v>
      </c>
      <c r="M1033" t="s" s="13">
        <v>7321</v>
      </c>
      <c r="N1033" s="15">
        <v>46641</v>
      </c>
      <c r="O1033" s="17" cm="1">
        <f t="array" ref="O1033">(H1033-H1032)/H1032</f>
        <v>0.0185333709058591</v>
      </c>
      <c r="P1033" s="8"/>
      <c r="Q1033" s="8"/>
    </row>
    <row r="1034" ht="13.65" customHeight="1">
      <c r="A1034" s="12">
        <v>45751</v>
      </c>
      <c r="B1034" t="s" s="13">
        <v>22</v>
      </c>
      <c r="C1034" s="14">
        <v>2349.4</v>
      </c>
      <c r="D1034" s="14">
        <v>2363.95</v>
      </c>
      <c r="E1034" s="14">
        <v>2302.8</v>
      </c>
      <c r="F1034" s="14">
        <v>2349.4</v>
      </c>
      <c r="G1034" s="14">
        <v>2352.5</v>
      </c>
      <c r="H1034" s="14">
        <v>2356.05</v>
      </c>
      <c r="I1034" s="14">
        <v>2337.2</v>
      </c>
      <c r="J1034" s="14">
        <v>3394.9</v>
      </c>
      <c r="K1034" s="14">
        <v>2124.75</v>
      </c>
      <c r="L1034" s="15">
        <v>1163188</v>
      </c>
      <c r="M1034" t="s" s="13">
        <v>7322</v>
      </c>
      <c r="N1034" s="15">
        <v>59655</v>
      </c>
      <c r="O1034" s="17" cm="1">
        <f t="array" ref="O1034">(H1034-H1033)/H1033</f>
        <v>0.00283050991742573</v>
      </c>
      <c r="P1034" s="8"/>
      <c r="Q1034" s="8"/>
    </row>
    <row r="1035" ht="13.65" customHeight="1">
      <c r="A1035" s="12">
        <v>45754</v>
      </c>
      <c r="B1035" t="s" s="13">
        <v>22</v>
      </c>
      <c r="C1035" s="14">
        <v>2190</v>
      </c>
      <c r="D1035" s="14">
        <v>2354</v>
      </c>
      <c r="E1035" s="14">
        <v>2190</v>
      </c>
      <c r="F1035" s="14">
        <v>2356.05</v>
      </c>
      <c r="G1035" s="14">
        <v>2344</v>
      </c>
      <c r="H1035" s="14">
        <v>2341.35</v>
      </c>
      <c r="I1035" s="14">
        <v>2329.16</v>
      </c>
      <c r="J1035" s="14">
        <v>3394.9</v>
      </c>
      <c r="K1035" s="14">
        <v>2124.75</v>
      </c>
      <c r="L1035" s="15">
        <v>1745827</v>
      </c>
      <c r="M1035" t="s" s="13">
        <v>7323</v>
      </c>
      <c r="N1035" s="15">
        <v>139328</v>
      </c>
      <c r="O1035" s="17" cm="1">
        <f t="array" ref="O1035">(H1035-H1034)/H1034</f>
        <v>-0.00623925638250462</v>
      </c>
      <c r="P1035" s="8"/>
      <c r="Q1035" s="8"/>
    </row>
    <row r="1036" ht="13.65" customHeight="1">
      <c r="A1036" s="12">
        <v>45755</v>
      </c>
      <c r="B1036" t="s" s="13">
        <v>22</v>
      </c>
      <c r="C1036" s="14">
        <v>2356</v>
      </c>
      <c r="D1036" s="14">
        <v>2420</v>
      </c>
      <c r="E1036" s="14">
        <v>2356</v>
      </c>
      <c r="F1036" s="14">
        <v>2341.35</v>
      </c>
      <c r="G1036" s="14">
        <v>2394.2</v>
      </c>
      <c r="H1036" s="14">
        <v>2394.2</v>
      </c>
      <c r="I1036" s="14">
        <v>2395.31</v>
      </c>
      <c r="J1036" s="14">
        <v>3394.9</v>
      </c>
      <c r="K1036" s="14">
        <v>2124.75</v>
      </c>
      <c r="L1036" s="15">
        <v>1876867</v>
      </c>
      <c r="M1036" t="s" s="13">
        <v>7324</v>
      </c>
      <c r="N1036" s="15">
        <v>115340</v>
      </c>
      <c r="O1036" s="17" cm="1">
        <f t="array" ref="O1036">(H1036-H1035)/H1035</f>
        <v>0.0225724475195934</v>
      </c>
      <c r="P1036" s="8"/>
      <c r="Q1036" s="8"/>
    </row>
    <row r="1037" ht="13.65" customHeight="1">
      <c r="A1037" s="12">
        <v>45756</v>
      </c>
      <c r="B1037" t="s" s="13">
        <v>22</v>
      </c>
      <c r="C1037" s="14">
        <v>2400</v>
      </c>
      <c r="D1037" s="14">
        <v>2429.45</v>
      </c>
      <c r="E1037" s="14">
        <v>2390.9</v>
      </c>
      <c r="F1037" s="14">
        <v>2394.2</v>
      </c>
      <c r="G1037" s="14">
        <v>2409.15</v>
      </c>
      <c r="H1037" s="14">
        <v>2411.15</v>
      </c>
      <c r="I1037" s="14">
        <v>2415.28</v>
      </c>
      <c r="J1037" s="14">
        <v>3394.9</v>
      </c>
      <c r="K1037" s="14">
        <v>2124.75</v>
      </c>
      <c r="L1037" s="15">
        <v>1186947</v>
      </c>
      <c r="M1037" t="s" s="13">
        <v>7325</v>
      </c>
      <c r="N1037" s="15">
        <v>81370</v>
      </c>
      <c r="O1037" s="17" cm="1">
        <f t="array" ref="O1037">(H1037-H1036)/H1036</f>
        <v>0.00707960905521677</v>
      </c>
      <c r="P1037" s="8"/>
      <c r="Q1037" s="8"/>
    </row>
    <row r="1038" ht="13.65" customHeight="1">
      <c r="A1038" s="18">
        <v>45758</v>
      </c>
      <c r="B1038" t="s" s="13">
        <v>22</v>
      </c>
      <c r="C1038" s="14">
        <v>2439.5</v>
      </c>
      <c r="D1038" s="14">
        <v>2448</v>
      </c>
      <c r="E1038" s="14">
        <v>2380.25</v>
      </c>
      <c r="F1038" s="14">
        <v>2411.15</v>
      </c>
      <c r="G1038" s="14">
        <v>2393</v>
      </c>
      <c r="H1038" s="14">
        <v>2393.6</v>
      </c>
      <c r="I1038" s="14">
        <v>2396.76</v>
      </c>
      <c r="J1038" s="14">
        <v>3394.9</v>
      </c>
      <c r="K1038" s="14">
        <v>2124.75</v>
      </c>
      <c r="L1038" s="15">
        <v>968152</v>
      </c>
      <c r="M1038" t="s" s="13">
        <v>7326</v>
      </c>
      <c r="N1038" s="15">
        <v>67208</v>
      </c>
      <c r="O1038" s="17" cm="1">
        <f t="array" ref="O1038">(H1038-H1037)/H1037</f>
        <v>-0.00727868444518176</v>
      </c>
      <c r="P1038" s="8"/>
      <c r="Q1038" s="8"/>
    </row>
    <row r="1039" ht="13.65" customHeight="1">
      <c r="A1039" s="18">
        <v>45762</v>
      </c>
      <c r="B1039" t="s" s="13">
        <v>22</v>
      </c>
      <c r="C1039" s="14">
        <v>2414.9</v>
      </c>
      <c r="D1039" s="14">
        <v>2425</v>
      </c>
      <c r="E1039" s="14">
        <v>2385</v>
      </c>
      <c r="F1039" s="14">
        <v>2393.6</v>
      </c>
      <c r="G1039" s="14">
        <v>2419</v>
      </c>
      <c r="H1039" s="14">
        <v>2415.7</v>
      </c>
      <c r="I1039" s="14">
        <v>2409.09</v>
      </c>
      <c r="J1039" s="14">
        <v>3394.9</v>
      </c>
      <c r="K1039" s="14">
        <v>2124.75</v>
      </c>
      <c r="L1039" s="15">
        <v>1141279</v>
      </c>
      <c r="M1039" t="s" s="13">
        <v>7327</v>
      </c>
      <c r="N1039" s="15">
        <v>60826</v>
      </c>
      <c r="O1039" s="17" cm="1">
        <f t="array" ref="O1039">(H1039-H1038)/H1038</f>
        <v>0.009232954545454549</v>
      </c>
      <c r="P1039" s="8"/>
      <c r="Q1039" s="8"/>
    </row>
    <row r="1040" ht="13.65" customHeight="1">
      <c r="A1040" s="18">
        <v>45763</v>
      </c>
      <c r="B1040" t="s" s="13">
        <v>22</v>
      </c>
      <c r="C1040" s="14">
        <v>2405.1</v>
      </c>
      <c r="D1040" s="14">
        <v>2468.5</v>
      </c>
      <c r="E1040" s="14">
        <v>2403.7</v>
      </c>
      <c r="F1040" s="14">
        <v>2415.7</v>
      </c>
      <c r="G1040" s="14">
        <v>2456</v>
      </c>
      <c r="H1040" s="14">
        <v>2459.9</v>
      </c>
      <c r="I1040" s="14">
        <v>2451.03</v>
      </c>
      <c r="J1040" s="14">
        <v>3394.9</v>
      </c>
      <c r="K1040" s="14">
        <v>2124.75</v>
      </c>
      <c r="L1040" s="15">
        <v>1166700</v>
      </c>
      <c r="M1040" t="s" s="13">
        <v>7328</v>
      </c>
      <c r="N1040" s="15">
        <v>63155</v>
      </c>
      <c r="O1040" s="17" cm="1">
        <f t="array" ref="O1040">(H1040-H1039)/H1039</f>
        <v>0.0182969739619986</v>
      </c>
      <c r="P1040" s="8"/>
      <c r="Q1040" s="8"/>
    </row>
    <row r="1041" ht="13.65" customHeight="1">
      <c r="A1041" s="18">
        <v>45764</v>
      </c>
      <c r="B1041" t="s" s="13">
        <v>22</v>
      </c>
      <c r="C1041" s="14">
        <v>2459.9</v>
      </c>
      <c r="D1041" s="14">
        <v>2476.4</v>
      </c>
      <c r="E1041" s="14">
        <v>2431</v>
      </c>
      <c r="F1041" s="14">
        <v>2459.9</v>
      </c>
      <c r="G1041" s="14">
        <v>2465</v>
      </c>
      <c r="H1041" s="14">
        <v>2467.9</v>
      </c>
      <c r="I1041" s="14">
        <v>2462.16</v>
      </c>
      <c r="J1041" s="14">
        <v>3394.9</v>
      </c>
      <c r="K1041" s="14">
        <v>2124.75</v>
      </c>
      <c r="L1041" s="15">
        <v>885842</v>
      </c>
      <c r="M1041" t="s" s="13">
        <v>7329</v>
      </c>
      <c r="N1041" s="15">
        <v>76147</v>
      </c>
      <c r="O1041" s="17" cm="1">
        <f t="array" ref="O1041">(H1041-H1040)/H1040</f>
        <v>0.00325216472214318</v>
      </c>
      <c r="P1041" s="8"/>
      <c r="Q1041" s="8"/>
    </row>
    <row r="1042" ht="13.65" customHeight="1">
      <c r="A1042" s="18">
        <v>45768</v>
      </c>
      <c r="B1042" t="s" s="13">
        <v>22</v>
      </c>
      <c r="C1042" s="14">
        <v>2465.9</v>
      </c>
      <c r="D1042" s="14">
        <v>2470.9</v>
      </c>
      <c r="E1042" s="14">
        <v>2441</v>
      </c>
      <c r="F1042" s="14">
        <v>2467.9</v>
      </c>
      <c r="G1042" s="14">
        <v>2444.8</v>
      </c>
      <c r="H1042" s="14">
        <v>2445</v>
      </c>
      <c r="I1042" s="14">
        <v>2455.74</v>
      </c>
      <c r="J1042" s="14">
        <v>3394.9</v>
      </c>
      <c r="K1042" s="14">
        <v>2124.75</v>
      </c>
      <c r="L1042" s="15">
        <v>541913</v>
      </c>
      <c r="M1042" t="s" s="13">
        <v>7330</v>
      </c>
      <c r="N1042" s="15">
        <v>43480</v>
      </c>
      <c r="O1042" s="17" cm="1">
        <f t="array" ref="O1042">(H1042-H1041)/H1041</f>
        <v>-0.00927914421167794</v>
      </c>
      <c r="P1042" s="8"/>
      <c r="Q1042" s="8"/>
    </row>
    <row r="1043" ht="13.65" customHeight="1">
      <c r="A1043" s="18">
        <v>45769</v>
      </c>
      <c r="B1043" t="s" s="13">
        <v>22</v>
      </c>
      <c r="C1043" s="14">
        <v>2445</v>
      </c>
      <c r="D1043" s="14">
        <v>2450</v>
      </c>
      <c r="E1043" s="14">
        <v>2413.5</v>
      </c>
      <c r="F1043" s="14">
        <v>2445</v>
      </c>
      <c r="G1043" s="14">
        <v>2428</v>
      </c>
      <c r="H1043" s="14">
        <v>2432</v>
      </c>
      <c r="I1043" s="14">
        <v>2434.93</v>
      </c>
      <c r="J1043" s="14">
        <v>3394.9</v>
      </c>
      <c r="K1043" s="14">
        <v>2124.75</v>
      </c>
      <c r="L1043" s="15">
        <v>543658</v>
      </c>
      <c r="M1043" t="s" s="13">
        <v>7331</v>
      </c>
      <c r="N1043" s="15">
        <v>52528</v>
      </c>
      <c r="O1043" s="17" cm="1">
        <f t="array" ref="O1043">(H1043-H1042)/H1042</f>
        <v>-0.00531697341513292</v>
      </c>
      <c r="P1043" s="8"/>
      <c r="Q1043" s="8"/>
    </row>
    <row r="1044" ht="13.65" customHeight="1">
      <c r="A1044" s="18">
        <v>45770</v>
      </c>
      <c r="B1044" t="s" s="13">
        <v>22</v>
      </c>
      <c r="C1044" s="14">
        <v>2437</v>
      </c>
      <c r="D1044" s="14">
        <v>2456.6</v>
      </c>
      <c r="E1044" s="14">
        <v>2425.6</v>
      </c>
      <c r="F1044" s="14">
        <v>2432</v>
      </c>
      <c r="G1044" s="14">
        <v>2447.5</v>
      </c>
      <c r="H1044" s="14">
        <v>2453.1</v>
      </c>
      <c r="I1044" s="14">
        <v>2443.84</v>
      </c>
      <c r="J1044" s="14">
        <v>3394.9</v>
      </c>
      <c r="K1044" s="14">
        <v>2124.75</v>
      </c>
      <c r="L1044" s="15">
        <v>744696</v>
      </c>
      <c r="M1044" t="s" s="13">
        <v>7332</v>
      </c>
      <c r="N1044" s="15">
        <v>53899</v>
      </c>
      <c r="O1044" s="17" cm="1">
        <f t="array" ref="O1044">(H1044-H1043)/H1043</f>
        <v>0.008675986842105261</v>
      </c>
      <c r="P1044" s="8"/>
      <c r="Q1044" s="8"/>
    </row>
    <row r="1045" ht="13.65" customHeight="1">
      <c r="A1045" s="18">
        <v>45771</v>
      </c>
      <c r="B1045" t="s" s="13">
        <v>22</v>
      </c>
      <c r="C1045" s="14">
        <v>2450</v>
      </c>
      <c r="D1045" s="14">
        <v>2491</v>
      </c>
      <c r="E1045" s="14">
        <v>2435.9</v>
      </c>
      <c r="F1045" s="14">
        <v>2453.1</v>
      </c>
      <c r="G1045" s="14">
        <v>2466.4</v>
      </c>
      <c r="H1045" s="14">
        <v>2464.4</v>
      </c>
      <c r="I1045" s="14">
        <v>2465.69</v>
      </c>
      <c r="J1045" s="14">
        <v>3394.9</v>
      </c>
      <c r="K1045" s="14">
        <v>2124.75</v>
      </c>
      <c r="L1045" s="15">
        <v>1203452</v>
      </c>
      <c r="M1045" t="s" s="13">
        <v>7333</v>
      </c>
      <c r="N1045" s="15">
        <v>77050</v>
      </c>
      <c r="O1045" s="17" cm="1">
        <f t="array" ref="O1045">(H1045-H1044)/H1044</f>
        <v>0.00460641637112225</v>
      </c>
      <c r="P1045" s="8"/>
      <c r="Q1045" s="8"/>
    </row>
    <row r="1046" ht="13.65" customHeight="1">
      <c r="A1046" s="18">
        <v>45772</v>
      </c>
      <c r="B1046" t="s" s="13">
        <v>22</v>
      </c>
      <c r="C1046" s="14">
        <v>2464.3</v>
      </c>
      <c r="D1046" s="14">
        <v>2468.7</v>
      </c>
      <c r="E1046" s="14">
        <v>2413.7</v>
      </c>
      <c r="F1046" s="14">
        <v>2464.4</v>
      </c>
      <c r="G1046" s="14">
        <v>2425.7</v>
      </c>
      <c r="H1046" s="14">
        <v>2431.6</v>
      </c>
      <c r="I1046" s="14">
        <v>2432.8</v>
      </c>
      <c r="J1046" s="14">
        <v>3394.9</v>
      </c>
      <c r="K1046" s="14">
        <v>2124.75</v>
      </c>
      <c r="L1046" s="15">
        <v>702217</v>
      </c>
      <c r="M1046" t="s" s="13">
        <v>7334</v>
      </c>
      <c r="N1046" s="15">
        <v>60107</v>
      </c>
      <c r="O1046" s="17" cm="1">
        <f t="array" ref="O1046">(H1046-H1045)/H1045</f>
        <v>-0.0133095276740789</v>
      </c>
      <c r="P1046" s="8"/>
      <c r="Q1046" s="8"/>
    </row>
    <row r="1047" ht="13.65" customHeight="1">
      <c r="A1047" s="18">
        <v>45775</v>
      </c>
      <c r="B1047" t="s" s="13">
        <v>22</v>
      </c>
      <c r="C1047" s="14">
        <v>2419.9</v>
      </c>
      <c r="D1047" s="14">
        <v>2459.8</v>
      </c>
      <c r="E1047" s="14">
        <v>2405</v>
      </c>
      <c r="F1047" s="14">
        <v>2431.6</v>
      </c>
      <c r="G1047" s="14">
        <v>2446.2</v>
      </c>
      <c r="H1047" s="14">
        <v>2452.2</v>
      </c>
      <c r="I1047" s="14">
        <v>2440.86</v>
      </c>
      <c r="J1047" s="14">
        <v>3394.9</v>
      </c>
      <c r="K1047" s="14">
        <v>2124.75</v>
      </c>
      <c r="L1047" s="15">
        <v>554922</v>
      </c>
      <c r="M1047" t="s" s="13">
        <v>7335</v>
      </c>
      <c r="N1047" s="15">
        <v>52292</v>
      </c>
      <c r="O1047" s="17" cm="1">
        <f t="array" ref="O1047">(H1047-H1046)/H1046</f>
        <v>0.00847178812304655</v>
      </c>
      <c r="P1047" s="8"/>
      <c r="Q1047" s="8"/>
    </row>
    <row r="1048" ht="13.65" customHeight="1">
      <c r="A1048" s="18">
        <v>45776</v>
      </c>
      <c r="B1048" t="s" s="13">
        <v>22</v>
      </c>
      <c r="C1048" s="14">
        <v>2460</v>
      </c>
      <c r="D1048" s="14">
        <v>2472</v>
      </c>
      <c r="E1048" s="14">
        <v>2441.6</v>
      </c>
      <c r="F1048" s="14">
        <v>2452.2</v>
      </c>
      <c r="G1048" s="14">
        <v>2456.1</v>
      </c>
      <c r="H1048" s="14">
        <v>2451.1</v>
      </c>
      <c r="I1048" s="14">
        <v>2456.45</v>
      </c>
      <c r="J1048" s="14">
        <v>3394.9</v>
      </c>
      <c r="K1048" s="14">
        <v>2124.75</v>
      </c>
      <c r="L1048" s="15">
        <v>1235066</v>
      </c>
      <c r="M1048" t="s" s="13">
        <v>7336</v>
      </c>
      <c r="N1048" s="15">
        <v>63588</v>
      </c>
      <c r="O1048" s="17" cm="1">
        <f t="array" ref="O1048">(H1048-H1047)/H1047</f>
        <v>-0.000448576788190197</v>
      </c>
      <c r="P1048" s="8"/>
      <c r="Q1048" s="8"/>
    </row>
    <row r="1049" ht="13.65" customHeight="1">
      <c r="A1049" s="18">
        <v>45777</v>
      </c>
      <c r="B1049" t="s" s="13">
        <v>22</v>
      </c>
      <c r="C1049" s="14">
        <v>2450</v>
      </c>
      <c r="D1049" s="14">
        <v>2462.2</v>
      </c>
      <c r="E1049" s="14">
        <v>2401.5</v>
      </c>
      <c r="F1049" s="14">
        <v>2451.1</v>
      </c>
      <c r="G1049" s="14">
        <v>2416.5</v>
      </c>
      <c r="H1049" s="14">
        <v>2425.7</v>
      </c>
      <c r="I1049" s="14">
        <v>2432.24</v>
      </c>
      <c r="J1049" s="14">
        <v>3394.9</v>
      </c>
      <c r="K1049" s="14">
        <v>2124.75</v>
      </c>
      <c r="L1049" s="15">
        <v>1479678</v>
      </c>
      <c r="M1049" t="s" s="13">
        <v>7337</v>
      </c>
      <c r="N1049" s="15">
        <v>77845</v>
      </c>
      <c r="O1049" s="17" cm="1">
        <f t="array" ref="O1049">(H1049-H1048)/H1048</f>
        <v>-0.0103626943005181</v>
      </c>
      <c r="P1049" s="8"/>
      <c r="Q1049" s="8"/>
    </row>
    <row r="1050" ht="13.65" customHeight="1">
      <c r="A1050" s="19">
        <v>45779</v>
      </c>
      <c r="B1050" t="s" s="13">
        <v>22</v>
      </c>
      <c r="C1050" s="14">
        <v>2425</v>
      </c>
      <c r="D1050" s="14">
        <v>2444.9</v>
      </c>
      <c r="E1050" s="14">
        <v>2398</v>
      </c>
      <c r="F1050" s="14">
        <v>2425.7</v>
      </c>
      <c r="G1050" s="14">
        <v>2406</v>
      </c>
      <c r="H1050" s="14">
        <v>2409.8</v>
      </c>
      <c r="I1050" s="14">
        <v>2421.26</v>
      </c>
      <c r="J1050" s="14">
        <v>3394.9</v>
      </c>
      <c r="K1050" s="14">
        <v>2124.75</v>
      </c>
      <c r="L1050" s="15">
        <v>928084</v>
      </c>
      <c r="M1050" t="s" s="13">
        <v>7338</v>
      </c>
      <c r="N1050" s="15">
        <v>58084</v>
      </c>
      <c r="O1050" s="17" cm="1">
        <f t="array" ref="O1050">(H1050-H1049)/H1049</f>
        <v>-0.00655480892113617</v>
      </c>
      <c r="P1050" s="8"/>
      <c r="Q1050" s="8"/>
    </row>
    <row r="1051" ht="13.65" customHeight="1">
      <c r="A1051" s="19">
        <v>45782</v>
      </c>
      <c r="B1051" t="s" s="13">
        <v>22</v>
      </c>
      <c r="C1051" s="14">
        <v>2423.1</v>
      </c>
      <c r="D1051" s="14">
        <v>2475</v>
      </c>
      <c r="E1051" s="14">
        <v>2423.1</v>
      </c>
      <c r="F1051" s="14">
        <v>2409.8</v>
      </c>
      <c r="G1051" s="14">
        <v>2441</v>
      </c>
      <c r="H1051" s="14">
        <v>2436.9</v>
      </c>
      <c r="I1051" s="14">
        <v>2454.15</v>
      </c>
      <c r="J1051" s="14">
        <v>3394.9</v>
      </c>
      <c r="K1051" s="14">
        <v>2124.75</v>
      </c>
      <c r="L1051" s="15">
        <v>1229593</v>
      </c>
      <c r="M1051" t="s" s="13">
        <v>7339</v>
      </c>
      <c r="N1051" s="15">
        <v>70327</v>
      </c>
      <c r="O1051" s="17" cm="1">
        <f t="array" ref="O1051">(H1051-H1050)/H1050</f>
        <v>0.0112457465349822</v>
      </c>
      <c r="P1051" s="8"/>
      <c r="Q1051" s="8"/>
    </row>
    <row r="1052" ht="13.65" customHeight="1">
      <c r="A1052" s="19">
        <v>45783</v>
      </c>
      <c r="B1052" t="s" s="13">
        <v>22</v>
      </c>
      <c r="C1052" s="14">
        <v>2442</v>
      </c>
      <c r="D1052" s="14">
        <v>2449.9</v>
      </c>
      <c r="E1052" s="14">
        <v>2391.1</v>
      </c>
      <c r="F1052" s="14">
        <v>2436.9</v>
      </c>
      <c r="G1052" s="14">
        <v>2414.4</v>
      </c>
      <c r="H1052" s="14">
        <v>2418</v>
      </c>
      <c r="I1052" s="14">
        <v>2413.16</v>
      </c>
      <c r="J1052" s="14">
        <v>3394.9</v>
      </c>
      <c r="K1052" s="14">
        <v>2124.75</v>
      </c>
      <c r="L1052" s="15">
        <v>702819</v>
      </c>
      <c r="M1052" t="s" s="13">
        <v>7340</v>
      </c>
      <c r="N1052" s="15">
        <v>43489</v>
      </c>
      <c r="O1052" s="17" cm="1">
        <f t="array" ref="O1052">(H1052-H1051)/H1051</f>
        <v>-0.00775575526283393</v>
      </c>
      <c r="P1052" s="8"/>
      <c r="Q1052" s="8"/>
    </row>
    <row r="1053" ht="13.65" customHeight="1">
      <c r="A1053" s="19">
        <v>45784</v>
      </c>
      <c r="B1053" t="s" s="13">
        <v>22</v>
      </c>
      <c r="C1053" s="14">
        <v>2388</v>
      </c>
      <c r="D1053" s="14">
        <v>2405.7</v>
      </c>
      <c r="E1053" s="14">
        <v>2318.5</v>
      </c>
      <c r="F1053" s="14">
        <v>2418</v>
      </c>
      <c r="G1053" s="14">
        <v>2322</v>
      </c>
      <c r="H1053" s="14">
        <v>2334.1</v>
      </c>
      <c r="I1053" s="14">
        <v>2361.98</v>
      </c>
      <c r="J1053" s="14">
        <v>3394.9</v>
      </c>
      <c r="K1053" s="14">
        <v>2124.75</v>
      </c>
      <c r="L1053" s="15">
        <v>1711760</v>
      </c>
      <c r="M1053" t="s" s="13">
        <v>7341</v>
      </c>
      <c r="N1053" s="15">
        <v>109336</v>
      </c>
      <c r="O1053" s="17" cm="1">
        <f t="array" ref="O1053">(H1053-H1052)/H1052</f>
        <v>-0.0346980976013234</v>
      </c>
      <c r="P1053" s="8"/>
      <c r="Q1053" s="8"/>
    </row>
    <row r="1054" ht="13.65" customHeight="1">
      <c r="A1054" s="19">
        <v>45785</v>
      </c>
      <c r="B1054" t="s" s="13">
        <v>22</v>
      </c>
      <c r="C1054" s="14">
        <v>2322</v>
      </c>
      <c r="D1054" s="14">
        <v>2349.1</v>
      </c>
      <c r="E1054" s="14">
        <v>2293.5</v>
      </c>
      <c r="F1054" s="14">
        <v>2334.1</v>
      </c>
      <c r="G1054" s="14">
        <v>2300</v>
      </c>
      <c r="H1054" s="14">
        <v>2302.6</v>
      </c>
      <c r="I1054" s="14">
        <v>2318.8</v>
      </c>
      <c r="J1054" s="14">
        <v>3394.9</v>
      </c>
      <c r="K1054" s="14">
        <v>2124.75</v>
      </c>
      <c r="L1054" s="15">
        <v>2292261</v>
      </c>
      <c r="M1054" t="s" s="13">
        <v>7342</v>
      </c>
      <c r="N1054" s="15">
        <v>135625</v>
      </c>
      <c r="O1054" s="17" cm="1">
        <f t="array" ref="O1054">(H1054-H1053)/H1053</f>
        <v>-0.0134955657426845</v>
      </c>
      <c r="P1054" s="8"/>
      <c r="Q1054" s="8"/>
    </row>
    <row r="1055" ht="13.65" customHeight="1">
      <c r="A1055" s="19">
        <v>45786</v>
      </c>
      <c r="B1055" t="s" s="13">
        <v>22</v>
      </c>
      <c r="C1055" s="14">
        <v>2246.6</v>
      </c>
      <c r="D1055" s="14">
        <v>2331.8</v>
      </c>
      <c r="E1055" s="14">
        <v>2245</v>
      </c>
      <c r="F1055" s="14">
        <v>2302.6</v>
      </c>
      <c r="G1055" s="14">
        <v>2307.9</v>
      </c>
      <c r="H1055" s="14">
        <v>2299.6</v>
      </c>
      <c r="I1055" s="14">
        <v>2300.34</v>
      </c>
      <c r="J1055" s="14">
        <v>3394.9</v>
      </c>
      <c r="K1055" s="14">
        <v>2124.75</v>
      </c>
      <c r="L1055" s="15">
        <v>1503010</v>
      </c>
      <c r="M1055" t="s" s="13">
        <v>7343</v>
      </c>
      <c r="N1055" s="15">
        <v>92881</v>
      </c>
      <c r="O1055" s="17" cm="1">
        <f t="array" ref="O1055">(H1055-H1054)/H1054</f>
        <v>-0.00130287501085729</v>
      </c>
      <c r="P1055" s="8"/>
      <c r="Q1055" s="8"/>
    </row>
    <row r="1056" ht="13.65" customHeight="1">
      <c r="A1056" s="20">
        <v>45789</v>
      </c>
      <c r="B1056" t="s" s="13">
        <v>22</v>
      </c>
      <c r="C1056" s="14">
        <v>2330</v>
      </c>
      <c r="D1056" s="14">
        <v>2378.5</v>
      </c>
      <c r="E1056" s="14">
        <v>2321</v>
      </c>
      <c r="F1056" s="14">
        <v>2299.6</v>
      </c>
      <c r="G1056" s="14">
        <v>2339.3</v>
      </c>
      <c r="H1056" s="14">
        <v>2356.4</v>
      </c>
      <c r="I1056" s="14">
        <v>2358.02</v>
      </c>
      <c r="J1056" s="14">
        <v>3394.9</v>
      </c>
      <c r="K1056" s="14">
        <v>2124.75</v>
      </c>
      <c r="L1056" s="15">
        <v>940135</v>
      </c>
      <c r="M1056" t="s" s="13">
        <v>7344</v>
      </c>
      <c r="N1056" s="15">
        <v>47346</v>
      </c>
      <c r="O1056" s="17" cm="1">
        <f t="array" ref="O1056">(H1056-H1055)/H1055</f>
        <v>0.0246999478170117</v>
      </c>
      <c r="P1056" s="8"/>
      <c r="Q1056" s="8"/>
    </row>
    <row r="1057" ht="13.65" customHeight="1">
      <c r="A1057" s="20">
        <v>45790</v>
      </c>
      <c r="B1057" t="s" s="13">
        <v>22</v>
      </c>
      <c r="C1057" s="14">
        <v>2354</v>
      </c>
      <c r="D1057" s="14">
        <v>2358</v>
      </c>
      <c r="E1057" s="14">
        <v>2315.1</v>
      </c>
      <c r="F1057" s="14">
        <v>2356.4</v>
      </c>
      <c r="G1057" s="14">
        <v>2322.6</v>
      </c>
      <c r="H1057" s="14">
        <v>2324.6</v>
      </c>
      <c r="I1057" s="14">
        <v>2328.8</v>
      </c>
      <c r="J1057" s="14">
        <v>3394.9</v>
      </c>
      <c r="K1057" s="14">
        <v>2124.75</v>
      </c>
      <c r="L1057" s="15">
        <v>1220489</v>
      </c>
      <c r="M1057" t="s" s="13">
        <v>7345</v>
      </c>
      <c r="N1057" s="15">
        <v>81010</v>
      </c>
      <c r="O1057" s="17" cm="1">
        <f t="array" ref="O1057">(H1057-H1056)/H1056</f>
        <v>-0.0134951621116958</v>
      </c>
      <c r="P1057" s="8"/>
      <c r="Q1057" s="8"/>
    </row>
    <row r="1058" ht="13.65" customHeight="1">
      <c r="A1058" s="20">
        <v>45791</v>
      </c>
      <c r="B1058" t="s" s="13">
        <v>22</v>
      </c>
      <c r="C1058" s="14">
        <v>2319</v>
      </c>
      <c r="D1058" s="14">
        <v>2319</v>
      </c>
      <c r="E1058" s="14">
        <v>2277.1</v>
      </c>
      <c r="F1058" s="14">
        <v>2324.6</v>
      </c>
      <c r="G1058" s="14">
        <v>2286</v>
      </c>
      <c r="H1058" s="14">
        <v>2282.3</v>
      </c>
      <c r="I1058" s="14">
        <v>2288</v>
      </c>
      <c r="J1058" s="14">
        <v>3394.9</v>
      </c>
      <c r="K1058" s="14">
        <v>2124.75</v>
      </c>
      <c r="L1058" s="15">
        <v>1549845</v>
      </c>
      <c r="M1058" t="s" s="13">
        <v>7346</v>
      </c>
      <c r="N1058" s="15">
        <v>116059</v>
      </c>
      <c r="O1058" s="17" cm="1">
        <f t="array" ref="O1058">(H1058-H1057)/H1057</f>
        <v>-0.0181966789985374</v>
      </c>
      <c r="P1058" s="8"/>
      <c r="Q1058" s="8"/>
    </row>
    <row r="1059" ht="13.65" customHeight="1">
      <c r="A1059" s="20">
        <v>45792</v>
      </c>
      <c r="B1059" t="s" s="13">
        <v>22</v>
      </c>
      <c r="C1059" s="14">
        <v>2285</v>
      </c>
      <c r="D1059" s="14">
        <v>2335.5</v>
      </c>
      <c r="E1059" s="14">
        <v>2268</v>
      </c>
      <c r="F1059" s="14">
        <v>2282.3</v>
      </c>
      <c r="G1059" s="14">
        <v>2331.4</v>
      </c>
      <c r="H1059" s="14">
        <v>2329.9</v>
      </c>
      <c r="I1059" s="14">
        <v>2306.6</v>
      </c>
      <c r="J1059" s="14">
        <v>3394.9</v>
      </c>
      <c r="K1059" s="14">
        <v>2124.75</v>
      </c>
      <c r="L1059" s="15">
        <v>1675016</v>
      </c>
      <c r="M1059" t="s" s="13">
        <v>7347</v>
      </c>
      <c r="N1059" s="15">
        <v>113120</v>
      </c>
      <c r="O1059" s="17" cm="1">
        <f t="array" ref="O1059">(H1059-H1058)/H1058</f>
        <v>0.020856153879858</v>
      </c>
      <c r="P1059" s="8"/>
      <c r="Q1059" s="8"/>
    </row>
    <row r="1060" ht="13.65" customHeight="1">
      <c r="A1060" s="20">
        <v>45793</v>
      </c>
      <c r="B1060" t="s" s="13">
        <v>22</v>
      </c>
      <c r="C1060" s="14">
        <v>2333.9</v>
      </c>
      <c r="D1060" s="14">
        <v>2355</v>
      </c>
      <c r="E1060" s="14">
        <v>2315</v>
      </c>
      <c r="F1060" s="14">
        <v>2329.9</v>
      </c>
      <c r="G1060" s="14">
        <v>2353</v>
      </c>
      <c r="H1060" s="14">
        <v>2353.6</v>
      </c>
      <c r="I1060" s="14">
        <v>2340.13</v>
      </c>
      <c r="J1060" s="14">
        <v>3394.9</v>
      </c>
      <c r="K1060" s="14">
        <v>2124.75</v>
      </c>
      <c r="L1060" s="15">
        <v>785113</v>
      </c>
      <c r="M1060" t="s" s="13">
        <v>7348</v>
      </c>
      <c r="N1060" s="15">
        <v>54809</v>
      </c>
      <c r="O1060" s="17" cm="1">
        <f t="array" ref="O1060">(H1060-H1059)/H1059</f>
        <v>0.0101721103910039</v>
      </c>
      <c r="P1060" s="8"/>
      <c r="Q1060" s="8"/>
    </row>
    <row r="1061" ht="13.65" customHeight="1">
      <c r="A1061" s="20">
        <v>45796</v>
      </c>
      <c r="B1061" t="s" s="13">
        <v>22</v>
      </c>
      <c r="C1061" s="14">
        <v>2353.6</v>
      </c>
      <c r="D1061" s="14">
        <v>2378.9</v>
      </c>
      <c r="E1061" s="14">
        <v>2326.6</v>
      </c>
      <c r="F1061" s="14">
        <v>2353.6</v>
      </c>
      <c r="G1061" s="14">
        <v>2331</v>
      </c>
      <c r="H1061" s="14">
        <v>2331.4</v>
      </c>
      <c r="I1061" s="14">
        <v>2347.23</v>
      </c>
      <c r="J1061" s="14">
        <v>3394.9</v>
      </c>
      <c r="K1061" s="14">
        <v>2124.75</v>
      </c>
      <c r="L1061" s="15">
        <v>552961</v>
      </c>
      <c r="M1061" t="s" s="13">
        <v>7349</v>
      </c>
      <c r="N1061" s="15">
        <v>50106</v>
      </c>
      <c r="O1061" s="17" cm="1">
        <f t="array" ref="O1061">(H1061-H1060)/H1060</f>
        <v>-0.00943235893949694</v>
      </c>
      <c r="P1061" s="8"/>
      <c r="Q1061" s="8"/>
    </row>
    <row r="1062" ht="13.65" customHeight="1">
      <c r="A1062" s="20">
        <v>45797</v>
      </c>
      <c r="B1062" t="s" s="13">
        <v>22</v>
      </c>
      <c r="C1062" s="14">
        <v>2347.5</v>
      </c>
      <c r="D1062" s="14">
        <v>2347.7</v>
      </c>
      <c r="E1062" s="14">
        <v>2291.4</v>
      </c>
      <c r="F1062" s="14">
        <v>2331.4</v>
      </c>
      <c r="G1062" s="14">
        <v>2298.7</v>
      </c>
      <c r="H1062" s="14">
        <v>2295.6</v>
      </c>
      <c r="I1062" s="14">
        <v>2306.25</v>
      </c>
      <c r="J1062" s="14">
        <v>3394.9</v>
      </c>
      <c r="K1062" s="14">
        <v>2124.75</v>
      </c>
      <c r="L1062" s="15">
        <v>1095846</v>
      </c>
      <c r="M1062" t="s" s="13">
        <v>7350</v>
      </c>
      <c r="N1062" s="15">
        <v>61266</v>
      </c>
      <c r="O1062" s="17" cm="1">
        <f t="array" ref="O1062">(H1062-H1061)/H1061</f>
        <v>-0.0153555803379943</v>
      </c>
      <c r="P1062" s="8"/>
      <c r="Q1062" s="8"/>
    </row>
    <row r="1063" ht="13.65" customHeight="1">
      <c r="A1063" s="20">
        <v>45798</v>
      </c>
      <c r="B1063" t="s" s="13">
        <v>22</v>
      </c>
      <c r="C1063" s="14">
        <v>2296</v>
      </c>
      <c r="D1063" s="14">
        <v>2316.2</v>
      </c>
      <c r="E1063" s="14">
        <v>2290</v>
      </c>
      <c r="F1063" s="14">
        <v>2295.6</v>
      </c>
      <c r="G1063" s="14">
        <v>2308.3</v>
      </c>
      <c r="H1063" s="14">
        <v>2312.4</v>
      </c>
      <c r="I1063" s="14">
        <v>2307.71</v>
      </c>
      <c r="J1063" s="14">
        <v>3394.9</v>
      </c>
      <c r="K1063" s="14">
        <v>2124.75</v>
      </c>
      <c r="L1063" s="15">
        <v>469330</v>
      </c>
      <c r="M1063" t="s" s="13">
        <v>7351</v>
      </c>
      <c r="N1063" s="15">
        <v>41864</v>
      </c>
      <c r="O1063" s="17" cm="1">
        <f t="array" ref="O1063">(H1063-H1062)/H1062</f>
        <v>0.00731834814427601</v>
      </c>
      <c r="P1063" s="8"/>
      <c r="Q1063" s="8"/>
    </row>
    <row r="1064" ht="13.65" customHeight="1">
      <c r="A1064" s="20">
        <v>45799</v>
      </c>
      <c r="B1064" t="s" s="13">
        <v>22</v>
      </c>
      <c r="C1064" s="14">
        <v>2309.2</v>
      </c>
      <c r="D1064" s="14">
        <v>2310</v>
      </c>
      <c r="E1064" s="14">
        <v>2283.1</v>
      </c>
      <c r="F1064" s="14">
        <v>2312.4</v>
      </c>
      <c r="G1064" s="14">
        <v>2297.6</v>
      </c>
      <c r="H1064" s="14">
        <v>2299.2</v>
      </c>
      <c r="I1064" s="14">
        <v>2297</v>
      </c>
      <c r="J1064" s="14">
        <v>3394.9</v>
      </c>
      <c r="K1064" s="14">
        <v>2124.75</v>
      </c>
      <c r="L1064" s="15">
        <v>916504</v>
      </c>
      <c r="M1064" t="s" s="13">
        <v>7352</v>
      </c>
      <c r="N1064" s="15">
        <v>62407</v>
      </c>
      <c r="O1064" s="17" cm="1">
        <f t="array" ref="O1064">(H1064-H1063)/H1063</f>
        <v>-0.00570835495588998</v>
      </c>
      <c r="P1064" s="8"/>
      <c r="Q1064" s="8"/>
    </row>
    <row r="1065" ht="13.65" customHeight="1">
      <c r="A1065" s="20">
        <v>45800</v>
      </c>
      <c r="B1065" t="s" s="13">
        <v>22</v>
      </c>
      <c r="C1065" s="14">
        <v>2301.8</v>
      </c>
      <c r="D1065" s="14">
        <v>2329</v>
      </c>
      <c r="E1065" s="14">
        <v>2295</v>
      </c>
      <c r="F1065" s="14">
        <v>2299.2</v>
      </c>
      <c r="G1065" s="14">
        <v>2315</v>
      </c>
      <c r="H1065" s="14">
        <v>2315.5</v>
      </c>
      <c r="I1065" s="14">
        <v>2316.37</v>
      </c>
      <c r="J1065" s="14">
        <v>3394.9</v>
      </c>
      <c r="K1065" s="14">
        <v>2124.75</v>
      </c>
      <c r="L1065" s="15">
        <v>458035</v>
      </c>
      <c r="M1065" t="s" s="13">
        <v>7353</v>
      </c>
      <c r="N1065" s="15">
        <v>33970</v>
      </c>
      <c r="O1065" s="17" cm="1">
        <f t="array" ref="O1065">(H1065-H1064)/H1064</f>
        <v>0.00708942240779402</v>
      </c>
      <c r="P1065" s="8"/>
      <c r="Q1065" s="8"/>
    </row>
    <row r="1066" ht="13.65" customHeight="1">
      <c r="A1066" s="20">
        <v>45803</v>
      </c>
      <c r="B1066" t="s" s="13">
        <v>22</v>
      </c>
      <c r="C1066" s="14">
        <v>2316</v>
      </c>
      <c r="D1066" s="14">
        <v>2338</v>
      </c>
      <c r="E1066" s="14">
        <v>2302.8</v>
      </c>
      <c r="F1066" s="14">
        <v>2315.5</v>
      </c>
      <c r="G1066" s="14">
        <v>2325.6</v>
      </c>
      <c r="H1066" s="14">
        <v>2327.2</v>
      </c>
      <c r="I1066" s="14">
        <v>2318.72</v>
      </c>
      <c r="J1066" s="14">
        <v>3394.9</v>
      </c>
      <c r="K1066" s="14">
        <v>2124.75</v>
      </c>
      <c r="L1066" s="15">
        <v>1258062</v>
      </c>
      <c r="M1066" t="s" s="13">
        <v>7354</v>
      </c>
      <c r="N1066" s="15">
        <v>68731</v>
      </c>
      <c r="O1066" s="17" cm="1">
        <f t="array" ref="O1066">(H1066-H1065)/H1065</f>
        <v>0.00505290434031527</v>
      </c>
      <c r="P1066" s="8"/>
      <c r="Q1066" s="8"/>
    </row>
    <row r="1067" ht="13.65" customHeight="1">
      <c r="A1067" s="20">
        <v>45804</v>
      </c>
      <c r="B1067" t="s" s="13">
        <v>22</v>
      </c>
      <c r="C1067" s="14">
        <v>2313.1</v>
      </c>
      <c r="D1067" s="14">
        <v>2351.6</v>
      </c>
      <c r="E1067" s="14">
        <v>2301.1</v>
      </c>
      <c r="F1067" s="14">
        <v>2327.2</v>
      </c>
      <c r="G1067" s="14">
        <v>2327.5</v>
      </c>
      <c r="H1067" s="14">
        <v>2327.6</v>
      </c>
      <c r="I1067" s="14">
        <v>2332.79</v>
      </c>
      <c r="J1067" s="14">
        <v>3394.9</v>
      </c>
      <c r="K1067" s="14">
        <v>2124.75</v>
      </c>
      <c r="L1067" s="15">
        <v>2485428</v>
      </c>
      <c r="M1067" t="s" s="13">
        <v>7355</v>
      </c>
      <c r="N1067" s="15">
        <v>98440</v>
      </c>
      <c r="O1067" s="17" cm="1">
        <f t="array" ref="O1067">(H1067-H1066)/H1066</f>
        <v>0.000171880371261602</v>
      </c>
      <c r="P1067" s="8"/>
      <c r="Q1067" s="8"/>
    </row>
    <row r="1068" ht="13.65" customHeight="1">
      <c r="A1068" s="20">
        <v>45805</v>
      </c>
      <c r="B1068" t="s" s="13">
        <v>22</v>
      </c>
      <c r="C1068" s="14">
        <v>2327.6</v>
      </c>
      <c r="D1068" s="14">
        <v>2333</v>
      </c>
      <c r="E1068" s="14">
        <v>2300.3</v>
      </c>
      <c r="F1068" s="14">
        <v>2327.6</v>
      </c>
      <c r="G1068" s="14">
        <v>2305</v>
      </c>
      <c r="H1068" s="14">
        <v>2303.2</v>
      </c>
      <c r="I1068" s="14">
        <v>2308.17</v>
      </c>
      <c r="J1068" s="14">
        <v>3394.9</v>
      </c>
      <c r="K1068" s="14">
        <v>2124.75</v>
      </c>
      <c r="L1068" s="15">
        <v>774808</v>
      </c>
      <c r="M1068" t="s" s="13">
        <v>7356</v>
      </c>
      <c r="N1068" s="15">
        <v>63744</v>
      </c>
      <c r="O1068" s="17" cm="1">
        <f t="array" ref="O1068">(H1068-H1067)/H1067</f>
        <v>-0.0104829008420691</v>
      </c>
      <c r="P1068" s="8"/>
      <c r="Q1068" s="8"/>
    </row>
    <row r="1069" ht="13.65" customHeight="1">
      <c r="A1069" s="20">
        <v>45806</v>
      </c>
      <c r="B1069" t="s" s="13">
        <v>22</v>
      </c>
      <c r="C1069" s="14">
        <v>2303.2</v>
      </c>
      <c r="D1069" s="14">
        <v>2309</v>
      </c>
      <c r="E1069" s="14">
        <v>2286.5</v>
      </c>
      <c r="F1069" s="14">
        <v>2303.2</v>
      </c>
      <c r="G1069" s="14">
        <v>2295</v>
      </c>
      <c r="H1069" s="14">
        <v>2294.3</v>
      </c>
      <c r="I1069" s="14">
        <v>2293.62</v>
      </c>
      <c r="J1069" s="14">
        <v>3394.9</v>
      </c>
      <c r="K1069" s="14">
        <v>2124.75</v>
      </c>
      <c r="L1069" s="15">
        <v>1414643</v>
      </c>
      <c r="M1069" t="s" s="13">
        <v>7357</v>
      </c>
      <c r="N1069" s="15">
        <v>58620</v>
      </c>
      <c r="O1069" s="17" cm="1">
        <f t="array" ref="O1069">(H1069-H1068)/H1068</f>
        <v>-0.00386418895449809</v>
      </c>
      <c r="P1069" s="8"/>
      <c r="Q1069" s="8"/>
    </row>
    <row r="1070" ht="13.65" customHeight="1">
      <c r="A1070" s="20">
        <v>45807</v>
      </c>
      <c r="B1070" t="s" s="13">
        <v>22</v>
      </c>
      <c r="C1070" s="14">
        <v>2296.5</v>
      </c>
      <c r="D1070" s="14">
        <v>2304</v>
      </c>
      <c r="E1070" s="14">
        <v>2255</v>
      </c>
      <c r="F1070" s="14">
        <v>2294.3</v>
      </c>
      <c r="G1070" s="14">
        <v>2261</v>
      </c>
      <c r="H1070" s="14">
        <v>2259.1</v>
      </c>
      <c r="I1070" s="14">
        <v>2263.7</v>
      </c>
      <c r="J1070" s="14">
        <v>3394.9</v>
      </c>
      <c r="K1070" s="14">
        <v>2124.75</v>
      </c>
      <c r="L1070" s="15">
        <v>3610474</v>
      </c>
      <c r="M1070" t="s" s="13">
        <v>7358</v>
      </c>
      <c r="N1070" s="15">
        <v>82010</v>
      </c>
      <c r="O1070" s="17" cm="1">
        <f t="array" ref="O1070">(H1070-H1069)/H1069</f>
        <v>-0.0153423702218542</v>
      </c>
      <c r="P1070" s="8"/>
      <c r="Q1070" s="8"/>
    </row>
    <row r="1071" ht="13.65" customHeight="1">
      <c r="A1071" s="12">
        <v>45810</v>
      </c>
      <c r="B1071" t="s" s="13">
        <v>22</v>
      </c>
      <c r="C1071" s="14">
        <v>2259.1</v>
      </c>
      <c r="D1071" s="14">
        <v>2272.3</v>
      </c>
      <c r="E1071" s="14">
        <v>2257.9</v>
      </c>
      <c r="F1071" s="14">
        <v>2259.1</v>
      </c>
      <c r="G1071" s="14">
        <v>2268.5</v>
      </c>
      <c r="H1071" s="14">
        <v>2266.7</v>
      </c>
      <c r="I1071" s="14">
        <v>2265.52</v>
      </c>
      <c r="J1071" s="14">
        <v>3394.9</v>
      </c>
      <c r="K1071" s="14">
        <v>2124.75</v>
      </c>
      <c r="L1071" s="15">
        <v>702789</v>
      </c>
      <c r="M1071" t="s" s="13">
        <v>7359</v>
      </c>
      <c r="N1071" s="15">
        <v>41035</v>
      </c>
      <c r="O1071" s="17" cm="1">
        <f t="array" ref="O1071">(H1071-H1070)/H1070</f>
        <v>0.00336417157275021</v>
      </c>
      <c r="P1071" s="8"/>
      <c r="Q1071" s="8"/>
    </row>
    <row r="1072" ht="13.65" customHeight="1">
      <c r="A1072" s="12">
        <v>45811</v>
      </c>
      <c r="B1072" t="s" s="13">
        <v>22</v>
      </c>
      <c r="C1072" s="14">
        <v>2272.6</v>
      </c>
      <c r="D1072" s="14">
        <v>2287.3</v>
      </c>
      <c r="E1072" s="14">
        <v>2246.7</v>
      </c>
      <c r="F1072" s="14">
        <v>2266.7</v>
      </c>
      <c r="G1072" s="14">
        <v>2258</v>
      </c>
      <c r="H1072" s="14">
        <v>2255.7</v>
      </c>
      <c r="I1072" s="14">
        <v>2259.11</v>
      </c>
      <c r="J1072" s="14">
        <v>3394.9</v>
      </c>
      <c r="K1072" s="14">
        <v>2124.75</v>
      </c>
      <c r="L1072" s="15">
        <v>792587</v>
      </c>
      <c r="M1072" t="s" s="13">
        <v>7360</v>
      </c>
      <c r="N1072" s="15">
        <v>55680</v>
      </c>
      <c r="O1072" s="17" cm="1">
        <f t="array" ref="O1072">(H1072-H1071)/H1071</f>
        <v>-0.00485286981073808</v>
      </c>
      <c r="P1072" s="8"/>
      <c r="Q1072" s="8"/>
    </row>
    <row r="1073" ht="13.65" customHeight="1">
      <c r="A1073" s="12">
        <v>45812</v>
      </c>
      <c r="B1073" t="s" s="13">
        <v>22</v>
      </c>
      <c r="C1073" s="14">
        <v>2249.5</v>
      </c>
      <c r="D1073" s="14">
        <v>2261</v>
      </c>
      <c r="E1073" s="14">
        <v>2240.9</v>
      </c>
      <c r="F1073" s="14">
        <v>2255.7</v>
      </c>
      <c r="G1073" s="14">
        <v>2251</v>
      </c>
      <c r="H1073" s="14">
        <v>2249</v>
      </c>
      <c r="I1073" s="14">
        <v>2248.65</v>
      </c>
      <c r="J1073" s="14">
        <v>3394.9</v>
      </c>
      <c r="K1073" s="14">
        <v>2124.75</v>
      </c>
      <c r="L1073" s="15">
        <v>768084</v>
      </c>
      <c r="M1073" t="s" s="13">
        <v>7361</v>
      </c>
      <c r="N1073" s="15">
        <v>36037</v>
      </c>
      <c r="O1073" s="17" cm="1">
        <f t="array" ref="O1073">(H1073-H1072)/H1072</f>
        <v>-0.00297025313649865</v>
      </c>
      <c r="P1073" s="8"/>
      <c r="Q1073" s="8"/>
    </row>
    <row r="1074" ht="13.65" customHeight="1">
      <c r="A1074" s="12">
        <v>45813</v>
      </c>
      <c r="B1074" t="s" s="13">
        <v>22</v>
      </c>
      <c r="C1074" s="14">
        <v>2251.1</v>
      </c>
      <c r="D1074" s="14">
        <v>2261</v>
      </c>
      <c r="E1074" s="14">
        <v>2233</v>
      </c>
      <c r="F1074" s="14">
        <v>2249</v>
      </c>
      <c r="G1074" s="14">
        <v>2242</v>
      </c>
      <c r="H1074" s="14">
        <v>2243.5</v>
      </c>
      <c r="I1074" s="14">
        <v>2244.09</v>
      </c>
      <c r="J1074" s="14">
        <v>3394.9</v>
      </c>
      <c r="K1074" s="14">
        <v>2124.75</v>
      </c>
      <c r="L1074" s="15">
        <v>996615</v>
      </c>
      <c r="M1074" t="s" s="13">
        <v>7362</v>
      </c>
      <c r="N1074" s="15">
        <v>51385</v>
      </c>
      <c r="O1074" s="17" cm="1">
        <f t="array" ref="O1074">(H1074-H1073)/H1073</f>
        <v>-0.00244553134726545</v>
      </c>
      <c r="P1074" s="8"/>
      <c r="Q1074" s="8"/>
    </row>
    <row r="1075" ht="13.65" customHeight="1">
      <c r="A1075" s="12">
        <v>45814</v>
      </c>
      <c r="B1075" t="s" s="13">
        <v>22</v>
      </c>
      <c r="C1075" s="14">
        <v>2249.1</v>
      </c>
      <c r="D1075" s="14">
        <v>2252.6</v>
      </c>
      <c r="E1075" s="14">
        <v>2239</v>
      </c>
      <c r="F1075" s="14">
        <v>2243.5</v>
      </c>
      <c r="G1075" s="14">
        <v>2245.2</v>
      </c>
      <c r="H1075" s="14">
        <v>2245.2</v>
      </c>
      <c r="I1075" s="14">
        <v>2244.85</v>
      </c>
      <c r="J1075" s="14">
        <v>3394.9</v>
      </c>
      <c r="K1075" s="14">
        <v>2124.75</v>
      </c>
      <c r="L1075" s="15">
        <v>822087</v>
      </c>
      <c r="M1075" t="s" s="13">
        <v>7363</v>
      </c>
      <c r="N1075" s="15">
        <v>36801</v>
      </c>
      <c r="O1075" s="17" cm="1">
        <f t="array" ref="O1075">(H1075-H1074)/H1074</f>
        <v>0.000757744595498106</v>
      </c>
      <c r="P1075" s="8"/>
      <c r="Q1075" s="8"/>
    </row>
    <row r="1076" ht="13.65" customHeight="1">
      <c r="A1076" s="12">
        <v>45817</v>
      </c>
      <c r="B1076" t="s" s="13">
        <v>22</v>
      </c>
      <c r="C1076" s="14">
        <v>2240</v>
      </c>
      <c r="D1076" s="14">
        <v>2255.8</v>
      </c>
      <c r="E1076" s="14">
        <v>2236</v>
      </c>
      <c r="F1076" s="14">
        <v>2245.2</v>
      </c>
      <c r="G1076" s="14">
        <v>2251</v>
      </c>
      <c r="H1076" s="14">
        <v>2247.9</v>
      </c>
      <c r="I1076" s="14">
        <v>2246.94</v>
      </c>
      <c r="J1076" s="14">
        <v>3394.9</v>
      </c>
      <c r="K1076" s="14">
        <v>2124.75</v>
      </c>
      <c r="L1076" s="15">
        <v>1041859</v>
      </c>
      <c r="M1076" t="s" s="13">
        <v>7364</v>
      </c>
      <c r="N1076" s="15">
        <v>46288</v>
      </c>
      <c r="O1076" s="17" cm="1">
        <f t="array" ref="O1076">(H1076-H1075)/H1075</f>
        <v>0.00120256547300909</v>
      </c>
      <c r="P1076" s="8"/>
      <c r="Q1076" s="8"/>
    </row>
    <row r="1077" ht="13.65" customHeight="1">
      <c r="A1077" s="18">
        <v>45818</v>
      </c>
      <c r="B1077" t="s" s="13">
        <v>22</v>
      </c>
      <c r="C1077" s="14">
        <v>2240</v>
      </c>
      <c r="D1077" s="14">
        <v>2240</v>
      </c>
      <c r="E1077" s="14">
        <v>2215.2</v>
      </c>
      <c r="F1077" s="14">
        <v>2247.9</v>
      </c>
      <c r="G1077" s="14">
        <v>2217.9</v>
      </c>
      <c r="H1077" s="14">
        <v>2218.9</v>
      </c>
      <c r="I1077" s="14">
        <v>2222.99</v>
      </c>
      <c r="J1077" s="14">
        <v>3394.9</v>
      </c>
      <c r="K1077" s="14">
        <v>2124.75</v>
      </c>
      <c r="L1077" s="15">
        <v>1809078</v>
      </c>
      <c r="M1077" t="s" s="13">
        <v>7365</v>
      </c>
      <c r="N1077" s="15">
        <v>85274</v>
      </c>
      <c r="O1077" s="17" cm="1">
        <f t="array" ref="O1077">(H1077-H1076)/H1076</f>
        <v>-0.0129009297566618</v>
      </c>
      <c r="P1077" s="8"/>
      <c r="Q1077" s="8"/>
    </row>
    <row r="1078" ht="13.65" customHeight="1">
      <c r="A1078" s="18">
        <v>45819</v>
      </c>
      <c r="B1078" t="s" s="13">
        <v>22</v>
      </c>
      <c r="C1078" s="14">
        <v>2209</v>
      </c>
      <c r="D1078" s="14">
        <v>2225.9</v>
      </c>
      <c r="E1078" s="14">
        <v>2207.2</v>
      </c>
      <c r="F1078" s="14">
        <v>2218.9</v>
      </c>
      <c r="G1078" s="14">
        <v>2207.6</v>
      </c>
      <c r="H1078" s="14">
        <v>2208.8</v>
      </c>
      <c r="I1078" s="14">
        <v>2214.3</v>
      </c>
      <c r="J1078" s="14">
        <v>3394.9</v>
      </c>
      <c r="K1078" s="14">
        <v>2124.75</v>
      </c>
      <c r="L1078" s="15">
        <v>1431027</v>
      </c>
      <c r="M1078" t="s" s="13">
        <v>7366</v>
      </c>
      <c r="N1078" s="15">
        <v>57088</v>
      </c>
      <c r="O1078" s="17" cm="1">
        <f t="array" ref="O1078">(H1078-H1077)/H1077</f>
        <v>-0.00455180494839785</v>
      </c>
      <c r="P1078" s="8"/>
      <c r="Q1078" s="8"/>
    </row>
    <row r="1079" ht="13.65" customHeight="1">
      <c r="A1079" s="18">
        <v>45820</v>
      </c>
      <c r="B1079" t="s" s="13">
        <v>22</v>
      </c>
      <c r="C1079" s="14">
        <v>2224</v>
      </c>
      <c r="D1079" s="14">
        <v>2263</v>
      </c>
      <c r="E1079" s="14">
        <v>2208.1</v>
      </c>
      <c r="F1079" s="14">
        <v>2208.8</v>
      </c>
      <c r="G1079" s="14">
        <v>2225</v>
      </c>
      <c r="H1079" s="14">
        <v>2219.4</v>
      </c>
      <c r="I1079" s="14">
        <v>2237.04</v>
      </c>
      <c r="J1079" s="14">
        <v>3394.9</v>
      </c>
      <c r="K1079" s="14">
        <v>2124.75</v>
      </c>
      <c r="L1079" s="15">
        <v>3417375</v>
      </c>
      <c r="M1079" t="s" s="13">
        <v>7367</v>
      </c>
      <c r="N1079" s="15">
        <v>138345</v>
      </c>
      <c r="O1079" s="17" cm="1">
        <f t="array" ref="O1079">(H1079-H1078)/H1078</f>
        <v>0.00479898587468309</v>
      </c>
      <c r="P1079" s="8"/>
      <c r="Q1079" s="8"/>
    </row>
    <row r="1080" ht="13.65" customHeight="1">
      <c r="A1080" s="18">
        <v>45821</v>
      </c>
      <c r="B1080" t="s" s="13">
        <v>22</v>
      </c>
      <c r="C1080" s="14">
        <v>2175</v>
      </c>
      <c r="D1080" s="14">
        <v>2217.1</v>
      </c>
      <c r="E1080" s="14">
        <v>2174.8</v>
      </c>
      <c r="F1080" s="14">
        <v>2219.4</v>
      </c>
      <c r="G1080" s="14">
        <v>2216.6</v>
      </c>
      <c r="H1080" s="14">
        <v>2214.2</v>
      </c>
      <c r="I1080" s="14">
        <v>2202.96</v>
      </c>
      <c r="J1080" s="14">
        <v>3394.9</v>
      </c>
      <c r="K1080" s="14">
        <v>2124.75</v>
      </c>
      <c r="L1080" s="15">
        <v>1786808</v>
      </c>
      <c r="M1080" t="s" s="13">
        <v>7368</v>
      </c>
      <c r="N1080" s="15">
        <v>84761</v>
      </c>
      <c r="O1080" s="17" cm="1">
        <f t="array" ref="O1080">(H1080-H1079)/H1079</f>
        <v>-0.00234297557898531</v>
      </c>
      <c r="P1080" s="8"/>
      <c r="Q1080" s="8"/>
    </row>
    <row r="1081" ht="13.65" customHeight="1">
      <c r="A1081" s="18">
        <v>45824</v>
      </c>
      <c r="B1081" t="s" s="13">
        <v>22</v>
      </c>
      <c r="C1081" s="14">
        <v>2214.2</v>
      </c>
      <c r="D1081" s="14">
        <v>2250</v>
      </c>
      <c r="E1081" s="14">
        <v>2209.3</v>
      </c>
      <c r="F1081" s="14">
        <v>2214.2</v>
      </c>
      <c r="G1081" s="14">
        <v>2241</v>
      </c>
      <c r="H1081" s="14">
        <v>2244.8</v>
      </c>
      <c r="I1081" s="14">
        <v>2233.86</v>
      </c>
      <c r="J1081" s="14">
        <v>3394.9</v>
      </c>
      <c r="K1081" s="14">
        <v>2124.75</v>
      </c>
      <c r="L1081" s="15">
        <v>1301826</v>
      </c>
      <c r="M1081" t="s" s="13">
        <v>7369</v>
      </c>
      <c r="N1081" s="15">
        <v>61568</v>
      </c>
      <c r="O1081" s="17" cm="1">
        <f t="array" ref="O1081">(H1081-H1080)/H1080</f>
        <v>0.0138198898021859</v>
      </c>
      <c r="P1081" s="8"/>
      <c r="Q1081" s="8"/>
    </row>
    <row r="1082" ht="13.65" customHeight="1">
      <c r="A1082" s="18">
        <v>45825</v>
      </c>
      <c r="B1082" t="s" s="13">
        <v>22</v>
      </c>
      <c r="C1082" s="14">
        <v>2231</v>
      </c>
      <c r="D1082" s="14">
        <v>2281</v>
      </c>
      <c r="E1082" s="14">
        <v>2227</v>
      </c>
      <c r="F1082" s="14">
        <v>2244.8</v>
      </c>
      <c r="G1082" s="14">
        <v>2264</v>
      </c>
      <c r="H1082" s="14">
        <v>2264.8</v>
      </c>
      <c r="I1082" s="14">
        <v>2264.49</v>
      </c>
      <c r="J1082" s="14">
        <v>3394.9</v>
      </c>
      <c r="K1082" s="14">
        <v>2124.75</v>
      </c>
      <c r="L1082" s="15">
        <v>1540986</v>
      </c>
      <c r="M1082" t="s" s="13">
        <v>7370</v>
      </c>
      <c r="N1082" s="15">
        <v>60073</v>
      </c>
      <c r="O1082" s="17" cm="1">
        <f t="array" ref="O1082">(H1082-H1081)/H1081</f>
        <v>0.008909479686386321</v>
      </c>
      <c r="P1082" s="8"/>
      <c r="Q1082" s="8"/>
    </row>
    <row r="1083" ht="13.65" customHeight="1">
      <c r="A1083" s="18">
        <v>45826</v>
      </c>
      <c r="B1083" t="s" s="13">
        <v>22</v>
      </c>
      <c r="C1083" s="14">
        <v>2257</v>
      </c>
      <c r="D1083" s="14">
        <v>2284</v>
      </c>
      <c r="E1083" s="14">
        <v>2255</v>
      </c>
      <c r="F1083" s="14">
        <v>2264.8</v>
      </c>
      <c r="G1083" s="14">
        <v>2277.8</v>
      </c>
      <c r="H1083" s="14">
        <v>2281.4</v>
      </c>
      <c r="I1083" s="14">
        <v>2273.14</v>
      </c>
      <c r="J1083" s="14">
        <v>3394.9</v>
      </c>
      <c r="K1083" s="14">
        <v>2124.75</v>
      </c>
      <c r="L1083" s="15">
        <v>1131156</v>
      </c>
      <c r="M1083" t="s" s="13">
        <v>7371</v>
      </c>
      <c r="N1083" s="15">
        <v>52509</v>
      </c>
      <c r="O1083" s="17" cm="1">
        <f t="array" ref="O1083">(H1083-H1082)/H1082</f>
        <v>0.00732956552454963</v>
      </c>
      <c r="P1083" s="8"/>
      <c r="Q1083" s="8"/>
    </row>
    <row r="1084" ht="13.65" customHeight="1">
      <c r="A1084" s="18">
        <v>45827</v>
      </c>
      <c r="B1084" t="s" s="13">
        <v>22</v>
      </c>
      <c r="C1084" s="14">
        <v>2270</v>
      </c>
      <c r="D1084" s="14">
        <v>2285</v>
      </c>
      <c r="E1084" s="14">
        <v>2264</v>
      </c>
      <c r="F1084" s="14">
        <v>2281.4</v>
      </c>
      <c r="G1084" s="14">
        <v>2266.7</v>
      </c>
      <c r="H1084" s="14">
        <v>2268</v>
      </c>
      <c r="I1084" s="14">
        <v>2275.72</v>
      </c>
      <c r="J1084" s="14">
        <v>3394.9</v>
      </c>
      <c r="K1084" s="14">
        <v>2124.75</v>
      </c>
      <c r="L1084" s="15">
        <v>524936</v>
      </c>
      <c r="M1084" t="s" s="13">
        <v>7372</v>
      </c>
      <c r="N1084" s="15">
        <v>37899</v>
      </c>
      <c r="O1084" s="17" cm="1">
        <f t="array" ref="O1084">(H1084-H1083)/H1083</f>
        <v>-0.00587358639431928</v>
      </c>
      <c r="P1084" s="8"/>
      <c r="Q1084" s="8"/>
    </row>
    <row r="1085" ht="13.65" customHeight="1">
      <c r="A1085" s="18">
        <v>45828</v>
      </c>
      <c r="B1085" t="s" s="13">
        <v>22</v>
      </c>
      <c r="C1085" s="14">
        <v>2267</v>
      </c>
      <c r="D1085" s="14">
        <v>2289.9</v>
      </c>
      <c r="E1085" s="14">
        <v>2263</v>
      </c>
      <c r="F1085" s="14">
        <v>2268</v>
      </c>
      <c r="G1085" s="14">
        <v>2279.5</v>
      </c>
      <c r="H1085" s="14">
        <v>2285.7</v>
      </c>
      <c r="I1085" s="14">
        <v>2283.48</v>
      </c>
      <c r="J1085" s="14">
        <v>3394.9</v>
      </c>
      <c r="K1085" s="14">
        <v>2124.75</v>
      </c>
      <c r="L1085" s="15">
        <v>1945030</v>
      </c>
      <c r="M1085" t="s" s="13">
        <v>7373</v>
      </c>
      <c r="N1085" s="15">
        <v>50866</v>
      </c>
      <c r="O1085" s="17" cm="1">
        <f t="array" ref="O1085">(H1085-H1084)/H1084</f>
        <v>0.0078042328042328</v>
      </c>
      <c r="P1085" s="8"/>
      <c r="Q1085" s="8"/>
    </row>
    <row r="1086" ht="13.65" customHeight="1">
      <c r="A1086" s="18">
        <v>45831</v>
      </c>
      <c r="B1086" t="s" s="13">
        <v>22</v>
      </c>
      <c r="C1086" s="14">
        <v>2261.2</v>
      </c>
      <c r="D1086" s="14">
        <v>2272.8</v>
      </c>
      <c r="E1086" s="14">
        <v>2253.9</v>
      </c>
      <c r="F1086" s="14">
        <v>2285.7</v>
      </c>
      <c r="G1086" s="14">
        <v>2264</v>
      </c>
      <c r="H1086" s="14">
        <v>2264.1</v>
      </c>
      <c r="I1086" s="14">
        <v>2263.57</v>
      </c>
      <c r="J1086" s="14">
        <v>3394.9</v>
      </c>
      <c r="K1086" s="14">
        <v>2124.75</v>
      </c>
      <c r="L1086" s="15">
        <v>596186</v>
      </c>
      <c r="M1086" t="s" s="13">
        <v>7374</v>
      </c>
      <c r="N1086" s="15">
        <v>46126</v>
      </c>
      <c r="O1086" s="17" cm="1">
        <f t="array" ref="O1086">(H1086-H1085)/H1085</f>
        <v>-0.009450059062869141</v>
      </c>
      <c r="P1086" s="8"/>
      <c r="Q1086" s="8"/>
    </row>
    <row r="1087" ht="13.65" customHeight="1">
      <c r="A1087" s="18">
        <v>45832</v>
      </c>
      <c r="B1087" t="s" s="13">
        <v>22</v>
      </c>
      <c r="C1087" s="14">
        <v>2305</v>
      </c>
      <c r="D1087" s="14">
        <v>2309.7</v>
      </c>
      <c r="E1087" s="14">
        <v>2268.9</v>
      </c>
      <c r="F1087" s="14">
        <v>2264.1</v>
      </c>
      <c r="G1087" s="14">
        <v>2277</v>
      </c>
      <c r="H1087" s="14">
        <v>2275.3</v>
      </c>
      <c r="I1087" s="14">
        <v>2285.84</v>
      </c>
      <c r="J1087" s="14">
        <v>3394.9</v>
      </c>
      <c r="K1087" s="14">
        <v>2124.75</v>
      </c>
      <c r="L1087" s="15">
        <v>1044179</v>
      </c>
      <c r="M1087" t="s" s="13">
        <v>7375</v>
      </c>
      <c r="N1087" s="15">
        <v>68456</v>
      </c>
      <c r="O1087" s="17" cm="1">
        <f t="array" ref="O1087">(H1087-H1086)/H1086</f>
        <v>0.00494677796917097</v>
      </c>
      <c r="P1087" s="8"/>
      <c r="Q1087" s="8"/>
    </row>
    <row r="1088" ht="13.65" customHeight="1">
      <c r="A1088" s="18">
        <v>45833</v>
      </c>
      <c r="B1088" t="s" s="13">
        <v>22</v>
      </c>
      <c r="C1088" s="14">
        <v>2276.1</v>
      </c>
      <c r="D1088" s="14">
        <v>2294.3</v>
      </c>
      <c r="E1088" s="14">
        <v>2275.4</v>
      </c>
      <c r="F1088" s="14">
        <v>2275.3</v>
      </c>
      <c r="G1088" s="14">
        <v>2280</v>
      </c>
      <c r="H1088" s="14">
        <v>2279.9</v>
      </c>
      <c r="I1088" s="14">
        <v>2281.51</v>
      </c>
      <c r="J1088" s="14">
        <v>3394.9</v>
      </c>
      <c r="K1088" s="14">
        <v>2124.75</v>
      </c>
      <c r="L1088" s="15">
        <v>807391</v>
      </c>
      <c r="M1088" t="s" s="13">
        <v>7376</v>
      </c>
      <c r="N1088" s="15">
        <v>36233</v>
      </c>
      <c r="O1088" s="17" cm="1">
        <f t="array" ref="O1088">(H1088-H1087)/H1087</f>
        <v>0.00202171142266954</v>
      </c>
      <c r="P1088" s="8"/>
      <c r="Q1088" s="8"/>
    </row>
    <row r="1089" ht="13.65" customHeight="1">
      <c r="A1089" s="18">
        <v>45834</v>
      </c>
      <c r="B1089" t="s" s="13">
        <v>22</v>
      </c>
      <c r="C1089" s="14">
        <v>2287</v>
      </c>
      <c r="D1089" s="14">
        <v>2292.6</v>
      </c>
      <c r="E1089" s="14">
        <v>2280.2</v>
      </c>
      <c r="F1089" s="14">
        <v>2279.9</v>
      </c>
      <c r="G1089" s="14">
        <v>2285.6</v>
      </c>
      <c r="H1089" s="14">
        <v>2289.8</v>
      </c>
      <c r="I1089" s="14">
        <v>2287.73</v>
      </c>
      <c r="J1089" s="14">
        <v>3394.9</v>
      </c>
      <c r="K1089" s="14">
        <v>2124.75</v>
      </c>
      <c r="L1089" s="15">
        <v>921519</v>
      </c>
      <c r="M1089" t="s" s="13">
        <v>7377</v>
      </c>
      <c r="N1089" s="15">
        <v>55025</v>
      </c>
      <c r="O1089" s="17" cm="1">
        <f t="array" ref="O1089">(H1089-H1088)/H1088</f>
        <v>0.00434229571472433</v>
      </c>
      <c r="P1089" s="8"/>
      <c r="Q1089" s="8"/>
    </row>
    <row r="1090" ht="13.65" customHeight="1">
      <c r="A1090" s="18">
        <v>45835</v>
      </c>
      <c r="B1090" t="s" s="13">
        <v>22</v>
      </c>
      <c r="C1090" s="14">
        <v>2283</v>
      </c>
      <c r="D1090" s="14">
        <v>2364.5</v>
      </c>
      <c r="E1090" s="14">
        <v>2277.1</v>
      </c>
      <c r="F1090" s="14">
        <v>2289.8</v>
      </c>
      <c r="G1090" s="14">
        <v>2362</v>
      </c>
      <c r="H1090" s="14">
        <v>2358.7</v>
      </c>
      <c r="I1090" s="14">
        <v>2335.4</v>
      </c>
      <c r="J1090" s="14">
        <v>3394.9</v>
      </c>
      <c r="K1090" s="14">
        <v>2124.75</v>
      </c>
      <c r="L1090" s="15">
        <v>1555259</v>
      </c>
      <c r="M1090" t="s" s="13">
        <v>7378</v>
      </c>
      <c r="N1090" s="15">
        <v>80723</v>
      </c>
      <c r="O1090" s="17" cm="1">
        <f t="array" ref="O1090">(H1090-H1089)/H1089</f>
        <v>0.0300899641890121</v>
      </c>
      <c r="P1090" s="8"/>
      <c r="Q1090" s="8"/>
    </row>
    <row r="1091" ht="13.65" customHeight="1">
      <c r="A1091" s="18">
        <v>45838</v>
      </c>
      <c r="B1091" t="s" s="13">
        <v>22</v>
      </c>
      <c r="C1091" s="14">
        <v>2362</v>
      </c>
      <c r="D1091" s="14">
        <v>2369.9</v>
      </c>
      <c r="E1091" s="14">
        <v>2326.1</v>
      </c>
      <c r="F1091" s="14">
        <v>2358.7</v>
      </c>
      <c r="G1091" s="14">
        <v>2341.9</v>
      </c>
      <c r="H1091" s="14">
        <v>2341.1</v>
      </c>
      <c r="I1091" s="14">
        <v>2341.18</v>
      </c>
      <c r="J1091" s="14">
        <v>3394.9</v>
      </c>
      <c r="K1091" s="14">
        <v>2124.75</v>
      </c>
      <c r="L1091" s="15">
        <v>785414</v>
      </c>
      <c r="M1091" t="s" s="13">
        <v>7379</v>
      </c>
      <c r="N1091" s="15">
        <v>63584</v>
      </c>
      <c r="O1091" s="17" cm="1">
        <f t="array" ref="O1091">(H1091-H1090)/H1090</f>
        <v>-0.00746173739771908</v>
      </c>
      <c r="P1091" s="8"/>
      <c r="Q1091" s="8"/>
    </row>
    <row r="1092" ht="13.65" customHeight="1">
      <c r="A1092" s="12">
        <v>45839</v>
      </c>
      <c r="B1092" t="s" s="13">
        <v>22</v>
      </c>
      <c r="C1092" s="14">
        <v>2380.5</v>
      </c>
      <c r="D1092" s="14">
        <v>2400</v>
      </c>
      <c r="E1092" s="14">
        <v>2350.2</v>
      </c>
      <c r="F1092" s="14">
        <v>2341.1</v>
      </c>
      <c r="G1092" s="14">
        <v>2370.1</v>
      </c>
      <c r="H1092" s="14">
        <v>2369.5</v>
      </c>
      <c r="I1092" s="14">
        <v>2372.28</v>
      </c>
      <c r="J1092" s="14">
        <v>3394.9</v>
      </c>
      <c r="K1092" s="14">
        <v>2124.75</v>
      </c>
      <c r="L1092" s="15">
        <v>1232160</v>
      </c>
      <c r="M1092" t="s" s="13">
        <v>7380</v>
      </c>
      <c r="N1092" s="15">
        <v>78111</v>
      </c>
      <c r="O1092" s="17" cm="1">
        <f t="array" ref="O1092">(H1092-H1091)/H1091</f>
        <v>0.0121310495066422</v>
      </c>
      <c r="P1092" s="8"/>
      <c r="Q1092" s="8"/>
    </row>
    <row r="1093" ht="13.65" customHeight="1">
      <c r="A1093" s="12">
        <v>45840</v>
      </c>
      <c r="B1093" t="s" s="13">
        <v>22</v>
      </c>
      <c r="C1093" s="14">
        <v>2340</v>
      </c>
      <c r="D1093" s="14">
        <v>2430</v>
      </c>
      <c r="E1093" s="14">
        <v>2327</v>
      </c>
      <c r="F1093" s="14">
        <v>2369.5</v>
      </c>
      <c r="G1093" s="14">
        <v>2426.3</v>
      </c>
      <c r="H1093" s="14">
        <v>2419.4</v>
      </c>
      <c r="I1093" s="14">
        <v>2385.77</v>
      </c>
      <c r="J1093" s="14">
        <v>3394.9</v>
      </c>
      <c r="K1093" s="14">
        <v>2124.75</v>
      </c>
      <c r="L1093" s="15">
        <v>1936060</v>
      </c>
      <c r="M1093" t="s" s="13">
        <v>7381</v>
      </c>
      <c r="N1093" s="15">
        <v>83746</v>
      </c>
      <c r="O1093" s="17" cm="1">
        <f t="array" ref="O1093">(H1093-H1092)/H1092</f>
        <v>0.0210592952099599</v>
      </c>
      <c r="P1093" s="8"/>
      <c r="Q1093" s="8"/>
    </row>
    <row r="1094" ht="13.65" customHeight="1">
      <c r="A1094" s="12">
        <v>45841</v>
      </c>
      <c r="B1094" t="s" s="13">
        <v>22</v>
      </c>
      <c r="C1094" s="14">
        <v>2428.9</v>
      </c>
      <c r="D1094" s="14">
        <v>2464.4</v>
      </c>
      <c r="E1094" s="14">
        <v>2425</v>
      </c>
      <c r="F1094" s="14">
        <v>2419.4</v>
      </c>
      <c r="G1094" s="14">
        <v>2430.5</v>
      </c>
      <c r="H1094" s="14">
        <v>2430.9</v>
      </c>
      <c r="I1094" s="14">
        <v>2444.49</v>
      </c>
      <c r="J1094" s="14">
        <v>3394.9</v>
      </c>
      <c r="K1094" s="14">
        <v>2124.75</v>
      </c>
      <c r="L1094" s="15">
        <v>1547489</v>
      </c>
      <c r="M1094" t="s" s="13">
        <v>7382</v>
      </c>
      <c r="N1094" s="15">
        <v>90059</v>
      </c>
      <c r="O1094" s="17" cm="1">
        <f t="array" ref="O1094">(H1094-H1093)/H1093</f>
        <v>0.00475324460610069</v>
      </c>
      <c r="P1094" s="8"/>
      <c r="Q1094" s="8"/>
    </row>
    <row r="1095" ht="13.65" customHeight="1">
      <c r="A1095" s="12">
        <v>45842</v>
      </c>
      <c r="B1095" t="s" s="13">
        <v>22</v>
      </c>
      <c r="C1095" s="14">
        <v>2430.9</v>
      </c>
      <c r="D1095" s="14">
        <v>2443</v>
      </c>
      <c r="E1095" s="14">
        <v>2412</v>
      </c>
      <c r="F1095" s="14">
        <v>2430.9</v>
      </c>
      <c r="G1095" s="14">
        <v>2428</v>
      </c>
      <c r="H1095" s="14">
        <v>2424.2</v>
      </c>
      <c r="I1095" s="14">
        <v>2424.4</v>
      </c>
      <c r="J1095" s="14">
        <v>3394.9</v>
      </c>
      <c r="K1095" s="14">
        <v>2124.75</v>
      </c>
      <c r="L1095" s="15">
        <v>602320</v>
      </c>
      <c r="M1095" t="s" s="13">
        <v>7383</v>
      </c>
      <c r="N1095" s="15">
        <v>45164</v>
      </c>
      <c r="O1095" s="17" cm="1">
        <f t="array" ref="O1095">(H1095-H1094)/H1094</f>
        <v>-0.00275618083837262</v>
      </c>
      <c r="P1095" s="8"/>
      <c r="Q1095" s="8"/>
    </row>
    <row r="1096" ht="13.65" customHeight="1">
      <c r="A1096" s="12">
        <v>45845</v>
      </c>
      <c r="B1096" t="s" s="13">
        <v>22</v>
      </c>
      <c r="C1096" s="14">
        <v>2423.3</v>
      </c>
      <c r="D1096" s="14">
        <v>2465.1</v>
      </c>
      <c r="E1096" s="14">
        <v>2421</v>
      </c>
      <c r="F1096" s="14">
        <v>2424.2</v>
      </c>
      <c r="G1096" s="14">
        <v>2448</v>
      </c>
      <c r="H1096" s="14">
        <v>2442.8</v>
      </c>
      <c r="I1096" s="14">
        <v>2445.69</v>
      </c>
      <c r="J1096" s="14">
        <v>3394.9</v>
      </c>
      <c r="K1096" s="14">
        <v>2124.75</v>
      </c>
      <c r="L1096" s="15">
        <v>869054</v>
      </c>
      <c r="M1096" t="s" s="13">
        <v>7384</v>
      </c>
      <c r="N1096" s="15">
        <v>65276</v>
      </c>
      <c r="O1096" s="17" cm="1">
        <f t="array" ref="O1096">(H1096-H1095)/H1095</f>
        <v>0.00767263427109974</v>
      </c>
      <c r="P1096" s="8"/>
      <c r="Q1096" s="8"/>
    </row>
    <row r="1097" ht="13.65" customHeight="1">
      <c r="A1097" s="12">
        <v>45846</v>
      </c>
      <c r="B1097" t="s" s="13">
        <v>22</v>
      </c>
      <c r="C1097" s="14">
        <v>2440.5</v>
      </c>
      <c r="D1097" s="14">
        <v>2488</v>
      </c>
      <c r="E1097" s="14">
        <v>2437.3</v>
      </c>
      <c r="F1097" s="14">
        <v>2442.8</v>
      </c>
      <c r="G1097" s="14">
        <v>2487.9</v>
      </c>
      <c r="H1097" s="14">
        <v>2484.6</v>
      </c>
      <c r="I1097" s="14">
        <v>2468.93</v>
      </c>
      <c r="J1097" s="14">
        <v>3394.9</v>
      </c>
      <c r="K1097" s="14">
        <v>2124.75</v>
      </c>
      <c r="L1097" s="15">
        <v>1136367</v>
      </c>
      <c r="M1097" t="s" s="13">
        <v>7385</v>
      </c>
      <c r="N1097" s="15">
        <v>70976</v>
      </c>
      <c r="O1097" s="17" cm="1">
        <f t="array" ref="O1097">(H1097-H1096)/H1096</f>
        <v>0.0171115113803832</v>
      </c>
      <c r="P1097" s="8"/>
      <c r="Q1097" s="8"/>
    </row>
    <row r="1098" ht="13.65" customHeight="1">
      <c r="A1098" s="12">
        <v>45847</v>
      </c>
      <c r="B1098" t="s" s="13">
        <v>22</v>
      </c>
      <c r="C1098" s="14">
        <v>2520.5</v>
      </c>
      <c r="D1098" s="14">
        <v>2535</v>
      </c>
      <c r="E1098" s="14">
        <v>2492.9</v>
      </c>
      <c r="F1098" s="14">
        <v>2484.6</v>
      </c>
      <c r="G1098" s="14">
        <v>2497.3</v>
      </c>
      <c r="H1098" s="14">
        <v>2498.9</v>
      </c>
      <c r="I1098" s="14">
        <v>2510.99</v>
      </c>
      <c r="J1098" s="14">
        <v>3394.9</v>
      </c>
      <c r="K1098" s="14">
        <v>2124.75</v>
      </c>
      <c r="L1098" s="15">
        <v>2328785</v>
      </c>
      <c r="M1098" t="s" s="13">
        <v>7386</v>
      </c>
      <c r="N1098" s="15">
        <v>119059</v>
      </c>
      <c r="O1098" s="17" cm="1">
        <f t="array" ref="O1098">(H1098-H1097)/H1097</f>
        <v>0.0057554535941399</v>
      </c>
      <c r="P1098" s="8"/>
      <c r="Q1098" s="8"/>
    </row>
    <row r="1099" ht="13.65" customHeight="1">
      <c r="A1099" s="18">
        <v>45848</v>
      </c>
      <c r="B1099" t="s" s="13">
        <v>22</v>
      </c>
      <c r="C1099" s="14">
        <v>2507.3</v>
      </c>
      <c r="D1099" s="14">
        <v>2512</v>
      </c>
      <c r="E1099" s="14">
        <v>2445.1</v>
      </c>
      <c r="F1099" s="14">
        <v>2498.9</v>
      </c>
      <c r="G1099" s="14">
        <v>2447.5</v>
      </c>
      <c r="H1099" s="14">
        <v>2451.2</v>
      </c>
      <c r="I1099" s="14">
        <v>2474.6</v>
      </c>
      <c r="J1099" s="14">
        <v>3394.9</v>
      </c>
      <c r="K1099" s="14">
        <v>2124.75</v>
      </c>
      <c r="L1099" s="15">
        <v>932978</v>
      </c>
      <c r="M1099" t="s" s="13">
        <v>7387</v>
      </c>
      <c r="N1099" s="15">
        <v>61536</v>
      </c>
      <c r="O1099" s="17" cm="1">
        <f t="array" ref="O1099">(H1099-H1098)/H1098</f>
        <v>-0.019088398895514</v>
      </c>
      <c r="P1099" s="8"/>
      <c r="Q1099" s="8"/>
    </row>
    <row r="1100" ht="13.65" customHeight="1">
      <c r="A1100" s="18">
        <v>45849</v>
      </c>
      <c r="B1100" t="s" s="13">
        <v>22</v>
      </c>
      <c r="C1100" s="14">
        <v>2447.5</v>
      </c>
      <c r="D1100" s="14">
        <v>2484.8</v>
      </c>
      <c r="E1100" s="14">
        <v>2435.5</v>
      </c>
      <c r="F1100" s="14">
        <v>2451.2</v>
      </c>
      <c r="G1100" s="14">
        <v>2439</v>
      </c>
      <c r="H1100" s="14">
        <v>2439.2</v>
      </c>
      <c r="I1100" s="14">
        <v>2456.51</v>
      </c>
      <c r="J1100" s="14">
        <v>3394.9</v>
      </c>
      <c r="K1100" s="14">
        <v>2124.75</v>
      </c>
      <c r="L1100" s="15">
        <v>1050466</v>
      </c>
      <c r="M1100" t="s" s="13">
        <v>7388</v>
      </c>
      <c r="N1100" s="15">
        <v>81854</v>
      </c>
      <c r="O1100" s="17" cm="1">
        <f t="array" ref="O1100">(H1100-H1099)/H1099</f>
        <v>-0.00489556135770235</v>
      </c>
      <c r="P1100" s="8"/>
      <c r="Q1100" s="8"/>
    </row>
    <row r="1101" ht="13.65" customHeight="1">
      <c r="A1101" s="18">
        <v>45852</v>
      </c>
      <c r="B1101" t="s" s="13">
        <v>22</v>
      </c>
      <c r="C1101" s="14">
        <v>2431.1</v>
      </c>
      <c r="D1101" s="14">
        <v>2448.6</v>
      </c>
      <c r="E1101" s="14">
        <v>2391</v>
      </c>
      <c r="F1101" s="14">
        <v>2439.2</v>
      </c>
      <c r="G1101" s="14">
        <v>2404.8</v>
      </c>
      <c r="H1101" s="14">
        <v>2401.6</v>
      </c>
      <c r="I1101" s="14">
        <v>2406.44</v>
      </c>
      <c r="J1101" s="14">
        <v>3394.9</v>
      </c>
      <c r="K1101" s="14">
        <v>2124.75</v>
      </c>
      <c r="L1101" s="15">
        <v>891624</v>
      </c>
      <c r="M1101" t="s" s="13">
        <v>7389</v>
      </c>
      <c r="N1101" s="15">
        <v>56494</v>
      </c>
      <c r="O1101" s="17" cm="1">
        <f t="array" ref="O1101">(H1101-H1100)/H1100</f>
        <v>-0.0154148901279108</v>
      </c>
      <c r="P1101" s="8"/>
      <c r="Q1101" s="8"/>
    </row>
    <row r="1102" ht="13.65" customHeight="1">
      <c r="A1102" s="18">
        <v>45853</v>
      </c>
      <c r="B1102" t="s" s="13">
        <v>22</v>
      </c>
      <c r="C1102" s="14">
        <v>2409.9</v>
      </c>
      <c r="D1102" s="14">
        <v>2415</v>
      </c>
      <c r="E1102" s="14">
        <v>2386.3</v>
      </c>
      <c r="F1102" s="14">
        <v>2401.6</v>
      </c>
      <c r="G1102" s="14">
        <v>2396</v>
      </c>
      <c r="H1102" s="14">
        <v>2393.5</v>
      </c>
      <c r="I1102" s="14">
        <v>2396.48</v>
      </c>
      <c r="J1102" s="14">
        <v>3394.9</v>
      </c>
      <c r="K1102" s="14">
        <v>2124.75</v>
      </c>
      <c r="L1102" s="15">
        <v>610228</v>
      </c>
      <c r="M1102" t="s" s="13">
        <v>7390</v>
      </c>
      <c r="N1102" s="15">
        <v>58145</v>
      </c>
      <c r="O1102" s="17" cm="1">
        <f t="array" ref="O1102">(H1102-H1101)/H1101</f>
        <v>-0.00337275149900067</v>
      </c>
      <c r="P1102" s="8"/>
      <c r="Q1102" s="8"/>
    </row>
    <row r="1103" ht="13.65" customHeight="1">
      <c r="A1103" s="18">
        <v>45854</v>
      </c>
      <c r="B1103" t="s" s="13">
        <v>22</v>
      </c>
      <c r="C1103" s="14">
        <v>2381</v>
      </c>
      <c r="D1103" s="14">
        <v>2422.4</v>
      </c>
      <c r="E1103" s="14">
        <v>2371</v>
      </c>
      <c r="F1103" s="14">
        <v>2393.5</v>
      </c>
      <c r="G1103" s="14">
        <v>2403</v>
      </c>
      <c r="H1103" s="14">
        <v>2410.5</v>
      </c>
      <c r="I1103" s="14">
        <v>2405.09</v>
      </c>
      <c r="J1103" s="14">
        <v>3394.9</v>
      </c>
      <c r="K1103" s="14">
        <v>2124.75</v>
      </c>
      <c r="L1103" s="15">
        <v>1200913</v>
      </c>
      <c r="M1103" t="s" s="13">
        <v>7391</v>
      </c>
      <c r="N1103" s="15">
        <v>72926</v>
      </c>
      <c r="O1103" s="17" cm="1">
        <f t="array" ref="O1103">(H1103-H1102)/H1102</f>
        <v>0.00710256945895133</v>
      </c>
      <c r="P1103" s="8"/>
      <c r="Q1103" s="8"/>
    </row>
    <row r="1104" ht="13.65" customHeight="1">
      <c r="A1104" s="18">
        <v>45855</v>
      </c>
      <c r="B1104" t="s" s="13">
        <v>22</v>
      </c>
      <c r="C1104" s="14">
        <v>2404.1</v>
      </c>
      <c r="D1104" s="14">
        <v>2414</v>
      </c>
      <c r="E1104" s="14">
        <v>2394</v>
      </c>
      <c r="F1104" s="14">
        <v>2410.5</v>
      </c>
      <c r="G1104" s="14">
        <v>2398.3</v>
      </c>
      <c r="H1104" s="14">
        <v>2398.9</v>
      </c>
      <c r="I1104" s="14">
        <v>2402.73</v>
      </c>
      <c r="J1104" s="14">
        <v>3394.9</v>
      </c>
      <c r="K1104" s="14">
        <v>2124.75</v>
      </c>
      <c r="L1104" s="15">
        <v>526164</v>
      </c>
      <c r="M1104" t="s" s="13">
        <v>7392</v>
      </c>
      <c r="N1104" s="15">
        <v>50280</v>
      </c>
      <c r="O1104" s="17" cm="1">
        <f t="array" ref="O1104">(H1104-H1103)/H1103</f>
        <v>-0.00481227961003941</v>
      </c>
      <c r="P1104" s="8"/>
      <c r="Q1104" s="8"/>
    </row>
    <row r="1105" ht="13.65" customHeight="1">
      <c r="A1105" s="18">
        <v>45856</v>
      </c>
      <c r="B1105" t="s" s="13">
        <v>22</v>
      </c>
      <c r="C1105" s="14">
        <v>2400.6</v>
      </c>
      <c r="D1105" s="14">
        <v>2405</v>
      </c>
      <c r="E1105" s="14">
        <v>2372.3</v>
      </c>
      <c r="F1105" s="14">
        <v>2398.9</v>
      </c>
      <c r="G1105" s="14">
        <v>2380</v>
      </c>
      <c r="H1105" s="14">
        <v>2382.4</v>
      </c>
      <c r="I1105" s="14">
        <v>2384.68</v>
      </c>
      <c r="J1105" s="14">
        <v>3394.9</v>
      </c>
      <c r="K1105" s="14">
        <v>2124.75</v>
      </c>
      <c r="L1105" s="15">
        <v>599552</v>
      </c>
      <c r="M1105" t="s" s="13">
        <v>7393</v>
      </c>
      <c r="N1105" s="15">
        <v>89418</v>
      </c>
      <c r="O1105" s="17" cm="1">
        <f t="array" ref="O1105">(H1105-H1104)/H1104</f>
        <v>-0.00687815248655634</v>
      </c>
      <c r="P1105" s="8"/>
      <c r="Q1105" s="8"/>
    </row>
    <row r="1106" ht="13.65" customHeight="1">
      <c r="A1106" s="18">
        <v>45859</v>
      </c>
      <c r="B1106" t="s" s="13">
        <v>22</v>
      </c>
      <c r="C1106" s="14">
        <v>2382.4</v>
      </c>
      <c r="D1106" s="14">
        <v>2408</v>
      </c>
      <c r="E1106" s="14">
        <v>2360.8</v>
      </c>
      <c r="F1106" s="14">
        <v>2382.4</v>
      </c>
      <c r="G1106" s="14">
        <v>2378.8</v>
      </c>
      <c r="H1106" s="14">
        <v>2375.4</v>
      </c>
      <c r="I1106" s="14">
        <v>2371.87</v>
      </c>
      <c r="J1106" s="14">
        <v>3394.9</v>
      </c>
      <c r="K1106" s="14">
        <v>2124.75</v>
      </c>
      <c r="L1106" s="15">
        <v>390934</v>
      </c>
      <c r="M1106" t="s" s="13">
        <v>7394</v>
      </c>
      <c r="N1106" s="15">
        <v>30724</v>
      </c>
      <c r="O1106" s="17" cm="1">
        <f t="array" ref="O1106">(H1106-H1105)/H1105</f>
        <v>-0.00293821356615178</v>
      </c>
      <c r="P1106" s="8"/>
      <c r="Q1106" s="8"/>
    </row>
    <row r="1107" ht="13.65" customHeight="1">
      <c r="A1107" s="18">
        <v>45860</v>
      </c>
      <c r="B1107" t="s" s="13">
        <v>22</v>
      </c>
      <c r="C1107" s="14">
        <v>2375.4</v>
      </c>
      <c r="D1107" s="14">
        <v>2380.8</v>
      </c>
      <c r="E1107" s="14">
        <v>2361.3</v>
      </c>
      <c r="F1107" s="14">
        <v>2375.4</v>
      </c>
      <c r="G1107" s="14">
        <v>2365</v>
      </c>
      <c r="H1107" s="14">
        <v>2365.2</v>
      </c>
      <c r="I1107" s="14">
        <v>2367.87</v>
      </c>
      <c r="J1107" s="14">
        <v>3394.9</v>
      </c>
      <c r="K1107" s="14">
        <v>2124.75</v>
      </c>
      <c r="L1107" s="15">
        <v>411317</v>
      </c>
      <c r="M1107" t="s" s="13">
        <v>7395</v>
      </c>
      <c r="N1107" s="15">
        <v>36497</v>
      </c>
      <c r="O1107" s="17" cm="1">
        <f t="array" ref="O1107">(H1107-H1106)/H1106</f>
        <v>-0.00429401363980803</v>
      </c>
      <c r="P1107" s="8"/>
      <c r="Q1107" s="8"/>
    </row>
    <row r="1108" ht="13.65" customHeight="1">
      <c r="A1108" s="18">
        <v>45861</v>
      </c>
      <c r="B1108" t="s" s="13">
        <v>22</v>
      </c>
      <c r="C1108" s="14">
        <v>2363</v>
      </c>
      <c r="D1108" s="14">
        <v>2384.7</v>
      </c>
      <c r="E1108" s="14">
        <v>2352.6</v>
      </c>
      <c r="F1108" s="14">
        <v>2365.2</v>
      </c>
      <c r="G1108" s="14">
        <v>2381.2</v>
      </c>
      <c r="H1108" s="14">
        <v>2375.4</v>
      </c>
      <c r="I1108" s="14">
        <v>2363.97</v>
      </c>
      <c r="J1108" s="14">
        <v>3394.9</v>
      </c>
      <c r="K1108" s="14">
        <v>2124.75</v>
      </c>
      <c r="L1108" s="15">
        <v>368999</v>
      </c>
      <c r="M1108" t="s" s="13">
        <v>7396</v>
      </c>
      <c r="N1108" s="15">
        <v>35010</v>
      </c>
      <c r="O1108" s="17" cm="1">
        <f t="array" ref="O1108">(H1108-H1107)/H1107</f>
        <v>0.00431253170979198</v>
      </c>
      <c r="P1108" s="8"/>
      <c r="Q1108" s="8"/>
    </row>
    <row r="1109" ht="13.65" customHeight="1">
      <c r="A1109" s="18">
        <v>45862</v>
      </c>
      <c r="B1109" t="s" s="13">
        <v>22</v>
      </c>
      <c r="C1109" s="14">
        <v>2375.4</v>
      </c>
      <c r="D1109" s="14">
        <v>2380</v>
      </c>
      <c r="E1109" s="14">
        <v>2341</v>
      </c>
      <c r="F1109" s="14">
        <v>2375.4</v>
      </c>
      <c r="G1109" s="14">
        <v>2352</v>
      </c>
      <c r="H1109" s="14">
        <v>2352.1</v>
      </c>
      <c r="I1109" s="14">
        <v>2356.35</v>
      </c>
      <c r="J1109" s="14">
        <v>3394.9</v>
      </c>
      <c r="K1109" s="14">
        <v>2124.75</v>
      </c>
      <c r="L1109" s="15">
        <v>506960</v>
      </c>
      <c r="M1109" t="s" s="13">
        <v>7397</v>
      </c>
      <c r="N1109" s="15">
        <v>37060</v>
      </c>
      <c r="O1109" s="17" cm="1">
        <f t="array" ref="O1109">(H1109-H1108)/H1108</f>
        <v>-0.0098088742948556</v>
      </c>
      <c r="P1109" s="8"/>
      <c r="Q1109" s="8"/>
    </row>
    <row r="1110" ht="13.65" customHeight="1">
      <c r="A1110" s="18">
        <v>45863</v>
      </c>
      <c r="B1110" t="s" s="13">
        <v>22</v>
      </c>
      <c r="C1110" s="14">
        <v>2340</v>
      </c>
      <c r="D1110" s="14">
        <v>2350.5</v>
      </c>
      <c r="E1110" s="14">
        <v>2325.8</v>
      </c>
      <c r="F1110" s="14">
        <v>2352.1</v>
      </c>
      <c r="G1110" s="14">
        <v>2338.9</v>
      </c>
      <c r="H1110" s="14">
        <v>2336.2</v>
      </c>
      <c r="I1110" s="14">
        <v>2336.97</v>
      </c>
      <c r="J1110" s="14">
        <v>3394.9</v>
      </c>
      <c r="K1110" s="14">
        <v>2124.75</v>
      </c>
      <c r="L1110" s="15">
        <v>383636</v>
      </c>
      <c r="M1110" t="s" s="13">
        <v>7398</v>
      </c>
      <c r="N1110" s="15">
        <v>35385</v>
      </c>
      <c r="O1110" s="17" cm="1">
        <f t="array" ref="O1110">(H1110-H1109)/H1109</f>
        <v>-0.0067599166702096</v>
      </c>
      <c r="P1110" s="8"/>
      <c r="Q1110" s="8"/>
    </row>
    <row r="1111" ht="13.65" customHeight="1">
      <c r="A1111" s="18">
        <v>45866</v>
      </c>
      <c r="B1111" t="s" s="13">
        <v>22</v>
      </c>
      <c r="C1111" s="14">
        <v>2336.2</v>
      </c>
      <c r="D1111" s="14">
        <v>2366.4</v>
      </c>
      <c r="E1111" s="14">
        <v>2320</v>
      </c>
      <c r="F1111" s="14">
        <v>2336.2</v>
      </c>
      <c r="G1111" s="14">
        <v>2359.5</v>
      </c>
      <c r="H1111" s="14">
        <v>2359.6</v>
      </c>
      <c r="I1111" s="14">
        <v>2350.85</v>
      </c>
      <c r="J1111" s="14">
        <v>3394.9</v>
      </c>
      <c r="K1111" s="14">
        <v>2124.75</v>
      </c>
      <c r="L1111" s="15">
        <v>650364</v>
      </c>
      <c r="M1111" t="s" s="13">
        <v>7399</v>
      </c>
      <c r="N1111" s="15">
        <v>48878</v>
      </c>
      <c r="O1111" s="17" cm="1">
        <f t="array" ref="O1111">(H1111-H1110)/H1110</f>
        <v>0.0100162657306737</v>
      </c>
      <c r="P1111" s="8"/>
      <c r="Q1111" s="8"/>
    </row>
    <row r="1112" ht="13.65" customHeight="1">
      <c r="A1112" s="18">
        <v>45867</v>
      </c>
      <c r="B1112" t="s" s="13">
        <v>22</v>
      </c>
      <c r="C1112" s="14">
        <v>2359</v>
      </c>
      <c r="D1112" s="14">
        <v>2418.3</v>
      </c>
      <c r="E1112" s="14">
        <v>2325</v>
      </c>
      <c r="F1112" s="14">
        <v>2359.6</v>
      </c>
      <c r="G1112" s="14">
        <v>2406.1</v>
      </c>
      <c r="H1112" s="14">
        <v>2401.5</v>
      </c>
      <c r="I1112" s="14">
        <v>2386.54</v>
      </c>
      <c r="J1112" s="14">
        <v>3394.9</v>
      </c>
      <c r="K1112" s="14">
        <v>2124.75</v>
      </c>
      <c r="L1112" s="15">
        <v>1742815</v>
      </c>
      <c r="M1112" t="s" s="13">
        <v>7400</v>
      </c>
      <c r="N1112" s="15">
        <v>114151</v>
      </c>
      <c r="O1112" s="17" cm="1">
        <f t="array" ref="O1112">(H1112-H1111)/H1111</f>
        <v>0.0177572469910154</v>
      </c>
      <c r="P1112" s="8"/>
      <c r="Q1112" s="8"/>
    </row>
    <row r="1113" ht="13.65" customHeight="1">
      <c r="A1113" s="18">
        <v>45868</v>
      </c>
      <c r="B1113" t="s" s="13">
        <v>22</v>
      </c>
      <c r="C1113" s="14">
        <v>2409</v>
      </c>
      <c r="D1113" s="14">
        <v>2443.8</v>
      </c>
      <c r="E1113" s="14">
        <v>2366.5</v>
      </c>
      <c r="F1113" s="14">
        <v>2401.5</v>
      </c>
      <c r="G1113" s="14">
        <v>2411</v>
      </c>
      <c r="H1113" s="14">
        <v>2415.8</v>
      </c>
      <c r="I1113" s="14">
        <v>2418.53</v>
      </c>
      <c r="J1113" s="14">
        <v>3394.9</v>
      </c>
      <c r="K1113" s="14">
        <v>2124.75</v>
      </c>
      <c r="L1113" s="15">
        <v>1685818</v>
      </c>
      <c r="M1113" t="s" s="13">
        <v>7401</v>
      </c>
      <c r="N1113" s="15">
        <v>101534</v>
      </c>
      <c r="O1113" s="17" cm="1">
        <f t="array" ref="O1113">(H1113-H1112)/H1112</f>
        <v>0.0059546117010202</v>
      </c>
      <c r="P1113" s="8"/>
      <c r="Q1113" s="8"/>
    </row>
    <row r="1114" ht="13.65" customHeight="1">
      <c r="A1114" s="18">
        <v>45869</v>
      </c>
      <c r="B1114" t="s" s="13">
        <v>22</v>
      </c>
      <c r="C1114" s="14">
        <v>2401.4</v>
      </c>
      <c r="D1114" s="14">
        <v>2417.2</v>
      </c>
      <c r="E1114" s="14">
        <v>2373.5</v>
      </c>
      <c r="F1114" s="14">
        <v>2415.8</v>
      </c>
      <c r="G1114" s="14">
        <v>2391</v>
      </c>
      <c r="H1114" s="14">
        <v>2396.1</v>
      </c>
      <c r="I1114" s="14">
        <v>2399.72</v>
      </c>
      <c r="J1114" s="14">
        <v>3394.9</v>
      </c>
      <c r="K1114" s="14">
        <v>2124.75</v>
      </c>
      <c r="L1114" s="15">
        <v>1274735</v>
      </c>
      <c r="M1114" t="s" s="13">
        <v>7402</v>
      </c>
      <c r="N1114" s="15">
        <v>86988</v>
      </c>
      <c r="O1114" s="17" cm="1">
        <f t="array" ref="O1114">(H1114-H1113)/H1113</f>
        <v>-0.008154648563622821</v>
      </c>
      <c r="P1114" s="8"/>
      <c r="Q1114" s="8"/>
    </row>
    <row r="1115" ht="13.65" customHeight="1">
      <c r="A1115" s="12">
        <v>45870</v>
      </c>
      <c r="B1115" t="s" s="13">
        <v>22</v>
      </c>
      <c r="C1115" s="14">
        <v>2378</v>
      </c>
      <c r="D1115" s="14">
        <v>2472</v>
      </c>
      <c r="E1115" s="14">
        <v>2378</v>
      </c>
      <c r="F1115" s="14">
        <v>2396.1</v>
      </c>
      <c r="G1115" s="14">
        <v>2434</v>
      </c>
      <c r="H1115" s="14">
        <v>2431</v>
      </c>
      <c r="I1115" s="14">
        <v>2446.65</v>
      </c>
      <c r="J1115" s="14">
        <v>3394.9</v>
      </c>
      <c r="K1115" s="14">
        <v>2124.75</v>
      </c>
      <c r="L1115" s="15">
        <v>2225293</v>
      </c>
      <c r="M1115" t="s" s="13">
        <v>7403</v>
      </c>
      <c r="N1115" s="15">
        <v>109846</v>
      </c>
      <c r="O1115" s="17" cm="1">
        <f t="array" ref="O1115">(H1115-H1114)/H1114</f>
        <v>0.0145653353365886</v>
      </c>
      <c r="P1115" s="8"/>
      <c r="Q1115" s="8"/>
    </row>
    <row r="1116" ht="13.65" customHeight="1">
      <c r="A1116" s="12">
        <v>45873</v>
      </c>
      <c r="B1116" t="s" s="13">
        <v>22</v>
      </c>
      <c r="C1116" s="14">
        <v>2443.2</v>
      </c>
      <c r="D1116" s="14">
        <v>2467</v>
      </c>
      <c r="E1116" s="14">
        <v>2439.6</v>
      </c>
      <c r="F1116" s="14">
        <v>2431</v>
      </c>
      <c r="G1116" s="14">
        <v>2450</v>
      </c>
      <c r="H1116" s="14">
        <v>2449.8</v>
      </c>
      <c r="I1116" s="14">
        <v>2452.78</v>
      </c>
      <c r="J1116" s="14">
        <v>3394.9</v>
      </c>
      <c r="K1116" s="14">
        <v>2124.75</v>
      </c>
      <c r="L1116" s="15">
        <v>1165898</v>
      </c>
      <c r="M1116" t="s" s="13">
        <v>7404</v>
      </c>
      <c r="N1116" s="15">
        <v>75984</v>
      </c>
      <c r="O1116" s="17" cm="1">
        <f t="array" ref="O1116">(H1116-H1115)/H1115</f>
        <v>0.00773344302756067</v>
      </c>
      <c r="P1116" s="8"/>
      <c r="Q1116" s="8"/>
    </row>
    <row r="1117" ht="13.65" customHeight="1">
      <c r="A1117" s="12">
        <v>45874</v>
      </c>
      <c r="B1117" t="s" s="13">
        <v>22</v>
      </c>
      <c r="C1117" s="14">
        <v>2461.9</v>
      </c>
      <c r="D1117" s="14">
        <v>2463.7</v>
      </c>
      <c r="E1117" s="14">
        <v>2409.1</v>
      </c>
      <c r="F1117" s="14">
        <v>2449.8</v>
      </c>
      <c r="G1117" s="14">
        <v>2434.9</v>
      </c>
      <c r="H1117" s="14">
        <v>2436.8</v>
      </c>
      <c r="I1117" s="14">
        <v>2432.86</v>
      </c>
      <c r="J1117" s="14">
        <v>3394.9</v>
      </c>
      <c r="K1117" s="14">
        <v>2124.75</v>
      </c>
      <c r="L1117" s="15">
        <v>659094</v>
      </c>
      <c r="M1117" t="s" s="13">
        <v>7405</v>
      </c>
      <c r="N1117" s="15">
        <v>43105</v>
      </c>
      <c r="O1117" s="17" cm="1">
        <f t="array" ref="O1117">(H1117-H1116)/H1116</f>
        <v>-0.00530655563719487</v>
      </c>
      <c r="P1117" s="8"/>
      <c r="Q1117" s="8"/>
    </row>
    <row r="1118" ht="13.65" customHeight="1">
      <c r="A1118" s="12">
        <v>45875</v>
      </c>
      <c r="B1118" t="s" s="13">
        <v>22</v>
      </c>
      <c r="C1118" s="14">
        <v>2440</v>
      </c>
      <c r="D1118" s="14">
        <v>2505.6</v>
      </c>
      <c r="E1118" s="14">
        <v>2440</v>
      </c>
      <c r="F1118" s="14">
        <v>2436.8</v>
      </c>
      <c r="G1118" s="14">
        <v>2484.1</v>
      </c>
      <c r="H1118" s="14">
        <v>2491.2</v>
      </c>
      <c r="I1118" s="14">
        <v>2486.79</v>
      </c>
      <c r="J1118" s="14">
        <v>3394.9</v>
      </c>
      <c r="K1118" s="14">
        <v>2124.75</v>
      </c>
      <c r="L1118" s="15">
        <v>2019109</v>
      </c>
      <c r="M1118" t="s" s="13">
        <v>7406</v>
      </c>
      <c r="N1118" s="15">
        <v>106533</v>
      </c>
      <c r="O1118" s="17" cm="1">
        <f t="array" ref="O1118">(H1118-H1117)/H1117</f>
        <v>0.0223243598161523</v>
      </c>
      <c r="P1118" s="8"/>
      <c r="Q1118" s="8"/>
    </row>
    <row r="1119" ht="13.65" customHeight="1">
      <c r="A1119" s="12">
        <v>45876</v>
      </c>
      <c r="B1119" t="s" s="13">
        <v>22</v>
      </c>
      <c r="C1119" s="14">
        <v>2484.1</v>
      </c>
      <c r="D1119" s="14">
        <v>2510</v>
      </c>
      <c r="E1119" s="14">
        <v>2466.9</v>
      </c>
      <c r="F1119" s="14">
        <v>2491.2</v>
      </c>
      <c r="G1119" s="14">
        <v>2508</v>
      </c>
      <c r="H1119" s="14">
        <v>2506.5</v>
      </c>
      <c r="I1119" s="14">
        <v>2490.68</v>
      </c>
      <c r="J1119" s="14">
        <v>3394.9</v>
      </c>
      <c r="K1119" s="14">
        <v>2124.75</v>
      </c>
      <c r="L1119" s="15">
        <v>1502806</v>
      </c>
      <c r="M1119" t="s" s="13">
        <v>7407</v>
      </c>
      <c r="N1119" s="15">
        <v>75726</v>
      </c>
      <c r="O1119" s="17" cm="1">
        <f t="array" ref="O1119">(H1119-H1118)/H1118</f>
        <v>0.00614161849710983</v>
      </c>
      <c r="P1119" s="8"/>
      <c r="Q1119" s="8"/>
    </row>
    <row r="1120" ht="13.65" customHeight="1">
      <c r="A1120" s="12">
        <v>45877</v>
      </c>
      <c r="B1120" t="s" s="13">
        <v>22</v>
      </c>
      <c r="C1120" s="14">
        <v>2506.5</v>
      </c>
      <c r="D1120" s="14">
        <v>2511.7</v>
      </c>
      <c r="E1120" s="14">
        <v>2468.5</v>
      </c>
      <c r="F1120" s="14">
        <v>2506.5</v>
      </c>
      <c r="G1120" s="14">
        <v>2476</v>
      </c>
      <c r="H1120" s="14">
        <v>2475.6</v>
      </c>
      <c r="I1120" s="14">
        <v>2491.63</v>
      </c>
      <c r="J1120" s="14">
        <v>3394.9</v>
      </c>
      <c r="K1120" s="14">
        <v>2124.75</v>
      </c>
      <c r="L1120" s="15">
        <v>1178226</v>
      </c>
      <c r="M1120" t="s" s="13">
        <v>7408</v>
      </c>
      <c r="N1120" s="15">
        <v>109498</v>
      </c>
      <c r="O1120" s="17" cm="1">
        <f t="array" ref="O1120">(H1120-H1119)/H1119</f>
        <v>-0.012327947336924</v>
      </c>
      <c r="P1120" s="8"/>
      <c r="Q1120" s="8"/>
    </row>
    <row r="1121" ht="13.65" customHeight="1">
      <c r="A1121" s="18">
        <v>45880</v>
      </c>
      <c r="B1121" t="s" s="13">
        <v>22</v>
      </c>
      <c r="C1121" s="14">
        <v>2463.9</v>
      </c>
      <c r="D1121" s="14">
        <v>2504.2</v>
      </c>
      <c r="E1121" s="14">
        <v>2452</v>
      </c>
      <c r="F1121" s="14">
        <v>2475.6</v>
      </c>
      <c r="G1121" s="14">
        <v>2491.4</v>
      </c>
      <c r="H1121" s="14">
        <v>2489.1</v>
      </c>
      <c r="I1121" s="14">
        <v>2484.31</v>
      </c>
      <c r="J1121" s="14">
        <v>3394.9</v>
      </c>
      <c r="K1121" s="14">
        <v>2124.75</v>
      </c>
      <c r="L1121" s="15">
        <v>721135</v>
      </c>
      <c r="M1121" t="s" s="13">
        <v>7409</v>
      </c>
      <c r="N1121" s="15">
        <v>66377</v>
      </c>
      <c r="O1121" s="17" cm="1">
        <f t="array" ref="O1121">(H1121-H1120)/H1120</f>
        <v>0.00545322346097916</v>
      </c>
      <c r="P1121" s="8"/>
      <c r="Q1121" s="8"/>
    </row>
    <row r="1122" ht="13.65" customHeight="1">
      <c r="A1122" s="18">
        <v>45881</v>
      </c>
      <c r="B1122" t="s" s="13">
        <v>22</v>
      </c>
      <c r="C1122" s="14">
        <v>2489.1</v>
      </c>
      <c r="D1122" s="14">
        <v>2502.8</v>
      </c>
      <c r="E1122" s="14">
        <v>2474</v>
      </c>
      <c r="F1122" s="14">
        <v>2489.1</v>
      </c>
      <c r="G1122" s="14">
        <v>2479.8</v>
      </c>
      <c r="H1122" s="14">
        <v>2478.3</v>
      </c>
      <c r="I1122" s="14">
        <v>2488.18</v>
      </c>
      <c r="J1122" s="14">
        <v>3394.9</v>
      </c>
      <c r="K1122" s="14">
        <v>2124.75</v>
      </c>
      <c r="L1122" s="15">
        <v>608984</v>
      </c>
      <c r="M1122" t="s" s="13">
        <v>7410</v>
      </c>
      <c r="N1122" s="15">
        <v>61510</v>
      </c>
      <c r="O1122" s="17" cm="1">
        <f t="array" ref="O1122">(H1122-H1121)/H1121</f>
        <v>-0.00433891768108955</v>
      </c>
      <c r="P1122" s="8"/>
      <c r="Q1122" s="8"/>
    </row>
    <row r="1123" ht="13.65" customHeight="1">
      <c r="A1123" s="18">
        <v>45882</v>
      </c>
      <c r="B1123" t="s" s="13">
        <v>22</v>
      </c>
      <c r="C1123" s="14">
        <v>2479.8</v>
      </c>
      <c r="D1123" s="14">
        <v>2504.4</v>
      </c>
      <c r="E1123" s="14">
        <v>2461.2</v>
      </c>
      <c r="F1123" s="14">
        <v>2478.3</v>
      </c>
      <c r="G1123" s="14">
        <v>2501</v>
      </c>
      <c r="H1123" s="14">
        <v>2500.2</v>
      </c>
      <c r="I1123" s="14">
        <v>2494.95</v>
      </c>
      <c r="J1123" s="14">
        <v>3394.9</v>
      </c>
      <c r="K1123" s="14">
        <v>2124.75</v>
      </c>
      <c r="L1123" s="15">
        <v>350844</v>
      </c>
      <c r="M1123" t="s" s="13">
        <v>7411</v>
      </c>
      <c r="N1123" s="15">
        <v>31382</v>
      </c>
      <c r="O1123" s="17" cm="1">
        <f t="array" ref="O1123">(H1123-H1122)/H1122</f>
        <v>0.00883670257838034</v>
      </c>
      <c r="P1123" s="8"/>
      <c r="Q1123" s="8"/>
    </row>
    <row r="1124" ht="13.65" customHeight="1">
      <c r="A1124" s="18">
        <v>45883</v>
      </c>
      <c r="B1124" t="s" s="13">
        <v>22</v>
      </c>
      <c r="C1124" s="14">
        <v>2505</v>
      </c>
      <c r="D1124" s="14">
        <v>2534.9</v>
      </c>
      <c r="E1124" s="14">
        <v>2497.7</v>
      </c>
      <c r="F1124" s="14">
        <v>2500.2</v>
      </c>
      <c r="G1124" s="14">
        <v>2530</v>
      </c>
      <c r="H1124" s="14">
        <v>2528.7</v>
      </c>
      <c r="I1124" s="14">
        <v>2519.33</v>
      </c>
      <c r="J1124" s="14">
        <v>3394.9</v>
      </c>
      <c r="K1124" s="14">
        <v>2124.75</v>
      </c>
      <c r="L1124" s="15">
        <v>1088550</v>
      </c>
      <c r="M1124" t="s" s="13">
        <v>7412</v>
      </c>
      <c r="N1124" s="15">
        <v>82726</v>
      </c>
      <c r="O1124" s="17" cm="1">
        <f t="array" ref="O1124">(H1124-H1123)/H1123</f>
        <v>0.0113990880729542</v>
      </c>
      <c r="P1124" s="8"/>
      <c r="Q1124" s="8"/>
    </row>
    <row r="1125" ht="13.65" customHeight="1">
      <c r="A1125" s="18">
        <v>45887</v>
      </c>
      <c r="B1125" t="s" s="13">
        <v>22</v>
      </c>
      <c r="C1125" s="14">
        <v>2550</v>
      </c>
      <c r="D1125" s="14">
        <v>2595</v>
      </c>
      <c r="E1125" s="14">
        <v>2536.6</v>
      </c>
      <c r="F1125" s="14">
        <v>2528.7</v>
      </c>
      <c r="G1125" s="14">
        <v>2589.9</v>
      </c>
      <c r="H1125" s="14">
        <v>2587.4</v>
      </c>
      <c r="I1125" s="14">
        <v>2573.28</v>
      </c>
      <c r="J1125" s="14">
        <v>3394.9</v>
      </c>
      <c r="K1125" s="14">
        <v>2124.75</v>
      </c>
      <c r="L1125" s="15">
        <v>1755615</v>
      </c>
      <c r="M1125" t="s" s="13">
        <v>7413</v>
      </c>
      <c r="N1125" s="15">
        <v>107645</v>
      </c>
      <c r="O1125" s="17" cm="1">
        <f t="array" ref="O1125">(H1125-H1124)/H1124</f>
        <v>0.0232135089176257</v>
      </c>
      <c r="P1125" s="8"/>
      <c r="Q1125" s="8"/>
    </row>
    <row r="1126" ht="13.65" customHeight="1">
      <c r="A1126" s="18">
        <v>45888</v>
      </c>
      <c r="B1126" t="s" s="13">
        <v>22</v>
      </c>
      <c r="C1126" s="14">
        <v>2587.4</v>
      </c>
      <c r="D1126" s="14">
        <v>2595</v>
      </c>
      <c r="E1126" s="14">
        <v>2561.2</v>
      </c>
      <c r="F1126" s="14">
        <v>2587.4</v>
      </c>
      <c r="G1126" s="14">
        <v>2581</v>
      </c>
      <c r="H1126" s="14">
        <v>2579.4</v>
      </c>
      <c r="I1126" s="14">
        <v>2579.08</v>
      </c>
      <c r="J1126" s="14">
        <v>3394.9</v>
      </c>
      <c r="K1126" s="14">
        <v>2124.75</v>
      </c>
      <c r="L1126" s="15">
        <v>698587</v>
      </c>
      <c r="M1126" t="s" s="13">
        <v>7414</v>
      </c>
      <c r="N1126" s="15">
        <v>60592</v>
      </c>
      <c r="O1126" s="17" cm="1">
        <f t="array" ref="O1126">(H1126-H1125)/H1125</f>
        <v>-0.0030919069336013</v>
      </c>
      <c r="P1126" s="8"/>
      <c r="Q1126" s="8"/>
    </row>
    <row r="1127" ht="13.65" customHeight="1">
      <c r="A1127" s="18">
        <v>45889</v>
      </c>
      <c r="B1127" t="s" s="13">
        <v>22</v>
      </c>
      <c r="C1127" s="14">
        <v>2578</v>
      </c>
      <c r="D1127" s="14">
        <v>2579.3</v>
      </c>
      <c r="E1127" s="14">
        <v>2563.4</v>
      </c>
      <c r="F1127" s="14">
        <v>2579.4</v>
      </c>
      <c r="G1127" s="14">
        <v>2570.5</v>
      </c>
      <c r="H1127" s="14">
        <v>2570.1</v>
      </c>
      <c r="I1127" s="14">
        <v>2571.05</v>
      </c>
      <c r="J1127" s="14">
        <v>3394.9</v>
      </c>
      <c r="K1127" s="14">
        <v>2124.75</v>
      </c>
      <c r="L1127" s="15">
        <v>308028</v>
      </c>
      <c r="M1127" t="s" s="13">
        <v>7415</v>
      </c>
      <c r="N1127" s="15">
        <v>36979</v>
      </c>
      <c r="O1127" s="17" cm="1">
        <f t="array" ref="O1127">(H1127-H1126)/H1126</f>
        <v>-0.00360548964875552</v>
      </c>
      <c r="P1127" s="8"/>
      <c r="Q1127" s="8"/>
    </row>
    <row r="1128" ht="13.65" customHeight="1">
      <c r="A1128" s="18">
        <v>45890</v>
      </c>
      <c r="B1128" t="s" s="13">
        <v>22</v>
      </c>
      <c r="C1128" s="14">
        <v>2574.9</v>
      </c>
      <c r="D1128" s="14">
        <v>2576</v>
      </c>
      <c r="E1128" s="14">
        <v>2559.3</v>
      </c>
      <c r="F1128" s="14">
        <v>2570.1</v>
      </c>
      <c r="G1128" s="14">
        <v>2569</v>
      </c>
      <c r="H1128" s="14">
        <v>2566.6</v>
      </c>
      <c r="I1128" s="14">
        <v>2566.26</v>
      </c>
      <c r="J1128" s="14">
        <v>3394.9</v>
      </c>
      <c r="K1128" s="14">
        <v>2124.75</v>
      </c>
      <c r="L1128" s="15">
        <v>781082</v>
      </c>
      <c r="M1128" t="s" s="13">
        <v>7416</v>
      </c>
      <c r="N1128" s="15">
        <v>38208</v>
      </c>
      <c r="O1128" s="17" cm="1">
        <f t="array" ref="O1128">(H1128-H1127)/H1127</f>
        <v>-0.00136181471538072</v>
      </c>
      <c r="P1128" s="8"/>
      <c r="Q1128" s="8"/>
    </row>
    <row r="1129" ht="13.65" customHeight="1">
      <c r="A1129" s="18">
        <v>45891</v>
      </c>
      <c r="B1129" t="s" s="13">
        <v>22</v>
      </c>
      <c r="C1129" s="14">
        <v>2562.8</v>
      </c>
      <c r="D1129" s="14">
        <v>2569.3</v>
      </c>
      <c r="E1129" s="14">
        <v>2501.1</v>
      </c>
      <c r="F1129" s="14">
        <v>2566.6</v>
      </c>
      <c r="G1129" s="14">
        <v>2505</v>
      </c>
      <c r="H1129" s="14">
        <v>2504.5</v>
      </c>
      <c r="I1129" s="14">
        <v>2519.14</v>
      </c>
      <c r="J1129" s="14">
        <v>3394.9</v>
      </c>
      <c r="K1129" s="14">
        <v>2124.75</v>
      </c>
      <c r="L1129" s="15">
        <v>523774</v>
      </c>
      <c r="M1129" t="s" s="13">
        <v>7417</v>
      </c>
      <c r="N1129" s="15">
        <v>46272</v>
      </c>
      <c r="O1129" s="17" cm="1">
        <f t="array" ref="O1129">(H1129-H1128)/H1128</f>
        <v>-0.0241954336476272</v>
      </c>
      <c r="P1129" s="8"/>
      <c r="Q1129" s="8"/>
    </row>
    <row r="1130" ht="13.65" customHeight="1">
      <c r="A1130" s="18">
        <v>45894</v>
      </c>
      <c r="B1130" t="s" s="13">
        <v>22</v>
      </c>
      <c r="C1130" s="14">
        <v>2516</v>
      </c>
      <c r="D1130" s="14">
        <v>2522.5</v>
      </c>
      <c r="E1130" s="14">
        <v>2476</v>
      </c>
      <c r="F1130" s="14">
        <v>2504.5</v>
      </c>
      <c r="G1130" s="14">
        <v>2494</v>
      </c>
      <c r="H1130" s="14">
        <v>2492.9</v>
      </c>
      <c r="I1130" s="14">
        <v>2493.95</v>
      </c>
      <c r="J1130" s="14">
        <v>3394.9</v>
      </c>
      <c r="K1130" s="14">
        <v>2124.75</v>
      </c>
      <c r="L1130" s="15">
        <v>766497</v>
      </c>
      <c r="M1130" t="s" s="13">
        <v>7418</v>
      </c>
      <c r="N1130" s="15">
        <v>59779</v>
      </c>
      <c r="O1130" s="17" cm="1">
        <f t="array" ref="O1130">(H1130-H1129)/H1129</f>
        <v>-0.00463166300658814</v>
      </c>
      <c r="P1130" s="8"/>
      <c r="Q1130" s="8"/>
    </row>
    <row r="1131" ht="13.65" customHeight="1">
      <c r="A1131" s="18">
        <v>45895</v>
      </c>
      <c r="B1131" t="s" s="13">
        <v>22</v>
      </c>
      <c r="C1131" s="14">
        <v>2481.1</v>
      </c>
      <c r="D1131" s="14">
        <v>2523.3</v>
      </c>
      <c r="E1131" s="14">
        <v>2468</v>
      </c>
      <c r="F1131" s="14">
        <v>2492.9</v>
      </c>
      <c r="G1131" s="14">
        <v>2493</v>
      </c>
      <c r="H1131" s="14">
        <v>2481.4</v>
      </c>
      <c r="I1131" s="14">
        <v>2483.54</v>
      </c>
      <c r="J1131" s="14">
        <v>3394.9</v>
      </c>
      <c r="K1131" s="14">
        <v>2124.75</v>
      </c>
      <c r="L1131" s="15">
        <v>7106393</v>
      </c>
      <c r="M1131" t="s" s="13">
        <v>7419</v>
      </c>
      <c r="N1131" s="15">
        <v>134307</v>
      </c>
      <c r="O1131" s="17" cm="1">
        <f t="array" ref="O1131">(H1131-H1130)/H1130</f>
        <v>-0.0046131012074291</v>
      </c>
      <c r="P1131" s="8"/>
      <c r="Q1131" s="8"/>
    </row>
    <row r="1132" ht="13.65" customHeight="1">
      <c r="A1132" s="18">
        <v>45897</v>
      </c>
      <c r="B1132" t="s" s="13">
        <v>22</v>
      </c>
      <c r="C1132" s="14">
        <v>2465</v>
      </c>
      <c r="D1132" s="14">
        <v>2528</v>
      </c>
      <c r="E1132" s="14">
        <v>2465</v>
      </c>
      <c r="F1132" s="14">
        <v>2481.4</v>
      </c>
      <c r="G1132" s="14">
        <v>2490</v>
      </c>
      <c r="H1132" s="14">
        <v>2489</v>
      </c>
      <c r="I1132" s="14">
        <v>2505.93</v>
      </c>
      <c r="J1132" s="14">
        <v>3394.9</v>
      </c>
      <c r="K1132" s="14">
        <v>2124.75</v>
      </c>
      <c r="L1132" s="15">
        <v>1485769</v>
      </c>
      <c r="M1132" t="s" s="13">
        <v>7420</v>
      </c>
      <c r="N1132" s="15">
        <v>105181</v>
      </c>
      <c r="O1132" s="17" cm="1">
        <f t="array" ref="O1132">(H1132-H1131)/H1131</f>
        <v>0.00306278713629403</v>
      </c>
      <c r="P1132" s="8"/>
      <c r="Q1132" s="8"/>
    </row>
    <row r="1133" ht="13.65" customHeight="1">
      <c r="A1133" s="18">
        <v>45898</v>
      </c>
      <c r="B1133" t="s" s="13">
        <v>22</v>
      </c>
      <c r="C1133" s="14">
        <v>2491</v>
      </c>
      <c r="D1133" s="14">
        <v>2531.6</v>
      </c>
      <c r="E1133" s="14">
        <v>2490</v>
      </c>
      <c r="F1133" s="14">
        <v>2489</v>
      </c>
      <c r="G1133" s="14">
        <v>2520</v>
      </c>
      <c r="H1133" s="14">
        <v>2518.6</v>
      </c>
      <c r="I1133" s="14">
        <v>2513.22</v>
      </c>
      <c r="J1133" s="14">
        <v>3394.9</v>
      </c>
      <c r="K1133" s="14">
        <v>2124.75</v>
      </c>
      <c r="L1133" s="15">
        <v>1798653</v>
      </c>
      <c r="M1133" t="s" s="13">
        <v>7421</v>
      </c>
      <c r="N1133" s="15">
        <v>105469</v>
      </c>
      <c r="O1133" s="17" cm="1">
        <f t="array" ref="O1133">(H1133-H1132)/H1132</f>
        <v>0.0118923262354359</v>
      </c>
      <c r="P1133" s="8"/>
      <c r="Q1133" s="8"/>
    </row>
    <row r="1134" ht="13.65" customHeight="1">
      <c r="A1134" s="12">
        <v>45901</v>
      </c>
      <c r="B1134" t="s" s="13">
        <v>22</v>
      </c>
      <c r="C1134" s="14">
        <v>2518</v>
      </c>
      <c r="D1134" s="14">
        <v>2577.8</v>
      </c>
      <c r="E1134" s="14">
        <v>2515.1</v>
      </c>
      <c r="F1134" s="14">
        <v>2518.6</v>
      </c>
      <c r="G1134" s="14">
        <v>2570</v>
      </c>
      <c r="H1134" s="14">
        <v>2570.2</v>
      </c>
      <c r="I1134" s="14">
        <v>2559.95</v>
      </c>
      <c r="J1134" s="14">
        <v>3394.9</v>
      </c>
      <c r="K1134" s="14">
        <v>2124.75</v>
      </c>
      <c r="L1134" s="15">
        <v>1314833</v>
      </c>
      <c r="M1134" t="s" s="13">
        <v>7422</v>
      </c>
      <c r="N1134" s="15">
        <v>62406</v>
      </c>
      <c r="O1134" s="17" cm="1">
        <f t="array" ref="O1134">(H1134-H1133)/H1133</f>
        <v>0.020487572460891</v>
      </c>
      <c r="P1134" s="8"/>
      <c r="Q1134" s="8"/>
    </row>
    <row r="1135" ht="13.65" customHeight="1">
      <c r="A1135" s="12">
        <v>45902</v>
      </c>
      <c r="B1135" t="s" s="13">
        <v>22</v>
      </c>
      <c r="C1135" s="14">
        <v>2569</v>
      </c>
      <c r="D1135" s="14">
        <v>2571.9</v>
      </c>
      <c r="E1135" s="14">
        <v>2531</v>
      </c>
      <c r="F1135" s="14">
        <v>2570.2</v>
      </c>
      <c r="G1135" s="14">
        <v>2538</v>
      </c>
      <c r="H1135" s="14">
        <v>2540</v>
      </c>
      <c r="I1135" s="14">
        <v>2549.56</v>
      </c>
      <c r="J1135" s="14">
        <v>3394.9</v>
      </c>
      <c r="K1135" s="14">
        <v>2124.75</v>
      </c>
      <c r="L1135" s="15">
        <v>1024054</v>
      </c>
      <c r="M1135" t="s" s="13">
        <v>7423</v>
      </c>
      <c r="N1135" s="15">
        <v>85903</v>
      </c>
      <c r="O1135" s="17" cm="1">
        <f t="array" ref="O1135">(H1135-H1134)/H1134</f>
        <v>-0.011750058361217</v>
      </c>
      <c r="P1135" s="8"/>
      <c r="Q1135" s="8"/>
    </row>
    <row r="1136" ht="13.65" customHeight="1">
      <c r="A1136" s="12">
        <v>45903</v>
      </c>
      <c r="B1136" t="s" s="13">
        <v>22</v>
      </c>
      <c r="C1136" s="14">
        <v>2530</v>
      </c>
      <c r="D1136" s="14">
        <v>2565.1</v>
      </c>
      <c r="E1136" s="14">
        <v>2527.3</v>
      </c>
      <c r="F1136" s="14">
        <v>2540</v>
      </c>
      <c r="G1136" s="14">
        <v>2560</v>
      </c>
      <c r="H1136" s="14">
        <v>2553.9</v>
      </c>
      <c r="I1136" s="14">
        <v>2550.67</v>
      </c>
      <c r="J1136" s="14">
        <v>3394.9</v>
      </c>
      <c r="K1136" s="14">
        <v>2124.75</v>
      </c>
      <c r="L1136" s="15">
        <v>925847</v>
      </c>
      <c r="M1136" t="s" s="13">
        <v>7424</v>
      </c>
      <c r="N1136" s="15">
        <v>56343</v>
      </c>
      <c r="O1136" s="17" cm="1">
        <f t="array" ref="O1136">(H1136-H1135)/H1135</f>
        <v>0.00547244094488189</v>
      </c>
      <c r="P1136" s="8"/>
      <c r="Q1136" s="8"/>
    </row>
    <row r="1137" ht="13.65" customHeight="1">
      <c r="A1137" s="12">
        <v>45904</v>
      </c>
      <c r="B1137" t="s" s="13">
        <v>22</v>
      </c>
      <c r="C1137" s="14">
        <v>2553.9</v>
      </c>
      <c r="D1137" s="14">
        <v>2583</v>
      </c>
      <c r="E1137" s="14">
        <v>2553</v>
      </c>
      <c r="F1137" s="14">
        <v>2553.9</v>
      </c>
      <c r="G1137" s="14">
        <v>2570</v>
      </c>
      <c r="H1137" s="14">
        <v>2568.6</v>
      </c>
      <c r="I1137" s="14">
        <v>2570.37</v>
      </c>
      <c r="J1137" s="14">
        <v>3394.9</v>
      </c>
      <c r="K1137" s="14">
        <v>2124.75</v>
      </c>
      <c r="L1137" s="15">
        <v>933071</v>
      </c>
      <c r="M1137" t="s" s="13">
        <v>7425</v>
      </c>
      <c r="N1137" s="15">
        <v>74273</v>
      </c>
      <c r="O1137" s="17" cm="1">
        <f t="array" ref="O1137">(H1137-H1136)/H1136</f>
        <v>0.00575590273699049</v>
      </c>
      <c r="P1137" s="8"/>
      <c r="Q1137" s="8"/>
    </row>
    <row r="1138" ht="13.65" customHeight="1">
      <c r="A1138" s="12">
        <v>45905</v>
      </c>
      <c r="B1138" t="s" s="13">
        <v>22</v>
      </c>
      <c r="C1138" s="14">
        <v>2565</v>
      </c>
      <c r="D1138" s="14">
        <v>2602</v>
      </c>
      <c r="E1138" s="14">
        <v>2565</v>
      </c>
      <c r="F1138" s="14">
        <v>2568.6</v>
      </c>
      <c r="G1138" s="14">
        <v>2581.9</v>
      </c>
      <c r="H1138" s="14">
        <v>2579.9</v>
      </c>
      <c r="I1138" s="14">
        <v>2581.22</v>
      </c>
      <c r="J1138" s="14">
        <v>3394.9</v>
      </c>
      <c r="K1138" s="14">
        <v>2124.75</v>
      </c>
      <c r="L1138" s="15">
        <v>1153436</v>
      </c>
      <c r="M1138" t="s" s="13">
        <v>7426</v>
      </c>
      <c r="N1138" s="15">
        <v>52228</v>
      </c>
      <c r="O1138" s="17" cm="1">
        <f t="array" ref="O1138">(H1138-H1137)/H1137</f>
        <v>0.00439928365646656</v>
      </c>
      <c r="P1138" s="8"/>
      <c r="Q1138" s="8"/>
    </row>
    <row r="1139" ht="13.65" customHeight="1">
      <c r="A1139" s="12">
        <v>45908</v>
      </c>
      <c r="B1139" t="s" s="13">
        <v>22</v>
      </c>
      <c r="C1139" s="14">
        <v>2579.9</v>
      </c>
      <c r="D1139" s="14">
        <v>2589.6</v>
      </c>
      <c r="E1139" s="14">
        <v>2526.4</v>
      </c>
      <c r="F1139" s="14">
        <v>2579.9</v>
      </c>
      <c r="G1139" s="14">
        <v>2535</v>
      </c>
      <c r="H1139" s="14">
        <v>2530.8</v>
      </c>
      <c r="I1139" s="14">
        <v>2550.52</v>
      </c>
      <c r="J1139" s="14">
        <v>3394.9</v>
      </c>
      <c r="K1139" s="14">
        <v>2124.75</v>
      </c>
      <c r="L1139" s="15">
        <v>742880</v>
      </c>
      <c r="M1139" t="s" s="13">
        <v>7427</v>
      </c>
      <c r="N1139" s="15">
        <v>36682</v>
      </c>
      <c r="O1139" s="17" cm="1">
        <f t="array" ref="O1139">(H1139-H1138)/H1138</f>
        <v>-0.019031745416489</v>
      </c>
      <c r="P1139" s="8"/>
      <c r="Q1139" s="8"/>
    </row>
    <row r="1140" ht="13.65" customHeight="1">
      <c r="A1140" s="12">
        <v>45909</v>
      </c>
      <c r="B1140" t="s" s="13">
        <v>22</v>
      </c>
      <c r="C1140" s="14">
        <v>2540</v>
      </c>
      <c r="D1140" s="14">
        <v>2551.6</v>
      </c>
      <c r="E1140" s="14">
        <v>2524.8</v>
      </c>
      <c r="F1140" s="14">
        <v>2530.8</v>
      </c>
      <c r="G1140" s="14">
        <v>2541.3</v>
      </c>
      <c r="H1140" s="14">
        <v>2537.3</v>
      </c>
      <c r="I1140" s="14">
        <v>2537.81</v>
      </c>
      <c r="J1140" s="14">
        <v>3394.9</v>
      </c>
      <c r="K1140" s="14">
        <v>2124.75</v>
      </c>
      <c r="L1140" s="15">
        <v>702450</v>
      </c>
      <c r="M1140" t="s" s="13">
        <v>7428</v>
      </c>
      <c r="N1140" s="15">
        <v>47923</v>
      </c>
      <c r="O1140" s="17" cm="1">
        <f t="array" ref="O1140">(H1140-H1139)/H1139</f>
        <v>0.00256835783151573</v>
      </c>
      <c r="P1140" s="8"/>
      <c r="Q1140" s="8"/>
    </row>
    <row r="1141" ht="13.65" customHeight="1">
      <c r="A1141" s="18">
        <v>45910</v>
      </c>
      <c r="B1141" t="s" s="13">
        <v>22</v>
      </c>
      <c r="C1141" s="14">
        <v>2537.3</v>
      </c>
      <c r="D1141" s="14">
        <v>2555</v>
      </c>
      <c r="E1141" s="14">
        <v>2525.1</v>
      </c>
      <c r="F1141" s="14">
        <v>2537.3</v>
      </c>
      <c r="G1141" s="14">
        <v>2541</v>
      </c>
      <c r="H1141" s="14">
        <v>2543.3</v>
      </c>
      <c r="I1141" s="14">
        <v>2538.02</v>
      </c>
      <c r="J1141" s="14">
        <v>3394.9</v>
      </c>
      <c r="K1141" s="14">
        <v>2124.75</v>
      </c>
      <c r="L1141" s="15">
        <v>520584</v>
      </c>
      <c r="M1141" t="s" s="13">
        <v>7429</v>
      </c>
      <c r="N1141" s="15">
        <v>32637</v>
      </c>
      <c r="O1141" s="17" cm="1">
        <f t="array" ref="O1141">(H1141-H1140)/H1140</f>
        <v>0.00236471840145036</v>
      </c>
      <c r="P1141" s="8"/>
      <c r="Q1141" s="8"/>
    </row>
    <row r="1142" ht="13.65" customHeight="1">
      <c r="A1142" s="18">
        <v>45911</v>
      </c>
      <c r="B1142" t="s" s="13">
        <v>22</v>
      </c>
      <c r="C1142" s="14">
        <v>2541</v>
      </c>
      <c r="D1142" s="14">
        <v>2559.5</v>
      </c>
      <c r="E1142" s="14">
        <v>2535.7</v>
      </c>
      <c r="F1142" s="14">
        <v>2543.3</v>
      </c>
      <c r="G1142" s="14">
        <v>2558</v>
      </c>
      <c r="H1142" s="14">
        <v>2555.9</v>
      </c>
      <c r="I1142" s="14">
        <v>2551.45</v>
      </c>
      <c r="J1142" s="14">
        <v>3394.9</v>
      </c>
      <c r="K1142" s="14">
        <v>2124.75</v>
      </c>
      <c r="L1142" s="15">
        <v>423961</v>
      </c>
      <c r="M1142" t="s" s="13">
        <v>7430</v>
      </c>
      <c r="N1142" s="15">
        <v>39190</v>
      </c>
      <c r="O1142" s="17" cm="1">
        <f t="array" ref="O1142">(H1142-H1141)/H1141</f>
        <v>0.00495419337081744</v>
      </c>
      <c r="P1142" s="8"/>
      <c r="Q1142" s="8"/>
    </row>
    <row r="1143" ht="13.65" customHeight="1">
      <c r="A1143" s="18">
        <v>45912</v>
      </c>
      <c r="B1143" t="s" s="13">
        <v>22</v>
      </c>
      <c r="C1143" s="14">
        <v>2560</v>
      </c>
      <c r="D1143" s="14">
        <v>2568.3</v>
      </c>
      <c r="E1143" s="14">
        <v>2537.2</v>
      </c>
      <c r="F1143" s="14">
        <v>2555.9</v>
      </c>
      <c r="G1143" s="14">
        <v>2540.5</v>
      </c>
      <c r="H1143" s="14">
        <v>2546.3</v>
      </c>
      <c r="I1143" s="14">
        <v>2550.82</v>
      </c>
      <c r="J1143" s="14">
        <v>3394.9</v>
      </c>
      <c r="K1143" s="14">
        <v>2124.75</v>
      </c>
      <c r="L1143" s="15">
        <v>547539</v>
      </c>
      <c r="M1143" t="s" s="13">
        <v>7431</v>
      </c>
      <c r="N1143" s="15">
        <v>40076</v>
      </c>
      <c r="O1143" s="17" cm="1">
        <f t="array" ref="O1143">(H1143-H1142)/H1142</f>
        <v>-0.00375601549356391</v>
      </c>
      <c r="P1143" s="8"/>
      <c r="Q1143" s="8"/>
    </row>
    <row r="1144" ht="13.65" customHeight="1">
      <c r="A1144" s="18">
        <v>45915</v>
      </c>
      <c r="B1144" t="s" s="13">
        <v>22</v>
      </c>
      <c r="C1144" s="14">
        <v>2535.1</v>
      </c>
      <c r="D1144" s="14">
        <v>2543.5</v>
      </c>
      <c r="E1144" s="14">
        <v>2498</v>
      </c>
      <c r="F1144" s="14">
        <v>2546.3</v>
      </c>
      <c r="G1144" s="14">
        <v>2504.9</v>
      </c>
      <c r="H1144" s="14">
        <v>2502.6</v>
      </c>
      <c r="I1144" s="14">
        <v>2509.44</v>
      </c>
      <c r="J1144" s="14">
        <v>3394.9</v>
      </c>
      <c r="K1144" s="14">
        <v>2124.75</v>
      </c>
      <c r="L1144" s="15">
        <v>583051</v>
      </c>
      <c r="M1144" t="s" s="13">
        <v>7432</v>
      </c>
      <c r="N1144" s="15">
        <v>43109</v>
      </c>
      <c r="O1144" s="17" cm="1">
        <f t="array" ref="O1144">(H1144-H1143)/H1143</f>
        <v>-0.0171621568550446</v>
      </c>
      <c r="P1144" s="8"/>
      <c r="Q1144" s="8"/>
    </row>
    <row r="1145" ht="13.65" customHeight="1">
      <c r="A1145" s="18">
        <v>45916</v>
      </c>
      <c r="B1145" t="s" s="13">
        <v>22</v>
      </c>
      <c r="C1145" s="14">
        <v>2495</v>
      </c>
      <c r="D1145" s="14">
        <v>2509.9</v>
      </c>
      <c r="E1145" s="14">
        <v>2474.5</v>
      </c>
      <c r="F1145" s="14">
        <v>2502.6</v>
      </c>
      <c r="G1145" s="14">
        <v>2482</v>
      </c>
      <c r="H1145" s="14">
        <v>2480.9</v>
      </c>
      <c r="I1145" s="14">
        <v>2488.81</v>
      </c>
      <c r="J1145" s="14">
        <v>3394.9</v>
      </c>
      <c r="K1145" s="14">
        <v>2124.75</v>
      </c>
      <c r="L1145" s="15">
        <v>760790</v>
      </c>
      <c r="M1145" t="s" s="13">
        <v>7433</v>
      </c>
      <c r="N1145" s="15">
        <v>54288</v>
      </c>
      <c r="O1145" s="17" cm="1">
        <f t="array" ref="O1145">(H1145-H1144)/H1144</f>
        <v>-0.00867098217853432</v>
      </c>
      <c r="P1145" s="8"/>
      <c r="Q1145" s="8"/>
    </row>
    <row r="1146" ht="13.65" customHeight="1">
      <c r="A1146" s="18">
        <v>45917</v>
      </c>
      <c r="B1146" t="s" s="13">
        <v>22</v>
      </c>
      <c r="C1146" s="14">
        <v>2482</v>
      </c>
      <c r="D1146" s="14">
        <v>2496.9</v>
      </c>
      <c r="E1146" s="14">
        <v>2480.8</v>
      </c>
      <c r="F1146" s="14">
        <v>2480.9</v>
      </c>
      <c r="G1146" s="14">
        <v>2494.5</v>
      </c>
      <c r="H1146" s="14">
        <v>2493.6</v>
      </c>
      <c r="I1146" s="14">
        <v>2487.7</v>
      </c>
      <c r="J1146" s="14">
        <v>3394.9</v>
      </c>
      <c r="K1146" s="14">
        <v>2124.75</v>
      </c>
      <c r="L1146" s="15">
        <v>359627</v>
      </c>
      <c r="M1146" t="s" s="13">
        <v>7434</v>
      </c>
      <c r="N1146" s="15">
        <v>33061</v>
      </c>
      <c r="O1146" s="17" cm="1">
        <f t="array" ref="O1146">(H1146-H1145)/H1145</f>
        <v>0.00511911000040308</v>
      </c>
      <c r="P1146" s="8"/>
      <c r="Q1146" s="8"/>
    </row>
    <row r="1147" ht="13.65" customHeight="1">
      <c r="A1147" s="18">
        <v>45918</v>
      </c>
      <c r="B1147" t="s" s="13">
        <v>22</v>
      </c>
      <c r="C1147" s="14">
        <v>2497.9</v>
      </c>
      <c r="D1147" s="14">
        <v>2506.2</v>
      </c>
      <c r="E1147" s="14">
        <v>2469.3</v>
      </c>
      <c r="F1147" s="14">
        <v>2493.6</v>
      </c>
      <c r="G1147" s="14">
        <v>2478</v>
      </c>
      <c r="H1147" s="14">
        <v>2478.7</v>
      </c>
      <c r="I1147" s="14">
        <v>2484.3</v>
      </c>
      <c r="J1147" s="14">
        <v>3394.9</v>
      </c>
      <c r="K1147" s="14">
        <v>2124.75</v>
      </c>
      <c r="L1147" s="15">
        <v>400796</v>
      </c>
      <c r="M1147" t="s" s="13">
        <v>7435</v>
      </c>
      <c r="N1147" s="15">
        <v>34436</v>
      </c>
      <c r="O1147" s="17" cm="1">
        <f t="array" ref="O1147">(H1147-H1146)/H1146</f>
        <v>-0.00597529675970484</v>
      </c>
      <c r="P1147" s="8"/>
      <c r="Q1147" s="8"/>
    </row>
    <row r="1148" ht="13.65" customHeight="1">
      <c r="A1148" s="18">
        <v>45919</v>
      </c>
      <c r="B1148" t="s" s="13">
        <v>22</v>
      </c>
      <c r="C1148" s="14">
        <v>2475</v>
      </c>
      <c r="D1148" s="14">
        <v>2509.5</v>
      </c>
      <c r="E1148" s="14">
        <v>2468.5</v>
      </c>
      <c r="F1148" s="14">
        <v>2478.7</v>
      </c>
      <c r="G1148" s="14">
        <v>2495.8</v>
      </c>
      <c r="H1148" s="14">
        <v>2481.7</v>
      </c>
      <c r="I1148" s="14">
        <v>2485.15</v>
      </c>
      <c r="J1148" s="14">
        <v>3394.9</v>
      </c>
      <c r="K1148" s="14">
        <v>2124.75</v>
      </c>
      <c r="L1148" s="15">
        <v>3731525</v>
      </c>
      <c r="M1148" t="s" s="13">
        <v>7436</v>
      </c>
      <c r="N1148" s="15">
        <v>68897</v>
      </c>
      <c r="O1148" s="17" cm="1">
        <f t="array" ref="O1148">(H1148-H1147)/H1147</f>
        <v>0.00121031185702183</v>
      </c>
      <c r="P1148" s="8"/>
      <c r="Q1148" s="8"/>
    </row>
    <row r="1149" ht="13.65" customHeight="1">
      <c r="A1149" s="18">
        <v>45922</v>
      </c>
      <c r="B1149" t="s" s="13">
        <v>22</v>
      </c>
      <c r="C1149" s="14">
        <v>2494.1</v>
      </c>
      <c r="D1149" s="14">
        <v>2503</v>
      </c>
      <c r="E1149" s="14">
        <v>2474.1</v>
      </c>
      <c r="F1149" s="14">
        <v>2481.7</v>
      </c>
      <c r="G1149" s="14">
        <v>2479.9</v>
      </c>
      <c r="H1149" s="14">
        <v>2482.7</v>
      </c>
      <c r="I1149" s="14">
        <v>2488.32</v>
      </c>
      <c r="J1149" s="14">
        <v>3358</v>
      </c>
      <c r="K1149" s="14">
        <v>2124.75</v>
      </c>
      <c r="L1149" s="15">
        <v>872806</v>
      </c>
      <c r="M1149" t="s" s="13">
        <v>7437</v>
      </c>
      <c r="N1149" s="15">
        <v>47534</v>
      </c>
      <c r="O1149" s="17" cm="1">
        <f t="array" ref="O1149">(H1149-H1148)/H1148</f>
        <v>0.000402949591006165</v>
      </c>
      <c r="P1149" s="8"/>
      <c r="Q1149" s="8"/>
    </row>
    <row r="1150" ht="13.65" customHeight="1">
      <c r="A1150" s="18">
        <v>45923</v>
      </c>
      <c r="B1150" t="s" s="13">
        <v>22</v>
      </c>
      <c r="C1150" s="14">
        <v>2472.1</v>
      </c>
      <c r="D1150" s="14">
        <v>2483.8</v>
      </c>
      <c r="E1150" s="14">
        <v>2428</v>
      </c>
      <c r="F1150" s="14">
        <v>2482.7</v>
      </c>
      <c r="G1150" s="14">
        <v>2450</v>
      </c>
      <c r="H1150" s="14">
        <v>2446.9</v>
      </c>
      <c r="I1150" s="14">
        <v>2449.86</v>
      </c>
      <c r="J1150" s="14">
        <v>3358</v>
      </c>
      <c r="K1150" s="14">
        <v>2124.75</v>
      </c>
      <c r="L1150" s="15">
        <v>1332111</v>
      </c>
      <c r="M1150" t="s" s="13">
        <v>7438</v>
      </c>
      <c r="N1150" s="15">
        <v>63604</v>
      </c>
      <c r="O1150" s="17" cm="1">
        <f t="array" ref="O1150">(H1150-H1149)/H1149</f>
        <v>-0.0144197849115882</v>
      </c>
      <c r="P1150" s="8"/>
      <c r="Q1150" s="8"/>
    </row>
    <row r="1151" ht="13.65" customHeight="1">
      <c r="A1151" s="18">
        <v>45924</v>
      </c>
      <c r="B1151" t="s" s="13">
        <v>22</v>
      </c>
      <c r="C1151" s="14">
        <v>2446</v>
      </c>
      <c r="D1151" s="14">
        <v>2475</v>
      </c>
      <c r="E1151" s="14">
        <v>2443.2</v>
      </c>
      <c r="F1151" s="14">
        <v>2446.9</v>
      </c>
      <c r="G1151" s="14">
        <v>2458.5</v>
      </c>
      <c r="H1151" s="14">
        <v>2457.2</v>
      </c>
      <c r="I1151" s="14">
        <v>2461.22</v>
      </c>
      <c r="J1151" s="14">
        <v>3358</v>
      </c>
      <c r="K1151" s="14">
        <v>2124.75</v>
      </c>
      <c r="L1151" s="15">
        <v>637749</v>
      </c>
      <c r="M1151" t="s" s="13">
        <v>7439</v>
      </c>
      <c r="N1151" s="15">
        <v>54569</v>
      </c>
      <c r="O1151" s="17" cm="1">
        <f t="array" ref="O1151">(H1151-H1150)/H1150</f>
        <v>0.0042094078221423</v>
      </c>
      <c r="P1151" s="8"/>
      <c r="Q1151" s="8"/>
    </row>
    <row r="1152" ht="13.65" customHeight="1">
      <c r="A1152" s="18">
        <v>45925</v>
      </c>
      <c r="B1152" t="s" s="13">
        <v>22</v>
      </c>
      <c r="C1152" s="14">
        <v>2458.5</v>
      </c>
      <c r="D1152" s="14">
        <v>2462.7</v>
      </c>
      <c r="E1152" s="14">
        <v>2388</v>
      </c>
      <c r="F1152" s="14">
        <v>2457.2</v>
      </c>
      <c r="G1152" s="14">
        <v>2404</v>
      </c>
      <c r="H1152" s="14">
        <v>2404</v>
      </c>
      <c r="I1152" s="14">
        <v>2413.29</v>
      </c>
      <c r="J1152" s="14">
        <v>3358</v>
      </c>
      <c r="K1152" s="14">
        <v>2124.75</v>
      </c>
      <c r="L1152" s="15">
        <v>1518215</v>
      </c>
      <c r="M1152" t="s" s="13">
        <v>7440</v>
      </c>
      <c r="N1152" s="15">
        <v>81168</v>
      </c>
      <c r="O1152" s="17" cm="1">
        <f t="array" ref="O1152">(H1152-H1151)/H1151</f>
        <v>-0.0216506592869933</v>
      </c>
      <c r="P1152" s="8"/>
      <c r="Q1152" s="8"/>
    </row>
    <row r="1153" ht="13.65" customHeight="1">
      <c r="A1153" s="18">
        <v>45926</v>
      </c>
      <c r="B1153" t="s" s="13">
        <v>22</v>
      </c>
      <c r="C1153" s="14">
        <v>2397.5</v>
      </c>
      <c r="D1153" s="14">
        <v>2400</v>
      </c>
      <c r="E1153" s="14">
        <v>2339</v>
      </c>
      <c r="F1153" s="14">
        <v>2404</v>
      </c>
      <c r="G1153" s="14">
        <v>2342</v>
      </c>
      <c r="H1153" s="14">
        <v>2342.8</v>
      </c>
      <c r="I1153" s="14">
        <v>2359.94</v>
      </c>
      <c r="J1153" s="14">
        <v>3358</v>
      </c>
      <c r="K1153" s="14">
        <v>2124.75</v>
      </c>
      <c r="L1153" s="15">
        <v>1089446</v>
      </c>
      <c r="M1153" t="s" s="13">
        <v>7441</v>
      </c>
      <c r="N1153" s="15">
        <v>88638</v>
      </c>
      <c r="O1153" s="17" cm="1">
        <f t="array" ref="O1153">(H1153-H1152)/H1152</f>
        <v>-0.0254575707154742</v>
      </c>
      <c r="P1153" s="8"/>
      <c r="Q1153" s="8"/>
    </row>
    <row r="1154" ht="13.65" customHeight="1">
      <c r="A1154" s="18">
        <v>45929</v>
      </c>
      <c r="B1154" t="s" s="13">
        <v>22</v>
      </c>
      <c r="C1154" s="14">
        <v>2342.9</v>
      </c>
      <c r="D1154" s="14">
        <v>2363.7</v>
      </c>
      <c r="E1154" s="14">
        <v>2329.2</v>
      </c>
      <c r="F1154" s="14">
        <v>2342.8</v>
      </c>
      <c r="G1154" s="14">
        <v>2352</v>
      </c>
      <c r="H1154" s="14">
        <v>2342.6</v>
      </c>
      <c r="I1154" s="14">
        <v>2344.85</v>
      </c>
      <c r="J1154" s="14">
        <v>3358</v>
      </c>
      <c r="K1154" s="14">
        <v>2124.75</v>
      </c>
      <c r="L1154" s="15">
        <v>950369</v>
      </c>
      <c r="M1154" t="s" s="13">
        <v>7442</v>
      </c>
      <c r="N1154" s="15">
        <v>61544</v>
      </c>
      <c r="O1154" s="17" cm="1">
        <f t="array" ref="O1154">(H1154-H1153)/H1153</f>
        <v>-8.536793580331229e-05</v>
      </c>
      <c r="P1154" s="8"/>
      <c r="Q1154" s="8"/>
    </row>
    <row r="1155" ht="13.65" customHeight="1">
      <c r="A1155" s="18">
        <v>45930</v>
      </c>
      <c r="B1155" t="s" s="13">
        <v>22</v>
      </c>
      <c r="C1155" s="14">
        <v>2352</v>
      </c>
      <c r="D1155" s="14">
        <v>2388.8</v>
      </c>
      <c r="E1155" s="14">
        <v>2340</v>
      </c>
      <c r="F1155" s="14">
        <v>2342.6</v>
      </c>
      <c r="G1155" s="14">
        <v>2353</v>
      </c>
      <c r="H1155" s="14">
        <v>2350</v>
      </c>
      <c r="I1155" s="14">
        <v>2353.55</v>
      </c>
      <c r="J1155" s="14">
        <v>3358</v>
      </c>
      <c r="K1155" s="14">
        <v>2124.75</v>
      </c>
      <c r="L1155" s="15">
        <v>778874</v>
      </c>
      <c r="M1155" t="s" s="13">
        <v>7443</v>
      </c>
      <c r="N1155" s="15">
        <v>56814</v>
      </c>
      <c r="O1155" s="17" cm="1">
        <f t="array" ref="O1155">(H1155-H1154)/H1154</f>
        <v>0.00315888329206864</v>
      </c>
      <c r="P1155" s="8"/>
      <c r="Q1155" s="8"/>
    </row>
    <row r="1156" ht="13.65" customHeight="1">
      <c r="A1156" s="12">
        <v>45931</v>
      </c>
      <c r="B1156" t="s" s="13">
        <v>22</v>
      </c>
      <c r="C1156" s="14">
        <v>2353.4</v>
      </c>
      <c r="D1156" s="14">
        <v>2357</v>
      </c>
      <c r="E1156" s="14">
        <v>2321.2</v>
      </c>
      <c r="F1156" s="14">
        <v>2350</v>
      </c>
      <c r="G1156" s="14">
        <v>2339.7</v>
      </c>
      <c r="H1156" s="14">
        <v>2335.8</v>
      </c>
      <c r="I1156" s="14">
        <v>2333.18</v>
      </c>
      <c r="J1156" s="14">
        <v>3358</v>
      </c>
      <c r="K1156" s="14">
        <v>2124.75</v>
      </c>
      <c r="L1156" s="15">
        <v>648279</v>
      </c>
      <c r="M1156" t="s" s="13">
        <v>7444</v>
      </c>
      <c r="N1156" s="15">
        <v>45070</v>
      </c>
      <c r="O1156" s="17" cm="1">
        <f t="array" ref="O1156">(H1156-H1155)/H1155</f>
        <v>-0.00604255319148936</v>
      </c>
      <c r="P1156" s="8"/>
      <c r="Q1156" s="8"/>
    </row>
    <row r="1157" ht="13.65" customHeight="1">
      <c r="A1157" s="12">
        <v>45933</v>
      </c>
      <c r="B1157" t="s" s="13">
        <v>22</v>
      </c>
      <c r="C1157" s="14">
        <v>2342.2</v>
      </c>
      <c r="D1157" s="14">
        <v>2362.7</v>
      </c>
      <c r="E1157" s="14">
        <v>2336.1</v>
      </c>
      <c r="F1157" s="14">
        <v>2335.8</v>
      </c>
      <c r="G1157" s="14">
        <v>2358.1</v>
      </c>
      <c r="H1157" s="14">
        <v>2357.8</v>
      </c>
      <c r="I1157" s="14">
        <v>2350.46</v>
      </c>
      <c r="J1157" s="14">
        <v>3358</v>
      </c>
      <c r="K1157" s="14">
        <v>2124.75</v>
      </c>
      <c r="L1157" s="15">
        <v>659872</v>
      </c>
      <c r="M1157" t="s" s="13">
        <v>7445</v>
      </c>
      <c r="N1157" s="15">
        <v>49330</v>
      </c>
      <c r="O1157" s="17" cm="1">
        <f t="array" ref="O1157">(H1157-H1156)/H1156</f>
        <v>0.00941861460741502</v>
      </c>
      <c r="P1157" s="8"/>
      <c r="Q1157" s="8"/>
    </row>
    <row r="1158" ht="13.65" customHeight="1">
      <c r="A1158" s="12">
        <v>45936</v>
      </c>
      <c r="B1158" t="s" s="13">
        <v>22</v>
      </c>
      <c r="C1158" s="14">
        <v>2355</v>
      </c>
      <c r="D1158" s="14">
        <v>2359.2</v>
      </c>
      <c r="E1158" s="14">
        <v>2334.1</v>
      </c>
      <c r="F1158" s="14">
        <v>2357.8</v>
      </c>
      <c r="G1158" s="14">
        <v>2355.1</v>
      </c>
      <c r="H1158" s="14">
        <v>2354.8</v>
      </c>
      <c r="I1158" s="14">
        <v>2348.85</v>
      </c>
      <c r="J1158" s="14">
        <v>3146.7</v>
      </c>
      <c r="K1158" s="14">
        <v>2124.75</v>
      </c>
      <c r="L1158" s="15">
        <v>362107</v>
      </c>
      <c r="M1158" t="s" s="13">
        <v>7446</v>
      </c>
      <c r="N1158" s="15">
        <v>28576</v>
      </c>
      <c r="O1158" s="17" cm="1">
        <f t="array" ref="O1158">(H1158-H1157)/H1157</f>
        <v>-0.00127237255068284</v>
      </c>
      <c r="P1158" s="8"/>
      <c r="Q1158" s="8"/>
    </row>
    <row r="1159" ht="13.65" customHeight="1">
      <c r="A1159" s="12">
        <v>45937</v>
      </c>
      <c r="B1159" t="s" s="13">
        <v>22</v>
      </c>
      <c r="C1159" s="14">
        <v>2355</v>
      </c>
      <c r="D1159" s="14">
        <v>2371.4</v>
      </c>
      <c r="E1159" s="14">
        <v>2346</v>
      </c>
      <c r="F1159" s="14">
        <v>2354.8</v>
      </c>
      <c r="G1159" s="14">
        <v>2354.7</v>
      </c>
      <c r="H1159" s="14">
        <v>2352.8</v>
      </c>
      <c r="I1159" s="14">
        <v>2359.19</v>
      </c>
      <c r="J1159" s="14">
        <v>3146.7</v>
      </c>
      <c r="K1159" s="14">
        <v>2124.75</v>
      </c>
      <c r="L1159" s="15">
        <v>498524</v>
      </c>
      <c r="M1159" t="s" s="13">
        <v>7447</v>
      </c>
      <c r="N1159" s="15">
        <v>35086</v>
      </c>
      <c r="O1159" s="17" cm="1">
        <f t="array" ref="O1159">(H1159-H1158)/H1158</f>
        <v>-0.000849329030066248</v>
      </c>
      <c r="P1159" s="8"/>
      <c r="Q1159" s="8"/>
    </row>
    <row r="1160" ht="13.65" customHeight="1">
      <c r="A1160" s="12">
        <v>45938</v>
      </c>
      <c r="B1160" t="s" s="13">
        <v>22</v>
      </c>
      <c r="C1160" s="14">
        <v>2360</v>
      </c>
      <c r="D1160" s="14">
        <v>2369.4</v>
      </c>
      <c r="E1160" s="14">
        <v>2320</v>
      </c>
      <c r="F1160" s="14">
        <v>2352.8</v>
      </c>
      <c r="G1160" s="14">
        <v>2323</v>
      </c>
      <c r="H1160" s="14">
        <v>2328.5</v>
      </c>
      <c r="I1160" s="14">
        <v>2336.21</v>
      </c>
      <c r="J1160" s="14">
        <v>3146.7</v>
      </c>
      <c r="K1160" s="14">
        <v>2124.75</v>
      </c>
      <c r="L1160" s="15">
        <v>701799</v>
      </c>
      <c r="M1160" t="s" s="13">
        <v>7448</v>
      </c>
      <c r="N1160" s="15">
        <v>48589</v>
      </c>
      <c r="O1160" s="17" cm="1">
        <f t="array" ref="O1160">(H1160-H1159)/H1159</f>
        <v>-0.0103281196871812</v>
      </c>
      <c r="P1160" s="8"/>
      <c r="Q1160" s="8"/>
    </row>
    <row r="1161" ht="13.65" customHeight="1">
      <c r="A1161" s="12">
        <v>45939</v>
      </c>
      <c r="B1161" t="s" s="13">
        <v>22</v>
      </c>
      <c r="C1161" s="14">
        <v>2328.5</v>
      </c>
      <c r="D1161" s="14">
        <v>2341</v>
      </c>
      <c r="E1161" s="14">
        <v>2323.8</v>
      </c>
      <c r="F1161" s="14">
        <v>2328.5</v>
      </c>
      <c r="G1161" s="14">
        <v>2340</v>
      </c>
      <c r="H1161" s="14">
        <v>2336.4</v>
      </c>
      <c r="I1161" s="14">
        <v>2333.33</v>
      </c>
      <c r="J1161" s="14">
        <v>3146.7</v>
      </c>
      <c r="K1161" s="14">
        <v>2124.75</v>
      </c>
      <c r="L1161" s="15">
        <v>587567</v>
      </c>
      <c r="M1161" t="s" s="13">
        <v>7449</v>
      </c>
      <c r="N1161" s="15">
        <v>45913</v>
      </c>
      <c r="O1161" s="17" cm="1">
        <f t="array" ref="O1161">(H1161-H1160)/H1160</f>
        <v>0.00339274210865364</v>
      </c>
      <c r="P1161" s="8"/>
      <c r="Q1161" s="8"/>
    </row>
    <row r="1162" ht="13.65" customHeight="1">
      <c r="A1162" s="18">
        <v>45940</v>
      </c>
      <c r="B1162" t="s" s="13">
        <v>22</v>
      </c>
      <c r="C1162" s="14">
        <v>2338.9</v>
      </c>
      <c r="D1162" s="14">
        <v>2357.8</v>
      </c>
      <c r="E1162" s="14">
        <v>2336.6</v>
      </c>
      <c r="F1162" s="14">
        <v>2336.4</v>
      </c>
      <c r="G1162" s="14">
        <v>2338.6</v>
      </c>
      <c r="H1162" s="14">
        <v>2340.2</v>
      </c>
      <c r="I1162" s="14">
        <v>2345.59</v>
      </c>
      <c r="J1162" s="14">
        <v>3146.7</v>
      </c>
      <c r="K1162" s="14">
        <v>2124.75</v>
      </c>
      <c r="L1162" s="15">
        <v>1117236</v>
      </c>
      <c r="M1162" t="s" s="13">
        <v>7450</v>
      </c>
      <c r="N1162" s="15">
        <v>45433</v>
      </c>
      <c r="O1162" s="17" cm="1">
        <f t="array" ref="O1162">(H1162-H1161)/H1161</f>
        <v>0.00162643382982366</v>
      </c>
      <c r="P1162" s="8"/>
      <c r="Q1162" s="8"/>
    </row>
    <row r="1163" ht="13.65" customHeight="1">
      <c r="A1163" s="18">
        <v>45943</v>
      </c>
      <c r="B1163" t="s" s="13">
        <v>22</v>
      </c>
      <c r="C1163" s="14">
        <v>2340.2</v>
      </c>
      <c r="D1163" s="14">
        <v>2366.6</v>
      </c>
      <c r="E1163" s="14">
        <v>2337</v>
      </c>
      <c r="F1163" s="14">
        <v>2340.2</v>
      </c>
      <c r="G1163" s="14">
        <v>2343</v>
      </c>
      <c r="H1163" s="14">
        <v>2342.5</v>
      </c>
      <c r="I1163" s="14">
        <v>2349.68</v>
      </c>
      <c r="J1163" s="14">
        <v>3103.55</v>
      </c>
      <c r="K1163" s="14">
        <v>2124.75</v>
      </c>
      <c r="L1163" s="15">
        <v>667732</v>
      </c>
      <c r="M1163" t="s" s="13">
        <v>7451</v>
      </c>
      <c r="N1163" s="15">
        <v>40981</v>
      </c>
      <c r="O1163" s="17" cm="1">
        <f t="array" ref="O1163">(H1163-H1162)/H1162</f>
        <v>0.0009828219810272629</v>
      </c>
      <c r="P1163" s="8"/>
      <c r="Q1163" s="8"/>
    </row>
    <row r="1164" ht="13.65" customHeight="1">
      <c r="A1164" s="18">
        <v>45944</v>
      </c>
      <c r="B1164" t="s" s="13">
        <v>22</v>
      </c>
      <c r="C1164" s="14">
        <v>2342.4</v>
      </c>
      <c r="D1164" s="14">
        <v>2355</v>
      </c>
      <c r="E1164" s="14">
        <v>2308</v>
      </c>
      <c r="F1164" s="14">
        <v>2342.5</v>
      </c>
      <c r="G1164" s="14">
        <v>2314</v>
      </c>
      <c r="H1164" s="14">
        <v>2318.1</v>
      </c>
      <c r="I1164" s="14">
        <v>2327.55</v>
      </c>
      <c r="J1164" s="14">
        <v>3103.55</v>
      </c>
      <c r="K1164" s="14">
        <v>2124.75</v>
      </c>
      <c r="L1164" s="15">
        <v>353345</v>
      </c>
      <c r="M1164" t="s" s="13">
        <v>7452</v>
      </c>
      <c r="N1164" s="15">
        <v>34507</v>
      </c>
      <c r="O1164" s="17" cm="1">
        <f t="array" ref="O1164">(H1164-H1163)/H1163</f>
        <v>-0.0104162219850587</v>
      </c>
      <c r="P1164" s="8"/>
      <c r="Q1164" s="8"/>
    </row>
    <row r="1165" ht="13.65" customHeight="1">
      <c r="A1165" s="18">
        <v>45945</v>
      </c>
      <c r="B1165" t="s" s="13">
        <v>22</v>
      </c>
      <c r="C1165" s="14">
        <v>2330</v>
      </c>
      <c r="D1165" s="14">
        <v>2384</v>
      </c>
      <c r="E1165" s="14">
        <v>2325</v>
      </c>
      <c r="F1165" s="14">
        <v>2318.1</v>
      </c>
      <c r="G1165" s="14">
        <v>2377</v>
      </c>
      <c r="H1165" s="14">
        <v>2375.1</v>
      </c>
      <c r="I1165" s="14">
        <v>2365.88</v>
      </c>
      <c r="J1165" s="14">
        <v>3103.55</v>
      </c>
      <c r="K1165" s="14">
        <v>2124.75</v>
      </c>
      <c r="L1165" s="15">
        <v>753640</v>
      </c>
      <c r="M1165" t="s" s="13">
        <v>7453</v>
      </c>
      <c r="N1165" s="15">
        <v>48939</v>
      </c>
      <c r="O1165" s="17" cm="1">
        <f t="array" ref="O1165">(H1165-H1164)/H1164</f>
        <v>0.0245891031448169</v>
      </c>
      <c r="P1165" s="8"/>
      <c r="Q1165" s="8"/>
    </row>
    <row r="1166" ht="13.65" customHeight="1">
      <c r="A1166" s="18">
        <v>45946</v>
      </c>
      <c r="B1166" t="s" s="13">
        <v>22</v>
      </c>
      <c r="C1166" s="14">
        <v>2377</v>
      </c>
      <c r="D1166" s="14">
        <v>2420.8</v>
      </c>
      <c r="E1166" s="14">
        <v>2366.9</v>
      </c>
      <c r="F1166" s="14">
        <v>2375.1</v>
      </c>
      <c r="G1166" s="14">
        <v>2409.3</v>
      </c>
      <c r="H1166" s="14">
        <v>2409.7</v>
      </c>
      <c r="I1166" s="14">
        <v>2393.3</v>
      </c>
      <c r="J1166" s="14">
        <v>3103.55</v>
      </c>
      <c r="K1166" s="14">
        <v>2124.75</v>
      </c>
      <c r="L1166" s="15">
        <v>715890</v>
      </c>
      <c r="M1166" t="s" s="13">
        <v>7454</v>
      </c>
      <c r="N1166" s="15">
        <v>47988</v>
      </c>
      <c r="O1166" s="17" cm="1">
        <f t="array" ref="O1166">(H1166-H1165)/H1165</f>
        <v>0.0145678076712559</v>
      </c>
      <c r="P1166" s="8"/>
      <c r="Q1166" s="8"/>
    </row>
    <row r="1167" ht="13.65" customHeight="1">
      <c r="A1167" s="18">
        <v>45947</v>
      </c>
      <c r="B1167" t="s" s="13">
        <v>22</v>
      </c>
      <c r="C1167" s="14">
        <v>2421</v>
      </c>
      <c r="D1167" s="14">
        <v>2544</v>
      </c>
      <c r="E1167" s="14">
        <v>2421</v>
      </c>
      <c r="F1167" s="14">
        <v>2409.7</v>
      </c>
      <c r="G1167" s="14">
        <v>2507.8</v>
      </c>
      <c r="H1167" s="14">
        <v>2507.8</v>
      </c>
      <c r="I1167" s="14">
        <v>2509.32</v>
      </c>
      <c r="J1167" s="14">
        <v>3103.55</v>
      </c>
      <c r="K1167" s="14">
        <v>2124.75</v>
      </c>
      <c r="L1167" s="15">
        <v>3719960</v>
      </c>
      <c r="M1167" t="s" s="13">
        <v>7455</v>
      </c>
      <c r="N1167" s="15">
        <v>150551</v>
      </c>
      <c r="O1167" s="17" cm="1">
        <f t="array" ref="O1167">(H1167-H1166)/H1166</f>
        <v>0.040710461883222</v>
      </c>
      <c r="P1167" s="8"/>
      <c r="Q1167" s="8"/>
    </row>
    <row r="1168" ht="13.65" customHeight="1">
      <c r="A1168" s="18">
        <v>45950</v>
      </c>
      <c r="B1168" t="s" s="13">
        <v>22</v>
      </c>
      <c r="C1168" s="14">
        <v>2507.8</v>
      </c>
      <c r="D1168" s="14">
        <v>2537.1</v>
      </c>
      <c r="E1168" s="14">
        <v>2500.7</v>
      </c>
      <c r="F1168" s="14">
        <v>2507.8</v>
      </c>
      <c r="G1168" s="14">
        <v>2516</v>
      </c>
      <c r="H1168" s="14">
        <v>2516</v>
      </c>
      <c r="I1168" s="14">
        <v>2519.1</v>
      </c>
      <c r="J1168" s="14">
        <v>3057.95</v>
      </c>
      <c r="K1168" s="14">
        <v>2124.75</v>
      </c>
      <c r="L1168" s="15">
        <v>714986</v>
      </c>
      <c r="M1168" t="s" s="13">
        <v>7456</v>
      </c>
      <c r="N1168" s="15">
        <v>56822</v>
      </c>
      <c r="O1168" s="17" cm="1">
        <f t="array" ref="O1168">(H1168-H1167)/H1167</f>
        <v>0.00326979822952389</v>
      </c>
      <c r="P1168" s="8"/>
      <c r="Q1168" s="8"/>
    </row>
    <row r="1169" ht="13.65" customHeight="1">
      <c r="A1169" s="18">
        <v>45951</v>
      </c>
      <c r="B1169" t="s" s="13">
        <v>22</v>
      </c>
      <c r="C1169" s="14">
        <v>2513</v>
      </c>
      <c r="D1169" s="14">
        <v>2519.2</v>
      </c>
      <c r="E1169" s="14">
        <v>2484</v>
      </c>
      <c r="F1169" s="14">
        <v>2516</v>
      </c>
      <c r="G1169" s="14">
        <v>2500</v>
      </c>
      <c r="H1169" s="14">
        <v>2504.6</v>
      </c>
      <c r="I1169" s="14">
        <v>2505.6</v>
      </c>
      <c r="J1169" s="14">
        <v>3057.95</v>
      </c>
      <c r="K1169" s="14">
        <v>2124.75</v>
      </c>
      <c r="L1169" s="15">
        <v>107942</v>
      </c>
      <c r="M1169" t="s" s="13">
        <v>7457</v>
      </c>
      <c r="N1169" s="15">
        <v>10708</v>
      </c>
      <c r="O1169" s="17" cm="1">
        <f t="array" ref="O1169">(H1169-H1168)/H1168</f>
        <v>-0.00453100158982512</v>
      </c>
      <c r="P1169" s="8"/>
      <c r="Q1169" s="8"/>
    </row>
    <row r="1170" ht="13.65" customHeight="1">
      <c r="A1170" s="18">
        <v>45953</v>
      </c>
      <c r="B1170" t="s" s="13">
        <v>22</v>
      </c>
      <c r="C1170" s="14">
        <v>2518.9</v>
      </c>
      <c r="D1170" s="14">
        <v>2546</v>
      </c>
      <c r="E1170" s="14">
        <v>2496.8</v>
      </c>
      <c r="F1170" s="14">
        <v>2504.6</v>
      </c>
      <c r="G1170" s="14">
        <v>2499.7</v>
      </c>
      <c r="H1170" s="14">
        <v>2502.4</v>
      </c>
      <c r="I1170" s="14">
        <v>2523.09</v>
      </c>
      <c r="J1170" s="14">
        <v>3057.95</v>
      </c>
      <c r="K1170" s="14">
        <v>2124.75</v>
      </c>
      <c r="L1170" s="15">
        <v>811738</v>
      </c>
      <c r="M1170" t="s" s="13">
        <v>7458</v>
      </c>
      <c r="N1170" s="15">
        <v>63303</v>
      </c>
      <c r="O1170" s="17" cm="1">
        <f t="array" ref="O1170">(H1170-H1169)/H1169</f>
        <v>-0.000878383773856105</v>
      </c>
      <c r="P1170" s="8"/>
      <c r="Q1170" s="8"/>
    </row>
    <row r="1171" ht="13.65" customHeight="1">
      <c r="A1171" s="18">
        <v>45954</v>
      </c>
      <c r="B1171" t="s" s="13">
        <v>22</v>
      </c>
      <c r="C1171" s="14">
        <v>2495</v>
      </c>
      <c r="D1171" s="14">
        <v>2506.7</v>
      </c>
      <c r="E1171" s="14">
        <v>2486.3</v>
      </c>
      <c r="F1171" s="14">
        <v>2502.4</v>
      </c>
      <c r="G1171" s="14">
        <v>2501.8</v>
      </c>
      <c r="H1171" s="14">
        <v>2501.6</v>
      </c>
      <c r="I1171" s="14">
        <v>2497.96</v>
      </c>
      <c r="J1171" s="14">
        <v>3057.95</v>
      </c>
      <c r="K1171" s="14">
        <v>2124.75</v>
      </c>
      <c r="L1171" s="15">
        <v>327596</v>
      </c>
      <c r="M1171" t="s" s="13">
        <v>7459</v>
      </c>
      <c r="N1171" s="15">
        <v>29053</v>
      </c>
      <c r="O1171" s="17" cm="1">
        <f t="array" ref="O1171">(H1171-H1170)/H1170</f>
        <v>-0.000319693094629156</v>
      </c>
      <c r="P1171" s="8"/>
      <c r="Q1171" s="8"/>
    </row>
    <row r="1172" ht="13.65" customHeight="1">
      <c r="A1172" s="18">
        <v>45957</v>
      </c>
      <c r="B1172" t="s" s="13">
        <v>22</v>
      </c>
      <c r="C1172" s="14">
        <v>2501.6</v>
      </c>
      <c r="D1172" s="14">
        <v>2530</v>
      </c>
      <c r="E1172" s="14">
        <v>2499.6</v>
      </c>
      <c r="F1172" s="14">
        <v>2501.6</v>
      </c>
      <c r="G1172" s="14">
        <v>2514.6</v>
      </c>
      <c r="H1172" s="14">
        <v>2518.8</v>
      </c>
      <c r="I1172" s="14">
        <v>2519.31</v>
      </c>
      <c r="J1172" s="14">
        <v>3028</v>
      </c>
      <c r="K1172" s="14">
        <v>2124.75</v>
      </c>
      <c r="L1172" s="15">
        <v>550089</v>
      </c>
      <c r="M1172" t="s" s="13">
        <v>7460</v>
      </c>
      <c r="N1172" s="15">
        <v>48857</v>
      </c>
      <c r="O1172" s="17" cm="1">
        <f t="array" ref="O1172">(H1172-H1171)/H1171</f>
        <v>0.0068755996162456</v>
      </c>
      <c r="P1172" s="8"/>
      <c r="Q1172" s="8"/>
    </row>
    <row r="1173" ht="13.65" customHeight="1">
      <c r="A1173" s="18">
        <v>45958</v>
      </c>
      <c r="B1173" t="s" s="13">
        <v>22</v>
      </c>
      <c r="C1173" s="14">
        <v>2515</v>
      </c>
      <c r="D1173" s="14">
        <v>2528.6</v>
      </c>
      <c r="E1173" s="14">
        <v>2492</v>
      </c>
      <c r="F1173" s="14">
        <v>2518.8</v>
      </c>
      <c r="G1173" s="14">
        <v>2501.2</v>
      </c>
      <c r="H1173" s="14">
        <v>2509.3</v>
      </c>
      <c r="I1173" s="14">
        <v>2509.62</v>
      </c>
      <c r="J1173" s="14">
        <v>3028</v>
      </c>
      <c r="K1173" s="14">
        <v>2124.75</v>
      </c>
      <c r="L1173" s="15">
        <v>1103957</v>
      </c>
      <c r="M1173" t="s" s="13">
        <v>7461</v>
      </c>
      <c r="N1173" s="15">
        <v>62453</v>
      </c>
      <c r="O1173" s="17" cm="1">
        <f t="array" ref="O1173">(H1173-H1172)/H1172</f>
        <v>-0.00377163728759727</v>
      </c>
      <c r="P1173" s="8"/>
      <c r="Q1173" s="8"/>
    </row>
    <row r="1174" ht="13.65" customHeight="1">
      <c r="A1174" s="18">
        <v>45959</v>
      </c>
      <c r="B1174" t="s" s="13">
        <v>22</v>
      </c>
      <c r="C1174" s="14">
        <v>2520</v>
      </c>
      <c r="D1174" s="14">
        <v>2550.8</v>
      </c>
      <c r="E1174" s="14">
        <v>2512.5</v>
      </c>
      <c r="F1174" s="14">
        <v>2509.3</v>
      </c>
      <c r="G1174" s="14">
        <v>2539.4</v>
      </c>
      <c r="H1174" s="14">
        <v>2538.7</v>
      </c>
      <c r="I1174" s="14">
        <v>2534.93</v>
      </c>
      <c r="J1174" s="14">
        <v>3028</v>
      </c>
      <c r="K1174" s="14">
        <v>2124.75</v>
      </c>
      <c r="L1174" s="15">
        <v>615292</v>
      </c>
      <c r="M1174" t="s" s="13">
        <v>7462</v>
      </c>
      <c r="N1174" s="15">
        <v>45365</v>
      </c>
      <c r="O1174" s="17" cm="1">
        <f t="array" ref="O1174">(H1174-H1173)/H1173</f>
        <v>0.0117164149364365</v>
      </c>
      <c r="P1174" s="8"/>
      <c r="Q1174" s="8"/>
    </row>
    <row r="1175" ht="13.65" customHeight="1">
      <c r="A1175" s="18">
        <v>45960</v>
      </c>
      <c r="B1175" t="s" s="13">
        <v>22</v>
      </c>
      <c r="C1175" s="14">
        <v>2535.5</v>
      </c>
      <c r="D1175" s="14">
        <v>2538.7</v>
      </c>
      <c r="E1175" s="14">
        <v>2513.3</v>
      </c>
      <c r="F1175" s="14">
        <v>2538.7</v>
      </c>
      <c r="G1175" s="14">
        <v>2523</v>
      </c>
      <c r="H1175" s="14">
        <v>2523.5</v>
      </c>
      <c r="I1175" s="14">
        <v>2523.94</v>
      </c>
      <c r="J1175" s="14">
        <v>3028</v>
      </c>
      <c r="K1175" s="14">
        <v>2124.75</v>
      </c>
      <c r="L1175" s="15">
        <v>736486</v>
      </c>
      <c r="M1175" t="s" s="13">
        <v>7463</v>
      </c>
      <c r="N1175" s="15">
        <v>49018</v>
      </c>
      <c r="O1175" s="17" cm="1">
        <f t="array" ref="O1175">(H1175-H1174)/H1174</f>
        <v>-0.0059873163430102</v>
      </c>
      <c r="P1175" s="8"/>
      <c r="Q1175" s="8"/>
    </row>
    <row r="1176" ht="13.65" customHeight="1">
      <c r="A1176" s="18">
        <v>45961</v>
      </c>
      <c r="B1176" t="s" s="13">
        <v>22</v>
      </c>
      <c r="C1176" s="14">
        <v>2523.4</v>
      </c>
      <c r="D1176" s="14">
        <v>2530</v>
      </c>
      <c r="E1176" s="14">
        <v>2505.3</v>
      </c>
      <c r="F1176" s="14">
        <v>2523.5</v>
      </c>
      <c r="G1176" s="14">
        <v>2508.1</v>
      </c>
      <c r="H1176" s="14">
        <v>2510.8</v>
      </c>
      <c r="I1176" s="14">
        <v>2515.24</v>
      </c>
      <c r="J1176" s="14">
        <v>3028</v>
      </c>
      <c r="K1176" s="14">
        <v>2124.75</v>
      </c>
      <c r="L1176" s="15">
        <v>609128</v>
      </c>
      <c r="M1176" t="s" s="13">
        <v>7464</v>
      </c>
      <c r="N1176" s="15">
        <v>43085</v>
      </c>
      <c r="O1176" s="17" cm="1">
        <f t="array" ref="O1176">(H1176-H1175)/H1175</f>
        <v>-0.00503269268872598</v>
      </c>
      <c r="P1176" s="8"/>
      <c r="Q1176" s="8"/>
    </row>
    <row r="1177" ht="13.65" customHeight="1">
      <c r="A1177" s="12">
        <v>45964</v>
      </c>
      <c r="B1177" t="s" s="13">
        <v>22</v>
      </c>
      <c r="C1177" s="14">
        <v>2496.2</v>
      </c>
      <c r="D1177" s="14">
        <v>2515.3</v>
      </c>
      <c r="E1177" s="14">
        <v>2495</v>
      </c>
      <c r="F1177" s="14">
        <v>2510.8</v>
      </c>
      <c r="G1177" s="14">
        <v>2512</v>
      </c>
      <c r="H1177" s="14">
        <v>2512.2</v>
      </c>
      <c r="I1177" s="14">
        <v>2505.25</v>
      </c>
      <c r="J1177" s="14">
        <v>2962.15</v>
      </c>
      <c r="K1177" s="14">
        <v>2124.75</v>
      </c>
      <c r="L1177" s="15">
        <v>425210</v>
      </c>
      <c r="M1177" t="s" s="13">
        <v>7465</v>
      </c>
      <c r="N1177" s="15">
        <v>41586</v>
      </c>
      <c r="O1177" s="17" cm="1">
        <f t="array" ref="O1177">(H1177-H1176)/H1176</f>
        <v>0.000557591205990123</v>
      </c>
      <c r="P1177" s="8"/>
      <c r="Q1177" s="8"/>
    </row>
    <row r="1178" ht="13.65" customHeight="1">
      <c r="A1178" s="12">
        <v>45965</v>
      </c>
      <c r="B1178" t="s" s="13">
        <v>22</v>
      </c>
      <c r="C1178" s="14">
        <v>2510</v>
      </c>
      <c r="D1178" s="14">
        <v>2521</v>
      </c>
      <c r="E1178" s="14">
        <v>2479.7</v>
      </c>
      <c r="F1178" s="14">
        <v>2512.2</v>
      </c>
      <c r="G1178" s="14">
        <v>2492</v>
      </c>
      <c r="H1178" s="14">
        <v>2486.7</v>
      </c>
      <c r="I1178" s="14">
        <v>2496.08</v>
      </c>
      <c r="J1178" s="14">
        <v>2962.15</v>
      </c>
      <c r="K1178" s="14">
        <v>2124.75</v>
      </c>
      <c r="L1178" s="15">
        <v>527087</v>
      </c>
      <c r="M1178" t="s" s="13">
        <v>7466</v>
      </c>
      <c r="N1178" s="15">
        <v>42628</v>
      </c>
      <c r="O1178" s="17" cm="1">
        <f t="array" ref="O1178">(H1178-H1177)/H1177</f>
        <v>-0.010150465727251</v>
      </c>
      <c r="P1178" s="8"/>
      <c r="Q1178" s="8"/>
    </row>
    <row r="1179" ht="13.65" customHeight="1">
      <c r="A1179" s="12">
        <v>45967</v>
      </c>
      <c r="B1179" t="s" s="13">
        <v>22</v>
      </c>
      <c r="C1179" s="14">
        <v>2560.1</v>
      </c>
      <c r="D1179" s="14">
        <v>2631</v>
      </c>
      <c r="E1179" s="14">
        <v>2560.1</v>
      </c>
      <c r="F1179" s="14">
        <v>2486.7</v>
      </c>
      <c r="G1179" s="14">
        <v>2602.1</v>
      </c>
      <c r="H1179" s="14">
        <v>2602.9</v>
      </c>
      <c r="I1179" s="14">
        <v>2604.41</v>
      </c>
      <c r="J1179" s="14">
        <v>2962.15</v>
      </c>
      <c r="K1179" s="14">
        <v>2124.75</v>
      </c>
      <c r="L1179" s="15">
        <v>4448622</v>
      </c>
      <c r="M1179" t="s" s="13">
        <v>7467</v>
      </c>
      <c r="N1179" s="15">
        <v>209979</v>
      </c>
      <c r="O1179" s="17" cm="1">
        <f t="array" ref="O1179">(H1179-H1178)/H1178</f>
        <v>0.0467285961314191</v>
      </c>
      <c r="P1179" s="8"/>
      <c r="Q1179" s="8"/>
    </row>
    <row r="1180" ht="13.65" customHeight="1">
      <c r="A1180" s="12">
        <v>45968</v>
      </c>
      <c r="B1180" t="s" s="13">
        <v>22</v>
      </c>
      <c r="C1180" s="14">
        <v>2602.9</v>
      </c>
      <c r="D1180" s="14">
        <v>2618.9</v>
      </c>
      <c r="E1180" s="14">
        <v>2585</v>
      </c>
      <c r="F1180" s="14">
        <v>2602.9</v>
      </c>
      <c r="G1180" s="14">
        <v>2612</v>
      </c>
      <c r="H1180" s="14">
        <v>2613.8</v>
      </c>
      <c r="I1180" s="14">
        <v>2601.78</v>
      </c>
      <c r="J1180" s="14">
        <v>2962.15</v>
      </c>
      <c r="K1180" s="14">
        <v>2124.75</v>
      </c>
      <c r="L1180" s="15">
        <v>791663</v>
      </c>
      <c r="M1180" t="s" s="13">
        <v>7468</v>
      </c>
      <c r="N1180" s="15">
        <v>56147</v>
      </c>
      <c r="O1180" s="17" cm="1">
        <f t="array" ref="O1180">(H1180-H1179)/H1179</f>
        <v>0.0041876368665719</v>
      </c>
      <c r="P1180" s="8"/>
      <c r="Q1180" s="8"/>
    </row>
    <row r="1181" ht="13.65" customHeight="1">
      <c r="A1181" s="18">
        <v>45971</v>
      </c>
      <c r="B1181" t="s" s="13">
        <v>22</v>
      </c>
      <c r="C1181" s="14">
        <v>2613.8</v>
      </c>
      <c r="D1181" s="14">
        <v>2666.8</v>
      </c>
      <c r="E1181" s="14">
        <v>2611.1</v>
      </c>
      <c r="F1181" s="14">
        <v>2613.8</v>
      </c>
      <c r="G1181" s="14">
        <v>2651.9</v>
      </c>
      <c r="H1181" s="14">
        <v>2650.4</v>
      </c>
      <c r="I1181" s="14">
        <v>2653.68</v>
      </c>
      <c r="J1181" s="14">
        <v>2666.8</v>
      </c>
      <c r="K1181" s="14">
        <v>2124.75</v>
      </c>
      <c r="L1181" s="15">
        <v>1706880</v>
      </c>
      <c r="M1181" t="s" s="13">
        <v>7469</v>
      </c>
      <c r="N1181" s="15">
        <v>77760</v>
      </c>
      <c r="O1181" s="17" cm="1">
        <f t="array" ref="O1181">(H1181-H1180)/H1180</f>
        <v>0.0140026015762491</v>
      </c>
      <c r="P1181" s="8"/>
      <c r="Q1181" s="8"/>
    </row>
    <row r="1182" ht="13.65" customHeight="1">
      <c r="A1182" s="18">
        <v>45972</v>
      </c>
      <c r="B1182" t="s" s="13">
        <v>22</v>
      </c>
      <c r="C1182" s="14">
        <v>2650.4</v>
      </c>
      <c r="D1182" s="14">
        <v>2664.9</v>
      </c>
      <c r="E1182" s="14">
        <v>2633.4</v>
      </c>
      <c r="F1182" s="14">
        <v>2650.4</v>
      </c>
      <c r="G1182" s="14">
        <v>2660</v>
      </c>
      <c r="H1182" s="14">
        <v>2657.2</v>
      </c>
      <c r="I1182" s="14">
        <v>2646.37</v>
      </c>
      <c r="J1182" s="14">
        <v>2666.8</v>
      </c>
      <c r="K1182" s="14">
        <v>2124.75</v>
      </c>
      <c r="L1182" s="15">
        <v>776404</v>
      </c>
      <c r="M1182" t="s" s="13">
        <v>7470</v>
      </c>
      <c r="N1182" s="15">
        <v>63951</v>
      </c>
      <c r="O1182" s="17" cm="1">
        <f t="array" ref="O1182">(H1182-H1181)/H1181</f>
        <v>0.00256565046785391</v>
      </c>
      <c r="P1182" s="8"/>
      <c r="Q1182" s="8"/>
    </row>
    <row r="1183" ht="13.65" customHeight="1">
      <c r="A1183" s="18">
        <v>45973</v>
      </c>
      <c r="B1183" t="s" s="13">
        <v>22</v>
      </c>
      <c r="C1183" s="14">
        <v>2660</v>
      </c>
      <c r="D1183" s="14">
        <v>2838.7</v>
      </c>
      <c r="E1183" s="14">
        <v>2642.1</v>
      </c>
      <c r="F1183" s="14">
        <v>2657.2</v>
      </c>
      <c r="G1183" s="14">
        <v>2832</v>
      </c>
      <c r="H1183" s="14">
        <v>2769.8</v>
      </c>
      <c r="I1183" s="14">
        <v>2741.8</v>
      </c>
      <c r="J1183" s="14">
        <v>2838.7</v>
      </c>
      <c r="K1183" s="14">
        <v>2124.75</v>
      </c>
      <c r="L1183" s="15">
        <v>2859196</v>
      </c>
      <c r="M1183" t="s" s="13">
        <v>7471</v>
      </c>
      <c r="N1183" s="15">
        <v>137014</v>
      </c>
      <c r="O1183" s="17" cm="1">
        <f t="array" ref="O1183">(H1183-H1182)/H1182</f>
        <v>0.0423754327863917</v>
      </c>
      <c r="P1183" s="8"/>
      <c r="Q1183" s="8"/>
    </row>
    <row r="1184" ht="13.65" customHeight="1">
      <c r="A1184" s="18">
        <v>45974</v>
      </c>
      <c r="B1184" t="s" s="13">
        <v>22</v>
      </c>
      <c r="C1184" s="14">
        <v>2858.9</v>
      </c>
      <c r="D1184" s="14">
        <v>2897.1</v>
      </c>
      <c r="E1184" s="14">
        <v>2840</v>
      </c>
      <c r="F1184" s="14">
        <v>2769.8</v>
      </c>
      <c r="G1184" s="14">
        <v>2874.3</v>
      </c>
      <c r="H1184" s="14">
        <v>2879.4</v>
      </c>
      <c r="I1184" s="14">
        <v>2871.67</v>
      </c>
      <c r="J1184" s="14">
        <v>2897.1</v>
      </c>
      <c r="K1184" s="14">
        <v>2124.75</v>
      </c>
      <c r="L1184" s="15">
        <v>5933630</v>
      </c>
      <c r="M1184" t="s" s="13">
        <v>7472</v>
      </c>
      <c r="N1184" s="15">
        <v>219878</v>
      </c>
      <c r="O1184" s="17" cm="1">
        <f t="array" ref="O1184">(H1184-H1183)/H1183</f>
        <v>0.0395696440176186</v>
      </c>
      <c r="P1184" s="8"/>
      <c r="Q1184" s="8"/>
    </row>
    <row r="1185" ht="13.65" customHeight="1">
      <c r="A1185" s="18">
        <v>45975</v>
      </c>
      <c r="B1185" t="s" s="13">
        <v>22</v>
      </c>
      <c r="C1185" s="14">
        <v>2865.1</v>
      </c>
      <c r="D1185" s="14">
        <v>2909.9</v>
      </c>
      <c r="E1185" s="14">
        <v>2862</v>
      </c>
      <c r="F1185" s="14">
        <v>2879.4</v>
      </c>
      <c r="G1185" s="14">
        <v>2902</v>
      </c>
      <c r="H1185" s="14">
        <v>2906.4</v>
      </c>
      <c r="I1185" s="14">
        <v>2898.97</v>
      </c>
      <c r="J1185" s="14">
        <v>2909.9</v>
      </c>
      <c r="K1185" s="14">
        <v>2124.75</v>
      </c>
      <c r="L1185" s="15">
        <v>2494076</v>
      </c>
      <c r="M1185" t="s" s="13">
        <v>7473</v>
      </c>
      <c r="N1185" s="15">
        <v>125526</v>
      </c>
      <c r="O1185" s="17" cm="1">
        <f t="array" ref="O1185">(H1185-H1184)/H1184</f>
        <v>0.009376953531985831</v>
      </c>
      <c r="P1185" s="8"/>
      <c r="Q1185" s="8"/>
    </row>
    <row r="1186" ht="13.65" customHeight="1">
      <c r="A1186" s="18">
        <v>45978</v>
      </c>
      <c r="B1186" t="s" s="13">
        <v>22</v>
      </c>
      <c r="C1186" s="14">
        <v>2906.4</v>
      </c>
      <c r="D1186" s="14">
        <v>2926.9</v>
      </c>
      <c r="E1186" s="14">
        <v>2880</v>
      </c>
      <c r="F1186" s="14">
        <v>2906.4</v>
      </c>
      <c r="G1186" s="14">
        <v>2885.4</v>
      </c>
      <c r="H1186" s="14">
        <v>2887.9</v>
      </c>
      <c r="I1186" s="14">
        <v>2898.89</v>
      </c>
      <c r="J1186" s="14">
        <v>2926.9</v>
      </c>
      <c r="K1186" s="14">
        <v>2124.75</v>
      </c>
      <c r="L1186" s="15">
        <v>1230683</v>
      </c>
      <c r="M1186" t="s" s="13">
        <v>7474</v>
      </c>
      <c r="N1186" s="15">
        <v>70388</v>
      </c>
      <c r="O1186" s="17" cm="1">
        <f t="array" ref="O1186">(H1186-H1185)/H1185</f>
        <v>-0.00636526286815304</v>
      </c>
      <c r="P1186" s="8"/>
      <c r="Q1186" s="8"/>
    </row>
    <row r="1187" ht="13.65" customHeight="1">
      <c r="A1187" s="18">
        <v>45979</v>
      </c>
      <c r="B1187" t="s" s="13">
        <v>22</v>
      </c>
      <c r="C1187" s="14">
        <v>2886</v>
      </c>
      <c r="D1187" s="14">
        <v>2916</v>
      </c>
      <c r="E1187" s="14">
        <v>2862.1</v>
      </c>
      <c r="F1187" s="14">
        <v>2887.9</v>
      </c>
      <c r="G1187" s="14">
        <v>2902.2</v>
      </c>
      <c r="H1187" s="14">
        <v>2906</v>
      </c>
      <c r="I1187" s="14">
        <v>2902.78</v>
      </c>
      <c r="J1187" s="14">
        <v>2926.9</v>
      </c>
      <c r="K1187" s="14">
        <v>2124.75</v>
      </c>
      <c r="L1187" s="15">
        <v>1819066</v>
      </c>
      <c r="M1187" t="s" s="13">
        <v>7475</v>
      </c>
      <c r="N1187" s="15">
        <v>110891</v>
      </c>
      <c r="O1187" s="17" cm="1">
        <f t="array" ref="O1187">(H1187-H1186)/H1186</f>
        <v>0.00626753003912878</v>
      </c>
      <c r="P1187" s="8"/>
      <c r="Q1187" s="8"/>
    </row>
    <row r="1188" ht="13.65" customHeight="1">
      <c r="A1188" s="18">
        <v>45980</v>
      </c>
      <c r="B1188" t="s" s="13">
        <v>22</v>
      </c>
      <c r="C1188" s="14">
        <v>2914</v>
      </c>
      <c r="D1188" s="14">
        <v>2916</v>
      </c>
      <c r="E1188" s="14">
        <v>2887.2</v>
      </c>
      <c r="F1188" s="14">
        <v>2906</v>
      </c>
      <c r="G1188" s="14">
        <v>2892</v>
      </c>
      <c r="H1188" s="14">
        <v>2893.7</v>
      </c>
      <c r="I1188" s="14">
        <v>2902.7</v>
      </c>
      <c r="J1188" s="14">
        <v>2926.9</v>
      </c>
      <c r="K1188" s="14">
        <v>2124.75</v>
      </c>
      <c r="L1188" s="15">
        <v>1387906</v>
      </c>
      <c r="M1188" t="s" s="13">
        <v>7476</v>
      </c>
      <c r="N1188" s="15">
        <v>64158</v>
      </c>
      <c r="O1188" s="17" cm="1">
        <f t="array" ref="O1188">(H1188-H1187)/H1187</f>
        <v>-0.00423262216104611</v>
      </c>
      <c r="P1188" s="8"/>
      <c r="Q1188" s="8"/>
    </row>
    <row r="1189" ht="13.65" customHeight="1">
      <c r="A1189" s="18">
        <v>45981</v>
      </c>
      <c r="B1189" t="s" s="13">
        <v>22</v>
      </c>
      <c r="C1189" s="14">
        <v>2897.4</v>
      </c>
      <c r="D1189" s="14">
        <v>2906.1</v>
      </c>
      <c r="E1189" s="14">
        <v>2852.5</v>
      </c>
      <c r="F1189" s="14">
        <v>2893.7</v>
      </c>
      <c r="G1189" s="14">
        <v>2860</v>
      </c>
      <c r="H1189" s="14">
        <v>2859.8</v>
      </c>
      <c r="I1189" s="14">
        <v>2868.16</v>
      </c>
      <c r="J1189" s="14">
        <v>2926.9</v>
      </c>
      <c r="K1189" s="14">
        <v>2124.75</v>
      </c>
      <c r="L1189" s="15">
        <v>1062883</v>
      </c>
      <c r="M1189" t="s" s="13">
        <v>7477</v>
      </c>
      <c r="N1189" s="15">
        <v>75196</v>
      </c>
      <c r="O1189" s="17" cm="1">
        <f t="array" ref="O1189">(H1189-H1188)/H1188</f>
        <v>-0.0117151052286001</v>
      </c>
      <c r="P1189" s="8"/>
      <c r="Q1189" s="8"/>
    </row>
    <row r="1190" ht="13.65" customHeight="1">
      <c r="A1190" s="18">
        <v>45982</v>
      </c>
      <c r="B1190" t="s" s="13">
        <v>22</v>
      </c>
      <c r="C1190" s="14">
        <v>2869</v>
      </c>
      <c r="D1190" s="14">
        <v>2895.6</v>
      </c>
      <c r="E1190" s="14">
        <v>2854.1</v>
      </c>
      <c r="F1190" s="14">
        <v>2859.8</v>
      </c>
      <c r="G1190" s="14">
        <v>2876</v>
      </c>
      <c r="H1190" s="14">
        <v>2876.6</v>
      </c>
      <c r="I1190" s="14">
        <v>2872.2</v>
      </c>
      <c r="J1190" s="14">
        <v>2926.9</v>
      </c>
      <c r="K1190" s="14">
        <v>2124.75</v>
      </c>
      <c r="L1190" s="15">
        <v>857340</v>
      </c>
      <c r="M1190" t="s" s="13">
        <v>7478</v>
      </c>
      <c r="N1190" s="15">
        <v>69368</v>
      </c>
      <c r="O1190" s="17" cm="1">
        <f t="array" ref="O1190">(H1190-H1189)/H1189</f>
        <v>0.00587453668088678</v>
      </c>
      <c r="P1190" s="8"/>
      <c r="Q1190" s="8"/>
    </row>
    <row r="1191" ht="13.65" customHeight="1">
      <c r="A1191" s="18">
        <v>45985</v>
      </c>
      <c r="B1191" t="s" s="13">
        <v>22</v>
      </c>
      <c r="C1191" s="14">
        <v>2876</v>
      </c>
      <c r="D1191" s="14">
        <v>2896.5</v>
      </c>
      <c r="E1191" s="14">
        <v>2864.5</v>
      </c>
      <c r="F1191" s="14">
        <v>2876.6</v>
      </c>
      <c r="G1191" s="14">
        <v>2888</v>
      </c>
      <c r="H1191" s="14">
        <v>2879.2</v>
      </c>
      <c r="I1191" s="14">
        <v>2879.32</v>
      </c>
      <c r="J1191" s="14">
        <v>2926.9</v>
      </c>
      <c r="K1191" s="14">
        <v>2124.75</v>
      </c>
      <c r="L1191" s="15">
        <v>5404326</v>
      </c>
      <c r="M1191" t="s" s="13">
        <v>7479</v>
      </c>
      <c r="N1191" s="15">
        <v>83082</v>
      </c>
      <c r="O1191" s="17" cm="1">
        <f t="array" ref="O1191">(H1191-H1190)/H1190</f>
        <v>0.000903844816797608</v>
      </c>
      <c r="P1191" s="8"/>
      <c r="Q1191" s="8"/>
    </row>
    <row r="1192" ht="13.65" customHeight="1">
      <c r="A1192" s="18">
        <v>45986</v>
      </c>
      <c r="B1192" t="s" s="13">
        <v>22</v>
      </c>
      <c r="C1192" s="14">
        <v>2899.9</v>
      </c>
      <c r="D1192" s="14">
        <v>2908.5</v>
      </c>
      <c r="E1192" s="14">
        <v>2869</v>
      </c>
      <c r="F1192" s="14">
        <v>2879.2</v>
      </c>
      <c r="G1192" s="14">
        <v>2878</v>
      </c>
      <c r="H1192" s="14">
        <v>2875.8</v>
      </c>
      <c r="I1192" s="14">
        <v>2886.2</v>
      </c>
      <c r="J1192" s="14">
        <v>2926.9</v>
      </c>
      <c r="K1192" s="14">
        <v>2124.75</v>
      </c>
      <c r="L1192" s="15">
        <v>972417</v>
      </c>
      <c r="M1192" t="s" s="13">
        <v>7480</v>
      </c>
      <c r="N1192" s="15">
        <v>71298</v>
      </c>
      <c r="O1192" s="17" cm="1">
        <f t="array" ref="O1192">(H1192-H1191)/H1191</f>
        <v>-0.00118088357877188</v>
      </c>
      <c r="P1192" s="8"/>
      <c r="Q1192" s="8"/>
    </row>
    <row r="1193" ht="13.65" customHeight="1">
      <c r="A1193" s="18">
        <v>45987</v>
      </c>
      <c r="B1193" t="s" s="13">
        <v>22</v>
      </c>
      <c r="C1193" s="14">
        <v>2880</v>
      </c>
      <c r="D1193" s="14">
        <v>2896.2</v>
      </c>
      <c r="E1193" s="14">
        <v>2857.6</v>
      </c>
      <c r="F1193" s="14">
        <v>2875.8</v>
      </c>
      <c r="G1193" s="14">
        <v>2872</v>
      </c>
      <c r="H1193" s="14">
        <v>2874</v>
      </c>
      <c r="I1193" s="14">
        <v>2876.72</v>
      </c>
      <c r="J1193" s="14">
        <v>2926.9</v>
      </c>
      <c r="K1193" s="14">
        <v>2124.75</v>
      </c>
      <c r="L1193" s="15">
        <v>570376</v>
      </c>
      <c r="M1193" t="s" s="13">
        <v>7481</v>
      </c>
      <c r="N1193" s="15">
        <v>54610</v>
      </c>
      <c r="O1193" s="17" cm="1">
        <f t="array" ref="O1193">(H1193-H1192)/H1192</f>
        <v>-0.000625912789484665</v>
      </c>
      <c r="P1193" s="8"/>
      <c r="Q1193" s="8"/>
    </row>
    <row r="1194" ht="13.65" customHeight="1">
      <c r="A1194" s="18">
        <v>45988</v>
      </c>
      <c r="B1194" t="s" s="13">
        <v>22</v>
      </c>
      <c r="C1194" s="14">
        <v>2880</v>
      </c>
      <c r="D1194" s="14">
        <v>2914.5</v>
      </c>
      <c r="E1194" s="14">
        <v>2871.4</v>
      </c>
      <c r="F1194" s="14">
        <v>2874</v>
      </c>
      <c r="G1194" s="14">
        <v>2875.7</v>
      </c>
      <c r="H1194" s="14">
        <v>2879.1</v>
      </c>
      <c r="I1194" s="14">
        <v>2888.8</v>
      </c>
      <c r="J1194" s="14">
        <v>2926.9</v>
      </c>
      <c r="K1194" s="14">
        <v>2124.75</v>
      </c>
      <c r="L1194" s="15">
        <v>1158685</v>
      </c>
      <c r="M1194" t="s" s="13">
        <v>7482</v>
      </c>
      <c r="N1194" s="15">
        <v>88437</v>
      </c>
      <c r="O1194" s="17" cm="1">
        <f t="array" ref="O1194">(H1194-H1193)/H1193</f>
        <v>0.00177453027139875</v>
      </c>
      <c r="P1194" s="8"/>
      <c r="Q1194" s="8"/>
    </row>
    <row r="1195" ht="13.65" customHeight="1">
      <c r="A1195" s="18">
        <v>45989</v>
      </c>
      <c r="B1195" t="s" s="13">
        <v>22</v>
      </c>
      <c r="C1195" s="14">
        <v>2880</v>
      </c>
      <c r="D1195" s="14">
        <v>2889.9</v>
      </c>
      <c r="E1195" s="14">
        <v>2855.8</v>
      </c>
      <c r="F1195" s="14">
        <v>2879.1</v>
      </c>
      <c r="G1195" s="14">
        <v>2872.6</v>
      </c>
      <c r="H1195" s="14">
        <v>2874.4</v>
      </c>
      <c r="I1195" s="14">
        <v>2874.51</v>
      </c>
      <c r="J1195" s="14">
        <v>2926.9</v>
      </c>
      <c r="K1195" s="14">
        <v>2124.75</v>
      </c>
      <c r="L1195" s="15">
        <v>748446</v>
      </c>
      <c r="M1195" t="s" s="13">
        <v>7483</v>
      </c>
      <c r="N1195" s="15">
        <v>49967</v>
      </c>
      <c r="O1195" s="17" cm="1">
        <f t="array" ref="O1195">(H1195-H1194)/H1194</f>
        <v>-0.00163245458650273</v>
      </c>
      <c r="P1195" s="8"/>
      <c r="Q1195" s="8"/>
    </row>
    <row r="1196" ht="13.65" customHeight="1">
      <c r="A1196" s="12">
        <v>45992</v>
      </c>
      <c r="B1196" t="s" s="13">
        <v>22</v>
      </c>
      <c r="C1196" s="14">
        <v>2877.7</v>
      </c>
      <c r="D1196" s="14">
        <v>2887.5</v>
      </c>
      <c r="E1196" s="14">
        <v>2848</v>
      </c>
      <c r="F1196" s="14">
        <v>2874.4</v>
      </c>
      <c r="G1196" s="14">
        <v>2864</v>
      </c>
      <c r="H1196" s="14">
        <v>2867.6</v>
      </c>
      <c r="I1196" s="14">
        <v>2862.12</v>
      </c>
      <c r="J1196" s="14">
        <v>2926.9</v>
      </c>
      <c r="K1196" s="14">
        <v>2124.75</v>
      </c>
      <c r="L1196" s="15">
        <v>499153</v>
      </c>
      <c r="M1196" t="s" s="13">
        <v>7484</v>
      </c>
      <c r="N1196" s="15">
        <v>50622</v>
      </c>
      <c r="O1196" s="17" cm="1">
        <f t="array" ref="O1196">(H1196-H1195)/H1195</f>
        <v>-0.00236571110492625</v>
      </c>
      <c r="P1196" s="8"/>
      <c r="Q1196" s="8"/>
    </row>
    <row r="1197" ht="13.65" customHeight="1">
      <c r="A1197" s="12">
        <v>45993</v>
      </c>
      <c r="B1197" t="s" s="13">
        <v>22</v>
      </c>
      <c r="C1197" s="14">
        <v>2867</v>
      </c>
      <c r="D1197" s="14">
        <v>2962</v>
      </c>
      <c r="E1197" s="14">
        <v>2861.2</v>
      </c>
      <c r="F1197" s="14">
        <v>2867.6</v>
      </c>
      <c r="G1197" s="14">
        <v>2958</v>
      </c>
      <c r="H1197" s="14">
        <v>2954.4</v>
      </c>
      <c r="I1197" s="14">
        <v>2926.33</v>
      </c>
      <c r="J1197" s="14">
        <v>2962</v>
      </c>
      <c r="K1197" s="14">
        <v>2124.75</v>
      </c>
      <c r="L1197" s="15">
        <v>2102147</v>
      </c>
      <c r="M1197" t="s" s="13">
        <v>7485</v>
      </c>
      <c r="N1197" s="15">
        <v>106277</v>
      </c>
      <c r="O1197" s="17" cm="1">
        <f t="array" ref="O1197">(H1197-H1196)/H1196</f>
        <v>0.0302692146742921</v>
      </c>
      <c r="P1197" s="8"/>
      <c r="Q1197" s="8"/>
    </row>
    <row r="1198" ht="13.65" customHeight="1">
      <c r="A1198" s="12">
        <v>45994</v>
      </c>
      <c r="B1198" t="s" s="13">
        <v>22</v>
      </c>
      <c r="C1198" s="14">
        <v>2969</v>
      </c>
      <c r="D1198" s="14">
        <v>2969.2</v>
      </c>
      <c r="E1198" s="14">
        <v>2932.6</v>
      </c>
      <c r="F1198" s="14">
        <v>2954.4</v>
      </c>
      <c r="G1198" s="14">
        <v>2950</v>
      </c>
      <c r="H1198" s="14">
        <v>2953.5</v>
      </c>
      <c r="I1198" s="14">
        <v>2947.69</v>
      </c>
      <c r="J1198" s="14">
        <v>2969.2</v>
      </c>
      <c r="K1198" s="14">
        <v>2124.75</v>
      </c>
      <c r="L1198" s="15">
        <v>1252456</v>
      </c>
      <c r="M1198" t="s" s="13">
        <v>7486</v>
      </c>
      <c r="N1198" s="15">
        <v>76198</v>
      </c>
      <c r="O1198" s="17" cm="1">
        <f t="array" ref="O1198">(H1198-H1197)/H1197</f>
        <v>-0.000304630381803412</v>
      </c>
      <c r="P1198" s="8"/>
      <c r="Q1198" s="8"/>
    </row>
    <row r="1199" ht="13.65" customHeight="1">
      <c r="A1199" s="12">
        <v>45995</v>
      </c>
      <c r="B1199" t="s" s="13">
        <v>22</v>
      </c>
      <c r="C1199" s="14">
        <v>2950</v>
      </c>
      <c r="D1199" s="14">
        <v>2985.7</v>
      </c>
      <c r="E1199" s="14">
        <v>2934</v>
      </c>
      <c r="F1199" s="14">
        <v>2953.5</v>
      </c>
      <c r="G1199" s="14">
        <v>2955</v>
      </c>
      <c r="H1199" s="14">
        <v>2957.2</v>
      </c>
      <c r="I1199" s="14">
        <v>2966.56</v>
      </c>
      <c r="J1199" s="14">
        <v>2985.7</v>
      </c>
      <c r="K1199" s="14">
        <v>2124.75</v>
      </c>
      <c r="L1199" s="15">
        <v>1466098</v>
      </c>
      <c r="M1199" t="s" s="13">
        <v>7487</v>
      </c>
      <c r="N1199" s="15">
        <v>82703</v>
      </c>
      <c r="O1199" s="17" cm="1">
        <f t="array" ref="O1199">(H1199-H1198)/H1198</f>
        <v>0.00125275097342136</v>
      </c>
      <c r="P1199" s="8"/>
      <c r="Q1199" s="8"/>
    </row>
    <row r="1200" ht="13.65" customHeight="1">
      <c r="A1200" s="12">
        <v>45996</v>
      </c>
      <c r="B1200" t="s" s="13">
        <v>22</v>
      </c>
      <c r="C1200" s="14">
        <v>2955</v>
      </c>
      <c r="D1200" s="14">
        <v>2973.5</v>
      </c>
      <c r="E1200" s="14">
        <v>2941</v>
      </c>
      <c r="F1200" s="14">
        <v>2957.2</v>
      </c>
      <c r="G1200" s="14">
        <v>2961.6</v>
      </c>
      <c r="H1200" s="14">
        <v>2968.5</v>
      </c>
      <c r="I1200" s="14">
        <v>2960.47</v>
      </c>
      <c r="J1200" s="14">
        <v>2985.7</v>
      </c>
      <c r="K1200" s="14">
        <v>2124.75</v>
      </c>
      <c r="L1200" s="15">
        <v>944978</v>
      </c>
      <c r="M1200" t="s" s="13">
        <v>7488</v>
      </c>
      <c r="N1200" s="15">
        <v>53579</v>
      </c>
      <c r="O1200" s="17" cm="1">
        <f t="array" ref="O1200">(H1200-H1199)/H1199</f>
        <v>0.00382118219937779</v>
      </c>
      <c r="P1200" s="8"/>
      <c r="Q1200" s="8"/>
    </row>
    <row r="1201" ht="13.65" customHeight="1">
      <c r="A1201" s="12">
        <v>45999</v>
      </c>
      <c r="B1201" t="s" s="13">
        <v>22</v>
      </c>
      <c r="C1201" s="14">
        <v>2970</v>
      </c>
      <c r="D1201" s="14">
        <v>2974.5</v>
      </c>
      <c r="E1201" s="14">
        <v>2914.8</v>
      </c>
      <c r="F1201" s="14">
        <v>2968.5</v>
      </c>
      <c r="G1201" s="14">
        <v>2924</v>
      </c>
      <c r="H1201" s="14">
        <v>2928.3</v>
      </c>
      <c r="I1201" s="14">
        <v>2934.32</v>
      </c>
      <c r="J1201" s="14">
        <v>2985.7</v>
      </c>
      <c r="K1201" s="14">
        <v>2124.75</v>
      </c>
      <c r="L1201" s="15">
        <v>983544</v>
      </c>
      <c r="M1201" t="s" s="13">
        <v>7489</v>
      </c>
      <c r="N1201" s="15">
        <v>78611</v>
      </c>
      <c r="O1201" s="17" cm="1">
        <f t="array" ref="O1201">(H1201-H1200)/H1200</f>
        <v>-0.0135421930267812</v>
      </c>
      <c r="P1201" s="8"/>
      <c r="Q1201" s="8"/>
    </row>
    <row r="1202" ht="13.65" customHeight="1">
      <c r="A1202" s="12">
        <v>46000</v>
      </c>
      <c r="B1202" t="s" s="13">
        <v>22</v>
      </c>
      <c r="C1202" s="14">
        <v>2910</v>
      </c>
      <c r="D1202" s="14">
        <v>2913.5</v>
      </c>
      <c r="E1202" s="14">
        <v>2788.5</v>
      </c>
      <c r="F1202" s="14">
        <v>2928.3</v>
      </c>
      <c r="G1202" s="14">
        <v>2793.7</v>
      </c>
      <c r="H1202" s="14">
        <v>2796</v>
      </c>
      <c r="I1202" s="14">
        <v>2813.86</v>
      </c>
      <c r="J1202" s="14">
        <v>2985.7</v>
      </c>
      <c r="K1202" s="14">
        <v>2124.75</v>
      </c>
      <c r="L1202" s="15">
        <v>1839391</v>
      </c>
      <c r="M1202" t="s" s="13">
        <v>7490</v>
      </c>
      <c r="N1202" s="15">
        <v>124144</v>
      </c>
      <c r="O1202" s="17" cm="1">
        <f t="array" ref="O1202">(H1202-H1201)/H1201</f>
        <v>-0.0451797971519312</v>
      </c>
      <c r="P1202" s="8"/>
      <c r="Q1202" s="8"/>
    </row>
    <row r="1203" ht="13.65" customHeight="1">
      <c r="A1203" s="18">
        <v>46001</v>
      </c>
      <c r="B1203" t="s" s="13">
        <v>22</v>
      </c>
      <c r="C1203" s="14">
        <v>2810</v>
      </c>
      <c r="D1203" s="14">
        <v>2824</v>
      </c>
      <c r="E1203" s="14">
        <v>2796.7</v>
      </c>
      <c r="F1203" s="14">
        <v>2796</v>
      </c>
      <c r="G1203" s="14">
        <v>2801.3</v>
      </c>
      <c r="H1203" s="14">
        <v>2804.5</v>
      </c>
      <c r="I1203" s="14">
        <v>2806.37</v>
      </c>
      <c r="J1203" s="14">
        <v>2985.7</v>
      </c>
      <c r="K1203" s="14">
        <v>2124.75</v>
      </c>
      <c r="L1203" s="15">
        <v>845073</v>
      </c>
      <c r="M1203" t="s" s="13">
        <v>7491</v>
      </c>
      <c r="N1203" s="15">
        <v>61106</v>
      </c>
      <c r="O1203" s="17" cm="1">
        <f t="array" ref="O1203">(H1203-H1202)/H1202</f>
        <v>0.00304005722460658</v>
      </c>
      <c r="P1203" s="8"/>
      <c r="Q1203" s="8"/>
    </row>
    <row r="1204" ht="13.65" customHeight="1">
      <c r="A1204" s="18">
        <v>46002</v>
      </c>
      <c r="B1204" t="s" s="13">
        <v>22</v>
      </c>
      <c r="C1204" s="14">
        <v>2800</v>
      </c>
      <c r="D1204" s="14">
        <v>2811.6</v>
      </c>
      <c r="E1204" s="14">
        <v>2763.2</v>
      </c>
      <c r="F1204" s="14">
        <v>2804.5</v>
      </c>
      <c r="G1204" s="14">
        <v>2776.5</v>
      </c>
      <c r="H1204" s="14">
        <v>2779.4</v>
      </c>
      <c r="I1204" s="14">
        <v>2783.16</v>
      </c>
      <c r="J1204" s="14">
        <v>2985.7</v>
      </c>
      <c r="K1204" s="14">
        <v>2124.75</v>
      </c>
      <c r="L1204" s="15">
        <v>777422</v>
      </c>
      <c r="M1204" t="s" s="13">
        <v>7492</v>
      </c>
      <c r="N1204" s="15">
        <v>69563</v>
      </c>
      <c r="O1204" s="17" cm="1">
        <f t="array" ref="O1204">(H1204-H1203)/H1203</f>
        <v>-0.0089499019433054</v>
      </c>
      <c r="P1204" s="8"/>
      <c r="Q1204" s="8"/>
    </row>
    <row r="1205" ht="13.65" customHeight="1">
      <c r="A1205" s="18">
        <v>46003</v>
      </c>
      <c r="B1205" t="s" s="13">
        <v>22</v>
      </c>
      <c r="C1205" s="14">
        <v>2795</v>
      </c>
      <c r="D1205" s="14">
        <v>2797</v>
      </c>
      <c r="E1205" s="14">
        <v>2746</v>
      </c>
      <c r="F1205" s="14">
        <v>2779.4</v>
      </c>
      <c r="G1205" s="14">
        <v>2765</v>
      </c>
      <c r="H1205" s="14">
        <v>2764.8</v>
      </c>
      <c r="I1205" s="14">
        <v>2768.36</v>
      </c>
      <c r="J1205" s="14">
        <v>2985.7</v>
      </c>
      <c r="K1205" s="14">
        <v>2124.75</v>
      </c>
      <c r="L1205" s="15">
        <v>977696</v>
      </c>
      <c r="M1205" t="s" s="13">
        <v>7493</v>
      </c>
      <c r="N1205" s="15">
        <v>67771</v>
      </c>
      <c r="O1205" s="17" cm="1">
        <f t="array" ref="O1205">(H1205-H1204)/H1204</f>
        <v>-0.00525293228754407</v>
      </c>
      <c r="P1205" s="8"/>
      <c r="Q1205" s="8"/>
    </row>
    <row r="1206" ht="13.65" customHeight="1">
      <c r="A1206" s="18">
        <v>46006</v>
      </c>
      <c r="B1206" t="s" s="13">
        <v>22</v>
      </c>
      <c r="C1206" s="14">
        <v>2773.1</v>
      </c>
      <c r="D1206" s="14">
        <v>2802</v>
      </c>
      <c r="E1206" s="14">
        <v>2758.7</v>
      </c>
      <c r="F1206" s="14">
        <v>2764.8</v>
      </c>
      <c r="G1206" s="14">
        <v>2777.8</v>
      </c>
      <c r="H1206" s="14">
        <v>2780.2</v>
      </c>
      <c r="I1206" s="14">
        <v>2784.26</v>
      </c>
      <c r="J1206" s="14">
        <v>2985.7</v>
      </c>
      <c r="K1206" s="14">
        <v>2124.75</v>
      </c>
      <c r="L1206" s="15">
        <v>1029674</v>
      </c>
      <c r="M1206" t="s" s="13">
        <v>7494</v>
      </c>
      <c r="N1206" s="15">
        <v>66894</v>
      </c>
      <c r="O1206" s="17" cm="1">
        <f t="array" ref="O1206">(H1206-H1205)/H1205</f>
        <v>0.00557002314814815</v>
      </c>
      <c r="P1206" s="8"/>
      <c r="Q1206" s="8"/>
    </row>
    <row r="1207" ht="13.65" customHeight="1">
      <c r="A1207" s="18">
        <v>46007</v>
      </c>
      <c r="B1207" t="s" s="13">
        <v>22</v>
      </c>
      <c r="C1207" s="14">
        <v>2793</v>
      </c>
      <c r="D1207" s="14">
        <v>2808</v>
      </c>
      <c r="E1207" s="14">
        <v>2776.1</v>
      </c>
      <c r="F1207" s="14">
        <v>2780.2</v>
      </c>
      <c r="G1207" s="14">
        <v>2785</v>
      </c>
      <c r="H1207" s="14">
        <v>2790.9</v>
      </c>
      <c r="I1207" s="14">
        <v>2792.52</v>
      </c>
      <c r="J1207" s="14">
        <v>2985.7</v>
      </c>
      <c r="K1207" s="14">
        <v>2124.75</v>
      </c>
      <c r="L1207" s="15">
        <v>916244</v>
      </c>
      <c r="M1207" t="s" s="13">
        <v>7495</v>
      </c>
      <c r="N1207" s="15">
        <v>59237</v>
      </c>
      <c r="O1207" s="17" cm="1">
        <f t="array" ref="O1207">(H1207-H1206)/H1206</f>
        <v>0.00384864398244731</v>
      </c>
      <c r="P1207" s="8"/>
      <c r="Q1207" s="8"/>
    </row>
    <row r="1208" ht="13.65" customHeight="1">
      <c r="A1208" s="18">
        <v>46008</v>
      </c>
      <c r="B1208" t="s" s="13">
        <v>22</v>
      </c>
      <c r="C1208" s="14">
        <v>2800</v>
      </c>
      <c r="D1208" s="14">
        <v>2806.5</v>
      </c>
      <c r="E1208" s="14">
        <v>2772</v>
      </c>
      <c r="F1208" s="14">
        <v>2790.9</v>
      </c>
      <c r="G1208" s="14">
        <v>2785.8</v>
      </c>
      <c r="H1208" s="14">
        <v>2785.7</v>
      </c>
      <c r="I1208" s="14">
        <v>2788.1</v>
      </c>
      <c r="J1208" s="14">
        <v>2985.7</v>
      </c>
      <c r="K1208" s="14">
        <v>2124.75</v>
      </c>
      <c r="L1208" s="15">
        <v>636499</v>
      </c>
      <c r="M1208" t="s" s="13">
        <v>7496</v>
      </c>
      <c r="N1208" s="15">
        <v>45705</v>
      </c>
      <c r="O1208" s="17" cm="1">
        <f t="array" ref="O1208">(H1208-H1207)/H1207</f>
        <v>-0.0018631982514601</v>
      </c>
      <c r="P1208" s="8"/>
      <c r="Q1208" s="8"/>
    </row>
    <row r="1209" ht="13.65" customHeight="1">
      <c r="A1209" s="18">
        <v>46009</v>
      </c>
      <c r="B1209" t="s" s="13">
        <v>22</v>
      </c>
      <c r="C1209" s="14">
        <v>2780</v>
      </c>
      <c r="D1209" s="14">
        <v>2793.8</v>
      </c>
      <c r="E1209" s="14">
        <v>2755.3</v>
      </c>
      <c r="F1209" s="14">
        <v>2785.7</v>
      </c>
      <c r="G1209" s="14">
        <v>2758.4</v>
      </c>
      <c r="H1209" s="14">
        <v>2759.7</v>
      </c>
      <c r="I1209" s="14">
        <v>2765.05</v>
      </c>
      <c r="J1209" s="14">
        <v>2985.7</v>
      </c>
      <c r="K1209" s="14">
        <v>2124.75</v>
      </c>
      <c r="L1209" s="15">
        <v>417994</v>
      </c>
      <c r="M1209" t="s" s="13">
        <v>7497</v>
      </c>
      <c r="N1209" s="15">
        <v>57565</v>
      </c>
      <c r="O1209" s="17" cm="1">
        <f t="array" ref="O1209">(H1209-H1208)/H1208</f>
        <v>-0.00933338119682665</v>
      </c>
      <c r="P1209" s="8"/>
      <c r="Q1209" s="8"/>
    </row>
    <row r="1210" ht="13.65" customHeight="1">
      <c r="A1210" s="18">
        <v>46010</v>
      </c>
      <c r="B1210" t="s" s="13">
        <v>22</v>
      </c>
      <c r="C1210" s="14">
        <v>2766.4</v>
      </c>
      <c r="D1210" s="14">
        <v>2812.4</v>
      </c>
      <c r="E1210" s="14">
        <v>2759.7</v>
      </c>
      <c r="F1210" s="14">
        <v>2759.7</v>
      </c>
      <c r="G1210" s="14">
        <v>2788.3</v>
      </c>
      <c r="H1210" s="14">
        <v>2799.9</v>
      </c>
      <c r="I1210" s="14">
        <v>2797.35</v>
      </c>
      <c r="J1210" s="14">
        <v>2985.7</v>
      </c>
      <c r="K1210" s="14">
        <v>2124.75</v>
      </c>
      <c r="L1210" s="15">
        <v>3895542</v>
      </c>
      <c r="M1210" t="s" s="13">
        <v>7498</v>
      </c>
      <c r="N1210" s="15">
        <v>88858</v>
      </c>
      <c r="O1210" s="17" cm="1">
        <f t="array" ref="O1210">(H1210-H1209)/H1209</f>
        <v>0.0145668007392108</v>
      </c>
      <c r="P1210" s="8"/>
      <c r="Q1210" s="8"/>
    </row>
    <row r="1211" ht="13.65" customHeight="1">
      <c r="A1211" s="18">
        <v>46013</v>
      </c>
      <c r="B1211" t="s" s="13">
        <v>22</v>
      </c>
      <c r="C1211" s="14">
        <v>2785.8</v>
      </c>
      <c r="D1211" s="14">
        <v>2823.1</v>
      </c>
      <c r="E1211" s="14">
        <v>2780.3</v>
      </c>
      <c r="F1211" s="14">
        <v>2799.9</v>
      </c>
      <c r="G1211" s="14">
        <v>2801.9</v>
      </c>
      <c r="H1211" s="14">
        <v>2807.6</v>
      </c>
      <c r="I1211" s="14">
        <v>2804.16</v>
      </c>
      <c r="J1211" s="14">
        <v>2985.7</v>
      </c>
      <c r="K1211" s="14">
        <v>2124.75</v>
      </c>
      <c r="L1211" s="15">
        <v>463953</v>
      </c>
      <c r="M1211" t="s" s="13">
        <v>7499</v>
      </c>
      <c r="N1211" s="15">
        <v>41440</v>
      </c>
      <c r="O1211" s="17" cm="1">
        <f t="array" ref="O1211">(H1211-H1210)/H1210</f>
        <v>0.00275009821779349</v>
      </c>
      <c r="P1211" s="8"/>
      <c r="Q1211" s="8"/>
    </row>
    <row r="1212" ht="13.65" customHeight="1">
      <c r="A1212" s="18">
        <v>46014</v>
      </c>
      <c r="B1212" t="s" s="13">
        <v>22</v>
      </c>
      <c r="C1212" s="14">
        <v>2798</v>
      </c>
      <c r="D1212" s="14">
        <v>2819</v>
      </c>
      <c r="E1212" s="14">
        <v>2783.1</v>
      </c>
      <c r="F1212" s="14">
        <v>2807.6</v>
      </c>
      <c r="G1212" s="14">
        <v>2808</v>
      </c>
      <c r="H1212" s="14">
        <v>2807.8</v>
      </c>
      <c r="I1212" s="14">
        <v>2802.62</v>
      </c>
      <c r="J1212" s="14">
        <v>2985.7</v>
      </c>
      <c r="K1212" s="14">
        <v>2124.75</v>
      </c>
      <c r="L1212" s="15">
        <v>431068</v>
      </c>
      <c r="M1212" t="s" s="13">
        <v>7500</v>
      </c>
      <c r="N1212" s="15">
        <v>40104</v>
      </c>
      <c r="O1212" s="17" cm="1">
        <f t="array" ref="O1212">(H1212-H1211)/H1211</f>
        <v>7.12352186921214e-05</v>
      </c>
      <c r="P1212" s="8"/>
      <c r="Q1212" s="8"/>
    </row>
    <row r="1213" ht="13.65" customHeight="1">
      <c r="A1213" s="18">
        <v>46015</v>
      </c>
      <c r="B1213" t="s" s="13">
        <v>22</v>
      </c>
      <c r="C1213" s="14">
        <v>2807.8</v>
      </c>
      <c r="D1213" s="14">
        <v>2824.7</v>
      </c>
      <c r="E1213" s="14">
        <v>2782</v>
      </c>
      <c r="F1213" s="14">
        <v>2807.8</v>
      </c>
      <c r="G1213" s="14">
        <v>2786</v>
      </c>
      <c r="H1213" s="14">
        <v>2785.5</v>
      </c>
      <c r="I1213" s="14">
        <v>2800.01</v>
      </c>
      <c r="J1213" s="14">
        <v>2985.7</v>
      </c>
      <c r="K1213" s="14">
        <v>2124.75</v>
      </c>
      <c r="L1213" s="15">
        <v>512144</v>
      </c>
      <c r="M1213" t="s" s="13">
        <v>7501</v>
      </c>
      <c r="N1213" s="15">
        <v>31706</v>
      </c>
      <c r="O1213" s="17" cm="1">
        <f t="array" ref="O1213">(H1213-H1212)/H1212</f>
        <v>-0.007942161122587081</v>
      </c>
      <c r="P1213" s="8"/>
      <c r="Q1213" s="8"/>
    </row>
    <row r="1214" ht="13.65" customHeight="1">
      <c r="A1214" s="18">
        <v>46017</v>
      </c>
      <c r="B1214" t="s" s="13">
        <v>22</v>
      </c>
      <c r="C1214" s="14">
        <v>2785</v>
      </c>
      <c r="D1214" s="14">
        <v>2794.4</v>
      </c>
      <c r="E1214" s="14">
        <v>2743</v>
      </c>
      <c r="F1214" s="14">
        <v>2785.5</v>
      </c>
      <c r="G1214" s="14">
        <v>2746.6</v>
      </c>
      <c r="H1214" s="14">
        <v>2746.5</v>
      </c>
      <c r="I1214" s="14">
        <v>2756.66</v>
      </c>
      <c r="J1214" s="14">
        <v>2985.7</v>
      </c>
      <c r="K1214" s="14">
        <v>2124.75</v>
      </c>
      <c r="L1214" s="15">
        <v>532078</v>
      </c>
      <c r="M1214" t="s" s="13">
        <v>7502</v>
      </c>
      <c r="N1214" s="15">
        <v>40175</v>
      </c>
      <c r="O1214" s="17" cm="1">
        <f t="array" ref="O1214">(H1214-H1213)/H1213</f>
        <v>-0.0140010770059235</v>
      </c>
      <c r="P1214" s="8"/>
      <c r="Q1214" s="8"/>
    </row>
    <row r="1215" ht="13.65" customHeight="1">
      <c r="A1215" s="18">
        <v>46020</v>
      </c>
      <c r="B1215" t="s" s="13">
        <v>22</v>
      </c>
      <c r="C1215" s="14">
        <v>2746.5</v>
      </c>
      <c r="D1215" s="14">
        <v>2793.8</v>
      </c>
      <c r="E1215" s="14">
        <v>2735</v>
      </c>
      <c r="F1215" s="14">
        <v>2746.5</v>
      </c>
      <c r="G1215" s="14">
        <v>2775</v>
      </c>
      <c r="H1215" s="14">
        <v>2775.4</v>
      </c>
      <c r="I1215" s="14">
        <v>2763.82</v>
      </c>
      <c r="J1215" s="14">
        <v>2985.7</v>
      </c>
      <c r="K1215" s="14">
        <v>2124.75</v>
      </c>
      <c r="L1215" s="15">
        <v>815529</v>
      </c>
      <c r="M1215" t="s" s="13">
        <v>7503</v>
      </c>
      <c r="N1215" s="15">
        <v>40786</v>
      </c>
      <c r="O1215" s="17" cm="1">
        <f t="array" ref="O1215">(H1215-H1214)/H1214</f>
        <v>0.0105224831603859</v>
      </c>
      <c r="P1215" s="8"/>
      <c r="Q1215" s="8"/>
    </row>
    <row r="1216" ht="13.65" customHeight="1">
      <c r="A1216" s="18">
        <v>46021</v>
      </c>
      <c r="B1216" t="s" s="13">
        <v>22</v>
      </c>
      <c r="C1216" s="14">
        <v>2770.3</v>
      </c>
      <c r="D1216" s="14">
        <v>2792.4</v>
      </c>
      <c r="E1216" s="14">
        <v>2741</v>
      </c>
      <c r="F1216" s="14">
        <v>2775.4</v>
      </c>
      <c r="G1216" s="14">
        <v>2753.5</v>
      </c>
      <c r="H1216" s="14">
        <v>2758.3</v>
      </c>
      <c r="I1216" s="14">
        <v>2765.35</v>
      </c>
      <c r="J1216" s="14">
        <v>2985.7</v>
      </c>
      <c r="K1216" s="14">
        <v>2124.75</v>
      </c>
      <c r="L1216" s="15">
        <v>4833527</v>
      </c>
      <c r="M1216" t="s" s="13">
        <v>7504</v>
      </c>
      <c r="N1216" s="15">
        <v>124946</v>
      </c>
      <c r="O1216" s="17" cm="1">
        <f t="array" ref="O1216">(H1216-H1215)/H1215</f>
        <v>-0.0061612740505873</v>
      </c>
      <c r="P1216" s="8"/>
      <c r="Q1216" s="8"/>
    </row>
    <row r="1217" ht="13.65" customHeight="1">
      <c r="A1217" s="18">
        <v>46022</v>
      </c>
      <c r="B1217" t="s" s="13">
        <v>22</v>
      </c>
      <c r="C1217" s="14">
        <v>2755</v>
      </c>
      <c r="D1217" s="14">
        <v>2796.8</v>
      </c>
      <c r="E1217" s="14">
        <v>2754.9</v>
      </c>
      <c r="F1217" s="14">
        <v>2758.3</v>
      </c>
      <c r="G1217" s="14">
        <v>2770.2</v>
      </c>
      <c r="H1217" s="14">
        <v>2769.5</v>
      </c>
      <c r="I1217" s="14">
        <v>2776.72</v>
      </c>
      <c r="J1217" s="14">
        <v>2985.7</v>
      </c>
      <c r="K1217" s="14">
        <v>2124.75</v>
      </c>
      <c r="L1217" s="15">
        <v>1274705</v>
      </c>
      <c r="M1217" t="s" s="13">
        <v>7505</v>
      </c>
      <c r="N1217" s="15">
        <v>66442</v>
      </c>
      <c r="O1217" s="17" cm="1">
        <f t="array" ref="O1217">(H1217-H1216)/H1216</f>
        <v>0.00406047202987347</v>
      </c>
      <c r="P1217" s="8"/>
      <c r="Q1217" s="8"/>
    </row>
    <row r="1218" ht="13.65" customHeight="1">
      <c r="A1218" s="12">
        <v>46023</v>
      </c>
      <c r="B1218" t="s" s="13">
        <v>22</v>
      </c>
      <c r="C1218" s="14">
        <v>2775.9</v>
      </c>
      <c r="D1218" s="14">
        <v>2782.7</v>
      </c>
      <c r="E1218" s="14">
        <v>2746.1</v>
      </c>
      <c r="F1218" s="14">
        <v>2769.5</v>
      </c>
      <c r="G1218" s="14">
        <v>2756</v>
      </c>
      <c r="H1218" s="14">
        <v>2752</v>
      </c>
      <c r="I1218" s="14">
        <v>2766.47</v>
      </c>
      <c r="J1218" s="14">
        <v>2985.7</v>
      </c>
      <c r="K1218" s="14">
        <v>2124.75</v>
      </c>
      <c r="L1218" s="15">
        <v>327945</v>
      </c>
      <c r="M1218" t="s" s="13">
        <v>7506</v>
      </c>
      <c r="N1218" s="15">
        <v>24149</v>
      </c>
      <c r="O1218" s="17" cm="1">
        <f t="array" ref="O1218">(H1218-H1217)/H1217</f>
        <v>-0.00631883011373894</v>
      </c>
      <c r="P1218" s="8"/>
      <c r="Q1218" s="8"/>
    </row>
    <row r="1219" ht="13.65" customHeight="1">
      <c r="A1219" s="12">
        <v>46024</v>
      </c>
      <c r="B1219" t="s" s="13">
        <v>22</v>
      </c>
      <c r="C1219" s="14">
        <v>2755.8</v>
      </c>
      <c r="D1219" s="14">
        <v>2799</v>
      </c>
      <c r="E1219" s="14">
        <v>2755.8</v>
      </c>
      <c r="F1219" s="14">
        <v>2752</v>
      </c>
      <c r="G1219" s="14">
        <v>2771.6</v>
      </c>
      <c r="H1219" s="14">
        <v>2772.6</v>
      </c>
      <c r="I1219" s="14">
        <v>2773.17</v>
      </c>
      <c r="J1219" s="14">
        <v>2985.7</v>
      </c>
      <c r="K1219" s="14">
        <v>2124.75</v>
      </c>
      <c r="L1219" s="15">
        <v>508884</v>
      </c>
      <c r="M1219" t="s" s="13">
        <v>7507</v>
      </c>
      <c r="N1219" s="15">
        <v>34439</v>
      </c>
      <c r="O1219" s="17" cm="1">
        <f t="array" ref="O1219">(H1219-H1218)/H1218</f>
        <v>0.00748546511627907</v>
      </c>
      <c r="P1219" s="8"/>
      <c r="Q1219" s="8"/>
    </row>
    <row r="1220" ht="13.65" customHeight="1">
      <c r="A1220" s="12">
        <v>46027</v>
      </c>
      <c r="B1220" t="s" s="13">
        <v>22</v>
      </c>
      <c r="C1220" s="14">
        <v>2770</v>
      </c>
      <c r="D1220" s="14">
        <v>2828</v>
      </c>
      <c r="E1220" s="14">
        <v>2769</v>
      </c>
      <c r="F1220" s="14">
        <v>2772.6</v>
      </c>
      <c r="G1220" s="14">
        <v>2814</v>
      </c>
      <c r="H1220" s="14">
        <v>2815.6</v>
      </c>
      <c r="I1220" s="14">
        <v>2812.38</v>
      </c>
      <c r="J1220" s="14">
        <v>2985.7</v>
      </c>
      <c r="K1220" s="14">
        <v>2124.75</v>
      </c>
      <c r="L1220" s="15">
        <v>866733</v>
      </c>
      <c r="M1220" t="s" s="13">
        <v>7508</v>
      </c>
      <c r="N1220" s="15">
        <v>51756</v>
      </c>
      <c r="O1220" s="17" cm="1">
        <f t="array" ref="O1220">(H1220-H1219)/H1219</f>
        <v>0.0155089086056409</v>
      </c>
      <c r="P1220" s="8"/>
      <c r="Q1220" s="8"/>
    </row>
    <row r="1221" ht="13.65" customHeight="1">
      <c r="A1221" s="12">
        <v>46028</v>
      </c>
      <c r="B1221" t="s" s="13">
        <v>22</v>
      </c>
      <c r="C1221" s="14">
        <v>2820</v>
      </c>
      <c r="D1221" s="14">
        <v>2848.4</v>
      </c>
      <c r="E1221" s="14">
        <v>2811.6</v>
      </c>
      <c r="F1221" s="14">
        <v>2815.6</v>
      </c>
      <c r="G1221" s="14">
        <v>2847.4</v>
      </c>
      <c r="H1221" s="14">
        <v>2845.8</v>
      </c>
      <c r="I1221" s="14">
        <v>2837.59</v>
      </c>
      <c r="J1221" s="14">
        <v>2985.7</v>
      </c>
      <c r="K1221" s="14">
        <v>2124.75</v>
      </c>
      <c r="L1221" s="15">
        <v>875891</v>
      </c>
      <c r="M1221" t="s" s="13">
        <v>7509</v>
      </c>
      <c r="N1221" s="15">
        <v>59674</v>
      </c>
      <c r="O1221" s="17" cm="1">
        <f t="array" ref="O1221">(H1221-H1220)/H1220</f>
        <v>0.0107259553913908</v>
      </c>
      <c r="P1221" s="8"/>
      <c r="Q1221" s="8"/>
    </row>
    <row r="1222" ht="13.65" customHeight="1">
      <c r="A1222" s="12">
        <v>46029</v>
      </c>
      <c r="B1222" t="s" s="13">
        <v>22</v>
      </c>
      <c r="C1222" s="14">
        <v>2845.8</v>
      </c>
      <c r="D1222" s="14">
        <v>2854.7</v>
      </c>
      <c r="E1222" s="14">
        <v>2801.1</v>
      </c>
      <c r="F1222" s="14">
        <v>2845.8</v>
      </c>
      <c r="G1222" s="14">
        <v>2806</v>
      </c>
      <c r="H1222" s="14">
        <v>2809.4</v>
      </c>
      <c r="I1222" s="14">
        <v>2822.62</v>
      </c>
      <c r="J1222" s="14">
        <v>2985.7</v>
      </c>
      <c r="K1222" s="14">
        <v>2124.75</v>
      </c>
      <c r="L1222" s="15">
        <v>636748</v>
      </c>
      <c r="M1222" t="s" s="13">
        <v>7510</v>
      </c>
      <c r="N1222" s="15">
        <v>50131</v>
      </c>
      <c r="O1222" s="17" cm="1">
        <f t="array" ref="O1222">(H1222-H1221)/H1221</f>
        <v>-0.012790779394195</v>
      </c>
      <c r="P1222" s="8"/>
      <c r="Q1222" s="8"/>
    </row>
    <row r="1223" ht="13.65" customHeight="1">
      <c r="A1223" s="12">
        <v>46030</v>
      </c>
      <c r="B1223" t="s" s="13">
        <v>22</v>
      </c>
      <c r="C1223" s="14">
        <v>2795</v>
      </c>
      <c r="D1223" s="14">
        <v>2804.7</v>
      </c>
      <c r="E1223" s="14">
        <v>2770.1</v>
      </c>
      <c r="F1223" s="14">
        <v>2809.4</v>
      </c>
      <c r="G1223" s="14">
        <v>2788</v>
      </c>
      <c r="H1223" s="14">
        <v>2786.5</v>
      </c>
      <c r="I1223" s="14">
        <v>2782.6</v>
      </c>
      <c r="J1223" s="14">
        <v>2985.7</v>
      </c>
      <c r="K1223" s="14">
        <v>2124.75</v>
      </c>
      <c r="L1223" s="15">
        <v>620031</v>
      </c>
      <c r="M1223" t="s" s="13">
        <v>7511</v>
      </c>
      <c r="N1223" s="15">
        <v>55375</v>
      </c>
      <c r="O1223" s="17" cm="1">
        <f t="array" ref="O1223">(H1223-H1222)/H1222</f>
        <v>-0.00815120666334449</v>
      </c>
      <c r="P1223" s="8"/>
      <c r="Q1223" s="8"/>
    </row>
    <row r="1224" ht="13.65" customHeight="1">
      <c r="A1224" s="12">
        <v>46031</v>
      </c>
      <c r="B1224" t="s" s="13">
        <v>22</v>
      </c>
      <c r="C1224" s="14">
        <v>2789.9</v>
      </c>
      <c r="D1224" s="14">
        <v>2856.7</v>
      </c>
      <c r="E1224" s="14">
        <v>2786.2</v>
      </c>
      <c r="F1224" s="14">
        <v>2786.5</v>
      </c>
      <c r="G1224" s="14">
        <v>2838.9</v>
      </c>
      <c r="H1224" s="14">
        <v>2825.5</v>
      </c>
      <c r="I1224" s="14">
        <v>2829.32</v>
      </c>
      <c r="J1224" s="14">
        <v>2985.7</v>
      </c>
      <c r="K1224" s="14">
        <v>2124.75</v>
      </c>
      <c r="L1224" s="15">
        <v>1657381</v>
      </c>
      <c r="M1224" t="s" s="13">
        <v>7512</v>
      </c>
      <c r="N1224" s="15">
        <v>80763</v>
      </c>
      <c r="O1224" s="17" cm="1">
        <f t="array" ref="O1224">(H1224-H1223)/H1223</f>
        <v>0.0139960523954782</v>
      </c>
      <c r="P1224" s="8"/>
      <c r="Q1224" s="8"/>
    </row>
    <row r="1225" ht="13.65" customHeight="1">
      <c r="A1225" s="18">
        <v>46034</v>
      </c>
      <c r="B1225" t="s" s="13">
        <v>22</v>
      </c>
      <c r="C1225" s="14">
        <v>2826</v>
      </c>
      <c r="D1225" s="14">
        <v>2900</v>
      </c>
      <c r="E1225" s="14">
        <v>2808</v>
      </c>
      <c r="F1225" s="14">
        <v>2825.5</v>
      </c>
      <c r="G1225" s="14">
        <v>2896.2</v>
      </c>
      <c r="H1225" s="14">
        <v>2896.4</v>
      </c>
      <c r="I1225" s="14">
        <v>2863.76</v>
      </c>
      <c r="J1225" s="14">
        <v>2985.7</v>
      </c>
      <c r="K1225" s="14">
        <v>2124.75</v>
      </c>
      <c r="L1225" s="15">
        <v>1743901</v>
      </c>
      <c r="M1225" t="s" s="13">
        <v>7513</v>
      </c>
      <c r="N1225" s="15">
        <v>79358</v>
      </c>
      <c r="O1225" s="17" cm="1">
        <f t="array" ref="O1225">(H1225-H1224)/H1224</f>
        <v>0.0250929039108122</v>
      </c>
      <c r="P1225" s="8"/>
      <c r="Q1225" s="8"/>
    </row>
    <row r="1226" ht="13.65" customHeight="1">
      <c r="A1226" s="18">
        <v>46035</v>
      </c>
      <c r="B1226" t="s" s="13">
        <v>22</v>
      </c>
      <c r="C1226" s="14">
        <v>2900</v>
      </c>
      <c r="D1226" s="14">
        <v>2914.5</v>
      </c>
      <c r="E1226" s="14">
        <v>2870.8</v>
      </c>
      <c r="F1226" s="14">
        <v>2896.4</v>
      </c>
      <c r="G1226" s="14">
        <v>2880.2</v>
      </c>
      <c r="H1226" s="14">
        <v>2886.3</v>
      </c>
      <c r="I1226" s="14">
        <v>2886.35</v>
      </c>
      <c r="J1226" s="14">
        <v>2985.7</v>
      </c>
      <c r="K1226" s="14">
        <v>2124.75</v>
      </c>
      <c r="L1226" s="15">
        <v>1051986</v>
      </c>
      <c r="M1226" t="s" s="13">
        <v>7514</v>
      </c>
      <c r="N1226" s="15">
        <v>62575</v>
      </c>
      <c r="O1226" s="17" cm="1">
        <f t="array" ref="O1226">(H1226-H1225)/H1225</f>
        <v>-0.0034870874188648</v>
      </c>
      <c r="P1226" s="8"/>
      <c r="Q1226" s="8"/>
    </row>
    <row r="1227" ht="13.65" customHeight="1">
      <c r="A1227" s="18">
        <v>46036</v>
      </c>
      <c r="B1227" t="s" s="13">
        <v>22</v>
      </c>
      <c r="C1227" s="14">
        <v>2884</v>
      </c>
      <c r="D1227" s="14">
        <v>2884</v>
      </c>
      <c r="E1227" s="14">
        <v>2807.3</v>
      </c>
      <c r="F1227" s="14">
        <v>2886.3</v>
      </c>
      <c r="G1227" s="14">
        <v>2817</v>
      </c>
      <c r="H1227" s="14">
        <v>2813.9</v>
      </c>
      <c r="I1227" s="14">
        <v>2830.57</v>
      </c>
      <c r="J1227" s="14">
        <v>2985.7</v>
      </c>
      <c r="K1227" s="14">
        <v>2124.75</v>
      </c>
      <c r="L1227" s="15">
        <v>958254</v>
      </c>
      <c r="M1227" t="s" s="13">
        <v>7515</v>
      </c>
      <c r="N1227" s="15">
        <v>77292</v>
      </c>
      <c r="O1227" s="17" cm="1">
        <f t="array" ref="O1227">(H1227-H1226)/H1226</f>
        <v>-0.025084017600388</v>
      </c>
      <c r="P1227" s="8"/>
      <c r="Q1227" s="8"/>
    </row>
    <row r="1228" ht="13.65" customHeight="1">
      <c r="A1228" s="18">
        <v>46038</v>
      </c>
      <c r="B1228" t="s" s="13">
        <v>22</v>
      </c>
      <c r="C1228" s="14">
        <v>2787.9</v>
      </c>
      <c r="D1228" s="14">
        <v>2826.5</v>
      </c>
      <c r="E1228" s="14">
        <v>2750.5</v>
      </c>
      <c r="F1228" s="14">
        <v>2813.9</v>
      </c>
      <c r="G1228" s="14">
        <v>2756.7</v>
      </c>
      <c r="H1228" s="14">
        <v>2756.9</v>
      </c>
      <c r="I1228" s="14">
        <v>2791.78</v>
      </c>
      <c r="J1228" s="14">
        <v>2985.7</v>
      </c>
      <c r="K1228" s="14">
        <v>2124.75</v>
      </c>
      <c r="L1228" s="15">
        <v>1143463</v>
      </c>
      <c r="M1228" t="s" s="13">
        <v>7516</v>
      </c>
      <c r="N1228" s="15">
        <v>64490</v>
      </c>
      <c r="O1228" s="17" cm="1">
        <f t="array" ref="O1228">(H1228-H1227)/H1227</f>
        <v>-0.0202565833896016</v>
      </c>
      <c r="P1228" s="8"/>
      <c r="Q1228" s="8"/>
    </row>
    <row r="1229" ht="13.65" customHeight="1">
      <c r="A1229" s="18">
        <v>46041</v>
      </c>
      <c r="B1229" t="s" s="13">
        <v>22</v>
      </c>
      <c r="C1229" s="14">
        <v>2756.9</v>
      </c>
      <c r="D1229" s="14">
        <v>2786.3</v>
      </c>
      <c r="E1229" s="14">
        <v>2724.7</v>
      </c>
      <c r="F1229" s="14">
        <v>2756.9</v>
      </c>
      <c r="G1229" s="14">
        <v>2736.8</v>
      </c>
      <c r="H1229" s="14">
        <v>2754</v>
      </c>
      <c r="I1229" s="14">
        <v>2769.14</v>
      </c>
      <c r="J1229" s="14">
        <v>2985.7</v>
      </c>
      <c r="K1229" s="14">
        <v>2124.75</v>
      </c>
      <c r="L1229" s="15">
        <v>1342048</v>
      </c>
      <c r="M1229" t="s" s="13">
        <v>7517</v>
      </c>
      <c r="N1229" s="15">
        <v>69012</v>
      </c>
      <c r="O1229" s="17" cm="1">
        <f t="array" ref="O1229">(H1229-H1228)/H1228</f>
        <v>-0.00105190612644637</v>
      </c>
      <c r="P1229" s="8"/>
      <c r="Q1229" s="8"/>
    </row>
    <row r="1230" ht="13.65" customHeight="1">
      <c r="A1230" s="18">
        <v>46042</v>
      </c>
      <c r="B1230" t="s" s="13">
        <v>22</v>
      </c>
      <c r="C1230" s="14">
        <v>2740</v>
      </c>
      <c r="D1230" s="14">
        <v>2740.1</v>
      </c>
      <c r="E1230" s="14">
        <v>2669.3</v>
      </c>
      <c r="F1230" s="14">
        <v>2754</v>
      </c>
      <c r="G1230" s="14">
        <v>2680</v>
      </c>
      <c r="H1230" s="14">
        <v>2675.6</v>
      </c>
      <c r="I1230" s="14">
        <v>2706.23</v>
      </c>
      <c r="J1230" s="14">
        <v>2985.7</v>
      </c>
      <c r="K1230" s="14">
        <v>2124.75</v>
      </c>
      <c r="L1230" s="15">
        <v>911151</v>
      </c>
      <c r="M1230" t="s" s="13">
        <v>7518</v>
      </c>
      <c r="N1230" s="15">
        <v>68578</v>
      </c>
      <c r="O1230" s="17" cm="1">
        <f t="array" ref="O1230">(H1230-H1229)/H1229</f>
        <v>-0.0284676833696442</v>
      </c>
      <c r="P1230" s="8"/>
      <c r="Q1230" s="8"/>
    </row>
    <row r="1231" ht="13.65" customHeight="1">
      <c r="A1231" s="18">
        <v>46043</v>
      </c>
      <c r="B1231" t="s" s="13">
        <v>22</v>
      </c>
      <c r="C1231" s="14">
        <v>2670</v>
      </c>
      <c r="D1231" s="14">
        <v>2688</v>
      </c>
      <c r="E1231" s="14">
        <v>2648</v>
      </c>
      <c r="F1231" s="14">
        <v>2675.6</v>
      </c>
      <c r="G1231" s="14">
        <v>2666</v>
      </c>
      <c r="H1231" s="14">
        <v>2661.1</v>
      </c>
      <c r="I1231" s="14">
        <v>2665.8</v>
      </c>
      <c r="J1231" s="14">
        <v>2985.7</v>
      </c>
      <c r="K1231" s="14">
        <v>2124.75</v>
      </c>
      <c r="L1231" s="15">
        <v>914318</v>
      </c>
      <c r="M1231" t="s" s="13">
        <v>7519</v>
      </c>
      <c r="N1231" s="15">
        <v>71529</v>
      </c>
      <c r="O1231" s="17" cm="1">
        <f t="array" ref="O1231">(H1231-H1230)/H1230</f>
        <v>-0.00541934519360144</v>
      </c>
      <c r="P1231" s="8"/>
      <c r="Q1231" s="8"/>
    </row>
    <row r="1232" ht="13.65" customHeight="1">
      <c r="A1232" s="18">
        <v>46044</v>
      </c>
      <c r="B1232" t="s" s="13">
        <v>22</v>
      </c>
      <c r="C1232" s="14">
        <v>2665.3</v>
      </c>
      <c r="D1232" s="14">
        <v>2729.9</v>
      </c>
      <c r="E1232" s="14">
        <v>2665.3</v>
      </c>
      <c r="F1232" s="14">
        <v>2661.1</v>
      </c>
      <c r="G1232" s="14">
        <v>2704.2</v>
      </c>
      <c r="H1232" s="14">
        <v>2703.8</v>
      </c>
      <c r="I1232" s="14">
        <v>2703.64</v>
      </c>
      <c r="J1232" s="14">
        <v>2985.7</v>
      </c>
      <c r="K1232" s="14">
        <v>2124.75</v>
      </c>
      <c r="L1232" s="15">
        <v>1290346</v>
      </c>
      <c r="M1232" t="s" s="13">
        <v>7520</v>
      </c>
      <c r="N1232" s="15">
        <v>68789</v>
      </c>
      <c r="O1232" s="17" cm="1">
        <f t="array" ref="O1232">(H1232-H1231)/H1231</f>
        <v>0.0160459960166848</v>
      </c>
      <c r="P1232" s="8"/>
      <c r="Q1232" s="8"/>
    </row>
    <row r="1233" ht="13.65" customHeight="1">
      <c r="A1233" s="18">
        <v>46045</v>
      </c>
      <c r="B1233" t="s" s="13">
        <v>22</v>
      </c>
      <c r="C1233" s="14">
        <v>2703.8</v>
      </c>
      <c r="D1233" s="14">
        <v>2782.9</v>
      </c>
      <c r="E1233" s="14">
        <v>2690.8</v>
      </c>
      <c r="F1233" s="14">
        <v>2703.8</v>
      </c>
      <c r="G1233" s="14">
        <v>2704.4</v>
      </c>
      <c r="H1233" s="14">
        <v>2703.7</v>
      </c>
      <c r="I1233" s="14">
        <v>2743.23</v>
      </c>
      <c r="J1233" s="14">
        <v>2985.7</v>
      </c>
      <c r="K1233" s="14">
        <v>2124.75</v>
      </c>
      <c r="L1233" s="15">
        <v>1786635</v>
      </c>
      <c r="M1233" t="s" s="13">
        <v>7521</v>
      </c>
      <c r="N1233" s="15">
        <v>94155</v>
      </c>
      <c r="O1233" s="17" cm="1">
        <f t="array" ref="O1233">(H1233-H1232)/H1232</f>
        <v>-3.69849840964568e-05</v>
      </c>
      <c r="P1233" s="8"/>
      <c r="Q1233" s="8"/>
    </row>
    <row r="1234" ht="13.65" customHeight="1">
      <c r="A1234" s="18">
        <v>46049</v>
      </c>
      <c r="B1234" t="s" s="13">
        <v>22</v>
      </c>
      <c r="C1234" s="14">
        <v>2719.9</v>
      </c>
      <c r="D1234" s="14">
        <v>2734.7</v>
      </c>
      <c r="E1234" s="14">
        <v>2546</v>
      </c>
      <c r="F1234" s="14">
        <v>2703.7</v>
      </c>
      <c r="G1234" s="14">
        <v>2628</v>
      </c>
      <c r="H1234" s="14">
        <v>2622.8</v>
      </c>
      <c r="I1234" s="14">
        <v>2627.64</v>
      </c>
      <c r="J1234" s="14">
        <v>2985.7</v>
      </c>
      <c r="K1234" s="14">
        <v>2124.75</v>
      </c>
      <c r="L1234" s="15">
        <v>3818761</v>
      </c>
      <c r="M1234" t="s" s="13">
        <v>7522</v>
      </c>
      <c r="N1234" s="15">
        <v>175338</v>
      </c>
      <c r="O1234" s="17" cm="1">
        <f t="array" ref="O1234">(H1234-H1233)/H1233</f>
        <v>-0.0299219587972038</v>
      </c>
      <c r="P1234" s="8"/>
      <c r="Q1234" s="8"/>
    </row>
    <row r="1235" ht="13.65" customHeight="1">
      <c r="A1235" s="18">
        <v>46050</v>
      </c>
      <c r="B1235" t="s" s="13">
        <v>22</v>
      </c>
      <c r="C1235" s="14">
        <v>2535</v>
      </c>
      <c r="D1235" s="14">
        <v>2548.5</v>
      </c>
      <c r="E1235" s="14">
        <v>2451</v>
      </c>
      <c r="F1235" s="14">
        <v>2622.8</v>
      </c>
      <c r="G1235" s="14">
        <v>2512</v>
      </c>
      <c r="H1235" s="14">
        <v>2511.8</v>
      </c>
      <c r="I1235" s="14">
        <v>2493.59</v>
      </c>
      <c r="J1235" s="14">
        <v>2985.7</v>
      </c>
      <c r="K1235" s="14">
        <v>2124.75</v>
      </c>
      <c r="L1235" s="15">
        <v>3430002</v>
      </c>
      <c r="M1235" t="s" s="13">
        <v>7523</v>
      </c>
      <c r="N1235" s="15">
        <v>154933</v>
      </c>
      <c r="O1235" s="17" cm="1">
        <f t="array" ref="O1235">(H1235-H1234)/H1234</f>
        <v>-0.0423211834680494</v>
      </c>
      <c r="P1235" s="8"/>
      <c r="Q1235" s="8"/>
    </row>
    <row r="1236" ht="13.65" customHeight="1">
      <c r="A1236" s="18">
        <v>46051</v>
      </c>
      <c r="B1236" t="s" s="13">
        <v>22</v>
      </c>
      <c r="C1236" s="14">
        <v>2511.8</v>
      </c>
      <c r="D1236" s="14">
        <v>2514.9</v>
      </c>
      <c r="E1236" s="14">
        <v>2410</v>
      </c>
      <c r="F1236" s="14">
        <v>2511.8</v>
      </c>
      <c r="G1236" s="14">
        <v>2415</v>
      </c>
      <c r="H1236" s="14">
        <v>2416</v>
      </c>
      <c r="I1236" s="14">
        <v>2431.87</v>
      </c>
      <c r="J1236" s="14">
        <v>2985.7</v>
      </c>
      <c r="K1236" s="14">
        <v>2124.75</v>
      </c>
      <c r="L1236" s="15">
        <v>3488159</v>
      </c>
      <c r="M1236" t="s" s="13">
        <v>7524</v>
      </c>
      <c r="N1236" s="15">
        <v>160628</v>
      </c>
      <c r="O1236" s="17" cm="1">
        <f t="array" ref="O1236">(H1236-H1235)/H1235</f>
        <v>-0.0381399792977148</v>
      </c>
      <c r="P1236" s="8"/>
      <c r="Q1236" s="8"/>
    </row>
    <row r="1237" ht="13.65" customHeight="1">
      <c r="A1237" s="18">
        <v>46052</v>
      </c>
      <c r="B1237" t="s" s="13">
        <v>22</v>
      </c>
      <c r="C1237" s="14">
        <v>2417</v>
      </c>
      <c r="D1237" s="14">
        <v>2445</v>
      </c>
      <c r="E1237" s="14">
        <v>2400.5</v>
      </c>
      <c r="F1237" s="14">
        <v>2416</v>
      </c>
      <c r="G1237" s="14">
        <v>2431</v>
      </c>
      <c r="H1237" s="14">
        <v>2428.3</v>
      </c>
      <c r="I1237" s="14">
        <v>2427.03</v>
      </c>
      <c r="J1237" s="14">
        <v>2985.7</v>
      </c>
      <c r="K1237" s="14">
        <v>2124.75</v>
      </c>
      <c r="L1237" s="15">
        <v>2048843</v>
      </c>
      <c r="M1237" t="s" s="13">
        <v>7525</v>
      </c>
      <c r="N1237" s="15">
        <v>83085</v>
      </c>
      <c r="O1237" s="17" cm="1">
        <f t="array" ref="O1237">(H1237-H1236)/H1236</f>
        <v>0.00509105960264901</v>
      </c>
      <c r="P1237" s="8"/>
      <c r="Q1237" s="8"/>
    </row>
    <row r="1238" ht="13.65" customHeight="1">
      <c r="A1238" s="12">
        <v>46054</v>
      </c>
      <c r="B1238" t="s" s="13">
        <v>22</v>
      </c>
      <c r="C1238" s="14">
        <v>2439</v>
      </c>
      <c r="D1238" s="14">
        <v>2439</v>
      </c>
      <c r="E1238" s="14">
        <v>2343.1</v>
      </c>
      <c r="F1238" s="14">
        <v>2428.3</v>
      </c>
      <c r="G1238" s="14">
        <v>2357.6</v>
      </c>
      <c r="H1238" s="14">
        <v>2357</v>
      </c>
      <c r="I1238" s="14">
        <v>2385.03</v>
      </c>
      <c r="J1238" s="14">
        <v>2985.7</v>
      </c>
      <c r="K1238" s="14">
        <v>2124.75</v>
      </c>
      <c r="L1238" s="15">
        <v>801746</v>
      </c>
      <c r="M1238" t="s" s="13">
        <v>7526</v>
      </c>
      <c r="N1238" s="15">
        <v>66173</v>
      </c>
      <c r="O1238" s="17" cm="1">
        <f t="array" ref="O1238">(H1238-H1237)/H1237</f>
        <v>-0.0293621051764609</v>
      </c>
      <c r="P1238" s="8"/>
      <c r="Q1238" s="8"/>
    </row>
    <row r="1239" ht="13.65" customHeight="1">
      <c r="A1239" s="12">
        <v>46055</v>
      </c>
      <c r="B1239" t="s" s="13">
        <v>22</v>
      </c>
      <c r="C1239" s="14">
        <v>2374.9</v>
      </c>
      <c r="D1239" s="14">
        <v>2429.5</v>
      </c>
      <c r="E1239" s="14">
        <v>2372</v>
      </c>
      <c r="F1239" s="14">
        <v>2357</v>
      </c>
      <c r="G1239" s="14">
        <v>2395</v>
      </c>
      <c r="H1239" s="14">
        <v>2402</v>
      </c>
      <c r="I1239" s="14">
        <v>2403.28</v>
      </c>
      <c r="J1239" s="14">
        <v>2985.7</v>
      </c>
      <c r="K1239" s="14">
        <v>2124.75</v>
      </c>
      <c r="L1239" s="15">
        <v>1183482</v>
      </c>
      <c r="M1239" t="s" s="13">
        <v>7527</v>
      </c>
      <c r="N1239" s="15">
        <v>126959</v>
      </c>
      <c r="O1239" s="17" cm="1">
        <f t="array" ref="O1239">(H1239-H1238)/H1238</f>
        <v>0.0190920661858294</v>
      </c>
      <c r="P1239" s="8"/>
      <c r="Q1239" s="8"/>
    </row>
    <row r="1240" ht="13.65" customHeight="1">
      <c r="A1240" s="12">
        <v>46056</v>
      </c>
      <c r="B1240" t="s" s="13">
        <v>22</v>
      </c>
      <c r="C1240" s="14">
        <v>2525</v>
      </c>
      <c r="D1240" s="14">
        <v>2525</v>
      </c>
      <c r="E1240" s="14">
        <v>2391</v>
      </c>
      <c r="F1240" s="14">
        <v>2402</v>
      </c>
      <c r="G1240" s="14">
        <v>2424.1</v>
      </c>
      <c r="H1240" s="14">
        <v>2426</v>
      </c>
      <c r="I1240" s="14">
        <v>2427.85</v>
      </c>
      <c r="J1240" s="14">
        <v>2985.7</v>
      </c>
      <c r="K1240" s="14">
        <v>2124.75</v>
      </c>
      <c r="L1240" s="15">
        <v>2233860</v>
      </c>
      <c r="M1240" t="s" s="13">
        <v>7528</v>
      </c>
      <c r="N1240" s="15">
        <v>99727</v>
      </c>
      <c r="O1240" s="17" cm="1">
        <f t="array" ref="O1240">(H1240-H1239)/H1239</f>
        <v>0.009991673605328891</v>
      </c>
      <c r="P1240" s="8"/>
      <c r="Q1240" s="8"/>
    </row>
    <row r="1241" ht="13.65" customHeight="1">
      <c r="A1241" s="12">
        <v>46057</v>
      </c>
      <c r="B1241" t="s" s="13">
        <v>22</v>
      </c>
      <c r="C1241" s="14">
        <v>2430</v>
      </c>
      <c r="D1241" s="14">
        <v>2463.8</v>
      </c>
      <c r="E1241" s="14">
        <v>2417.1</v>
      </c>
      <c r="F1241" s="14">
        <v>2426</v>
      </c>
      <c r="G1241" s="14">
        <v>2450</v>
      </c>
      <c r="H1241" s="14">
        <v>2452.7</v>
      </c>
      <c r="I1241" s="14">
        <v>2448.56</v>
      </c>
      <c r="J1241" s="14">
        <v>2985.7</v>
      </c>
      <c r="K1241" s="14">
        <v>2124.75</v>
      </c>
      <c r="L1241" s="15">
        <v>970973</v>
      </c>
      <c r="M1241" t="s" s="13">
        <v>7529</v>
      </c>
      <c r="N1241" s="15">
        <v>75111</v>
      </c>
      <c r="O1241" s="17" cm="1">
        <f t="array" ref="O1241">(H1241-H1240)/H1240</f>
        <v>0.0110057708161583</v>
      </c>
      <c r="P1241" s="8"/>
      <c r="Q1241" s="8"/>
    </row>
    <row r="1242" ht="13.65" customHeight="1">
      <c r="A1242" s="12">
        <v>46058</v>
      </c>
      <c r="B1242" t="s" s="13">
        <v>22</v>
      </c>
      <c r="C1242" s="14">
        <v>2445</v>
      </c>
      <c r="D1242" s="14">
        <v>2455.8</v>
      </c>
      <c r="E1242" s="14">
        <v>2402.6</v>
      </c>
      <c r="F1242" s="14">
        <v>2452.7</v>
      </c>
      <c r="G1242" s="14">
        <v>2433.5</v>
      </c>
      <c r="H1242" s="14">
        <v>2432.1</v>
      </c>
      <c r="I1242" s="14">
        <v>2426.75</v>
      </c>
      <c r="J1242" s="14">
        <v>2985.7</v>
      </c>
      <c r="K1242" s="14">
        <v>2124.75</v>
      </c>
      <c r="L1242" s="15">
        <v>1047405</v>
      </c>
      <c r="M1242" t="s" s="13">
        <v>7530</v>
      </c>
      <c r="N1242" s="15">
        <v>70946</v>
      </c>
      <c r="O1242" s="17" cm="1">
        <f t="array" ref="O1242">(H1242-H1241)/H1241</f>
        <v>-0.00839890732661964</v>
      </c>
      <c r="P1242" s="8"/>
      <c r="Q1242" s="8"/>
    </row>
    <row r="1243" ht="13.65" customHeight="1">
      <c r="A1243" s="12">
        <v>46059</v>
      </c>
      <c r="B1243" t="s" s="13">
        <v>22</v>
      </c>
      <c r="C1243" s="14">
        <v>2432</v>
      </c>
      <c r="D1243" s="14">
        <v>2444</v>
      </c>
      <c r="E1243" s="14">
        <v>2386.1</v>
      </c>
      <c r="F1243" s="14">
        <v>2432.1</v>
      </c>
      <c r="G1243" s="14">
        <v>2405</v>
      </c>
      <c r="H1243" s="14">
        <v>2401.1</v>
      </c>
      <c r="I1243" s="14">
        <v>2400.75</v>
      </c>
      <c r="J1243" s="14">
        <v>2985.7</v>
      </c>
      <c r="K1243" s="14">
        <v>2124.75</v>
      </c>
      <c r="L1243" s="15">
        <v>1043982</v>
      </c>
      <c r="M1243" t="s" s="13">
        <v>7531</v>
      </c>
      <c r="N1243" s="15">
        <v>74053</v>
      </c>
      <c r="O1243" s="17" cm="1">
        <f t="array" ref="O1243">(H1243-H1242)/H1242</f>
        <v>-0.0127461864232556</v>
      </c>
      <c r="P1243" s="8"/>
      <c r="Q1243" s="8"/>
    </row>
    <row r="1244" ht="13.65" customHeight="1">
      <c r="A1244" s="12">
        <v>46062</v>
      </c>
      <c r="B1244" t="s" s="13">
        <v>22</v>
      </c>
      <c r="C1244" s="14">
        <v>2404</v>
      </c>
      <c r="D1244" s="14">
        <v>2426.2</v>
      </c>
      <c r="E1244" s="14">
        <v>2396.8</v>
      </c>
      <c r="F1244" s="14">
        <v>2401.1</v>
      </c>
      <c r="G1244" s="14">
        <v>2416.5</v>
      </c>
      <c r="H1244" s="14">
        <v>2417.4</v>
      </c>
      <c r="I1244" s="14">
        <v>2412.27</v>
      </c>
      <c r="J1244" s="14">
        <v>2985.7</v>
      </c>
      <c r="K1244" s="14">
        <v>2124.75</v>
      </c>
      <c r="L1244" s="15">
        <v>669839</v>
      </c>
      <c r="M1244" t="s" s="13">
        <v>7532</v>
      </c>
      <c r="N1244" s="15">
        <v>66718</v>
      </c>
      <c r="O1244" s="17" cm="1">
        <f t="array" ref="O1244">(H1244-H1243)/H1243</f>
        <v>0.00678855524551247</v>
      </c>
      <c r="P1244" s="8"/>
      <c r="Q1244" s="8"/>
    </row>
    <row r="1245" ht="13.65" customHeight="1">
      <c r="A1245" s="18">
        <v>46063</v>
      </c>
      <c r="B1245" t="s" s="13">
        <v>22</v>
      </c>
      <c r="C1245" s="14">
        <v>2419</v>
      </c>
      <c r="D1245" s="14">
        <v>2420</v>
      </c>
      <c r="E1245" s="14">
        <v>2386.9</v>
      </c>
      <c r="F1245" s="14">
        <v>2417.4</v>
      </c>
      <c r="G1245" s="14">
        <v>2396.4</v>
      </c>
      <c r="H1245" s="14">
        <v>2393.6</v>
      </c>
      <c r="I1245" s="14">
        <v>2394.89</v>
      </c>
      <c r="J1245" s="14">
        <v>2985.7</v>
      </c>
      <c r="K1245" s="14">
        <v>2124.75</v>
      </c>
      <c r="L1245" s="15">
        <v>1513620</v>
      </c>
      <c r="M1245" t="s" s="13">
        <v>7533</v>
      </c>
      <c r="N1245" s="15">
        <v>68991</v>
      </c>
      <c r="O1245" s="17" cm="1">
        <f t="array" ref="O1245">(H1245-H1244)/H1244</f>
        <v>-0.00984528832630098</v>
      </c>
      <c r="P1245" s="8"/>
      <c r="Q1245" s="8"/>
    </row>
    <row r="1246" ht="13.65" customHeight="1">
      <c r="A1246" s="18">
        <v>46064</v>
      </c>
      <c r="B1246" t="s" s="13">
        <v>22</v>
      </c>
      <c r="C1246" s="14">
        <v>2399</v>
      </c>
      <c r="D1246" s="14">
        <v>2405.7</v>
      </c>
      <c r="E1246" s="14">
        <v>2376.3</v>
      </c>
      <c r="F1246" s="14">
        <v>2393.6</v>
      </c>
      <c r="G1246" s="14">
        <v>2393</v>
      </c>
      <c r="H1246" s="14">
        <v>2392.5</v>
      </c>
      <c r="I1246" s="14">
        <v>2385.85</v>
      </c>
      <c r="J1246" s="14">
        <v>2985.7</v>
      </c>
      <c r="K1246" s="14">
        <v>2124.75</v>
      </c>
      <c r="L1246" s="15">
        <v>3177710</v>
      </c>
      <c r="M1246" t="s" s="13">
        <v>7534</v>
      </c>
      <c r="N1246" s="15">
        <v>82578</v>
      </c>
      <c r="O1246" s="17" cm="1">
        <f t="array" ref="O1246">(H1246-H1245)/H1245</f>
        <v>-0.000459558823529412</v>
      </c>
      <c r="P1246" s="8"/>
      <c r="Q1246" s="8"/>
    </row>
    <row r="1247" ht="13.65" customHeight="1">
      <c r="A1247" s="18">
        <v>46065</v>
      </c>
      <c r="B1247" t="s" s="13">
        <v>22</v>
      </c>
      <c r="C1247" s="14">
        <v>2398</v>
      </c>
      <c r="D1247" s="14">
        <v>2413.9</v>
      </c>
      <c r="E1247" s="14">
        <v>2377</v>
      </c>
      <c r="F1247" s="14">
        <v>2392.5</v>
      </c>
      <c r="G1247" s="14">
        <v>2410.1</v>
      </c>
      <c r="H1247" s="14">
        <v>2410.5</v>
      </c>
      <c r="I1247" s="14">
        <v>2400.9</v>
      </c>
      <c r="J1247" s="14">
        <v>2985.7</v>
      </c>
      <c r="K1247" s="14">
        <v>2124.75</v>
      </c>
      <c r="L1247" s="15">
        <v>607767</v>
      </c>
      <c r="M1247" t="s" s="13">
        <v>7535</v>
      </c>
      <c r="N1247" s="15">
        <v>48028</v>
      </c>
      <c r="O1247" s="17" cm="1">
        <f t="array" ref="O1247">(H1247-H1246)/H1246</f>
        <v>0.00752351097178683</v>
      </c>
      <c r="P1247" s="8"/>
      <c r="Q1247" s="8"/>
    </row>
    <row r="1248" ht="13.65" customHeight="1">
      <c r="A1248" s="18">
        <v>46066</v>
      </c>
      <c r="B1248" t="s" s="13">
        <v>22</v>
      </c>
      <c r="C1248" s="14">
        <v>2408.9</v>
      </c>
      <c r="D1248" s="14">
        <v>2411.8</v>
      </c>
      <c r="E1248" s="14">
        <v>2360.1</v>
      </c>
      <c r="F1248" s="14">
        <v>2410.5</v>
      </c>
      <c r="G1248" s="14">
        <v>2368.2</v>
      </c>
      <c r="H1248" s="14">
        <v>2366.4</v>
      </c>
      <c r="I1248" s="14">
        <v>2380.5</v>
      </c>
      <c r="J1248" s="14">
        <v>2985.7</v>
      </c>
      <c r="K1248" s="14">
        <v>2124.75</v>
      </c>
      <c r="L1248" s="15">
        <v>675635</v>
      </c>
      <c r="M1248" t="s" s="13">
        <v>7536</v>
      </c>
      <c r="N1248" s="15">
        <v>54629</v>
      </c>
      <c r="O1248" s="17" cm="1">
        <f t="array" ref="O1248">(H1248-H1247)/H1247</f>
        <v>-0.0182949595519602</v>
      </c>
      <c r="P1248" s="8"/>
      <c r="Q1248" s="8"/>
    </row>
    <row r="1249" ht="13.65" customHeight="1">
      <c r="A1249" s="18">
        <v>46069</v>
      </c>
      <c r="B1249" t="s" s="13">
        <v>22</v>
      </c>
      <c r="C1249" s="14">
        <v>2360</v>
      </c>
      <c r="D1249" s="14">
        <v>2405.1</v>
      </c>
      <c r="E1249" s="14">
        <v>2356.8</v>
      </c>
      <c r="F1249" s="14">
        <v>2366.4</v>
      </c>
      <c r="G1249" s="14">
        <v>2400</v>
      </c>
      <c r="H1249" s="14">
        <v>2397.2</v>
      </c>
      <c r="I1249" s="14">
        <v>2387.81</v>
      </c>
      <c r="J1249" s="14">
        <v>2985.7</v>
      </c>
      <c r="K1249" s="14">
        <v>2124.75</v>
      </c>
      <c r="L1249" s="15">
        <v>683108</v>
      </c>
      <c r="M1249" t="s" s="13">
        <v>7537</v>
      </c>
      <c r="N1249" s="15">
        <v>47055</v>
      </c>
      <c r="O1249" s="17" cm="1">
        <f t="array" ref="O1249">(H1249-H1248)/H1248</f>
        <v>0.0130155510480054</v>
      </c>
      <c r="P1249" s="8"/>
      <c r="Q1249" s="8"/>
    </row>
    <row r="1250" ht="13.65" customHeight="1">
      <c r="A1250" s="18">
        <v>46070</v>
      </c>
      <c r="B1250" t="s" s="13">
        <v>22</v>
      </c>
      <c r="C1250" s="14">
        <v>2399.5</v>
      </c>
      <c r="D1250" s="14">
        <v>2452.4</v>
      </c>
      <c r="E1250" s="14">
        <v>2399.5</v>
      </c>
      <c r="F1250" s="14">
        <v>2397.2</v>
      </c>
      <c r="G1250" s="14">
        <v>2439</v>
      </c>
      <c r="H1250" s="14">
        <v>2437.4</v>
      </c>
      <c r="I1250" s="14">
        <v>2435.81</v>
      </c>
      <c r="J1250" s="14">
        <v>2985.7</v>
      </c>
      <c r="K1250" s="14">
        <v>2124.75</v>
      </c>
      <c r="L1250" s="15">
        <v>1004356</v>
      </c>
      <c r="M1250" t="s" s="13">
        <v>7538</v>
      </c>
      <c r="N1250" s="15">
        <v>74355</v>
      </c>
      <c r="O1250" s="17" cm="1">
        <f t="array" ref="O1250">(H1250-H1249)/H1249</f>
        <v>0.0167695644919072</v>
      </c>
      <c r="P1250" s="8"/>
      <c r="Q1250" s="8"/>
    </row>
    <row r="1251" ht="13.65" customHeight="1">
      <c r="A1251" s="18">
        <v>46071</v>
      </c>
      <c r="B1251" t="s" s="13">
        <v>22</v>
      </c>
      <c r="C1251" s="14">
        <v>2440</v>
      </c>
      <c r="D1251" s="14">
        <v>2448.2</v>
      </c>
      <c r="E1251" s="14">
        <v>2416.5</v>
      </c>
      <c r="F1251" s="14">
        <v>2437.4</v>
      </c>
      <c r="G1251" s="14">
        <v>2434.4</v>
      </c>
      <c r="H1251" s="14">
        <v>2432.1</v>
      </c>
      <c r="I1251" s="14">
        <v>2430.48</v>
      </c>
      <c r="J1251" s="14">
        <v>2985.7</v>
      </c>
      <c r="K1251" s="14">
        <v>2124.75</v>
      </c>
      <c r="L1251" s="15">
        <v>551809</v>
      </c>
      <c r="M1251" t="s" s="13">
        <v>7539</v>
      </c>
      <c r="N1251" s="15">
        <v>57487</v>
      </c>
      <c r="O1251" s="17" cm="1">
        <f t="array" ref="O1251">(H1251-H1250)/H1250</f>
        <v>-0.00217444818248954</v>
      </c>
      <c r="P1251" s="8"/>
      <c r="Q1251" s="8"/>
    </row>
    <row r="1252" ht="13.65" customHeight="1">
      <c r="A1252" s="18">
        <v>46072</v>
      </c>
      <c r="B1252" t="s" s="13">
        <v>22</v>
      </c>
      <c r="C1252" s="14">
        <v>2420</v>
      </c>
      <c r="D1252" s="14">
        <v>2428</v>
      </c>
      <c r="E1252" s="14">
        <v>2391.1</v>
      </c>
      <c r="F1252" s="14">
        <v>2432.1</v>
      </c>
      <c r="G1252" s="14">
        <v>2391.6</v>
      </c>
      <c r="H1252" s="14">
        <v>2400.8</v>
      </c>
      <c r="I1252" s="14">
        <v>2404.58</v>
      </c>
      <c r="J1252" s="14">
        <v>2985.7</v>
      </c>
      <c r="K1252" s="14">
        <v>2124.75</v>
      </c>
      <c r="L1252" s="15">
        <v>971600</v>
      </c>
      <c r="M1252" t="s" s="13">
        <v>7540</v>
      </c>
      <c r="N1252" s="15">
        <v>74269</v>
      </c>
      <c r="O1252" s="17" cm="1">
        <f t="array" ref="O1252">(H1252-H1251)/H1251</f>
        <v>-0.0128695366144484</v>
      </c>
      <c r="P1252" s="8"/>
      <c r="Q1252" s="8"/>
    </row>
    <row r="1253" ht="13.65" customHeight="1">
      <c r="A1253" s="18">
        <v>46073</v>
      </c>
      <c r="B1253" t="s" s="13">
        <v>22</v>
      </c>
      <c r="C1253" s="14">
        <v>2378.2</v>
      </c>
      <c r="D1253" s="14">
        <v>2435.7</v>
      </c>
      <c r="E1253" s="14">
        <v>2376.1</v>
      </c>
      <c r="F1253" s="14">
        <v>2400.8</v>
      </c>
      <c r="G1253" s="14">
        <v>2428</v>
      </c>
      <c r="H1253" s="14">
        <v>2428.1</v>
      </c>
      <c r="I1253" s="14">
        <v>2421.15</v>
      </c>
      <c r="J1253" s="14">
        <v>2985.7</v>
      </c>
      <c r="K1253" s="14">
        <v>2124.75</v>
      </c>
      <c r="L1253" s="15">
        <v>790329</v>
      </c>
      <c r="M1253" t="s" s="13">
        <v>7541</v>
      </c>
      <c r="N1253" s="15">
        <v>37377</v>
      </c>
      <c r="O1253" s="17" cm="1">
        <f t="array" ref="O1253">(H1253-H1252)/H1252</f>
        <v>0.0113712095968011</v>
      </c>
      <c r="P1253" s="8"/>
      <c r="Q1253" s="8"/>
    </row>
    <row r="1254" ht="13.65" customHeight="1">
      <c r="A1254" s="18">
        <v>46076</v>
      </c>
      <c r="B1254" t="s" s="13">
        <v>22</v>
      </c>
      <c r="C1254" s="14">
        <v>2424.7</v>
      </c>
      <c r="D1254" s="14">
        <v>2446.6</v>
      </c>
      <c r="E1254" s="14">
        <v>2411.5</v>
      </c>
      <c r="F1254" s="14">
        <v>2428.1</v>
      </c>
      <c r="G1254" s="14">
        <v>2433.8</v>
      </c>
      <c r="H1254" s="14">
        <v>2429.7</v>
      </c>
      <c r="I1254" s="14">
        <v>2431.42</v>
      </c>
      <c r="J1254" s="14">
        <v>2985.7</v>
      </c>
      <c r="K1254" s="14">
        <v>2124.75</v>
      </c>
      <c r="L1254" s="15">
        <v>634365</v>
      </c>
      <c r="M1254" t="s" s="13">
        <v>7542</v>
      </c>
      <c r="N1254" s="15">
        <v>55479</v>
      </c>
      <c r="O1254" s="17" cm="1">
        <f t="array" ref="O1254">(H1254-H1253)/H1253</f>
        <v>0.000658951443515506</v>
      </c>
      <c r="P1254" s="8"/>
      <c r="Q1254" s="8"/>
    </row>
    <row r="1255" ht="13.65" customHeight="1">
      <c r="A1255" s="18">
        <v>46077</v>
      </c>
      <c r="B1255" t="s" s="13">
        <v>22</v>
      </c>
      <c r="C1255" s="14">
        <v>2413</v>
      </c>
      <c r="D1255" s="14">
        <v>2441.5</v>
      </c>
      <c r="E1255" s="14">
        <v>2403.7</v>
      </c>
      <c r="F1255" s="14">
        <v>2429.7</v>
      </c>
      <c r="G1255" s="14">
        <v>2414.4</v>
      </c>
      <c r="H1255" s="14">
        <v>2413.1</v>
      </c>
      <c r="I1255" s="14">
        <v>2416</v>
      </c>
      <c r="J1255" s="14">
        <v>2985.7</v>
      </c>
      <c r="K1255" s="14">
        <v>2124.75</v>
      </c>
      <c r="L1255" s="15">
        <v>499660</v>
      </c>
      <c r="M1255" t="s" s="13">
        <v>7543</v>
      </c>
      <c r="N1255" s="15">
        <v>46809</v>
      </c>
      <c r="O1255" s="17" cm="1">
        <f t="array" ref="O1255">(H1255-H1254)/H1254</f>
        <v>-0.00683211919166975</v>
      </c>
      <c r="P1255" s="8"/>
      <c r="Q1255" s="8"/>
    </row>
    <row r="1256" ht="13.65" customHeight="1">
      <c r="A1256" s="18">
        <v>46078</v>
      </c>
      <c r="B1256" t="s" s="13">
        <v>22</v>
      </c>
      <c r="C1256" s="14">
        <v>2416</v>
      </c>
      <c r="D1256" s="14">
        <v>2427.9</v>
      </c>
      <c r="E1256" s="14">
        <v>2400</v>
      </c>
      <c r="F1256" s="14">
        <v>2413.1</v>
      </c>
      <c r="G1256" s="14">
        <v>2412.5</v>
      </c>
      <c r="H1256" s="14">
        <v>2416.4</v>
      </c>
      <c r="I1256" s="14">
        <v>2414.51</v>
      </c>
      <c r="J1256" s="14">
        <v>2985.7</v>
      </c>
      <c r="K1256" s="14">
        <v>2124.75</v>
      </c>
      <c r="L1256" s="15">
        <v>526764</v>
      </c>
      <c r="M1256" t="s" s="13">
        <v>7544</v>
      </c>
      <c r="N1256" s="15">
        <v>45274</v>
      </c>
      <c r="O1256" s="17" cm="1">
        <f t="array" ref="O1256">(H1256-H1255)/H1255</f>
        <v>0.00136753553520368</v>
      </c>
      <c r="P1256" s="8"/>
      <c r="Q1256" s="8"/>
    </row>
    <row r="1257" ht="13.65" customHeight="1">
      <c r="A1257" s="18">
        <v>46079</v>
      </c>
      <c r="B1257" t="s" s="13">
        <v>22</v>
      </c>
      <c r="C1257" s="14">
        <v>2416.1</v>
      </c>
      <c r="D1257" s="14">
        <v>2422.2</v>
      </c>
      <c r="E1257" s="14">
        <v>2382</v>
      </c>
      <c r="F1257" s="14">
        <v>2416.4</v>
      </c>
      <c r="G1257" s="14">
        <v>2395</v>
      </c>
      <c r="H1257" s="14">
        <v>2394.9</v>
      </c>
      <c r="I1257" s="14">
        <v>2394.64</v>
      </c>
      <c r="J1257" s="14">
        <v>2985.7</v>
      </c>
      <c r="K1257" s="14">
        <v>2124.75</v>
      </c>
      <c r="L1257" s="15">
        <v>588742</v>
      </c>
      <c r="M1257" t="s" s="13">
        <v>7545</v>
      </c>
      <c r="N1257" s="15">
        <v>57917</v>
      </c>
      <c r="O1257" s="17" cm="1">
        <f t="array" ref="O1257">(H1257-H1256)/H1256</f>
        <v>-0.00889753352094024</v>
      </c>
      <c r="P1257" s="8"/>
      <c r="Q1257" s="8"/>
    </row>
    <row r="1258" ht="13.65" customHeight="1">
      <c r="A1258" s="18">
        <v>46080</v>
      </c>
      <c r="B1258" t="s" s="13">
        <v>22</v>
      </c>
      <c r="C1258" s="14">
        <v>2385</v>
      </c>
      <c r="D1258" s="14">
        <v>2397.6</v>
      </c>
      <c r="E1258" s="14">
        <v>2359</v>
      </c>
      <c r="F1258" s="14">
        <v>2394.9</v>
      </c>
      <c r="G1258" s="14">
        <v>2375.2</v>
      </c>
      <c r="H1258" s="14">
        <v>2376.2</v>
      </c>
      <c r="I1258" s="14">
        <v>2376.39</v>
      </c>
      <c r="J1258" s="14">
        <v>2985.7</v>
      </c>
      <c r="K1258" s="14">
        <v>2124.75</v>
      </c>
      <c r="L1258" s="15">
        <v>2531619</v>
      </c>
      <c r="M1258" t="s" s="13">
        <v>7546</v>
      </c>
      <c r="N1258" s="15">
        <v>74115</v>
      </c>
      <c r="O1258" s="17" cm="1">
        <f t="array" ref="O1258">(H1258-H1257)/H1257</f>
        <v>-0.00780825921750386</v>
      </c>
      <c r="P1258" s="8"/>
      <c r="Q1258" s="8"/>
    </row>
    <row r="1259" ht="13.65" customHeight="1">
      <c r="A1259" s="12">
        <v>46083</v>
      </c>
      <c r="B1259" t="s" s="13">
        <v>22</v>
      </c>
      <c r="C1259" s="14">
        <v>2300</v>
      </c>
      <c r="D1259" s="14">
        <v>2337.9</v>
      </c>
      <c r="E1259" s="14">
        <v>2283.5</v>
      </c>
      <c r="F1259" s="14">
        <v>2376.2</v>
      </c>
      <c r="G1259" s="14">
        <v>2303</v>
      </c>
      <c r="H1259" s="14">
        <v>2307.1</v>
      </c>
      <c r="I1259" s="14">
        <v>2307.99</v>
      </c>
      <c r="J1259" s="14">
        <v>2985.7</v>
      </c>
      <c r="K1259" s="14">
        <v>2124.75</v>
      </c>
      <c r="L1259" s="15">
        <v>2528308</v>
      </c>
      <c r="M1259" t="s" s="13">
        <v>7547</v>
      </c>
      <c r="N1259" s="15">
        <v>138273</v>
      </c>
      <c r="O1259" s="17" cm="1">
        <f t="array" ref="O1259">(H1259-H1258)/H1258</f>
        <v>-0.0290800437673596</v>
      </c>
      <c r="P1259" s="8"/>
      <c r="Q1259" s="8"/>
    </row>
    <row r="1260" ht="13.65" customHeight="1">
      <c r="A1260" s="12">
        <v>46085</v>
      </c>
      <c r="B1260" t="s" s="13">
        <v>22</v>
      </c>
      <c r="C1260" s="14">
        <v>2260.7</v>
      </c>
      <c r="D1260" s="14">
        <v>2290.9</v>
      </c>
      <c r="E1260" s="14">
        <v>2216.3</v>
      </c>
      <c r="F1260" s="14">
        <v>2307.1</v>
      </c>
      <c r="G1260" s="14">
        <v>2290</v>
      </c>
      <c r="H1260" s="14">
        <v>2285.2</v>
      </c>
      <c r="I1260" s="14">
        <v>2263.98</v>
      </c>
      <c r="J1260" s="14">
        <v>2985.7</v>
      </c>
      <c r="K1260" s="14">
        <v>2124.75</v>
      </c>
      <c r="L1260" s="15">
        <v>1610358</v>
      </c>
      <c r="M1260" t="s" s="13">
        <v>7548</v>
      </c>
      <c r="N1260" s="15">
        <v>125784</v>
      </c>
      <c r="O1260" s="17" cm="1">
        <f t="array" ref="O1260">(H1260-H1259)/H1259</f>
        <v>-0.009492436392007281</v>
      </c>
      <c r="P1260" s="8"/>
      <c r="Q1260" s="8"/>
    </row>
    <row r="1261" ht="13.65" customHeight="1">
      <c r="A1261" s="12">
        <v>46086</v>
      </c>
      <c r="B1261" t="s" s="13">
        <v>22</v>
      </c>
      <c r="C1261" s="14">
        <v>2285.2</v>
      </c>
      <c r="D1261" s="14">
        <v>2313</v>
      </c>
      <c r="E1261" s="14">
        <v>2253.7</v>
      </c>
      <c r="F1261" s="14">
        <v>2285.2</v>
      </c>
      <c r="G1261" s="14">
        <v>2282.5</v>
      </c>
      <c r="H1261" s="14">
        <v>2287.8</v>
      </c>
      <c r="I1261" s="14">
        <v>2272.72</v>
      </c>
      <c r="J1261" s="14">
        <v>2985.7</v>
      </c>
      <c r="K1261" s="14">
        <v>2124.75</v>
      </c>
      <c r="L1261" s="15">
        <v>925040</v>
      </c>
      <c r="M1261" t="s" s="13">
        <v>7549</v>
      </c>
      <c r="N1261" s="15">
        <v>79565</v>
      </c>
      <c r="O1261" s="17" cm="1">
        <f t="array" ref="O1261">(H1261-H1260)/H1260</f>
        <v>0.0011377559950989</v>
      </c>
      <c r="P1261" s="8"/>
      <c r="Q1261" s="8"/>
    </row>
    <row r="1262" ht="13.65" customHeight="1">
      <c r="A1262" s="12">
        <v>46087</v>
      </c>
      <c r="B1262" t="s" s="13">
        <v>22</v>
      </c>
      <c r="C1262" s="14">
        <v>2261.7</v>
      </c>
      <c r="D1262" s="14">
        <v>2307.9</v>
      </c>
      <c r="E1262" s="14">
        <v>2253.7</v>
      </c>
      <c r="F1262" s="14">
        <v>2287.8</v>
      </c>
      <c r="G1262" s="14">
        <v>2282</v>
      </c>
      <c r="H1262" s="14">
        <v>2279.5</v>
      </c>
      <c r="I1262" s="14">
        <v>2286.88</v>
      </c>
      <c r="J1262" s="14">
        <v>2985.7</v>
      </c>
      <c r="K1262" s="14">
        <v>2124.75</v>
      </c>
      <c r="L1262" s="15">
        <v>979742</v>
      </c>
      <c r="M1262" t="s" s="13">
        <v>7550</v>
      </c>
      <c r="N1262" s="15">
        <v>66828</v>
      </c>
      <c r="O1262" s="17" cm="1">
        <f t="array" ref="O1262">(H1262-H1261)/H1261</f>
        <v>-0.0036279395052015</v>
      </c>
      <c r="P1262" s="8"/>
      <c r="Q1262" s="8"/>
    </row>
    <row r="1263" ht="13.65" customHeight="1">
      <c r="A1263" s="12">
        <v>46090</v>
      </c>
      <c r="B1263" t="s" s="13">
        <v>22</v>
      </c>
      <c r="C1263" s="14">
        <v>2200</v>
      </c>
      <c r="D1263" s="14">
        <v>2230</v>
      </c>
      <c r="E1263" s="14">
        <v>2162.6</v>
      </c>
      <c r="F1263" s="14">
        <v>2279.5</v>
      </c>
      <c r="G1263" s="14">
        <v>2217</v>
      </c>
      <c r="H1263" s="14">
        <v>2220.8</v>
      </c>
      <c r="I1263" s="14">
        <v>2190.84</v>
      </c>
      <c r="J1263" s="14">
        <v>2985.7</v>
      </c>
      <c r="K1263" s="14">
        <v>2162.6</v>
      </c>
      <c r="L1263" s="15">
        <v>2198153</v>
      </c>
      <c r="M1263" t="s" s="13">
        <v>7551</v>
      </c>
      <c r="N1263" s="15">
        <v>119346</v>
      </c>
      <c r="O1263" s="17" cm="1">
        <f t="array" ref="O1263">(H1263-H1262)/H1262</f>
        <v>-0.0257512612415003</v>
      </c>
      <c r="P1263" s="8"/>
      <c r="Q1263" s="8"/>
    </row>
    <row r="1264" ht="13.65" customHeight="1">
      <c r="A1264" s="18">
        <v>46091</v>
      </c>
      <c r="B1264" t="s" s="13">
        <v>22</v>
      </c>
      <c r="C1264" s="14">
        <v>2251.6</v>
      </c>
      <c r="D1264" s="14">
        <v>2305.1</v>
      </c>
      <c r="E1264" s="14">
        <v>2251.6</v>
      </c>
      <c r="F1264" s="14">
        <v>2220.8</v>
      </c>
      <c r="G1264" s="14">
        <v>2295</v>
      </c>
      <c r="H1264" s="14">
        <v>2280.4</v>
      </c>
      <c r="I1264" s="14">
        <v>2270.06</v>
      </c>
      <c r="J1264" s="14">
        <v>2985.7</v>
      </c>
      <c r="K1264" s="14">
        <v>2162.6</v>
      </c>
      <c r="L1264" s="15">
        <v>1192174</v>
      </c>
      <c r="M1264" t="s" s="13">
        <v>7552</v>
      </c>
      <c r="N1264" s="15">
        <v>66092</v>
      </c>
      <c r="O1264" s="17" cm="1">
        <f t="array" ref="O1264">(H1264-H1263)/H1263</f>
        <v>0.0268371757925072</v>
      </c>
      <c r="P1264" s="8"/>
      <c r="Q1264" s="8"/>
    </row>
    <row r="1265" ht="13.65" customHeight="1">
      <c r="A1265" s="18">
        <v>46092</v>
      </c>
      <c r="B1265" t="s" s="13">
        <v>22</v>
      </c>
      <c r="C1265" s="14">
        <v>2290</v>
      </c>
      <c r="D1265" s="14">
        <v>2302</v>
      </c>
      <c r="E1265" s="14">
        <v>2226</v>
      </c>
      <c r="F1265" s="14">
        <v>2280.4</v>
      </c>
      <c r="G1265" s="14">
        <v>2232.9</v>
      </c>
      <c r="H1265" s="14">
        <v>2232</v>
      </c>
      <c r="I1265" s="14">
        <v>2260.69</v>
      </c>
      <c r="J1265" s="14">
        <v>2985.7</v>
      </c>
      <c r="K1265" s="14">
        <v>2162.6</v>
      </c>
      <c r="L1265" s="15">
        <v>687786</v>
      </c>
      <c r="M1265" t="s" s="13">
        <v>7553</v>
      </c>
      <c r="N1265" s="15">
        <v>62520</v>
      </c>
      <c r="O1265" s="17" cm="1">
        <f t="array" ref="O1265">(H1265-H1264)/H1264</f>
        <v>-0.0212243466058586</v>
      </c>
      <c r="P1265" s="8"/>
      <c r="Q1265" s="8"/>
    </row>
    <row r="1266" ht="13.65" customHeight="1">
      <c r="A1266" s="18">
        <v>46093</v>
      </c>
      <c r="B1266" t="s" s="13">
        <v>22</v>
      </c>
      <c r="C1266" s="14">
        <v>2208</v>
      </c>
      <c r="D1266" s="14">
        <v>2249.9</v>
      </c>
      <c r="E1266" s="14">
        <v>2201</v>
      </c>
      <c r="F1266" s="14">
        <v>2232</v>
      </c>
      <c r="G1266" s="14">
        <v>2221.4</v>
      </c>
      <c r="H1266" s="14">
        <v>2221.2</v>
      </c>
      <c r="I1266" s="14">
        <v>2225.28</v>
      </c>
      <c r="J1266" s="14">
        <v>2985.7</v>
      </c>
      <c r="K1266" s="14">
        <v>2162.6</v>
      </c>
      <c r="L1266" s="15">
        <v>1384055</v>
      </c>
      <c r="M1266" t="s" s="13">
        <v>7554</v>
      </c>
      <c r="N1266" s="15">
        <v>96995</v>
      </c>
      <c r="O1266" s="17" cm="1">
        <f t="array" ref="O1266">(H1266-H1265)/H1265</f>
        <v>-0.00483870967741935</v>
      </c>
      <c r="P1266" s="8"/>
      <c r="Q1266" s="8"/>
    </row>
    <row r="1267" ht="13.65" customHeight="1">
      <c r="A1267" s="18">
        <v>46094</v>
      </c>
      <c r="B1267" t="s" s="13">
        <v>22</v>
      </c>
      <c r="C1267" s="14">
        <v>2204.7</v>
      </c>
      <c r="D1267" s="14">
        <v>2219.7</v>
      </c>
      <c r="E1267" s="14">
        <v>2190</v>
      </c>
      <c r="F1267" s="14">
        <v>2221.2</v>
      </c>
      <c r="G1267" s="14">
        <v>2194.1</v>
      </c>
      <c r="H1267" s="14">
        <v>2196.8</v>
      </c>
      <c r="I1267" s="14">
        <v>2201.9</v>
      </c>
      <c r="J1267" s="14">
        <v>2985.7</v>
      </c>
      <c r="K1267" s="14">
        <v>2162.6</v>
      </c>
      <c r="L1267" s="15">
        <v>949233</v>
      </c>
      <c r="M1267" t="s" s="13">
        <v>7555</v>
      </c>
      <c r="N1267" s="15">
        <v>87307</v>
      </c>
      <c r="O1267" s="17" cm="1">
        <f t="array" ref="O1267">(H1267-H1266)/H1266</f>
        <v>-0.0109850531244372</v>
      </c>
      <c r="P1267" s="8"/>
      <c r="Q1267" s="8"/>
    </row>
    <row r="1268" ht="13.65" customHeight="1">
      <c r="A1268" s="18">
        <v>46097</v>
      </c>
      <c r="B1268" t="s" s="13">
        <v>22</v>
      </c>
      <c r="C1268" s="14">
        <v>2185.4</v>
      </c>
      <c r="D1268" s="14">
        <v>2227.8</v>
      </c>
      <c r="E1268" s="14">
        <v>2175.1</v>
      </c>
      <c r="F1268" s="14">
        <v>2196.8</v>
      </c>
      <c r="G1268" s="14">
        <v>2215</v>
      </c>
      <c r="H1268" s="14">
        <v>2217.7</v>
      </c>
      <c r="I1268" s="14">
        <v>2206.49</v>
      </c>
      <c r="J1268" s="14">
        <v>2985.7</v>
      </c>
      <c r="K1268" s="14">
        <v>2162.6</v>
      </c>
      <c r="L1268" s="15">
        <v>1111587</v>
      </c>
      <c r="M1268" t="s" s="13">
        <v>7556</v>
      </c>
      <c r="N1268" s="15">
        <v>97423</v>
      </c>
      <c r="O1268" s="17" cm="1">
        <f t="array" ref="O1268">(H1268-H1267)/H1267</f>
        <v>0.00951383831026948</v>
      </c>
      <c r="P1268" s="8"/>
      <c r="Q1268" s="8"/>
    </row>
    <row r="1269" ht="13.65" customHeight="1">
      <c r="A1269" s="18">
        <v>46098</v>
      </c>
      <c r="B1269" t="s" s="13">
        <v>22</v>
      </c>
      <c r="C1269" s="14">
        <v>2217.7</v>
      </c>
      <c r="D1269" s="14">
        <v>2261.5</v>
      </c>
      <c r="E1269" s="14">
        <v>2217.2</v>
      </c>
      <c r="F1269" s="14">
        <v>2217.7</v>
      </c>
      <c r="G1269" s="14">
        <v>2240.5</v>
      </c>
      <c r="H1269" s="14">
        <v>2238.2</v>
      </c>
      <c r="I1269" s="14">
        <v>2236.47</v>
      </c>
      <c r="J1269" s="14">
        <v>2985.7</v>
      </c>
      <c r="K1269" s="14">
        <v>2162.6</v>
      </c>
      <c r="L1269" s="15">
        <v>875461</v>
      </c>
      <c r="M1269" t="s" s="13">
        <v>7557</v>
      </c>
      <c r="N1269" s="15">
        <v>73022</v>
      </c>
      <c r="O1269" s="17" cm="1">
        <f t="array" ref="O1269">(H1269-H1268)/H1268</f>
        <v>0.00924381115570185</v>
      </c>
      <c r="P1269" s="8"/>
      <c r="Q1269" s="8"/>
    </row>
    <row r="1270" ht="13.65" customHeight="1">
      <c r="A1270" s="18">
        <v>46099</v>
      </c>
      <c r="B1270" t="s" s="13">
        <v>22</v>
      </c>
      <c r="C1270" s="14">
        <v>2235.1</v>
      </c>
      <c r="D1270" s="14">
        <v>2270.4</v>
      </c>
      <c r="E1270" s="14">
        <v>2228.6</v>
      </c>
      <c r="F1270" s="14">
        <v>2238.2</v>
      </c>
      <c r="G1270" s="14">
        <v>2260</v>
      </c>
      <c r="H1270" s="14">
        <v>2262.1</v>
      </c>
      <c r="I1270" s="14">
        <v>2250.29</v>
      </c>
      <c r="J1270" s="14">
        <v>2985.7</v>
      </c>
      <c r="K1270" s="14">
        <v>2162.6</v>
      </c>
      <c r="L1270" s="15">
        <v>844912</v>
      </c>
      <c r="M1270" t="s" s="13">
        <v>7558</v>
      </c>
      <c r="N1270" s="15">
        <v>71339</v>
      </c>
      <c r="O1270" s="17" cm="1">
        <f t="array" ref="O1270">(H1270-H1269)/H1269</f>
        <v>0.0106782235725136</v>
      </c>
      <c r="P1270" s="8"/>
      <c r="Q1270" s="8"/>
    </row>
    <row r="1271" ht="13.65" customHeight="1">
      <c r="A1271" s="18">
        <v>46100</v>
      </c>
      <c r="B1271" t="s" s="13">
        <v>22</v>
      </c>
      <c r="C1271" s="14">
        <v>2220</v>
      </c>
      <c r="D1271" s="14">
        <v>2239</v>
      </c>
      <c r="E1271" s="14">
        <v>2180.6</v>
      </c>
      <c r="F1271" s="14">
        <v>2262.1</v>
      </c>
      <c r="G1271" s="14">
        <v>2195.5</v>
      </c>
      <c r="H1271" s="14">
        <v>2186</v>
      </c>
      <c r="I1271" s="14">
        <v>2196.51</v>
      </c>
      <c r="J1271" s="14">
        <v>2985.7</v>
      </c>
      <c r="K1271" s="14">
        <v>2162.6</v>
      </c>
      <c r="L1271" s="15">
        <v>889334</v>
      </c>
      <c r="M1271" t="s" s="13">
        <v>7559</v>
      </c>
      <c r="N1271" s="15">
        <v>76804</v>
      </c>
      <c r="O1271" s="17" cm="1">
        <f t="array" ref="O1271">(H1271-H1270)/H1270</f>
        <v>-0.0336413067503647</v>
      </c>
      <c r="P1271" s="8"/>
      <c r="Q1271" s="8"/>
    </row>
    <row r="1272" ht="13.65" customHeight="1">
      <c r="A1272" s="18">
        <v>46101</v>
      </c>
      <c r="B1272" t="s" s="13">
        <v>22</v>
      </c>
      <c r="C1272" s="14">
        <v>2210.9</v>
      </c>
      <c r="D1272" s="14">
        <v>2224.5</v>
      </c>
      <c r="E1272" s="14">
        <v>2185</v>
      </c>
      <c r="F1272" s="14">
        <v>2186</v>
      </c>
      <c r="G1272" s="14">
        <v>2204.8</v>
      </c>
      <c r="H1272" s="14">
        <v>2195.4</v>
      </c>
      <c r="I1272" s="14">
        <v>2201.87</v>
      </c>
      <c r="J1272" s="14">
        <v>2985.7</v>
      </c>
      <c r="K1272" s="14">
        <v>2162.6</v>
      </c>
      <c r="L1272" s="15">
        <v>875920</v>
      </c>
      <c r="M1272" t="s" s="13">
        <v>7560</v>
      </c>
      <c r="N1272" s="15">
        <v>63193</v>
      </c>
      <c r="O1272" s="17" cm="1">
        <f t="array" ref="O1272">(H1272-H1271)/H1271</f>
        <v>0.00430009149130833</v>
      </c>
      <c r="P1272" s="8"/>
      <c r="Q1272" s="8"/>
    </row>
    <row r="1273" ht="13.65" customHeight="1">
      <c r="A1273" s="18">
        <v>46104</v>
      </c>
      <c r="B1273" t="s" s="13">
        <v>22</v>
      </c>
      <c r="C1273" s="14">
        <v>2180</v>
      </c>
      <c r="D1273" s="14">
        <v>2180</v>
      </c>
      <c r="E1273" s="14">
        <v>2115</v>
      </c>
      <c r="F1273" s="14">
        <v>2195.4</v>
      </c>
      <c r="G1273" s="14">
        <v>2120.8</v>
      </c>
      <c r="H1273" s="14">
        <v>2121.3</v>
      </c>
      <c r="I1273" s="14">
        <v>2138.3</v>
      </c>
      <c r="J1273" s="14">
        <v>2985.7</v>
      </c>
      <c r="K1273" s="14">
        <v>2115</v>
      </c>
      <c r="L1273" s="15">
        <v>978398</v>
      </c>
      <c r="M1273" t="s" s="13">
        <v>7561</v>
      </c>
      <c r="N1273" s="15">
        <v>84243</v>
      </c>
      <c r="O1273" s="17" cm="1">
        <f t="array" ref="O1273">(H1273-H1272)/H1272</f>
        <v>-0.0337523913637606</v>
      </c>
      <c r="P1273" s="8"/>
      <c r="Q1273" s="8"/>
    </row>
    <row r="1274" ht="13.65" customHeight="1">
      <c r="A1274" s="18">
        <v>46105</v>
      </c>
      <c r="B1274" t="s" s="13">
        <v>22</v>
      </c>
      <c r="C1274" s="14">
        <v>2184</v>
      </c>
      <c r="D1274" s="14">
        <v>2224.5</v>
      </c>
      <c r="E1274" s="14">
        <v>2153.3</v>
      </c>
      <c r="F1274" s="14">
        <v>2121.3</v>
      </c>
      <c r="G1274" s="14">
        <v>2220.5</v>
      </c>
      <c r="H1274" s="14">
        <v>2217.3</v>
      </c>
      <c r="I1274" s="14">
        <v>2196.94</v>
      </c>
      <c r="J1274" s="14">
        <v>2985.7</v>
      </c>
      <c r="K1274" s="14">
        <v>2115</v>
      </c>
      <c r="L1274" s="15">
        <v>1561016</v>
      </c>
      <c r="M1274" t="s" s="13">
        <v>7562</v>
      </c>
      <c r="N1274" s="15">
        <v>120036</v>
      </c>
      <c r="O1274" s="17" cm="1">
        <f t="array" ref="O1274">(H1274-H1273)/H1273</f>
        <v>0.0452552679960402</v>
      </c>
      <c r="P1274" s="8"/>
      <c r="Q1274" s="8"/>
    </row>
    <row r="1275" ht="13.65" customHeight="1">
      <c r="A1275" s="18">
        <v>46106</v>
      </c>
      <c r="B1275" t="s" s="13">
        <v>22</v>
      </c>
      <c r="C1275" s="14">
        <v>2225.1</v>
      </c>
      <c r="D1275" s="14">
        <v>2289.7</v>
      </c>
      <c r="E1275" s="14">
        <v>2222</v>
      </c>
      <c r="F1275" s="14">
        <v>2217.3</v>
      </c>
      <c r="G1275" s="14">
        <v>2271</v>
      </c>
      <c r="H1275" s="14">
        <v>2270.2</v>
      </c>
      <c r="I1275" s="14">
        <v>2264.27</v>
      </c>
      <c r="J1275" s="14">
        <v>2985.7</v>
      </c>
      <c r="K1275" s="14">
        <v>2115</v>
      </c>
      <c r="L1275" s="15">
        <v>1270855</v>
      </c>
      <c r="M1275" t="s" s="13">
        <v>7563</v>
      </c>
      <c r="N1275" s="15">
        <v>130505</v>
      </c>
      <c r="O1275" s="17" cm="1">
        <f t="array" ref="O1275">(H1275-H1274)/H1274</f>
        <v>0.0238578451269562</v>
      </c>
      <c r="P1275" s="8"/>
      <c r="Q1275" s="8"/>
    </row>
    <row r="1276" ht="13.65" customHeight="1">
      <c r="A1276" s="18">
        <v>46108</v>
      </c>
      <c r="B1276" t="s" s="13">
        <v>22</v>
      </c>
      <c r="C1276" s="14">
        <v>2246.3</v>
      </c>
      <c r="D1276" s="14">
        <v>2269</v>
      </c>
      <c r="E1276" s="14">
        <v>2201.1</v>
      </c>
      <c r="F1276" s="14">
        <v>2270.2</v>
      </c>
      <c r="G1276" s="14">
        <v>2209.2</v>
      </c>
      <c r="H1276" s="14">
        <v>2207.4</v>
      </c>
      <c r="I1276" s="14">
        <v>2225.52</v>
      </c>
      <c r="J1276" s="14">
        <v>2985.7</v>
      </c>
      <c r="K1276" s="14">
        <v>2115</v>
      </c>
      <c r="L1276" s="15">
        <v>1089010</v>
      </c>
      <c r="M1276" t="s" s="13">
        <v>7564</v>
      </c>
      <c r="N1276" s="15">
        <v>69114</v>
      </c>
      <c r="O1276" s="17" cm="1">
        <f t="array" ref="O1276">(H1276-H1275)/H1275</f>
        <v>-0.0276627609902211</v>
      </c>
      <c r="P1276" s="8"/>
      <c r="Q1276" s="8"/>
    </row>
    <row r="1277" ht="13.65" customHeight="1">
      <c r="A1277" s="18">
        <v>46111</v>
      </c>
      <c r="B1277" t="s" s="13">
        <v>22</v>
      </c>
      <c r="C1277" s="14">
        <v>2185.3</v>
      </c>
      <c r="D1277" s="14">
        <v>2202.9</v>
      </c>
      <c r="E1277" s="14">
        <v>2151</v>
      </c>
      <c r="F1277" s="14">
        <v>2207.4</v>
      </c>
      <c r="G1277" s="14">
        <v>2168.2</v>
      </c>
      <c r="H1277" s="14">
        <v>2165.2</v>
      </c>
      <c r="I1277" s="14">
        <v>2170.89</v>
      </c>
      <c r="J1277" s="14">
        <v>2985.7</v>
      </c>
      <c r="K1277" s="14">
        <v>2115</v>
      </c>
      <c r="L1277" s="15">
        <v>1513565</v>
      </c>
      <c r="M1277" t="s" s="13">
        <v>7565</v>
      </c>
      <c r="N1277" s="15">
        <v>89204</v>
      </c>
      <c r="O1277" s="17" cm="1">
        <f t="array" ref="O1277">(H1277-H1276)/H1276</f>
        <v>-0.0191175138171605</v>
      </c>
      <c r="P1277" s="8"/>
      <c r="Q1277" s="8"/>
    </row>
    <row r="1278" ht="13.65" customHeight="1">
      <c r="A1278" s="12">
        <v>46113</v>
      </c>
      <c r="B1278" t="s" s="13">
        <v>22</v>
      </c>
      <c r="C1278" s="14">
        <v>2224.8</v>
      </c>
      <c r="D1278" s="14">
        <v>2246.6</v>
      </c>
      <c r="E1278" s="14">
        <v>2198.4</v>
      </c>
      <c r="F1278" s="14">
        <v>2165.2</v>
      </c>
      <c r="G1278" s="14">
        <v>2226</v>
      </c>
      <c r="H1278" s="14">
        <v>2225.8</v>
      </c>
      <c r="I1278" s="14">
        <v>2223.69</v>
      </c>
      <c r="J1278" s="14">
        <v>2985.7</v>
      </c>
      <c r="K1278" s="14">
        <v>2115</v>
      </c>
      <c r="L1278" s="15">
        <v>1209900</v>
      </c>
      <c r="M1278" t="s" s="13">
        <v>7566</v>
      </c>
      <c r="N1278" s="15">
        <v>75400</v>
      </c>
      <c r="O1278" s="17" cm="1">
        <f t="array" ref="O1278">(H1278-H1277)/H1277</f>
        <v>0.0279881766118603</v>
      </c>
      <c r="P1278" s="8"/>
      <c r="Q1278" s="8"/>
    </row>
    <row r="1279" ht="13.65" customHeight="1">
      <c r="A1279" s="37"/>
      <c r="B1279" s="38"/>
      <c r="C1279" s="39"/>
      <c r="D1279" s="39"/>
      <c r="E1279" s="39"/>
      <c r="F1279" s="39"/>
      <c r="G1279" s="39"/>
      <c r="H1279" s="39"/>
      <c r="I1279" s="39"/>
      <c r="J1279" s="39"/>
      <c r="K1279" s="39"/>
      <c r="L1279" s="40"/>
      <c r="M1279" s="40"/>
      <c r="N1279" s="40"/>
      <c r="O1279" s="22"/>
      <c r="P1279" s="8"/>
      <c r="Q1279" s="8"/>
    </row>
    <row r="1280" ht="13.65" customHeight="1">
      <c r="A1280" s="41"/>
      <c r="B1280" s="42"/>
      <c r="C1280" s="43"/>
      <c r="D1280" s="43"/>
      <c r="E1280" s="43"/>
      <c r="F1280" s="43"/>
      <c r="G1280" s="43"/>
      <c r="H1280" s="43"/>
      <c r="I1280" s="43"/>
      <c r="J1280" s="43"/>
      <c r="K1280" s="43"/>
      <c r="L1280" s="44"/>
      <c r="M1280" s="44"/>
      <c r="N1280" t="s" s="7">
        <v>1028</v>
      </c>
      <c r="O1280" s="22" cm="1">
        <f t="array" ref="O1280">AVERAGE(O1032:O1278)</f>
        <v>-5.91214503124608e-05</v>
      </c>
      <c r="P1280" s="8"/>
      <c r="Q1280" s="8"/>
    </row>
    <row r="1281" ht="13.65" customHeight="1">
      <c r="A1281" s="41"/>
      <c r="B1281" s="42"/>
      <c r="C1281" s="43"/>
      <c r="D1281" s="43"/>
      <c r="E1281" s="43"/>
      <c r="F1281" s="43"/>
      <c r="G1281" s="43"/>
      <c r="H1281" s="43"/>
      <c r="I1281" s="43"/>
      <c r="J1281" s="43"/>
      <c r="K1281" s="43"/>
      <c r="L1281" s="44"/>
      <c r="M1281" s="44"/>
      <c r="N1281" t="s" s="7">
        <v>273</v>
      </c>
      <c r="O1281" s="22">
        <v>0.0142</v>
      </c>
      <c r="P1281" s="8"/>
      <c r="Q1281" s="8"/>
    </row>
    <row r="1282" ht="13.65" customHeight="1">
      <c r="A1282" s="41"/>
      <c r="B1282" s="42"/>
      <c r="C1282" s="43"/>
      <c r="D1282" s="43"/>
      <c r="E1282" s="43"/>
      <c r="F1282" s="43"/>
      <c r="G1282" s="43"/>
      <c r="H1282" s="43"/>
      <c r="I1282" s="43"/>
      <c r="J1282" s="43"/>
      <c r="K1282" s="43"/>
      <c r="L1282" s="8"/>
      <c r="M1282" s="44"/>
      <c r="N1282" t="s" s="7">
        <v>274</v>
      </c>
      <c r="O1282" s="45" cm="1">
        <f t="array" ref="O1282">AVERAGE(L1031:L1278)</f>
        <v>1207768.78225806</v>
      </c>
      <c r="P1282" s="8"/>
      <c r="Q1282" s="8"/>
    </row>
    <row r="1283" ht="13.65" customHeight="1">
      <c r="A1283" s="41"/>
      <c r="B1283" s="42"/>
      <c r="C1283" s="43"/>
      <c r="D1283" s="43"/>
      <c r="E1283" s="43"/>
      <c r="F1283" s="43"/>
      <c r="G1283" s="43"/>
      <c r="H1283" s="43"/>
      <c r="I1283" s="43"/>
      <c r="J1283" s="43"/>
      <c r="K1283" s="43"/>
      <c r="L1283" s="44"/>
      <c r="M1283" s="44"/>
      <c r="N1283" t="s" s="46">
        <v>275</v>
      </c>
      <c r="O1283" s="22" cm="1">
        <f t="array" ref="O1283">IF(H1276&gt;H1029,1,IF(H1276&lt;H1029,-1,0))</f>
        <v>1</v>
      </c>
      <c r="P1283" s="8"/>
      <c r="Q1283" s="8"/>
    </row>
    <row r="1284" ht="13.65" customHeight="1">
      <c r="A1284" s="41"/>
      <c r="B1284" s="42"/>
      <c r="C1284" s="43"/>
      <c r="D1284" s="43"/>
      <c r="E1284" s="43"/>
      <c r="F1284" s="43"/>
      <c r="G1284" s="43"/>
      <c r="H1284" s="43"/>
      <c r="I1284" s="43"/>
      <c r="J1284" s="43"/>
      <c r="K1284" s="43"/>
      <c r="L1284" s="44"/>
      <c r="M1284" s="44"/>
      <c r="N1284" t="s" s="46">
        <v>528</v>
      </c>
      <c r="O1284" s="22" cm="1">
        <f t="array" ref="O1284">(H1278-H1031)/H1031</f>
        <v>-0.0389464594127807</v>
      </c>
      <c r="P1284" s="8"/>
      <c r="Q1284" s="8"/>
    </row>
    <row r="1285" ht="13.65" customHeight="1">
      <c r="A1285" s="47"/>
      <c r="B1285" s="42"/>
      <c r="C1285" s="43"/>
      <c r="D1285" s="43"/>
      <c r="E1285" s="43"/>
      <c r="F1285" s="43"/>
      <c r="G1285" s="43"/>
      <c r="H1285" s="43"/>
      <c r="I1285" s="43"/>
      <c r="J1285" s="43"/>
      <c r="K1285" s="43"/>
      <c r="L1285" s="44"/>
      <c r="M1285" s="44"/>
      <c r="N1285" s="44"/>
      <c r="O1285" s="22"/>
      <c r="P1285" s="23">
        <v>-1</v>
      </c>
      <c r="Q1285"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O2030"/>
  <sheetViews>
    <sheetView workbookViewId="0" showGridLines="0" defaultGridColor="1"/>
  </sheetViews>
  <sheetFormatPr defaultColWidth="12.6667" defaultRowHeight="15.75" customHeight="1" outlineLevelRow="0" outlineLevelCol="0"/>
  <cols>
    <col min="1" max="15" width="12.6719" style="48" customWidth="1"/>
    <col min="16" max="16384" width="12.6719" style="48" customWidth="1"/>
  </cols>
  <sheetData>
    <row r="1" ht="13.65" customHeight="1">
      <c r="A1" t="s" s="7">
        <v>6</v>
      </c>
      <c r="B1" s="8"/>
      <c r="C1" s="8"/>
      <c r="D1" s="8"/>
      <c r="E1" s="8"/>
      <c r="F1" s="8"/>
      <c r="G1" s="8"/>
      <c r="H1" s="8"/>
      <c r="I1" s="8"/>
      <c r="J1" s="8"/>
      <c r="K1" s="8"/>
      <c r="L1" s="8"/>
      <c r="M1" s="8"/>
      <c r="N1" s="8"/>
      <c r="O1" s="8"/>
    </row>
    <row r="2" ht="13.65" customHeight="1">
      <c r="A2" s="9"/>
      <c r="B2" s="9"/>
      <c r="C2" s="9"/>
      <c r="D2" s="9"/>
      <c r="E2" s="9"/>
      <c r="F2" s="9"/>
      <c r="G2" s="9"/>
      <c r="H2" s="9"/>
      <c r="I2" s="9"/>
      <c r="J2" s="9"/>
      <c r="K2" s="9"/>
      <c r="L2" s="9"/>
      <c r="M2" s="9"/>
      <c r="N2" s="9"/>
      <c r="O2" s="8"/>
    </row>
    <row r="3" ht="13.65" customHeight="1">
      <c r="A3" t="s" s="10">
        <v>7</v>
      </c>
      <c r="B3" t="s" s="10">
        <v>8</v>
      </c>
      <c r="C3" t="s" s="10">
        <v>9</v>
      </c>
      <c r="D3" t="s" s="10">
        <v>10</v>
      </c>
      <c r="E3" t="s" s="10">
        <v>11</v>
      </c>
      <c r="F3" t="s" s="10">
        <v>12</v>
      </c>
      <c r="G3" t="s" s="10">
        <v>13</v>
      </c>
      <c r="H3" t="s" s="10">
        <v>14</v>
      </c>
      <c r="I3" t="s" s="10">
        <v>15</v>
      </c>
      <c r="J3" t="s" s="10">
        <v>16</v>
      </c>
      <c r="K3" t="s" s="10">
        <v>17</v>
      </c>
      <c r="L3" t="s" s="10">
        <v>18</v>
      </c>
      <c r="M3" t="s" s="10">
        <v>19</v>
      </c>
      <c r="N3" t="s" s="10">
        <v>20</v>
      </c>
      <c r="O3" t="s" s="11">
        <v>278</v>
      </c>
    </row>
    <row r="4" ht="13.65" customHeight="1">
      <c r="A4" s="12">
        <v>44287</v>
      </c>
      <c r="B4" t="s" s="13">
        <v>22</v>
      </c>
      <c r="C4" s="15">
        <v>821</v>
      </c>
      <c r="D4" s="15">
        <v>868.9</v>
      </c>
      <c r="E4" s="15">
        <v>819</v>
      </c>
      <c r="F4" s="15">
        <v>811.85</v>
      </c>
      <c r="G4" s="15">
        <v>858.9</v>
      </c>
      <c r="H4" s="15">
        <v>863.05</v>
      </c>
      <c r="I4" s="15">
        <v>842.25</v>
      </c>
      <c r="J4" s="15">
        <v>868.9</v>
      </c>
      <c r="K4" s="15">
        <v>250.85</v>
      </c>
      <c r="L4" s="15">
        <v>36842098</v>
      </c>
      <c r="M4" t="s" s="13">
        <v>7568</v>
      </c>
      <c r="N4" s="15">
        <v>405809</v>
      </c>
      <c r="O4" s="17"/>
    </row>
    <row r="5" ht="13.65" customHeight="1">
      <c r="A5" s="12">
        <v>44291</v>
      </c>
      <c r="B5" t="s" s="13">
        <v>22</v>
      </c>
      <c r="C5" s="15">
        <v>862</v>
      </c>
      <c r="D5" s="15">
        <v>877.85</v>
      </c>
      <c r="E5" s="15">
        <v>837.15</v>
      </c>
      <c r="F5" s="15">
        <v>863.05</v>
      </c>
      <c r="G5" s="15">
        <v>867.3</v>
      </c>
      <c r="H5" s="15">
        <v>867.75</v>
      </c>
      <c r="I5" s="15">
        <v>859.01</v>
      </c>
      <c r="J5" s="15">
        <v>877.85</v>
      </c>
      <c r="K5" s="15">
        <v>259.2</v>
      </c>
      <c r="L5" s="15">
        <v>30575986</v>
      </c>
      <c r="M5" t="s" s="13">
        <v>7569</v>
      </c>
      <c r="N5" s="15">
        <v>380909</v>
      </c>
      <c r="O5" s="17" cm="1">
        <f t="array" ref="O5">(H5-H4)/H4</f>
        <v>0.00544580267655408</v>
      </c>
    </row>
    <row r="6" ht="13.65" customHeight="1">
      <c r="A6" s="12">
        <v>44292</v>
      </c>
      <c r="B6" t="s" s="13">
        <v>22</v>
      </c>
      <c r="C6" s="15">
        <v>875.5</v>
      </c>
      <c r="D6" s="15">
        <v>882.5</v>
      </c>
      <c r="E6" s="15">
        <v>858.15</v>
      </c>
      <c r="F6" s="15">
        <v>867.75</v>
      </c>
      <c r="G6" s="15">
        <v>861.55</v>
      </c>
      <c r="H6" s="15">
        <v>862.85</v>
      </c>
      <c r="I6" s="15">
        <v>869.0599999999999</v>
      </c>
      <c r="J6" s="15">
        <v>882.5</v>
      </c>
      <c r="K6" s="15">
        <v>259.2</v>
      </c>
      <c r="L6" s="15">
        <v>20778920</v>
      </c>
      <c r="M6" t="s" s="13">
        <v>7570</v>
      </c>
      <c r="N6" s="15">
        <v>250646</v>
      </c>
      <c r="O6" s="17" cm="1">
        <f t="array" ref="O6">(H6-H5)/H5</f>
        <v>-0.00564678766925958</v>
      </c>
    </row>
    <row r="7" ht="13.65" customHeight="1">
      <c r="A7" s="12">
        <v>44293</v>
      </c>
      <c r="B7" t="s" s="13">
        <v>22</v>
      </c>
      <c r="C7" s="15">
        <v>869.5</v>
      </c>
      <c r="D7" s="15">
        <v>885</v>
      </c>
      <c r="E7" s="15">
        <v>864.65</v>
      </c>
      <c r="F7" s="15">
        <v>862.85</v>
      </c>
      <c r="G7" s="15">
        <v>876.35</v>
      </c>
      <c r="H7" s="15">
        <v>874.85</v>
      </c>
      <c r="I7" s="15">
        <v>875.9</v>
      </c>
      <c r="J7" s="15">
        <v>885</v>
      </c>
      <c r="K7" s="15">
        <v>259.2</v>
      </c>
      <c r="L7" s="15">
        <v>17113208</v>
      </c>
      <c r="M7" t="s" s="13">
        <v>7571</v>
      </c>
      <c r="N7" s="15">
        <v>217318</v>
      </c>
      <c r="O7" s="17" cm="1">
        <f t="array" ref="O7">(H7-H6)/H6</f>
        <v>0.0139073998956945</v>
      </c>
    </row>
    <row r="8" ht="13.65" customHeight="1">
      <c r="A8" s="12">
        <v>44294</v>
      </c>
      <c r="B8" t="s" s="13">
        <v>22</v>
      </c>
      <c r="C8" s="15">
        <v>884</v>
      </c>
      <c r="D8" s="15">
        <v>953.65</v>
      </c>
      <c r="E8" s="15">
        <v>882.7</v>
      </c>
      <c r="F8" s="15">
        <v>874.85</v>
      </c>
      <c r="G8" s="15">
        <v>922</v>
      </c>
      <c r="H8" s="15">
        <v>918.4</v>
      </c>
      <c r="I8" s="15">
        <v>919.87</v>
      </c>
      <c r="J8" s="15">
        <v>953.65</v>
      </c>
      <c r="K8" s="15">
        <v>259.2</v>
      </c>
      <c r="L8" s="15">
        <v>53063056</v>
      </c>
      <c r="M8" t="s" s="13">
        <v>7572</v>
      </c>
      <c r="N8" s="15">
        <v>626502</v>
      </c>
      <c r="O8" s="17" cm="1">
        <f t="array" ref="O8">(H8-H7)/H7</f>
        <v>0.0497799622792479</v>
      </c>
    </row>
    <row r="9" ht="13.65" customHeight="1">
      <c r="A9" s="12">
        <v>44295</v>
      </c>
      <c r="B9" t="s" s="13">
        <v>22</v>
      </c>
      <c r="C9" s="15">
        <v>921</v>
      </c>
      <c r="D9" s="15">
        <v>930</v>
      </c>
      <c r="E9" s="15">
        <v>885.7</v>
      </c>
      <c r="F9" s="15">
        <v>918.4</v>
      </c>
      <c r="G9" s="15">
        <v>898.55</v>
      </c>
      <c r="H9" s="15">
        <v>899.5</v>
      </c>
      <c r="I9" s="15">
        <v>902.8099999999999</v>
      </c>
      <c r="J9" s="15">
        <v>953.65</v>
      </c>
      <c r="K9" s="15">
        <v>259.2</v>
      </c>
      <c r="L9" s="15">
        <v>32179069</v>
      </c>
      <c r="M9" t="s" s="13">
        <v>7573</v>
      </c>
      <c r="N9" s="15">
        <v>362106</v>
      </c>
      <c r="O9" s="17" cm="1">
        <f t="array" ref="O9">(H9-H8)/H8</f>
        <v>-0.0205792682926829</v>
      </c>
    </row>
    <row r="10" ht="13.65" customHeight="1">
      <c r="A10" s="18">
        <v>44298</v>
      </c>
      <c r="B10" t="s" s="13">
        <v>22</v>
      </c>
      <c r="C10" s="15">
        <v>876.55</v>
      </c>
      <c r="D10" s="15">
        <v>893.2</v>
      </c>
      <c r="E10" s="15">
        <v>843.35</v>
      </c>
      <c r="F10" s="15">
        <v>899.5</v>
      </c>
      <c r="G10" s="15">
        <v>855.85</v>
      </c>
      <c r="H10" s="15">
        <v>851.55</v>
      </c>
      <c r="I10" s="15">
        <v>868.35</v>
      </c>
      <c r="J10" s="15">
        <v>953.65</v>
      </c>
      <c r="K10" s="15">
        <v>259.2</v>
      </c>
      <c r="L10" s="15">
        <v>22135504</v>
      </c>
      <c r="M10" t="s" s="13">
        <v>7574</v>
      </c>
      <c r="N10" s="15">
        <v>302778</v>
      </c>
      <c r="O10" s="17" cm="1">
        <f t="array" ref="O10">(H10-H9)/H9</f>
        <v>-0.0533073929961089</v>
      </c>
    </row>
    <row r="11" ht="13.65" customHeight="1">
      <c r="A11" s="18">
        <v>44299</v>
      </c>
      <c r="B11" t="s" s="13">
        <v>22</v>
      </c>
      <c r="C11" s="15">
        <v>862</v>
      </c>
      <c r="D11" s="15">
        <v>881.6</v>
      </c>
      <c r="E11" s="15">
        <v>849</v>
      </c>
      <c r="F11" s="15">
        <v>851.55</v>
      </c>
      <c r="G11" s="15">
        <v>878.95</v>
      </c>
      <c r="H11" s="15">
        <v>879</v>
      </c>
      <c r="I11" s="15">
        <v>868.0700000000001</v>
      </c>
      <c r="J11" s="15">
        <v>953.65</v>
      </c>
      <c r="K11" s="15">
        <v>259.2</v>
      </c>
      <c r="L11" s="15">
        <v>20428502</v>
      </c>
      <c r="M11" t="s" s="13">
        <v>7575</v>
      </c>
      <c r="N11" s="15">
        <v>246512</v>
      </c>
      <c r="O11" s="17" cm="1">
        <f t="array" ref="O11">(H11-H10)/H10</f>
        <v>0.0322353355645587</v>
      </c>
    </row>
    <row r="12" ht="13.65" customHeight="1">
      <c r="A12" s="18">
        <v>44301</v>
      </c>
      <c r="B12" t="s" s="13">
        <v>22</v>
      </c>
      <c r="C12" s="15">
        <v>892</v>
      </c>
      <c r="D12" s="15">
        <v>911.5</v>
      </c>
      <c r="E12" s="15">
        <v>879.5</v>
      </c>
      <c r="F12" s="15">
        <v>879</v>
      </c>
      <c r="G12" s="15">
        <v>894</v>
      </c>
      <c r="H12" s="15">
        <v>898.2</v>
      </c>
      <c r="I12" s="15">
        <v>895.21</v>
      </c>
      <c r="J12" s="15">
        <v>953.65</v>
      </c>
      <c r="K12" s="15">
        <v>259.2</v>
      </c>
      <c r="L12" s="15">
        <v>21856357</v>
      </c>
      <c r="M12" t="s" s="13">
        <v>7576</v>
      </c>
      <c r="N12" s="15">
        <v>285071</v>
      </c>
      <c r="O12" s="17" cm="1">
        <f t="array" ref="O12">(H12-H11)/H11</f>
        <v>0.0218430034129693</v>
      </c>
    </row>
    <row r="13" ht="13.65" customHeight="1">
      <c r="A13" s="18">
        <v>44302</v>
      </c>
      <c r="B13" t="s" s="13">
        <v>22</v>
      </c>
      <c r="C13" s="15">
        <v>903.8</v>
      </c>
      <c r="D13" s="15">
        <v>914.4</v>
      </c>
      <c r="E13" s="15">
        <v>886.25</v>
      </c>
      <c r="F13" s="15">
        <v>898.2</v>
      </c>
      <c r="G13" s="15">
        <v>887.25</v>
      </c>
      <c r="H13" s="15">
        <v>890.25</v>
      </c>
      <c r="I13" s="15">
        <v>901.15</v>
      </c>
      <c r="J13" s="15">
        <v>953.65</v>
      </c>
      <c r="K13" s="15">
        <v>259.2</v>
      </c>
      <c r="L13" s="15">
        <v>17398598</v>
      </c>
      <c r="M13" t="s" s="13">
        <v>7577</v>
      </c>
      <c r="N13" s="15">
        <v>217303</v>
      </c>
      <c r="O13" s="17" cm="1">
        <f t="array" ref="O13">(H13-H12)/H12</f>
        <v>-0.00885103540414162</v>
      </c>
    </row>
    <row r="14" ht="13.65" customHeight="1">
      <c r="A14" s="18">
        <v>44305</v>
      </c>
      <c r="B14" t="s" s="13">
        <v>22</v>
      </c>
      <c r="C14" s="15">
        <v>869.8</v>
      </c>
      <c r="D14" s="15">
        <v>899</v>
      </c>
      <c r="E14" s="15">
        <v>860</v>
      </c>
      <c r="F14" s="15">
        <v>890.25</v>
      </c>
      <c r="G14" s="15">
        <v>886.05</v>
      </c>
      <c r="H14" s="15">
        <v>888.05</v>
      </c>
      <c r="I14" s="15">
        <v>885.77</v>
      </c>
      <c r="J14" s="15">
        <v>953.65</v>
      </c>
      <c r="K14" s="15">
        <v>259.2</v>
      </c>
      <c r="L14" s="15">
        <v>19146996</v>
      </c>
      <c r="M14" t="s" s="13">
        <v>7578</v>
      </c>
      <c r="N14" s="15">
        <v>255168</v>
      </c>
      <c r="O14" s="17" cm="1">
        <f t="array" ref="O14">(H14-H13)/H13</f>
        <v>-0.00247121595057568</v>
      </c>
    </row>
    <row r="15" ht="13.65" customHeight="1">
      <c r="A15" s="18">
        <v>44306</v>
      </c>
      <c r="B15" t="s" s="13">
        <v>22</v>
      </c>
      <c r="C15" s="15">
        <v>900</v>
      </c>
      <c r="D15" s="15">
        <v>905.75</v>
      </c>
      <c r="E15" s="15">
        <v>882</v>
      </c>
      <c r="F15" s="15">
        <v>888.05</v>
      </c>
      <c r="G15" s="15">
        <v>892.35</v>
      </c>
      <c r="H15" s="15">
        <v>894</v>
      </c>
      <c r="I15" s="15">
        <v>894.65</v>
      </c>
      <c r="J15" s="15">
        <v>953.65</v>
      </c>
      <c r="K15" s="15">
        <v>259.2</v>
      </c>
      <c r="L15" s="15">
        <v>16915293</v>
      </c>
      <c r="M15" t="s" s="13">
        <v>7579</v>
      </c>
      <c r="N15" s="15">
        <v>202685</v>
      </c>
      <c r="O15" s="17" cm="1">
        <f t="array" ref="O15">(H15-H14)/H14</f>
        <v>0.00670007319407691</v>
      </c>
    </row>
    <row r="16" ht="13.65" customHeight="1">
      <c r="A16" s="18">
        <v>44308</v>
      </c>
      <c r="B16" t="s" s="13">
        <v>22</v>
      </c>
      <c r="C16" s="15">
        <v>899.95</v>
      </c>
      <c r="D16" s="15">
        <v>938.65</v>
      </c>
      <c r="E16" s="15">
        <v>897.05</v>
      </c>
      <c r="F16" s="15">
        <v>894</v>
      </c>
      <c r="G16" s="15">
        <v>922.5</v>
      </c>
      <c r="H16" s="15">
        <v>921.4</v>
      </c>
      <c r="I16" s="15">
        <v>926.15</v>
      </c>
      <c r="J16" s="15">
        <v>953.65</v>
      </c>
      <c r="K16" s="15">
        <v>259.2</v>
      </c>
      <c r="L16" s="15">
        <v>31902815</v>
      </c>
      <c r="M16" t="s" s="13">
        <v>7580</v>
      </c>
      <c r="N16" s="15">
        <v>434593</v>
      </c>
      <c r="O16" s="17" cm="1">
        <f t="array" ref="O16">(H16-H15)/H15</f>
        <v>0.0306487695749441</v>
      </c>
    </row>
    <row r="17" ht="13.65" customHeight="1">
      <c r="A17" s="18">
        <v>44309</v>
      </c>
      <c r="B17" t="s" s="13">
        <v>22</v>
      </c>
      <c r="C17" s="15">
        <v>929.8</v>
      </c>
      <c r="D17" s="15">
        <v>945</v>
      </c>
      <c r="E17" s="15">
        <v>910.75</v>
      </c>
      <c r="F17" s="15">
        <v>921.4</v>
      </c>
      <c r="G17" s="15">
        <v>924.55</v>
      </c>
      <c r="H17" s="15">
        <v>925.6</v>
      </c>
      <c r="I17" s="15">
        <v>930.73</v>
      </c>
      <c r="J17" s="15">
        <v>953.65</v>
      </c>
      <c r="K17" s="15">
        <v>259.2</v>
      </c>
      <c r="L17" s="15">
        <v>24752386</v>
      </c>
      <c r="M17" t="s" s="13">
        <v>7581</v>
      </c>
      <c r="N17" s="15">
        <v>307302</v>
      </c>
      <c r="O17" s="17" cm="1">
        <f t="array" ref="O17">(H17-H16)/H16</f>
        <v>0.00455828087692642</v>
      </c>
    </row>
    <row r="18" ht="13.65" customHeight="1">
      <c r="A18" s="18">
        <v>44312</v>
      </c>
      <c r="B18" t="s" s="13">
        <v>22</v>
      </c>
      <c r="C18" s="15">
        <v>935</v>
      </c>
      <c r="D18" s="15">
        <v>956</v>
      </c>
      <c r="E18" s="15">
        <v>930.05</v>
      </c>
      <c r="F18" s="15">
        <v>925.6</v>
      </c>
      <c r="G18" s="15">
        <v>942.5</v>
      </c>
      <c r="H18" s="15">
        <v>940.75</v>
      </c>
      <c r="I18" s="15">
        <v>942.98</v>
      </c>
      <c r="J18" s="15">
        <v>956</v>
      </c>
      <c r="K18" s="15">
        <v>262.45</v>
      </c>
      <c r="L18" s="15">
        <v>21234858</v>
      </c>
      <c r="M18" t="s" s="13">
        <v>7582</v>
      </c>
      <c r="N18" s="15">
        <v>274958</v>
      </c>
      <c r="O18" s="17" cm="1">
        <f t="array" ref="O18">(H18-H17)/H17</f>
        <v>0.0163677614520311</v>
      </c>
    </row>
    <row r="19" ht="13.65" customHeight="1">
      <c r="A19" s="18">
        <v>44313</v>
      </c>
      <c r="B19" t="s" s="13">
        <v>22</v>
      </c>
      <c r="C19" s="15">
        <v>948.3</v>
      </c>
      <c r="D19" s="15">
        <v>983</v>
      </c>
      <c r="E19" s="15">
        <v>944.3</v>
      </c>
      <c r="F19" s="15">
        <v>940.75</v>
      </c>
      <c r="G19" s="15">
        <v>982</v>
      </c>
      <c r="H19" s="15">
        <v>977.75</v>
      </c>
      <c r="I19" s="15">
        <v>965.4299999999999</v>
      </c>
      <c r="J19" s="15">
        <v>983</v>
      </c>
      <c r="K19" s="15">
        <v>262.45</v>
      </c>
      <c r="L19" s="15">
        <v>24904515</v>
      </c>
      <c r="M19" t="s" s="13">
        <v>7583</v>
      </c>
      <c r="N19" s="15">
        <v>331493</v>
      </c>
      <c r="O19" s="17" cm="1">
        <f t="array" ref="O19">(H19-H18)/H18</f>
        <v>0.0393303215519532</v>
      </c>
    </row>
    <row r="20" ht="13.65" customHeight="1">
      <c r="A20" s="18">
        <v>44314</v>
      </c>
      <c r="B20" t="s" s="13">
        <v>22</v>
      </c>
      <c r="C20" s="15">
        <v>985</v>
      </c>
      <c r="D20" s="15">
        <v>986</v>
      </c>
      <c r="E20" s="15">
        <v>962</v>
      </c>
      <c r="F20" s="15">
        <v>977.75</v>
      </c>
      <c r="G20" s="15">
        <v>971</v>
      </c>
      <c r="H20" s="15">
        <v>971.4</v>
      </c>
      <c r="I20" s="15">
        <v>972.08</v>
      </c>
      <c r="J20" s="15">
        <v>986</v>
      </c>
      <c r="K20" s="15">
        <v>262.45</v>
      </c>
      <c r="L20" s="15">
        <v>20447968</v>
      </c>
      <c r="M20" t="s" s="13">
        <v>7584</v>
      </c>
      <c r="N20" s="15">
        <v>255599</v>
      </c>
      <c r="O20" s="17" cm="1">
        <f t="array" ref="O20">(H20-H19)/H19</f>
        <v>-0.00649450268473536</v>
      </c>
    </row>
    <row r="21" ht="13.65" customHeight="1">
      <c r="A21" s="18">
        <v>44315</v>
      </c>
      <c r="B21" t="s" s="13">
        <v>22</v>
      </c>
      <c r="C21" s="15">
        <v>983</v>
      </c>
      <c r="D21" s="14">
        <v>1036.95</v>
      </c>
      <c r="E21" s="15">
        <v>983</v>
      </c>
      <c r="F21" s="15">
        <v>971.4</v>
      </c>
      <c r="G21" s="14">
        <v>1035</v>
      </c>
      <c r="H21" s="14">
        <v>1031.35</v>
      </c>
      <c r="I21" s="14">
        <v>1015.76</v>
      </c>
      <c r="J21" s="14">
        <v>1036.95</v>
      </c>
      <c r="K21" s="15">
        <v>262.45</v>
      </c>
      <c r="L21" s="15">
        <v>44718647</v>
      </c>
      <c r="M21" t="s" s="13">
        <v>7585</v>
      </c>
      <c r="N21" s="15">
        <v>554647</v>
      </c>
      <c r="O21" s="17" cm="1">
        <f t="array" ref="O21">(H21-H20)/H20</f>
        <v>0.0617150504426601</v>
      </c>
    </row>
    <row r="22" ht="13.65" customHeight="1">
      <c r="A22" s="18">
        <v>44316</v>
      </c>
      <c r="B22" t="s" s="13">
        <v>22</v>
      </c>
      <c r="C22" s="14">
        <v>1024</v>
      </c>
      <c r="D22" s="14">
        <v>1052.6</v>
      </c>
      <c r="E22" s="14">
        <v>1011.1</v>
      </c>
      <c r="F22" s="14">
        <v>1031.35</v>
      </c>
      <c r="G22" s="14">
        <v>1025.6</v>
      </c>
      <c r="H22" s="14">
        <v>1034</v>
      </c>
      <c r="I22" s="14">
        <v>1031.95</v>
      </c>
      <c r="J22" s="14">
        <v>1052.6</v>
      </c>
      <c r="K22" s="15">
        <v>262.45</v>
      </c>
      <c r="L22" s="15">
        <v>28129738</v>
      </c>
      <c r="M22" t="s" s="13">
        <v>7586</v>
      </c>
      <c r="N22" s="15">
        <v>385840</v>
      </c>
      <c r="O22" s="17" cm="1">
        <f t="array" ref="O22">(H22-H21)/H21</f>
        <v>0.00256944781112135</v>
      </c>
    </row>
    <row r="23" ht="13.65" customHeight="1">
      <c r="A23" s="19">
        <v>44319</v>
      </c>
      <c r="B23" t="s" s="13">
        <v>22</v>
      </c>
      <c r="C23" s="14">
        <v>1031.95</v>
      </c>
      <c r="D23" s="14">
        <v>1069</v>
      </c>
      <c r="E23" s="14">
        <v>1018.5</v>
      </c>
      <c r="F23" s="14">
        <v>1034</v>
      </c>
      <c r="G23" s="14">
        <v>1067.1</v>
      </c>
      <c r="H23" s="14">
        <v>1064.75</v>
      </c>
      <c r="I23" s="14">
        <v>1047.74</v>
      </c>
      <c r="J23" s="14">
        <v>1069</v>
      </c>
      <c r="K23" s="15">
        <v>262.45</v>
      </c>
      <c r="L23" s="15">
        <v>26484100</v>
      </c>
      <c r="M23" t="s" s="13">
        <v>7587</v>
      </c>
      <c r="N23" s="15">
        <v>338503</v>
      </c>
      <c r="O23" s="17" cm="1">
        <f t="array" ref="O23">(H23-H22)/H22</f>
        <v>0.0297388781431335</v>
      </c>
    </row>
    <row r="24" ht="13.65" customHeight="1">
      <c r="A24" s="19">
        <v>44320</v>
      </c>
      <c r="B24" t="s" s="13">
        <v>22</v>
      </c>
      <c r="C24" s="14">
        <v>1074.45</v>
      </c>
      <c r="D24" s="14">
        <v>1086.65</v>
      </c>
      <c r="E24" s="14">
        <v>1057.55</v>
      </c>
      <c r="F24" s="14">
        <v>1064.75</v>
      </c>
      <c r="G24" s="14">
        <v>1066.85</v>
      </c>
      <c r="H24" s="14">
        <v>1063.85</v>
      </c>
      <c r="I24" s="14">
        <v>1072.68</v>
      </c>
      <c r="J24" s="14">
        <v>1086.65</v>
      </c>
      <c r="K24" s="15">
        <v>262.45</v>
      </c>
      <c r="L24" s="15">
        <v>24961628</v>
      </c>
      <c r="M24" t="s" s="13">
        <v>7588</v>
      </c>
      <c r="N24" s="15">
        <v>309589</v>
      </c>
      <c r="O24" s="17" cm="1">
        <f t="array" ref="O24">(H24-H23)/H23</f>
        <v>-0.00084526884245128</v>
      </c>
    </row>
    <row r="25" ht="13.65" customHeight="1">
      <c r="A25" s="19">
        <v>44321</v>
      </c>
      <c r="B25" t="s" s="13">
        <v>22</v>
      </c>
      <c r="C25" s="14">
        <v>1084</v>
      </c>
      <c r="D25" s="14">
        <v>1088.35</v>
      </c>
      <c r="E25" s="14">
        <v>1047</v>
      </c>
      <c r="F25" s="14">
        <v>1063.85</v>
      </c>
      <c r="G25" s="14">
        <v>1071.05</v>
      </c>
      <c r="H25" s="14">
        <v>1070.15</v>
      </c>
      <c r="I25" s="14">
        <v>1067.25</v>
      </c>
      <c r="J25" s="14">
        <v>1088.35</v>
      </c>
      <c r="K25" s="15">
        <v>262.45</v>
      </c>
      <c r="L25" s="15">
        <v>19249839</v>
      </c>
      <c r="M25" t="s" s="13">
        <v>7589</v>
      </c>
      <c r="N25" s="15">
        <v>269242</v>
      </c>
      <c r="O25" s="17" cm="1">
        <f t="array" ref="O25">(H25-H24)/H24</f>
        <v>0.0059218874841378</v>
      </c>
    </row>
    <row r="26" ht="13.65" customHeight="1">
      <c r="A26" s="19">
        <v>44322</v>
      </c>
      <c r="B26" t="s" s="13">
        <v>22</v>
      </c>
      <c r="C26" s="14">
        <v>1055</v>
      </c>
      <c r="D26" s="14">
        <v>1129</v>
      </c>
      <c r="E26" s="14">
        <v>1042.5</v>
      </c>
      <c r="F26" s="14">
        <v>1070.15</v>
      </c>
      <c r="G26" s="14">
        <v>1103</v>
      </c>
      <c r="H26" s="14">
        <v>1100.9</v>
      </c>
      <c r="I26" s="14">
        <v>1103.47</v>
      </c>
      <c r="J26" s="14">
        <v>1129</v>
      </c>
      <c r="K26" s="15">
        <v>262.45</v>
      </c>
      <c r="L26" s="15">
        <v>46434537</v>
      </c>
      <c r="M26" t="s" s="13">
        <v>7590</v>
      </c>
      <c r="N26" s="15">
        <v>681778</v>
      </c>
      <c r="O26" s="17" cm="1">
        <f t="array" ref="O26">(H26-H25)/H25</f>
        <v>0.0287342895855721</v>
      </c>
    </row>
    <row r="27" ht="13.65" customHeight="1">
      <c r="A27" s="19">
        <v>44323</v>
      </c>
      <c r="B27" t="s" s="13">
        <v>22</v>
      </c>
      <c r="C27" s="14">
        <v>1135</v>
      </c>
      <c r="D27" s="14">
        <v>1192</v>
      </c>
      <c r="E27" s="14">
        <v>1130.1</v>
      </c>
      <c r="F27" s="14">
        <v>1100.9</v>
      </c>
      <c r="G27" s="14">
        <v>1183.6</v>
      </c>
      <c r="H27" s="14">
        <v>1182.35</v>
      </c>
      <c r="I27" s="14">
        <v>1163.52</v>
      </c>
      <c r="J27" s="14">
        <v>1192</v>
      </c>
      <c r="K27" s="15">
        <v>262.45</v>
      </c>
      <c r="L27" s="15">
        <v>54075433</v>
      </c>
      <c r="M27" t="s" s="13">
        <v>7591</v>
      </c>
      <c r="N27" s="15">
        <v>728233</v>
      </c>
      <c r="O27" s="17" cm="1">
        <f t="array" ref="O27">(H27-H26)/H26</f>
        <v>0.0739849214279226</v>
      </c>
    </row>
    <row r="28" ht="13.65" customHeight="1">
      <c r="A28" s="20">
        <v>44326</v>
      </c>
      <c r="B28" t="s" s="13">
        <v>22</v>
      </c>
      <c r="C28" s="14">
        <v>1210</v>
      </c>
      <c r="D28" s="14">
        <v>1229</v>
      </c>
      <c r="E28" s="14">
        <v>1200</v>
      </c>
      <c r="F28" s="14">
        <v>1182.35</v>
      </c>
      <c r="G28" s="14">
        <v>1218.5</v>
      </c>
      <c r="H28" s="14">
        <v>1216.35</v>
      </c>
      <c r="I28" s="14">
        <v>1214.33</v>
      </c>
      <c r="J28" s="14">
        <v>1229</v>
      </c>
      <c r="K28" s="15">
        <v>262.45</v>
      </c>
      <c r="L28" s="15">
        <v>28080884</v>
      </c>
      <c r="M28" t="s" s="13">
        <v>7592</v>
      </c>
      <c r="N28" s="15">
        <v>417490</v>
      </c>
      <c r="O28" s="17" cm="1">
        <f t="array" ref="O28">(H28-H27)/H27</f>
        <v>0.0287562904385334</v>
      </c>
    </row>
    <row r="29" ht="13.65" customHeight="1">
      <c r="A29" s="20">
        <v>44327</v>
      </c>
      <c r="B29" t="s" s="13">
        <v>22</v>
      </c>
      <c r="C29" s="14">
        <v>1190</v>
      </c>
      <c r="D29" s="14">
        <v>1246</v>
      </c>
      <c r="E29" s="14">
        <v>1176.9</v>
      </c>
      <c r="F29" s="14">
        <v>1216.35</v>
      </c>
      <c r="G29" s="14">
        <v>1230</v>
      </c>
      <c r="H29" s="14">
        <v>1233.9</v>
      </c>
      <c r="I29" s="14">
        <v>1217.71</v>
      </c>
      <c r="J29" s="14">
        <v>1246</v>
      </c>
      <c r="K29" s="15">
        <v>262.45</v>
      </c>
      <c r="L29" s="15">
        <v>41108381</v>
      </c>
      <c r="M29" t="s" s="13">
        <v>7593</v>
      </c>
      <c r="N29" s="15">
        <v>569871</v>
      </c>
      <c r="O29" s="17" cm="1">
        <f t="array" ref="O29">(H29-H28)/H28</f>
        <v>0.0144284128745838</v>
      </c>
    </row>
    <row r="30" ht="13.65" customHeight="1">
      <c r="A30" s="20">
        <v>44328</v>
      </c>
      <c r="B30" t="s" s="13">
        <v>22</v>
      </c>
      <c r="C30" s="14">
        <v>1231.95</v>
      </c>
      <c r="D30" s="14">
        <v>1246.85</v>
      </c>
      <c r="E30" s="14">
        <v>1163.25</v>
      </c>
      <c r="F30" s="14">
        <v>1233.9</v>
      </c>
      <c r="G30" s="14">
        <v>1175</v>
      </c>
      <c r="H30" s="14">
        <v>1179.15</v>
      </c>
      <c r="I30" s="14">
        <v>1212.56</v>
      </c>
      <c r="J30" s="14">
        <v>1246.85</v>
      </c>
      <c r="K30" s="15">
        <v>262.45</v>
      </c>
      <c r="L30" s="15">
        <v>30889192</v>
      </c>
      <c r="M30" t="s" s="13">
        <v>7594</v>
      </c>
      <c r="N30" s="15">
        <v>468627</v>
      </c>
      <c r="O30" s="17" cm="1">
        <f t="array" ref="O30">(H30-H29)/H29</f>
        <v>-0.0443715049841965</v>
      </c>
    </row>
    <row r="31" ht="13.65" customHeight="1">
      <c r="A31" s="20">
        <v>44330</v>
      </c>
      <c r="B31" t="s" s="13">
        <v>22</v>
      </c>
      <c r="C31" s="14">
        <v>1185</v>
      </c>
      <c r="D31" s="14">
        <v>1185</v>
      </c>
      <c r="E31" s="14">
        <v>1115.2</v>
      </c>
      <c r="F31" s="14">
        <v>1179.15</v>
      </c>
      <c r="G31" s="14">
        <v>1130.05</v>
      </c>
      <c r="H31" s="14">
        <v>1132.1</v>
      </c>
      <c r="I31" s="14">
        <v>1143.25</v>
      </c>
      <c r="J31" s="14">
        <v>1246.85</v>
      </c>
      <c r="K31" s="15">
        <v>262.45</v>
      </c>
      <c r="L31" s="15">
        <v>37648032</v>
      </c>
      <c r="M31" t="s" s="13">
        <v>7595</v>
      </c>
      <c r="N31" s="15">
        <v>597919</v>
      </c>
      <c r="O31" s="17" cm="1">
        <f t="array" ref="O31">(H31-H30)/H30</f>
        <v>-0.0399016240512233</v>
      </c>
    </row>
    <row r="32" ht="13.65" customHeight="1">
      <c r="A32" s="20">
        <v>44333</v>
      </c>
      <c r="B32" t="s" s="13">
        <v>22</v>
      </c>
      <c r="C32" s="14">
        <v>1138</v>
      </c>
      <c r="D32" s="14">
        <v>1158.2</v>
      </c>
      <c r="E32" s="14">
        <v>1103.5</v>
      </c>
      <c r="F32" s="14">
        <v>1132.1</v>
      </c>
      <c r="G32" s="14">
        <v>1153.45</v>
      </c>
      <c r="H32" s="14">
        <v>1150.85</v>
      </c>
      <c r="I32" s="14">
        <v>1128.94</v>
      </c>
      <c r="J32" s="14">
        <v>1246.85</v>
      </c>
      <c r="K32" s="15">
        <v>262.45</v>
      </c>
      <c r="L32" s="15">
        <v>28753430</v>
      </c>
      <c r="M32" t="s" s="13">
        <v>7596</v>
      </c>
      <c r="N32" s="15">
        <v>414106</v>
      </c>
      <c r="O32" s="17" cm="1">
        <f t="array" ref="O32">(H32-H31)/H31</f>
        <v>0.0165621411536083</v>
      </c>
    </row>
    <row r="33" ht="13.65" customHeight="1">
      <c r="A33" s="20">
        <v>44334</v>
      </c>
      <c r="B33" t="s" s="13">
        <v>22</v>
      </c>
      <c r="C33" s="14">
        <v>1175</v>
      </c>
      <c r="D33" s="14">
        <v>1196.45</v>
      </c>
      <c r="E33" s="14">
        <v>1157.05</v>
      </c>
      <c r="F33" s="14">
        <v>1150.85</v>
      </c>
      <c r="G33" s="14">
        <v>1179.45</v>
      </c>
      <c r="H33" s="14">
        <v>1180</v>
      </c>
      <c r="I33" s="14">
        <v>1180.26</v>
      </c>
      <c r="J33" s="14">
        <v>1246.85</v>
      </c>
      <c r="K33" s="15">
        <v>262.45</v>
      </c>
      <c r="L33" s="15">
        <v>24573880</v>
      </c>
      <c r="M33" t="s" s="13">
        <v>7597</v>
      </c>
      <c r="N33" s="15">
        <v>352679</v>
      </c>
      <c r="O33" s="17" cm="1">
        <f t="array" ref="O33">(H33-H32)/H32</f>
        <v>0.0253291045748794</v>
      </c>
    </row>
    <row r="34" ht="13.65" customHeight="1">
      <c r="A34" s="20">
        <v>44335</v>
      </c>
      <c r="B34" t="s" s="13">
        <v>22</v>
      </c>
      <c r="C34" s="14">
        <v>1173</v>
      </c>
      <c r="D34" s="14">
        <v>1189.55</v>
      </c>
      <c r="E34" s="14">
        <v>1158</v>
      </c>
      <c r="F34" s="14">
        <v>1180</v>
      </c>
      <c r="G34" s="14">
        <v>1161</v>
      </c>
      <c r="H34" s="14">
        <v>1164.25</v>
      </c>
      <c r="I34" s="14">
        <v>1171.83</v>
      </c>
      <c r="J34" s="14">
        <v>1246.85</v>
      </c>
      <c r="K34" s="15">
        <v>262.45</v>
      </c>
      <c r="L34" s="15">
        <v>17435026</v>
      </c>
      <c r="M34" t="s" s="13">
        <v>7598</v>
      </c>
      <c r="N34" s="15">
        <v>264120</v>
      </c>
      <c r="O34" s="17" cm="1">
        <f t="array" ref="O34">(H34-H33)/H33</f>
        <v>-0.0133474576271186</v>
      </c>
    </row>
    <row r="35" ht="13.65" customHeight="1">
      <c r="A35" s="20">
        <v>44336</v>
      </c>
      <c r="B35" t="s" s="13">
        <v>22</v>
      </c>
      <c r="C35" s="14">
        <v>1131.1</v>
      </c>
      <c r="D35" s="14">
        <v>1135.5</v>
      </c>
      <c r="E35" s="14">
        <v>1098.05</v>
      </c>
      <c r="F35" s="14">
        <v>1164.25</v>
      </c>
      <c r="G35" s="14">
        <v>1104.9</v>
      </c>
      <c r="H35" s="14">
        <v>1105.05</v>
      </c>
      <c r="I35" s="14">
        <v>1113.32</v>
      </c>
      <c r="J35" s="14">
        <v>1246.85</v>
      </c>
      <c r="K35" s="15">
        <v>262.45</v>
      </c>
      <c r="L35" s="15">
        <v>28446253</v>
      </c>
      <c r="M35" t="s" s="13">
        <v>7599</v>
      </c>
      <c r="N35" s="15">
        <v>452379</v>
      </c>
      <c r="O35" s="17" cm="1">
        <f t="array" ref="O35">(H35-H34)/H34</f>
        <v>-0.0508481855271634</v>
      </c>
    </row>
    <row r="36" ht="13.65" customHeight="1">
      <c r="A36" s="20">
        <v>44337</v>
      </c>
      <c r="B36" t="s" s="13">
        <v>22</v>
      </c>
      <c r="C36" s="14">
        <v>1114</v>
      </c>
      <c r="D36" s="14">
        <v>1123.9</v>
      </c>
      <c r="E36" s="14">
        <v>1105.85</v>
      </c>
      <c r="F36" s="14">
        <v>1105.05</v>
      </c>
      <c r="G36" s="14">
        <v>1112</v>
      </c>
      <c r="H36" s="14">
        <v>1113.1</v>
      </c>
      <c r="I36" s="14">
        <v>1115.07</v>
      </c>
      <c r="J36" s="14">
        <v>1246.85</v>
      </c>
      <c r="K36" s="15">
        <v>262.45</v>
      </c>
      <c r="L36" s="15">
        <v>14104926</v>
      </c>
      <c r="M36" t="s" s="13">
        <v>7600</v>
      </c>
      <c r="N36" s="15">
        <v>210863</v>
      </c>
      <c r="O36" s="17" cm="1">
        <f t="array" ref="O36">(H36-H35)/H35</f>
        <v>0.00728473824713814</v>
      </c>
    </row>
    <row r="37" ht="13.65" customHeight="1">
      <c r="A37" s="20">
        <v>44340</v>
      </c>
      <c r="B37" t="s" s="13">
        <v>22</v>
      </c>
      <c r="C37" s="14">
        <v>1108</v>
      </c>
      <c r="D37" s="14">
        <v>1108.95</v>
      </c>
      <c r="E37" s="14">
        <v>1082.1</v>
      </c>
      <c r="F37" s="14">
        <v>1113.1</v>
      </c>
      <c r="G37" s="14">
        <v>1091.5</v>
      </c>
      <c r="H37" s="14">
        <v>1092</v>
      </c>
      <c r="I37" s="14">
        <v>1093.18</v>
      </c>
      <c r="J37" s="14">
        <v>1246.85</v>
      </c>
      <c r="K37" s="15">
        <v>277</v>
      </c>
      <c r="L37" s="15">
        <v>18923842</v>
      </c>
      <c r="M37" t="s" s="13">
        <v>7601</v>
      </c>
      <c r="N37" s="15">
        <v>322358</v>
      </c>
      <c r="O37" s="17" cm="1">
        <f t="array" ref="O37">(H37-H36)/H36</f>
        <v>-0.0189560686371395</v>
      </c>
    </row>
    <row r="38" ht="13.65" customHeight="1">
      <c r="A38" s="20">
        <v>44341</v>
      </c>
      <c r="B38" t="s" s="13">
        <v>22</v>
      </c>
      <c r="C38" s="14">
        <v>1101.95</v>
      </c>
      <c r="D38" s="14">
        <v>1125.95</v>
      </c>
      <c r="E38" s="14">
        <v>1100</v>
      </c>
      <c r="F38" s="14">
        <v>1092</v>
      </c>
      <c r="G38" s="14">
        <v>1105.35</v>
      </c>
      <c r="H38" s="14">
        <v>1105.2</v>
      </c>
      <c r="I38" s="14">
        <v>1111.75</v>
      </c>
      <c r="J38" s="14">
        <v>1246.85</v>
      </c>
      <c r="K38" s="15">
        <v>277</v>
      </c>
      <c r="L38" s="15">
        <v>18113752</v>
      </c>
      <c r="M38" t="s" s="13">
        <v>7602</v>
      </c>
      <c r="N38" s="15">
        <v>266155</v>
      </c>
      <c r="O38" s="17" cm="1">
        <f t="array" ref="O38">(H38-H37)/H37</f>
        <v>0.0120879120879121</v>
      </c>
    </row>
    <row r="39" ht="13.65" customHeight="1">
      <c r="A39" s="20">
        <v>44342</v>
      </c>
      <c r="B39" t="s" s="13">
        <v>22</v>
      </c>
      <c r="C39" s="14">
        <v>1090.5</v>
      </c>
      <c r="D39" s="14">
        <v>1094</v>
      </c>
      <c r="E39" s="14">
        <v>1072.5</v>
      </c>
      <c r="F39" s="14">
        <v>1105.2</v>
      </c>
      <c r="G39" s="14">
        <v>1080.05</v>
      </c>
      <c r="H39" s="14">
        <v>1082.15</v>
      </c>
      <c r="I39" s="14">
        <v>1082.72</v>
      </c>
      <c r="J39" s="14">
        <v>1246.85</v>
      </c>
      <c r="K39" s="15">
        <v>277</v>
      </c>
      <c r="L39" s="15">
        <v>15432703</v>
      </c>
      <c r="M39" t="s" s="13">
        <v>7603</v>
      </c>
      <c r="N39" s="15">
        <v>249398</v>
      </c>
      <c r="O39" s="17" cm="1">
        <f t="array" ref="O39">(H39-H38)/H38</f>
        <v>-0.0208559536735433</v>
      </c>
    </row>
    <row r="40" ht="13.65" customHeight="1">
      <c r="A40" s="20">
        <v>44343</v>
      </c>
      <c r="B40" t="s" s="13">
        <v>22</v>
      </c>
      <c r="C40" s="14">
        <v>1082.15</v>
      </c>
      <c r="D40" s="14">
        <v>1109.75</v>
      </c>
      <c r="E40" s="14">
        <v>1075</v>
      </c>
      <c r="F40" s="14">
        <v>1082.15</v>
      </c>
      <c r="G40" s="14">
        <v>1101.9</v>
      </c>
      <c r="H40" s="14">
        <v>1096.65</v>
      </c>
      <c r="I40" s="14">
        <v>1093.38</v>
      </c>
      <c r="J40" s="14">
        <v>1246.85</v>
      </c>
      <c r="K40" s="15">
        <v>277</v>
      </c>
      <c r="L40" s="15">
        <v>22791032</v>
      </c>
      <c r="M40" t="s" s="13">
        <v>7604</v>
      </c>
      <c r="N40" s="15">
        <v>292218</v>
      </c>
      <c r="O40" s="17" cm="1">
        <f t="array" ref="O40">(H40-H39)/H39</f>
        <v>0.0133992514900892</v>
      </c>
    </row>
    <row r="41" ht="13.65" customHeight="1">
      <c r="A41" s="20">
        <v>44344</v>
      </c>
      <c r="B41" t="s" s="13">
        <v>22</v>
      </c>
      <c r="C41" s="14">
        <v>1131</v>
      </c>
      <c r="D41" s="14">
        <v>1143.6</v>
      </c>
      <c r="E41" s="14">
        <v>1097.45</v>
      </c>
      <c r="F41" s="14">
        <v>1096.65</v>
      </c>
      <c r="G41" s="14">
        <v>1104</v>
      </c>
      <c r="H41" s="14">
        <v>1103.5</v>
      </c>
      <c r="I41" s="14">
        <v>1123.52</v>
      </c>
      <c r="J41" s="14">
        <v>1246.85</v>
      </c>
      <c r="K41" s="15">
        <v>277</v>
      </c>
      <c r="L41" s="15">
        <v>19208581</v>
      </c>
      <c r="M41" t="s" s="13">
        <v>7605</v>
      </c>
      <c r="N41" s="15">
        <v>286542</v>
      </c>
      <c r="O41" s="17" cm="1">
        <f t="array" ref="O41">(H41-H40)/H40</f>
        <v>0.00624629553640633</v>
      </c>
    </row>
    <row r="42" ht="13.65" customHeight="1">
      <c r="A42" s="20">
        <v>44347</v>
      </c>
      <c r="B42" t="s" s="13">
        <v>22</v>
      </c>
      <c r="C42" s="14">
        <v>1112</v>
      </c>
      <c r="D42" s="14">
        <v>1129.65</v>
      </c>
      <c r="E42" s="14">
        <v>1099</v>
      </c>
      <c r="F42" s="14">
        <v>1103.5</v>
      </c>
      <c r="G42" s="14">
        <v>1127.05</v>
      </c>
      <c r="H42" s="14">
        <v>1125.65</v>
      </c>
      <c r="I42" s="14">
        <v>1116.06</v>
      </c>
      <c r="J42" s="14">
        <v>1246.85</v>
      </c>
      <c r="K42" s="15">
        <v>300</v>
      </c>
      <c r="L42" s="15">
        <v>15428647</v>
      </c>
      <c r="M42" t="s" s="13">
        <v>7606</v>
      </c>
      <c r="N42" s="15">
        <v>256408</v>
      </c>
      <c r="O42" s="17" cm="1">
        <f t="array" ref="O42">(H42-H41)/H41</f>
        <v>0.0200724966017218</v>
      </c>
    </row>
    <row r="43" ht="13.65" customHeight="1">
      <c r="A43" s="12">
        <v>44348</v>
      </c>
      <c r="B43" t="s" s="13">
        <v>22</v>
      </c>
      <c r="C43" s="14">
        <v>1120</v>
      </c>
      <c r="D43" s="14">
        <v>1123</v>
      </c>
      <c r="E43" s="14">
        <v>1085.5</v>
      </c>
      <c r="F43" s="14">
        <v>1125.65</v>
      </c>
      <c r="G43" s="14">
        <v>1100.7</v>
      </c>
      <c r="H43" s="14">
        <v>1100.9</v>
      </c>
      <c r="I43" s="14">
        <v>1099.68</v>
      </c>
      <c r="J43" s="14">
        <v>1246.85</v>
      </c>
      <c r="K43" s="15">
        <v>300</v>
      </c>
      <c r="L43" s="15">
        <v>17690925</v>
      </c>
      <c r="M43" t="s" s="13">
        <v>7607</v>
      </c>
      <c r="N43" s="15">
        <v>316676</v>
      </c>
      <c r="O43" s="17" cm="1">
        <f t="array" ref="O43">(H43-H42)/H42</f>
        <v>-0.0219872962288456</v>
      </c>
    </row>
    <row r="44" ht="13.65" customHeight="1">
      <c r="A44" s="12">
        <v>44349</v>
      </c>
      <c r="B44" t="s" s="13">
        <v>22</v>
      </c>
      <c r="C44" s="14">
        <v>1105</v>
      </c>
      <c r="D44" s="14">
        <v>1129.8</v>
      </c>
      <c r="E44" s="14">
        <v>1104</v>
      </c>
      <c r="F44" s="14">
        <v>1100.9</v>
      </c>
      <c r="G44" s="14">
        <v>1129.55</v>
      </c>
      <c r="H44" s="14">
        <v>1124.05</v>
      </c>
      <c r="I44" s="14">
        <v>1116.07</v>
      </c>
      <c r="J44" s="14">
        <v>1246.85</v>
      </c>
      <c r="K44" s="15">
        <v>300</v>
      </c>
      <c r="L44" s="15">
        <v>12862591</v>
      </c>
      <c r="M44" t="s" s="13">
        <v>7608</v>
      </c>
      <c r="N44" s="15">
        <v>202165</v>
      </c>
      <c r="O44" s="17" cm="1">
        <f t="array" ref="O44">(H44-H43)/H43</f>
        <v>0.0210282496139522</v>
      </c>
    </row>
    <row r="45" ht="13.65" customHeight="1">
      <c r="A45" s="12">
        <v>44350</v>
      </c>
      <c r="B45" t="s" s="13">
        <v>22</v>
      </c>
      <c r="C45" s="14">
        <v>1129.55</v>
      </c>
      <c r="D45" s="14">
        <v>1139.75</v>
      </c>
      <c r="E45" s="14">
        <v>1113</v>
      </c>
      <c r="F45" s="14">
        <v>1124.05</v>
      </c>
      <c r="G45" s="14">
        <v>1117.55</v>
      </c>
      <c r="H45" s="14">
        <v>1122</v>
      </c>
      <c r="I45" s="14">
        <v>1125.33</v>
      </c>
      <c r="J45" s="14">
        <v>1246.85</v>
      </c>
      <c r="K45" s="15">
        <v>300</v>
      </c>
      <c r="L45" s="15">
        <v>12109477</v>
      </c>
      <c r="M45" t="s" s="13">
        <v>7609</v>
      </c>
      <c r="N45" s="15">
        <v>206951</v>
      </c>
      <c r="O45" s="17" cm="1">
        <f t="array" ref="O45">(H45-H44)/H44</f>
        <v>-0.00182376228815444</v>
      </c>
    </row>
    <row r="46" ht="13.65" customHeight="1">
      <c r="A46" s="12">
        <v>44351</v>
      </c>
      <c r="B46" t="s" s="13">
        <v>22</v>
      </c>
      <c r="C46" s="14">
        <v>1116</v>
      </c>
      <c r="D46" s="14">
        <v>1128.8</v>
      </c>
      <c r="E46" s="14">
        <v>1107</v>
      </c>
      <c r="F46" s="14">
        <v>1122</v>
      </c>
      <c r="G46" s="14">
        <v>1120</v>
      </c>
      <c r="H46" s="14">
        <v>1120.7</v>
      </c>
      <c r="I46" s="14">
        <v>1116.2</v>
      </c>
      <c r="J46" s="14">
        <v>1246.85</v>
      </c>
      <c r="K46" s="15">
        <v>300</v>
      </c>
      <c r="L46" s="15">
        <v>9713347</v>
      </c>
      <c r="M46" t="s" s="13">
        <v>7610</v>
      </c>
      <c r="N46" s="15">
        <v>160001</v>
      </c>
      <c r="O46" s="17" cm="1">
        <f t="array" ref="O46">(H46-H45)/H45</f>
        <v>-0.00115864527629234</v>
      </c>
    </row>
    <row r="47" ht="13.65" customHeight="1">
      <c r="A47" s="12">
        <v>44354</v>
      </c>
      <c r="B47" t="s" s="13">
        <v>22</v>
      </c>
      <c r="C47" s="14">
        <v>1130</v>
      </c>
      <c r="D47" s="14">
        <v>1150</v>
      </c>
      <c r="E47" s="14">
        <v>1125.55</v>
      </c>
      <c r="F47" s="14">
        <v>1120.7</v>
      </c>
      <c r="G47" s="14">
        <v>1128.45</v>
      </c>
      <c r="H47" s="14">
        <v>1128.7</v>
      </c>
      <c r="I47" s="14">
        <v>1136.33</v>
      </c>
      <c r="J47" s="14">
        <v>1246.85</v>
      </c>
      <c r="K47" s="15">
        <v>300</v>
      </c>
      <c r="L47" s="15">
        <v>12218592</v>
      </c>
      <c r="M47" t="s" s="13">
        <v>7611</v>
      </c>
      <c r="N47" s="15">
        <v>197050</v>
      </c>
      <c r="O47" s="17" cm="1">
        <f t="array" ref="O47">(H47-H46)/H46</f>
        <v>0.00713839564557866</v>
      </c>
    </row>
    <row r="48" ht="13.65" customHeight="1">
      <c r="A48" s="12">
        <v>44355</v>
      </c>
      <c r="B48" t="s" s="13">
        <v>22</v>
      </c>
      <c r="C48" s="14">
        <v>1132.7</v>
      </c>
      <c r="D48" s="14">
        <v>1132.7</v>
      </c>
      <c r="E48" s="14">
        <v>1100.05</v>
      </c>
      <c r="F48" s="14">
        <v>1128.7</v>
      </c>
      <c r="G48" s="14">
        <v>1110</v>
      </c>
      <c r="H48" s="14">
        <v>1111.1</v>
      </c>
      <c r="I48" s="14">
        <v>1110</v>
      </c>
      <c r="J48" s="14">
        <v>1246.85</v>
      </c>
      <c r="K48" s="15">
        <v>300</v>
      </c>
      <c r="L48" s="15">
        <v>10834373</v>
      </c>
      <c r="M48" t="s" s="13">
        <v>7612</v>
      </c>
      <c r="N48" s="15">
        <v>191239</v>
      </c>
      <c r="O48" s="17" cm="1">
        <f t="array" ref="O48">(H48-H47)/H47</f>
        <v>-0.0155931602728803</v>
      </c>
    </row>
    <row r="49" ht="13.65" customHeight="1">
      <c r="A49" s="12">
        <v>44356</v>
      </c>
      <c r="B49" t="s" s="13">
        <v>22</v>
      </c>
      <c r="C49" s="14">
        <v>1117</v>
      </c>
      <c r="D49" s="14">
        <v>1128</v>
      </c>
      <c r="E49" s="14">
        <v>1093.95</v>
      </c>
      <c r="F49" s="14">
        <v>1111.1</v>
      </c>
      <c r="G49" s="14">
        <v>1100</v>
      </c>
      <c r="H49" s="14">
        <v>1101</v>
      </c>
      <c r="I49" s="14">
        <v>1109.8</v>
      </c>
      <c r="J49" s="14">
        <v>1246.85</v>
      </c>
      <c r="K49" s="15">
        <v>300</v>
      </c>
      <c r="L49" s="15">
        <v>11114338</v>
      </c>
      <c r="M49" t="s" s="13">
        <v>7613</v>
      </c>
      <c r="N49" s="15">
        <v>204628</v>
      </c>
      <c r="O49" s="17" cm="1">
        <f t="array" ref="O49">(H49-H48)/H48</f>
        <v>-0.009090090900909009</v>
      </c>
    </row>
    <row r="50" ht="13.65" customHeight="1">
      <c r="A50" s="18">
        <v>44357</v>
      </c>
      <c r="B50" t="s" s="13">
        <v>22</v>
      </c>
      <c r="C50" s="14">
        <v>1109.3</v>
      </c>
      <c r="D50" s="14">
        <v>1125.8</v>
      </c>
      <c r="E50" s="14">
        <v>1102.9</v>
      </c>
      <c r="F50" s="14">
        <v>1101</v>
      </c>
      <c r="G50" s="14">
        <v>1116</v>
      </c>
      <c r="H50" s="14">
        <v>1114.45</v>
      </c>
      <c r="I50" s="14">
        <v>1115.83</v>
      </c>
      <c r="J50" s="14">
        <v>1246.85</v>
      </c>
      <c r="K50" s="15">
        <v>300</v>
      </c>
      <c r="L50" s="15">
        <v>7776764</v>
      </c>
      <c r="M50" t="s" s="13">
        <v>7614</v>
      </c>
      <c r="N50" s="15">
        <v>129554</v>
      </c>
      <c r="O50" s="17" cm="1">
        <f t="array" ref="O50">(H50-H49)/H49</f>
        <v>0.0122161671207993</v>
      </c>
    </row>
    <row r="51" ht="13.65" customHeight="1">
      <c r="A51" s="18">
        <v>44358</v>
      </c>
      <c r="B51" t="s" s="13">
        <v>22</v>
      </c>
      <c r="C51" s="14">
        <v>1127.8</v>
      </c>
      <c r="D51" s="14">
        <v>1164.6</v>
      </c>
      <c r="E51" s="14">
        <v>1113.1</v>
      </c>
      <c r="F51" s="14">
        <v>1114.45</v>
      </c>
      <c r="G51" s="14">
        <v>1163.1</v>
      </c>
      <c r="H51" s="14">
        <v>1158.35</v>
      </c>
      <c r="I51" s="14">
        <v>1138.98</v>
      </c>
      <c r="J51" s="14">
        <v>1246.85</v>
      </c>
      <c r="K51" s="15">
        <v>300</v>
      </c>
      <c r="L51" s="15">
        <v>17445856</v>
      </c>
      <c r="M51" t="s" s="13">
        <v>7615</v>
      </c>
      <c r="N51" s="15">
        <v>263906</v>
      </c>
      <c r="O51" s="17" cm="1">
        <f t="array" ref="O51">(H51-H50)/H50</f>
        <v>0.0393916281573871</v>
      </c>
    </row>
    <row r="52" ht="13.65" customHeight="1">
      <c r="A52" s="18">
        <v>44361</v>
      </c>
      <c r="B52" t="s" s="13">
        <v>22</v>
      </c>
      <c r="C52" s="14">
        <v>1168</v>
      </c>
      <c r="D52" s="14">
        <v>1178.65</v>
      </c>
      <c r="E52" s="14">
        <v>1140</v>
      </c>
      <c r="F52" s="14">
        <v>1158.35</v>
      </c>
      <c r="G52" s="14">
        <v>1164.5</v>
      </c>
      <c r="H52" s="14">
        <v>1164.8</v>
      </c>
      <c r="I52" s="14">
        <v>1166.05</v>
      </c>
      <c r="J52" s="14">
        <v>1246.85</v>
      </c>
      <c r="K52" s="15">
        <v>301.3</v>
      </c>
      <c r="L52" s="15">
        <v>16031264</v>
      </c>
      <c r="M52" t="s" s="13">
        <v>7616</v>
      </c>
      <c r="N52" s="15">
        <v>279545</v>
      </c>
      <c r="O52" s="17" cm="1">
        <f t="array" ref="O52">(H52-H51)/H51</f>
        <v>0.0055682652048172</v>
      </c>
    </row>
    <row r="53" ht="13.65" customHeight="1">
      <c r="A53" s="18">
        <v>44362</v>
      </c>
      <c r="B53" t="s" s="13">
        <v>22</v>
      </c>
      <c r="C53" s="14">
        <v>1170</v>
      </c>
      <c r="D53" s="14">
        <v>1186.8</v>
      </c>
      <c r="E53" s="14">
        <v>1160.1</v>
      </c>
      <c r="F53" s="14">
        <v>1164.8</v>
      </c>
      <c r="G53" s="14">
        <v>1173</v>
      </c>
      <c r="H53" s="14">
        <v>1174.3</v>
      </c>
      <c r="I53" s="14">
        <v>1176.27</v>
      </c>
      <c r="J53" s="14">
        <v>1246.85</v>
      </c>
      <c r="K53" s="15">
        <v>301.3</v>
      </c>
      <c r="L53" s="15">
        <v>9768102</v>
      </c>
      <c r="M53" t="s" s="13">
        <v>7617</v>
      </c>
      <c r="N53" s="15">
        <v>192729</v>
      </c>
      <c r="O53" s="17" cm="1">
        <f t="array" ref="O53">(H53-H52)/H52</f>
        <v>0.00815590659340659</v>
      </c>
    </row>
    <row r="54" ht="13.65" customHeight="1">
      <c r="A54" s="18">
        <v>44363</v>
      </c>
      <c r="B54" t="s" s="13">
        <v>22</v>
      </c>
      <c r="C54" s="14">
        <v>1169</v>
      </c>
      <c r="D54" s="14">
        <v>1184.75</v>
      </c>
      <c r="E54" s="14">
        <v>1131.65</v>
      </c>
      <c r="F54" s="14">
        <v>1174.3</v>
      </c>
      <c r="G54" s="14">
        <v>1140</v>
      </c>
      <c r="H54" s="14">
        <v>1142.15</v>
      </c>
      <c r="I54" s="14">
        <v>1150.86</v>
      </c>
      <c r="J54" s="14">
        <v>1246.85</v>
      </c>
      <c r="K54" s="15">
        <v>301.3</v>
      </c>
      <c r="L54" s="15">
        <v>17521107</v>
      </c>
      <c r="M54" t="s" s="13">
        <v>7618</v>
      </c>
      <c r="N54" s="15">
        <v>327146</v>
      </c>
      <c r="O54" s="17" cm="1">
        <f t="array" ref="O54">(H54-H53)/H53</f>
        <v>-0.0273780124329388</v>
      </c>
    </row>
    <row r="55" ht="13.65" customHeight="1">
      <c r="A55" s="18">
        <v>44364</v>
      </c>
      <c r="B55" t="s" s="13">
        <v>22</v>
      </c>
      <c r="C55" s="14">
        <v>1118.95</v>
      </c>
      <c r="D55" s="14">
        <v>1133.8</v>
      </c>
      <c r="E55" s="14">
        <v>1095.65</v>
      </c>
      <c r="F55" s="14">
        <v>1142.15</v>
      </c>
      <c r="G55" s="14">
        <v>1105.5</v>
      </c>
      <c r="H55" s="14">
        <v>1103.75</v>
      </c>
      <c r="I55" s="14">
        <v>1112.1</v>
      </c>
      <c r="J55" s="14">
        <v>1246.85</v>
      </c>
      <c r="K55" s="15">
        <v>301.3</v>
      </c>
      <c r="L55" s="15">
        <v>16207687</v>
      </c>
      <c r="M55" t="s" s="13">
        <v>7619</v>
      </c>
      <c r="N55" s="15">
        <v>314441</v>
      </c>
      <c r="O55" s="17" cm="1">
        <f t="array" ref="O55">(H55-H54)/H54</f>
        <v>-0.0336208028717769</v>
      </c>
    </row>
    <row r="56" ht="13.65" customHeight="1">
      <c r="A56" s="18">
        <v>44365</v>
      </c>
      <c r="B56" t="s" s="13">
        <v>22</v>
      </c>
      <c r="C56" s="14">
        <v>1105</v>
      </c>
      <c r="D56" s="14">
        <v>1109.9</v>
      </c>
      <c r="E56" s="14">
        <v>1050.25</v>
      </c>
      <c r="F56" s="14">
        <v>1103.75</v>
      </c>
      <c r="G56" s="14">
        <v>1095.15</v>
      </c>
      <c r="H56" s="14">
        <v>1092.3</v>
      </c>
      <c r="I56" s="14">
        <v>1081.54</v>
      </c>
      <c r="J56" s="14">
        <v>1246.85</v>
      </c>
      <c r="K56" s="15">
        <v>301.3</v>
      </c>
      <c r="L56" s="15">
        <v>40347077</v>
      </c>
      <c r="M56" t="s" s="13">
        <v>7620</v>
      </c>
      <c r="N56" s="15">
        <v>425612</v>
      </c>
      <c r="O56" s="17" cm="1">
        <f t="array" ref="O56">(H56-H55)/H55</f>
        <v>-0.0103737259343148</v>
      </c>
    </row>
    <row r="57" ht="13.65" customHeight="1">
      <c r="A57" s="18">
        <v>44368</v>
      </c>
      <c r="B57" t="s" s="13">
        <v>22</v>
      </c>
      <c r="C57" s="14">
        <v>1070</v>
      </c>
      <c r="D57" s="14">
        <v>1109</v>
      </c>
      <c r="E57" s="14">
        <v>1063.65</v>
      </c>
      <c r="F57" s="14">
        <v>1092.3</v>
      </c>
      <c r="G57" s="14">
        <v>1106</v>
      </c>
      <c r="H57" s="14">
        <v>1106.15</v>
      </c>
      <c r="I57" s="14">
        <v>1093.29</v>
      </c>
      <c r="J57" s="14">
        <v>1246.85</v>
      </c>
      <c r="K57" s="15">
        <v>312.1</v>
      </c>
      <c r="L57" s="15">
        <v>13001432</v>
      </c>
      <c r="M57" t="s" s="13">
        <v>7621</v>
      </c>
      <c r="N57" s="15">
        <v>230827</v>
      </c>
      <c r="O57" s="17" cm="1">
        <f t="array" ref="O57">(H57-H56)/H56</f>
        <v>0.0126796667582166</v>
      </c>
    </row>
    <row r="58" ht="13.65" customHeight="1">
      <c r="A58" s="18">
        <v>44369</v>
      </c>
      <c r="B58" t="s" s="13">
        <v>22</v>
      </c>
      <c r="C58" s="14">
        <v>1114.2</v>
      </c>
      <c r="D58" s="14">
        <v>1131</v>
      </c>
      <c r="E58" s="14">
        <v>1106.5</v>
      </c>
      <c r="F58" s="14">
        <v>1106.15</v>
      </c>
      <c r="G58" s="14">
        <v>1109.75</v>
      </c>
      <c r="H58" s="14">
        <v>1112.3</v>
      </c>
      <c r="I58" s="14">
        <v>1118.56</v>
      </c>
      <c r="J58" s="14">
        <v>1246.85</v>
      </c>
      <c r="K58" s="15">
        <v>312.1</v>
      </c>
      <c r="L58" s="15">
        <v>9024634</v>
      </c>
      <c r="M58" t="s" s="13">
        <v>7622</v>
      </c>
      <c r="N58" s="15">
        <v>165896</v>
      </c>
      <c r="O58" s="17" cm="1">
        <f t="array" ref="O58">(H58-H57)/H57</f>
        <v>0.00555982461691452</v>
      </c>
    </row>
    <row r="59" ht="13.65" customHeight="1">
      <c r="A59" s="18">
        <v>44370</v>
      </c>
      <c r="B59" t="s" s="13">
        <v>22</v>
      </c>
      <c r="C59" s="14">
        <v>1120.5</v>
      </c>
      <c r="D59" s="14">
        <v>1127.55</v>
      </c>
      <c r="E59" s="14">
        <v>1097.85</v>
      </c>
      <c r="F59" s="14">
        <v>1112.3</v>
      </c>
      <c r="G59" s="14">
        <v>1101.7</v>
      </c>
      <c r="H59" s="14">
        <v>1100.1</v>
      </c>
      <c r="I59" s="14">
        <v>1113.57</v>
      </c>
      <c r="J59" s="14">
        <v>1246.85</v>
      </c>
      <c r="K59" s="15">
        <v>312.1</v>
      </c>
      <c r="L59" s="15">
        <v>7806336</v>
      </c>
      <c r="M59" t="s" s="13">
        <v>7623</v>
      </c>
      <c r="N59" s="15">
        <v>135920</v>
      </c>
      <c r="O59" s="17" cm="1">
        <f t="array" ref="O59">(H59-H58)/H58</f>
        <v>-0.0109682639575654</v>
      </c>
    </row>
    <row r="60" ht="13.65" customHeight="1">
      <c r="A60" s="18">
        <v>44371</v>
      </c>
      <c r="B60" t="s" s="13">
        <v>22</v>
      </c>
      <c r="C60" s="14">
        <v>1105</v>
      </c>
      <c r="D60" s="14">
        <v>1120.5</v>
      </c>
      <c r="E60" s="14">
        <v>1098.45</v>
      </c>
      <c r="F60" s="14">
        <v>1100.1</v>
      </c>
      <c r="G60" s="14">
        <v>1119</v>
      </c>
      <c r="H60" s="14">
        <v>1113.15</v>
      </c>
      <c r="I60" s="14">
        <v>1111.66</v>
      </c>
      <c r="J60" s="14">
        <v>1246.85</v>
      </c>
      <c r="K60" s="15">
        <v>312.1</v>
      </c>
      <c r="L60" s="15">
        <v>7239470</v>
      </c>
      <c r="M60" t="s" s="13">
        <v>7624</v>
      </c>
      <c r="N60" s="15">
        <v>111903</v>
      </c>
      <c r="O60" s="17" cm="1">
        <f t="array" ref="O60">(H60-H59)/H59</f>
        <v>0.0118625579492773</v>
      </c>
    </row>
    <row r="61" ht="13.65" customHeight="1">
      <c r="A61" s="18">
        <v>44372</v>
      </c>
      <c r="B61" t="s" s="13">
        <v>22</v>
      </c>
      <c r="C61" s="14">
        <v>1135</v>
      </c>
      <c r="D61" s="14">
        <v>1170</v>
      </c>
      <c r="E61" s="14">
        <v>1130</v>
      </c>
      <c r="F61" s="14">
        <v>1113.15</v>
      </c>
      <c r="G61" s="14">
        <v>1165.5</v>
      </c>
      <c r="H61" s="14">
        <v>1165.25</v>
      </c>
      <c r="I61" s="14">
        <v>1157.46</v>
      </c>
      <c r="J61" s="14">
        <v>1246.85</v>
      </c>
      <c r="K61" s="15">
        <v>312.1</v>
      </c>
      <c r="L61" s="15">
        <v>18022770</v>
      </c>
      <c r="M61" t="s" s="13">
        <v>7625</v>
      </c>
      <c r="N61" s="15">
        <v>297315</v>
      </c>
      <c r="O61" s="17" cm="1">
        <f t="array" ref="O61">(H61-H60)/H60</f>
        <v>0.0468041144499843</v>
      </c>
    </row>
    <row r="62" ht="13.65" customHeight="1">
      <c r="A62" s="18">
        <v>44375</v>
      </c>
      <c r="B62" t="s" s="13">
        <v>22</v>
      </c>
      <c r="C62" s="14">
        <v>1174</v>
      </c>
      <c r="D62" s="14">
        <v>1189</v>
      </c>
      <c r="E62" s="14">
        <v>1163</v>
      </c>
      <c r="F62" s="14">
        <v>1165.25</v>
      </c>
      <c r="G62" s="14">
        <v>1185</v>
      </c>
      <c r="H62" s="14">
        <v>1184</v>
      </c>
      <c r="I62" s="14">
        <v>1178.64</v>
      </c>
      <c r="J62" s="14">
        <v>1246.85</v>
      </c>
      <c r="K62" s="15">
        <v>312.1</v>
      </c>
      <c r="L62" s="15">
        <v>11660335</v>
      </c>
      <c r="M62" t="s" s="13">
        <v>7626</v>
      </c>
      <c r="N62" s="15">
        <v>188990</v>
      </c>
      <c r="O62" s="17" cm="1">
        <f t="array" ref="O62">(H62-H61)/H61</f>
        <v>0.0160909676035186</v>
      </c>
    </row>
    <row r="63" ht="13.65" customHeight="1">
      <c r="A63" s="18">
        <v>44376</v>
      </c>
      <c r="B63" t="s" s="13">
        <v>22</v>
      </c>
      <c r="C63" s="14">
        <v>1184.5</v>
      </c>
      <c r="D63" s="14">
        <v>1192</v>
      </c>
      <c r="E63" s="14">
        <v>1165.55</v>
      </c>
      <c r="F63" s="14">
        <v>1184</v>
      </c>
      <c r="G63" s="14">
        <v>1174.25</v>
      </c>
      <c r="H63" s="14">
        <v>1172.55</v>
      </c>
      <c r="I63" s="14">
        <v>1176.74</v>
      </c>
      <c r="J63" s="14">
        <v>1246.85</v>
      </c>
      <c r="K63" s="15">
        <v>312.1</v>
      </c>
      <c r="L63" s="15">
        <v>7803759</v>
      </c>
      <c r="M63" t="s" s="13">
        <v>7627</v>
      </c>
      <c r="N63" s="15">
        <v>152319</v>
      </c>
      <c r="O63" s="17" cm="1">
        <f t="array" ref="O63">(H63-H62)/H62</f>
        <v>-0.00967060810810811</v>
      </c>
    </row>
    <row r="64" ht="13.65" customHeight="1">
      <c r="A64" s="18">
        <v>44377</v>
      </c>
      <c r="B64" t="s" s="13">
        <v>22</v>
      </c>
      <c r="C64" s="14">
        <v>1181.05</v>
      </c>
      <c r="D64" s="14">
        <v>1191</v>
      </c>
      <c r="E64" s="14">
        <v>1162.8</v>
      </c>
      <c r="F64" s="14">
        <v>1172.55</v>
      </c>
      <c r="G64" s="14">
        <v>1164.95</v>
      </c>
      <c r="H64" s="14">
        <v>1166.6</v>
      </c>
      <c r="I64" s="14">
        <v>1179.73</v>
      </c>
      <c r="J64" s="14">
        <v>1246.85</v>
      </c>
      <c r="K64" s="15">
        <v>312.1</v>
      </c>
      <c r="L64" s="15">
        <v>8043267</v>
      </c>
      <c r="M64" t="s" s="13">
        <v>7628</v>
      </c>
      <c r="N64" s="15">
        <v>152274</v>
      </c>
      <c r="O64" s="17" cm="1">
        <f t="array" ref="O64">(H64-H63)/H63</f>
        <v>-0.00507441047290094</v>
      </c>
    </row>
    <row r="65" ht="13.65" customHeight="1">
      <c r="A65" s="12">
        <v>44378</v>
      </c>
      <c r="B65" t="s" s="13">
        <v>22</v>
      </c>
      <c r="C65" s="14">
        <v>1171.9</v>
      </c>
      <c r="D65" s="14">
        <v>1176.8</v>
      </c>
      <c r="E65" s="14">
        <v>1156.45</v>
      </c>
      <c r="F65" s="14">
        <v>1166.6</v>
      </c>
      <c r="G65" s="14">
        <v>1162.9</v>
      </c>
      <c r="H65" s="14">
        <v>1163.55</v>
      </c>
      <c r="I65" s="14">
        <v>1166.47</v>
      </c>
      <c r="J65" s="14">
        <v>1246.85</v>
      </c>
      <c r="K65" s="15">
        <v>312.1</v>
      </c>
      <c r="L65" s="15">
        <v>5614928</v>
      </c>
      <c r="M65" t="s" s="13">
        <v>7629</v>
      </c>
      <c r="N65" s="15">
        <v>102568</v>
      </c>
      <c r="O65" s="17" cm="1">
        <f t="array" ref="O65">(H65-H64)/H64</f>
        <v>-0.00261443511057775</v>
      </c>
    </row>
    <row r="66" ht="13.65" customHeight="1">
      <c r="A66" s="12">
        <v>44379</v>
      </c>
      <c r="B66" t="s" s="13">
        <v>22</v>
      </c>
      <c r="C66" s="14">
        <v>1166</v>
      </c>
      <c r="D66" s="14">
        <v>1166.8</v>
      </c>
      <c r="E66" s="14">
        <v>1130.2</v>
      </c>
      <c r="F66" s="14">
        <v>1163.55</v>
      </c>
      <c r="G66" s="14">
        <v>1137.9</v>
      </c>
      <c r="H66" s="14">
        <v>1136</v>
      </c>
      <c r="I66" s="14">
        <v>1144.91</v>
      </c>
      <c r="J66" s="14">
        <v>1246.85</v>
      </c>
      <c r="K66" s="15">
        <v>312.1</v>
      </c>
      <c r="L66" s="15">
        <v>7573407</v>
      </c>
      <c r="M66" t="s" s="13">
        <v>7630</v>
      </c>
      <c r="N66" s="15">
        <v>144117</v>
      </c>
      <c r="O66" s="17" cm="1">
        <f t="array" ref="O66">(H66-H65)/H65</f>
        <v>-0.0236775385673155</v>
      </c>
    </row>
    <row r="67" ht="13.65" customHeight="1">
      <c r="A67" s="12">
        <v>44382</v>
      </c>
      <c r="B67" t="s" s="13">
        <v>22</v>
      </c>
      <c r="C67" s="14">
        <v>1146</v>
      </c>
      <c r="D67" s="14">
        <v>1161.8</v>
      </c>
      <c r="E67" s="14">
        <v>1136</v>
      </c>
      <c r="F67" s="14">
        <v>1136</v>
      </c>
      <c r="G67" s="14">
        <v>1158.5</v>
      </c>
      <c r="H67" s="14">
        <v>1156.85</v>
      </c>
      <c r="I67" s="14">
        <v>1148.17</v>
      </c>
      <c r="J67" s="14">
        <v>1246.85</v>
      </c>
      <c r="K67" s="15">
        <v>328.05</v>
      </c>
      <c r="L67" s="15">
        <v>7679900</v>
      </c>
      <c r="M67" t="s" s="13">
        <v>7631</v>
      </c>
      <c r="N67" s="15">
        <v>151161</v>
      </c>
      <c r="O67" s="17" cm="1">
        <f t="array" ref="O67">(H67-H66)/H66</f>
        <v>0.0183538732394366</v>
      </c>
    </row>
    <row r="68" ht="13.65" customHeight="1">
      <c r="A68" s="12">
        <v>44383</v>
      </c>
      <c r="B68" t="s" s="13">
        <v>22</v>
      </c>
      <c r="C68" s="14">
        <v>1158.65</v>
      </c>
      <c r="D68" s="14">
        <v>1178</v>
      </c>
      <c r="E68" s="14">
        <v>1150.25</v>
      </c>
      <c r="F68" s="14">
        <v>1156.85</v>
      </c>
      <c r="G68" s="14">
        <v>1165.9</v>
      </c>
      <c r="H68" s="14">
        <v>1167.25</v>
      </c>
      <c r="I68" s="14">
        <v>1165.16</v>
      </c>
      <c r="J68" s="14">
        <v>1246.85</v>
      </c>
      <c r="K68" s="15">
        <v>328.05</v>
      </c>
      <c r="L68" s="15">
        <v>9146835</v>
      </c>
      <c r="M68" t="s" s="13">
        <v>7632</v>
      </c>
      <c r="N68" s="15">
        <v>170937</v>
      </c>
      <c r="O68" s="17" cm="1">
        <f t="array" ref="O68">(H68-H67)/H67</f>
        <v>0.00898992955007131</v>
      </c>
    </row>
    <row r="69" ht="13.65" customHeight="1">
      <c r="A69" s="12">
        <v>44384</v>
      </c>
      <c r="B69" t="s" s="13">
        <v>22</v>
      </c>
      <c r="C69" s="14">
        <v>1167.95</v>
      </c>
      <c r="D69" s="14">
        <v>1225</v>
      </c>
      <c r="E69" s="14">
        <v>1158.5</v>
      </c>
      <c r="F69" s="14">
        <v>1167.25</v>
      </c>
      <c r="G69" s="14">
        <v>1225</v>
      </c>
      <c r="H69" s="14">
        <v>1218.65</v>
      </c>
      <c r="I69" s="14">
        <v>1195.87</v>
      </c>
      <c r="J69" s="14">
        <v>1246.85</v>
      </c>
      <c r="K69" s="15">
        <v>328.05</v>
      </c>
      <c r="L69" s="15">
        <v>16745626</v>
      </c>
      <c r="M69" t="s" s="13">
        <v>7633</v>
      </c>
      <c r="N69" s="15">
        <v>274187</v>
      </c>
      <c r="O69" s="17" cm="1">
        <f t="array" ref="O69">(H69-H68)/H68</f>
        <v>0.0440351252944956</v>
      </c>
    </row>
    <row r="70" ht="13.65" customHeight="1">
      <c r="A70" s="12">
        <v>44385</v>
      </c>
      <c r="B70" t="s" s="13">
        <v>22</v>
      </c>
      <c r="C70" s="14">
        <v>1225</v>
      </c>
      <c r="D70" s="14">
        <v>1230</v>
      </c>
      <c r="E70" s="14">
        <v>1181.2</v>
      </c>
      <c r="F70" s="14">
        <v>1218.65</v>
      </c>
      <c r="G70" s="14">
        <v>1190</v>
      </c>
      <c r="H70" s="14">
        <v>1189.75</v>
      </c>
      <c r="I70" s="14">
        <v>1205.09</v>
      </c>
      <c r="J70" s="14">
        <v>1246.85</v>
      </c>
      <c r="K70" s="15">
        <v>328.05</v>
      </c>
      <c r="L70" s="15">
        <v>12410585</v>
      </c>
      <c r="M70" t="s" s="13">
        <v>7634</v>
      </c>
      <c r="N70" s="15">
        <v>229065</v>
      </c>
      <c r="O70" s="17" cm="1">
        <f t="array" ref="O70">(H70-H69)/H69</f>
        <v>-0.0237147663398022</v>
      </c>
    </row>
    <row r="71" ht="13.65" customHeight="1">
      <c r="A71" s="12">
        <v>44386</v>
      </c>
      <c r="B71" t="s" s="13">
        <v>22</v>
      </c>
      <c r="C71" s="14">
        <v>1192</v>
      </c>
      <c r="D71" s="14">
        <v>1244.1</v>
      </c>
      <c r="E71" s="14">
        <v>1188</v>
      </c>
      <c r="F71" s="14">
        <v>1189.75</v>
      </c>
      <c r="G71" s="14">
        <v>1239.75</v>
      </c>
      <c r="H71" s="14">
        <v>1239.35</v>
      </c>
      <c r="I71" s="14">
        <v>1220.4</v>
      </c>
      <c r="J71" s="14">
        <v>1246.85</v>
      </c>
      <c r="K71" s="15">
        <v>328.05</v>
      </c>
      <c r="L71" s="15">
        <v>17859356</v>
      </c>
      <c r="M71" t="s" s="13">
        <v>7635</v>
      </c>
      <c r="N71" s="15">
        <v>305588</v>
      </c>
      <c r="O71" s="17" cm="1">
        <f t="array" ref="O71">(H71-H70)/H70</f>
        <v>0.0416894305526371</v>
      </c>
    </row>
    <row r="72" ht="13.65" customHeight="1">
      <c r="A72" s="18">
        <v>44389</v>
      </c>
      <c r="B72" t="s" s="13">
        <v>22</v>
      </c>
      <c r="C72" s="14">
        <v>1251</v>
      </c>
      <c r="D72" s="14">
        <v>1258.5</v>
      </c>
      <c r="E72" s="14">
        <v>1218.35</v>
      </c>
      <c r="F72" s="14">
        <v>1239.35</v>
      </c>
      <c r="G72" s="14">
        <v>1225</v>
      </c>
      <c r="H72" s="14">
        <v>1226.95</v>
      </c>
      <c r="I72" s="14">
        <v>1241.2</v>
      </c>
      <c r="J72" s="14">
        <v>1258.5</v>
      </c>
      <c r="K72" s="15">
        <v>331.55</v>
      </c>
      <c r="L72" s="15">
        <v>16647775</v>
      </c>
      <c r="M72" t="s" s="13">
        <v>7636</v>
      </c>
      <c r="N72" s="15">
        <v>286823</v>
      </c>
      <c r="O72" s="17" cm="1">
        <f t="array" ref="O72">(H72-H71)/H71</f>
        <v>-0.0100052446847138</v>
      </c>
    </row>
    <row r="73" ht="13.65" customHeight="1">
      <c r="A73" s="18">
        <v>44390</v>
      </c>
      <c r="B73" t="s" s="13">
        <v>22</v>
      </c>
      <c r="C73" s="14">
        <v>1238</v>
      </c>
      <c r="D73" s="14">
        <v>1243.45</v>
      </c>
      <c r="E73" s="14">
        <v>1223.1</v>
      </c>
      <c r="F73" s="14">
        <v>1226.95</v>
      </c>
      <c r="G73" s="14">
        <v>1229.5</v>
      </c>
      <c r="H73" s="14">
        <v>1228.75</v>
      </c>
      <c r="I73" s="14">
        <v>1233.12</v>
      </c>
      <c r="J73" s="14">
        <v>1258.5</v>
      </c>
      <c r="K73" s="15">
        <v>331.55</v>
      </c>
      <c r="L73" s="15">
        <v>7915528</v>
      </c>
      <c r="M73" t="s" s="13">
        <v>7637</v>
      </c>
      <c r="N73" s="15">
        <v>144718</v>
      </c>
      <c r="O73" s="17" cm="1">
        <f t="array" ref="O73">(H73-H72)/H72</f>
        <v>0.00146705244712498</v>
      </c>
    </row>
    <row r="74" ht="13.65" customHeight="1">
      <c r="A74" s="18">
        <v>44391</v>
      </c>
      <c r="B74" t="s" s="13">
        <v>22</v>
      </c>
      <c r="C74" s="14">
        <v>1231.95</v>
      </c>
      <c r="D74" s="14">
        <v>1247.7</v>
      </c>
      <c r="E74" s="14">
        <v>1219</v>
      </c>
      <c r="F74" s="14">
        <v>1228.75</v>
      </c>
      <c r="G74" s="14">
        <v>1243.4</v>
      </c>
      <c r="H74" s="14">
        <v>1244.7</v>
      </c>
      <c r="I74" s="14">
        <v>1235.34</v>
      </c>
      <c r="J74" s="14">
        <v>1258.5</v>
      </c>
      <c r="K74" s="15">
        <v>331.55</v>
      </c>
      <c r="L74" s="15">
        <v>8341388</v>
      </c>
      <c r="M74" t="s" s="13">
        <v>7638</v>
      </c>
      <c r="N74" s="15">
        <v>150710</v>
      </c>
      <c r="O74" s="17" cm="1">
        <f t="array" ref="O74">(H74-H73)/H73</f>
        <v>0.0129806714140387</v>
      </c>
    </row>
    <row r="75" ht="13.65" customHeight="1">
      <c r="A75" s="18">
        <v>44392</v>
      </c>
      <c r="B75" t="s" s="13">
        <v>22</v>
      </c>
      <c r="C75" s="14">
        <v>1246.1</v>
      </c>
      <c r="D75" s="14">
        <v>1265.8</v>
      </c>
      <c r="E75" s="14">
        <v>1237.7</v>
      </c>
      <c r="F75" s="14">
        <v>1244.7</v>
      </c>
      <c r="G75" s="14">
        <v>1257.6</v>
      </c>
      <c r="H75" s="14">
        <v>1255.95</v>
      </c>
      <c r="I75" s="14">
        <v>1253.63</v>
      </c>
      <c r="J75" s="14">
        <v>1265.8</v>
      </c>
      <c r="K75" s="15">
        <v>331.55</v>
      </c>
      <c r="L75" s="15">
        <v>9655551</v>
      </c>
      <c r="M75" t="s" s="13">
        <v>7639</v>
      </c>
      <c r="N75" s="15">
        <v>186722</v>
      </c>
      <c r="O75" s="17" cm="1">
        <f t="array" ref="O75">(H75-H74)/H74</f>
        <v>0.00903832248734635</v>
      </c>
    </row>
    <row r="76" ht="13.65" customHeight="1">
      <c r="A76" s="18">
        <v>44393</v>
      </c>
      <c r="B76" t="s" s="13">
        <v>22</v>
      </c>
      <c r="C76" s="14">
        <v>1264.7</v>
      </c>
      <c r="D76" s="14">
        <v>1281.3</v>
      </c>
      <c r="E76" s="14">
        <v>1259.05</v>
      </c>
      <c r="F76" s="14">
        <v>1255.95</v>
      </c>
      <c r="G76" s="14">
        <v>1274.75</v>
      </c>
      <c r="H76" s="14">
        <v>1278.45</v>
      </c>
      <c r="I76" s="14">
        <v>1270.98</v>
      </c>
      <c r="J76" s="14">
        <v>1281.3</v>
      </c>
      <c r="K76" s="15">
        <v>331.55</v>
      </c>
      <c r="L76" s="15">
        <v>8496925</v>
      </c>
      <c r="M76" t="s" s="13">
        <v>7640</v>
      </c>
      <c r="N76" s="15">
        <v>166436</v>
      </c>
      <c r="O76" s="17" cm="1">
        <f t="array" ref="O76">(H76-H75)/H75</f>
        <v>0.0179147259046937</v>
      </c>
    </row>
    <row r="77" ht="13.65" customHeight="1">
      <c r="A77" s="18">
        <v>44396</v>
      </c>
      <c r="B77" t="s" s="13">
        <v>22</v>
      </c>
      <c r="C77" s="14">
        <v>1259</v>
      </c>
      <c r="D77" s="14">
        <v>1290.9</v>
      </c>
      <c r="E77" s="14">
        <v>1253.7</v>
      </c>
      <c r="F77" s="14">
        <v>1278.45</v>
      </c>
      <c r="G77" s="14">
        <v>1264.05</v>
      </c>
      <c r="H77" s="14">
        <v>1266.4</v>
      </c>
      <c r="I77" s="14">
        <v>1274.28</v>
      </c>
      <c r="J77" s="14">
        <v>1290.9</v>
      </c>
      <c r="K77" s="15">
        <v>342.55</v>
      </c>
      <c r="L77" s="15">
        <v>8904629</v>
      </c>
      <c r="M77" t="s" s="13">
        <v>7641</v>
      </c>
      <c r="N77" s="15">
        <v>173387</v>
      </c>
      <c r="O77" s="17" cm="1">
        <f t="array" ref="O77">(H77-H76)/H76</f>
        <v>-0.00942547616254058</v>
      </c>
    </row>
    <row r="78" ht="13.65" customHeight="1">
      <c r="A78" s="18">
        <v>44397</v>
      </c>
      <c r="B78" t="s" s="13">
        <v>22</v>
      </c>
      <c r="C78" s="14">
        <v>1272</v>
      </c>
      <c r="D78" s="14">
        <v>1272.3</v>
      </c>
      <c r="E78" s="14">
        <v>1225</v>
      </c>
      <c r="F78" s="14">
        <v>1266.4</v>
      </c>
      <c r="G78" s="14">
        <v>1231.95</v>
      </c>
      <c r="H78" s="14">
        <v>1233.35</v>
      </c>
      <c r="I78" s="14">
        <v>1241.77</v>
      </c>
      <c r="J78" s="14">
        <v>1290.9</v>
      </c>
      <c r="K78" s="15">
        <v>342.55</v>
      </c>
      <c r="L78" s="15">
        <v>8579940</v>
      </c>
      <c r="M78" t="s" s="13">
        <v>7642</v>
      </c>
      <c r="N78" s="15">
        <v>170242</v>
      </c>
      <c r="O78" s="17" cm="1">
        <f t="array" ref="O78">(H78-H77)/H77</f>
        <v>-0.0260975994946304</v>
      </c>
    </row>
    <row r="79" ht="13.65" customHeight="1">
      <c r="A79" s="18">
        <v>44399</v>
      </c>
      <c r="B79" t="s" s="13">
        <v>22</v>
      </c>
      <c r="C79" s="14">
        <v>1249</v>
      </c>
      <c r="D79" s="14">
        <v>1277.95</v>
      </c>
      <c r="E79" s="14">
        <v>1248</v>
      </c>
      <c r="F79" s="14">
        <v>1233.35</v>
      </c>
      <c r="G79" s="14">
        <v>1277.95</v>
      </c>
      <c r="H79" s="14">
        <v>1273</v>
      </c>
      <c r="I79" s="14">
        <v>1265.92</v>
      </c>
      <c r="J79" s="14">
        <v>1290.9</v>
      </c>
      <c r="K79" s="15">
        <v>342.55</v>
      </c>
      <c r="L79" s="15">
        <v>7894024</v>
      </c>
      <c r="M79" t="s" s="13">
        <v>7643</v>
      </c>
      <c r="N79" s="15">
        <v>161316</v>
      </c>
      <c r="O79" s="17" cm="1">
        <f t="array" ref="O79">(H79-H78)/H78</f>
        <v>0.0321482142133214</v>
      </c>
    </row>
    <row r="80" ht="13.65" customHeight="1">
      <c r="A80" s="18">
        <v>44400</v>
      </c>
      <c r="B80" t="s" s="13">
        <v>22</v>
      </c>
      <c r="C80" s="14">
        <v>1279.35</v>
      </c>
      <c r="D80" s="14">
        <v>1295.5</v>
      </c>
      <c r="E80" s="14">
        <v>1274</v>
      </c>
      <c r="F80" s="14">
        <v>1273</v>
      </c>
      <c r="G80" s="14">
        <v>1279.05</v>
      </c>
      <c r="H80" s="14">
        <v>1281.4</v>
      </c>
      <c r="I80" s="14">
        <v>1284.66</v>
      </c>
      <c r="J80" s="14">
        <v>1295.5</v>
      </c>
      <c r="K80" s="15">
        <v>342.55</v>
      </c>
      <c r="L80" s="15">
        <v>8641865</v>
      </c>
      <c r="M80" t="s" s="13">
        <v>7644</v>
      </c>
      <c r="N80" s="15">
        <v>170796</v>
      </c>
      <c r="O80" s="17" cm="1">
        <f t="array" ref="O80">(H80-H79)/H79</f>
        <v>0.00659858601728201</v>
      </c>
    </row>
    <row r="81" ht="13.65" customHeight="1">
      <c r="A81" s="18">
        <v>44403</v>
      </c>
      <c r="B81" t="s" s="13">
        <v>22</v>
      </c>
      <c r="C81" s="14">
        <v>1289</v>
      </c>
      <c r="D81" s="14">
        <v>1308.25</v>
      </c>
      <c r="E81" s="14">
        <v>1278.05</v>
      </c>
      <c r="F81" s="14">
        <v>1281.4</v>
      </c>
      <c r="G81" s="14">
        <v>1297</v>
      </c>
      <c r="H81" s="14">
        <v>1297.95</v>
      </c>
      <c r="I81" s="14">
        <v>1294.88</v>
      </c>
      <c r="J81" s="14">
        <v>1308.25</v>
      </c>
      <c r="K81" s="15">
        <v>342.75</v>
      </c>
      <c r="L81" s="15">
        <v>8678433</v>
      </c>
      <c r="M81" t="s" s="13">
        <v>7645</v>
      </c>
      <c r="N81" s="15">
        <v>172836</v>
      </c>
      <c r="O81" s="17" cm="1">
        <f t="array" ref="O81">(H81-H80)/H80</f>
        <v>0.0129155611050414</v>
      </c>
    </row>
    <row r="82" ht="13.65" customHeight="1">
      <c r="A82" s="18">
        <v>44404</v>
      </c>
      <c r="B82" t="s" s="13">
        <v>22</v>
      </c>
      <c r="C82" s="14">
        <v>1315</v>
      </c>
      <c r="D82" s="14">
        <v>1334.5</v>
      </c>
      <c r="E82" s="14">
        <v>1308.05</v>
      </c>
      <c r="F82" s="14">
        <v>1297.95</v>
      </c>
      <c r="G82" s="14">
        <v>1333.5</v>
      </c>
      <c r="H82" s="14">
        <v>1330.65</v>
      </c>
      <c r="I82" s="14">
        <v>1322.41</v>
      </c>
      <c r="J82" s="14">
        <v>1334.5</v>
      </c>
      <c r="K82" s="15">
        <v>342.75</v>
      </c>
      <c r="L82" s="15">
        <v>10341382</v>
      </c>
      <c r="M82" t="s" s="13">
        <v>7646</v>
      </c>
      <c r="N82" s="15">
        <v>174851</v>
      </c>
      <c r="O82" s="17" cm="1">
        <f t="array" ref="O82">(H82-H81)/H81</f>
        <v>0.0251935744828383</v>
      </c>
    </row>
    <row r="83" ht="13.65" customHeight="1">
      <c r="A83" s="18">
        <v>44405</v>
      </c>
      <c r="B83" t="s" s="13">
        <v>22</v>
      </c>
      <c r="C83" s="14">
        <v>1332</v>
      </c>
      <c r="D83" s="14">
        <v>1369.95</v>
      </c>
      <c r="E83" s="14">
        <v>1306.2</v>
      </c>
      <c r="F83" s="14">
        <v>1330.65</v>
      </c>
      <c r="G83" s="14">
        <v>1368.05</v>
      </c>
      <c r="H83" s="14">
        <v>1365</v>
      </c>
      <c r="I83" s="14">
        <v>1337.8</v>
      </c>
      <c r="J83" s="14">
        <v>1369.95</v>
      </c>
      <c r="K83" s="15">
        <v>342.75</v>
      </c>
      <c r="L83" s="15">
        <v>12835125</v>
      </c>
      <c r="M83" t="s" s="13">
        <v>7647</v>
      </c>
      <c r="N83" s="15">
        <v>220148</v>
      </c>
      <c r="O83" s="17" cm="1">
        <f t="array" ref="O83">(H83-H82)/H82</f>
        <v>0.0258144515838124</v>
      </c>
    </row>
    <row r="84" ht="13.65" customHeight="1">
      <c r="A84" s="18">
        <v>44406</v>
      </c>
      <c r="B84" t="s" s="13">
        <v>22</v>
      </c>
      <c r="C84" s="14">
        <v>1375</v>
      </c>
      <c r="D84" s="14">
        <v>1481.8</v>
      </c>
      <c r="E84" s="14">
        <v>1368</v>
      </c>
      <c r="F84" s="14">
        <v>1365</v>
      </c>
      <c r="G84" s="14">
        <v>1458</v>
      </c>
      <c r="H84" s="14">
        <v>1458.6</v>
      </c>
      <c r="I84" s="14">
        <v>1434.83</v>
      </c>
      <c r="J84" s="14">
        <v>1481.8</v>
      </c>
      <c r="K84" s="15">
        <v>342.75</v>
      </c>
      <c r="L84" s="15">
        <v>30061041</v>
      </c>
      <c r="M84" t="s" s="13">
        <v>7648</v>
      </c>
      <c r="N84" s="15">
        <v>486413</v>
      </c>
      <c r="O84" s="17" cm="1">
        <f t="array" ref="O84">(H84-H83)/H83</f>
        <v>0.0685714285714286</v>
      </c>
    </row>
    <row r="85" ht="13.65" customHeight="1">
      <c r="A85" s="18">
        <v>44407</v>
      </c>
      <c r="B85" t="s" s="13">
        <v>22</v>
      </c>
      <c r="C85" s="14">
        <v>1455.65</v>
      </c>
      <c r="D85" s="14">
        <v>1472.7</v>
      </c>
      <c r="E85" s="14">
        <v>1427.8</v>
      </c>
      <c r="F85" s="14">
        <v>1458.6</v>
      </c>
      <c r="G85" s="14">
        <v>1435.25</v>
      </c>
      <c r="H85" s="14">
        <v>1434.3</v>
      </c>
      <c r="I85" s="14">
        <v>1451.63</v>
      </c>
      <c r="J85" s="14">
        <v>1481.8</v>
      </c>
      <c r="K85" s="15">
        <v>342.75</v>
      </c>
      <c r="L85" s="15">
        <v>14049265</v>
      </c>
      <c r="M85" t="s" s="13">
        <v>7649</v>
      </c>
      <c r="N85" s="15">
        <v>253239</v>
      </c>
      <c r="O85" s="17" cm="1">
        <f t="array" ref="O85">(H85-H84)/H84</f>
        <v>-0.0166598107774578</v>
      </c>
    </row>
    <row r="86" ht="13.65" customHeight="1">
      <c r="A86" s="12">
        <v>44410</v>
      </c>
      <c r="B86" t="s" s="13">
        <v>22</v>
      </c>
      <c r="C86" s="14">
        <v>1446</v>
      </c>
      <c r="D86" s="14">
        <v>1447</v>
      </c>
      <c r="E86" s="14">
        <v>1405.5</v>
      </c>
      <c r="F86" s="14">
        <v>1434.3</v>
      </c>
      <c r="G86" s="14">
        <v>1413</v>
      </c>
      <c r="H86" s="14">
        <v>1410.05</v>
      </c>
      <c r="I86" s="14">
        <v>1418.61</v>
      </c>
      <c r="J86" s="14">
        <v>1481.8</v>
      </c>
      <c r="K86" s="15">
        <v>342.75</v>
      </c>
      <c r="L86" s="15">
        <v>9768920</v>
      </c>
      <c r="M86" t="s" s="13">
        <v>7650</v>
      </c>
      <c r="N86" s="15">
        <v>201290</v>
      </c>
      <c r="O86" s="17" cm="1">
        <f t="array" ref="O86">(H86-H85)/H85</f>
        <v>-0.0169072021195008</v>
      </c>
    </row>
    <row r="87" ht="13.65" customHeight="1">
      <c r="A87" s="12">
        <v>44411</v>
      </c>
      <c r="B87" t="s" s="13">
        <v>22</v>
      </c>
      <c r="C87" s="14">
        <v>1414</v>
      </c>
      <c r="D87" s="14">
        <v>1420.85</v>
      </c>
      <c r="E87" s="14">
        <v>1390.35</v>
      </c>
      <c r="F87" s="14">
        <v>1410.05</v>
      </c>
      <c r="G87" s="14">
        <v>1407.25</v>
      </c>
      <c r="H87" s="14">
        <v>1407.2</v>
      </c>
      <c r="I87" s="14">
        <v>1405.32</v>
      </c>
      <c r="J87" s="14">
        <v>1481.8</v>
      </c>
      <c r="K87" s="15">
        <v>342.75</v>
      </c>
      <c r="L87" s="15">
        <v>8640560</v>
      </c>
      <c r="M87" t="s" s="13">
        <v>7651</v>
      </c>
      <c r="N87" s="15">
        <v>211723</v>
      </c>
      <c r="O87" s="17" cm="1">
        <f t="array" ref="O87">(H87-H86)/H86</f>
        <v>-0.00202120492181128</v>
      </c>
    </row>
    <row r="88" ht="13.65" customHeight="1">
      <c r="A88" s="12">
        <v>44412</v>
      </c>
      <c r="B88" t="s" s="13">
        <v>22</v>
      </c>
      <c r="C88" s="14">
        <v>1420</v>
      </c>
      <c r="D88" s="14">
        <v>1448</v>
      </c>
      <c r="E88" s="14">
        <v>1405.1</v>
      </c>
      <c r="F88" s="14">
        <v>1407.2</v>
      </c>
      <c r="G88" s="14">
        <v>1415.3</v>
      </c>
      <c r="H88" s="14">
        <v>1416.2</v>
      </c>
      <c r="I88" s="14">
        <v>1425.42</v>
      </c>
      <c r="J88" s="14">
        <v>1481.8</v>
      </c>
      <c r="K88" s="15">
        <v>342.75</v>
      </c>
      <c r="L88" s="15">
        <v>11289435</v>
      </c>
      <c r="M88" t="s" s="13">
        <v>7652</v>
      </c>
      <c r="N88" s="15">
        <v>225892</v>
      </c>
      <c r="O88" s="17" cm="1">
        <f t="array" ref="O88">(H88-H87)/H87</f>
        <v>0.00639567936327459</v>
      </c>
    </row>
    <row r="89" ht="13.65" customHeight="1">
      <c r="A89" s="12">
        <v>44413</v>
      </c>
      <c r="B89" t="s" s="13">
        <v>22</v>
      </c>
      <c r="C89" s="14">
        <v>1415.3</v>
      </c>
      <c r="D89" s="14">
        <v>1450</v>
      </c>
      <c r="E89" s="14">
        <v>1387.5</v>
      </c>
      <c r="F89" s="14">
        <v>1416.2</v>
      </c>
      <c r="G89" s="14">
        <v>1449</v>
      </c>
      <c r="H89" s="14">
        <v>1446.6</v>
      </c>
      <c r="I89" s="14">
        <v>1418.11</v>
      </c>
      <c r="J89" s="14">
        <v>1481.8</v>
      </c>
      <c r="K89" s="15">
        <v>342.75</v>
      </c>
      <c r="L89" s="15">
        <v>16221799</v>
      </c>
      <c r="M89" t="s" s="13">
        <v>7653</v>
      </c>
      <c r="N89" s="15">
        <v>274552</v>
      </c>
      <c r="O89" s="17" cm="1">
        <f t="array" ref="O89">(H89-H88)/H88</f>
        <v>0.0214658946476486</v>
      </c>
    </row>
    <row r="90" ht="13.65" customHeight="1">
      <c r="A90" s="12">
        <v>44414</v>
      </c>
      <c r="B90" t="s" s="13">
        <v>22</v>
      </c>
      <c r="C90" s="14">
        <v>1449</v>
      </c>
      <c r="D90" s="14">
        <v>1457</v>
      </c>
      <c r="E90" s="14">
        <v>1426</v>
      </c>
      <c r="F90" s="14">
        <v>1446.6</v>
      </c>
      <c r="G90" s="14">
        <v>1428</v>
      </c>
      <c r="H90" s="14">
        <v>1428.85</v>
      </c>
      <c r="I90" s="14">
        <v>1439.73</v>
      </c>
      <c r="J90" s="14">
        <v>1481.8</v>
      </c>
      <c r="K90" s="15">
        <v>342.75</v>
      </c>
      <c r="L90" s="15">
        <v>9674025</v>
      </c>
      <c r="M90" t="s" s="13">
        <v>7654</v>
      </c>
      <c r="N90" s="15">
        <v>213124</v>
      </c>
      <c r="O90" s="17" cm="1">
        <f t="array" ref="O90">(H90-H89)/H89</f>
        <v>-0.0122701506981889</v>
      </c>
    </row>
    <row r="91" ht="13.65" customHeight="1">
      <c r="A91" s="12">
        <v>44417</v>
      </c>
      <c r="B91" t="s" s="13">
        <v>22</v>
      </c>
      <c r="C91" s="14">
        <v>1434</v>
      </c>
      <c r="D91" s="14">
        <v>1443.25</v>
      </c>
      <c r="E91" s="14">
        <v>1405.4</v>
      </c>
      <c r="F91" s="14">
        <v>1428.85</v>
      </c>
      <c r="G91" s="14">
        <v>1408.5</v>
      </c>
      <c r="H91" s="14">
        <v>1412.2</v>
      </c>
      <c r="I91" s="14">
        <v>1422.93</v>
      </c>
      <c r="J91" s="14">
        <v>1481.8</v>
      </c>
      <c r="K91" s="15">
        <v>342.75</v>
      </c>
      <c r="L91" s="15">
        <v>7859493</v>
      </c>
      <c r="M91" t="s" s="13">
        <v>7655</v>
      </c>
      <c r="N91" s="15">
        <v>175185</v>
      </c>
      <c r="O91" s="17" cm="1">
        <f t="array" ref="O91">(H91-H90)/H90</f>
        <v>-0.011652727718095</v>
      </c>
    </row>
    <row r="92" ht="13.65" customHeight="1">
      <c r="A92" s="18">
        <v>44418</v>
      </c>
      <c r="B92" t="s" s="13">
        <v>22</v>
      </c>
      <c r="C92" s="14">
        <v>1412</v>
      </c>
      <c r="D92" s="14">
        <v>1418</v>
      </c>
      <c r="E92" s="14">
        <v>1367.2</v>
      </c>
      <c r="F92" s="14">
        <v>1412.2</v>
      </c>
      <c r="G92" s="14">
        <v>1372.15</v>
      </c>
      <c r="H92" s="14">
        <v>1373.6</v>
      </c>
      <c r="I92" s="14">
        <v>1394.64</v>
      </c>
      <c r="J92" s="14">
        <v>1481.8</v>
      </c>
      <c r="K92" s="15">
        <v>342.75</v>
      </c>
      <c r="L92" s="15">
        <v>8451623</v>
      </c>
      <c r="M92" t="s" s="13">
        <v>7656</v>
      </c>
      <c r="N92" s="15">
        <v>190548</v>
      </c>
      <c r="O92" s="17" cm="1">
        <f t="array" ref="O92">(H92-H91)/H91</f>
        <v>-0.0273332389180003</v>
      </c>
    </row>
    <row r="93" ht="13.65" customHeight="1">
      <c r="A93" s="18">
        <v>44419</v>
      </c>
      <c r="B93" t="s" s="13">
        <v>22</v>
      </c>
      <c r="C93" s="14">
        <v>1390</v>
      </c>
      <c r="D93" s="14">
        <v>1429.7</v>
      </c>
      <c r="E93" s="14">
        <v>1384.2</v>
      </c>
      <c r="F93" s="14">
        <v>1373.6</v>
      </c>
      <c r="G93" s="14">
        <v>1428.5</v>
      </c>
      <c r="H93" s="14">
        <v>1426.2</v>
      </c>
      <c r="I93" s="14">
        <v>1408.16</v>
      </c>
      <c r="J93" s="14">
        <v>1481.8</v>
      </c>
      <c r="K93" s="15">
        <v>342.75</v>
      </c>
      <c r="L93" s="15">
        <v>14535357</v>
      </c>
      <c r="M93" t="s" s="13">
        <v>7657</v>
      </c>
      <c r="N93" s="15">
        <v>304687</v>
      </c>
      <c r="O93" s="17" cm="1">
        <f t="array" ref="O93">(H93-H92)/H92</f>
        <v>0.0382935352358765</v>
      </c>
    </row>
    <row r="94" ht="13.65" customHeight="1">
      <c r="A94" s="18">
        <v>44420</v>
      </c>
      <c r="B94" t="s" s="13">
        <v>22</v>
      </c>
      <c r="C94" s="14">
        <v>1436</v>
      </c>
      <c r="D94" s="14">
        <v>1444.7</v>
      </c>
      <c r="E94" s="14">
        <v>1416.55</v>
      </c>
      <c r="F94" s="14">
        <v>1426.2</v>
      </c>
      <c r="G94" s="14">
        <v>1433.65</v>
      </c>
      <c r="H94" s="14">
        <v>1435.35</v>
      </c>
      <c r="I94" s="14">
        <v>1431.3</v>
      </c>
      <c r="J94" s="14">
        <v>1481.8</v>
      </c>
      <c r="K94" s="15">
        <v>342.75</v>
      </c>
      <c r="L94" s="15">
        <v>10943108</v>
      </c>
      <c r="M94" t="s" s="13">
        <v>7658</v>
      </c>
      <c r="N94" s="15">
        <v>189925</v>
      </c>
      <c r="O94" s="17" cm="1">
        <f t="array" ref="O94">(H94-H93)/H93</f>
        <v>0.00641564997896508</v>
      </c>
    </row>
    <row r="95" ht="13.65" customHeight="1">
      <c r="A95" s="18">
        <v>44421</v>
      </c>
      <c r="B95" t="s" s="13">
        <v>22</v>
      </c>
      <c r="C95" s="14">
        <v>1405</v>
      </c>
      <c r="D95" s="14">
        <v>1476.6</v>
      </c>
      <c r="E95" s="14">
        <v>1390.65</v>
      </c>
      <c r="F95" s="14">
        <v>1435.35</v>
      </c>
      <c r="G95" s="14">
        <v>1467.25</v>
      </c>
      <c r="H95" s="14">
        <v>1461.65</v>
      </c>
      <c r="I95" s="14">
        <v>1435.19</v>
      </c>
      <c r="J95" s="14">
        <v>1481.8</v>
      </c>
      <c r="K95" s="15">
        <v>342.75</v>
      </c>
      <c r="L95" s="15">
        <v>28969872</v>
      </c>
      <c r="M95" t="s" s="13">
        <v>7659</v>
      </c>
      <c r="N95" s="15">
        <v>507280</v>
      </c>
      <c r="O95" s="17" cm="1">
        <f t="array" ref="O95">(H95-H94)/H94</f>
        <v>0.0183230570940885</v>
      </c>
    </row>
    <row r="96" ht="13.65" customHeight="1">
      <c r="A96" s="18">
        <v>44424</v>
      </c>
      <c r="B96" t="s" s="13">
        <v>22</v>
      </c>
      <c r="C96" s="14">
        <v>1484</v>
      </c>
      <c r="D96" s="14">
        <v>1534.5</v>
      </c>
      <c r="E96" s="14">
        <v>1472.2</v>
      </c>
      <c r="F96" s="14">
        <v>1461.65</v>
      </c>
      <c r="G96" s="14">
        <v>1515.3</v>
      </c>
      <c r="H96" s="14">
        <v>1519.4</v>
      </c>
      <c r="I96" s="14">
        <v>1503.26</v>
      </c>
      <c r="J96" s="14">
        <v>1534.5</v>
      </c>
      <c r="K96" s="15">
        <v>342.75</v>
      </c>
      <c r="L96" s="15">
        <v>27114488</v>
      </c>
      <c r="M96" t="s" s="13">
        <v>7660</v>
      </c>
      <c r="N96" s="15">
        <v>470948</v>
      </c>
      <c r="O96" s="17" cm="1">
        <f t="array" ref="O96">(H96-H95)/H95</f>
        <v>0.0395101426470085</v>
      </c>
    </row>
    <row r="97" ht="13.65" customHeight="1">
      <c r="A97" s="18">
        <v>44425</v>
      </c>
      <c r="B97" t="s" s="13">
        <v>22</v>
      </c>
      <c r="C97" s="14">
        <v>1519.4</v>
      </c>
      <c r="D97" s="14">
        <v>1534</v>
      </c>
      <c r="E97" s="14">
        <v>1491.75</v>
      </c>
      <c r="F97" s="14">
        <v>1519.4</v>
      </c>
      <c r="G97" s="14">
        <v>1501.45</v>
      </c>
      <c r="H97" s="14">
        <v>1503.7</v>
      </c>
      <c r="I97" s="14">
        <v>1514.32</v>
      </c>
      <c r="J97" s="14">
        <v>1534.5</v>
      </c>
      <c r="K97" s="15">
        <v>342.75</v>
      </c>
      <c r="L97" s="15">
        <v>18970923</v>
      </c>
      <c r="M97" t="s" s="13">
        <v>7661</v>
      </c>
      <c r="N97" s="15">
        <v>362892</v>
      </c>
      <c r="O97" s="17" cm="1">
        <f t="array" ref="O97">(H97-H96)/H96</f>
        <v>-0.0103330261945505</v>
      </c>
    </row>
    <row r="98" ht="13.65" customHeight="1">
      <c r="A98" s="18">
        <v>44426</v>
      </c>
      <c r="B98" t="s" s="13">
        <v>22</v>
      </c>
      <c r="C98" s="14">
        <v>1509.45</v>
      </c>
      <c r="D98" s="14">
        <v>1518.9</v>
      </c>
      <c r="E98" s="14">
        <v>1488.2</v>
      </c>
      <c r="F98" s="14">
        <v>1503.7</v>
      </c>
      <c r="G98" s="14">
        <v>1497.2</v>
      </c>
      <c r="H98" s="14">
        <v>1500.45</v>
      </c>
      <c r="I98" s="14">
        <v>1502.14</v>
      </c>
      <c r="J98" s="14">
        <v>1534.5</v>
      </c>
      <c r="K98" s="15">
        <v>342.75</v>
      </c>
      <c r="L98" s="15">
        <v>12331745</v>
      </c>
      <c r="M98" t="s" s="13">
        <v>7662</v>
      </c>
      <c r="N98" s="15">
        <v>252131</v>
      </c>
      <c r="O98" s="17" cm="1">
        <f t="array" ref="O98">(H98-H97)/H97</f>
        <v>-0.00216133537274722</v>
      </c>
    </row>
    <row r="99" ht="13.65" customHeight="1">
      <c r="A99" s="18">
        <v>44428</v>
      </c>
      <c r="B99" t="s" s="13">
        <v>22</v>
      </c>
      <c r="C99" s="14">
        <v>1445.05</v>
      </c>
      <c r="D99" s="14">
        <v>1447</v>
      </c>
      <c r="E99" s="14">
        <v>1362.8</v>
      </c>
      <c r="F99" s="14">
        <v>1500.45</v>
      </c>
      <c r="G99" s="14">
        <v>1367.7</v>
      </c>
      <c r="H99" s="14">
        <v>1375.6</v>
      </c>
      <c r="I99" s="14">
        <v>1412.52</v>
      </c>
      <c r="J99" s="14">
        <v>1534.5</v>
      </c>
      <c r="K99" s="15">
        <v>342.75</v>
      </c>
      <c r="L99" s="15">
        <v>27340069</v>
      </c>
      <c r="M99" t="s" s="13">
        <v>7663</v>
      </c>
      <c r="N99" s="15">
        <v>586431</v>
      </c>
      <c r="O99" s="17" cm="1">
        <f t="array" ref="O99">(H99-H98)/H98</f>
        <v>-0.08320837082208669</v>
      </c>
    </row>
    <row r="100" ht="13.65" customHeight="1">
      <c r="A100" s="18">
        <v>44431</v>
      </c>
      <c r="B100" t="s" s="13">
        <v>22</v>
      </c>
      <c r="C100" s="14">
        <v>1402</v>
      </c>
      <c r="D100" s="14">
        <v>1409.8</v>
      </c>
      <c r="E100" s="14">
        <v>1310.75</v>
      </c>
      <c r="F100" s="14">
        <v>1375.6</v>
      </c>
      <c r="G100" s="14">
        <v>1362.3</v>
      </c>
      <c r="H100" s="14">
        <v>1358.65</v>
      </c>
      <c r="I100" s="14">
        <v>1366.21</v>
      </c>
      <c r="J100" s="14">
        <v>1534.5</v>
      </c>
      <c r="K100" s="15">
        <v>342.75</v>
      </c>
      <c r="L100" s="15">
        <v>22925729</v>
      </c>
      <c r="M100" t="s" s="13">
        <v>7664</v>
      </c>
      <c r="N100" s="15">
        <v>438033</v>
      </c>
      <c r="O100" s="17" cm="1">
        <f t="array" ref="O100">(H100-H99)/H99</f>
        <v>-0.0123218958999709</v>
      </c>
    </row>
    <row r="101" ht="13.65" customHeight="1">
      <c r="A101" s="18">
        <v>44432</v>
      </c>
      <c r="B101" t="s" s="13">
        <v>22</v>
      </c>
      <c r="C101" s="14">
        <v>1382</v>
      </c>
      <c r="D101" s="14">
        <v>1420</v>
      </c>
      <c r="E101" s="14">
        <v>1377</v>
      </c>
      <c r="F101" s="14">
        <v>1358.65</v>
      </c>
      <c r="G101" s="14">
        <v>1407.15</v>
      </c>
      <c r="H101" s="14">
        <v>1404.65</v>
      </c>
      <c r="I101" s="14">
        <v>1399.79</v>
      </c>
      <c r="J101" s="14">
        <v>1534.5</v>
      </c>
      <c r="K101" s="15">
        <v>342.75</v>
      </c>
      <c r="L101" s="15">
        <v>17607579</v>
      </c>
      <c r="M101" t="s" s="13">
        <v>7665</v>
      </c>
      <c r="N101" s="15">
        <v>329898</v>
      </c>
      <c r="O101" s="17" cm="1">
        <f t="array" ref="O101">(H101-H100)/H100</f>
        <v>0.0338571375998234</v>
      </c>
    </row>
    <row r="102" ht="13.65" customHeight="1">
      <c r="A102" s="18">
        <v>44433</v>
      </c>
      <c r="B102" t="s" s="13">
        <v>22</v>
      </c>
      <c r="C102" s="14">
        <v>1418</v>
      </c>
      <c r="D102" s="14">
        <v>1426</v>
      </c>
      <c r="E102" s="14">
        <v>1380.75</v>
      </c>
      <c r="F102" s="14">
        <v>1404.65</v>
      </c>
      <c r="G102" s="14">
        <v>1390.6</v>
      </c>
      <c r="H102" s="14">
        <v>1390.2</v>
      </c>
      <c r="I102" s="14">
        <v>1405.45</v>
      </c>
      <c r="J102" s="14">
        <v>1534.5</v>
      </c>
      <c r="K102" s="15">
        <v>342.75</v>
      </c>
      <c r="L102" s="15">
        <v>12565010</v>
      </c>
      <c r="M102" t="s" s="13">
        <v>7666</v>
      </c>
      <c r="N102" s="15">
        <v>234330</v>
      </c>
      <c r="O102" s="17" cm="1">
        <f t="array" ref="O102">(H102-H101)/H101</f>
        <v>-0.010287260171573</v>
      </c>
    </row>
    <row r="103" ht="13.65" customHeight="1">
      <c r="A103" s="18">
        <v>44434</v>
      </c>
      <c r="B103" t="s" s="13">
        <v>22</v>
      </c>
      <c r="C103" s="14">
        <v>1390.4</v>
      </c>
      <c r="D103" s="14">
        <v>1394.75</v>
      </c>
      <c r="E103" s="14">
        <v>1365</v>
      </c>
      <c r="F103" s="14">
        <v>1390.2</v>
      </c>
      <c r="G103" s="14">
        <v>1376.8</v>
      </c>
      <c r="H103" s="14">
        <v>1375.05</v>
      </c>
      <c r="I103" s="14">
        <v>1377.36</v>
      </c>
      <c r="J103" s="14">
        <v>1534.5</v>
      </c>
      <c r="K103" s="15">
        <v>342.75</v>
      </c>
      <c r="L103" s="15">
        <v>9157898</v>
      </c>
      <c r="M103" t="s" s="13">
        <v>7667</v>
      </c>
      <c r="N103" s="15">
        <v>181905</v>
      </c>
      <c r="O103" s="17" cm="1">
        <f t="array" ref="O103">(H103-H102)/H102</f>
        <v>-0.010897712559344</v>
      </c>
    </row>
    <row r="104" ht="13.65" customHeight="1">
      <c r="A104" s="18">
        <v>44435</v>
      </c>
      <c r="B104" t="s" s="13">
        <v>22</v>
      </c>
      <c r="C104" s="14">
        <v>1379</v>
      </c>
      <c r="D104" s="14">
        <v>1394.45</v>
      </c>
      <c r="E104" s="14">
        <v>1375.85</v>
      </c>
      <c r="F104" s="14">
        <v>1375.05</v>
      </c>
      <c r="G104" s="14">
        <v>1382.4</v>
      </c>
      <c r="H104" s="14">
        <v>1384.15</v>
      </c>
      <c r="I104" s="14">
        <v>1385.73</v>
      </c>
      <c r="J104" s="14">
        <v>1534.5</v>
      </c>
      <c r="K104" s="15">
        <v>342.75</v>
      </c>
      <c r="L104" s="15">
        <v>7394081</v>
      </c>
      <c r="M104" t="s" s="13">
        <v>7668</v>
      </c>
      <c r="N104" s="15">
        <v>148295</v>
      </c>
      <c r="O104" s="17" cm="1">
        <f t="array" ref="O104">(H104-H103)/H103</f>
        <v>0.00661794116577579</v>
      </c>
    </row>
    <row r="105" ht="13.65" customHeight="1">
      <c r="A105" s="18">
        <v>44438</v>
      </c>
      <c r="B105" t="s" s="13">
        <v>22</v>
      </c>
      <c r="C105" s="14">
        <v>1399</v>
      </c>
      <c r="D105" s="14">
        <v>1445</v>
      </c>
      <c r="E105" s="14">
        <v>1398</v>
      </c>
      <c r="F105" s="14">
        <v>1384.15</v>
      </c>
      <c r="G105" s="14">
        <v>1436.7</v>
      </c>
      <c r="H105" s="14">
        <v>1440.6</v>
      </c>
      <c r="I105" s="14">
        <v>1430.46</v>
      </c>
      <c r="J105" s="14">
        <v>1534.5</v>
      </c>
      <c r="K105" s="15">
        <v>342.75</v>
      </c>
      <c r="L105" s="15">
        <v>13444387</v>
      </c>
      <c r="M105" t="s" s="13">
        <v>7669</v>
      </c>
      <c r="N105" s="15">
        <v>264920</v>
      </c>
      <c r="O105" s="17" cm="1">
        <f t="array" ref="O105">(H105-H104)/H104</f>
        <v>0.0407831521150164</v>
      </c>
    </row>
    <row r="106" ht="13.65" customHeight="1">
      <c r="A106" s="18">
        <v>44439</v>
      </c>
      <c r="B106" t="s" s="13">
        <v>22</v>
      </c>
      <c r="C106" s="14">
        <v>1445</v>
      </c>
      <c r="D106" s="14">
        <v>1459</v>
      </c>
      <c r="E106" s="14">
        <v>1432</v>
      </c>
      <c r="F106" s="14">
        <v>1440.6</v>
      </c>
      <c r="G106" s="14">
        <v>1447.1</v>
      </c>
      <c r="H106" s="14">
        <v>1450.25</v>
      </c>
      <c r="I106" s="14">
        <v>1449.25</v>
      </c>
      <c r="J106" s="14">
        <v>1534.5</v>
      </c>
      <c r="K106" s="15">
        <v>342.75</v>
      </c>
      <c r="L106" s="15">
        <v>24752108</v>
      </c>
      <c r="M106" t="s" s="13">
        <v>7670</v>
      </c>
      <c r="N106" s="15">
        <v>241285</v>
      </c>
      <c r="O106" s="17" cm="1">
        <f t="array" ref="O106">(H106-H105)/H105</f>
        <v>0.00669859780646953</v>
      </c>
    </row>
    <row r="107" ht="13.65" customHeight="1">
      <c r="A107" s="12">
        <v>44440</v>
      </c>
      <c r="B107" t="s" s="13">
        <v>22</v>
      </c>
      <c r="C107" s="14">
        <v>1451.25</v>
      </c>
      <c r="D107" s="14">
        <v>1455.5</v>
      </c>
      <c r="E107" s="14">
        <v>1407</v>
      </c>
      <c r="F107" s="14">
        <v>1450.25</v>
      </c>
      <c r="G107" s="14">
        <v>1410.95</v>
      </c>
      <c r="H107" s="14">
        <v>1411.2</v>
      </c>
      <c r="I107" s="14">
        <v>1422.05</v>
      </c>
      <c r="J107" s="14">
        <v>1534.5</v>
      </c>
      <c r="K107" s="15">
        <v>342.75</v>
      </c>
      <c r="L107" s="15">
        <v>8812897</v>
      </c>
      <c r="M107" t="s" s="13">
        <v>7671</v>
      </c>
      <c r="N107" s="15">
        <v>188156</v>
      </c>
      <c r="O107" s="17" cm="1">
        <f t="array" ref="O107">(H107-H106)/H106</f>
        <v>-0.0269263920013791</v>
      </c>
    </row>
    <row r="108" ht="13.65" customHeight="1">
      <c r="A108" s="12">
        <v>44441</v>
      </c>
      <c r="B108" t="s" s="13">
        <v>22</v>
      </c>
      <c r="C108" s="14">
        <v>1411</v>
      </c>
      <c r="D108" s="14">
        <v>1432</v>
      </c>
      <c r="E108" s="14">
        <v>1410</v>
      </c>
      <c r="F108" s="14">
        <v>1411.2</v>
      </c>
      <c r="G108" s="14">
        <v>1424.9</v>
      </c>
      <c r="H108" s="14">
        <v>1425.1</v>
      </c>
      <c r="I108" s="14">
        <v>1421.37</v>
      </c>
      <c r="J108" s="14">
        <v>1534.5</v>
      </c>
      <c r="K108" s="15">
        <v>342.75</v>
      </c>
      <c r="L108" s="15">
        <v>6148046</v>
      </c>
      <c r="M108" t="s" s="13">
        <v>7672</v>
      </c>
      <c r="N108" s="15">
        <v>135353</v>
      </c>
      <c r="O108" s="17" cm="1">
        <f t="array" ref="O108">(H108-H107)/H107</f>
        <v>0.009849773242630391</v>
      </c>
    </row>
    <row r="109" ht="13.65" customHeight="1">
      <c r="A109" s="12">
        <v>44442</v>
      </c>
      <c r="B109" t="s" s="13">
        <v>22</v>
      </c>
      <c r="C109" s="14">
        <v>1428</v>
      </c>
      <c r="D109" s="14">
        <v>1452.95</v>
      </c>
      <c r="E109" s="14">
        <v>1416.45</v>
      </c>
      <c r="F109" s="14">
        <v>1425.1</v>
      </c>
      <c r="G109" s="14">
        <v>1440.15</v>
      </c>
      <c r="H109" s="14">
        <v>1443.65</v>
      </c>
      <c r="I109" s="14">
        <v>1436.58</v>
      </c>
      <c r="J109" s="14">
        <v>1534.5</v>
      </c>
      <c r="K109" s="15">
        <v>342.75</v>
      </c>
      <c r="L109" s="15">
        <v>8452382</v>
      </c>
      <c r="M109" t="s" s="13">
        <v>7673</v>
      </c>
      <c r="N109" s="15">
        <v>167684</v>
      </c>
      <c r="O109" s="17" cm="1">
        <f t="array" ref="O109">(H109-H108)/H108</f>
        <v>0.0130166304119009</v>
      </c>
    </row>
    <row r="110" ht="13.65" customHeight="1">
      <c r="A110" s="12">
        <v>44445</v>
      </c>
      <c r="B110" t="s" s="13">
        <v>22</v>
      </c>
      <c r="C110" s="14">
        <v>1447</v>
      </c>
      <c r="D110" s="14">
        <v>1451.95</v>
      </c>
      <c r="E110" s="14">
        <v>1423.15</v>
      </c>
      <c r="F110" s="14">
        <v>1443.65</v>
      </c>
      <c r="G110" s="14">
        <v>1435.45</v>
      </c>
      <c r="H110" s="14">
        <v>1437</v>
      </c>
      <c r="I110" s="14">
        <v>1436.17</v>
      </c>
      <c r="J110" s="14">
        <v>1534.5</v>
      </c>
      <c r="K110" s="15">
        <v>342.75</v>
      </c>
      <c r="L110" s="15">
        <v>6958676</v>
      </c>
      <c r="M110" t="s" s="13">
        <v>7674</v>
      </c>
      <c r="N110" s="15">
        <v>146049</v>
      </c>
      <c r="O110" s="17" cm="1">
        <f t="array" ref="O110">(H110-H109)/H109</f>
        <v>-0.00460637966266062</v>
      </c>
    </row>
    <row r="111" ht="13.65" customHeight="1">
      <c r="A111" s="12">
        <v>44446</v>
      </c>
      <c r="B111" t="s" s="13">
        <v>22</v>
      </c>
      <c r="C111" s="14">
        <v>1444</v>
      </c>
      <c r="D111" s="14">
        <v>1459</v>
      </c>
      <c r="E111" s="14">
        <v>1420.65</v>
      </c>
      <c r="F111" s="14">
        <v>1437</v>
      </c>
      <c r="G111" s="14">
        <v>1421.5</v>
      </c>
      <c r="H111" s="14">
        <v>1428.7</v>
      </c>
      <c r="I111" s="14">
        <v>1439.4</v>
      </c>
      <c r="J111" s="14">
        <v>1534.5</v>
      </c>
      <c r="K111" s="15">
        <v>342.75</v>
      </c>
      <c r="L111" s="15">
        <v>6352717</v>
      </c>
      <c r="M111" t="s" s="13">
        <v>7675</v>
      </c>
      <c r="N111" s="15">
        <v>145446</v>
      </c>
      <c r="O111" s="17" cm="1">
        <f t="array" ref="O111">(H111-H110)/H110</f>
        <v>-0.0057759220598469</v>
      </c>
    </row>
    <row r="112" ht="13.65" customHeight="1">
      <c r="A112" s="12">
        <v>44447</v>
      </c>
      <c r="B112" t="s" s="13">
        <v>22</v>
      </c>
      <c r="C112" s="14">
        <v>1426</v>
      </c>
      <c r="D112" s="14">
        <v>1442.65</v>
      </c>
      <c r="E112" s="14">
        <v>1418.6</v>
      </c>
      <c r="F112" s="14">
        <v>1428.7</v>
      </c>
      <c r="G112" s="14">
        <v>1428</v>
      </c>
      <c r="H112" s="14">
        <v>1429.85</v>
      </c>
      <c r="I112" s="14">
        <v>1430.46</v>
      </c>
      <c r="J112" s="14">
        <v>1534.5</v>
      </c>
      <c r="K112" s="15">
        <v>342.75</v>
      </c>
      <c r="L112" s="15">
        <v>4676224</v>
      </c>
      <c r="M112" t="s" s="13">
        <v>7676</v>
      </c>
      <c r="N112" s="15">
        <v>114775</v>
      </c>
      <c r="O112" s="17" cm="1">
        <f t="array" ref="O112">(H112-H111)/H111</f>
        <v>0.000804927556519913</v>
      </c>
    </row>
    <row r="113" ht="13.65" customHeight="1">
      <c r="A113" s="12">
        <v>44448</v>
      </c>
      <c r="B113" t="s" s="13">
        <v>22</v>
      </c>
      <c r="C113" s="14">
        <v>1420</v>
      </c>
      <c r="D113" s="14">
        <v>1451.95</v>
      </c>
      <c r="E113" s="14">
        <v>1420</v>
      </c>
      <c r="F113" s="14">
        <v>1429.85</v>
      </c>
      <c r="G113" s="14">
        <v>1446.9</v>
      </c>
      <c r="H113" s="14">
        <v>1447</v>
      </c>
      <c r="I113" s="14">
        <v>1441.08</v>
      </c>
      <c r="J113" s="14">
        <v>1534.5</v>
      </c>
      <c r="K113" s="15">
        <v>342.75</v>
      </c>
      <c r="L113" s="15">
        <v>5313030</v>
      </c>
      <c r="M113" t="s" s="13">
        <v>7677</v>
      </c>
      <c r="N113" s="15">
        <v>137267</v>
      </c>
      <c r="O113" s="17" cm="1">
        <f t="array" ref="O113">(H113-H112)/H112</f>
        <v>0.0119942651327062</v>
      </c>
    </row>
    <row r="114" ht="13.65" customHeight="1">
      <c r="A114" s="18">
        <v>44452</v>
      </c>
      <c r="B114" t="s" s="13">
        <v>22</v>
      </c>
      <c r="C114" s="14">
        <v>1447</v>
      </c>
      <c r="D114" s="14">
        <v>1472</v>
      </c>
      <c r="E114" s="14">
        <v>1436.5</v>
      </c>
      <c r="F114" s="14">
        <v>1447</v>
      </c>
      <c r="G114" s="14">
        <v>1470</v>
      </c>
      <c r="H114" s="14">
        <v>1463.45</v>
      </c>
      <c r="I114" s="14">
        <v>1451.62</v>
      </c>
      <c r="J114" s="14">
        <v>1534.5</v>
      </c>
      <c r="K114" s="15">
        <v>342.75</v>
      </c>
      <c r="L114" s="15">
        <v>5670208</v>
      </c>
      <c r="M114" t="s" s="13">
        <v>7678</v>
      </c>
      <c r="N114" s="15">
        <v>133505</v>
      </c>
      <c r="O114" s="17" cm="1">
        <f t="array" ref="O114">(H114-H113)/H113</f>
        <v>0.0113683483068417</v>
      </c>
    </row>
    <row r="115" ht="13.65" customHeight="1">
      <c r="A115" s="18">
        <v>44453</v>
      </c>
      <c r="B115" t="s" s="13">
        <v>22</v>
      </c>
      <c r="C115" s="14">
        <v>1476</v>
      </c>
      <c r="D115" s="14">
        <v>1476</v>
      </c>
      <c r="E115" s="14">
        <v>1449</v>
      </c>
      <c r="F115" s="14">
        <v>1463.45</v>
      </c>
      <c r="G115" s="14">
        <v>1451.4</v>
      </c>
      <c r="H115" s="14">
        <v>1452.3</v>
      </c>
      <c r="I115" s="14">
        <v>1461.4</v>
      </c>
      <c r="J115" s="14">
        <v>1534.5</v>
      </c>
      <c r="K115" s="15">
        <v>342.75</v>
      </c>
      <c r="L115" s="15">
        <v>5503767</v>
      </c>
      <c r="M115" t="s" s="13">
        <v>7679</v>
      </c>
      <c r="N115" s="15">
        <v>133997</v>
      </c>
      <c r="O115" s="17" cm="1">
        <f t="array" ref="O115">(H115-H114)/H114</f>
        <v>-0.00761898254125525</v>
      </c>
    </row>
    <row r="116" ht="13.65" customHeight="1">
      <c r="A116" s="18">
        <v>44454</v>
      </c>
      <c r="B116" t="s" s="13">
        <v>22</v>
      </c>
      <c r="C116" s="14">
        <v>1452.3</v>
      </c>
      <c r="D116" s="14">
        <v>1463.7</v>
      </c>
      <c r="E116" s="14">
        <v>1444.4</v>
      </c>
      <c r="F116" s="14">
        <v>1452.3</v>
      </c>
      <c r="G116" s="14">
        <v>1453.05</v>
      </c>
      <c r="H116" s="14">
        <v>1455.1</v>
      </c>
      <c r="I116" s="14">
        <v>1454.4</v>
      </c>
      <c r="J116" s="14">
        <v>1534.5</v>
      </c>
      <c r="K116" s="15">
        <v>342.75</v>
      </c>
      <c r="L116" s="15">
        <v>4417464</v>
      </c>
      <c r="M116" t="s" s="13">
        <v>7680</v>
      </c>
      <c r="N116" s="15">
        <v>117061</v>
      </c>
      <c r="O116" s="17" cm="1">
        <f t="array" ref="O116">(H116-H115)/H115</f>
        <v>0.00192797631343386</v>
      </c>
    </row>
    <row r="117" ht="13.65" customHeight="1">
      <c r="A117" s="18">
        <v>44455</v>
      </c>
      <c r="B117" t="s" s="13">
        <v>22</v>
      </c>
      <c r="C117" s="14">
        <v>1460</v>
      </c>
      <c r="D117" s="14">
        <v>1471.9</v>
      </c>
      <c r="E117" s="14">
        <v>1431.25</v>
      </c>
      <c r="F117" s="14">
        <v>1455.1</v>
      </c>
      <c r="G117" s="14">
        <v>1436.9</v>
      </c>
      <c r="H117" s="14">
        <v>1436.75</v>
      </c>
      <c r="I117" s="14">
        <v>1445.76</v>
      </c>
      <c r="J117" s="14">
        <v>1534.5</v>
      </c>
      <c r="K117" s="15">
        <v>342.75</v>
      </c>
      <c r="L117" s="15">
        <v>5606797</v>
      </c>
      <c r="M117" t="s" s="13">
        <v>7681</v>
      </c>
      <c r="N117" s="15">
        <v>148967</v>
      </c>
      <c r="O117" s="17" cm="1">
        <f t="array" ref="O117">(H117-H116)/H116</f>
        <v>-0.0126108171259707</v>
      </c>
    </row>
    <row r="118" ht="13.65" customHeight="1">
      <c r="A118" s="18">
        <v>44456</v>
      </c>
      <c r="B118" t="s" s="13">
        <v>22</v>
      </c>
      <c r="C118" s="14">
        <v>1437</v>
      </c>
      <c r="D118" s="14">
        <v>1440.3</v>
      </c>
      <c r="E118" s="14">
        <v>1360</v>
      </c>
      <c r="F118" s="14">
        <v>1436.75</v>
      </c>
      <c r="G118" s="14">
        <v>1382.8</v>
      </c>
      <c r="H118" s="14">
        <v>1385.9</v>
      </c>
      <c r="I118" s="14">
        <v>1387.18</v>
      </c>
      <c r="J118" s="14">
        <v>1534.5</v>
      </c>
      <c r="K118" s="15">
        <v>342.75</v>
      </c>
      <c r="L118" s="15">
        <v>19572030</v>
      </c>
      <c r="M118" t="s" s="13">
        <v>7682</v>
      </c>
      <c r="N118" s="15">
        <v>445794</v>
      </c>
      <c r="O118" s="17" cm="1">
        <f t="array" ref="O118">(H118-H117)/H117</f>
        <v>-0.0353923786323299</v>
      </c>
    </row>
    <row r="119" ht="13.65" customHeight="1">
      <c r="A119" s="18">
        <v>44459</v>
      </c>
      <c r="B119" t="s" s="13">
        <v>22</v>
      </c>
      <c r="C119" s="14">
        <v>1350</v>
      </c>
      <c r="D119" s="14">
        <v>1351.9</v>
      </c>
      <c r="E119" s="14">
        <v>1247.35</v>
      </c>
      <c r="F119" s="14">
        <v>1385.9</v>
      </c>
      <c r="G119" s="14">
        <v>1247.35</v>
      </c>
      <c r="H119" s="14">
        <v>1253.1</v>
      </c>
      <c r="I119" s="14">
        <v>1293</v>
      </c>
      <c r="J119" s="14">
        <v>1534.5</v>
      </c>
      <c r="K119" s="15">
        <v>342.75</v>
      </c>
      <c r="L119" s="15">
        <v>28238412</v>
      </c>
      <c r="M119" t="s" s="13">
        <v>7683</v>
      </c>
      <c r="N119" s="15">
        <v>680557</v>
      </c>
      <c r="O119" s="17" cm="1">
        <f t="array" ref="O119">(H119-H118)/H118</f>
        <v>-0.09582220939461721</v>
      </c>
    </row>
    <row r="120" ht="13.65" customHeight="1">
      <c r="A120" s="18">
        <v>44460</v>
      </c>
      <c r="B120" t="s" s="13">
        <v>22</v>
      </c>
      <c r="C120" s="14">
        <v>1258</v>
      </c>
      <c r="D120" s="14">
        <v>1296.9</v>
      </c>
      <c r="E120" s="14">
        <v>1232.9</v>
      </c>
      <c r="F120" s="14">
        <v>1253.1</v>
      </c>
      <c r="G120" s="14">
        <v>1296.5</v>
      </c>
      <c r="H120" s="14">
        <v>1292.2</v>
      </c>
      <c r="I120" s="14">
        <v>1263.43</v>
      </c>
      <c r="J120" s="14">
        <v>1534.5</v>
      </c>
      <c r="K120" s="15">
        <v>342.75</v>
      </c>
      <c r="L120" s="15">
        <v>25593540</v>
      </c>
      <c r="M120" t="s" s="13">
        <v>7684</v>
      </c>
      <c r="N120" s="15">
        <v>467449</v>
      </c>
      <c r="O120" s="17" cm="1">
        <f t="array" ref="O120">(H120-H119)/H119</f>
        <v>0.0312026175085787</v>
      </c>
    </row>
    <row r="121" ht="13.65" customHeight="1">
      <c r="A121" s="18">
        <v>44461</v>
      </c>
      <c r="B121" t="s" s="13">
        <v>22</v>
      </c>
      <c r="C121" s="14">
        <v>1299.4</v>
      </c>
      <c r="D121" s="14">
        <v>1318</v>
      </c>
      <c r="E121" s="14">
        <v>1283.1</v>
      </c>
      <c r="F121" s="14">
        <v>1292.2</v>
      </c>
      <c r="G121" s="14">
        <v>1303</v>
      </c>
      <c r="H121" s="14">
        <v>1305.8</v>
      </c>
      <c r="I121" s="14">
        <v>1301.92</v>
      </c>
      <c r="J121" s="14">
        <v>1534.5</v>
      </c>
      <c r="K121" s="15">
        <v>342.75</v>
      </c>
      <c r="L121" s="15">
        <v>11124247</v>
      </c>
      <c r="M121" t="s" s="13">
        <v>7685</v>
      </c>
      <c r="N121" s="15">
        <v>263880</v>
      </c>
      <c r="O121" s="17" cm="1">
        <f t="array" ref="O121">(H121-H120)/H120</f>
        <v>0.0105246865810246</v>
      </c>
    </row>
    <row r="122" ht="13.65" customHeight="1">
      <c r="A122" s="18">
        <v>44462</v>
      </c>
      <c r="B122" t="s" s="13">
        <v>22</v>
      </c>
      <c r="C122" s="14">
        <v>1330</v>
      </c>
      <c r="D122" s="14">
        <v>1339.45</v>
      </c>
      <c r="E122" s="14">
        <v>1306.05</v>
      </c>
      <c r="F122" s="14">
        <v>1305.8</v>
      </c>
      <c r="G122" s="14">
        <v>1315.5</v>
      </c>
      <c r="H122" s="14">
        <v>1318.7</v>
      </c>
      <c r="I122" s="14">
        <v>1320.33</v>
      </c>
      <c r="J122" s="14">
        <v>1534.5</v>
      </c>
      <c r="K122" s="15">
        <v>342.75</v>
      </c>
      <c r="L122" s="15">
        <v>9946251</v>
      </c>
      <c r="M122" t="s" s="13">
        <v>7686</v>
      </c>
      <c r="N122" s="15">
        <v>254153</v>
      </c>
      <c r="O122" s="17" cm="1">
        <f t="array" ref="O122">(H122-H121)/H121</f>
        <v>0.00987900137846531</v>
      </c>
    </row>
    <row r="123" ht="13.65" customHeight="1">
      <c r="A123" s="18">
        <v>44463</v>
      </c>
      <c r="B123" t="s" s="13">
        <v>22</v>
      </c>
      <c r="C123" s="14">
        <v>1320</v>
      </c>
      <c r="D123" s="14">
        <v>1324</v>
      </c>
      <c r="E123" s="14">
        <v>1258.45</v>
      </c>
      <c r="F123" s="14">
        <v>1318.7</v>
      </c>
      <c r="G123" s="14">
        <v>1267</v>
      </c>
      <c r="H123" s="14">
        <v>1272.1</v>
      </c>
      <c r="I123" s="14">
        <v>1284.94</v>
      </c>
      <c r="J123" s="14">
        <v>1534.5</v>
      </c>
      <c r="K123" s="15">
        <v>342.75</v>
      </c>
      <c r="L123" s="15">
        <v>13286616</v>
      </c>
      <c r="M123" t="s" s="13">
        <v>7687</v>
      </c>
      <c r="N123" s="15">
        <v>302339</v>
      </c>
      <c r="O123" s="17" cm="1">
        <f t="array" ref="O123">(H123-H122)/H122</f>
        <v>-0.0353378327140366</v>
      </c>
    </row>
    <row r="124" ht="13.65" customHeight="1">
      <c r="A124" s="18">
        <v>44466</v>
      </c>
      <c r="B124" t="s" s="13">
        <v>22</v>
      </c>
      <c r="C124" s="14">
        <v>1272</v>
      </c>
      <c r="D124" s="14">
        <v>1288.7</v>
      </c>
      <c r="E124" s="14">
        <v>1261.05</v>
      </c>
      <c r="F124" s="14">
        <v>1272.1</v>
      </c>
      <c r="G124" s="14">
        <v>1270.35</v>
      </c>
      <c r="H124" s="14">
        <v>1270.5</v>
      </c>
      <c r="I124" s="14">
        <v>1274.03</v>
      </c>
      <c r="J124" s="14">
        <v>1534.5</v>
      </c>
      <c r="K124" s="15">
        <v>355.65</v>
      </c>
      <c r="L124" s="15">
        <v>8668877</v>
      </c>
      <c r="M124" t="s" s="13">
        <v>7688</v>
      </c>
      <c r="N124" s="15">
        <v>182487</v>
      </c>
      <c r="O124" s="17" cm="1">
        <f t="array" ref="O124">(H124-H123)/H123</f>
        <v>-0.00125776275450043</v>
      </c>
    </row>
    <row r="125" ht="13.65" customHeight="1">
      <c r="A125" s="18">
        <v>44467</v>
      </c>
      <c r="B125" t="s" s="13">
        <v>22</v>
      </c>
      <c r="C125" s="14">
        <v>1273.45</v>
      </c>
      <c r="D125" s="14">
        <v>1296.8</v>
      </c>
      <c r="E125" s="14">
        <v>1263</v>
      </c>
      <c r="F125" s="14">
        <v>1270.5</v>
      </c>
      <c r="G125" s="14">
        <v>1279</v>
      </c>
      <c r="H125" s="14">
        <v>1280.95</v>
      </c>
      <c r="I125" s="14">
        <v>1281.17</v>
      </c>
      <c r="J125" s="14">
        <v>1534.5</v>
      </c>
      <c r="K125" s="15">
        <v>355.65</v>
      </c>
      <c r="L125" s="15">
        <v>8100736</v>
      </c>
      <c r="M125" t="s" s="13">
        <v>7689</v>
      </c>
      <c r="N125" s="15">
        <v>155092</v>
      </c>
      <c r="O125" s="17" cm="1">
        <f t="array" ref="O125">(H125-H124)/H124</f>
        <v>0.008225108225108231</v>
      </c>
    </row>
    <row r="126" ht="13.65" customHeight="1">
      <c r="A126" s="18">
        <v>44468</v>
      </c>
      <c r="B126" t="s" s="13">
        <v>22</v>
      </c>
      <c r="C126" s="14">
        <v>1270</v>
      </c>
      <c r="D126" s="14">
        <v>1309.8</v>
      </c>
      <c r="E126" s="14">
        <v>1267.2</v>
      </c>
      <c r="F126" s="14">
        <v>1280.95</v>
      </c>
      <c r="G126" s="14">
        <v>1293.8</v>
      </c>
      <c r="H126" s="14">
        <v>1295.55</v>
      </c>
      <c r="I126" s="14">
        <v>1290.68</v>
      </c>
      <c r="J126" s="14">
        <v>1534.5</v>
      </c>
      <c r="K126" s="15">
        <v>355.65</v>
      </c>
      <c r="L126" s="15">
        <v>9494577</v>
      </c>
      <c r="M126" t="s" s="13">
        <v>7690</v>
      </c>
      <c r="N126" s="15">
        <v>200121</v>
      </c>
      <c r="O126" s="17" cm="1">
        <f t="array" ref="O126">(H126-H125)/H125</f>
        <v>0.0113977907022132</v>
      </c>
    </row>
    <row r="127" ht="13.65" customHeight="1">
      <c r="A127" s="18">
        <v>44469</v>
      </c>
      <c r="B127" t="s" s="13">
        <v>22</v>
      </c>
      <c r="C127" s="14">
        <v>1303</v>
      </c>
      <c r="D127" s="14">
        <v>1316.4</v>
      </c>
      <c r="E127" s="14">
        <v>1283.85</v>
      </c>
      <c r="F127" s="14">
        <v>1295.55</v>
      </c>
      <c r="G127" s="14">
        <v>1285.5</v>
      </c>
      <c r="H127" s="14">
        <v>1288.9</v>
      </c>
      <c r="I127" s="14">
        <v>1296.97</v>
      </c>
      <c r="J127" s="14">
        <v>1534.5</v>
      </c>
      <c r="K127" s="15">
        <v>355.65</v>
      </c>
      <c r="L127" s="15">
        <v>7514568</v>
      </c>
      <c r="M127" t="s" s="13">
        <v>7691</v>
      </c>
      <c r="N127" s="15">
        <v>158511</v>
      </c>
      <c r="O127" s="17" cm="1">
        <f t="array" ref="O127">(H127-H126)/H126</f>
        <v>-0.00513295511558797</v>
      </c>
    </row>
    <row r="128" ht="13.65" customHeight="1">
      <c r="A128" s="12">
        <v>44470</v>
      </c>
      <c r="B128" t="s" s="13">
        <v>22</v>
      </c>
      <c r="C128" s="14">
        <v>1275</v>
      </c>
      <c r="D128" s="14">
        <v>1311</v>
      </c>
      <c r="E128" s="14">
        <v>1265</v>
      </c>
      <c r="F128" s="14">
        <v>1288.9</v>
      </c>
      <c r="G128" s="14">
        <v>1294.05</v>
      </c>
      <c r="H128" s="14">
        <v>1297.85</v>
      </c>
      <c r="I128" s="14">
        <v>1294.19</v>
      </c>
      <c r="J128" s="14">
        <v>1534.5</v>
      </c>
      <c r="K128" s="15">
        <v>355.65</v>
      </c>
      <c r="L128" s="15">
        <v>9037470</v>
      </c>
      <c r="M128" t="s" s="13">
        <v>7692</v>
      </c>
      <c r="N128" s="15">
        <v>182801</v>
      </c>
      <c r="O128" s="17" cm="1">
        <f t="array" ref="O128">(H128-H127)/H127</f>
        <v>0.00694390565598572</v>
      </c>
    </row>
    <row r="129" ht="13.65" customHeight="1">
      <c r="A129" s="12">
        <v>44473</v>
      </c>
      <c r="B129" t="s" s="13">
        <v>22</v>
      </c>
      <c r="C129" s="14">
        <v>1297.85</v>
      </c>
      <c r="D129" s="14">
        <v>1327.75</v>
      </c>
      <c r="E129" s="14">
        <v>1280.4</v>
      </c>
      <c r="F129" s="14">
        <v>1297.85</v>
      </c>
      <c r="G129" s="14">
        <v>1322</v>
      </c>
      <c r="H129" s="14">
        <v>1324.15</v>
      </c>
      <c r="I129" s="14">
        <v>1307.13</v>
      </c>
      <c r="J129" s="14">
        <v>1534.5</v>
      </c>
      <c r="K129" s="15">
        <v>362.5</v>
      </c>
      <c r="L129" s="15">
        <v>9690237</v>
      </c>
      <c r="M129" t="s" s="13">
        <v>7693</v>
      </c>
      <c r="N129" s="15">
        <v>196296</v>
      </c>
      <c r="O129" s="17" cm="1">
        <f t="array" ref="O129">(H129-H128)/H128</f>
        <v>0.0202642832376623</v>
      </c>
    </row>
    <row r="130" ht="13.65" customHeight="1">
      <c r="A130" s="12">
        <v>44474</v>
      </c>
      <c r="B130" t="s" s="13">
        <v>22</v>
      </c>
      <c r="C130" s="14">
        <v>1314</v>
      </c>
      <c r="D130" s="14">
        <v>1332.7</v>
      </c>
      <c r="E130" s="14">
        <v>1310.15</v>
      </c>
      <c r="F130" s="14">
        <v>1324.15</v>
      </c>
      <c r="G130" s="14">
        <v>1317.75</v>
      </c>
      <c r="H130" s="14">
        <v>1316.85</v>
      </c>
      <c r="I130" s="14">
        <v>1320.41</v>
      </c>
      <c r="J130" s="14">
        <v>1534.5</v>
      </c>
      <c r="K130" s="15">
        <v>362.5</v>
      </c>
      <c r="L130" s="15">
        <v>5795216</v>
      </c>
      <c r="M130" t="s" s="13">
        <v>7694</v>
      </c>
      <c r="N130" s="15">
        <v>113241</v>
      </c>
      <c r="O130" s="17" cm="1">
        <f t="array" ref="O130">(H130-H129)/H129</f>
        <v>-0.00551297058490352</v>
      </c>
    </row>
    <row r="131" ht="13.65" customHeight="1">
      <c r="A131" s="12">
        <v>44475</v>
      </c>
      <c r="B131" t="s" s="13">
        <v>22</v>
      </c>
      <c r="C131" s="14">
        <v>1319.9</v>
      </c>
      <c r="D131" s="14">
        <v>1328.6</v>
      </c>
      <c r="E131" s="14">
        <v>1273.15</v>
      </c>
      <c r="F131" s="14">
        <v>1316.85</v>
      </c>
      <c r="G131" s="14">
        <v>1274</v>
      </c>
      <c r="H131" s="14">
        <v>1279.9</v>
      </c>
      <c r="I131" s="14">
        <v>1298.51</v>
      </c>
      <c r="J131" s="14">
        <v>1534.5</v>
      </c>
      <c r="K131" s="15">
        <v>362.5</v>
      </c>
      <c r="L131" s="15">
        <v>8631693</v>
      </c>
      <c r="M131" t="s" s="13">
        <v>7695</v>
      </c>
      <c r="N131" s="15">
        <v>182555</v>
      </c>
      <c r="O131" s="17" cm="1">
        <f t="array" ref="O131">(H131-H130)/H130</f>
        <v>-0.0280593841363861</v>
      </c>
    </row>
    <row r="132" ht="13.65" customHeight="1">
      <c r="A132" s="12">
        <v>44476</v>
      </c>
      <c r="B132" t="s" s="13">
        <v>22</v>
      </c>
      <c r="C132" s="14">
        <v>1295</v>
      </c>
      <c r="D132" s="14">
        <v>1306.8</v>
      </c>
      <c r="E132" s="14">
        <v>1283.55</v>
      </c>
      <c r="F132" s="14">
        <v>1279.9</v>
      </c>
      <c r="G132" s="14">
        <v>1288.55</v>
      </c>
      <c r="H132" s="14">
        <v>1289.2</v>
      </c>
      <c r="I132" s="14">
        <v>1294.68</v>
      </c>
      <c r="J132" s="14">
        <v>1534.5</v>
      </c>
      <c r="K132" s="15">
        <v>362.5</v>
      </c>
      <c r="L132" s="15">
        <v>4603367</v>
      </c>
      <c r="M132" t="s" s="13">
        <v>7696</v>
      </c>
      <c r="N132" s="15">
        <v>100335</v>
      </c>
      <c r="O132" s="17" cm="1">
        <f t="array" ref="O132">(H132-H131)/H131</f>
        <v>0.00726619267130245</v>
      </c>
    </row>
    <row r="133" ht="13.65" customHeight="1">
      <c r="A133" s="12">
        <v>44477</v>
      </c>
      <c r="B133" t="s" s="13">
        <v>22</v>
      </c>
      <c r="C133" s="14">
        <v>1302</v>
      </c>
      <c r="D133" s="14">
        <v>1344.05</v>
      </c>
      <c r="E133" s="14">
        <v>1296.35</v>
      </c>
      <c r="F133" s="14">
        <v>1289.2</v>
      </c>
      <c r="G133" s="14">
        <v>1302.8</v>
      </c>
      <c r="H133" s="14">
        <v>1301.15</v>
      </c>
      <c r="I133" s="14">
        <v>1318.02</v>
      </c>
      <c r="J133" s="14">
        <v>1534.5</v>
      </c>
      <c r="K133" s="15">
        <v>362.5</v>
      </c>
      <c r="L133" s="15">
        <v>10722015</v>
      </c>
      <c r="M133" t="s" s="13">
        <v>7697</v>
      </c>
      <c r="N133" s="15">
        <v>209592</v>
      </c>
      <c r="O133" s="17" cm="1">
        <f t="array" ref="O133">(H133-H132)/H132</f>
        <v>0.009269314303444</v>
      </c>
    </row>
    <row r="134" ht="13.65" customHeight="1">
      <c r="A134" s="18">
        <v>44480</v>
      </c>
      <c r="B134" t="s" s="13">
        <v>22</v>
      </c>
      <c r="C134" s="14">
        <v>1305</v>
      </c>
      <c r="D134" s="14">
        <v>1327.35</v>
      </c>
      <c r="E134" s="14">
        <v>1298</v>
      </c>
      <c r="F134" s="14">
        <v>1301.15</v>
      </c>
      <c r="G134" s="14">
        <v>1314</v>
      </c>
      <c r="H134" s="14">
        <v>1313.2</v>
      </c>
      <c r="I134" s="14">
        <v>1313.46</v>
      </c>
      <c r="J134" s="14">
        <v>1534.5</v>
      </c>
      <c r="K134" s="15">
        <v>362.5</v>
      </c>
      <c r="L134" s="15">
        <v>6349658</v>
      </c>
      <c r="M134" t="s" s="13">
        <v>7698</v>
      </c>
      <c r="N134" s="15">
        <v>154072</v>
      </c>
      <c r="O134" s="17" cm="1">
        <f t="array" ref="O134">(H134-H133)/H133</f>
        <v>0.009261038312262229</v>
      </c>
    </row>
    <row r="135" ht="13.65" customHeight="1">
      <c r="A135" s="18">
        <v>44481</v>
      </c>
      <c r="B135" t="s" s="13">
        <v>22</v>
      </c>
      <c r="C135" s="14">
        <v>1313.2</v>
      </c>
      <c r="D135" s="14">
        <v>1335</v>
      </c>
      <c r="E135" s="14">
        <v>1305</v>
      </c>
      <c r="F135" s="14">
        <v>1313.2</v>
      </c>
      <c r="G135" s="14">
        <v>1327.7</v>
      </c>
      <c r="H135" s="14">
        <v>1329.1</v>
      </c>
      <c r="I135" s="14">
        <v>1322.05</v>
      </c>
      <c r="J135" s="14">
        <v>1534.5</v>
      </c>
      <c r="K135" s="15">
        <v>362.5</v>
      </c>
      <c r="L135" s="15">
        <v>6097019</v>
      </c>
      <c r="M135" t="s" s="13">
        <v>7699</v>
      </c>
      <c r="N135" s="15">
        <v>127459</v>
      </c>
      <c r="O135" s="17" cm="1">
        <f t="array" ref="O135">(H135-H134)/H134</f>
        <v>0.0121078282059092</v>
      </c>
    </row>
    <row r="136" ht="13.65" customHeight="1">
      <c r="A136" s="18">
        <v>44482</v>
      </c>
      <c r="B136" t="s" s="13">
        <v>22</v>
      </c>
      <c r="C136" s="14">
        <v>1325.5</v>
      </c>
      <c r="D136" s="14">
        <v>1376.55</v>
      </c>
      <c r="E136" s="14">
        <v>1318.05</v>
      </c>
      <c r="F136" s="14">
        <v>1329.1</v>
      </c>
      <c r="G136" s="14">
        <v>1356.5</v>
      </c>
      <c r="H136" s="14">
        <v>1354.3</v>
      </c>
      <c r="I136" s="14">
        <v>1357.3</v>
      </c>
      <c r="J136" s="14">
        <v>1534.5</v>
      </c>
      <c r="K136" s="15">
        <v>362.5</v>
      </c>
      <c r="L136" s="15">
        <v>13285718</v>
      </c>
      <c r="M136" t="s" s="13">
        <v>7700</v>
      </c>
      <c r="N136" s="15">
        <v>270178</v>
      </c>
      <c r="O136" s="17" cm="1">
        <f t="array" ref="O136">(H136-H135)/H135</f>
        <v>0.0189601986306523</v>
      </c>
    </row>
    <row r="137" ht="13.65" customHeight="1">
      <c r="A137" s="18">
        <v>44483</v>
      </c>
      <c r="B137" t="s" s="13">
        <v>22</v>
      </c>
      <c r="C137" s="14">
        <v>1374</v>
      </c>
      <c r="D137" s="14">
        <v>1390.6</v>
      </c>
      <c r="E137" s="14">
        <v>1354</v>
      </c>
      <c r="F137" s="14">
        <v>1354.3</v>
      </c>
      <c r="G137" s="14">
        <v>1372.5</v>
      </c>
      <c r="H137" s="14">
        <v>1375.05</v>
      </c>
      <c r="I137" s="14">
        <v>1375.35</v>
      </c>
      <c r="J137" s="14">
        <v>1534.5</v>
      </c>
      <c r="K137" s="15">
        <v>362.5</v>
      </c>
      <c r="L137" s="15">
        <v>8227371</v>
      </c>
      <c r="M137" t="s" s="13">
        <v>7701</v>
      </c>
      <c r="N137" s="15">
        <v>225847</v>
      </c>
      <c r="O137" s="17" cm="1">
        <f t="array" ref="O137">(H137-H136)/H136</f>
        <v>0.0153215683378867</v>
      </c>
    </row>
    <row r="138" ht="13.65" customHeight="1">
      <c r="A138" s="18">
        <v>44487</v>
      </c>
      <c r="B138" t="s" s="13">
        <v>22</v>
      </c>
      <c r="C138" s="14">
        <v>1418</v>
      </c>
      <c r="D138" s="14">
        <v>1424.75</v>
      </c>
      <c r="E138" s="14">
        <v>1391.1</v>
      </c>
      <c r="F138" s="14">
        <v>1375.05</v>
      </c>
      <c r="G138" s="14">
        <v>1408</v>
      </c>
      <c r="H138" s="14">
        <v>1411.05</v>
      </c>
      <c r="I138" s="14">
        <v>1412</v>
      </c>
      <c r="J138" s="14">
        <v>1534.5</v>
      </c>
      <c r="K138" s="15">
        <v>389.6</v>
      </c>
      <c r="L138" s="15">
        <v>10923230</v>
      </c>
      <c r="M138" t="s" s="13">
        <v>7702</v>
      </c>
      <c r="N138" s="15">
        <v>254274</v>
      </c>
      <c r="O138" s="17" cm="1">
        <f t="array" ref="O138">(H138-H137)/H137</f>
        <v>0.0261808661503218</v>
      </c>
    </row>
    <row r="139" ht="13.65" customHeight="1">
      <c r="A139" s="18">
        <v>44488</v>
      </c>
      <c r="B139" t="s" s="13">
        <v>22</v>
      </c>
      <c r="C139" s="14">
        <v>1421</v>
      </c>
      <c r="D139" s="14">
        <v>1426.55</v>
      </c>
      <c r="E139" s="14">
        <v>1357.55</v>
      </c>
      <c r="F139" s="14">
        <v>1411.05</v>
      </c>
      <c r="G139" s="14">
        <v>1369</v>
      </c>
      <c r="H139" s="14">
        <v>1366.9</v>
      </c>
      <c r="I139" s="14">
        <v>1395.29</v>
      </c>
      <c r="J139" s="14">
        <v>1534.5</v>
      </c>
      <c r="K139" s="15">
        <v>389.6</v>
      </c>
      <c r="L139" s="15">
        <v>8756924</v>
      </c>
      <c r="M139" t="s" s="13">
        <v>7703</v>
      </c>
      <c r="N139" s="15">
        <v>181679</v>
      </c>
      <c r="O139" s="17" cm="1">
        <f t="array" ref="O139">(H139-H138)/H138</f>
        <v>-0.0312887565996953</v>
      </c>
    </row>
    <row r="140" ht="13.65" customHeight="1">
      <c r="A140" s="18">
        <v>44489</v>
      </c>
      <c r="B140" t="s" s="13">
        <v>22</v>
      </c>
      <c r="C140" s="14">
        <v>1372</v>
      </c>
      <c r="D140" s="14">
        <v>1376</v>
      </c>
      <c r="E140" s="14">
        <v>1326.65</v>
      </c>
      <c r="F140" s="14">
        <v>1366.9</v>
      </c>
      <c r="G140" s="14">
        <v>1344</v>
      </c>
      <c r="H140" s="14">
        <v>1343.3</v>
      </c>
      <c r="I140" s="14">
        <v>1352.99</v>
      </c>
      <c r="J140" s="14">
        <v>1534.5</v>
      </c>
      <c r="K140" s="15">
        <v>389.6</v>
      </c>
      <c r="L140" s="15">
        <v>6975774</v>
      </c>
      <c r="M140" t="s" s="13">
        <v>7704</v>
      </c>
      <c r="N140" s="15">
        <v>158821</v>
      </c>
      <c r="O140" s="17" cm="1">
        <f t="array" ref="O140">(H140-H139)/H139</f>
        <v>-0.0172653449411076</v>
      </c>
    </row>
    <row r="141" ht="13.65" customHeight="1">
      <c r="A141" s="18">
        <v>44490</v>
      </c>
      <c r="B141" t="s" s="13">
        <v>22</v>
      </c>
      <c r="C141" s="14">
        <v>1356.7</v>
      </c>
      <c r="D141" s="14">
        <v>1357.85</v>
      </c>
      <c r="E141" s="14">
        <v>1289.7</v>
      </c>
      <c r="F141" s="14">
        <v>1343.3</v>
      </c>
      <c r="G141" s="14">
        <v>1317</v>
      </c>
      <c r="H141" s="14">
        <v>1314.7</v>
      </c>
      <c r="I141" s="14">
        <v>1322.44</v>
      </c>
      <c r="J141" s="14">
        <v>1534.5</v>
      </c>
      <c r="K141" s="15">
        <v>389.6</v>
      </c>
      <c r="L141" s="15">
        <v>8357573</v>
      </c>
      <c r="M141" t="s" s="13">
        <v>7705</v>
      </c>
      <c r="N141" s="15">
        <v>180536</v>
      </c>
      <c r="O141" s="17" cm="1">
        <f t="array" ref="O141">(H141-H140)/H140</f>
        <v>-0.0212908508896002</v>
      </c>
    </row>
    <row r="142" ht="13.65" customHeight="1">
      <c r="A142" s="18">
        <v>44491</v>
      </c>
      <c r="B142" t="s" s="13">
        <v>22</v>
      </c>
      <c r="C142" s="14">
        <v>1320</v>
      </c>
      <c r="D142" s="14">
        <v>1324.65</v>
      </c>
      <c r="E142" s="14">
        <v>1271</v>
      </c>
      <c r="F142" s="14">
        <v>1314.7</v>
      </c>
      <c r="G142" s="14">
        <v>1295</v>
      </c>
      <c r="H142" s="14">
        <v>1296.25</v>
      </c>
      <c r="I142" s="14">
        <v>1295.44</v>
      </c>
      <c r="J142" s="14">
        <v>1534.5</v>
      </c>
      <c r="K142" s="15">
        <v>389.6</v>
      </c>
      <c r="L142" s="15">
        <v>8071289</v>
      </c>
      <c r="M142" t="s" s="13">
        <v>7706</v>
      </c>
      <c r="N142" s="15">
        <v>182525</v>
      </c>
      <c r="O142" s="17" cm="1">
        <f t="array" ref="O142">(H142-H141)/H141</f>
        <v>-0.0140336198372252</v>
      </c>
    </row>
    <row r="143" ht="13.65" customHeight="1">
      <c r="A143" s="18">
        <v>44494</v>
      </c>
      <c r="B143" t="s" s="13">
        <v>22</v>
      </c>
      <c r="C143" s="14">
        <v>1302</v>
      </c>
      <c r="D143" s="14">
        <v>1316</v>
      </c>
      <c r="E143" s="14">
        <v>1267.25</v>
      </c>
      <c r="F143" s="14">
        <v>1296.25</v>
      </c>
      <c r="G143" s="14">
        <v>1290.5</v>
      </c>
      <c r="H143" s="14">
        <v>1293.3</v>
      </c>
      <c r="I143" s="14">
        <v>1295.98</v>
      </c>
      <c r="J143" s="14">
        <v>1534.5</v>
      </c>
      <c r="K143" s="15">
        <v>395.2</v>
      </c>
      <c r="L143" s="15">
        <v>6418501</v>
      </c>
      <c r="M143" t="s" s="13">
        <v>7707</v>
      </c>
      <c r="N143" s="15">
        <v>146749</v>
      </c>
      <c r="O143" s="17" cm="1">
        <f t="array" ref="O143">(H143-H142)/H142</f>
        <v>-0.00227579556412729</v>
      </c>
    </row>
    <row r="144" ht="13.65" customHeight="1">
      <c r="A144" s="18">
        <v>44495</v>
      </c>
      <c r="B144" t="s" s="13">
        <v>22</v>
      </c>
      <c r="C144" s="14">
        <v>1303</v>
      </c>
      <c r="D144" s="14">
        <v>1351</v>
      </c>
      <c r="E144" s="14">
        <v>1301.45</v>
      </c>
      <c r="F144" s="14">
        <v>1293.3</v>
      </c>
      <c r="G144" s="14">
        <v>1347</v>
      </c>
      <c r="H144" s="14">
        <v>1343.65</v>
      </c>
      <c r="I144" s="14">
        <v>1327.59</v>
      </c>
      <c r="J144" s="14">
        <v>1534.5</v>
      </c>
      <c r="K144" s="15">
        <v>395.2</v>
      </c>
      <c r="L144" s="15">
        <v>7722875</v>
      </c>
      <c r="M144" t="s" s="13">
        <v>7708</v>
      </c>
      <c r="N144" s="15">
        <v>162605</v>
      </c>
      <c r="O144" s="17" cm="1">
        <f t="array" ref="O144">(H144-H143)/H143</f>
        <v>0.0389314157581381</v>
      </c>
    </row>
    <row r="145" ht="13.65" customHeight="1">
      <c r="A145" s="18">
        <v>44496</v>
      </c>
      <c r="B145" t="s" s="13">
        <v>22</v>
      </c>
      <c r="C145" s="14">
        <v>1346</v>
      </c>
      <c r="D145" s="14">
        <v>1351.7</v>
      </c>
      <c r="E145" s="14">
        <v>1321.25</v>
      </c>
      <c r="F145" s="14">
        <v>1343.65</v>
      </c>
      <c r="G145" s="14">
        <v>1325</v>
      </c>
      <c r="H145" s="14">
        <v>1326.15</v>
      </c>
      <c r="I145" s="14">
        <v>1340.29</v>
      </c>
      <c r="J145" s="14">
        <v>1534.5</v>
      </c>
      <c r="K145" s="15">
        <v>395.2</v>
      </c>
      <c r="L145" s="15">
        <v>7241804</v>
      </c>
      <c r="M145" t="s" s="13">
        <v>7709</v>
      </c>
      <c r="N145" s="15">
        <v>136011</v>
      </c>
      <c r="O145" s="17" cm="1">
        <f t="array" ref="O145">(H145-H144)/H144</f>
        <v>-0.013024225058609</v>
      </c>
    </row>
    <row r="146" ht="13.65" customHeight="1">
      <c r="A146" s="18">
        <v>44497</v>
      </c>
      <c r="B146" t="s" s="13">
        <v>22</v>
      </c>
      <c r="C146" s="14">
        <v>1314.9</v>
      </c>
      <c r="D146" s="14">
        <v>1315.95</v>
      </c>
      <c r="E146" s="14">
        <v>1291.1</v>
      </c>
      <c r="F146" s="14">
        <v>1326.15</v>
      </c>
      <c r="G146" s="14">
        <v>1299.2</v>
      </c>
      <c r="H146" s="14">
        <v>1299.6</v>
      </c>
      <c r="I146" s="14">
        <v>1300.93</v>
      </c>
      <c r="J146" s="14">
        <v>1534.5</v>
      </c>
      <c r="K146" s="15">
        <v>395.2</v>
      </c>
      <c r="L146" s="15">
        <v>9307682</v>
      </c>
      <c r="M146" t="s" s="13">
        <v>7710</v>
      </c>
      <c r="N146" s="15">
        <v>219433</v>
      </c>
      <c r="O146" s="17" cm="1">
        <f t="array" ref="O146">(H146-H145)/H145</f>
        <v>-0.0200203596878181</v>
      </c>
    </row>
    <row r="147" ht="13.65" customHeight="1">
      <c r="A147" s="18">
        <v>44498</v>
      </c>
      <c r="B147" t="s" s="13">
        <v>22</v>
      </c>
      <c r="C147" s="14">
        <v>1290.25</v>
      </c>
      <c r="D147" s="14">
        <v>1333.7</v>
      </c>
      <c r="E147" s="14">
        <v>1290</v>
      </c>
      <c r="F147" s="14">
        <v>1299.6</v>
      </c>
      <c r="G147" s="14">
        <v>1317.65</v>
      </c>
      <c r="H147" s="14">
        <v>1315.95</v>
      </c>
      <c r="I147" s="14">
        <v>1318.31</v>
      </c>
      <c r="J147" s="14">
        <v>1534.5</v>
      </c>
      <c r="K147" s="15">
        <v>395.2</v>
      </c>
      <c r="L147" s="15">
        <v>7914760</v>
      </c>
      <c r="M147" t="s" s="13">
        <v>7711</v>
      </c>
      <c r="N147" s="15">
        <v>203572</v>
      </c>
      <c r="O147" s="17" cm="1">
        <f t="array" ref="O147">(H147-H146)/H146</f>
        <v>0.0125807940904894</v>
      </c>
    </row>
    <row r="148" ht="13.65" customHeight="1">
      <c r="A148" s="12">
        <v>44501</v>
      </c>
      <c r="B148" t="s" s="13">
        <v>22</v>
      </c>
      <c r="C148" s="14">
        <v>1340</v>
      </c>
      <c r="D148" s="14">
        <v>1372.9</v>
      </c>
      <c r="E148" s="14">
        <v>1330</v>
      </c>
      <c r="F148" s="14">
        <v>1315.95</v>
      </c>
      <c r="G148" s="14">
        <v>1362</v>
      </c>
      <c r="H148" s="14">
        <v>1364.9</v>
      </c>
      <c r="I148" s="14">
        <v>1357.99</v>
      </c>
      <c r="J148" s="14">
        <v>1534.5</v>
      </c>
      <c r="K148" s="15">
        <v>398.7</v>
      </c>
      <c r="L148" s="15">
        <v>9687533</v>
      </c>
      <c r="M148" t="s" s="13">
        <v>7712</v>
      </c>
      <c r="N148" s="15">
        <v>219727</v>
      </c>
      <c r="O148" s="17" cm="1">
        <f t="array" ref="O148">(H148-H147)/H147</f>
        <v>0.037197461909647</v>
      </c>
    </row>
    <row r="149" ht="13.65" customHeight="1">
      <c r="A149" s="12">
        <v>44502</v>
      </c>
      <c r="B149" t="s" s="13">
        <v>22</v>
      </c>
      <c r="C149" s="14">
        <v>1370</v>
      </c>
      <c r="D149" s="14">
        <v>1370</v>
      </c>
      <c r="E149" s="14">
        <v>1310.8</v>
      </c>
      <c r="F149" s="14">
        <v>1364.9</v>
      </c>
      <c r="G149" s="14">
        <v>1318</v>
      </c>
      <c r="H149" s="14">
        <v>1313.65</v>
      </c>
      <c r="I149" s="14">
        <v>1336.72</v>
      </c>
      <c r="J149" s="14">
        <v>1534.5</v>
      </c>
      <c r="K149" s="15">
        <v>398.7</v>
      </c>
      <c r="L149" s="15">
        <v>7216137</v>
      </c>
      <c r="M149" t="s" s="13">
        <v>7713</v>
      </c>
      <c r="N149" s="15">
        <v>149207</v>
      </c>
      <c r="O149" s="17" cm="1">
        <f t="array" ref="O149">(H149-H148)/H148</f>
        <v>-0.0375485383544582</v>
      </c>
    </row>
    <row r="150" ht="13.65" customHeight="1">
      <c r="A150" s="12">
        <v>44503</v>
      </c>
      <c r="B150" t="s" s="13">
        <v>22</v>
      </c>
      <c r="C150" s="14">
        <v>1324.8</v>
      </c>
      <c r="D150" s="14">
        <v>1332</v>
      </c>
      <c r="E150" s="14">
        <v>1312</v>
      </c>
      <c r="F150" s="14">
        <v>1313.65</v>
      </c>
      <c r="G150" s="14">
        <v>1326</v>
      </c>
      <c r="H150" s="14">
        <v>1326.05</v>
      </c>
      <c r="I150" s="14">
        <v>1322.5</v>
      </c>
      <c r="J150" s="14">
        <v>1534.5</v>
      </c>
      <c r="K150" s="15">
        <v>398.7</v>
      </c>
      <c r="L150" s="15">
        <v>5730244</v>
      </c>
      <c r="M150" t="s" s="13">
        <v>7714</v>
      </c>
      <c r="N150" s="15">
        <v>114824</v>
      </c>
      <c r="O150" s="17" cm="1">
        <f t="array" ref="O150">(H150-H149)/H149</f>
        <v>0.009439348380466639</v>
      </c>
    </row>
    <row r="151" ht="13.65" customHeight="1">
      <c r="A151" s="12">
        <v>44504</v>
      </c>
      <c r="B151" t="s" s="13">
        <v>22</v>
      </c>
      <c r="C151" s="14">
        <v>1331</v>
      </c>
      <c r="D151" s="14">
        <v>1335</v>
      </c>
      <c r="E151" s="14">
        <v>1324.1</v>
      </c>
      <c r="F151" s="14">
        <v>1326.05</v>
      </c>
      <c r="G151" s="14">
        <v>1326.45</v>
      </c>
      <c r="H151" s="14">
        <v>1325.9</v>
      </c>
      <c r="I151" s="14">
        <v>1329.31</v>
      </c>
      <c r="J151" s="14">
        <v>1534.5</v>
      </c>
      <c r="K151" s="15">
        <v>398.7</v>
      </c>
      <c r="L151" s="15">
        <v>674434</v>
      </c>
      <c r="M151" t="s" s="13">
        <v>7715</v>
      </c>
      <c r="N151" s="15">
        <v>24458</v>
      </c>
      <c r="O151" s="17" cm="1">
        <f t="array" ref="O151">(H151-H150)/H150</f>
        <v>-0.000113117906564609</v>
      </c>
    </row>
    <row r="152" ht="13.65" customHeight="1">
      <c r="A152" s="12">
        <v>44508</v>
      </c>
      <c r="B152" t="s" s="13">
        <v>22</v>
      </c>
      <c r="C152" s="14">
        <v>1340.9</v>
      </c>
      <c r="D152" s="14">
        <v>1347.65</v>
      </c>
      <c r="E152" s="14">
        <v>1306.1</v>
      </c>
      <c r="F152" s="14">
        <v>1325.9</v>
      </c>
      <c r="G152" s="14">
        <v>1340.95</v>
      </c>
      <c r="H152" s="14">
        <v>1343.25</v>
      </c>
      <c r="I152" s="14">
        <v>1331.26</v>
      </c>
      <c r="J152" s="14">
        <v>1534.5</v>
      </c>
      <c r="K152" s="15">
        <v>427.4</v>
      </c>
      <c r="L152" s="15">
        <v>5493667</v>
      </c>
      <c r="M152" t="s" s="13">
        <v>7716</v>
      </c>
      <c r="N152" s="15">
        <v>129169</v>
      </c>
      <c r="O152" s="17" cm="1">
        <f t="array" ref="O152">(H152-H151)/H151</f>
        <v>0.0130854513915077</v>
      </c>
    </row>
    <row r="153" ht="13.65" customHeight="1">
      <c r="A153" s="12">
        <v>44509</v>
      </c>
      <c r="B153" t="s" s="13">
        <v>22</v>
      </c>
      <c r="C153" s="14">
        <v>1342.85</v>
      </c>
      <c r="D153" s="14">
        <v>1360.3</v>
      </c>
      <c r="E153" s="14">
        <v>1328.85</v>
      </c>
      <c r="F153" s="14">
        <v>1343.25</v>
      </c>
      <c r="G153" s="14">
        <v>1337.4</v>
      </c>
      <c r="H153" s="14">
        <v>1335.95</v>
      </c>
      <c r="I153" s="14">
        <v>1343.01</v>
      </c>
      <c r="J153" s="14">
        <v>1534.5</v>
      </c>
      <c r="K153" s="15">
        <v>427.4</v>
      </c>
      <c r="L153" s="15">
        <v>4756516</v>
      </c>
      <c r="M153" t="s" s="13">
        <v>7717</v>
      </c>
      <c r="N153" s="15">
        <v>110877</v>
      </c>
      <c r="O153" s="17" cm="1">
        <f t="array" ref="O153">(H153-H152)/H152</f>
        <v>-0.00543458030895217</v>
      </c>
    </row>
    <row r="154" ht="13.65" customHeight="1">
      <c r="A154" s="18">
        <v>44510</v>
      </c>
      <c r="B154" t="s" s="13">
        <v>22</v>
      </c>
      <c r="C154" s="14">
        <v>1328</v>
      </c>
      <c r="D154" s="14">
        <v>1329</v>
      </c>
      <c r="E154" s="14">
        <v>1287.1</v>
      </c>
      <c r="F154" s="14">
        <v>1335.95</v>
      </c>
      <c r="G154" s="14">
        <v>1297.5</v>
      </c>
      <c r="H154" s="14">
        <v>1298.55</v>
      </c>
      <c r="I154" s="14">
        <v>1300.47</v>
      </c>
      <c r="J154" s="14">
        <v>1534.5</v>
      </c>
      <c r="K154" s="15">
        <v>427.4</v>
      </c>
      <c r="L154" s="15">
        <v>11880417</v>
      </c>
      <c r="M154" t="s" s="13">
        <v>7718</v>
      </c>
      <c r="N154" s="15">
        <v>295166</v>
      </c>
      <c r="O154" s="17" cm="1">
        <f t="array" ref="O154">(H154-H153)/H153</f>
        <v>-0.0279950596953479</v>
      </c>
    </row>
    <row r="155" ht="13.65" customHeight="1">
      <c r="A155" s="18">
        <v>44511</v>
      </c>
      <c r="B155" t="s" s="13">
        <v>22</v>
      </c>
      <c r="C155" s="14">
        <v>1304.9</v>
      </c>
      <c r="D155" s="14">
        <v>1324.5</v>
      </c>
      <c r="E155" s="14">
        <v>1288.35</v>
      </c>
      <c r="F155" s="14">
        <v>1298.55</v>
      </c>
      <c r="G155" s="14">
        <v>1300</v>
      </c>
      <c r="H155" s="14">
        <v>1299.6</v>
      </c>
      <c r="I155" s="14">
        <v>1306.58</v>
      </c>
      <c r="J155" s="14">
        <v>1534.5</v>
      </c>
      <c r="K155" s="15">
        <v>427.4</v>
      </c>
      <c r="L155" s="15">
        <v>13663860</v>
      </c>
      <c r="M155" t="s" s="13">
        <v>7719</v>
      </c>
      <c r="N155" s="15">
        <v>290972</v>
      </c>
      <c r="O155" s="17" cm="1">
        <f t="array" ref="O155">(H155-H154)/H154</f>
        <v>0.000808594201224443</v>
      </c>
    </row>
    <row r="156" ht="13.65" customHeight="1">
      <c r="A156" s="18">
        <v>44512</v>
      </c>
      <c r="B156" t="s" s="13">
        <v>22</v>
      </c>
      <c r="C156" s="14">
        <v>1340</v>
      </c>
      <c r="D156" s="14">
        <v>1340</v>
      </c>
      <c r="E156" s="14">
        <v>1271.1</v>
      </c>
      <c r="F156" s="14">
        <v>1299.6</v>
      </c>
      <c r="G156" s="14">
        <v>1286.7</v>
      </c>
      <c r="H156" s="14">
        <v>1287.25</v>
      </c>
      <c r="I156" s="14">
        <v>1296.64</v>
      </c>
      <c r="J156" s="14">
        <v>1534.5</v>
      </c>
      <c r="K156" s="15">
        <v>427.4</v>
      </c>
      <c r="L156" s="15">
        <v>23239558</v>
      </c>
      <c r="M156" t="s" s="13">
        <v>7720</v>
      </c>
      <c r="N156" s="15">
        <v>493501</v>
      </c>
      <c r="O156" s="17" cm="1">
        <f t="array" ref="O156">(H156-H155)/H155</f>
        <v>-0.00950292397660819</v>
      </c>
    </row>
    <row r="157" ht="13.65" customHeight="1">
      <c r="A157" s="18">
        <v>44515</v>
      </c>
      <c r="B157" t="s" s="13">
        <v>22</v>
      </c>
      <c r="C157" s="14">
        <v>1295</v>
      </c>
      <c r="D157" s="14">
        <v>1299</v>
      </c>
      <c r="E157" s="14">
        <v>1241.5</v>
      </c>
      <c r="F157" s="14">
        <v>1287.25</v>
      </c>
      <c r="G157" s="14">
        <v>1244.5</v>
      </c>
      <c r="H157" s="14">
        <v>1245.45</v>
      </c>
      <c r="I157" s="14">
        <v>1264.54</v>
      </c>
      <c r="J157" s="14">
        <v>1534.5</v>
      </c>
      <c r="K157" s="15">
        <v>501.7</v>
      </c>
      <c r="L157" s="15">
        <v>12108215</v>
      </c>
      <c r="M157" t="s" s="13">
        <v>7721</v>
      </c>
      <c r="N157" s="15">
        <v>361479</v>
      </c>
      <c r="O157" s="17" cm="1">
        <f t="array" ref="O157">(H157-H156)/H156</f>
        <v>-0.0324723247232472</v>
      </c>
    </row>
    <row r="158" ht="13.65" customHeight="1">
      <c r="A158" s="18">
        <v>44516</v>
      </c>
      <c r="B158" t="s" s="13">
        <v>22</v>
      </c>
      <c r="C158" s="14">
        <v>1245.45</v>
      </c>
      <c r="D158" s="14">
        <v>1261.05</v>
      </c>
      <c r="E158" s="14">
        <v>1223.7</v>
      </c>
      <c r="F158" s="14">
        <v>1245.45</v>
      </c>
      <c r="G158" s="14">
        <v>1225.5</v>
      </c>
      <c r="H158" s="14">
        <v>1228.8</v>
      </c>
      <c r="I158" s="14">
        <v>1241.24</v>
      </c>
      <c r="J158" s="14">
        <v>1534.5</v>
      </c>
      <c r="K158" s="15">
        <v>501.7</v>
      </c>
      <c r="L158" s="15">
        <v>12314880</v>
      </c>
      <c r="M158" t="s" s="13">
        <v>7722</v>
      </c>
      <c r="N158" s="15">
        <v>305404</v>
      </c>
      <c r="O158" s="17" cm="1">
        <f t="array" ref="O158">(H158-H157)/H157</f>
        <v>-0.0133686619294231</v>
      </c>
    </row>
    <row r="159" ht="13.65" customHeight="1">
      <c r="A159" s="18">
        <v>44517</v>
      </c>
      <c r="B159" t="s" s="13">
        <v>22</v>
      </c>
      <c r="C159" s="14">
        <v>1225</v>
      </c>
      <c r="D159" s="14">
        <v>1237.4</v>
      </c>
      <c r="E159" s="14">
        <v>1215.1</v>
      </c>
      <c r="F159" s="14">
        <v>1228.8</v>
      </c>
      <c r="G159" s="14">
        <v>1217.5</v>
      </c>
      <c r="H159" s="14">
        <v>1220.05</v>
      </c>
      <c r="I159" s="14">
        <v>1225.21</v>
      </c>
      <c r="J159" s="14">
        <v>1534.5</v>
      </c>
      <c r="K159" s="15">
        <v>501.7</v>
      </c>
      <c r="L159" s="15">
        <v>8780204</v>
      </c>
      <c r="M159" t="s" s="13">
        <v>7723</v>
      </c>
      <c r="N159" s="15">
        <v>227497</v>
      </c>
      <c r="O159" s="17" cm="1">
        <f t="array" ref="O159">(H159-H158)/H158</f>
        <v>-0.00712076822916667</v>
      </c>
    </row>
    <row r="160" ht="13.65" customHeight="1">
      <c r="A160" s="18">
        <v>44518</v>
      </c>
      <c r="B160" t="s" s="13">
        <v>22</v>
      </c>
      <c r="C160" s="14">
        <v>1223.6</v>
      </c>
      <c r="D160" s="14">
        <v>1228.3</v>
      </c>
      <c r="E160" s="14">
        <v>1182</v>
      </c>
      <c r="F160" s="14">
        <v>1220.05</v>
      </c>
      <c r="G160" s="14">
        <v>1187.9</v>
      </c>
      <c r="H160" s="14">
        <v>1186.6</v>
      </c>
      <c r="I160" s="14">
        <v>1198.02</v>
      </c>
      <c r="J160" s="14">
        <v>1534.5</v>
      </c>
      <c r="K160" s="15">
        <v>501.7</v>
      </c>
      <c r="L160" s="15">
        <v>10108351</v>
      </c>
      <c r="M160" t="s" s="13">
        <v>7724</v>
      </c>
      <c r="N160" s="15">
        <v>265526</v>
      </c>
      <c r="O160" s="17" cm="1">
        <f t="array" ref="O160">(H160-H159)/H159</f>
        <v>-0.0274169091430679</v>
      </c>
    </row>
    <row r="161" ht="13.65" customHeight="1">
      <c r="A161" s="18">
        <v>44522</v>
      </c>
      <c r="B161" t="s" s="13">
        <v>22</v>
      </c>
      <c r="C161" s="14">
        <v>1188.1</v>
      </c>
      <c r="D161" s="14">
        <v>1196.8</v>
      </c>
      <c r="E161" s="14">
        <v>1146</v>
      </c>
      <c r="F161" s="14">
        <v>1186.6</v>
      </c>
      <c r="G161" s="14">
        <v>1166.8</v>
      </c>
      <c r="H161" s="14">
        <v>1165.05</v>
      </c>
      <c r="I161" s="14">
        <v>1174.23</v>
      </c>
      <c r="J161" s="14">
        <v>1534.5</v>
      </c>
      <c r="K161" s="15">
        <v>536.35</v>
      </c>
      <c r="L161" s="15">
        <v>9621001</v>
      </c>
      <c r="M161" t="s" s="13">
        <v>7725</v>
      </c>
      <c r="N161" s="15">
        <v>221574</v>
      </c>
      <c r="O161" s="17" cm="1">
        <f t="array" ref="O161">(H161-H160)/H160</f>
        <v>-0.0181611326479016</v>
      </c>
    </row>
    <row r="162" ht="13.65" customHeight="1">
      <c r="A162" s="18">
        <v>44523</v>
      </c>
      <c r="B162" t="s" s="13">
        <v>22</v>
      </c>
      <c r="C162" s="14">
        <v>1168.05</v>
      </c>
      <c r="D162" s="14">
        <v>1209</v>
      </c>
      <c r="E162" s="14">
        <v>1165.15</v>
      </c>
      <c r="F162" s="14">
        <v>1165.05</v>
      </c>
      <c r="G162" s="14">
        <v>1190.05</v>
      </c>
      <c r="H162" s="14">
        <v>1192.05</v>
      </c>
      <c r="I162" s="14">
        <v>1194.72</v>
      </c>
      <c r="J162" s="14">
        <v>1534.5</v>
      </c>
      <c r="K162" s="15">
        <v>536.35</v>
      </c>
      <c r="L162" s="15">
        <v>9382963</v>
      </c>
      <c r="M162" t="s" s="13">
        <v>7726</v>
      </c>
      <c r="N162" s="15">
        <v>215369</v>
      </c>
      <c r="O162" s="17" cm="1">
        <f t="array" ref="O162">(H162-H161)/H161</f>
        <v>0.0231749710312862</v>
      </c>
    </row>
    <row r="163" ht="13.65" customHeight="1">
      <c r="A163" s="18">
        <v>44524</v>
      </c>
      <c r="B163" t="s" s="13">
        <v>22</v>
      </c>
      <c r="C163" s="14">
        <v>1200.4</v>
      </c>
      <c r="D163" s="14">
        <v>1202.95</v>
      </c>
      <c r="E163" s="14">
        <v>1171.15</v>
      </c>
      <c r="F163" s="14">
        <v>1192.05</v>
      </c>
      <c r="G163" s="14">
        <v>1173.5</v>
      </c>
      <c r="H163" s="14">
        <v>1178.5</v>
      </c>
      <c r="I163" s="14">
        <v>1192.33</v>
      </c>
      <c r="J163" s="14">
        <v>1534.5</v>
      </c>
      <c r="K163" s="15">
        <v>536.35</v>
      </c>
      <c r="L163" s="15">
        <v>6767101</v>
      </c>
      <c r="M163" t="s" s="13">
        <v>7727</v>
      </c>
      <c r="N163" s="15">
        <v>155600</v>
      </c>
      <c r="O163" s="17" cm="1">
        <f t="array" ref="O163">(H163-H162)/H162</f>
        <v>-0.0113669728618766</v>
      </c>
    </row>
    <row r="164" ht="13.65" customHeight="1">
      <c r="A164" s="18">
        <v>44525</v>
      </c>
      <c r="B164" t="s" s="13">
        <v>22</v>
      </c>
      <c r="C164" s="14">
        <v>1180</v>
      </c>
      <c r="D164" s="14">
        <v>1186.6</v>
      </c>
      <c r="E164" s="14">
        <v>1166</v>
      </c>
      <c r="F164" s="14">
        <v>1178.5</v>
      </c>
      <c r="G164" s="14">
        <v>1173.5</v>
      </c>
      <c r="H164" s="14">
        <v>1173.65</v>
      </c>
      <c r="I164" s="14">
        <v>1175.39</v>
      </c>
      <c r="J164" s="14">
        <v>1534.5</v>
      </c>
      <c r="K164" s="15">
        <v>536.35</v>
      </c>
      <c r="L164" s="15">
        <v>4750286</v>
      </c>
      <c r="M164" t="s" s="13">
        <v>7728</v>
      </c>
      <c r="N164" s="15">
        <v>124738</v>
      </c>
      <c r="O164" s="17" cm="1">
        <f t="array" ref="O164">(H164-H163)/H163</f>
        <v>-0.0041154009333899</v>
      </c>
    </row>
    <row r="165" ht="13.65" customHeight="1">
      <c r="A165" s="18">
        <v>44526</v>
      </c>
      <c r="B165" t="s" s="13">
        <v>22</v>
      </c>
      <c r="C165" s="14">
        <v>1157.9</v>
      </c>
      <c r="D165" s="14">
        <v>1159.5</v>
      </c>
      <c r="E165" s="14">
        <v>1106.25</v>
      </c>
      <c r="F165" s="14">
        <v>1173.65</v>
      </c>
      <c r="G165" s="14">
        <v>1110.25</v>
      </c>
      <c r="H165" s="14">
        <v>1112.3</v>
      </c>
      <c r="I165" s="14">
        <v>1127.98</v>
      </c>
      <c r="J165" s="14">
        <v>1534.5</v>
      </c>
      <c r="K165" s="15">
        <v>536.35</v>
      </c>
      <c r="L165" s="15">
        <v>10645526</v>
      </c>
      <c r="M165" t="s" s="13">
        <v>7729</v>
      </c>
      <c r="N165" s="15">
        <v>283059</v>
      </c>
      <c r="O165" s="17" cm="1">
        <f t="array" ref="O165">(H165-H164)/H164</f>
        <v>-0.0522728240957696</v>
      </c>
    </row>
    <row r="166" ht="13.65" customHeight="1">
      <c r="A166" s="18">
        <v>44529</v>
      </c>
      <c r="B166" t="s" s="13">
        <v>22</v>
      </c>
      <c r="C166" s="14">
        <v>1112.3</v>
      </c>
      <c r="D166" s="14">
        <v>1137</v>
      </c>
      <c r="E166" s="14">
        <v>1075.05</v>
      </c>
      <c r="F166" s="14">
        <v>1112.3</v>
      </c>
      <c r="G166" s="14">
        <v>1109.9</v>
      </c>
      <c r="H166" s="14">
        <v>1114.75</v>
      </c>
      <c r="I166" s="14">
        <v>1115.07</v>
      </c>
      <c r="J166" s="14">
        <v>1534.5</v>
      </c>
      <c r="K166" s="15">
        <v>576.95</v>
      </c>
      <c r="L166" s="15">
        <v>9392991</v>
      </c>
      <c r="M166" t="s" s="13">
        <v>7730</v>
      </c>
      <c r="N166" s="15">
        <v>238792</v>
      </c>
      <c r="O166" s="17" cm="1">
        <f t="array" ref="O166">(H166-H165)/H165</f>
        <v>0.00220264317180617</v>
      </c>
    </row>
    <row r="167" ht="13.65" customHeight="1">
      <c r="A167" s="18">
        <v>44530</v>
      </c>
      <c r="B167" t="s" s="13">
        <v>22</v>
      </c>
      <c r="C167" s="14">
        <v>1110.95</v>
      </c>
      <c r="D167" s="14">
        <v>1127.9</v>
      </c>
      <c r="E167" s="14">
        <v>1063</v>
      </c>
      <c r="F167" s="14">
        <v>1114.75</v>
      </c>
      <c r="G167" s="14">
        <v>1070.1</v>
      </c>
      <c r="H167" s="14">
        <v>1071.2</v>
      </c>
      <c r="I167" s="14">
        <v>1092.87</v>
      </c>
      <c r="J167" s="14">
        <v>1534.5</v>
      </c>
      <c r="K167" s="15">
        <v>576.95</v>
      </c>
      <c r="L167" s="15">
        <v>13355984</v>
      </c>
      <c r="M167" t="s" s="13">
        <v>7731</v>
      </c>
      <c r="N167" s="15">
        <v>290056</v>
      </c>
      <c r="O167" s="17" cm="1">
        <f t="array" ref="O167">(H167-H166)/H166</f>
        <v>-0.039067055393586</v>
      </c>
    </row>
    <row r="168" ht="13.65" customHeight="1">
      <c r="A168" s="12">
        <v>44531</v>
      </c>
      <c r="B168" t="s" s="13">
        <v>22</v>
      </c>
      <c r="C168" s="14">
        <v>1092</v>
      </c>
      <c r="D168" s="14">
        <v>1097</v>
      </c>
      <c r="E168" s="14">
        <v>1066.5</v>
      </c>
      <c r="F168" s="14">
        <v>1071.2</v>
      </c>
      <c r="G168" s="14">
        <v>1082</v>
      </c>
      <c r="H168" s="14">
        <v>1082.55</v>
      </c>
      <c r="I168" s="14">
        <v>1080.06</v>
      </c>
      <c r="J168" s="14">
        <v>1534.5</v>
      </c>
      <c r="K168" s="15">
        <v>576.95</v>
      </c>
      <c r="L168" s="15">
        <v>9379114</v>
      </c>
      <c r="M168" t="s" s="13">
        <v>7732</v>
      </c>
      <c r="N168" s="15">
        <v>277289</v>
      </c>
      <c r="O168" s="17" cm="1">
        <f t="array" ref="O168">(H168-H167)/H167</f>
        <v>0.0105955937266617</v>
      </c>
    </row>
    <row r="169" ht="13.65" customHeight="1">
      <c r="A169" s="12">
        <v>44532</v>
      </c>
      <c r="B169" t="s" s="13">
        <v>22</v>
      </c>
      <c r="C169" s="14">
        <v>1083</v>
      </c>
      <c r="D169" s="14">
        <v>1116</v>
      </c>
      <c r="E169" s="14">
        <v>1074</v>
      </c>
      <c r="F169" s="14">
        <v>1082.55</v>
      </c>
      <c r="G169" s="14">
        <v>1112.95</v>
      </c>
      <c r="H169" s="14">
        <v>1112.4</v>
      </c>
      <c r="I169" s="14">
        <v>1093.21</v>
      </c>
      <c r="J169" s="14">
        <v>1534.5</v>
      </c>
      <c r="K169" s="15">
        <v>576.95</v>
      </c>
      <c r="L169" s="15">
        <v>9128681</v>
      </c>
      <c r="M169" t="s" s="13">
        <v>7733</v>
      </c>
      <c r="N169" s="15">
        <v>229986</v>
      </c>
      <c r="O169" s="17" cm="1">
        <f t="array" ref="O169">(H169-H168)/H168</f>
        <v>0.0275737841208258</v>
      </c>
    </row>
    <row r="170" ht="13.65" customHeight="1">
      <c r="A170" s="12">
        <v>44533</v>
      </c>
      <c r="B170" t="s" s="13">
        <v>22</v>
      </c>
      <c r="C170" s="14">
        <v>1115</v>
      </c>
      <c r="D170" s="14">
        <v>1134.2</v>
      </c>
      <c r="E170" s="14">
        <v>1102.25</v>
      </c>
      <c r="F170" s="14">
        <v>1112.4</v>
      </c>
      <c r="G170" s="14">
        <v>1114.65</v>
      </c>
      <c r="H170" s="14">
        <v>1118</v>
      </c>
      <c r="I170" s="14">
        <v>1119.73</v>
      </c>
      <c r="J170" s="14">
        <v>1534.5</v>
      </c>
      <c r="K170" s="15">
        <v>576.95</v>
      </c>
      <c r="L170" s="15">
        <v>10073784</v>
      </c>
      <c r="M170" t="s" s="13">
        <v>7734</v>
      </c>
      <c r="N170" s="15">
        <v>215675</v>
      </c>
      <c r="O170" s="17" cm="1">
        <f t="array" ref="O170">(H170-H169)/H169</f>
        <v>0.0050341603739662</v>
      </c>
    </row>
    <row r="171" ht="13.65" customHeight="1">
      <c r="A171" s="12">
        <v>44536</v>
      </c>
      <c r="B171" t="s" s="13">
        <v>22</v>
      </c>
      <c r="C171" s="14">
        <v>1114</v>
      </c>
      <c r="D171" s="14">
        <v>1141</v>
      </c>
      <c r="E171" s="14">
        <v>1102.2</v>
      </c>
      <c r="F171" s="14">
        <v>1118</v>
      </c>
      <c r="G171" s="14">
        <v>1107.65</v>
      </c>
      <c r="H171" s="14">
        <v>1108.8</v>
      </c>
      <c r="I171" s="14">
        <v>1122.08</v>
      </c>
      <c r="J171" s="14">
        <v>1534.5</v>
      </c>
      <c r="K171" s="15">
        <v>585</v>
      </c>
      <c r="L171" s="15">
        <v>8215940</v>
      </c>
      <c r="M171" t="s" s="13">
        <v>7735</v>
      </c>
      <c r="N171" s="15">
        <v>202827</v>
      </c>
      <c r="O171" s="17" cm="1">
        <f t="array" ref="O171">(H171-H170)/H170</f>
        <v>-0.00822898032200358</v>
      </c>
    </row>
    <row r="172" ht="13.65" customHeight="1">
      <c r="A172" s="12">
        <v>44537</v>
      </c>
      <c r="B172" t="s" s="13">
        <v>22</v>
      </c>
      <c r="C172" s="14">
        <v>1121.1</v>
      </c>
      <c r="D172" s="14">
        <v>1155.55</v>
      </c>
      <c r="E172" s="14">
        <v>1121</v>
      </c>
      <c r="F172" s="14">
        <v>1108.8</v>
      </c>
      <c r="G172" s="14">
        <v>1152.85</v>
      </c>
      <c r="H172" s="14">
        <v>1148.8</v>
      </c>
      <c r="I172" s="14">
        <v>1140.75</v>
      </c>
      <c r="J172" s="14">
        <v>1534.5</v>
      </c>
      <c r="K172" s="15">
        <v>585</v>
      </c>
      <c r="L172" s="15">
        <v>8505390</v>
      </c>
      <c r="M172" t="s" s="13">
        <v>7736</v>
      </c>
      <c r="N172" s="15">
        <v>204352</v>
      </c>
      <c r="O172" s="17" cm="1">
        <f t="array" ref="O172">(H172-H171)/H171</f>
        <v>0.0360750360750361</v>
      </c>
    </row>
    <row r="173" ht="13.65" customHeight="1">
      <c r="A173" s="12">
        <v>44538</v>
      </c>
      <c r="B173" t="s" s="13">
        <v>22</v>
      </c>
      <c r="C173" s="14">
        <v>1159</v>
      </c>
      <c r="D173" s="14">
        <v>1177</v>
      </c>
      <c r="E173" s="14">
        <v>1149</v>
      </c>
      <c r="F173" s="14">
        <v>1148.8</v>
      </c>
      <c r="G173" s="14">
        <v>1174.75</v>
      </c>
      <c r="H173" s="14">
        <v>1173</v>
      </c>
      <c r="I173" s="14">
        <v>1166.19</v>
      </c>
      <c r="J173" s="14">
        <v>1534.5</v>
      </c>
      <c r="K173" s="15">
        <v>585</v>
      </c>
      <c r="L173" s="15">
        <v>7448501</v>
      </c>
      <c r="M173" t="s" s="13">
        <v>7737</v>
      </c>
      <c r="N173" s="15">
        <v>170954</v>
      </c>
      <c r="O173" s="17" cm="1">
        <f t="array" ref="O173">(H173-H172)/H172</f>
        <v>0.0210654596100279</v>
      </c>
    </row>
    <row r="174" ht="13.65" customHeight="1">
      <c r="A174" s="12">
        <v>44539</v>
      </c>
      <c r="B174" t="s" s="13">
        <v>22</v>
      </c>
      <c r="C174" s="14">
        <v>1182</v>
      </c>
      <c r="D174" s="14">
        <v>1182</v>
      </c>
      <c r="E174" s="14">
        <v>1159</v>
      </c>
      <c r="F174" s="14">
        <v>1173</v>
      </c>
      <c r="G174" s="14">
        <v>1177</v>
      </c>
      <c r="H174" s="14">
        <v>1176.85</v>
      </c>
      <c r="I174" s="14">
        <v>1170.78</v>
      </c>
      <c r="J174" s="14">
        <v>1534.5</v>
      </c>
      <c r="K174" s="15">
        <v>585</v>
      </c>
      <c r="L174" s="15">
        <v>5212394</v>
      </c>
      <c r="M174" t="s" s="13">
        <v>7738</v>
      </c>
      <c r="N174" s="15">
        <v>122011</v>
      </c>
      <c r="O174" s="17" cm="1">
        <f t="array" ref="O174">(H174-H173)/H173</f>
        <v>0.00328218243819267</v>
      </c>
    </row>
    <row r="175" ht="13.65" customHeight="1">
      <c r="A175" s="18">
        <v>44540</v>
      </c>
      <c r="B175" t="s" s="13">
        <v>22</v>
      </c>
      <c r="C175" s="14">
        <v>1173.45</v>
      </c>
      <c r="D175" s="14">
        <v>1188.9</v>
      </c>
      <c r="E175" s="14">
        <v>1167.6</v>
      </c>
      <c r="F175" s="14">
        <v>1176.85</v>
      </c>
      <c r="G175" s="14">
        <v>1178</v>
      </c>
      <c r="H175" s="14">
        <v>1180</v>
      </c>
      <c r="I175" s="14">
        <v>1178.81</v>
      </c>
      <c r="J175" s="14">
        <v>1534.5</v>
      </c>
      <c r="K175" s="15">
        <v>585</v>
      </c>
      <c r="L175" s="15">
        <v>4812130</v>
      </c>
      <c r="M175" t="s" s="13">
        <v>7739</v>
      </c>
      <c r="N175" s="15">
        <v>135427</v>
      </c>
      <c r="O175" s="17" cm="1">
        <f t="array" ref="O175">(H175-H174)/H174</f>
        <v>0.00267663678463695</v>
      </c>
    </row>
    <row r="176" ht="13.65" customHeight="1">
      <c r="A176" s="18">
        <v>44543</v>
      </c>
      <c r="B176" t="s" s="13">
        <v>22</v>
      </c>
      <c r="C176" s="14">
        <v>1188</v>
      </c>
      <c r="D176" s="14">
        <v>1199</v>
      </c>
      <c r="E176" s="14">
        <v>1161.65</v>
      </c>
      <c r="F176" s="14">
        <v>1180</v>
      </c>
      <c r="G176" s="14">
        <v>1167.2</v>
      </c>
      <c r="H176" s="14">
        <v>1165.3</v>
      </c>
      <c r="I176" s="14">
        <v>1180.37</v>
      </c>
      <c r="J176" s="14">
        <v>1534.5</v>
      </c>
      <c r="K176" s="15">
        <v>585</v>
      </c>
      <c r="L176" s="15">
        <v>5353778</v>
      </c>
      <c r="M176" t="s" s="13">
        <v>7740</v>
      </c>
      <c r="N176" s="15">
        <v>142697</v>
      </c>
      <c r="O176" s="17" cm="1">
        <f t="array" ref="O176">(H176-H175)/H175</f>
        <v>-0.0124576271186441</v>
      </c>
    </row>
    <row r="177" ht="13.65" customHeight="1">
      <c r="A177" s="18">
        <v>44544</v>
      </c>
      <c r="B177" t="s" s="13">
        <v>22</v>
      </c>
      <c r="C177" s="14">
        <v>1158.95</v>
      </c>
      <c r="D177" s="14">
        <v>1177.9</v>
      </c>
      <c r="E177" s="14">
        <v>1147</v>
      </c>
      <c r="F177" s="14">
        <v>1165.3</v>
      </c>
      <c r="G177" s="14">
        <v>1165.7</v>
      </c>
      <c r="H177" s="14">
        <v>1167.2</v>
      </c>
      <c r="I177" s="14">
        <v>1164.62</v>
      </c>
      <c r="J177" s="14">
        <v>1534.5</v>
      </c>
      <c r="K177" s="15">
        <v>585</v>
      </c>
      <c r="L177" s="15">
        <v>5352264</v>
      </c>
      <c r="M177" t="s" s="13">
        <v>7741</v>
      </c>
      <c r="N177" s="15">
        <v>145202</v>
      </c>
      <c r="O177" s="17" cm="1">
        <f t="array" ref="O177">(H177-H176)/H176</f>
        <v>0.00163048142109328</v>
      </c>
    </row>
    <row r="178" ht="13.65" customHeight="1">
      <c r="A178" s="18">
        <v>44545</v>
      </c>
      <c r="B178" t="s" s="13">
        <v>22</v>
      </c>
      <c r="C178" s="14">
        <v>1170.05</v>
      </c>
      <c r="D178" s="14">
        <v>1175.6</v>
      </c>
      <c r="E178" s="14">
        <v>1149</v>
      </c>
      <c r="F178" s="14">
        <v>1167.2</v>
      </c>
      <c r="G178" s="14">
        <v>1150.4</v>
      </c>
      <c r="H178" s="14">
        <v>1154.05</v>
      </c>
      <c r="I178" s="14">
        <v>1163.31</v>
      </c>
      <c r="J178" s="14">
        <v>1534.5</v>
      </c>
      <c r="K178" s="15">
        <v>585</v>
      </c>
      <c r="L178" s="15">
        <v>4430833</v>
      </c>
      <c r="M178" t="s" s="13">
        <v>7742</v>
      </c>
      <c r="N178" s="15">
        <v>136268</v>
      </c>
      <c r="O178" s="17" cm="1">
        <f t="array" ref="O178">(H178-H177)/H177</f>
        <v>-0.0112662782727896</v>
      </c>
    </row>
    <row r="179" ht="13.65" customHeight="1">
      <c r="A179" s="18">
        <v>44546</v>
      </c>
      <c r="B179" t="s" s="13">
        <v>22</v>
      </c>
      <c r="C179" s="14">
        <v>1164</v>
      </c>
      <c r="D179" s="14">
        <v>1168.8</v>
      </c>
      <c r="E179" s="14">
        <v>1143.55</v>
      </c>
      <c r="F179" s="14">
        <v>1154.05</v>
      </c>
      <c r="G179" s="14">
        <v>1156.15</v>
      </c>
      <c r="H179" s="14">
        <v>1153.2</v>
      </c>
      <c r="I179" s="14">
        <v>1157.44</v>
      </c>
      <c r="J179" s="14">
        <v>1534.5</v>
      </c>
      <c r="K179" s="15">
        <v>585</v>
      </c>
      <c r="L179" s="15">
        <v>4246008</v>
      </c>
      <c r="M179" t="s" s="13">
        <v>7743</v>
      </c>
      <c r="N179" s="15">
        <v>115354</v>
      </c>
      <c r="O179" s="17" cm="1">
        <f t="array" ref="O179">(H179-H178)/H178</f>
        <v>-0.000736536545210346</v>
      </c>
    </row>
    <row r="180" ht="13.65" customHeight="1">
      <c r="A180" s="18">
        <v>44547</v>
      </c>
      <c r="B180" t="s" s="13">
        <v>22</v>
      </c>
      <c r="C180" s="14">
        <v>1154</v>
      </c>
      <c r="D180" s="14">
        <v>1158.85</v>
      </c>
      <c r="E180" s="14">
        <v>1125</v>
      </c>
      <c r="F180" s="14">
        <v>1153.2</v>
      </c>
      <c r="G180" s="14">
        <v>1131.95</v>
      </c>
      <c r="H180" s="14">
        <v>1132.1</v>
      </c>
      <c r="I180" s="14">
        <v>1136.98</v>
      </c>
      <c r="J180" s="14">
        <v>1534.5</v>
      </c>
      <c r="K180" s="15">
        <v>585</v>
      </c>
      <c r="L180" s="15">
        <v>4743502</v>
      </c>
      <c r="M180" t="s" s="13">
        <v>7744</v>
      </c>
      <c r="N180" s="15">
        <v>136063</v>
      </c>
      <c r="O180" s="17" cm="1">
        <f t="array" ref="O180">(H180-H179)/H179</f>
        <v>-0.0182969129379119</v>
      </c>
    </row>
    <row r="181" ht="13.65" customHeight="1">
      <c r="A181" s="18">
        <v>44550</v>
      </c>
      <c r="B181" t="s" s="13">
        <v>22</v>
      </c>
      <c r="C181" s="14">
        <v>1117</v>
      </c>
      <c r="D181" s="14">
        <v>1117.2</v>
      </c>
      <c r="E181" s="14">
        <v>1066.05</v>
      </c>
      <c r="F181" s="14">
        <v>1132.1</v>
      </c>
      <c r="G181" s="14">
        <v>1073</v>
      </c>
      <c r="H181" s="14">
        <v>1072.95</v>
      </c>
      <c r="I181" s="14">
        <v>1082.82</v>
      </c>
      <c r="J181" s="14">
        <v>1534.5</v>
      </c>
      <c r="K181" s="15">
        <v>585</v>
      </c>
      <c r="L181" s="15">
        <v>7352650</v>
      </c>
      <c r="M181" t="s" s="13">
        <v>7745</v>
      </c>
      <c r="N181" s="15">
        <v>236252</v>
      </c>
      <c r="O181" s="17" cm="1">
        <f t="array" ref="O181">(H181-H180)/H180</f>
        <v>-0.0522480346259164</v>
      </c>
    </row>
    <row r="182" ht="13.65" customHeight="1">
      <c r="A182" s="18">
        <v>44551</v>
      </c>
      <c r="B182" t="s" s="13">
        <v>22</v>
      </c>
      <c r="C182" s="14">
        <v>1090</v>
      </c>
      <c r="D182" s="14">
        <v>1124.25</v>
      </c>
      <c r="E182" s="14">
        <v>1085</v>
      </c>
      <c r="F182" s="14">
        <v>1072.95</v>
      </c>
      <c r="G182" s="14">
        <v>1108.85</v>
      </c>
      <c r="H182" s="14">
        <v>1105.1</v>
      </c>
      <c r="I182" s="14">
        <v>1109.16</v>
      </c>
      <c r="J182" s="14">
        <v>1534.5</v>
      </c>
      <c r="K182" s="15">
        <v>585</v>
      </c>
      <c r="L182" s="15">
        <v>7026849</v>
      </c>
      <c r="M182" t="s" s="13">
        <v>7746</v>
      </c>
      <c r="N182" s="15">
        <v>171193</v>
      </c>
      <c r="O182" s="17" cm="1">
        <f t="array" ref="O182">(H182-H181)/H181</f>
        <v>0.0299641176196468</v>
      </c>
    </row>
    <row r="183" ht="13.65" customHeight="1">
      <c r="A183" s="18">
        <v>44552</v>
      </c>
      <c r="B183" t="s" s="13">
        <v>22</v>
      </c>
      <c r="C183" s="14">
        <v>1115</v>
      </c>
      <c r="D183" s="14">
        <v>1131</v>
      </c>
      <c r="E183" s="14">
        <v>1110</v>
      </c>
      <c r="F183" s="14">
        <v>1105.1</v>
      </c>
      <c r="G183" s="14">
        <v>1130</v>
      </c>
      <c r="H183" s="14">
        <v>1128.85</v>
      </c>
      <c r="I183" s="14">
        <v>1123.02</v>
      </c>
      <c r="J183" s="14">
        <v>1534.5</v>
      </c>
      <c r="K183" s="15">
        <v>585</v>
      </c>
      <c r="L183" s="15">
        <v>4366917</v>
      </c>
      <c r="M183" t="s" s="13">
        <v>7747</v>
      </c>
      <c r="N183" s="15">
        <v>114115</v>
      </c>
      <c r="O183" s="17" cm="1">
        <f t="array" ref="O183">(H183-H182)/H182</f>
        <v>0.0214912677585739</v>
      </c>
    </row>
    <row r="184" ht="13.65" customHeight="1">
      <c r="A184" s="18">
        <v>44553</v>
      </c>
      <c r="B184" t="s" s="13">
        <v>22</v>
      </c>
      <c r="C184" s="14">
        <v>1138</v>
      </c>
      <c r="D184" s="14">
        <v>1146.8</v>
      </c>
      <c r="E184" s="14">
        <v>1120.2</v>
      </c>
      <c r="F184" s="14">
        <v>1128.85</v>
      </c>
      <c r="G184" s="14">
        <v>1126.45</v>
      </c>
      <c r="H184" s="14">
        <v>1127.65</v>
      </c>
      <c r="I184" s="14">
        <v>1134.88</v>
      </c>
      <c r="J184" s="14">
        <v>1534.5</v>
      </c>
      <c r="K184" s="15">
        <v>585</v>
      </c>
      <c r="L184" s="15">
        <v>4621478</v>
      </c>
      <c r="M184" t="s" s="13">
        <v>7748</v>
      </c>
      <c r="N184" s="15">
        <v>114823</v>
      </c>
      <c r="O184" s="17" cm="1">
        <f t="array" ref="O184">(H184-H183)/H183</f>
        <v>-0.00106302874606901</v>
      </c>
    </row>
    <row r="185" ht="13.65" customHeight="1">
      <c r="A185" s="18">
        <v>44554</v>
      </c>
      <c r="B185" t="s" s="13">
        <v>22</v>
      </c>
      <c r="C185" s="14">
        <v>1130.05</v>
      </c>
      <c r="D185" s="14">
        <v>1133.45</v>
      </c>
      <c r="E185" s="14">
        <v>1103.85</v>
      </c>
      <c r="F185" s="14">
        <v>1127.65</v>
      </c>
      <c r="G185" s="14">
        <v>1117</v>
      </c>
      <c r="H185" s="14">
        <v>1115.45</v>
      </c>
      <c r="I185" s="14">
        <v>1115.11</v>
      </c>
      <c r="J185" s="14">
        <v>1534.5</v>
      </c>
      <c r="K185" s="15">
        <v>585</v>
      </c>
      <c r="L185" s="15">
        <v>4093630</v>
      </c>
      <c r="M185" t="s" s="13">
        <v>7749</v>
      </c>
      <c r="N185" s="15">
        <v>96182</v>
      </c>
      <c r="O185" s="17" cm="1">
        <f t="array" ref="O185">(H185-H184)/H184</f>
        <v>-0.0108189597836208</v>
      </c>
    </row>
    <row r="186" ht="13.65" customHeight="1">
      <c r="A186" s="18">
        <v>44557</v>
      </c>
      <c r="B186" t="s" s="13">
        <v>22</v>
      </c>
      <c r="C186" s="14">
        <v>1111.05</v>
      </c>
      <c r="D186" s="14">
        <v>1124.7</v>
      </c>
      <c r="E186" s="14">
        <v>1102.35</v>
      </c>
      <c r="F186" s="14">
        <v>1115.45</v>
      </c>
      <c r="G186" s="14">
        <v>1124</v>
      </c>
      <c r="H186" s="14">
        <v>1121.8</v>
      </c>
      <c r="I186" s="14">
        <v>1114.49</v>
      </c>
      <c r="J186" s="14">
        <v>1534.5</v>
      </c>
      <c r="K186" s="15">
        <v>596</v>
      </c>
      <c r="L186" s="15">
        <v>2758851</v>
      </c>
      <c r="M186" t="s" s="13">
        <v>7750</v>
      </c>
      <c r="N186" s="15">
        <v>74732</v>
      </c>
      <c r="O186" s="17" cm="1">
        <f t="array" ref="O186">(H186-H185)/H185</f>
        <v>0.005692769734188</v>
      </c>
    </row>
    <row r="187" ht="13.65" customHeight="1">
      <c r="A187" s="18">
        <v>44558</v>
      </c>
      <c r="B187" t="s" s="13">
        <v>22</v>
      </c>
      <c r="C187" s="14">
        <v>1127</v>
      </c>
      <c r="D187" s="14">
        <v>1131.5</v>
      </c>
      <c r="E187" s="14">
        <v>1122</v>
      </c>
      <c r="F187" s="14">
        <v>1121.8</v>
      </c>
      <c r="G187" s="14">
        <v>1127</v>
      </c>
      <c r="H187" s="14">
        <v>1127.45</v>
      </c>
      <c r="I187" s="14">
        <v>1127.24</v>
      </c>
      <c r="J187" s="14">
        <v>1534.5</v>
      </c>
      <c r="K187" s="15">
        <v>596</v>
      </c>
      <c r="L187" s="15">
        <v>2880781</v>
      </c>
      <c r="M187" t="s" s="13">
        <v>7751</v>
      </c>
      <c r="N187" s="15">
        <v>108720</v>
      </c>
      <c r="O187" s="17" cm="1">
        <f t="array" ref="O187">(H187-H186)/H186</f>
        <v>0.00503654840435015</v>
      </c>
    </row>
    <row r="188" ht="13.65" customHeight="1">
      <c r="A188" s="18">
        <v>44559</v>
      </c>
      <c r="B188" t="s" s="13">
        <v>22</v>
      </c>
      <c r="C188" s="14">
        <v>1120</v>
      </c>
      <c r="D188" s="14">
        <v>1126.65</v>
      </c>
      <c r="E188" s="14">
        <v>1108</v>
      </c>
      <c r="F188" s="14">
        <v>1127.45</v>
      </c>
      <c r="G188" s="14">
        <v>1115.75</v>
      </c>
      <c r="H188" s="14">
        <v>1116.25</v>
      </c>
      <c r="I188" s="14">
        <v>1115.35</v>
      </c>
      <c r="J188" s="14">
        <v>1534.5</v>
      </c>
      <c r="K188" s="15">
        <v>596</v>
      </c>
      <c r="L188" s="15">
        <v>4193520</v>
      </c>
      <c r="M188" t="s" s="13">
        <v>7752</v>
      </c>
      <c r="N188" s="15">
        <v>145576</v>
      </c>
      <c r="O188" s="17" cm="1">
        <f t="array" ref="O188">(H188-H187)/H187</f>
        <v>-0.00993392168167103</v>
      </c>
    </row>
    <row r="189" ht="13.65" customHeight="1">
      <c r="A189" s="18">
        <v>44560</v>
      </c>
      <c r="B189" t="s" s="13">
        <v>22</v>
      </c>
      <c r="C189" s="14">
        <v>1117.9</v>
      </c>
      <c r="D189" s="14">
        <v>1127</v>
      </c>
      <c r="E189" s="14">
        <v>1099</v>
      </c>
      <c r="F189" s="14">
        <v>1116.25</v>
      </c>
      <c r="G189" s="14">
        <v>1101.15</v>
      </c>
      <c r="H189" s="14">
        <v>1101</v>
      </c>
      <c r="I189" s="14">
        <v>1110.09</v>
      </c>
      <c r="J189" s="14">
        <v>1534.5</v>
      </c>
      <c r="K189" s="15">
        <v>596</v>
      </c>
      <c r="L189" s="15">
        <v>4114093</v>
      </c>
      <c r="M189" t="s" s="13">
        <v>7753</v>
      </c>
      <c r="N189" s="15">
        <v>102093</v>
      </c>
      <c r="O189" s="17" cm="1">
        <f t="array" ref="O189">(H189-H188)/H188</f>
        <v>-0.0136618141097424</v>
      </c>
    </row>
    <row r="190" ht="13.65" customHeight="1">
      <c r="A190" s="18">
        <v>44561</v>
      </c>
      <c r="B190" t="s" s="13">
        <v>22</v>
      </c>
      <c r="C190" s="14">
        <v>1105</v>
      </c>
      <c r="D190" s="14">
        <v>1123.5</v>
      </c>
      <c r="E190" s="14">
        <v>1102.65</v>
      </c>
      <c r="F190" s="14">
        <v>1101</v>
      </c>
      <c r="G190" s="14">
        <v>1112.4</v>
      </c>
      <c r="H190" s="14">
        <v>1111.45</v>
      </c>
      <c r="I190" s="14">
        <v>1115.49</v>
      </c>
      <c r="J190" s="14">
        <v>1534.5</v>
      </c>
      <c r="K190" s="15">
        <v>596</v>
      </c>
      <c r="L190" s="15">
        <v>3687021</v>
      </c>
      <c r="M190" t="s" s="13">
        <v>7754</v>
      </c>
      <c r="N190" s="15">
        <v>94613</v>
      </c>
      <c r="O190" s="17" cm="1">
        <f t="array" ref="O190">(H190-H189)/H189</f>
        <v>0.009491371480472299</v>
      </c>
    </row>
    <row r="191" ht="13.65" customHeight="1">
      <c r="A191" s="12">
        <v>44564</v>
      </c>
      <c r="B191" t="s" s="13">
        <v>22</v>
      </c>
      <c r="C191" s="14">
        <v>1115</v>
      </c>
      <c r="D191" s="14">
        <v>1151</v>
      </c>
      <c r="E191" s="14">
        <v>1115</v>
      </c>
      <c r="F191" s="14">
        <v>1111.45</v>
      </c>
      <c r="G191" s="14">
        <v>1150</v>
      </c>
      <c r="H191" s="14">
        <v>1142.45</v>
      </c>
      <c r="I191" s="14">
        <v>1129.46</v>
      </c>
      <c r="J191" s="14">
        <v>1534.5</v>
      </c>
      <c r="K191" s="15">
        <v>596</v>
      </c>
      <c r="L191" s="15">
        <v>3865803</v>
      </c>
      <c r="M191" t="s" s="13">
        <v>7755</v>
      </c>
      <c r="N191" s="15">
        <v>87982</v>
      </c>
      <c r="O191" s="17" cm="1">
        <f t="array" ref="O191">(H191-H190)/H190</f>
        <v>0.0278914930946061</v>
      </c>
    </row>
    <row r="192" ht="13.65" customHeight="1">
      <c r="A192" s="12">
        <v>44565</v>
      </c>
      <c r="B192" t="s" s="13">
        <v>22</v>
      </c>
      <c r="C192" s="14">
        <v>1153</v>
      </c>
      <c r="D192" s="14">
        <v>1159.7</v>
      </c>
      <c r="E192" s="14">
        <v>1136.5</v>
      </c>
      <c r="F192" s="14">
        <v>1142.45</v>
      </c>
      <c r="G192" s="14">
        <v>1148.05</v>
      </c>
      <c r="H192" s="14">
        <v>1148.8</v>
      </c>
      <c r="I192" s="14">
        <v>1147.81</v>
      </c>
      <c r="J192" s="14">
        <v>1534.5</v>
      </c>
      <c r="K192" s="15">
        <v>596</v>
      </c>
      <c r="L192" s="15">
        <v>5975731</v>
      </c>
      <c r="M192" t="s" s="13">
        <v>7756</v>
      </c>
      <c r="N192" s="15">
        <v>125400</v>
      </c>
      <c r="O192" s="17" cm="1">
        <f t="array" ref="O192">(H192-H191)/H191</f>
        <v>0.00555823011948006</v>
      </c>
    </row>
    <row r="193" ht="13.65" customHeight="1">
      <c r="A193" s="12">
        <v>44566</v>
      </c>
      <c r="B193" t="s" s="13">
        <v>22</v>
      </c>
      <c r="C193" s="14">
        <v>1147</v>
      </c>
      <c r="D193" s="14">
        <v>1180.8</v>
      </c>
      <c r="E193" s="14">
        <v>1141.25</v>
      </c>
      <c r="F193" s="14">
        <v>1148.8</v>
      </c>
      <c r="G193" s="14">
        <v>1176</v>
      </c>
      <c r="H193" s="14">
        <v>1177.6</v>
      </c>
      <c r="I193" s="14">
        <v>1166.6</v>
      </c>
      <c r="J193" s="14">
        <v>1534.5</v>
      </c>
      <c r="K193" s="15">
        <v>596</v>
      </c>
      <c r="L193" s="15">
        <v>6186176</v>
      </c>
      <c r="M193" t="s" s="13">
        <v>7757</v>
      </c>
      <c r="N193" s="15">
        <v>134032</v>
      </c>
      <c r="O193" s="17" cm="1">
        <f t="array" ref="O193">(H193-H192)/H192</f>
        <v>0.0250696378830084</v>
      </c>
    </row>
    <row r="194" ht="13.65" customHeight="1">
      <c r="A194" s="12">
        <v>44567</v>
      </c>
      <c r="B194" t="s" s="13">
        <v>22</v>
      </c>
      <c r="C194" s="14">
        <v>1172</v>
      </c>
      <c r="D194" s="14">
        <v>1183</v>
      </c>
      <c r="E194" s="14">
        <v>1155.55</v>
      </c>
      <c r="F194" s="14">
        <v>1177.6</v>
      </c>
      <c r="G194" s="14">
        <v>1161.5</v>
      </c>
      <c r="H194" s="14">
        <v>1163.25</v>
      </c>
      <c r="I194" s="14">
        <v>1166.83</v>
      </c>
      <c r="J194" s="14">
        <v>1534.5</v>
      </c>
      <c r="K194" s="15">
        <v>596</v>
      </c>
      <c r="L194" s="15">
        <v>5335400</v>
      </c>
      <c r="M194" t="s" s="13">
        <v>7758</v>
      </c>
      <c r="N194" s="15">
        <v>133187</v>
      </c>
      <c r="O194" s="17" cm="1">
        <f t="array" ref="O194">(H194-H193)/H193</f>
        <v>-0.0121858016304348</v>
      </c>
    </row>
    <row r="195" ht="13.65" customHeight="1">
      <c r="A195" s="12">
        <v>44568</v>
      </c>
      <c r="B195" t="s" s="13">
        <v>22</v>
      </c>
      <c r="C195" s="14">
        <v>1165.2</v>
      </c>
      <c r="D195" s="14">
        <v>1174</v>
      </c>
      <c r="E195" s="14">
        <v>1147.85</v>
      </c>
      <c r="F195" s="14">
        <v>1163.25</v>
      </c>
      <c r="G195" s="14">
        <v>1158.15</v>
      </c>
      <c r="H195" s="14">
        <v>1160.35</v>
      </c>
      <c r="I195" s="14">
        <v>1160.62</v>
      </c>
      <c r="J195" s="14">
        <v>1534.5</v>
      </c>
      <c r="K195" s="15">
        <v>596</v>
      </c>
      <c r="L195" s="15">
        <v>3973857</v>
      </c>
      <c r="M195" t="s" s="13">
        <v>7759</v>
      </c>
      <c r="N195" s="15">
        <v>87679</v>
      </c>
      <c r="O195" s="17" cm="1">
        <f t="array" ref="O195">(H195-H194)/H194</f>
        <v>-0.00249301525897271</v>
      </c>
    </row>
    <row r="196" ht="13.65" customHeight="1">
      <c r="A196" s="18">
        <v>44571</v>
      </c>
      <c r="B196" t="s" s="13">
        <v>22</v>
      </c>
      <c r="C196" s="14">
        <v>1165</v>
      </c>
      <c r="D196" s="14">
        <v>1173.4</v>
      </c>
      <c r="E196" s="14">
        <v>1153.85</v>
      </c>
      <c r="F196" s="14">
        <v>1160.35</v>
      </c>
      <c r="G196" s="14">
        <v>1168</v>
      </c>
      <c r="H196" s="14">
        <v>1169.05</v>
      </c>
      <c r="I196" s="14">
        <v>1165.95</v>
      </c>
      <c r="J196" s="14">
        <v>1534.5</v>
      </c>
      <c r="K196" s="15">
        <v>596</v>
      </c>
      <c r="L196" s="15">
        <v>3822500</v>
      </c>
      <c r="M196" t="s" s="13">
        <v>7760</v>
      </c>
      <c r="N196" s="15">
        <v>124004</v>
      </c>
      <c r="O196" s="17" cm="1">
        <f t="array" ref="O196">(H196-H195)/H195</f>
        <v>0.00749773775154048</v>
      </c>
    </row>
    <row r="197" ht="13.65" customHeight="1">
      <c r="A197" s="18">
        <v>44572</v>
      </c>
      <c r="B197" t="s" s="13">
        <v>22</v>
      </c>
      <c r="C197" s="14">
        <v>1158.65</v>
      </c>
      <c r="D197" s="14">
        <v>1162.7</v>
      </c>
      <c r="E197" s="14">
        <v>1113</v>
      </c>
      <c r="F197" s="14">
        <v>1169.05</v>
      </c>
      <c r="G197" s="14">
        <v>1134.9</v>
      </c>
      <c r="H197" s="14">
        <v>1130.25</v>
      </c>
      <c r="I197" s="14">
        <v>1137.02</v>
      </c>
      <c r="J197" s="14">
        <v>1534.5</v>
      </c>
      <c r="K197" s="15">
        <v>596</v>
      </c>
      <c r="L197" s="15">
        <v>9697885</v>
      </c>
      <c r="M197" t="s" s="13">
        <v>7761</v>
      </c>
      <c r="N197" s="15">
        <v>245197</v>
      </c>
      <c r="O197" s="17" cm="1">
        <f t="array" ref="O197">(H197-H196)/H196</f>
        <v>-0.0331893417732347</v>
      </c>
    </row>
    <row r="198" ht="13.65" customHeight="1">
      <c r="A198" s="18">
        <v>44573</v>
      </c>
      <c r="B198" t="s" s="13">
        <v>22</v>
      </c>
      <c r="C198" s="14">
        <v>1139.85</v>
      </c>
      <c r="D198" s="14">
        <v>1150.8</v>
      </c>
      <c r="E198" s="14">
        <v>1132.4</v>
      </c>
      <c r="F198" s="14">
        <v>1130.25</v>
      </c>
      <c r="G198" s="14">
        <v>1147.8</v>
      </c>
      <c r="H198" s="14">
        <v>1147.2</v>
      </c>
      <c r="I198" s="14">
        <v>1142.13</v>
      </c>
      <c r="J198" s="14">
        <v>1534.5</v>
      </c>
      <c r="K198" s="15">
        <v>596</v>
      </c>
      <c r="L198" s="15">
        <v>5035843</v>
      </c>
      <c r="M198" t="s" s="13">
        <v>7762</v>
      </c>
      <c r="N198" s="15">
        <v>139132</v>
      </c>
      <c r="O198" s="17" cm="1">
        <f t="array" ref="O198">(H198-H197)/H197</f>
        <v>0.0149966821499668</v>
      </c>
    </row>
    <row r="199" ht="13.65" customHeight="1">
      <c r="A199" s="18">
        <v>44574</v>
      </c>
      <c r="B199" t="s" s="13">
        <v>22</v>
      </c>
      <c r="C199" s="14">
        <v>1154</v>
      </c>
      <c r="D199" s="14">
        <v>1225.5</v>
      </c>
      <c r="E199" s="14">
        <v>1152.15</v>
      </c>
      <c r="F199" s="14">
        <v>1147.2</v>
      </c>
      <c r="G199" s="14">
        <v>1219</v>
      </c>
      <c r="H199" s="14">
        <v>1221.15</v>
      </c>
      <c r="I199" s="14">
        <v>1200.08</v>
      </c>
      <c r="J199" s="14">
        <v>1534.5</v>
      </c>
      <c r="K199" s="15">
        <v>596</v>
      </c>
      <c r="L199" s="15">
        <v>15723116</v>
      </c>
      <c r="M199" t="s" s="13">
        <v>7763</v>
      </c>
      <c r="N199" s="15">
        <v>350847</v>
      </c>
      <c r="O199" s="17" cm="1">
        <f t="array" ref="O199">(H199-H198)/H198</f>
        <v>0.0644612970711297</v>
      </c>
    </row>
    <row r="200" ht="13.65" customHeight="1">
      <c r="A200" s="18">
        <v>44575</v>
      </c>
      <c r="B200" t="s" s="13">
        <v>22</v>
      </c>
      <c r="C200" s="14">
        <v>1213</v>
      </c>
      <c r="D200" s="14">
        <v>1226.3</v>
      </c>
      <c r="E200" s="14">
        <v>1206.1</v>
      </c>
      <c r="F200" s="14">
        <v>1221.15</v>
      </c>
      <c r="G200" s="14">
        <v>1211</v>
      </c>
      <c r="H200" s="14">
        <v>1213.6</v>
      </c>
      <c r="I200" s="14">
        <v>1215.42</v>
      </c>
      <c r="J200" s="14">
        <v>1534.5</v>
      </c>
      <c r="K200" s="15">
        <v>596</v>
      </c>
      <c r="L200" s="15">
        <v>5267907</v>
      </c>
      <c r="M200" t="s" s="13">
        <v>7764</v>
      </c>
      <c r="N200" s="15">
        <v>162565</v>
      </c>
      <c r="O200" s="17" cm="1">
        <f t="array" ref="O200">(H200-H199)/H199</f>
        <v>-0.00618269663841461</v>
      </c>
    </row>
    <row r="201" ht="13.65" customHeight="1">
      <c r="A201" s="18">
        <v>44578</v>
      </c>
      <c r="B201" t="s" s="13">
        <v>22</v>
      </c>
      <c r="C201" s="14">
        <v>1215</v>
      </c>
      <c r="D201" s="14">
        <v>1245</v>
      </c>
      <c r="E201" s="14">
        <v>1190.35</v>
      </c>
      <c r="F201" s="14">
        <v>1213.6</v>
      </c>
      <c r="G201" s="14">
        <v>1230.8</v>
      </c>
      <c r="H201" s="14">
        <v>1229.75</v>
      </c>
      <c r="I201" s="14">
        <v>1221.77</v>
      </c>
      <c r="J201" s="14">
        <v>1534.5</v>
      </c>
      <c r="K201" s="15">
        <v>596</v>
      </c>
      <c r="L201" s="15">
        <v>8969607</v>
      </c>
      <c r="M201" t="s" s="13">
        <v>7765</v>
      </c>
      <c r="N201" s="15">
        <v>202840</v>
      </c>
      <c r="O201" s="17" cm="1">
        <f t="array" ref="O201">(H201-H200)/H200</f>
        <v>0.0133075148319051</v>
      </c>
    </row>
    <row r="202" ht="13.65" customHeight="1">
      <c r="A202" s="18">
        <v>44579</v>
      </c>
      <c r="B202" t="s" s="13">
        <v>22</v>
      </c>
      <c r="C202" s="14">
        <v>1230</v>
      </c>
      <c r="D202" s="14">
        <v>1233.75</v>
      </c>
      <c r="E202" s="14">
        <v>1190</v>
      </c>
      <c r="F202" s="14">
        <v>1229.75</v>
      </c>
      <c r="G202" s="14">
        <v>1196.95</v>
      </c>
      <c r="H202" s="14">
        <v>1194.85</v>
      </c>
      <c r="I202" s="14">
        <v>1209.8</v>
      </c>
      <c r="J202" s="14">
        <v>1534.5</v>
      </c>
      <c r="K202" s="15">
        <v>596</v>
      </c>
      <c r="L202" s="15">
        <v>5840897</v>
      </c>
      <c r="M202" t="s" s="13">
        <v>7766</v>
      </c>
      <c r="N202" s="15">
        <v>150353</v>
      </c>
      <c r="O202" s="17" cm="1">
        <f t="array" ref="O202">(H202-H201)/H201</f>
        <v>-0.0283797519821102</v>
      </c>
    </row>
    <row r="203" ht="13.65" customHeight="1">
      <c r="A203" s="18">
        <v>44580</v>
      </c>
      <c r="B203" t="s" s="13">
        <v>22</v>
      </c>
      <c r="C203" s="14">
        <v>1196</v>
      </c>
      <c r="D203" s="14">
        <v>1220.9</v>
      </c>
      <c r="E203" s="14">
        <v>1183</v>
      </c>
      <c r="F203" s="14">
        <v>1194.85</v>
      </c>
      <c r="G203" s="14">
        <v>1208</v>
      </c>
      <c r="H203" s="14">
        <v>1209.6</v>
      </c>
      <c r="I203" s="14">
        <v>1204.89</v>
      </c>
      <c r="J203" s="14">
        <v>1534.5</v>
      </c>
      <c r="K203" s="15">
        <v>596</v>
      </c>
      <c r="L203" s="15">
        <v>7304321</v>
      </c>
      <c r="M203" t="s" s="13">
        <v>7767</v>
      </c>
      <c r="N203" s="15">
        <v>186907</v>
      </c>
      <c r="O203" s="17" cm="1">
        <f t="array" ref="O203">(H203-H202)/H202</f>
        <v>0.0123446457714357</v>
      </c>
    </row>
    <row r="204" ht="13.65" customHeight="1">
      <c r="A204" s="18">
        <v>44581</v>
      </c>
      <c r="B204" t="s" s="13">
        <v>22</v>
      </c>
      <c r="C204" s="14">
        <v>1210.1</v>
      </c>
      <c r="D204" s="14">
        <v>1224</v>
      </c>
      <c r="E204" s="14">
        <v>1197</v>
      </c>
      <c r="F204" s="14">
        <v>1209.6</v>
      </c>
      <c r="G204" s="14">
        <v>1209.9</v>
      </c>
      <c r="H204" s="14">
        <v>1206.7</v>
      </c>
      <c r="I204" s="14">
        <v>1212.03</v>
      </c>
      <c r="J204" s="14">
        <v>1534.5</v>
      </c>
      <c r="K204" s="15">
        <v>596</v>
      </c>
      <c r="L204" s="15">
        <v>5920597</v>
      </c>
      <c r="M204" t="s" s="13">
        <v>7768</v>
      </c>
      <c r="N204" s="15">
        <v>159207</v>
      </c>
      <c r="O204" s="17" cm="1">
        <f t="array" ref="O204">(H204-H203)/H203</f>
        <v>-0.00239748677248677</v>
      </c>
    </row>
    <row r="205" ht="13.65" customHeight="1">
      <c r="A205" s="18">
        <v>44582</v>
      </c>
      <c r="B205" t="s" s="13">
        <v>22</v>
      </c>
      <c r="C205" s="14">
        <v>1200</v>
      </c>
      <c r="D205" s="14">
        <v>1204.3</v>
      </c>
      <c r="E205" s="14">
        <v>1156.35</v>
      </c>
      <c r="F205" s="14">
        <v>1206.7</v>
      </c>
      <c r="G205" s="14">
        <v>1169.1</v>
      </c>
      <c r="H205" s="14">
        <v>1169.7</v>
      </c>
      <c r="I205" s="14">
        <v>1177.49</v>
      </c>
      <c r="J205" s="14">
        <v>1534.5</v>
      </c>
      <c r="K205" s="15">
        <v>596</v>
      </c>
      <c r="L205" s="15">
        <v>7166267</v>
      </c>
      <c r="M205" t="s" s="13">
        <v>7769</v>
      </c>
      <c r="N205" s="15">
        <v>170921</v>
      </c>
      <c r="O205" s="17" cm="1">
        <f t="array" ref="O205">(H205-H204)/H204</f>
        <v>-0.0306621364050717</v>
      </c>
    </row>
    <row r="206" ht="13.65" customHeight="1">
      <c r="A206" s="18">
        <v>44585</v>
      </c>
      <c r="B206" t="s" s="13">
        <v>22</v>
      </c>
      <c r="C206" s="14">
        <v>1160</v>
      </c>
      <c r="D206" s="14">
        <v>1163.65</v>
      </c>
      <c r="E206" s="14">
        <v>1090</v>
      </c>
      <c r="F206" s="14">
        <v>1169.7</v>
      </c>
      <c r="G206" s="14">
        <v>1100.5</v>
      </c>
      <c r="H206" s="14">
        <v>1099.2</v>
      </c>
      <c r="I206" s="14">
        <v>1121.02</v>
      </c>
      <c r="J206" s="14">
        <v>1534.5</v>
      </c>
      <c r="K206" s="15">
        <v>596</v>
      </c>
      <c r="L206" s="15">
        <v>8392076</v>
      </c>
      <c r="M206" t="s" s="13">
        <v>7770</v>
      </c>
      <c r="N206" s="15">
        <v>279320</v>
      </c>
      <c r="O206" s="17" cm="1">
        <f t="array" ref="O206">(H206-H205)/H205</f>
        <v>-0.0602718645806617</v>
      </c>
    </row>
    <row r="207" ht="13.65" customHeight="1">
      <c r="A207" s="18">
        <v>44586</v>
      </c>
      <c r="B207" t="s" s="13">
        <v>22</v>
      </c>
      <c r="C207" s="14">
        <v>1094.7</v>
      </c>
      <c r="D207" s="14">
        <v>1121</v>
      </c>
      <c r="E207" s="14">
        <v>1087.05</v>
      </c>
      <c r="F207" s="14">
        <v>1099.2</v>
      </c>
      <c r="G207" s="14">
        <v>1105.95</v>
      </c>
      <c r="H207" s="14">
        <v>1109.1</v>
      </c>
      <c r="I207" s="14">
        <v>1107.84</v>
      </c>
      <c r="J207" s="14">
        <v>1534.5</v>
      </c>
      <c r="K207" s="15">
        <v>596</v>
      </c>
      <c r="L207" s="15">
        <v>5733063</v>
      </c>
      <c r="M207" t="s" s="13">
        <v>7771</v>
      </c>
      <c r="N207" s="15">
        <v>206703</v>
      </c>
      <c r="O207" s="17" cm="1">
        <f t="array" ref="O207">(H207-H206)/H206</f>
        <v>0.00900655021834061</v>
      </c>
    </row>
    <row r="208" ht="13.65" customHeight="1">
      <c r="A208" s="18">
        <v>44588</v>
      </c>
      <c r="B208" t="s" s="13">
        <v>22</v>
      </c>
      <c r="C208" s="14">
        <v>1090</v>
      </c>
      <c r="D208" s="14">
        <v>1103.45</v>
      </c>
      <c r="E208" s="14">
        <v>1061.3</v>
      </c>
      <c r="F208" s="14">
        <v>1109.1</v>
      </c>
      <c r="G208" s="14">
        <v>1090.65</v>
      </c>
      <c r="H208" s="14">
        <v>1088.35</v>
      </c>
      <c r="I208" s="14">
        <v>1082.03</v>
      </c>
      <c r="J208" s="14">
        <v>1534.5</v>
      </c>
      <c r="K208" s="15">
        <v>596</v>
      </c>
      <c r="L208" s="15">
        <v>9056656</v>
      </c>
      <c r="M208" t="s" s="13">
        <v>7772</v>
      </c>
      <c r="N208" s="15">
        <v>271554</v>
      </c>
      <c r="O208" s="17" cm="1">
        <f t="array" ref="O208">(H208-H207)/H207</f>
        <v>-0.0187088630421062</v>
      </c>
    </row>
    <row r="209" ht="13.65" customHeight="1">
      <c r="A209" s="18">
        <v>44589</v>
      </c>
      <c r="B209" t="s" s="13">
        <v>22</v>
      </c>
      <c r="C209" s="14">
        <v>1105.85</v>
      </c>
      <c r="D209" s="14">
        <v>1125.75</v>
      </c>
      <c r="E209" s="14">
        <v>1080.95</v>
      </c>
      <c r="F209" s="14">
        <v>1088.35</v>
      </c>
      <c r="G209" s="14">
        <v>1086</v>
      </c>
      <c r="H209" s="14">
        <v>1084.65</v>
      </c>
      <c r="I209" s="14">
        <v>1108.99</v>
      </c>
      <c r="J209" s="14">
        <v>1534.5</v>
      </c>
      <c r="K209" s="15">
        <v>596</v>
      </c>
      <c r="L209" s="15">
        <v>7864893</v>
      </c>
      <c r="M209" t="s" s="13">
        <v>7773</v>
      </c>
      <c r="N209" s="15">
        <v>192376</v>
      </c>
      <c r="O209" s="17" cm="1">
        <f t="array" ref="O209">(H209-H208)/H208</f>
        <v>-0.00339964165939266</v>
      </c>
    </row>
    <row r="210" ht="13.65" customHeight="1">
      <c r="A210" s="18">
        <v>44592</v>
      </c>
      <c r="B210" t="s" s="13">
        <v>22</v>
      </c>
      <c r="C210" s="14">
        <v>1109.9</v>
      </c>
      <c r="D210" s="14">
        <v>1114.6</v>
      </c>
      <c r="E210" s="14">
        <v>1080.5</v>
      </c>
      <c r="F210" s="14">
        <v>1084.65</v>
      </c>
      <c r="G210" s="14">
        <v>1085</v>
      </c>
      <c r="H210" s="14">
        <v>1085.55</v>
      </c>
      <c r="I210" s="14">
        <v>1096.19</v>
      </c>
      <c r="J210" s="14">
        <v>1534.5</v>
      </c>
      <c r="K210" s="15">
        <v>597.45</v>
      </c>
      <c r="L210" s="15">
        <v>5570939</v>
      </c>
      <c r="M210" t="s" s="13">
        <v>7774</v>
      </c>
      <c r="N210" s="15">
        <v>172294</v>
      </c>
      <c r="O210" s="17" cm="1">
        <f t="array" ref="O210">(H210-H209)/H209</f>
        <v>0.000829760752316415</v>
      </c>
    </row>
    <row r="211" ht="13.65" customHeight="1">
      <c r="A211" s="12">
        <v>44593</v>
      </c>
      <c r="B211" t="s" s="13">
        <v>22</v>
      </c>
      <c r="C211" s="14">
        <v>1104.9</v>
      </c>
      <c r="D211" s="14">
        <v>1174.45</v>
      </c>
      <c r="E211" s="14">
        <v>1086.4</v>
      </c>
      <c r="F211" s="14">
        <v>1085.55</v>
      </c>
      <c r="G211" s="14">
        <v>1166.55</v>
      </c>
      <c r="H211" s="14">
        <v>1167.35</v>
      </c>
      <c r="I211" s="14">
        <v>1134.27</v>
      </c>
      <c r="J211" s="14">
        <v>1534.5</v>
      </c>
      <c r="K211" s="15">
        <v>597.45</v>
      </c>
      <c r="L211" s="15">
        <v>17075268</v>
      </c>
      <c r="M211" t="s" s="13">
        <v>7775</v>
      </c>
      <c r="N211" s="15">
        <v>364400</v>
      </c>
      <c r="O211" s="17" cm="1">
        <f t="array" ref="O211">(H211-H210)/H210</f>
        <v>0.07535350743862559</v>
      </c>
    </row>
    <row r="212" ht="13.65" customHeight="1">
      <c r="A212" s="12">
        <v>44594</v>
      </c>
      <c r="B212" t="s" s="13">
        <v>22</v>
      </c>
      <c r="C212" s="14">
        <v>1179.9</v>
      </c>
      <c r="D212" s="14">
        <v>1179.9</v>
      </c>
      <c r="E212" s="14">
        <v>1158.3</v>
      </c>
      <c r="F212" s="14">
        <v>1167.35</v>
      </c>
      <c r="G212" s="14">
        <v>1168</v>
      </c>
      <c r="H212" s="14">
        <v>1167.5</v>
      </c>
      <c r="I212" s="14">
        <v>1166.61</v>
      </c>
      <c r="J212" s="14">
        <v>1534.5</v>
      </c>
      <c r="K212" s="15">
        <v>597.45</v>
      </c>
      <c r="L212" s="15">
        <v>7524734</v>
      </c>
      <c r="M212" t="s" s="13">
        <v>7776</v>
      </c>
      <c r="N212" s="15">
        <v>178662</v>
      </c>
      <c r="O212" s="17" cm="1">
        <f t="array" ref="O212">(H212-H211)/H211</f>
        <v>0.000128496166531032</v>
      </c>
    </row>
    <row r="213" ht="13.65" customHeight="1">
      <c r="A213" s="12">
        <v>44595</v>
      </c>
      <c r="B213" t="s" s="13">
        <v>22</v>
      </c>
      <c r="C213" s="14">
        <v>1153</v>
      </c>
      <c r="D213" s="14">
        <v>1181.7</v>
      </c>
      <c r="E213" s="14">
        <v>1146.3</v>
      </c>
      <c r="F213" s="14">
        <v>1167.5</v>
      </c>
      <c r="G213" s="14">
        <v>1163</v>
      </c>
      <c r="H213" s="14">
        <v>1166.6</v>
      </c>
      <c r="I213" s="14">
        <v>1169.68</v>
      </c>
      <c r="J213" s="14">
        <v>1534.5</v>
      </c>
      <c r="K213" s="15">
        <v>597.45</v>
      </c>
      <c r="L213" s="15">
        <v>6514090</v>
      </c>
      <c r="M213" t="s" s="13">
        <v>7777</v>
      </c>
      <c r="N213" s="15">
        <v>151104</v>
      </c>
      <c r="O213" s="17" cm="1">
        <f t="array" ref="O213">(H213-H212)/H212</f>
        <v>-0.000770877944325482</v>
      </c>
    </row>
    <row r="214" ht="13.65" customHeight="1">
      <c r="A214" s="12">
        <v>44596</v>
      </c>
      <c r="B214" t="s" s="13">
        <v>22</v>
      </c>
      <c r="C214" s="14">
        <v>1173.8</v>
      </c>
      <c r="D214" s="14">
        <v>1197.75</v>
      </c>
      <c r="E214" s="14">
        <v>1170.25</v>
      </c>
      <c r="F214" s="14">
        <v>1166.6</v>
      </c>
      <c r="G214" s="14">
        <v>1174.4</v>
      </c>
      <c r="H214" s="14">
        <v>1176.3</v>
      </c>
      <c r="I214" s="14">
        <v>1184.03</v>
      </c>
      <c r="J214" s="14">
        <v>1534.5</v>
      </c>
      <c r="K214" s="15">
        <v>597.45</v>
      </c>
      <c r="L214" s="15">
        <v>9317418</v>
      </c>
      <c r="M214" t="s" s="13">
        <v>7778</v>
      </c>
      <c r="N214" s="15">
        <v>212738</v>
      </c>
      <c r="O214" s="17" cm="1">
        <f t="array" ref="O214">(H214-H213)/H213</f>
        <v>0.00831476084347677</v>
      </c>
    </row>
    <row r="215" ht="13.65" customHeight="1">
      <c r="A215" s="12">
        <v>44599</v>
      </c>
      <c r="B215" t="s" s="13">
        <v>22</v>
      </c>
      <c r="C215" s="14">
        <v>1168.3</v>
      </c>
      <c r="D215" s="14">
        <v>1214.6</v>
      </c>
      <c r="E215" s="14">
        <v>1161</v>
      </c>
      <c r="F215" s="14">
        <v>1176.3</v>
      </c>
      <c r="G215" s="14">
        <v>1184.95</v>
      </c>
      <c r="H215" s="14">
        <v>1183</v>
      </c>
      <c r="I215" s="14">
        <v>1194.31</v>
      </c>
      <c r="J215" s="14">
        <v>1534.5</v>
      </c>
      <c r="K215" s="15">
        <v>655.95</v>
      </c>
      <c r="L215" s="15">
        <v>14510525</v>
      </c>
      <c r="M215" t="s" s="13">
        <v>7779</v>
      </c>
      <c r="N215" s="15">
        <v>321698</v>
      </c>
      <c r="O215" s="17" cm="1">
        <f t="array" ref="O215">(H215-H214)/H214</f>
        <v>0.00569582589475474</v>
      </c>
    </row>
    <row r="216" ht="13.65" customHeight="1">
      <c r="A216" s="12">
        <v>44600</v>
      </c>
      <c r="B216" t="s" s="13">
        <v>22</v>
      </c>
      <c r="C216" s="14">
        <v>1195</v>
      </c>
      <c r="D216" s="14">
        <v>1222.4</v>
      </c>
      <c r="E216" s="14">
        <v>1171.5</v>
      </c>
      <c r="F216" s="14">
        <v>1183</v>
      </c>
      <c r="G216" s="14">
        <v>1219.5</v>
      </c>
      <c r="H216" s="14">
        <v>1219.6</v>
      </c>
      <c r="I216" s="14">
        <v>1202.55</v>
      </c>
      <c r="J216" s="14">
        <v>1534.5</v>
      </c>
      <c r="K216" s="15">
        <v>655.95</v>
      </c>
      <c r="L216" s="15">
        <v>14083984</v>
      </c>
      <c r="M216" t="s" s="13">
        <v>7780</v>
      </c>
      <c r="N216" s="15">
        <v>316614</v>
      </c>
      <c r="O216" s="17" cm="1">
        <f t="array" ref="O216">(H216-H215)/H215</f>
        <v>0.030938292476754</v>
      </c>
    </row>
    <row r="217" ht="13.65" customHeight="1">
      <c r="A217" s="12">
        <v>44601</v>
      </c>
      <c r="B217" t="s" s="13">
        <v>22</v>
      </c>
      <c r="C217" s="14">
        <v>1231</v>
      </c>
      <c r="D217" s="14">
        <v>1234</v>
      </c>
      <c r="E217" s="14">
        <v>1208.15</v>
      </c>
      <c r="F217" s="14">
        <v>1219.6</v>
      </c>
      <c r="G217" s="14">
        <v>1218</v>
      </c>
      <c r="H217" s="14">
        <v>1222.35</v>
      </c>
      <c r="I217" s="14">
        <v>1219.8</v>
      </c>
      <c r="J217" s="14">
        <v>1534.5</v>
      </c>
      <c r="K217" s="15">
        <v>655.95</v>
      </c>
      <c r="L217" s="15">
        <v>7352060</v>
      </c>
      <c r="M217" t="s" s="13">
        <v>7781</v>
      </c>
      <c r="N217" s="15">
        <v>167342</v>
      </c>
      <c r="O217" s="17" cm="1">
        <f t="array" ref="O217">(H217-H216)/H216</f>
        <v>0.00225483765168908</v>
      </c>
    </row>
    <row r="218" ht="13.65" customHeight="1">
      <c r="A218" s="18">
        <v>44602</v>
      </c>
      <c r="B218" t="s" s="13">
        <v>22</v>
      </c>
      <c r="C218" s="14">
        <v>1230</v>
      </c>
      <c r="D218" s="14">
        <v>1254.25</v>
      </c>
      <c r="E218" s="14">
        <v>1226</v>
      </c>
      <c r="F218" s="14">
        <v>1222.35</v>
      </c>
      <c r="G218" s="14">
        <v>1247.3</v>
      </c>
      <c r="H218" s="14">
        <v>1248.35</v>
      </c>
      <c r="I218" s="14">
        <v>1244.12</v>
      </c>
      <c r="J218" s="14">
        <v>1534.5</v>
      </c>
      <c r="K218" s="15">
        <v>655.95</v>
      </c>
      <c r="L218" s="15">
        <v>9392057</v>
      </c>
      <c r="M218" t="s" s="13">
        <v>7782</v>
      </c>
      <c r="N218" s="15">
        <v>222188</v>
      </c>
      <c r="O218" s="17" cm="1">
        <f t="array" ref="O218">(H218-H217)/H217</f>
        <v>0.0212705035382665</v>
      </c>
    </row>
    <row r="219" ht="13.65" customHeight="1">
      <c r="A219" s="18">
        <v>44603</v>
      </c>
      <c r="B219" t="s" s="13">
        <v>22</v>
      </c>
      <c r="C219" s="14">
        <v>1239</v>
      </c>
      <c r="D219" s="14">
        <v>1264.95</v>
      </c>
      <c r="E219" s="14">
        <v>1233.1</v>
      </c>
      <c r="F219" s="14">
        <v>1248.35</v>
      </c>
      <c r="G219" s="14">
        <v>1251.8</v>
      </c>
      <c r="H219" s="14">
        <v>1254.45</v>
      </c>
      <c r="I219" s="14">
        <v>1252.44</v>
      </c>
      <c r="J219" s="14">
        <v>1534.5</v>
      </c>
      <c r="K219" s="15">
        <v>655.95</v>
      </c>
      <c r="L219" s="15">
        <v>9676226</v>
      </c>
      <c r="M219" t="s" s="13">
        <v>7783</v>
      </c>
      <c r="N219" s="15">
        <v>211755</v>
      </c>
      <c r="O219" s="17" cm="1">
        <f t="array" ref="O219">(H219-H218)/H218</f>
        <v>0.00488645011415068</v>
      </c>
    </row>
    <row r="220" ht="13.65" customHeight="1">
      <c r="A220" s="18">
        <v>44606</v>
      </c>
      <c r="B220" t="s" s="13">
        <v>22</v>
      </c>
      <c r="C220" s="14">
        <v>1220.1</v>
      </c>
      <c r="D220" s="14">
        <v>1227.75</v>
      </c>
      <c r="E220" s="14">
        <v>1180.1</v>
      </c>
      <c r="F220" s="14">
        <v>1254.45</v>
      </c>
      <c r="G220" s="14">
        <v>1183.25</v>
      </c>
      <c r="H220" s="14">
        <v>1186.85</v>
      </c>
      <c r="I220" s="14">
        <v>1202.85</v>
      </c>
      <c r="J220" s="14">
        <v>1534.5</v>
      </c>
      <c r="K220" s="15">
        <v>655.95</v>
      </c>
      <c r="L220" s="15">
        <v>8021613</v>
      </c>
      <c r="M220" t="s" s="13">
        <v>7784</v>
      </c>
      <c r="N220" s="15">
        <v>211234</v>
      </c>
      <c r="O220" s="17" cm="1">
        <f t="array" ref="O220">(H220-H219)/H219</f>
        <v>-0.0538881581569612</v>
      </c>
    </row>
    <row r="221" ht="13.65" customHeight="1">
      <c r="A221" s="18">
        <v>44607</v>
      </c>
      <c r="B221" t="s" s="13">
        <v>22</v>
      </c>
      <c r="C221" s="14">
        <v>1196.85</v>
      </c>
      <c r="D221" s="14">
        <v>1212</v>
      </c>
      <c r="E221" s="14">
        <v>1151.55</v>
      </c>
      <c r="F221" s="14">
        <v>1186.85</v>
      </c>
      <c r="G221" s="14">
        <v>1204.95</v>
      </c>
      <c r="H221" s="14">
        <v>1207.75</v>
      </c>
      <c r="I221" s="14">
        <v>1179.18</v>
      </c>
      <c r="J221" s="14">
        <v>1534.5</v>
      </c>
      <c r="K221" s="15">
        <v>655.95</v>
      </c>
      <c r="L221" s="15">
        <v>10188921</v>
      </c>
      <c r="M221" t="s" s="13">
        <v>7785</v>
      </c>
      <c r="N221" s="15">
        <v>238309</v>
      </c>
      <c r="O221" s="17" cm="1">
        <f t="array" ref="O221">(H221-H220)/H220</f>
        <v>0.017609638960273</v>
      </c>
    </row>
    <row r="222" ht="13.65" customHeight="1">
      <c r="A222" s="18">
        <v>44608</v>
      </c>
      <c r="B222" t="s" s="13">
        <v>22</v>
      </c>
      <c r="C222" s="14">
        <v>1215</v>
      </c>
      <c r="D222" s="14">
        <v>1217.9</v>
      </c>
      <c r="E222" s="14">
        <v>1186.5</v>
      </c>
      <c r="F222" s="14">
        <v>1207.75</v>
      </c>
      <c r="G222" s="14">
        <v>1187.95</v>
      </c>
      <c r="H222" s="14">
        <v>1191.8</v>
      </c>
      <c r="I222" s="14">
        <v>1199.11</v>
      </c>
      <c r="J222" s="14">
        <v>1534.5</v>
      </c>
      <c r="K222" s="15">
        <v>655.95</v>
      </c>
      <c r="L222" s="15">
        <v>6609214</v>
      </c>
      <c r="M222" t="s" s="13">
        <v>7786</v>
      </c>
      <c r="N222" s="15">
        <v>171088</v>
      </c>
      <c r="O222" s="17" cm="1">
        <f t="array" ref="O222">(H222-H221)/H221</f>
        <v>-0.0132063754916166</v>
      </c>
    </row>
    <row r="223" ht="13.65" customHeight="1">
      <c r="A223" s="18">
        <v>44609</v>
      </c>
      <c r="B223" t="s" s="13">
        <v>22</v>
      </c>
      <c r="C223" s="14">
        <v>1201.1</v>
      </c>
      <c r="D223" s="14">
        <v>1209.5</v>
      </c>
      <c r="E223" s="14">
        <v>1186.15</v>
      </c>
      <c r="F223" s="14">
        <v>1191.8</v>
      </c>
      <c r="G223" s="14">
        <v>1190</v>
      </c>
      <c r="H223" s="14">
        <v>1190.95</v>
      </c>
      <c r="I223" s="14">
        <v>1197.29</v>
      </c>
      <c r="J223" s="14">
        <v>1534.5</v>
      </c>
      <c r="K223" s="15">
        <v>655.95</v>
      </c>
      <c r="L223" s="15">
        <v>5655792</v>
      </c>
      <c r="M223" t="s" s="13">
        <v>7787</v>
      </c>
      <c r="N223" s="15">
        <v>117118</v>
      </c>
      <c r="O223" s="17" cm="1">
        <f t="array" ref="O223">(H223-H222)/H222</f>
        <v>-0.00071320691391173</v>
      </c>
    </row>
    <row r="224" ht="13.65" customHeight="1">
      <c r="A224" s="18">
        <v>44610</v>
      </c>
      <c r="B224" t="s" s="13">
        <v>22</v>
      </c>
      <c r="C224" s="14">
        <v>1187</v>
      </c>
      <c r="D224" s="14">
        <v>1205</v>
      </c>
      <c r="E224" s="14">
        <v>1183</v>
      </c>
      <c r="F224" s="14">
        <v>1190.95</v>
      </c>
      <c r="G224" s="14">
        <v>1191</v>
      </c>
      <c r="H224" s="14">
        <v>1190.8</v>
      </c>
      <c r="I224" s="14">
        <v>1196.74</v>
      </c>
      <c r="J224" s="14">
        <v>1534.5</v>
      </c>
      <c r="K224" s="15">
        <v>655.95</v>
      </c>
      <c r="L224" s="15">
        <v>4725120</v>
      </c>
      <c r="M224" t="s" s="13">
        <v>7788</v>
      </c>
      <c r="N224" s="15">
        <v>119821</v>
      </c>
      <c r="O224" s="17" cm="1">
        <f t="array" ref="O224">(H224-H223)/H223</f>
        <v>-0.000125949871950964</v>
      </c>
    </row>
    <row r="225" ht="13.65" customHeight="1">
      <c r="A225" s="18">
        <v>44613</v>
      </c>
      <c r="B225" t="s" s="13">
        <v>22</v>
      </c>
      <c r="C225" s="14">
        <v>1188</v>
      </c>
      <c r="D225" s="14">
        <v>1202</v>
      </c>
      <c r="E225" s="14">
        <v>1174.4</v>
      </c>
      <c r="F225" s="14">
        <v>1190.8</v>
      </c>
      <c r="G225" s="14">
        <v>1181</v>
      </c>
      <c r="H225" s="14">
        <v>1181.85</v>
      </c>
      <c r="I225" s="14">
        <v>1188.32</v>
      </c>
      <c r="J225" s="14">
        <v>1534.5</v>
      </c>
      <c r="K225" s="15">
        <v>670.85</v>
      </c>
      <c r="L225" s="15">
        <v>4978732</v>
      </c>
      <c r="M225" t="s" s="13">
        <v>7789</v>
      </c>
      <c r="N225" s="15">
        <v>117333</v>
      </c>
      <c r="O225" s="17" cm="1">
        <f t="array" ref="O225">(H225-H224)/H224</f>
        <v>-0.00751595566006046</v>
      </c>
    </row>
    <row r="226" ht="13.65" customHeight="1">
      <c r="A226" s="18">
        <v>44614</v>
      </c>
      <c r="B226" t="s" s="13">
        <v>22</v>
      </c>
      <c r="C226" s="14">
        <v>1158</v>
      </c>
      <c r="D226" s="14">
        <v>1166.65</v>
      </c>
      <c r="E226" s="14">
        <v>1119.25</v>
      </c>
      <c r="F226" s="14">
        <v>1181.85</v>
      </c>
      <c r="G226" s="14">
        <v>1134</v>
      </c>
      <c r="H226" s="14">
        <v>1138.7</v>
      </c>
      <c r="I226" s="14">
        <v>1141.03</v>
      </c>
      <c r="J226" s="14">
        <v>1534.5</v>
      </c>
      <c r="K226" s="15">
        <v>670.85</v>
      </c>
      <c r="L226" s="15">
        <v>9385857</v>
      </c>
      <c r="M226" t="s" s="13">
        <v>7790</v>
      </c>
      <c r="N226" s="15">
        <v>222627</v>
      </c>
      <c r="O226" s="17" cm="1">
        <f t="array" ref="O226">(H226-H225)/H225</f>
        <v>-0.0365105554850446</v>
      </c>
    </row>
    <row r="227" ht="13.65" customHeight="1">
      <c r="A227" s="18">
        <v>44615</v>
      </c>
      <c r="B227" t="s" s="13">
        <v>22</v>
      </c>
      <c r="C227" s="14">
        <v>1148</v>
      </c>
      <c r="D227" s="14">
        <v>1152.6</v>
      </c>
      <c r="E227" s="14">
        <v>1134</v>
      </c>
      <c r="F227" s="14">
        <v>1138.7</v>
      </c>
      <c r="G227" s="14">
        <v>1137.9</v>
      </c>
      <c r="H227" s="14">
        <v>1139</v>
      </c>
      <c r="I227" s="14">
        <v>1143.6</v>
      </c>
      <c r="J227" s="14">
        <v>1534.5</v>
      </c>
      <c r="K227" s="15">
        <v>670.85</v>
      </c>
      <c r="L227" s="15">
        <v>4960838</v>
      </c>
      <c r="M227" t="s" s="13">
        <v>7791</v>
      </c>
      <c r="N227" s="15">
        <v>129498</v>
      </c>
      <c r="O227" s="17" cm="1">
        <f t="array" ref="O227">(H227-H226)/H226</f>
        <v>0.00026345832967419</v>
      </c>
    </row>
    <row r="228" ht="13.65" customHeight="1">
      <c r="A228" s="18">
        <v>44616</v>
      </c>
      <c r="B228" t="s" s="13">
        <v>22</v>
      </c>
      <c r="C228" s="14">
        <v>1094</v>
      </c>
      <c r="D228" s="14">
        <v>1119.95</v>
      </c>
      <c r="E228" s="14">
        <v>1067.1</v>
      </c>
      <c r="F228" s="14">
        <v>1139</v>
      </c>
      <c r="G228" s="14">
        <v>1079</v>
      </c>
      <c r="H228" s="14">
        <v>1074</v>
      </c>
      <c r="I228" s="14">
        <v>1095.75</v>
      </c>
      <c r="J228" s="14">
        <v>1534.5</v>
      </c>
      <c r="K228" s="15">
        <v>670.85</v>
      </c>
      <c r="L228" s="15">
        <v>12126867</v>
      </c>
      <c r="M228" t="s" s="13">
        <v>7792</v>
      </c>
      <c r="N228" s="15">
        <v>324643</v>
      </c>
      <c r="O228" s="17" cm="1">
        <f t="array" ref="O228">(H228-H227)/H227</f>
        <v>-0.0570676031606673</v>
      </c>
    </row>
    <row r="229" ht="13.65" customHeight="1">
      <c r="A229" s="18">
        <v>44617</v>
      </c>
      <c r="B229" t="s" s="13">
        <v>22</v>
      </c>
      <c r="C229" s="14">
        <v>1097.7</v>
      </c>
      <c r="D229" s="14">
        <v>1150.7</v>
      </c>
      <c r="E229" s="14">
        <v>1095.6</v>
      </c>
      <c r="F229" s="14">
        <v>1074</v>
      </c>
      <c r="G229" s="14">
        <v>1144.95</v>
      </c>
      <c r="H229" s="14">
        <v>1145.35</v>
      </c>
      <c r="I229" s="14">
        <v>1136.16</v>
      </c>
      <c r="J229" s="14">
        <v>1534.5</v>
      </c>
      <c r="K229" s="15">
        <v>670.85</v>
      </c>
      <c r="L229" s="15">
        <v>9212886</v>
      </c>
      <c r="M229" t="s" s="13">
        <v>7793</v>
      </c>
      <c r="N229" s="15">
        <v>226899</v>
      </c>
      <c r="O229" s="17" cm="1">
        <f t="array" ref="O229">(H229-H228)/H228</f>
        <v>0.0664338919925512</v>
      </c>
    </row>
    <row r="230" ht="13.65" customHeight="1">
      <c r="A230" s="18">
        <v>44620</v>
      </c>
      <c r="B230" t="s" s="13">
        <v>22</v>
      </c>
      <c r="C230" s="14">
        <v>1134</v>
      </c>
      <c r="D230" s="14">
        <v>1225</v>
      </c>
      <c r="E230" s="14">
        <v>1129.2</v>
      </c>
      <c r="F230" s="14">
        <v>1145.35</v>
      </c>
      <c r="G230" s="14">
        <v>1217.9</v>
      </c>
      <c r="H230" s="14">
        <v>1220.75</v>
      </c>
      <c r="I230" s="14">
        <v>1196.83</v>
      </c>
      <c r="J230" s="14">
        <v>1534.5</v>
      </c>
      <c r="K230" s="15">
        <v>681.25</v>
      </c>
      <c r="L230" s="15">
        <v>17605446</v>
      </c>
      <c r="M230" t="s" s="13">
        <v>7794</v>
      </c>
      <c r="N230" s="15">
        <v>408543</v>
      </c>
      <c r="O230" s="17" cm="1">
        <f t="array" ref="O230">(H230-H229)/H229</f>
        <v>0.0658314052473043</v>
      </c>
    </row>
    <row r="231" ht="13.65" customHeight="1">
      <c r="A231" s="12">
        <v>44622</v>
      </c>
      <c r="B231" t="s" s="13">
        <v>22</v>
      </c>
      <c r="C231" s="14">
        <v>1220.75</v>
      </c>
      <c r="D231" s="14">
        <v>1299.6</v>
      </c>
      <c r="E231" s="14">
        <v>1218.55</v>
      </c>
      <c r="F231" s="14">
        <v>1220.75</v>
      </c>
      <c r="G231" s="14">
        <v>1288.75</v>
      </c>
      <c r="H231" s="14">
        <v>1289.35</v>
      </c>
      <c r="I231" s="14">
        <v>1280.64</v>
      </c>
      <c r="J231" s="14">
        <v>1534.5</v>
      </c>
      <c r="K231" s="15">
        <v>681.25</v>
      </c>
      <c r="L231" s="15">
        <v>24847532</v>
      </c>
      <c r="M231" t="s" s="13">
        <v>7795</v>
      </c>
      <c r="N231" s="15">
        <v>612717</v>
      </c>
      <c r="O231" s="17" cm="1">
        <f t="array" ref="O231">(H231-H230)/H230</f>
        <v>0.0561949621134548</v>
      </c>
    </row>
    <row r="232" ht="13.65" customHeight="1">
      <c r="A232" s="12">
        <v>44623</v>
      </c>
      <c r="B232" t="s" s="13">
        <v>22</v>
      </c>
      <c r="C232" s="14">
        <v>1306</v>
      </c>
      <c r="D232" s="14">
        <v>1328.65</v>
      </c>
      <c r="E232" s="14">
        <v>1293.65</v>
      </c>
      <c r="F232" s="14">
        <v>1289.35</v>
      </c>
      <c r="G232" s="14">
        <v>1303</v>
      </c>
      <c r="H232" s="14">
        <v>1303.3</v>
      </c>
      <c r="I232" s="14">
        <v>1309.97</v>
      </c>
      <c r="J232" s="14">
        <v>1534.5</v>
      </c>
      <c r="K232" s="15">
        <v>681.25</v>
      </c>
      <c r="L232" s="15">
        <v>17450338</v>
      </c>
      <c r="M232" t="s" s="13">
        <v>7796</v>
      </c>
      <c r="N232" s="15">
        <v>528049</v>
      </c>
      <c r="O232" s="17" cm="1">
        <f t="array" ref="O232">(H232-H231)/H231</f>
        <v>0.0108194051266142</v>
      </c>
    </row>
    <row r="233" ht="13.65" customHeight="1">
      <c r="A233" s="12">
        <v>44624</v>
      </c>
      <c r="B233" t="s" s="13">
        <v>22</v>
      </c>
      <c r="C233" s="14">
        <v>1302.4</v>
      </c>
      <c r="D233" s="14">
        <v>1319.85</v>
      </c>
      <c r="E233" s="14">
        <v>1273</v>
      </c>
      <c r="F233" s="14">
        <v>1303.3</v>
      </c>
      <c r="G233" s="14">
        <v>1277</v>
      </c>
      <c r="H233" s="14">
        <v>1277.1</v>
      </c>
      <c r="I233" s="14">
        <v>1297.98</v>
      </c>
      <c r="J233" s="14">
        <v>1534.5</v>
      </c>
      <c r="K233" s="15">
        <v>681.25</v>
      </c>
      <c r="L233" s="15">
        <v>16282923</v>
      </c>
      <c r="M233" t="s" s="13">
        <v>7797</v>
      </c>
      <c r="N233" s="15">
        <v>498851</v>
      </c>
      <c r="O233" s="17" cm="1">
        <f t="array" ref="O233">(H233-H232)/H232</f>
        <v>-0.0201028159287961</v>
      </c>
    </row>
    <row r="234" ht="13.65" customHeight="1">
      <c r="A234" s="12">
        <v>44627</v>
      </c>
      <c r="B234" t="s" s="13">
        <v>22</v>
      </c>
      <c r="C234" s="14">
        <v>1275.9</v>
      </c>
      <c r="D234" s="14">
        <v>1301.8</v>
      </c>
      <c r="E234" s="14">
        <v>1264</v>
      </c>
      <c r="F234" s="14">
        <v>1277.1</v>
      </c>
      <c r="G234" s="14">
        <v>1293</v>
      </c>
      <c r="H234" s="14">
        <v>1291.9</v>
      </c>
      <c r="I234" s="14">
        <v>1279.85</v>
      </c>
      <c r="J234" s="14">
        <v>1534.5</v>
      </c>
      <c r="K234" s="15">
        <v>681.25</v>
      </c>
      <c r="L234" s="15">
        <v>11040001</v>
      </c>
      <c r="M234" t="s" s="13">
        <v>7798</v>
      </c>
      <c r="N234" s="15">
        <v>289960</v>
      </c>
      <c r="O234" s="17" cm="1">
        <f t="array" ref="O234">(H234-H233)/H233</f>
        <v>0.0115887557748023</v>
      </c>
    </row>
    <row r="235" ht="13.65" customHeight="1">
      <c r="A235" s="12">
        <v>44628</v>
      </c>
      <c r="B235" t="s" s="13">
        <v>22</v>
      </c>
      <c r="C235" s="14">
        <v>1293</v>
      </c>
      <c r="D235" s="14">
        <v>1294</v>
      </c>
      <c r="E235" s="14">
        <v>1244</v>
      </c>
      <c r="F235" s="14">
        <v>1291.9</v>
      </c>
      <c r="G235" s="14">
        <v>1265.9</v>
      </c>
      <c r="H235" s="14">
        <v>1269.5</v>
      </c>
      <c r="I235" s="14">
        <v>1263.11</v>
      </c>
      <c r="J235" s="14">
        <v>1534.5</v>
      </c>
      <c r="K235" s="15">
        <v>681.25</v>
      </c>
      <c r="L235" s="15">
        <v>9107822</v>
      </c>
      <c r="M235" t="s" s="13">
        <v>7799</v>
      </c>
      <c r="N235" s="15">
        <v>248719</v>
      </c>
      <c r="O235" s="17" cm="1">
        <f t="array" ref="O235">(H235-H234)/H234</f>
        <v>-0.0173388033129499</v>
      </c>
    </row>
    <row r="236" ht="13.65" customHeight="1">
      <c r="A236" s="12">
        <v>44629</v>
      </c>
      <c r="B236" t="s" s="13">
        <v>22</v>
      </c>
      <c r="C236" s="14">
        <v>1273.9</v>
      </c>
      <c r="D236" s="14">
        <v>1276.8</v>
      </c>
      <c r="E236" s="14">
        <v>1248.6</v>
      </c>
      <c r="F236" s="14">
        <v>1269.5</v>
      </c>
      <c r="G236" s="14">
        <v>1255.55</v>
      </c>
      <c r="H236" s="14">
        <v>1255.35</v>
      </c>
      <c r="I236" s="14">
        <v>1260.29</v>
      </c>
      <c r="J236" s="14">
        <v>1534.5</v>
      </c>
      <c r="K236" s="15">
        <v>681.25</v>
      </c>
      <c r="L236" s="15">
        <v>6934888</v>
      </c>
      <c r="M236" t="s" s="13">
        <v>7800</v>
      </c>
      <c r="N236" s="15">
        <v>180250</v>
      </c>
      <c r="O236" s="17" cm="1">
        <f t="array" ref="O236">(H236-H235)/H235</f>
        <v>-0.0111461205198897</v>
      </c>
    </row>
    <row r="237" ht="13.65" customHeight="1">
      <c r="A237" s="18">
        <v>44630</v>
      </c>
      <c r="B237" t="s" s="13">
        <v>22</v>
      </c>
      <c r="C237" s="14">
        <v>1257.85</v>
      </c>
      <c r="D237" s="14">
        <v>1313.8</v>
      </c>
      <c r="E237" s="14">
        <v>1241</v>
      </c>
      <c r="F237" s="14">
        <v>1255.35</v>
      </c>
      <c r="G237" s="14">
        <v>1309.35</v>
      </c>
      <c r="H237" s="14">
        <v>1308.7</v>
      </c>
      <c r="I237" s="14">
        <v>1280.13</v>
      </c>
      <c r="J237" s="14">
        <v>1534.5</v>
      </c>
      <c r="K237" s="15">
        <v>681.25</v>
      </c>
      <c r="L237" s="15">
        <v>13674062</v>
      </c>
      <c r="M237" t="s" s="13">
        <v>7801</v>
      </c>
      <c r="N237" s="15">
        <v>288992</v>
      </c>
      <c r="O237" s="17" cm="1">
        <f t="array" ref="O237">(H237-H236)/H236</f>
        <v>0.0424981080973434</v>
      </c>
    </row>
    <row r="238" ht="13.65" customHeight="1">
      <c r="A238" s="18">
        <v>44631</v>
      </c>
      <c r="B238" t="s" s="13">
        <v>22</v>
      </c>
      <c r="C238" s="14">
        <v>1315</v>
      </c>
      <c r="D238" s="14">
        <v>1339.9</v>
      </c>
      <c r="E238" s="14">
        <v>1296.2</v>
      </c>
      <c r="F238" s="14">
        <v>1308.7</v>
      </c>
      <c r="G238" s="14">
        <v>1298.5</v>
      </c>
      <c r="H238" s="14">
        <v>1301.7</v>
      </c>
      <c r="I238" s="14">
        <v>1316.2</v>
      </c>
      <c r="J238" s="14">
        <v>1534.5</v>
      </c>
      <c r="K238" s="15">
        <v>681.25</v>
      </c>
      <c r="L238" s="15">
        <v>11882299</v>
      </c>
      <c r="M238" t="s" s="13">
        <v>7802</v>
      </c>
      <c r="N238" s="15">
        <v>283313</v>
      </c>
      <c r="O238" s="17" cm="1">
        <f t="array" ref="O238">(H238-H237)/H237</f>
        <v>-0.00534881943913808</v>
      </c>
    </row>
    <row r="239" ht="13.65" customHeight="1">
      <c r="A239" s="18">
        <v>44634</v>
      </c>
      <c r="B239" t="s" s="13">
        <v>22</v>
      </c>
      <c r="C239" s="14">
        <v>1305</v>
      </c>
      <c r="D239" s="14">
        <v>1311.7</v>
      </c>
      <c r="E239" s="14">
        <v>1277.7</v>
      </c>
      <c r="F239" s="14">
        <v>1301.7</v>
      </c>
      <c r="G239" s="14">
        <v>1298.6</v>
      </c>
      <c r="H239" s="14">
        <v>1297</v>
      </c>
      <c r="I239" s="14">
        <v>1293.34</v>
      </c>
      <c r="J239" s="14">
        <v>1534.5</v>
      </c>
      <c r="K239" s="15">
        <v>681.25</v>
      </c>
      <c r="L239" s="15">
        <v>5278082</v>
      </c>
      <c r="M239" t="s" s="13">
        <v>7803</v>
      </c>
      <c r="N239" s="15">
        <v>155247</v>
      </c>
      <c r="O239" s="17" cm="1">
        <f t="array" ref="O239">(H239-H238)/H238</f>
        <v>-0.00361066297918107</v>
      </c>
    </row>
    <row r="240" ht="13.65" customHeight="1">
      <c r="A240" s="18">
        <v>44635</v>
      </c>
      <c r="B240" t="s" s="13">
        <v>22</v>
      </c>
      <c r="C240" s="14">
        <v>1291.8</v>
      </c>
      <c r="D240" s="14">
        <v>1293</v>
      </c>
      <c r="E240" s="14">
        <v>1228</v>
      </c>
      <c r="F240" s="14">
        <v>1297</v>
      </c>
      <c r="G240" s="14">
        <v>1229.05</v>
      </c>
      <c r="H240" s="14">
        <v>1233.75</v>
      </c>
      <c r="I240" s="14">
        <v>1251.97</v>
      </c>
      <c r="J240" s="14">
        <v>1534.5</v>
      </c>
      <c r="K240" s="15">
        <v>681.25</v>
      </c>
      <c r="L240" s="15">
        <v>9614313</v>
      </c>
      <c r="M240" t="s" s="13">
        <v>7804</v>
      </c>
      <c r="N240" s="15">
        <v>289968</v>
      </c>
      <c r="O240" s="17" cm="1">
        <f t="array" ref="O240">(H240-H239)/H239</f>
        <v>-0.0487663839629915</v>
      </c>
    </row>
    <row r="241" ht="13.65" customHeight="1">
      <c r="A241" s="18">
        <v>44636</v>
      </c>
      <c r="B241" t="s" s="13">
        <v>22</v>
      </c>
      <c r="C241" s="14">
        <v>1245</v>
      </c>
      <c r="D241" s="14">
        <v>1271.2</v>
      </c>
      <c r="E241" s="14">
        <v>1240.2</v>
      </c>
      <c r="F241" s="14">
        <v>1233.75</v>
      </c>
      <c r="G241" s="14">
        <v>1262</v>
      </c>
      <c r="H241" s="14">
        <v>1265.25</v>
      </c>
      <c r="I241" s="14">
        <v>1258.54</v>
      </c>
      <c r="J241" s="14">
        <v>1534.5</v>
      </c>
      <c r="K241" s="15">
        <v>681.25</v>
      </c>
      <c r="L241" s="15">
        <v>6302451</v>
      </c>
      <c r="M241" t="s" s="13">
        <v>7805</v>
      </c>
      <c r="N241" s="15">
        <v>162595</v>
      </c>
      <c r="O241" s="17" cm="1">
        <f t="array" ref="O241">(H241-H240)/H240</f>
        <v>0.025531914893617</v>
      </c>
    </row>
    <row r="242" ht="13.65" customHeight="1">
      <c r="A242" s="18">
        <v>44637</v>
      </c>
      <c r="B242" t="s" s="13">
        <v>22</v>
      </c>
      <c r="C242" s="14">
        <v>1275</v>
      </c>
      <c r="D242" s="14">
        <v>1317.8</v>
      </c>
      <c r="E242" s="14">
        <v>1271.1</v>
      </c>
      <c r="F242" s="14">
        <v>1265.25</v>
      </c>
      <c r="G242" s="14">
        <v>1300.05</v>
      </c>
      <c r="H242" s="14">
        <v>1303.45</v>
      </c>
      <c r="I242" s="14">
        <v>1297.78</v>
      </c>
      <c r="J242" s="14">
        <v>1534.5</v>
      </c>
      <c r="K242" s="15">
        <v>681.25</v>
      </c>
      <c r="L242" s="15">
        <v>10623976</v>
      </c>
      <c r="M242" t="s" s="13">
        <v>7806</v>
      </c>
      <c r="N242" s="15">
        <v>211990</v>
      </c>
      <c r="O242" s="17" cm="1">
        <f t="array" ref="O242">(H242-H241)/H241</f>
        <v>0.0301916617269314</v>
      </c>
    </row>
    <row r="243" ht="13.65" customHeight="1">
      <c r="A243" s="18">
        <v>44641</v>
      </c>
      <c r="B243" t="s" s="13">
        <v>22</v>
      </c>
      <c r="C243" s="14">
        <v>1308</v>
      </c>
      <c r="D243" s="14">
        <v>1334</v>
      </c>
      <c r="E243" s="14">
        <v>1294.5</v>
      </c>
      <c r="F243" s="14">
        <v>1303.45</v>
      </c>
      <c r="G243" s="14">
        <v>1296</v>
      </c>
      <c r="H243" s="14">
        <v>1302.95</v>
      </c>
      <c r="I243" s="14">
        <v>1318.78</v>
      </c>
      <c r="J243" s="14">
        <v>1534.5</v>
      </c>
      <c r="K243" s="15">
        <v>688.35</v>
      </c>
      <c r="L243" s="15">
        <v>8422763</v>
      </c>
      <c r="M243" t="s" s="13">
        <v>7807</v>
      </c>
      <c r="N243" s="15">
        <v>183002</v>
      </c>
      <c r="O243" s="17" cm="1">
        <f t="array" ref="O243">(H243-H242)/H242</f>
        <v>-0.000383597376193947</v>
      </c>
    </row>
    <row r="244" ht="13.65" customHeight="1">
      <c r="A244" s="18">
        <v>44642</v>
      </c>
      <c r="B244" t="s" s="13">
        <v>22</v>
      </c>
      <c r="C244" s="14">
        <v>1320</v>
      </c>
      <c r="D244" s="14">
        <v>1330</v>
      </c>
      <c r="E244" s="14">
        <v>1288.05</v>
      </c>
      <c r="F244" s="14">
        <v>1302.95</v>
      </c>
      <c r="G244" s="14">
        <v>1308</v>
      </c>
      <c r="H244" s="14">
        <v>1302</v>
      </c>
      <c r="I244" s="14">
        <v>1308.02</v>
      </c>
      <c r="J244" s="14">
        <v>1534.5</v>
      </c>
      <c r="K244" s="15">
        <v>688.35</v>
      </c>
      <c r="L244" s="15">
        <v>8179588</v>
      </c>
      <c r="M244" t="s" s="13">
        <v>7808</v>
      </c>
      <c r="N244" s="15">
        <v>179422</v>
      </c>
      <c r="O244" s="17" cm="1">
        <f t="array" ref="O244">(H244-H243)/H243</f>
        <v>-0.000729114701254845</v>
      </c>
    </row>
    <row r="245" ht="13.65" customHeight="1">
      <c r="A245" s="18">
        <v>44643</v>
      </c>
      <c r="B245" t="s" s="13">
        <v>22</v>
      </c>
      <c r="C245" s="14">
        <v>1324</v>
      </c>
      <c r="D245" s="14">
        <v>1347.8</v>
      </c>
      <c r="E245" s="14">
        <v>1292.35</v>
      </c>
      <c r="F245" s="14">
        <v>1302</v>
      </c>
      <c r="G245" s="14">
        <v>1328.55</v>
      </c>
      <c r="H245" s="14">
        <v>1331</v>
      </c>
      <c r="I245" s="14">
        <v>1321.71</v>
      </c>
      <c r="J245" s="14">
        <v>1534.5</v>
      </c>
      <c r="K245" s="15">
        <v>688.35</v>
      </c>
      <c r="L245" s="15">
        <v>13055238</v>
      </c>
      <c r="M245" t="s" s="13">
        <v>7809</v>
      </c>
      <c r="N245" s="15">
        <v>259263</v>
      </c>
      <c r="O245" s="17" cm="1">
        <f t="array" ref="O245">(H245-H244)/H244</f>
        <v>0.022273425499232</v>
      </c>
    </row>
    <row r="246" ht="13.65" customHeight="1">
      <c r="A246" s="18">
        <v>44644</v>
      </c>
      <c r="B246" t="s" s="13">
        <v>22</v>
      </c>
      <c r="C246" s="14">
        <v>1330.95</v>
      </c>
      <c r="D246" s="14">
        <v>1359.5</v>
      </c>
      <c r="E246" s="14">
        <v>1325.95</v>
      </c>
      <c r="F246" s="14">
        <v>1331</v>
      </c>
      <c r="G246" s="14">
        <v>1346.95</v>
      </c>
      <c r="H246" s="14">
        <v>1350.55</v>
      </c>
      <c r="I246" s="14">
        <v>1348.57</v>
      </c>
      <c r="J246" s="14">
        <v>1534.5</v>
      </c>
      <c r="K246" s="15">
        <v>688.35</v>
      </c>
      <c r="L246" s="15">
        <v>9460527</v>
      </c>
      <c r="M246" t="s" s="13">
        <v>7810</v>
      </c>
      <c r="N246" s="15">
        <v>208902</v>
      </c>
      <c r="O246" s="17" cm="1">
        <f t="array" ref="O246">(H246-H245)/H245</f>
        <v>0.0146882043576258</v>
      </c>
    </row>
    <row r="247" ht="13.65" customHeight="1">
      <c r="A247" s="18">
        <v>44645</v>
      </c>
      <c r="B247" t="s" s="13">
        <v>22</v>
      </c>
      <c r="C247" s="14">
        <v>1354.9</v>
      </c>
      <c r="D247" s="14">
        <v>1366</v>
      </c>
      <c r="E247" s="14">
        <v>1333.55</v>
      </c>
      <c r="F247" s="14">
        <v>1350.55</v>
      </c>
      <c r="G247" s="14">
        <v>1336</v>
      </c>
      <c r="H247" s="14">
        <v>1338.95</v>
      </c>
      <c r="I247" s="14">
        <v>1350.11</v>
      </c>
      <c r="J247" s="14">
        <v>1534.5</v>
      </c>
      <c r="K247" s="15">
        <v>688.35</v>
      </c>
      <c r="L247" s="15">
        <v>6945744</v>
      </c>
      <c r="M247" t="s" s="13">
        <v>7811</v>
      </c>
      <c r="N247" s="15">
        <v>153608</v>
      </c>
      <c r="O247" s="17" cm="1">
        <f t="array" ref="O247">(H247-H246)/H246</f>
        <v>-0.00858909333234608</v>
      </c>
    </row>
    <row r="248" ht="13.65" customHeight="1">
      <c r="A248" s="18">
        <v>44648</v>
      </c>
      <c r="B248" t="s" s="13">
        <v>22</v>
      </c>
      <c r="C248" s="14">
        <v>1340</v>
      </c>
      <c r="D248" s="14">
        <v>1355</v>
      </c>
      <c r="E248" s="14">
        <v>1327.6</v>
      </c>
      <c r="F248" s="14">
        <v>1338.95</v>
      </c>
      <c r="G248" s="14">
        <v>1339.3</v>
      </c>
      <c r="H248" s="14">
        <v>1338.95</v>
      </c>
      <c r="I248" s="14">
        <v>1341.72</v>
      </c>
      <c r="J248" s="14">
        <v>1534.5</v>
      </c>
      <c r="K248" s="15">
        <v>777.9</v>
      </c>
      <c r="L248" s="15">
        <v>4655491</v>
      </c>
      <c r="M248" t="s" s="13">
        <v>7812</v>
      </c>
      <c r="N248" s="15">
        <v>139045</v>
      </c>
      <c r="O248" s="17" cm="1">
        <f t="array" ref="O248">(H248-H247)/H247</f>
        <v>0</v>
      </c>
    </row>
    <row r="249" ht="13.65" customHeight="1">
      <c r="A249" s="18">
        <v>44649</v>
      </c>
      <c r="B249" t="s" s="13">
        <v>22</v>
      </c>
      <c r="C249" s="14">
        <v>1344</v>
      </c>
      <c r="D249" s="14">
        <v>1346.15</v>
      </c>
      <c r="E249" s="14">
        <v>1327</v>
      </c>
      <c r="F249" s="14">
        <v>1338.95</v>
      </c>
      <c r="G249" s="14">
        <v>1332</v>
      </c>
      <c r="H249" s="14">
        <v>1334.65</v>
      </c>
      <c r="I249" s="14">
        <v>1335.58</v>
      </c>
      <c r="J249" s="14">
        <v>1534.5</v>
      </c>
      <c r="K249" s="15">
        <v>777.9</v>
      </c>
      <c r="L249" s="15">
        <v>4320237</v>
      </c>
      <c r="M249" t="s" s="13">
        <v>7813</v>
      </c>
      <c r="N249" s="15">
        <v>94177</v>
      </c>
      <c r="O249" s="17" cm="1">
        <f t="array" ref="O249">(H249-H248)/H248</f>
        <v>-0.00321147167556668</v>
      </c>
    </row>
    <row r="250" ht="13.65" customHeight="1">
      <c r="A250" s="18">
        <v>44650</v>
      </c>
      <c r="B250" t="s" s="13">
        <v>22</v>
      </c>
      <c r="C250" s="14">
        <v>1335</v>
      </c>
      <c r="D250" s="14">
        <v>1335.55</v>
      </c>
      <c r="E250" s="14">
        <v>1300</v>
      </c>
      <c r="F250" s="14">
        <v>1334.65</v>
      </c>
      <c r="G250" s="14">
        <v>1306.2</v>
      </c>
      <c r="H250" s="14">
        <v>1308.05</v>
      </c>
      <c r="I250" s="14">
        <v>1308.4</v>
      </c>
      <c r="J250" s="14">
        <v>1534.5</v>
      </c>
      <c r="K250" s="15">
        <v>777.9</v>
      </c>
      <c r="L250" s="15">
        <v>5848316</v>
      </c>
      <c r="M250" t="s" s="13">
        <v>7814</v>
      </c>
      <c r="N250" s="15">
        <v>170961</v>
      </c>
      <c r="O250" s="17" cm="1">
        <f t="array" ref="O250">(H250-H249)/H249</f>
        <v>-0.019930318810175</v>
      </c>
    </row>
    <row r="251" ht="13.65" customHeight="1">
      <c r="A251" s="18">
        <v>44651</v>
      </c>
      <c r="B251" t="s" s="13">
        <v>22</v>
      </c>
      <c r="C251" s="14">
        <v>1308</v>
      </c>
      <c r="D251" s="14">
        <v>1320.45</v>
      </c>
      <c r="E251" s="14">
        <v>1300.1</v>
      </c>
      <c r="F251" s="14">
        <v>1308.05</v>
      </c>
      <c r="G251" s="14">
        <v>1307.5</v>
      </c>
      <c r="H251" s="14">
        <v>1307.2</v>
      </c>
      <c r="I251" s="14">
        <v>1311.19</v>
      </c>
      <c r="J251" s="14">
        <v>1534.5</v>
      </c>
      <c r="K251" s="15">
        <v>777.9</v>
      </c>
      <c r="L251" s="15">
        <v>4006795</v>
      </c>
      <c r="M251" t="s" s="13">
        <v>7815</v>
      </c>
      <c r="N251" s="15">
        <v>95450</v>
      </c>
      <c r="O251" s="17" cm="1">
        <f t="array" ref="O251">(H251-H250)/H250</f>
        <v>-0.000649822254500975</v>
      </c>
    </row>
    <row r="252" ht="13.65" customHeight="1">
      <c r="A252" s="12">
        <v>44652</v>
      </c>
      <c r="B252" t="s" s="13">
        <v>22</v>
      </c>
      <c r="C252" s="14">
        <v>1310</v>
      </c>
      <c r="D252" s="14">
        <v>1340.9</v>
      </c>
      <c r="E252" s="14">
        <v>1305.45</v>
      </c>
      <c r="F252" s="14">
        <v>1307.2</v>
      </c>
      <c r="G252" s="14">
        <v>1317.15</v>
      </c>
      <c r="H252" s="14">
        <v>1317.1</v>
      </c>
      <c r="I252" s="14">
        <v>1321.2</v>
      </c>
      <c r="J252" s="14">
        <v>1534.5</v>
      </c>
      <c r="K252" s="15">
        <v>777.9</v>
      </c>
      <c r="L252" s="15">
        <v>5532159</v>
      </c>
      <c r="M252" t="s" s="13">
        <v>7816</v>
      </c>
      <c r="N252" s="15">
        <v>122345</v>
      </c>
      <c r="O252" s="17" cm="1">
        <f t="array" ref="O252">(H252-H251)/H251</f>
        <v>0.0075734394124847</v>
      </c>
    </row>
    <row r="253" ht="13.65" customHeight="1">
      <c r="A253" s="21"/>
      <c r="B253" s="21"/>
      <c r="C253" s="21"/>
      <c r="D253" s="21"/>
      <c r="E253" s="21"/>
      <c r="F253" s="21"/>
      <c r="G253" s="21"/>
      <c r="H253" s="21"/>
      <c r="I253" s="21"/>
      <c r="J253" s="21"/>
      <c r="K253" s="21"/>
      <c r="L253" s="21"/>
      <c r="M253" s="21"/>
      <c r="N253" s="21"/>
      <c r="O253" s="8"/>
    </row>
    <row r="254" ht="13.65" customHeight="1">
      <c r="A254" s="8"/>
      <c r="B254" s="8"/>
      <c r="C254" s="8"/>
      <c r="D254" s="8"/>
      <c r="E254" s="8"/>
      <c r="F254" s="8"/>
      <c r="G254" s="8"/>
      <c r="H254" s="8"/>
      <c r="I254" s="8"/>
      <c r="J254" s="8"/>
      <c r="K254" s="8"/>
      <c r="L254" s="8"/>
      <c r="M254" s="8"/>
      <c r="N254" t="s" s="7">
        <v>1028</v>
      </c>
      <c r="O254" s="22" cm="1">
        <f t="array" ref="O254">AVERAGE(O4:O252)</f>
        <v>0.00202465548497492</v>
      </c>
    </row>
    <row r="255" ht="13.65" customHeight="1">
      <c r="A255" s="8"/>
      <c r="B255" s="8"/>
      <c r="C255" s="8"/>
      <c r="D255" s="8"/>
      <c r="E255" s="8"/>
      <c r="F255" s="8"/>
      <c r="G255" s="8"/>
      <c r="H255" s="8"/>
      <c r="I255" s="8"/>
      <c r="J255" s="8"/>
      <c r="K255" s="8"/>
      <c r="L255" s="8"/>
      <c r="M255" s="8"/>
      <c r="N255" t="s" s="7">
        <v>527</v>
      </c>
      <c r="O255" s="22" cm="1">
        <f t="array" ref="O255">STDEV(O5:O252)</f>
        <v>0.0252771819128447</v>
      </c>
    </row>
    <row r="256" ht="13.65" customHeight="1">
      <c r="A256" s="8"/>
      <c r="B256" s="8"/>
      <c r="C256" s="8"/>
      <c r="D256" s="8"/>
      <c r="E256" s="8"/>
      <c r="F256" s="8"/>
      <c r="G256" s="8"/>
      <c r="H256" s="8"/>
      <c r="I256" s="8"/>
      <c r="J256" s="8"/>
      <c r="K256" s="8"/>
      <c r="L256" s="8"/>
      <c r="M256" s="8"/>
      <c r="N256" t="s" s="7">
        <v>7817</v>
      </c>
      <c r="O256" s="23" cm="1">
        <f t="array" ref="O256">AVERAGE(L4:L252)</f>
        <v>12542894.6746988</v>
      </c>
    </row>
    <row r="257" ht="13.65" customHeight="1">
      <c r="A257" s="8"/>
      <c r="B257" s="8"/>
      <c r="C257" s="8"/>
      <c r="D257" s="8"/>
      <c r="E257" s="8"/>
      <c r="F257" s="8"/>
      <c r="G257" s="8"/>
      <c r="H257" s="8"/>
      <c r="I257" s="8"/>
      <c r="J257" s="8"/>
      <c r="K257" s="8"/>
      <c r="L257" s="8"/>
      <c r="M257" s="8"/>
      <c r="N257" t="s" s="7">
        <v>275</v>
      </c>
      <c r="O257" s="23" cm="1">
        <f t="array" ref="O257">IF(H252&gt;H4,1,IF(H252&lt;H4,-1,0))</f>
        <v>1</v>
      </c>
    </row>
    <row r="258" ht="13.65" customHeight="1">
      <c r="A258" s="8"/>
      <c r="B258" s="8"/>
      <c r="C258" s="8"/>
      <c r="D258" s="8"/>
      <c r="E258" s="8"/>
      <c r="F258" s="8"/>
      <c r="G258" s="8"/>
      <c r="H258" s="8"/>
      <c r="I258" s="8"/>
      <c r="J258" s="8"/>
      <c r="K258" s="8"/>
      <c r="L258" s="8"/>
      <c r="M258" s="8"/>
      <c r="N258" t="s" s="7">
        <v>6575</v>
      </c>
      <c r="O258" s="22" cm="1">
        <f t="array" ref="O258">(H252-H4)/H4</f>
        <v>0.526099298997741</v>
      </c>
    </row>
    <row r="259" ht="13.65" customHeight="1">
      <c r="A259" t="s" s="7">
        <v>277</v>
      </c>
      <c r="B259" s="8"/>
      <c r="C259" s="8"/>
      <c r="D259" s="8"/>
      <c r="E259" s="8"/>
      <c r="F259" s="8"/>
      <c r="G259" s="8"/>
      <c r="H259" s="8"/>
      <c r="I259" s="8"/>
      <c r="J259" s="8"/>
      <c r="K259" s="8"/>
      <c r="L259" s="8"/>
      <c r="M259" s="8"/>
      <c r="N259" s="8"/>
      <c r="O259" s="8"/>
    </row>
    <row r="260" ht="13.65" customHeight="1">
      <c r="A260" s="9"/>
      <c r="B260" s="9"/>
      <c r="C260" s="9"/>
      <c r="D260" s="9"/>
      <c r="E260" s="9"/>
      <c r="F260" s="9"/>
      <c r="G260" s="9"/>
      <c r="H260" s="9"/>
      <c r="I260" s="9"/>
      <c r="J260" s="9"/>
      <c r="K260" s="9"/>
      <c r="L260" s="9"/>
      <c r="M260" s="9"/>
      <c r="N260" s="9"/>
      <c r="O260" s="8"/>
    </row>
    <row r="261" ht="13.65" customHeight="1">
      <c r="A261" t="s" s="10">
        <v>7</v>
      </c>
      <c r="B261" t="s" s="10">
        <v>8</v>
      </c>
      <c r="C261" t="s" s="10">
        <v>9</v>
      </c>
      <c r="D261" t="s" s="10">
        <v>10</v>
      </c>
      <c r="E261" t="s" s="10">
        <v>11</v>
      </c>
      <c r="F261" t="s" s="10">
        <v>12</v>
      </c>
      <c r="G261" t="s" s="10">
        <v>13</v>
      </c>
      <c r="H261" t="s" s="10">
        <v>14</v>
      </c>
      <c r="I261" t="s" s="10">
        <v>15</v>
      </c>
      <c r="J261" t="s" s="10">
        <v>16</v>
      </c>
      <c r="K261" t="s" s="10">
        <v>17</v>
      </c>
      <c r="L261" t="s" s="10">
        <v>18</v>
      </c>
      <c r="M261" t="s" s="10">
        <v>19</v>
      </c>
      <c r="N261" t="s" s="10">
        <v>20</v>
      </c>
      <c r="O261" t="s" s="11">
        <v>21</v>
      </c>
    </row>
    <row r="262" ht="13.65" customHeight="1">
      <c r="A262" s="12">
        <v>44652</v>
      </c>
      <c r="B262" t="s" s="13">
        <v>22</v>
      </c>
      <c r="C262" s="14">
        <v>1310</v>
      </c>
      <c r="D262" s="14">
        <v>1340.9</v>
      </c>
      <c r="E262" s="14">
        <v>1305.45</v>
      </c>
      <c r="F262" s="14">
        <v>1307.2</v>
      </c>
      <c r="G262" s="14">
        <v>1317.15</v>
      </c>
      <c r="H262" s="14">
        <v>1317.1</v>
      </c>
      <c r="I262" s="14">
        <v>1321.2</v>
      </c>
      <c r="J262" s="14">
        <v>1534.5</v>
      </c>
      <c r="K262" s="15">
        <v>777.9</v>
      </c>
      <c r="L262" s="15">
        <v>5532159</v>
      </c>
      <c r="M262" t="s" s="13">
        <v>7816</v>
      </c>
      <c r="N262" s="15">
        <v>122345</v>
      </c>
      <c r="O262" s="16"/>
    </row>
    <row r="263" ht="13.65" customHeight="1">
      <c r="A263" s="12">
        <v>44655</v>
      </c>
      <c r="B263" t="s" s="13">
        <v>22</v>
      </c>
      <c r="C263" s="14">
        <v>1317.1</v>
      </c>
      <c r="D263" s="14">
        <v>1354</v>
      </c>
      <c r="E263" s="14">
        <v>1314.45</v>
      </c>
      <c r="F263" s="14">
        <v>1317.1</v>
      </c>
      <c r="G263" s="14">
        <v>1340.2</v>
      </c>
      <c r="H263" s="14">
        <v>1341.9</v>
      </c>
      <c r="I263" s="14">
        <v>1336.98</v>
      </c>
      <c r="J263" s="14">
        <v>1534.5</v>
      </c>
      <c r="K263" s="15">
        <v>837.15</v>
      </c>
      <c r="L263" s="15">
        <v>6967032</v>
      </c>
      <c r="M263" t="s" s="13">
        <v>7818</v>
      </c>
      <c r="N263" s="15">
        <v>140874</v>
      </c>
      <c r="O263" s="17" cm="1">
        <f t="array" ref="O263">(H263-H262)/H262</f>
        <v>0.0188292460709134</v>
      </c>
    </row>
    <row r="264" ht="13.65" customHeight="1">
      <c r="A264" s="12">
        <v>44656</v>
      </c>
      <c r="B264" t="s" s="13">
        <v>22</v>
      </c>
      <c r="C264" s="14">
        <v>1348.45</v>
      </c>
      <c r="D264" s="14">
        <v>1358</v>
      </c>
      <c r="E264" s="14">
        <v>1329.25</v>
      </c>
      <c r="F264" s="14">
        <v>1341.9</v>
      </c>
      <c r="G264" s="14">
        <v>1344</v>
      </c>
      <c r="H264" s="14">
        <v>1344.9</v>
      </c>
      <c r="I264" s="14">
        <v>1343.14</v>
      </c>
      <c r="J264" s="14">
        <v>1534.5</v>
      </c>
      <c r="K264" s="15">
        <v>837.15</v>
      </c>
      <c r="L264" s="15">
        <v>6329642</v>
      </c>
      <c r="M264" t="s" s="13">
        <v>7819</v>
      </c>
      <c r="N264" s="15">
        <v>139394</v>
      </c>
      <c r="O264" s="17" cm="1">
        <f t="array" ref="O264">(H264-H263)/H263</f>
        <v>0.00223563603845294</v>
      </c>
    </row>
    <row r="265" ht="13.65" customHeight="1">
      <c r="A265" s="12">
        <v>44657</v>
      </c>
      <c r="B265" t="s" s="13">
        <v>22</v>
      </c>
      <c r="C265" s="14">
        <v>1350</v>
      </c>
      <c r="D265" s="14">
        <v>1386.7</v>
      </c>
      <c r="E265" s="14">
        <v>1346.8</v>
      </c>
      <c r="F265" s="14">
        <v>1344.9</v>
      </c>
      <c r="G265" s="14">
        <v>1370</v>
      </c>
      <c r="H265" s="14">
        <v>1370.75</v>
      </c>
      <c r="I265" s="14">
        <v>1370.35</v>
      </c>
      <c r="J265" s="14">
        <v>1534.5</v>
      </c>
      <c r="K265" s="15">
        <v>837.15</v>
      </c>
      <c r="L265" s="15">
        <v>11409754</v>
      </c>
      <c r="M265" t="s" s="13">
        <v>7820</v>
      </c>
      <c r="N265" s="15">
        <v>231426</v>
      </c>
      <c r="O265" s="17" cm="1">
        <f t="array" ref="O265">(H265-H264)/H264</f>
        <v>0.0192207599077998</v>
      </c>
    </row>
    <row r="266" ht="13.65" customHeight="1">
      <c r="A266" s="12">
        <v>44658</v>
      </c>
      <c r="B266" t="s" s="13">
        <v>22</v>
      </c>
      <c r="C266" s="14">
        <v>1377</v>
      </c>
      <c r="D266" s="14">
        <v>1381</v>
      </c>
      <c r="E266" s="14">
        <v>1341</v>
      </c>
      <c r="F266" s="14">
        <v>1370.75</v>
      </c>
      <c r="G266" s="14">
        <v>1353.7</v>
      </c>
      <c r="H266" s="14">
        <v>1349.5</v>
      </c>
      <c r="I266" s="14">
        <v>1360.25</v>
      </c>
      <c r="J266" s="14">
        <v>1534.5</v>
      </c>
      <c r="K266" s="15">
        <v>837.15</v>
      </c>
      <c r="L266" s="15">
        <v>5565064</v>
      </c>
      <c r="M266" t="s" s="13">
        <v>7821</v>
      </c>
      <c r="N266" s="15">
        <v>131239</v>
      </c>
      <c r="O266" s="17" cm="1">
        <f t="array" ref="O266">(H266-H265)/H265</f>
        <v>-0.0155024621557541</v>
      </c>
    </row>
    <row r="267" ht="13.65" customHeight="1">
      <c r="A267" s="12">
        <v>44659</v>
      </c>
      <c r="B267" t="s" s="13">
        <v>22</v>
      </c>
      <c r="C267" s="14">
        <v>1360.95</v>
      </c>
      <c r="D267" s="14">
        <v>1379.95</v>
      </c>
      <c r="E267" s="14">
        <v>1356.25</v>
      </c>
      <c r="F267" s="14">
        <v>1349.5</v>
      </c>
      <c r="G267" s="14">
        <v>1366.05</v>
      </c>
      <c r="H267" s="14">
        <v>1370.75</v>
      </c>
      <c r="I267" s="14">
        <v>1368.69</v>
      </c>
      <c r="J267" s="14">
        <v>1534.5</v>
      </c>
      <c r="K267" s="15">
        <v>837.15</v>
      </c>
      <c r="L267" s="15">
        <v>5228771</v>
      </c>
      <c r="M267" t="s" s="13">
        <v>7822</v>
      </c>
      <c r="N267" s="15">
        <v>106015</v>
      </c>
      <c r="O267" s="17" cm="1">
        <f t="array" ref="O267">(H267-H266)/H266</f>
        <v>0.0157465728047425</v>
      </c>
    </row>
    <row r="268" ht="13.65" customHeight="1">
      <c r="A268" s="18">
        <v>44662</v>
      </c>
      <c r="B268" t="s" s="13">
        <v>22</v>
      </c>
      <c r="C268" s="14">
        <v>1370.7</v>
      </c>
      <c r="D268" s="14">
        <v>1384</v>
      </c>
      <c r="E268" s="14">
        <v>1353</v>
      </c>
      <c r="F268" s="14">
        <v>1370.75</v>
      </c>
      <c r="G268" s="14">
        <v>1354.55</v>
      </c>
      <c r="H268" s="14">
        <v>1357.9</v>
      </c>
      <c r="I268" s="14">
        <v>1368.12</v>
      </c>
      <c r="J268" s="14">
        <v>1534.5</v>
      </c>
      <c r="K268" s="15">
        <v>843.35</v>
      </c>
      <c r="L268" s="15">
        <v>4477882</v>
      </c>
      <c r="M268" t="s" s="13">
        <v>7823</v>
      </c>
      <c r="N268" s="15">
        <v>112838</v>
      </c>
      <c r="O268" s="17" cm="1">
        <f t="array" ref="O268">(H268-H267)/H267</f>
        <v>-0.00937443005653839</v>
      </c>
    </row>
    <row r="269" ht="13.65" customHeight="1">
      <c r="A269" s="18">
        <v>44663</v>
      </c>
      <c r="B269" t="s" s="13">
        <v>22</v>
      </c>
      <c r="C269" s="14">
        <v>1353</v>
      </c>
      <c r="D269" s="14">
        <v>1359.95</v>
      </c>
      <c r="E269" s="14">
        <v>1296.1</v>
      </c>
      <c r="F269" s="14">
        <v>1357.9</v>
      </c>
      <c r="G269" s="14">
        <v>1322</v>
      </c>
      <c r="H269" s="14">
        <v>1320.25</v>
      </c>
      <c r="I269" s="14">
        <v>1315.64</v>
      </c>
      <c r="J269" s="14">
        <v>1534.5</v>
      </c>
      <c r="K269" s="15">
        <v>843.35</v>
      </c>
      <c r="L269" s="15">
        <v>6919168</v>
      </c>
      <c r="M269" t="s" s="13">
        <v>7824</v>
      </c>
      <c r="N269" s="15">
        <v>166013</v>
      </c>
      <c r="O269" s="17" cm="1">
        <f t="array" ref="O269">(H269-H268)/H268</f>
        <v>-0.0277266367184623</v>
      </c>
    </row>
    <row r="270" ht="13.65" customHeight="1">
      <c r="A270" s="18">
        <v>44664</v>
      </c>
      <c r="B270" t="s" s="13">
        <v>22</v>
      </c>
      <c r="C270" s="14">
        <v>1334.95</v>
      </c>
      <c r="D270" s="14">
        <v>1346</v>
      </c>
      <c r="E270" s="14">
        <v>1315</v>
      </c>
      <c r="F270" s="14">
        <v>1320.25</v>
      </c>
      <c r="G270" s="14">
        <v>1316.05</v>
      </c>
      <c r="H270" s="14">
        <v>1319.5</v>
      </c>
      <c r="I270" s="14">
        <v>1328.33</v>
      </c>
      <c r="J270" s="14">
        <v>1534.5</v>
      </c>
      <c r="K270" s="15">
        <v>843.35</v>
      </c>
      <c r="L270" s="15">
        <v>4493780</v>
      </c>
      <c r="M270" t="s" s="13">
        <v>7825</v>
      </c>
      <c r="N270" s="15">
        <v>104277</v>
      </c>
      <c r="O270" s="17" cm="1">
        <f t="array" ref="O270">(H270-H269)/H269</f>
        <v>-0.00056807422836584</v>
      </c>
    </row>
    <row r="271" ht="13.65" customHeight="1">
      <c r="A271" s="18">
        <v>44669</v>
      </c>
      <c r="B271" t="s" s="13">
        <v>22</v>
      </c>
      <c r="C271" s="14">
        <v>1331.9</v>
      </c>
      <c r="D271" s="14">
        <v>1358.05</v>
      </c>
      <c r="E271" s="14">
        <v>1328.85</v>
      </c>
      <c r="F271" s="14">
        <v>1319.5</v>
      </c>
      <c r="G271" s="14">
        <v>1340.25</v>
      </c>
      <c r="H271" s="14">
        <v>1339.1</v>
      </c>
      <c r="I271" s="14">
        <v>1343.07</v>
      </c>
      <c r="J271" s="14">
        <v>1534.5</v>
      </c>
      <c r="K271" s="15">
        <v>860</v>
      </c>
      <c r="L271" s="15">
        <v>8070042</v>
      </c>
      <c r="M271" t="s" s="13">
        <v>7826</v>
      </c>
      <c r="N271" s="15">
        <v>233360</v>
      </c>
      <c r="O271" s="17" cm="1">
        <f t="array" ref="O271">(H271-H270)/H270</f>
        <v>0.0148541114058355</v>
      </c>
    </row>
    <row r="272" ht="13.65" customHeight="1">
      <c r="A272" s="18">
        <v>44670</v>
      </c>
      <c r="B272" t="s" s="13">
        <v>22</v>
      </c>
      <c r="C272" s="14">
        <v>1352.6</v>
      </c>
      <c r="D272" s="14">
        <v>1366.65</v>
      </c>
      <c r="E272" s="14">
        <v>1309</v>
      </c>
      <c r="F272" s="14">
        <v>1339.1</v>
      </c>
      <c r="G272" s="14">
        <v>1315</v>
      </c>
      <c r="H272" s="14">
        <v>1326.6</v>
      </c>
      <c r="I272" s="14">
        <v>1350.88</v>
      </c>
      <c r="J272" s="14">
        <v>1534.5</v>
      </c>
      <c r="K272" s="15">
        <v>860</v>
      </c>
      <c r="L272" s="15">
        <v>6477219</v>
      </c>
      <c r="M272" t="s" s="13">
        <v>7827</v>
      </c>
      <c r="N272" s="15">
        <v>154119</v>
      </c>
      <c r="O272" s="17" cm="1">
        <f t="array" ref="O272">(H272-H271)/H271</f>
        <v>-0.00933462773504593</v>
      </c>
    </row>
    <row r="273" ht="13.65" customHeight="1">
      <c r="A273" s="18">
        <v>44671</v>
      </c>
      <c r="B273" t="s" s="13">
        <v>22</v>
      </c>
      <c r="C273" s="14">
        <v>1329.7</v>
      </c>
      <c r="D273" s="14">
        <v>1336.45</v>
      </c>
      <c r="E273" s="14">
        <v>1303.05</v>
      </c>
      <c r="F273" s="14">
        <v>1326.6</v>
      </c>
      <c r="G273" s="14">
        <v>1315.9</v>
      </c>
      <c r="H273" s="14">
        <v>1314.25</v>
      </c>
      <c r="I273" s="14">
        <v>1318.65</v>
      </c>
      <c r="J273" s="14">
        <v>1534.5</v>
      </c>
      <c r="K273" s="15">
        <v>860</v>
      </c>
      <c r="L273" s="15">
        <v>5410021</v>
      </c>
      <c r="M273" t="s" s="13">
        <v>7828</v>
      </c>
      <c r="N273" s="15">
        <v>131794</v>
      </c>
      <c r="O273" s="17" cm="1">
        <f t="array" ref="O273">(H273-H272)/H272</f>
        <v>-0.00930951304085632</v>
      </c>
    </row>
    <row r="274" ht="13.65" customHeight="1">
      <c r="A274" s="18">
        <v>44672</v>
      </c>
      <c r="B274" t="s" s="13">
        <v>22</v>
      </c>
      <c r="C274" s="14">
        <v>1316</v>
      </c>
      <c r="D274" s="14">
        <v>1322.75</v>
      </c>
      <c r="E274" s="14">
        <v>1285.85</v>
      </c>
      <c r="F274" s="14">
        <v>1314.25</v>
      </c>
      <c r="G274" s="14">
        <v>1307</v>
      </c>
      <c r="H274" s="14">
        <v>1302.15</v>
      </c>
      <c r="I274" s="14">
        <v>1301.15</v>
      </c>
      <c r="J274" s="14">
        <v>1534.5</v>
      </c>
      <c r="K274" s="15">
        <v>860</v>
      </c>
      <c r="L274" s="15">
        <v>6669028</v>
      </c>
      <c r="M274" t="s" s="13">
        <v>7829</v>
      </c>
      <c r="N274" s="15">
        <v>168216</v>
      </c>
      <c r="O274" s="17" cm="1">
        <f t="array" ref="O274">(H274-H273)/H273</f>
        <v>-0.00920677192315009</v>
      </c>
    </row>
    <row r="275" ht="13.65" customHeight="1">
      <c r="A275" s="18">
        <v>44673</v>
      </c>
      <c r="B275" t="s" s="13">
        <v>22</v>
      </c>
      <c r="C275" s="14">
        <v>1301.6</v>
      </c>
      <c r="D275" s="14">
        <v>1311.55</v>
      </c>
      <c r="E275" s="14">
        <v>1273.75</v>
      </c>
      <c r="F275" s="14">
        <v>1302.15</v>
      </c>
      <c r="G275" s="14">
        <v>1278.95</v>
      </c>
      <c r="H275" s="14">
        <v>1277.55</v>
      </c>
      <c r="I275" s="14">
        <v>1291.07</v>
      </c>
      <c r="J275" s="14">
        <v>1534.5</v>
      </c>
      <c r="K275" s="15">
        <v>860</v>
      </c>
      <c r="L275" s="15">
        <v>5584823</v>
      </c>
      <c r="M275" t="s" s="13">
        <v>7830</v>
      </c>
      <c r="N275" s="15">
        <v>159826</v>
      </c>
      <c r="O275" s="17" cm="1">
        <f t="array" ref="O275">(H275-H274)/H274</f>
        <v>-0.0188918327381638</v>
      </c>
    </row>
    <row r="276" ht="13.65" customHeight="1">
      <c r="A276" s="18">
        <v>44676</v>
      </c>
      <c r="B276" t="s" s="13">
        <v>22</v>
      </c>
      <c r="C276" s="14">
        <v>1250</v>
      </c>
      <c r="D276" s="14">
        <v>1262.95</v>
      </c>
      <c r="E276" s="14">
        <v>1212.8</v>
      </c>
      <c r="F276" s="14">
        <v>1277.55</v>
      </c>
      <c r="G276" s="14">
        <v>1223</v>
      </c>
      <c r="H276" s="14">
        <v>1220.35</v>
      </c>
      <c r="I276" s="14">
        <v>1233.13</v>
      </c>
      <c r="J276" s="14">
        <v>1534.5</v>
      </c>
      <c r="K276" s="15">
        <v>930.05</v>
      </c>
      <c r="L276" s="15">
        <v>7231046</v>
      </c>
      <c r="M276" t="s" s="13">
        <v>7831</v>
      </c>
      <c r="N276" s="15">
        <v>230680</v>
      </c>
      <c r="O276" s="17" cm="1">
        <f t="array" ref="O276">(H276-H275)/H275</f>
        <v>-0.0447731987006379</v>
      </c>
    </row>
    <row r="277" ht="13.65" customHeight="1">
      <c r="A277" s="18">
        <v>44677</v>
      </c>
      <c r="B277" t="s" s="13">
        <v>22</v>
      </c>
      <c r="C277" s="14">
        <v>1235</v>
      </c>
      <c r="D277" s="14">
        <v>1241.7</v>
      </c>
      <c r="E277" s="14">
        <v>1225</v>
      </c>
      <c r="F277" s="14">
        <v>1220.35</v>
      </c>
      <c r="G277" s="14">
        <v>1232.8</v>
      </c>
      <c r="H277" s="14">
        <v>1233.6</v>
      </c>
      <c r="I277" s="14">
        <v>1233.12</v>
      </c>
      <c r="J277" s="14">
        <v>1534.5</v>
      </c>
      <c r="K277" s="15">
        <v>930.05</v>
      </c>
      <c r="L277" s="15">
        <v>4481271</v>
      </c>
      <c r="M277" t="s" s="13">
        <v>7832</v>
      </c>
      <c r="N277" s="15">
        <v>128605</v>
      </c>
      <c r="O277" s="17" cm="1">
        <f t="array" ref="O277">(H277-H276)/H276</f>
        <v>0.0108575408694227</v>
      </c>
    </row>
    <row r="278" ht="13.65" customHeight="1">
      <c r="A278" s="18">
        <v>44678</v>
      </c>
      <c r="B278" t="s" s="13">
        <v>22</v>
      </c>
      <c r="C278" s="14">
        <v>1227</v>
      </c>
      <c r="D278" s="14">
        <v>1255</v>
      </c>
      <c r="E278" s="14">
        <v>1210.4</v>
      </c>
      <c r="F278" s="14">
        <v>1233.6</v>
      </c>
      <c r="G278" s="14">
        <v>1249</v>
      </c>
      <c r="H278" s="14">
        <v>1246.7</v>
      </c>
      <c r="I278" s="14">
        <v>1231.77</v>
      </c>
      <c r="J278" s="14">
        <v>1534.5</v>
      </c>
      <c r="K278" s="15">
        <v>930.05</v>
      </c>
      <c r="L278" s="15">
        <v>7120974</v>
      </c>
      <c r="M278" t="s" s="13">
        <v>7833</v>
      </c>
      <c r="N278" s="15">
        <v>175421</v>
      </c>
      <c r="O278" s="17" cm="1">
        <f t="array" ref="O278">(H278-H277)/H277</f>
        <v>0.0106193255512322</v>
      </c>
    </row>
    <row r="279" ht="13.65" customHeight="1">
      <c r="A279" s="18">
        <v>44679</v>
      </c>
      <c r="B279" t="s" s="13">
        <v>22</v>
      </c>
      <c r="C279" s="14">
        <v>1259.5</v>
      </c>
      <c r="D279" s="14">
        <v>1268.65</v>
      </c>
      <c r="E279" s="14">
        <v>1243</v>
      </c>
      <c r="F279" s="14">
        <v>1246.7</v>
      </c>
      <c r="G279" s="14">
        <v>1258.65</v>
      </c>
      <c r="H279" s="14">
        <v>1260.85</v>
      </c>
      <c r="I279" s="14">
        <v>1255.22</v>
      </c>
      <c r="J279" s="14">
        <v>1534.5</v>
      </c>
      <c r="K279" s="15">
        <v>930.05</v>
      </c>
      <c r="L279" s="15">
        <v>5129583</v>
      </c>
      <c r="M279" t="s" s="13">
        <v>7834</v>
      </c>
      <c r="N279" s="15">
        <v>130108</v>
      </c>
      <c r="O279" s="17" cm="1">
        <f t="array" ref="O279">(H279-H278)/H278</f>
        <v>0.0113499639047084</v>
      </c>
    </row>
    <row r="280" ht="13.65" customHeight="1">
      <c r="A280" s="18">
        <v>44680</v>
      </c>
      <c r="B280" t="s" s="13">
        <v>22</v>
      </c>
      <c r="C280" s="14">
        <v>1268</v>
      </c>
      <c r="D280" s="14">
        <v>1291.7</v>
      </c>
      <c r="E280" s="14">
        <v>1265.65</v>
      </c>
      <c r="F280" s="14">
        <v>1260.85</v>
      </c>
      <c r="G280" s="14">
        <v>1270</v>
      </c>
      <c r="H280" s="14">
        <v>1271.05</v>
      </c>
      <c r="I280" s="14">
        <v>1279.58</v>
      </c>
      <c r="J280" s="14">
        <v>1534.5</v>
      </c>
      <c r="K280" s="15">
        <v>930.05</v>
      </c>
      <c r="L280" s="15">
        <v>5717352</v>
      </c>
      <c r="M280" t="s" s="13">
        <v>7835</v>
      </c>
      <c r="N280" s="15">
        <v>129717</v>
      </c>
      <c r="O280" s="17" cm="1">
        <f t="array" ref="O280">(H280-H279)/H279</f>
        <v>0.008089780703493671</v>
      </c>
    </row>
    <row r="281" ht="13.65" customHeight="1">
      <c r="A281" s="19">
        <v>44683</v>
      </c>
      <c r="B281" t="s" s="13">
        <v>22</v>
      </c>
      <c r="C281" s="14">
        <v>1257</v>
      </c>
      <c r="D281" s="14">
        <v>1302.75</v>
      </c>
      <c r="E281" s="14">
        <v>1248.75</v>
      </c>
      <c r="F281" s="14">
        <v>1271.05</v>
      </c>
      <c r="G281" s="14">
        <v>1297</v>
      </c>
      <c r="H281" s="14">
        <v>1295.2</v>
      </c>
      <c r="I281" s="14">
        <v>1278.27</v>
      </c>
      <c r="J281" s="14">
        <v>1534.5</v>
      </c>
      <c r="K281" s="14">
        <v>1018.5</v>
      </c>
      <c r="L281" s="15">
        <v>5442617</v>
      </c>
      <c r="M281" t="s" s="13">
        <v>7836</v>
      </c>
      <c r="N281" s="15">
        <v>119557</v>
      </c>
      <c r="O281" s="17" cm="1">
        <f t="array" ref="O281">(H281-H280)/H280</f>
        <v>0.0190000393375556</v>
      </c>
    </row>
    <row r="282" ht="13.65" customHeight="1">
      <c r="A282" s="19">
        <v>44685</v>
      </c>
      <c r="B282" t="s" s="13">
        <v>22</v>
      </c>
      <c r="C282" s="14">
        <v>1327.3</v>
      </c>
      <c r="D282" s="14">
        <v>1330</v>
      </c>
      <c r="E282" s="14">
        <v>1254.5</v>
      </c>
      <c r="F282" s="14">
        <v>1295.2</v>
      </c>
      <c r="G282" s="14">
        <v>1266</v>
      </c>
      <c r="H282" s="14">
        <v>1261.35</v>
      </c>
      <c r="I282" s="14">
        <v>1289.6</v>
      </c>
      <c r="J282" s="14">
        <v>1534.5</v>
      </c>
      <c r="K282" s="14">
        <v>1018.5</v>
      </c>
      <c r="L282" s="15">
        <v>13837402</v>
      </c>
      <c r="M282" t="s" s="13">
        <v>7837</v>
      </c>
      <c r="N282" s="15">
        <v>357495</v>
      </c>
      <c r="O282" s="17" cm="1">
        <f t="array" ref="O282">(H282-H281)/H281</f>
        <v>-0.0261349598517603</v>
      </c>
    </row>
    <row r="283" ht="13.65" customHeight="1">
      <c r="A283" s="19">
        <v>44686</v>
      </c>
      <c r="B283" t="s" s="13">
        <v>22</v>
      </c>
      <c r="C283" s="14">
        <v>1280</v>
      </c>
      <c r="D283" s="14">
        <v>1316.5</v>
      </c>
      <c r="E283" s="14">
        <v>1278</v>
      </c>
      <c r="F283" s="14">
        <v>1261.35</v>
      </c>
      <c r="G283" s="14">
        <v>1288</v>
      </c>
      <c r="H283" s="14">
        <v>1284.25</v>
      </c>
      <c r="I283" s="14">
        <v>1297.73</v>
      </c>
      <c r="J283" s="14">
        <v>1534.5</v>
      </c>
      <c r="K283" s="14">
        <v>1018.5</v>
      </c>
      <c r="L283" s="15">
        <v>8733816</v>
      </c>
      <c r="M283" t="s" s="13">
        <v>7838</v>
      </c>
      <c r="N283" s="15">
        <v>210766</v>
      </c>
      <c r="O283" s="17" cm="1">
        <f t="array" ref="O283">(H283-H282)/H282</f>
        <v>0.0181551512268601</v>
      </c>
    </row>
    <row r="284" ht="13.65" customHeight="1">
      <c r="A284" s="19">
        <v>44687</v>
      </c>
      <c r="B284" t="s" s="13">
        <v>22</v>
      </c>
      <c r="C284" s="14">
        <v>1268</v>
      </c>
      <c r="D284" s="14">
        <v>1290</v>
      </c>
      <c r="E284" s="14">
        <v>1243</v>
      </c>
      <c r="F284" s="14">
        <v>1284.25</v>
      </c>
      <c r="G284" s="14">
        <v>1287</v>
      </c>
      <c r="H284" s="14">
        <v>1283.7</v>
      </c>
      <c r="I284" s="14">
        <v>1263.22</v>
      </c>
      <c r="J284" s="14">
        <v>1534.5</v>
      </c>
      <c r="K284" s="14">
        <v>1018.5</v>
      </c>
      <c r="L284" s="15">
        <v>6925676</v>
      </c>
      <c r="M284" t="s" s="13">
        <v>7839</v>
      </c>
      <c r="N284" s="15">
        <v>187318</v>
      </c>
      <c r="O284" s="17" cm="1">
        <f t="array" ref="O284">(H284-H283)/H283</f>
        <v>-0.000428265524625268</v>
      </c>
    </row>
    <row r="285" ht="13.65" customHeight="1">
      <c r="A285" s="19">
        <v>44690</v>
      </c>
      <c r="B285" t="s" s="13">
        <v>22</v>
      </c>
      <c r="C285" s="14">
        <v>1260</v>
      </c>
      <c r="D285" s="14">
        <v>1274.2</v>
      </c>
      <c r="E285" s="14">
        <v>1244</v>
      </c>
      <c r="F285" s="14">
        <v>1283.7</v>
      </c>
      <c r="G285" s="14">
        <v>1251.2</v>
      </c>
      <c r="H285" s="14">
        <v>1252.25</v>
      </c>
      <c r="I285" s="14">
        <v>1258.06</v>
      </c>
      <c r="J285" s="14">
        <v>1534.5</v>
      </c>
      <c r="K285" s="14">
        <v>1050.25</v>
      </c>
      <c r="L285" s="15">
        <v>5055297</v>
      </c>
      <c r="M285" t="s" s="13">
        <v>7840</v>
      </c>
      <c r="N285" s="15">
        <v>137090</v>
      </c>
      <c r="O285" s="17" cm="1">
        <f t="array" ref="O285">(H285-H284)/H284</f>
        <v>-0.0244994936511646</v>
      </c>
    </row>
    <row r="286" ht="13.65" customHeight="1">
      <c r="A286" s="20">
        <v>44691</v>
      </c>
      <c r="B286" t="s" s="13">
        <v>22</v>
      </c>
      <c r="C286" s="14">
        <v>1251</v>
      </c>
      <c r="D286" s="14">
        <v>1254.65</v>
      </c>
      <c r="E286" s="14">
        <v>1158.55</v>
      </c>
      <c r="F286" s="14">
        <v>1252.25</v>
      </c>
      <c r="G286" s="14">
        <v>1161.25</v>
      </c>
      <c r="H286" s="14">
        <v>1164.9</v>
      </c>
      <c r="I286" s="14">
        <v>1196.85</v>
      </c>
      <c r="J286" s="14">
        <v>1534.5</v>
      </c>
      <c r="K286" s="14">
        <v>1050.25</v>
      </c>
      <c r="L286" s="15">
        <v>14553742</v>
      </c>
      <c r="M286" t="s" s="13">
        <v>7841</v>
      </c>
      <c r="N286" s="15">
        <v>344143</v>
      </c>
      <c r="O286" s="17" cm="1">
        <f t="array" ref="O286">(H286-H285)/H285</f>
        <v>-0.0697544420043921</v>
      </c>
    </row>
    <row r="287" ht="13.65" customHeight="1">
      <c r="A287" s="20">
        <v>44692</v>
      </c>
      <c r="B287" t="s" s="13">
        <v>22</v>
      </c>
      <c r="C287" s="14">
        <v>1175</v>
      </c>
      <c r="D287" s="14">
        <v>1190.9</v>
      </c>
      <c r="E287" s="14">
        <v>1123.4</v>
      </c>
      <c r="F287" s="14">
        <v>1164.9</v>
      </c>
      <c r="G287" s="14">
        <v>1172.9</v>
      </c>
      <c r="H287" s="14">
        <v>1165.7</v>
      </c>
      <c r="I287" s="14">
        <v>1156.89</v>
      </c>
      <c r="J287" s="14">
        <v>1534.5</v>
      </c>
      <c r="K287" s="14">
        <v>1050.25</v>
      </c>
      <c r="L287" s="15">
        <v>10706315</v>
      </c>
      <c r="M287" t="s" s="13">
        <v>7842</v>
      </c>
      <c r="N287" s="15">
        <v>243457</v>
      </c>
      <c r="O287" s="17" cm="1">
        <f t="array" ref="O287">(H287-H286)/H286</f>
        <v>0.000686754227830715</v>
      </c>
    </row>
    <row r="288" ht="13.65" customHeight="1">
      <c r="A288" s="20">
        <v>44693</v>
      </c>
      <c r="B288" t="s" s="13">
        <v>22</v>
      </c>
      <c r="C288" s="14">
        <v>1156.9</v>
      </c>
      <c r="D288" s="14">
        <v>1162.4</v>
      </c>
      <c r="E288" s="14">
        <v>1103</v>
      </c>
      <c r="F288" s="14">
        <v>1165.7</v>
      </c>
      <c r="G288" s="14">
        <v>1118.9</v>
      </c>
      <c r="H288" s="14">
        <v>1117.7</v>
      </c>
      <c r="I288" s="14">
        <v>1123.94</v>
      </c>
      <c r="J288" s="14">
        <v>1534.5</v>
      </c>
      <c r="K288" s="14">
        <v>1050.25</v>
      </c>
      <c r="L288" s="15">
        <v>9419161</v>
      </c>
      <c r="M288" t="s" s="13">
        <v>7843</v>
      </c>
      <c r="N288" s="15">
        <v>258893</v>
      </c>
      <c r="O288" s="17" cm="1">
        <f t="array" ref="O288">(H288-H287)/H287</f>
        <v>-0.0411769752080295</v>
      </c>
    </row>
    <row r="289" ht="13.65" customHeight="1">
      <c r="A289" s="20">
        <v>44694</v>
      </c>
      <c r="B289" t="s" s="13">
        <v>22</v>
      </c>
      <c r="C289" s="14">
        <v>1135</v>
      </c>
      <c r="D289" s="14">
        <v>1151.8</v>
      </c>
      <c r="E289" s="14">
        <v>1092</v>
      </c>
      <c r="F289" s="14">
        <v>1117.7</v>
      </c>
      <c r="G289" s="14">
        <v>1094.85</v>
      </c>
      <c r="H289" s="14">
        <v>1097</v>
      </c>
      <c r="I289" s="14">
        <v>1121.87</v>
      </c>
      <c r="J289" s="14">
        <v>1534.5</v>
      </c>
      <c r="K289" s="14">
        <v>1050.25</v>
      </c>
      <c r="L289" s="15">
        <v>8292441</v>
      </c>
      <c r="M289" t="s" s="13">
        <v>7844</v>
      </c>
      <c r="N289" s="15">
        <v>216773</v>
      </c>
      <c r="O289" s="17" cm="1">
        <f t="array" ref="O289">(H289-H288)/H288</f>
        <v>-0.0185201753601145</v>
      </c>
    </row>
    <row r="290" ht="13.65" customHeight="1">
      <c r="A290" s="20">
        <v>44697</v>
      </c>
      <c r="B290" t="s" s="13">
        <v>22</v>
      </c>
      <c r="C290" s="14">
        <v>1119</v>
      </c>
      <c r="D290" s="14">
        <v>1134.8</v>
      </c>
      <c r="E290" s="14">
        <v>1094</v>
      </c>
      <c r="F290" s="14">
        <v>1097</v>
      </c>
      <c r="G290" s="14">
        <v>1109</v>
      </c>
      <c r="H290" s="14">
        <v>1103.5</v>
      </c>
      <c r="I290" s="14">
        <v>1113.49</v>
      </c>
      <c r="J290" s="14">
        <v>1534.5</v>
      </c>
      <c r="K290" s="14">
        <v>1050.25</v>
      </c>
      <c r="L290" s="15">
        <v>6266527</v>
      </c>
      <c r="M290" t="s" s="13">
        <v>7845</v>
      </c>
      <c r="N290" s="15">
        <v>166059</v>
      </c>
      <c r="O290" s="17" cm="1">
        <f t="array" ref="O290">(H290-H289)/H289</f>
        <v>0.00592525068368277</v>
      </c>
    </row>
    <row r="291" ht="13.65" customHeight="1">
      <c r="A291" s="20">
        <v>44698</v>
      </c>
      <c r="B291" t="s" s="13">
        <v>22</v>
      </c>
      <c r="C291" s="14">
        <v>1124</v>
      </c>
      <c r="D291" s="14">
        <v>1197.2</v>
      </c>
      <c r="E291" s="14">
        <v>1115.35</v>
      </c>
      <c r="F291" s="14">
        <v>1103.5</v>
      </c>
      <c r="G291" s="14">
        <v>1188.65</v>
      </c>
      <c r="H291" s="14">
        <v>1188.7</v>
      </c>
      <c r="I291" s="14">
        <v>1159.41</v>
      </c>
      <c r="J291" s="14">
        <v>1534.5</v>
      </c>
      <c r="K291" s="14">
        <v>1050.25</v>
      </c>
      <c r="L291" s="15">
        <v>11287601</v>
      </c>
      <c r="M291" t="s" s="13">
        <v>7846</v>
      </c>
      <c r="N291" s="15">
        <v>266051</v>
      </c>
      <c r="O291" s="17" cm="1">
        <f t="array" ref="O291">(H291-H290)/H290</f>
        <v>0.0772088808337109</v>
      </c>
    </row>
    <row r="292" ht="13.65" customHeight="1">
      <c r="A292" s="20">
        <v>44699</v>
      </c>
      <c r="B292" t="s" s="13">
        <v>22</v>
      </c>
      <c r="C292" s="14">
        <v>1197</v>
      </c>
      <c r="D292" s="14">
        <v>1209</v>
      </c>
      <c r="E292" s="14">
        <v>1175</v>
      </c>
      <c r="F292" s="14">
        <v>1188.7</v>
      </c>
      <c r="G292" s="14">
        <v>1182</v>
      </c>
      <c r="H292" s="14">
        <v>1180.25</v>
      </c>
      <c r="I292" s="14">
        <v>1188.16</v>
      </c>
      <c r="J292" s="14">
        <v>1534.5</v>
      </c>
      <c r="K292" s="14">
        <v>1050.25</v>
      </c>
      <c r="L292" s="15">
        <v>8157580</v>
      </c>
      <c r="M292" t="s" s="13">
        <v>7847</v>
      </c>
      <c r="N292" s="15">
        <v>181740</v>
      </c>
      <c r="O292" s="17" cm="1">
        <f t="array" ref="O292">(H292-H291)/H291</f>
        <v>-0.007108606040212</v>
      </c>
    </row>
    <row r="293" ht="13.65" customHeight="1">
      <c r="A293" s="20">
        <v>44700</v>
      </c>
      <c r="B293" t="s" s="13">
        <v>22</v>
      </c>
      <c r="C293" s="14">
        <v>1151</v>
      </c>
      <c r="D293" s="14">
        <v>1154.9</v>
      </c>
      <c r="E293" s="14">
        <v>1115.2</v>
      </c>
      <c r="F293" s="14">
        <v>1180.25</v>
      </c>
      <c r="G293" s="14">
        <v>1129</v>
      </c>
      <c r="H293" s="14">
        <v>1122.15</v>
      </c>
      <c r="I293" s="14">
        <v>1131.89</v>
      </c>
      <c r="J293" s="14">
        <v>1534.5</v>
      </c>
      <c r="K293" s="14">
        <v>1050.25</v>
      </c>
      <c r="L293" s="15">
        <v>6654563</v>
      </c>
      <c r="M293" t="s" s="13">
        <v>7848</v>
      </c>
      <c r="N293" s="15">
        <v>203644</v>
      </c>
      <c r="O293" s="17" cm="1">
        <f t="array" ref="O293">(H293-H292)/H292</f>
        <v>-0.0492268587163736</v>
      </c>
    </row>
    <row r="294" ht="13.65" customHeight="1">
      <c r="A294" s="20">
        <v>44701</v>
      </c>
      <c r="B294" t="s" s="13">
        <v>22</v>
      </c>
      <c r="C294" s="14">
        <v>1162.35</v>
      </c>
      <c r="D294" s="14">
        <v>1178.4</v>
      </c>
      <c r="E294" s="14">
        <v>1141.2</v>
      </c>
      <c r="F294" s="14">
        <v>1122.15</v>
      </c>
      <c r="G294" s="14">
        <v>1169</v>
      </c>
      <c r="H294" s="14">
        <v>1170.6</v>
      </c>
      <c r="I294" s="14">
        <v>1160.8</v>
      </c>
      <c r="J294" s="14">
        <v>1534.5</v>
      </c>
      <c r="K294" s="14">
        <v>1050.25</v>
      </c>
      <c r="L294" s="15">
        <v>6552750</v>
      </c>
      <c r="M294" t="s" s="13">
        <v>7849</v>
      </c>
      <c r="N294" s="15">
        <v>151877</v>
      </c>
      <c r="O294" s="17" cm="1">
        <f t="array" ref="O294">(H294-H293)/H293</f>
        <v>0.0431760459831573</v>
      </c>
    </row>
    <row r="295" ht="13.65" customHeight="1">
      <c r="A295" s="20">
        <v>44704</v>
      </c>
      <c r="B295" t="s" s="13">
        <v>22</v>
      </c>
      <c r="C295" s="14">
        <v>1097</v>
      </c>
      <c r="D295" s="14">
        <v>1097</v>
      </c>
      <c r="E295" s="14">
        <v>1001.55</v>
      </c>
      <c r="F295" s="14">
        <v>1170.6</v>
      </c>
      <c r="G295" s="14">
        <v>1026.35</v>
      </c>
      <c r="H295" s="14">
        <v>1022.95</v>
      </c>
      <c r="I295" s="14">
        <v>1028.79</v>
      </c>
      <c r="J295" s="14">
        <v>1534.5</v>
      </c>
      <c r="K295" s="14">
        <v>1001.55</v>
      </c>
      <c r="L295" s="15">
        <v>27388346</v>
      </c>
      <c r="M295" t="s" s="13">
        <v>7850</v>
      </c>
      <c r="N295" s="15">
        <v>679018</v>
      </c>
      <c r="O295" s="17" cm="1">
        <f t="array" ref="O295">(H295-H294)/H294</f>
        <v>-0.126131898171878</v>
      </c>
    </row>
    <row r="296" ht="13.65" customHeight="1">
      <c r="A296" s="20">
        <v>44705</v>
      </c>
      <c r="B296" t="s" s="13">
        <v>22</v>
      </c>
      <c r="C296" s="14">
        <v>1031</v>
      </c>
      <c r="D296" s="14">
        <v>1039.9</v>
      </c>
      <c r="E296" s="14">
        <v>1002</v>
      </c>
      <c r="F296" s="14">
        <v>1022.95</v>
      </c>
      <c r="G296" s="14">
        <v>1005.5</v>
      </c>
      <c r="H296" s="14">
        <v>1006.35</v>
      </c>
      <c r="I296" s="14">
        <v>1019.59</v>
      </c>
      <c r="J296" s="14">
        <v>1534.5</v>
      </c>
      <c r="K296" s="14">
        <v>1001.55</v>
      </c>
      <c r="L296" s="15">
        <v>12311666</v>
      </c>
      <c r="M296" t="s" s="13">
        <v>7851</v>
      </c>
      <c r="N296" s="15">
        <v>334234</v>
      </c>
      <c r="O296" s="17" cm="1">
        <f t="array" ref="O296">(H296-H295)/H295</f>
        <v>-0.0162275771054304</v>
      </c>
    </row>
    <row r="297" ht="13.65" customHeight="1">
      <c r="A297" s="20">
        <v>44706</v>
      </c>
      <c r="B297" t="s" s="13">
        <v>22</v>
      </c>
      <c r="C297" s="14">
        <v>1006.35</v>
      </c>
      <c r="D297" s="14">
        <v>1018.35</v>
      </c>
      <c r="E297" s="15">
        <v>991.8</v>
      </c>
      <c r="F297" s="14">
        <v>1006.35</v>
      </c>
      <c r="G297" s="15">
        <v>998.45</v>
      </c>
      <c r="H297" s="15">
        <v>999.1</v>
      </c>
      <c r="I297" s="14">
        <v>1003.91</v>
      </c>
      <c r="J297" s="14">
        <v>1534.5</v>
      </c>
      <c r="K297" s="15">
        <v>991.8</v>
      </c>
      <c r="L297" s="15">
        <v>9934340</v>
      </c>
      <c r="M297" t="s" s="13">
        <v>7852</v>
      </c>
      <c r="N297" s="15">
        <v>259288</v>
      </c>
      <c r="O297" s="17" cm="1">
        <f t="array" ref="O297">(H297-H296)/H296</f>
        <v>-0.00720425299349133</v>
      </c>
    </row>
    <row r="298" ht="13.65" customHeight="1">
      <c r="A298" s="20">
        <v>44707</v>
      </c>
      <c r="B298" t="s" s="13">
        <v>22</v>
      </c>
      <c r="C298" s="14">
        <v>1007</v>
      </c>
      <c r="D298" s="14">
        <v>1067.55</v>
      </c>
      <c r="E298" s="15">
        <v>995.25</v>
      </c>
      <c r="F298" s="15">
        <v>999.1</v>
      </c>
      <c r="G298" s="14">
        <v>1049.9</v>
      </c>
      <c r="H298" s="14">
        <v>1052</v>
      </c>
      <c r="I298" s="14">
        <v>1033.14</v>
      </c>
      <c r="J298" s="14">
        <v>1534.5</v>
      </c>
      <c r="K298" s="15">
        <v>991.8</v>
      </c>
      <c r="L298" s="15">
        <v>15053673</v>
      </c>
      <c r="M298" t="s" s="13">
        <v>7853</v>
      </c>
      <c r="N298" s="15">
        <v>307131</v>
      </c>
      <c r="O298" s="17" cm="1">
        <f t="array" ref="O298">(H298-H297)/H297</f>
        <v>0.0529476528875988</v>
      </c>
    </row>
    <row r="299" ht="13.65" customHeight="1">
      <c r="A299" s="20">
        <v>44708</v>
      </c>
      <c r="B299" t="s" s="13">
        <v>22</v>
      </c>
      <c r="C299" s="14">
        <v>1062.5</v>
      </c>
      <c r="D299" s="14">
        <v>1067.65</v>
      </c>
      <c r="E299" s="14">
        <v>1032</v>
      </c>
      <c r="F299" s="14">
        <v>1052</v>
      </c>
      <c r="G299" s="14">
        <v>1043</v>
      </c>
      <c r="H299" s="14">
        <v>1043.5</v>
      </c>
      <c r="I299" s="14">
        <v>1046.56</v>
      </c>
      <c r="J299" s="14">
        <v>1534.5</v>
      </c>
      <c r="K299" s="15">
        <v>991.8</v>
      </c>
      <c r="L299" s="15">
        <v>7477220</v>
      </c>
      <c r="M299" t="s" s="13">
        <v>7854</v>
      </c>
      <c r="N299" s="15">
        <v>171055</v>
      </c>
      <c r="O299" s="17" cm="1">
        <f t="array" ref="O299">(H299-H298)/H298</f>
        <v>-0.00807984790874525</v>
      </c>
    </row>
    <row r="300" ht="13.65" customHeight="1">
      <c r="A300" s="20">
        <v>44711</v>
      </c>
      <c r="B300" t="s" s="13">
        <v>22</v>
      </c>
      <c r="C300" s="14">
        <v>1059</v>
      </c>
      <c r="D300" s="14">
        <v>1063.8</v>
      </c>
      <c r="E300" s="14">
        <v>1043.5</v>
      </c>
      <c r="F300" s="14">
        <v>1043.5</v>
      </c>
      <c r="G300" s="14">
        <v>1047</v>
      </c>
      <c r="H300" s="14">
        <v>1047.45</v>
      </c>
      <c r="I300" s="14">
        <v>1052.09</v>
      </c>
      <c r="J300" s="14">
        <v>1534.5</v>
      </c>
      <c r="K300" s="15">
        <v>991.8</v>
      </c>
      <c r="L300" s="15">
        <v>7270159</v>
      </c>
      <c r="M300" t="s" s="13">
        <v>7855</v>
      </c>
      <c r="N300" s="15">
        <v>174459</v>
      </c>
      <c r="O300" s="17" cm="1">
        <f t="array" ref="O300">(H300-H299)/H299</f>
        <v>0.00378533780546239</v>
      </c>
    </row>
    <row r="301" ht="13.65" customHeight="1">
      <c r="A301" s="20">
        <v>44712</v>
      </c>
      <c r="B301" t="s" s="13">
        <v>22</v>
      </c>
      <c r="C301" s="14">
        <v>1045</v>
      </c>
      <c r="D301" s="14">
        <v>1071.9</v>
      </c>
      <c r="E301" s="14">
        <v>1037</v>
      </c>
      <c r="F301" s="14">
        <v>1047.45</v>
      </c>
      <c r="G301" s="14">
        <v>1055.75</v>
      </c>
      <c r="H301" s="14">
        <v>1055.65</v>
      </c>
      <c r="I301" s="14">
        <v>1059.42</v>
      </c>
      <c r="J301" s="14">
        <v>1534.5</v>
      </c>
      <c r="K301" s="15">
        <v>991.8</v>
      </c>
      <c r="L301" s="15">
        <v>12124885</v>
      </c>
      <c r="M301" t="s" s="13">
        <v>7856</v>
      </c>
      <c r="N301" s="15">
        <v>218150</v>
      </c>
      <c r="O301" s="17" cm="1">
        <f t="array" ref="O301">(H301-H300)/H300</f>
        <v>0.00782853596830398</v>
      </c>
    </row>
    <row r="302" ht="13.65" customHeight="1">
      <c r="A302" s="12">
        <v>44713</v>
      </c>
      <c r="B302" t="s" s="13">
        <v>22</v>
      </c>
      <c r="C302" s="14">
        <v>1065.5</v>
      </c>
      <c r="D302" s="14">
        <v>1079</v>
      </c>
      <c r="E302" s="14">
        <v>1053.3</v>
      </c>
      <c r="F302" s="14">
        <v>1055.65</v>
      </c>
      <c r="G302" s="14">
        <v>1061</v>
      </c>
      <c r="H302" s="14">
        <v>1063.55</v>
      </c>
      <c r="I302" s="14">
        <v>1065.59</v>
      </c>
      <c r="J302" s="14">
        <v>1534.5</v>
      </c>
      <c r="K302" s="15">
        <v>991.8</v>
      </c>
      <c r="L302" s="15">
        <v>9405529</v>
      </c>
      <c r="M302" t="s" s="13">
        <v>7857</v>
      </c>
      <c r="N302" s="15">
        <v>196673</v>
      </c>
      <c r="O302" s="17" cm="1">
        <f t="array" ref="O302">(H302-H301)/H301</f>
        <v>0.00748354094633638</v>
      </c>
    </row>
    <row r="303" ht="13.65" customHeight="1">
      <c r="A303" s="12">
        <v>44714</v>
      </c>
      <c r="B303" t="s" s="13">
        <v>22</v>
      </c>
      <c r="C303" s="14">
        <v>1067.75</v>
      </c>
      <c r="D303" s="14">
        <v>1084.75</v>
      </c>
      <c r="E303" s="14">
        <v>1059.1</v>
      </c>
      <c r="F303" s="14">
        <v>1063.55</v>
      </c>
      <c r="G303" s="14">
        <v>1081</v>
      </c>
      <c r="H303" s="14">
        <v>1081.55</v>
      </c>
      <c r="I303" s="14">
        <v>1071.47</v>
      </c>
      <c r="J303" s="14">
        <v>1534.5</v>
      </c>
      <c r="K303" s="15">
        <v>991.8</v>
      </c>
      <c r="L303" s="15">
        <v>7917704</v>
      </c>
      <c r="M303" t="s" s="13">
        <v>7858</v>
      </c>
      <c r="N303" s="15">
        <v>176345</v>
      </c>
      <c r="O303" s="17" cm="1">
        <f t="array" ref="O303">(H303-H302)/H302</f>
        <v>0.0169244511306474</v>
      </c>
    </row>
    <row r="304" ht="13.65" customHeight="1">
      <c r="A304" s="12">
        <v>44715</v>
      </c>
      <c r="B304" t="s" s="13">
        <v>22</v>
      </c>
      <c r="C304" s="14">
        <v>1092</v>
      </c>
      <c r="D304" s="14">
        <v>1092.8</v>
      </c>
      <c r="E304" s="14">
        <v>1065</v>
      </c>
      <c r="F304" s="14">
        <v>1081.55</v>
      </c>
      <c r="G304" s="14">
        <v>1067</v>
      </c>
      <c r="H304" s="14">
        <v>1067.3</v>
      </c>
      <c r="I304" s="14">
        <v>1075.73</v>
      </c>
      <c r="J304" s="14">
        <v>1534.5</v>
      </c>
      <c r="K304" s="15">
        <v>991.8</v>
      </c>
      <c r="L304" s="15">
        <v>5395486</v>
      </c>
      <c r="M304" t="s" s="13">
        <v>7859</v>
      </c>
      <c r="N304" s="15">
        <v>134583</v>
      </c>
      <c r="O304" s="17" cm="1">
        <f t="array" ref="O304">(H304-H303)/H303</f>
        <v>-0.0131755351116453</v>
      </c>
    </row>
    <row r="305" ht="13.65" customHeight="1">
      <c r="A305" s="12">
        <v>44718</v>
      </c>
      <c r="B305" t="s" s="13">
        <v>22</v>
      </c>
      <c r="C305" s="14">
        <v>1065</v>
      </c>
      <c r="D305" s="14">
        <v>1082.9</v>
      </c>
      <c r="E305" s="14">
        <v>1049.2</v>
      </c>
      <c r="F305" s="14">
        <v>1067.3</v>
      </c>
      <c r="G305" s="14">
        <v>1079</v>
      </c>
      <c r="H305" s="14">
        <v>1078.1</v>
      </c>
      <c r="I305" s="14">
        <v>1070.79</v>
      </c>
      <c r="J305" s="14">
        <v>1534.5</v>
      </c>
      <c r="K305" s="15">
        <v>991.8</v>
      </c>
      <c r="L305" s="15">
        <v>5726249</v>
      </c>
      <c r="M305" t="s" s="13">
        <v>7860</v>
      </c>
      <c r="N305" s="15">
        <v>157272</v>
      </c>
      <c r="O305" s="17" cm="1">
        <f t="array" ref="O305">(H305-H304)/H304</f>
        <v>0.0101189918485899</v>
      </c>
    </row>
    <row r="306" ht="13.65" customHeight="1">
      <c r="A306" s="12">
        <v>44719</v>
      </c>
      <c r="B306" t="s" s="13">
        <v>22</v>
      </c>
      <c r="C306" s="14">
        <v>1067</v>
      </c>
      <c r="D306" s="14">
        <v>1081.5</v>
      </c>
      <c r="E306" s="14">
        <v>1063.55</v>
      </c>
      <c r="F306" s="14">
        <v>1078.1</v>
      </c>
      <c r="G306" s="14">
        <v>1069</v>
      </c>
      <c r="H306" s="14">
        <v>1068.5</v>
      </c>
      <c r="I306" s="14">
        <v>1069.34</v>
      </c>
      <c r="J306" s="14">
        <v>1534.5</v>
      </c>
      <c r="K306" s="15">
        <v>991.8</v>
      </c>
      <c r="L306" s="15">
        <v>4334157</v>
      </c>
      <c r="M306" t="s" s="13">
        <v>7861</v>
      </c>
      <c r="N306" s="15">
        <v>89594</v>
      </c>
      <c r="O306" s="17" cm="1">
        <f t="array" ref="O306">(H306-H305)/H305</f>
        <v>-0.0089045543085057</v>
      </c>
    </row>
    <row r="307" ht="13.65" customHeight="1">
      <c r="A307" s="12">
        <v>44720</v>
      </c>
      <c r="B307" t="s" s="13">
        <v>22</v>
      </c>
      <c r="C307" s="14">
        <v>1081</v>
      </c>
      <c r="D307" s="14">
        <v>1088.9</v>
      </c>
      <c r="E307" s="14">
        <v>1074.05</v>
      </c>
      <c r="F307" s="14">
        <v>1068.5</v>
      </c>
      <c r="G307" s="14">
        <v>1086.25</v>
      </c>
      <c r="H307" s="14">
        <v>1086.75</v>
      </c>
      <c r="I307" s="14">
        <v>1083.69</v>
      </c>
      <c r="J307" s="14">
        <v>1534.5</v>
      </c>
      <c r="K307" s="15">
        <v>991.8</v>
      </c>
      <c r="L307" s="15">
        <v>6473434</v>
      </c>
      <c r="M307" t="s" s="13">
        <v>7862</v>
      </c>
      <c r="N307" s="15">
        <v>183637</v>
      </c>
      <c r="O307" s="17" cm="1">
        <f t="array" ref="O307">(H307-H306)/H306</f>
        <v>0.0170800187178287</v>
      </c>
    </row>
    <row r="308" ht="13.65" customHeight="1">
      <c r="A308" s="12">
        <v>44721</v>
      </c>
      <c r="B308" t="s" s="13">
        <v>22</v>
      </c>
      <c r="C308" s="14">
        <v>1074.95</v>
      </c>
      <c r="D308" s="14">
        <v>1087.25</v>
      </c>
      <c r="E308" s="14">
        <v>1041.2</v>
      </c>
      <c r="F308" s="14">
        <v>1086.75</v>
      </c>
      <c r="G308" s="14">
        <v>1041.35</v>
      </c>
      <c r="H308" s="14">
        <v>1044.85</v>
      </c>
      <c r="I308" s="14">
        <v>1055.38</v>
      </c>
      <c r="J308" s="14">
        <v>1534.5</v>
      </c>
      <c r="K308" s="15">
        <v>991.8</v>
      </c>
      <c r="L308" s="15">
        <v>9854781</v>
      </c>
      <c r="M308" t="s" s="13">
        <v>7863</v>
      </c>
      <c r="N308" s="15">
        <v>247940</v>
      </c>
      <c r="O308" s="17" cm="1">
        <f t="array" ref="O308">(H308-H307)/H307</f>
        <v>-0.0385553255118473</v>
      </c>
    </row>
    <row r="309" ht="13.65" customHeight="1">
      <c r="A309" s="18">
        <v>44722</v>
      </c>
      <c r="B309" t="s" s="13">
        <v>22</v>
      </c>
      <c r="C309" s="14">
        <v>1030</v>
      </c>
      <c r="D309" s="14">
        <v>1031.4</v>
      </c>
      <c r="E309" s="14">
        <v>1010.65</v>
      </c>
      <c r="F309" s="14">
        <v>1044.85</v>
      </c>
      <c r="G309" s="14">
        <v>1023</v>
      </c>
      <c r="H309" s="14">
        <v>1023.7</v>
      </c>
      <c r="I309" s="14">
        <v>1020.74</v>
      </c>
      <c r="J309" s="14">
        <v>1534.5</v>
      </c>
      <c r="K309" s="15">
        <v>991.8</v>
      </c>
      <c r="L309" s="15">
        <v>9522563</v>
      </c>
      <c r="M309" t="s" s="13">
        <v>7864</v>
      </c>
      <c r="N309" s="15">
        <v>235426</v>
      </c>
      <c r="O309" s="17" cm="1">
        <f t="array" ref="O309">(H309-H308)/H308</f>
        <v>-0.0202421400200986</v>
      </c>
    </row>
    <row r="310" ht="13.65" customHeight="1">
      <c r="A310" s="18">
        <v>44725</v>
      </c>
      <c r="B310" t="s" s="13">
        <v>22</v>
      </c>
      <c r="C310" s="14">
        <v>1004.3</v>
      </c>
      <c r="D310" s="14">
        <v>1012</v>
      </c>
      <c r="E310" s="15">
        <v>990</v>
      </c>
      <c r="F310" s="14">
        <v>1023.7</v>
      </c>
      <c r="G310" s="15">
        <v>995</v>
      </c>
      <c r="H310" s="15">
        <v>991.95</v>
      </c>
      <c r="I310" s="15">
        <v>998.95</v>
      </c>
      <c r="J310" s="14">
        <v>1534.5</v>
      </c>
      <c r="K310" s="15">
        <v>990</v>
      </c>
      <c r="L310" s="15">
        <v>8223575</v>
      </c>
      <c r="M310" t="s" s="13">
        <v>7865</v>
      </c>
      <c r="N310" s="15">
        <v>264924</v>
      </c>
      <c r="O310" s="17" cm="1">
        <f t="array" ref="O310">(H310-H309)/H309</f>
        <v>-0.0310149457848979</v>
      </c>
    </row>
    <row r="311" ht="13.65" customHeight="1">
      <c r="A311" s="18">
        <v>44726</v>
      </c>
      <c r="B311" t="s" s="13">
        <v>22</v>
      </c>
      <c r="C311" s="15">
        <v>988.25</v>
      </c>
      <c r="D311" s="14">
        <v>1013.7</v>
      </c>
      <c r="E311" s="15">
        <v>985.55</v>
      </c>
      <c r="F311" s="15">
        <v>991.95</v>
      </c>
      <c r="G311" s="15">
        <v>997.05</v>
      </c>
      <c r="H311" s="15">
        <v>996.15</v>
      </c>
      <c r="I311" s="14">
        <v>1001.17</v>
      </c>
      <c r="J311" s="14">
        <v>1534.5</v>
      </c>
      <c r="K311" s="15">
        <v>985.55</v>
      </c>
      <c r="L311" s="15">
        <v>7720260</v>
      </c>
      <c r="M311" t="s" s="13">
        <v>7866</v>
      </c>
      <c r="N311" s="15">
        <v>173596</v>
      </c>
      <c r="O311" s="17" cm="1">
        <f t="array" ref="O311">(H311-H310)/H310</f>
        <v>0.00423408437925299</v>
      </c>
    </row>
    <row r="312" ht="13.65" customHeight="1">
      <c r="A312" s="18">
        <v>44727</v>
      </c>
      <c r="B312" t="s" s="13">
        <v>22</v>
      </c>
      <c r="C312" s="15">
        <v>953.95</v>
      </c>
      <c r="D312" s="15">
        <v>974.25</v>
      </c>
      <c r="E312" s="15">
        <v>950.65</v>
      </c>
      <c r="F312" s="15">
        <v>996.15</v>
      </c>
      <c r="G312" s="15">
        <v>960.5</v>
      </c>
      <c r="H312" s="15">
        <v>959.55</v>
      </c>
      <c r="I312" s="15">
        <v>961.7</v>
      </c>
      <c r="J312" s="14">
        <v>1534.5</v>
      </c>
      <c r="K312" s="15">
        <v>950.65</v>
      </c>
      <c r="L312" s="15">
        <v>9244333</v>
      </c>
      <c r="M312" t="s" s="13">
        <v>7867</v>
      </c>
      <c r="N312" s="15">
        <v>224117</v>
      </c>
      <c r="O312" s="17" cm="1">
        <f t="array" ref="O312">(H312-H311)/H311</f>
        <v>-0.0367414546002108</v>
      </c>
    </row>
    <row r="313" ht="13.65" customHeight="1">
      <c r="A313" s="18">
        <v>44728</v>
      </c>
      <c r="B313" t="s" s="13">
        <v>22</v>
      </c>
      <c r="C313" s="15">
        <v>975</v>
      </c>
      <c r="D313" s="15">
        <v>975</v>
      </c>
      <c r="E313" s="15">
        <v>898.2</v>
      </c>
      <c r="F313" s="15">
        <v>959.55</v>
      </c>
      <c r="G313" s="15">
        <v>898.65</v>
      </c>
      <c r="H313" s="15">
        <v>901.7</v>
      </c>
      <c r="I313" s="15">
        <v>931.04</v>
      </c>
      <c r="J313" s="14">
        <v>1534.5</v>
      </c>
      <c r="K313" s="15">
        <v>898.2</v>
      </c>
      <c r="L313" s="15">
        <v>12274105</v>
      </c>
      <c r="M313" t="s" s="13">
        <v>7868</v>
      </c>
      <c r="N313" s="15">
        <v>337857</v>
      </c>
      <c r="O313" s="17" cm="1">
        <f t="array" ref="O313">(H313-H312)/H312</f>
        <v>-0.0602886769840029</v>
      </c>
    </row>
    <row r="314" ht="13.65" customHeight="1">
      <c r="A314" s="18">
        <v>44729</v>
      </c>
      <c r="B314" t="s" s="13">
        <v>22</v>
      </c>
      <c r="C314" s="15">
        <v>898</v>
      </c>
      <c r="D314" s="15">
        <v>927.4</v>
      </c>
      <c r="E314" s="15">
        <v>895.5</v>
      </c>
      <c r="F314" s="15">
        <v>901.7</v>
      </c>
      <c r="G314" s="15">
        <v>907</v>
      </c>
      <c r="H314" s="15">
        <v>906.7</v>
      </c>
      <c r="I314" s="15">
        <v>912.33</v>
      </c>
      <c r="J314" s="14">
        <v>1534.5</v>
      </c>
      <c r="K314" s="15">
        <v>895.5</v>
      </c>
      <c r="L314" s="15">
        <v>12129026</v>
      </c>
      <c r="M314" t="s" s="13">
        <v>7869</v>
      </c>
      <c r="N314" s="15">
        <v>269485</v>
      </c>
      <c r="O314" s="17" cm="1">
        <f t="array" ref="O314">(H314-H313)/H313</f>
        <v>0.00554508151269824</v>
      </c>
    </row>
    <row r="315" ht="13.65" customHeight="1">
      <c r="A315" s="18">
        <v>44732</v>
      </c>
      <c r="B315" t="s" s="13">
        <v>22</v>
      </c>
      <c r="C315" s="15">
        <v>905</v>
      </c>
      <c r="D315" s="15">
        <v>905</v>
      </c>
      <c r="E315" s="15">
        <v>842.65</v>
      </c>
      <c r="F315" s="15">
        <v>906.7</v>
      </c>
      <c r="G315" s="15">
        <v>865</v>
      </c>
      <c r="H315" s="15">
        <v>861.4</v>
      </c>
      <c r="I315" s="15">
        <v>861.47</v>
      </c>
      <c r="J315" s="14">
        <v>1534.5</v>
      </c>
      <c r="K315" s="15">
        <v>842.65</v>
      </c>
      <c r="L315" s="15">
        <v>13986689</v>
      </c>
      <c r="M315" t="s" s="13">
        <v>7870</v>
      </c>
      <c r="N315" s="15">
        <v>296336</v>
      </c>
      <c r="O315" s="17" cm="1">
        <f t="array" ref="O315">(H315-H314)/H314</f>
        <v>-0.0499613984779971</v>
      </c>
    </row>
    <row r="316" ht="13.65" customHeight="1">
      <c r="A316" s="18">
        <v>44733</v>
      </c>
      <c r="B316" t="s" s="13">
        <v>22</v>
      </c>
      <c r="C316" s="15">
        <v>875</v>
      </c>
      <c r="D316" s="15">
        <v>895.5</v>
      </c>
      <c r="E316" s="15">
        <v>864</v>
      </c>
      <c r="F316" s="15">
        <v>861.4</v>
      </c>
      <c r="G316" s="15">
        <v>882.55</v>
      </c>
      <c r="H316" s="15">
        <v>884.8</v>
      </c>
      <c r="I316" s="15">
        <v>876.6</v>
      </c>
      <c r="J316" s="14">
        <v>1534.5</v>
      </c>
      <c r="K316" s="15">
        <v>842.65</v>
      </c>
      <c r="L316" s="15">
        <v>12452697</v>
      </c>
      <c r="M316" t="s" s="13">
        <v>7871</v>
      </c>
      <c r="N316" s="15">
        <v>223878</v>
      </c>
      <c r="O316" s="17" cm="1">
        <f t="array" ref="O316">(H316-H315)/H315</f>
        <v>0.0271650801021593</v>
      </c>
    </row>
    <row r="317" ht="13.65" customHeight="1">
      <c r="A317" s="18">
        <v>44734</v>
      </c>
      <c r="B317" t="s" s="13">
        <v>22</v>
      </c>
      <c r="C317" s="15">
        <v>872.95</v>
      </c>
      <c r="D317" s="15">
        <v>873.85</v>
      </c>
      <c r="E317" s="15">
        <v>835.7</v>
      </c>
      <c r="F317" s="15">
        <v>884.8</v>
      </c>
      <c r="G317" s="15">
        <v>836.8</v>
      </c>
      <c r="H317" s="15">
        <v>838.1</v>
      </c>
      <c r="I317" s="15">
        <v>849.47</v>
      </c>
      <c r="J317" s="14">
        <v>1534.5</v>
      </c>
      <c r="K317" s="15">
        <v>835.7</v>
      </c>
      <c r="L317" s="15">
        <v>10987739</v>
      </c>
      <c r="M317" t="s" s="13">
        <v>7872</v>
      </c>
      <c r="N317" s="15">
        <v>282263</v>
      </c>
      <c r="O317" s="17" cm="1">
        <f t="array" ref="O317">(H317-H316)/H316</f>
        <v>-0.0527802893309222</v>
      </c>
    </row>
    <row r="318" ht="13.65" customHeight="1">
      <c r="A318" s="18">
        <v>44735</v>
      </c>
      <c r="B318" t="s" s="13">
        <v>22</v>
      </c>
      <c r="C318" s="15">
        <v>840</v>
      </c>
      <c r="D318" s="15">
        <v>855.95</v>
      </c>
      <c r="E318" s="15">
        <v>827</v>
      </c>
      <c r="F318" s="15">
        <v>838.1</v>
      </c>
      <c r="G318" s="15">
        <v>840.75</v>
      </c>
      <c r="H318" s="15">
        <v>841.3</v>
      </c>
      <c r="I318" s="15">
        <v>841.5</v>
      </c>
      <c r="J318" s="14">
        <v>1534.5</v>
      </c>
      <c r="K318" s="15">
        <v>827</v>
      </c>
      <c r="L318" s="15">
        <v>11151584</v>
      </c>
      <c r="M318" t="s" s="13">
        <v>7873</v>
      </c>
      <c r="N318" s="15">
        <v>241728</v>
      </c>
      <c r="O318" s="17" cm="1">
        <f t="array" ref="O318">(H318-H317)/H317</f>
        <v>0.0038181601240902</v>
      </c>
    </row>
    <row r="319" ht="13.65" customHeight="1">
      <c r="A319" s="18">
        <v>44736</v>
      </c>
      <c r="B319" t="s" s="13">
        <v>22</v>
      </c>
      <c r="C319" s="15">
        <v>850</v>
      </c>
      <c r="D319" s="15">
        <v>864.75</v>
      </c>
      <c r="E319" s="15">
        <v>844.65</v>
      </c>
      <c r="F319" s="15">
        <v>841.3</v>
      </c>
      <c r="G319" s="15">
        <v>851.8</v>
      </c>
      <c r="H319" s="15">
        <v>852.85</v>
      </c>
      <c r="I319" s="15">
        <v>853.23</v>
      </c>
      <c r="J319" s="14">
        <v>1534.5</v>
      </c>
      <c r="K319" s="15">
        <v>827</v>
      </c>
      <c r="L319" s="15">
        <v>8543381</v>
      </c>
      <c r="M319" t="s" s="13">
        <v>7874</v>
      </c>
      <c r="N319" s="15">
        <v>180026</v>
      </c>
      <c r="O319" s="17" cm="1">
        <f t="array" ref="O319">(H319-H318)/H318</f>
        <v>0.0137287531201712</v>
      </c>
    </row>
    <row r="320" ht="13.65" customHeight="1">
      <c r="A320" s="18">
        <v>44739</v>
      </c>
      <c r="B320" t="s" s="13">
        <v>22</v>
      </c>
      <c r="C320" s="15">
        <v>870.5</v>
      </c>
      <c r="D320" s="15">
        <v>878.85</v>
      </c>
      <c r="E320" s="15">
        <v>863.05</v>
      </c>
      <c r="F320" s="15">
        <v>852.85</v>
      </c>
      <c r="G320" s="15">
        <v>867</v>
      </c>
      <c r="H320" s="15">
        <v>867.85</v>
      </c>
      <c r="I320" s="15">
        <v>870.4</v>
      </c>
      <c r="J320" s="14">
        <v>1534.5</v>
      </c>
      <c r="K320" s="15">
        <v>827</v>
      </c>
      <c r="L320" s="15">
        <v>7281473</v>
      </c>
      <c r="M320" t="s" s="13">
        <v>7875</v>
      </c>
      <c r="N320" s="15">
        <v>153032</v>
      </c>
      <c r="O320" s="17" cm="1">
        <f t="array" ref="O320">(H320-H319)/H319</f>
        <v>0.0175880870024037</v>
      </c>
    </row>
    <row r="321" ht="13.65" customHeight="1">
      <c r="A321" s="18">
        <v>44740</v>
      </c>
      <c r="B321" t="s" s="13">
        <v>22</v>
      </c>
      <c r="C321" s="15">
        <v>866</v>
      </c>
      <c r="D321" s="15">
        <v>884.4</v>
      </c>
      <c r="E321" s="15">
        <v>860.4</v>
      </c>
      <c r="F321" s="15">
        <v>867.85</v>
      </c>
      <c r="G321" s="15">
        <v>880</v>
      </c>
      <c r="H321" s="15">
        <v>878.9</v>
      </c>
      <c r="I321" s="15">
        <v>873.85</v>
      </c>
      <c r="J321" s="14">
        <v>1534.5</v>
      </c>
      <c r="K321" s="15">
        <v>827</v>
      </c>
      <c r="L321" s="15">
        <v>8464733</v>
      </c>
      <c r="M321" t="s" s="13">
        <v>7876</v>
      </c>
      <c r="N321" s="15">
        <v>169907</v>
      </c>
      <c r="O321" s="17" cm="1">
        <f t="array" ref="O321">(H321-H320)/H320</f>
        <v>0.0127326150832517</v>
      </c>
    </row>
    <row r="322" ht="13.65" customHeight="1">
      <c r="A322" s="18">
        <v>44741</v>
      </c>
      <c r="B322" t="s" s="13">
        <v>22</v>
      </c>
      <c r="C322" s="15">
        <v>870</v>
      </c>
      <c r="D322" s="15">
        <v>888.8</v>
      </c>
      <c r="E322" s="15">
        <v>868.5</v>
      </c>
      <c r="F322" s="15">
        <v>878.9</v>
      </c>
      <c r="G322" s="15">
        <v>879</v>
      </c>
      <c r="H322" s="15">
        <v>881.6</v>
      </c>
      <c r="I322" s="15">
        <v>881.03</v>
      </c>
      <c r="J322" s="14">
        <v>1534.5</v>
      </c>
      <c r="K322" s="15">
        <v>827</v>
      </c>
      <c r="L322" s="15">
        <v>7231847</v>
      </c>
      <c r="M322" t="s" s="13">
        <v>7877</v>
      </c>
      <c r="N322" s="15">
        <v>167663</v>
      </c>
      <c r="O322" s="17" cm="1">
        <f t="array" ref="O322">(H322-H321)/H321</f>
        <v>0.00307202184548868</v>
      </c>
    </row>
    <row r="323" ht="13.65" customHeight="1">
      <c r="A323" s="18">
        <v>44742</v>
      </c>
      <c r="B323" t="s" s="13">
        <v>22</v>
      </c>
      <c r="C323" s="15">
        <v>881.5</v>
      </c>
      <c r="D323" s="15">
        <v>894.5</v>
      </c>
      <c r="E323" s="15">
        <v>863.3</v>
      </c>
      <c r="F323" s="15">
        <v>881.6</v>
      </c>
      <c r="G323" s="15">
        <v>864.5</v>
      </c>
      <c r="H323" s="15">
        <v>867.05</v>
      </c>
      <c r="I323" s="15">
        <v>877.46</v>
      </c>
      <c r="J323" s="14">
        <v>1534.5</v>
      </c>
      <c r="K323" s="15">
        <v>827</v>
      </c>
      <c r="L323" s="15">
        <v>8467209</v>
      </c>
      <c r="M323" t="s" s="13">
        <v>7878</v>
      </c>
      <c r="N323" s="15">
        <v>211151</v>
      </c>
      <c r="O323" s="17" cm="1">
        <f t="array" ref="O323">(H323-H322)/H322</f>
        <v>-0.0165040834845735</v>
      </c>
    </row>
    <row r="324" ht="13.65" customHeight="1">
      <c r="A324" s="12">
        <v>44743</v>
      </c>
      <c r="B324" t="s" s="13">
        <v>22</v>
      </c>
      <c r="C324" s="15">
        <v>866.95</v>
      </c>
      <c r="D324" s="15">
        <v>875</v>
      </c>
      <c r="E324" s="15">
        <v>859.1</v>
      </c>
      <c r="F324" s="15">
        <v>867.05</v>
      </c>
      <c r="G324" s="15">
        <v>871.2</v>
      </c>
      <c r="H324" s="15">
        <v>872.85</v>
      </c>
      <c r="I324" s="15">
        <v>866.84</v>
      </c>
      <c r="J324" s="14">
        <v>1534.5</v>
      </c>
      <c r="K324" s="15">
        <v>827</v>
      </c>
      <c r="L324" s="15">
        <v>5476189</v>
      </c>
      <c r="M324" t="s" s="13">
        <v>7879</v>
      </c>
      <c r="N324" s="15">
        <v>123156</v>
      </c>
      <c r="O324" s="17" cm="1">
        <f t="array" ref="O324">(H324-H323)/H323</f>
        <v>0.0066893489418142</v>
      </c>
    </row>
    <row r="325" ht="13.65" customHeight="1">
      <c r="A325" s="12">
        <v>44746</v>
      </c>
      <c r="B325" t="s" s="13">
        <v>22</v>
      </c>
      <c r="C325" s="15">
        <v>868.5</v>
      </c>
      <c r="D325" s="15">
        <v>871.2</v>
      </c>
      <c r="E325" s="15">
        <v>843.3</v>
      </c>
      <c r="F325" s="15">
        <v>872.85</v>
      </c>
      <c r="G325" s="15">
        <v>854.9</v>
      </c>
      <c r="H325" s="15">
        <v>854.55</v>
      </c>
      <c r="I325" s="15">
        <v>851.17</v>
      </c>
      <c r="J325" s="14">
        <v>1534.5</v>
      </c>
      <c r="K325" s="15">
        <v>827</v>
      </c>
      <c r="L325" s="15">
        <v>7755441</v>
      </c>
      <c r="M325" t="s" s="13">
        <v>7880</v>
      </c>
      <c r="N325" s="15">
        <v>178798</v>
      </c>
      <c r="O325" s="17" cm="1">
        <f t="array" ref="O325">(H325-H324)/H324</f>
        <v>-0.0209658016841382</v>
      </c>
    </row>
    <row r="326" ht="13.65" customHeight="1">
      <c r="A326" s="12">
        <v>44747</v>
      </c>
      <c r="B326" t="s" s="13">
        <v>22</v>
      </c>
      <c r="C326" s="15">
        <v>862</v>
      </c>
      <c r="D326" s="15">
        <v>879.2</v>
      </c>
      <c r="E326" s="15">
        <v>857.8</v>
      </c>
      <c r="F326" s="15">
        <v>854.55</v>
      </c>
      <c r="G326" s="15">
        <v>859.95</v>
      </c>
      <c r="H326" s="15">
        <v>860.15</v>
      </c>
      <c r="I326" s="15">
        <v>868.5599999999999</v>
      </c>
      <c r="J326" s="14">
        <v>1534.5</v>
      </c>
      <c r="K326" s="15">
        <v>827</v>
      </c>
      <c r="L326" s="15">
        <v>7905829</v>
      </c>
      <c r="M326" t="s" s="13">
        <v>7881</v>
      </c>
      <c r="N326" s="15">
        <v>165787</v>
      </c>
      <c r="O326" s="17" cm="1">
        <f t="array" ref="O326">(H326-H325)/H325</f>
        <v>0.00655315663214557</v>
      </c>
    </row>
    <row r="327" ht="13.65" customHeight="1">
      <c r="A327" s="12">
        <v>44748</v>
      </c>
      <c r="B327" t="s" s="13">
        <v>22</v>
      </c>
      <c r="C327" s="15">
        <v>858.45</v>
      </c>
      <c r="D327" s="15">
        <v>861.1</v>
      </c>
      <c r="E327" s="15">
        <v>838.05</v>
      </c>
      <c r="F327" s="15">
        <v>860.15</v>
      </c>
      <c r="G327" s="15">
        <v>859</v>
      </c>
      <c r="H327" s="15">
        <v>858.15</v>
      </c>
      <c r="I327" s="15">
        <v>847.67</v>
      </c>
      <c r="J327" s="14">
        <v>1534.5</v>
      </c>
      <c r="K327" s="15">
        <v>827</v>
      </c>
      <c r="L327" s="15">
        <v>8143971</v>
      </c>
      <c r="M327" t="s" s="13">
        <v>7882</v>
      </c>
      <c r="N327" s="15">
        <v>180324</v>
      </c>
      <c r="O327" s="17" cm="1">
        <f t="array" ref="O327">(H327-H326)/H326</f>
        <v>-0.00232517584142301</v>
      </c>
    </row>
    <row r="328" ht="13.65" customHeight="1">
      <c r="A328" s="12">
        <v>44749</v>
      </c>
      <c r="B328" t="s" s="13">
        <v>22</v>
      </c>
      <c r="C328" s="15">
        <v>867</v>
      </c>
      <c r="D328" s="15">
        <v>906.55</v>
      </c>
      <c r="E328" s="15">
        <v>858.5</v>
      </c>
      <c r="F328" s="15">
        <v>858.15</v>
      </c>
      <c r="G328" s="15">
        <v>906.5</v>
      </c>
      <c r="H328" s="15">
        <v>900</v>
      </c>
      <c r="I328" s="15">
        <v>881.13</v>
      </c>
      <c r="J328" s="14">
        <v>1534.5</v>
      </c>
      <c r="K328" s="15">
        <v>827</v>
      </c>
      <c r="L328" s="15">
        <v>11100794</v>
      </c>
      <c r="M328" t="s" s="13">
        <v>7883</v>
      </c>
      <c r="N328" s="15">
        <v>191485</v>
      </c>
      <c r="O328" s="17" cm="1">
        <f t="array" ref="O328">(H328-H327)/H327</f>
        <v>0.048767697954903</v>
      </c>
    </row>
    <row r="329" ht="13.65" customHeight="1">
      <c r="A329" s="12">
        <v>44750</v>
      </c>
      <c r="B329" t="s" s="13">
        <v>22</v>
      </c>
      <c r="C329" s="15">
        <v>917.9</v>
      </c>
      <c r="D329" s="15">
        <v>917.9</v>
      </c>
      <c r="E329" s="15">
        <v>880.5</v>
      </c>
      <c r="F329" s="15">
        <v>900</v>
      </c>
      <c r="G329" s="15">
        <v>885.25</v>
      </c>
      <c r="H329" s="15">
        <v>885.9</v>
      </c>
      <c r="I329" s="15">
        <v>889.86</v>
      </c>
      <c r="J329" s="14">
        <v>1534.5</v>
      </c>
      <c r="K329" s="15">
        <v>827</v>
      </c>
      <c r="L329" s="15">
        <v>11200063</v>
      </c>
      <c r="M329" t="s" s="13">
        <v>7884</v>
      </c>
      <c r="N329" s="15">
        <v>192857</v>
      </c>
      <c r="O329" s="17" cm="1">
        <f t="array" ref="O329">(H329-H328)/H328</f>
        <v>-0.0156666666666667</v>
      </c>
    </row>
    <row r="330" ht="13.65" customHeight="1">
      <c r="A330" s="18">
        <v>44753</v>
      </c>
      <c r="B330" t="s" s="13">
        <v>22</v>
      </c>
      <c r="C330" s="15">
        <v>885.2</v>
      </c>
      <c r="D330" s="15">
        <v>929</v>
      </c>
      <c r="E330" s="15">
        <v>875.05</v>
      </c>
      <c r="F330" s="15">
        <v>885.9</v>
      </c>
      <c r="G330" s="15">
        <v>912.9</v>
      </c>
      <c r="H330" s="15">
        <v>912.75</v>
      </c>
      <c r="I330" s="15">
        <v>907.9299999999999</v>
      </c>
      <c r="J330" s="14">
        <v>1534.5</v>
      </c>
      <c r="K330" s="15">
        <v>827</v>
      </c>
      <c r="L330" s="15">
        <v>15019334</v>
      </c>
      <c r="M330" t="s" s="13">
        <v>7885</v>
      </c>
      <c r="N330" s="15">
        <v>247195</v>
      </c>
      <c r="O330" s="17" cm="1">
        <f t="array" ref="O330">(H330-H329)/H329</f>
        <v>0.0303081611920081</v>
      </c>
    </row>
    <row r="331" ht="13.65" customHeight="1">
      <c r="A331" s="18">
        <v>44754</v>
      </c>
      <c r="B331" t="s" s="13">
        <v>22</v>
      </c>
      <c r="C331" s="15">
        <v>904.9</v>
      </c>
      <c r="D331" s="15">
        <v>915.95</v>
      </c>
      <c r="E331" s="15">
        <v>893.6</v>
      </c>
      <c r="F331" s="15">
        <v>912.75</v>
      </c>
      <c r="G331" s="15">
        <v>902</v>
      </c>
      <c r="H331" s="15">
        <v>902.1</v>
      </c>
      <c r="I331" s="15">
        <v>902.2</v>
      </c>
      <c r="J331" s="14">
        <v>1534.5</v>
      </c>
      <c r="K331" s="15">
        <v>827</v>
      </c>
      <c r="L331" s="15">
        <v>10017505</v>
      </c>
      <c r="M331" t="s" s="13">
        <v>7886</v>
      </c>
      <c r="N331" s="15">
        <v>179371</v>
      </c>
      <c r="O331" s="17" cm="1">
        <f t="array" ref="O331">(H331-H330)/H330</f>
        <v>-0.0116680361544782</v>
      </c>
    </row>
    <row r="332" ht="13.65" customHeight="1">
      <c r="A332" s="18">
        <v>44755</v>
      </c>
      <c r="B332" t="s" s="13">
        <v>22</v>
      </c>
      <c r="C332" s="15">
        <v>905.95</v>
      </c>
      <c r="D332" s="15">
        <v>914.2</v>
      </c>
      <c r="E332" s="15">
        <v>900.65</v>
      </c>
      <c r="F332" s="15">
        <v>902.1</v>
      </c>
      <c r="G332" s="15">
        <v>903.7</v>
      </c>
      <c r="H332" s="15">
        <v>904.85</v>
      </c>
      <c r="I332" s="15">
        <v>906.95</v>
      </c>
      <c r="J332" s="14">
        <v>1534.5</v>
      </c>
      <c r="K332" s="15">
        <v>827</v>
      </c>
      <c r="L332" s="15">
        <v>7013511</v>
      </c>
      <c r="M332" t="s" s="13">
        <v>7887</v>
      </c>
      <c r="N332" s="15">
        <v>128092</v>
      </c>
      <c r="O332" s="17" cm="1">
        <f t="array" ref="O332">(H332-H331)/H331</f>
        <v>0.00304844252300188</v>
      </c>
    </row>
    <row r="333" ht="13.65" customHeight="1">
      <c r="A333" s="18">
        <v>44756</v>
      </c>
      <c r="B333" t="s" s="13">
        <v>22</v>
      </c>
      <c r="C333" s="15">
        <v>910</v>
      </c>
      <c r="D333" s="15">
        <v>911</v>
      </c>
      <c r="E333" s="15">
        <v>895</v>
      </c>
      <c r="F333" s="15">
        <v>904.85</v>
      </c>
      <c r="G333" s="15">
        <v>908</v>
      </c>
      <c r="H333" s="15">
        <v>908</v>
      </c>
      <c r="I333" s="15">
        <v>903.26</v>
      </c>
      <c r="J333" s="14">
        <v>1534.5</v>
      </c>
      <c r="K333" s="15">
        <v>827</v>
      </c>
      <c r="L333" s="15">
        <v>7449858</v>
      </c>
      <c r="M333" t="s" s="13">
        <v>7888</v>
      </c>
      <c r="N333" s="15">
        <v>126538</v>
      </c>
      <c r="O333" s="17" cm="1">
        <f t="array" ref="O333">(H333-H332)/H332</f>
        <v>0.00348123998452782</v>
      </c>
    </row>
    <row r="334" ht="13.65" customHeight="1">
      <c r="A334" s="18">
        <v>44757</v>
      </c>
      <c r="B334" t="s" s="13">
        <v>22</v>
      </c>
      <c r="C334" s="15">
        <v>905</v>
      </c>
      <c r="D334" s="15">
        <v>910.3</v>
      </c>
      <c r="E334" s="15">
        <v>877.5</v>
      </c>
      <c r="F334" s="15">
        <v>908</v>
      </c>
      <c r="G334" s="15">
        <v>884.05</v>
      </c>
      <c r="H334" s="15">
        <v>883.8</v>
      </c>
      <c r="I334" s="15">
        <v>891.3099999999999</v>
      </c>
      <c r="J334" s="14">
        <v>1534.5</v>
      </c>
      <c r="K334" s="15">
        <v>827</v>
      </c>
      <c r="L334" s="15">
        <v>8125351</v>
      </c>
      <c r="M334" t="s" s="13">
        <v>7889</v>
      </c>
      <c r="N334" s="15">
        <v>168508</v>
      </c>
      <c r="O334" s="17" cm="1">
        <f t="array" ref="O334">(H334-H333)/H333</f>
        <v>-0.0266519823788546</v>
      </c>
    </row>
    <row r="335" ht="13.65" customHeight="1">
      <c r="A335" s="18">
        <v>44760</v>
      </c>
      <c r="B335" t="s" s="13">
        <v>22</v>
      </c>
      <c r="C335" s="15">
        <v>897</v>
      </c>
      <c r="D335" s="15">
        <v>908</v>
      </c>
      <c r="E335" s="15">
        <v>892.25</v>
      </c>
      <c r="F335" s="15">
        <v>883.8</v>
      </c>
      <c r="G335" s="15">
        <v>904</v>
      </c>
      <c r="H335" s="15">
        <v>904.3</v>
      </c>
      <c r="I335" s="15">
        <v>900.76</v>
      </c>
      <c r="J335" s="14">
        <v>1534.5</v>
      </c>
      <c r="K335" s="15">
        <v>827</v>
      </c>
      <c r="L335" s="15">
        <v>7306081</v>
      </c>
      <c r="M335" t="s" s="13">
        <v>7890</v>
      </c>
      <c r="N335" s="15">
        <v>142942</v>
      </c>
      <c r="O335" s="17" cm="1">
        <f t="array" ref="O335">(H335-H334)/H334</f>
        <v>0.0231952930527269</v>
      </c>
    </row>
    <row r="336" ht="13.65" customHeight="1">
      <c r="A336" s="18">
        <v>44761</v>
      </c>
      <c r="B336" t="s" s="13">
        <v>22</v>
      </c>
      <c r="C336" s="15">
        <v>901</v>
      </c>
      <c r="D336" s="15">
        <v>921.9</v>
      </c>
      <c r="E336" s="15">
        <v>901</v>
      </c>
      <c r="F336" s="15">
        <v>904.3</v>
      </c>
      <c r="G336" s="15">
        <v>920</v>
      </c>
      <c r="H336" s="15">
        <v>919.45</v>
      </c>
      <c r="I336" s="15">
        <v>916.9400000000001</v>
      </c>
      <c r="J336" s="14">
        <v>1534.5</v>
      </c>
      <c r="K336" s="15">
        <v>827</v>
      </c>
      <c r="L336" s="15">
        <v>8534158</v>
      </c>
      <c r="M336" t="s" s="13">
        <v>7891</v>
      </c>
      <c r="N336" s="15">
        <v>158735</v>
      </c>
      <c r="O336" s="17" cm="1">
        <f t="array" ref="O336">(H336-H335)/H335</f>
        <v>0.0167532898374433</v>
      </c>
    </row>
    <row r="337" ht="13.65" customHeight="1">
      <c r="A337" s="18">
        <v>44762</v>
      </c>
      <c r="B337" t="s" s="13">
        <v>22</v>
      </c>
      <c r="C337" s="15">
        <v>935.95</v>
      </c>
      <c r="D337" s="15">
        <v>938</v>
      </c>
      <c r="E337" s="15">
        <v>925.2</v>
      </c>
      <c r="F337" s="15">
        <v>919.45</v>
      </c>
      <c r="G337" s="15">
        <v>926.5</v>
      </c>
      <c r="H337" s="15">
        <v>928.45</v>
      </c>
      <c r="I337" s="15">
        <v>931.58</v>
      </c>
      <c r="J337" s="14">
        <v>1534.5</v>
      </c>
      <c r="K337" s="15">
        <v>827</v>
      </c>
      <c r="L337" s="15">
        <v>7708865</v>
      </c>
      <c r="M337" t="s" s="13">
        <v>7892</v>
      </c>
      <c r="N337" s="15">
        <v>169795</v>
      </c>
      <c r="O337" s="17" cm="1">
        <f t="array" ref="O337">(H337-H336)/H336</f>
        <v>0.009788460492685841</v>
      </c>
    </row>
    <row r="338" ht="13.65" customHeight="1">
      <c r="A338" s="18">
        <v>44763</v>
      </c>
      <c r="B338" t="s" s="13">
        <v>22</v>
      </c>
      <c r="C338" s="15">
        <v>930</v>
      </c>
      <c r="D338" s="15">
        <v>938.85</v>
      </c>
      <c r="E338" s="15">
        <v>924.5</v>
      </c>
      <c r="F338" s="15">
        <v>928.45</v>
      </c>
      <c r="G338" s="15">
        <v>936</v>
      </c>
      <c r="H338" s="15">
        <v>934.3</v>
      </c>
      <c r="I338" s="15">
        <v>933.79</v>
      </c>
      <c r="J338" s="14">
        <v>1534.5</v>
      </c>
      <c r="K338" s="15">
        <v>827</v>
      </c>
      <c r="L338" s="15">
        <v>5087714</v>
      </c>
      <c r="M338" t="s" s="13">
        <v>7893</v>
      </c>
      <c r="N338" s="15">
        <v>109848</v>
      </c>
      <c r="O338" s="17" cm="1">
        <f t="array" ref="O338">(H338-H337)/H337</f>
        <v>0.00630082395390166</v>
      </c>
    </row>
    <row r="339" ht="13.65" customHeight="1">
      <c r="A339" s="18">
        <v>44764</v>
      </c>
      <c r="B339" t="s" s="13">
        <v>22</v>
      </c>
      <c r="C339" s="15">
        <v>942.5</v>
      </c>
      <c r="D339" s="15">
        <v>944</v>
      </c>
      <c r="E339" s="15">
        <v>932</v>
      </c>
      <c r="F339" s="15">
        <v>934.3</v>
      </c>
      <c r="G339" s="15">
        <v>935.9</v>
      </c>
      <c r="H339" s="15">
        <v>936.05</v>
      </c>
      <c r="I339" s="15">
        <v>938.09</v>
      </c>
      <c r="J339" s="14">
        <v>1534.5</v>
      </c>
      <c r="K339" s="15">
        <v>827</v>
      </c>
      <c r="L339" s="15">
        <v>4860894</v>
      </c>
      <c r="M339" t="s" s="13">
        <v>7894</v>
      </c>
      <c r="N339" s="15">
        <v>110550</v>
      </c>
      <c r="O339" s="17" cm="1">
        <f t="array" ref="O339">(H339-H338)/H338</f>
        <v>0.00187306004495344</v>
      </c>
    </row>
    <row r="340" ht="13.65" customHeight="1">
      <c r="A340" s="18">
        <v>44767</v>
      </c>
      <c r="B340" t="s" s="13">
        <v>22</v>
      </c>
      <c r="C340" s="15">
        <v>935</v>
      </c>
      <c r="D340" s="15">
        <v>964.85</v>
      </c>
      <c r="E340" s="15">
        <v>933.6</v>
      </c>
      <c r="F340" s="15">
        <v>936.05</v>
      </c>
      <c r="G340" s="15">
        <v>964.7</v>
      </c>
      <c r="H340" s="15">
        <v>960.7</v>
      </c>
      <c r="I340" s="15">
        <v>955.02</v>
      </c>
      <c r="J340" s="14">
        <v>1534.5</v>
      </c>
      <c r="K340" s="15">
        <v>827</v>
      </c>
      <c r="L340" s="15">
        <v>9963563</v>
      </c>
      <c r="M340" t="s" s="13">
        <v>7895</v>
      </c>
      <c r="N340" s="15">
        <v>205117</v>
      </c>
      <c r="O340" s="17" cm="1">
        <f t="array" ref="O340">(H340-H339)/H339</f>
        <v>0.0263340633513167</v>
      </c>
    </row>
    <row r="341" ht="13.65" customHeight="1">
      <c r="A341" s="18">
        <v>44768</v>
      </c>
      <c r="B341" t="s" s="13">
        <v>22</v>
      </c>
      <c r="C341" s="15">
        <v>972</v>
      </c>
      <c r="D341" s="15">
        <v>976.7</v>
      </c>
      <c r="E341" s="15">
        <v>946.05</v>
      </c>
      <c r="F341" s="15">
        <v>960.7</v>
      </c>
      <c r="G341" s="15">
        <v>947.95</v>
      </c>
      <c r="H341" s="15">
        <v>949.5</v>
      </c>
      <c r="I341" s="15">
        <v>959.86</v>
      </c>
      <c r="J341" s="14">
        <v>1534.5</v>
      </c>
      <c r="K341" s="15">
        <v>827</v>
      </c>
      <c r="L341" s="15">
        <v>12626469</v>
      </c>
      <c r="M341" t="s" s="13">
        <v>7896</v>
      </c>
      <c r="N341" s="15">
        <v>228226</v>
      </c>
      <c r="O341" s="17" cm="1">
        <f t="array" ref="O341">(H341-H340)/H340</f>
        <v>-0.0116581659206828</v>
      </c>
    </row>
    <row r="342" ht="13.65" customHeight="1">
      <c r="A342" s="18">
        <v>44769</v>
      </c>
      <c r="B342" t="s" s="13">
        <v>22</v>
      </c>
      <c r="C342" s="15">
        <v>951</v>
      </c>
      <c r="D342" s="15">
        <v>961.55</v>
      </c>
      <c r="E342" s="15">
        <v>943.6</v>
      </c>
      <c r="F342" s="15">
        <v>949.5</v>
      </c>
      <c r="G342" s="15">
        <v>960.4</v>
      </c>
      <c r="H342" s="15">
        <v>959.4</v>
      </c>
      <c r="I342" s="15">
        <v>953.4299999999999</v>
      </c>
      <c r="J342" s="14">
        <v>1534.5</v>
      </c>
      <c r="K342" s="15">
        <v>827</v>
      </c>
      <c r="L342" s="15">
        <v>5255902</v>
      </c>
      <c r="M342" t="s" s="13">
        <v>7897</v>
      </c>
      <c r="N342" s="15">
        <v>144783</v>
      </c>
      <c r="O342" s="17" cm="1">
        <f t="array" ref="O342">(H342-H341)/H341</f>
        <v>0.0104265402843602</v>
      </c>
    </row>
    <row r="343" ht="13.65" customHeight="1">
      <c r="A343" s="18">
        <v>44770</v>
      </c>
      <c r="B343" t="s" s="13">
        <v>22</v>
      </c>
      <c r="C343" s="15">
        <v>98.09999999999999</v>
      </c>
      <c r="D343" s="15">
        <v>102</v>
      </c>
      <c r="E343" s="15">
        <v>97.15000000000001</v>
      </c>
      <c r="F343" s="15">
        <v>959.4</v>
      </c>
      <c r="G343" s="15">
        <v>100.2</v>
      </c>
      <c r="H343" s="15">
        <v>100.35</v>
      </c>
      <c r="I343" s="15">
        <v>99.48</v>
      </c>
      <c r="J343" s="14">
        <v>1534.5</v>
      </c>
      <c r="K343" s="15">
        <v>97.15000000000001</v>
      </c>
      <c r="L343" s="15">
        <v>137156107</v>
      </c>
      <c r="M343" t="s" s="13">
        <v>7898</v>
      </c>
      <c r="N343" s="15">
        <v>628262</v>
      </c>
      <c r="O343" s="17" cm="1">
        <f t="array" ref="O343">(H343-H342)/H342</f>
        <v>-0.895403377110694</v>
      </c>
    </row>
    <row r="344" ht="13.65" customHeight="1">
      <c r="A344" s="18">
        <v>44771</v>
      </c>
      <c r="B344" t="s" s="13">
        <v>22</v>
      </c>
      <c r="C344" s="15">
        <v>103</v>
      </c>
      <c r="D344" s="15">
        <v>109.3</v>
      </c>
      <c r="E344" s="15">
        <v>102.15</v>
      </c>
      <c r="F344" s="15">
        <v>100.35</v>
      </c>
      <c r="G344" s="15">
        <v>107.8</v>
      </c>
      <c r="H344" s="15">
        <v>107.6</v>
      </c>
      <c r="I344" s="15">
        <v>106.71</v>
      </c>
      <c r="J344" s="14">
        <v>1534.5</v>
      </c>
      <c r="K344" s="15">
        <v>97.15000000000001</v>
      </c>
      <c r="L344" s="15">
        <v>166959934</v>
      </c>
      <c r="M344" t="s" s="13">
        <v>7899</v>
      </c>
      <c r="N344" s="15">
        <v>618198</v>
      </c>
      <c r="O344" s="17" cm="1">
        <f t="array" ref="O344">(H344-H343)/H343</f>
        <v>0.0722471350274041</v>
      </c>
    </row>
    <row r="345" ht="13.65" customHeight="1">
      <c r="A345" s="12">
        <v>44774</v>
      </c>
      <c r="B345" t="s" s="13">
        <v>22</v>
      </c>
      <c r="C345" s="15">
        <v>110.5</v>
      </c>
      <c r="D345" s="15">
        <v>111.45</v>
      </c>
      <c r="E345" s="15">
        <v>106.15</v>
      </c>
      <c r="F345" s="15">
        <v>107.6</v>
      </c>
      <c r="G345" s="15">
        <v>108.25</v>
      </c>
      <c r="H345" s="15">
        <v>108.25</v>
      </c>
      <c r="I345" s="15">
        <v>108.42</v>
      </c>
      <c r="J345" s="14">
        <v>1534.5</v>
      </c>
      <c r="K345" s="15">
        <v>97.15000000000001</v>
      </c>
      <c r="L345" s="15">
        <v>125365761</v>
      </c>
      <c r="M345" t="s" s="13">
        <v>7900</v>
      </c>
      <c r="N345" s="15">
        <v>468883</v>
      </c>
      <c r="O345" s="17" cm="1">
        <f t="array" ref="O345">(H345-H344)/H344</f>
        <v>0.00604089219330855</v>
      </c>
    </row>
    <row r="346" ht="13.65" customHeight="1">
      <c r="A346" s="12">
        <v>44775</v>
      </c>
      <c r="B346" t="s" s="13">
        <v>22</v>
      </c>
      <c r="C346" s="15">
        <v>108</v>
      </c>
      <c r="D346" s="15">
        <v>108</v>
      </c>
      <c r="E346" s="15">
        <v>105.35</v>
      </c>
      <c r="F346" s="15">
        <v>108.25</v>
      </c>
      <c r="G346" s="15">
        <v>106.9</v>
      </c>
      <c r="H346" s="15">
        <v>107</v>
      </c>
      <c r="I346" s="15">
        <v>106.84</v>
      </c>
      <c r="J346" s="14">
        <v>1534.5</v>
      </c>
      <c r="K346" s="15">
        <v>97.15000000000001</v>
      </c>
      <c r="L346" s="15">
        <v>64935371</v>
      </c>
      <c r="M346" t="s" s="13">
        <v>7901</v>
      </c>
      <c r="N346" s="15">
        <v>279505</v>
      </c>
      <c r="O346" s="17" cm="1">
        <f t="array" ref="O346">(H346-H345)/H345</f>
        <v>-0.0115473441108545</v>
      </c>
    </row>
    <row r="347" ht="13.65" customHeight="1">
      <c r="A347" s="12">
        <v>44776</v>
      </c>
      <c r="B347" t="s" s="13">
        <v>22</v>
      </c>
      <c r="C347" s="15">
        <v>107</v>
      </c>
      <c r="D347" s="15">
        <v>108.45</v>
      </c>
      <c r="E347" s="15">
        <v>106</v>
      </c>
      <c r="F347" s="15">
        <v>107</v>
      </c>
      <c r="G347" s="15">
        <v>107.1</v>
      </c>
      <c r="H347" s="15">
        <v>107.05</v>
      </c>
      <c r="I347" s="15">
        <v>106.93</v>
      </c>
      <c r="J347" s="14">
        <v>1534.5</v>
      </c>
      <c r="K347" s="15">
        <v>97.15000000000001</v>
      </c>
      <c r="L347" s="15">
        <v>61428846</v>
      </c>
      <c r="M347" t="s" s="13">
        <v>7902</v>
      </c>
      <c r="N347" s="15">
        <v>235976</v>
      </c>
      <c r="O347" s="17" cm="1">
        <f t="array" ref="O347">(H347-H346)/H346</f>
        <v>0.000467289719626168</v>
      </c>
    </row>
    <row r="348" ht="13.65" customHeight="1">
      <c r="A348" s="12">
        <v>44777</v>
      </c>
      <c r="B348" t="s" s="13">
        <v>22</v>
      </c>
      <c r="C348" s="15">
        <v>107.5</v>
      </c>
      <c r="D348" s="15">
        <v>109.5</v>
      </c>
      <c r="E348" s="15">
        <v>106.05</v>
      </c>
      <c r="F348" s="15">
        <v>107.05</v>
      </c>
      <c r="G348" s="15">
        <v>107.6</v>
      </c>
      <c r="H348" s="15">
        <v>107.7</v>
      </c>
      <c r="I348" s="15">
        <v>107.86</v>
      </c>
      <c r="J348" s="14">
        <v>1534.5</v>
      </c>
      <c r="K348" s="15">
        <v>97.15000000000001</v>
      </c>
      <c r="L348" s="15">
        <v>79526154</v>
      </c>
      <c r="M348" t="s" s="13">
        <v>7903</v>
      </c>
      <c r="N348" s="15">
        <v>275745</v>
      </c>
      <c r="O348" s="17" cm="1">
        <f t="array" ref="O348">(H348-H347)/H347</f>
        <v>0.00607192900513779</v>
      </c>
    </row>
    <row r="349" ht="13.65" customHeight="1">
      <c r="A349" s="12">
        <v>44778</v>
      </c>
      <c r="B349" t="s" s="13">
        <v>22</v>
      </c>
      <c r="C349" s="15">
        <v>107.65</v>
      </c>
      <c r="D349" s="15">
        <v>109.25</v>
      </c>
      <c r="E349" s="15">
        <v>107.1</v>
      </c>
      <c r="F349" s="15">
        <v>107.7</v>
      </c>
      <c r="G349" s="15">
        <v>107.3</v>
      </c>
      <c r="H349" s="15">
        <v>107.35</v>
      </c>
      <c r="I349" s="15">
        <v>108.04</v>
      </c>
      <c r="J349" s="14">
        <v>1534.5</v>
      </c>
      <c r="K349" s="15">
        <v>97.15000000000001</v>
      </c>
      <c r="L349" s="15">
        <v>54469112</v>
      </c>
      <c r="M349" t="s" s="13">
        <v>7904</v>
      </c>
      <c r="N349" s="15">
        <v>179580</v>
      </c>
      <c r="O349" s="17" cm="1">
        <f t="array" ref="O349">(H349-H348)/H348</f>
        <v>-0.00324976787372331</v>
      </c>
    </row>
    <row r="350" ht="13.65" customHeight="1">
      <c r="A350" s="12">
        <v>44781</v>
      </c>
      <c r="B350" t="s" s="13">
        <v>22</v>
      </c>
      <c r="C350" s="15">
        <v>107.85</v>
      </c>
      <c r="D350" s="15">
        <v>108.15</v>
      </c>
      <c r="E350" s="15">
        <v>106.7</v>
      </c>
      <c r="F350" s="15">
        <v>107.35</v>
      </c>
      <c r="G350" s="15">
        <v>107.25</v>
      </c>
      <c r="H350" s="15">
        <v>107.2</v>
      </c>
      <c r="I350" s="15">
        <v>107.35</v>
      </c>
      <c r="J350" s="14">
        <v>1534.5</v>
      </c>
      <c r="K350" s="15">
        <v>97.15000000000001</v>
      </c>
      <c r="L350" s="15">
        <v>41384943</v>
      </c>
      <c r="M350" t="s" s="13">
        <v>7905</v>
      </c>
      <c r="N350" s="15">
        <v>162485</v>
      </c>
      <c r="O350" s="17" cm="1">
        <f t="array" ref="O350">(H350-H349)/H349</f>
        <v>-0.00139729855612483</v>
      </c>
    </row>
    <row r="351" ht="13.65" customHeight="1">
      <c r="A351" s="18">
        <v>44783</v>
      </c>
      <c r="B351" t="s" s="13">
        <v>22</v>
      </c>
      <c r="C351" s="15">
        <v>107.9</v>
      </c>
      <c r="D351" s="15">
        <v>109.9</v>
      </c>
      <c r="E351" s="15">
        <v>106.5</v>
      </c>
      <c r="F351" s="15">
        <v>107.2</v>
      </c>
      <c r="G351" s="15">
        <v>109.2</v>
      </c>
      <c r="H351" s="15">
        <v>109.2</v>
      </c>
      <c r="I351" s="15">
        <v>108.23</v>
      </c>
      <c r="J351" s="14">
        <v>1534.5</v>
      </c>
      <c r="K351" s="15">
        <v>97.15000000000001</v>
      </c>
      <c r="L351" s="15">
        <v>73880698</v>
      </c>
      <c r="M351" t="s" s="13">
        <v>7906</v>
      </c>
      <c r="N351" s="15">
        <v>241058</v>
      </c>
      <c r="O351" s="17" cm="1">
        <f t="array" ref="O351">(H351-H350)/H350</f>
        <v>0.0186567164179104</v>
      </c>
    </row>
    <row r="352" ht="13.65" customHeight="1">
      <c r="A352" s="18">
        <v>44784</v>
      </c>
      <c r="B352" t="s" s="13">
        <v>22</v>
      </c>
      <c r="C352" s="15">
        <v>110.3</v>
      </c>
      <c r="D352" s="15">
        <v>110.65</v>
      </c>
      <c r="E352" s="15">
        <v>108.6</v>
      </c>
      <c r="F352" s="15">
        <v>109.2</v>
      </c>
      <c r="G352" s="15">
        <v>109</v>
      </c>
      <c r="H352" s="15">
        <v>109.1</v>
      </c>
      <c r="I352" s="15">
        <v>109.49</v>
      </c>
      <c r="J352" s="14">
        <v>1534.5</v>
      </c>
      <c r="K352" s="15">
        <v>97.15000000000001</v>
      </c>
      <c r="L352" s="15">
        <v>75321498</v>
      </c>
      <c r="M352" t="s" s="13">
        <v>7907</v>
      </c>
      <c r="N352" s="15">
        <v>215699</v>
      </c>
      <c r="O352" s="17" cm="1">
        <f t="array" ref="O352">(H352-H351)/H351</f>
        <v>-0.000915750915750916</v>
      </c>
    </row>
    <row r="353" ht="13.65" customHeight="1">
      <c r="A353" s="18">
        <v>44785</v>
      </c>
      <c r="B353" t="s" s="13">
        <v>22</v>
      </c>
      <c r="C353" s="15">
        <v>109.35</v>
      </c>
      <c r="D353" s="15">
        <v>112.9</v>
      </c>
      <c r="E353" s="15">
        <v>108.8</v>
      </c>
      <c r="F353" s="15">
        <v>109.1</v>
      </c>
      <c r="G353" s="15">
        <v>112.8</v>
      </c>
      <c r="H353" s="15">
        <v>112.65</v>
      </c>
      <c r="I353" s="15">
        <v>111.88</v>
      </c>
      <c r="J353" s="14">
        <v>1534.5</v>
      </c>
      <c r="K353" s="15">
        <v>97.15000000000001</v>
      </c>
      <c r="L353" s="15">
        <v>95942333</v>
      </c>
      <c r="M353" t="s" s="13">
        <v>7908</v>
      </c>
      <c r="N353" s="15">
        <v>307921</v>
      </c>
      <c r="O353" s="17" cm="1">
        <f t="array" ref="O353">(H353-H352)/H352</f>
        <v>0.0325389550870761</v>
      </c>
    </row>
    <row r="354" ht="13.65" customHeight="1">
      <c r="A354" s="18">
        <v>44789</v>
      </c>
      <c r="B354" t="s" s="13">
        <v>22</v>
      </c>
      <c r="C354" s="15">
        <v>113.7</v>
      </c>
      <c r="D354" s="15">
        <v>113.7</v>
      </c>
      <c r="E354" s="15">
        <v>111.1</v>
      </c>
      <c r="F354" s="15">
        <v>112.65</v>
      </c>
      <c r="G354" s="15">
        <v>113</v>
      </c>
      <c r="H354" s="15">
        <v>113</v>
      </c>
      <c r="I354" s="15">
        <v>112.55</v>
      </c>
      <c r="J354" s="14">
        <v>1534.5</v>
      </c>
      <c r="K354" s="15">
        <v>97.15000000000001</v>
      </c>
      <c r="L354" s="15">
        <v>69207437</v>
      </c>
      <c r="M354" t="s" s="13">
        <v>7909</v>
      </c>
      <c r="N354" s="15">
        <v>238391</v>
      </c>
      <c r="O354" s="17" cm="1">
        <f t="array" ref="O354">(H354-H353)/H353</f>
        <v>0.00310696848646249</v>
      </c>
    </row>
    <row r="355" ht="13.65" customHeight="1">
      <c r="A355" s="18">
        <v>44790</v>
      </c>
      <c r="B355" t="s" s="13">
        <v>22</v>
      </c>
      <c r="C355" s="15">
        <v>113.5</v>
      </c>
      <c r="D355" s="15">
        <v>113.5</v>
      </c>
      <c r="E355" s="15">
        <v>112.25</v>
      </c>
      <c r="F355" s="15">
        <v>113</v>
      </c>
      <c r="G355" s="15">
        <v>112.4</v>
      </c>
      <c r="H355" s="15">
        <v>112.5</v>
      </c>
      <c r="I355" s="15">
        <v>112.85</v>
      </c>
      <c r="J355" s="14">
        <v>1534.5</v>
      </c>
      <c r="K355" s="15">
        <v>97.15000000000001</v>
      </c>
      <c r="L355" s="15">
        <v>54008422</v>
      </c>
      <c r="M355" t="s" s="13">
        <v>7910</v>
      </c>
      <c r="N355" s="15">
        <v>207669</v>
      </c>
      <c r="O355" s="17" cm="1">
        <f t="array" ref="O355">(H355-H354)/H354</f>
        <v>-0.00442477876106195</v>
      </c>
    </row>
    <row r="356" ht="13.65" customHeight="1">
      <c r="A356" s="18">
        <v>44791</v>
      </c>
      <c r="B356" t="s" s="13">
        <v>22</v>
      </c>
      <c r="C356" s="15">
        <v>112.5</v>
      </c>
      <c r="D356" s="15">
        <v>113</v>
      </c>
      <c r="E356" s="15">
        <v>111.4</v>
      </c>
      <c r="F356" s="15">
        <v>112.5</v>
      </c>
      <c r="G356" s="15">
        <v>112.7</v>
      </c>
      <c r="H356" s="15">
        <v>112.55</v>
      </c>
      <c r="I356" s="15">
        <v>112.33</v>
      </c>
      <c r="J356" s="14">
        <v>1534.5</v>
      </c>
      <c r="K356" s="15">
        <v>97.15000000000001</v>
      </c>
      <c r="L356" s="15">
        <v>49396425</v>
      </c>
      <c r="M356" t="s" s="13">
        <v>7911</v>
      </c>
      <c r="N356" s="15">
        <v>179401</v>
      </c>
      <c r="O356" s="17" cm="1">
        <f t="array" ref="O356">(H356-H355)/H355</f>
        <v>0.000444444444444444</v>
      </c>
    </row>
    <row r="357" ht="13.65" customHeight="1">
      <c r="A357" s="18">
        <v>44792</v>
      </c>
      <c r="B357" t="s" s="13">
        <v>22</v>
      </c>
      <c r="C357" s="15">
        <v>112.55</v>
      </c>
      <c r="D357" s="15">
        <v>112.9</v>
      </c>
      <c r="E357" s="15">
        <v>109.55</v>
      </c>
      <c r="F357" s="15">
        <v>112.55</v>
      </c>
      <c r="G357" s="15">
        <v>109.75</v>
      </c>
      <c r="H357" s="15">
        <v>110.05</v>
      </c>
      <c r="I357" s="15">
        <v>111.08</v>
      </c>
      <c r="J357" s="14">
        <v>1534.5</v>
      </c>
      <c r="K357" s="15">
        <v>97.15000000000001</v>
      </c>
      <c r="L357" s="15">
        <v>57134813</v>
      </c>
      <c r="M357" t="s" s="13">
        <v>7912</v>
      </c>
      <c r="N357" s="15">
        <v>227022</v>
      </c>
      <c r="O357" s="17" cm="1">
        <f t="array" ref="O357">(H357-H356)/H356</f>
        <v>-0.0222123500666371</v>
      </c>
    </row>
    <row r="358" ht="13.65" customHeight="1">
      <c r="A358" s="18">
        <v>44795</v>
      </c>
      <c r="B358" t="s" s="13">
        <v>22</v>
      </c>
      <c r="C358" s="15">
        <v>109.5</v>
      </c>
      <c r="D358" s="15">
        <v>109.6</v>
      </c>
      <c r="E358" s="15">
        <v>104.7</v>
      </c>
      <c r="F358" s="15">
        <v>110.05</v>
      </c>
      <c r="G358" s="15">
        <v>105.2</v>
      </c>
      <c r="H358" s="15">
        <v>105.05</v>
      </c>
      <c r="I358" s="15">
        <v>106.79</v>
      </c>
      <c r="J358" s="14">
        <v>1476</v>
      </c>
      <c r="K358" s="15">
        <v>97.15000000000001</v>
      </c>
      <c r="L358" s="15">
        <v>74037526</v>
      </c>
      <c r="M358" t="s" s="13">
        <v>7913</v>
      </c>
      <c r="N358" s="15">
        <v>402941</v>
      </c>
      <c r="O358" s="17" cm="1">
        <f t="array" ref="O358">(H358-H357)/H357</f>
        <v>-0.0454338936846888</v>
      </c>
    </row>
    <row r="359" ht="13.65" customHeight="1">
      <c r="A359" s="18">
        <v>44796</v>
      </c>
      <c r="B359" t="s" s="13">
        <v>22</v>
      </c>
      <c r="C359" s="15">
        <v>104.2</v>
      </c>
      <c r="D359" s="15">
        <v>108.25</v>
      </c>
      <c r="E359" s="15">
        <v>103.5</v>
      </c>
      <c r="F359" s="15">
        <v>105.05</v>
      </c>
      <c r="G359" s="15">
        <v>107.9</v>
      </c>
      <c r="H359" s="15">
        <v>107.6</v>
      </c>
      <c r="I359" s="15">
        <v>106.67</v>
      </c>
      <c r="J359" s="14">
        <v>1476</v>
      </c>
      <c r="K359" s="15">
        <v>97.15000000000001</v>
      </c>
      <c r="L359" s="15">
        <v>70531639</v>
      </c>
      <c r="M359" t="s" s="13">
        <v>7914</v>
      </c>
      <c r="N359" s="15">
        <v>262215</v>
      </c>
      <c r="O359" s="17" cm="1">
        <f t="array" ref="O359">(H359-H358)/H358</f>
        <v>0.0242741551642075</v>
      </c>
    </row>
    <row r="360" ht="13.65" customHeight="1">
      <c r="A360" s="18">
        <v>44797</v>
      </c>
      <c r="B360" t="s" s="13">
        <v>22</v>
      </c>
      <c r="C360" s="15">
        <v>107.55</v>
      </c>
      <c r="D360" s="15">
        <v>108.15</v>
      </c>
      <c r="E360" s="15">
        <v>105.75</v>
      </c>
      <c r="F360" s="15">
        <v>107.6</v>
      </c>
      <c r="G360" s="15">
        <v>106.3</v>
      </c>
      <c r="H360" s="15">
        <v>106.55</v>
      </c>
      <c r="I360" s="15">
        <v>106.69</v>
      </c>
      <c r="J360" s="14">
        <v>1476</v>
      </c>
      <c r="K360" s="15">
        <v>97.15000000000001</v>
      </c>
      <c r="L360" s="15">
        <v>55686404</v>
      </c>
      <c r="M360" t="s" s="13">
        <v>7915</v>
      </c>
      <c r="N360" s="15">
        <v>247974</v>
      </c>
      <c r="O360" s="17" cm="1">
        <f t="array" ref="O360">(H360-H359)/H359</f>
        <v>-0.00975836431226766</v>
      </c>
    </row>
    <row r="361" ht="13.65" customHeight="1">
      <c r="A361" s="18">
        <v>44798</v>
      </c>
      <c r="B361" t="s" s="13">
        <v>22</v>
      </c>
      <c r="C361" s="15">
        <v>107.05</v>
      </c>
      <c r="D361" s="15">
        <v>107.9</v>
      </c>
      <c r="E361" s="15">
        <v>105.75</v>
      </c>
      <c r="F361" s="15">
        <v>106.55</v>
      </c>
      <c r="G361" s="15">
        <v>106.5</v>
      </c>
      <c r="H361" s="15">
        <v>106.25</v>
      </c>
      <c r="I361" s="15">
        <v>106.98</v>
      </c>
      <c r="J361" s="14">
        <v>1476</v>
      </c>
      <c r="K361" s="15">
        <v>97.15000000000001</v>
      </c>
      <c r="L361" s="15">
        <v>42186335</v>
      </c>
      <c r="M361" t="s" s="13">
        <v>7916</v>
      </c>
      <c r="N361" s="15">
        <v>172570</v>
      </c>
      <c r="O361" s="17" cm="1">
        <f t="array" ref="O361">(H361-H360)/H360</f>
        <v>-0.00281557954012201</v>
      </c>
    </row>
    <row r="362" ht="13.65" customHeight="1">
      <c r="A362" s="18">
        <v>44799</v>
      </c>
      <c r="B362" t="s" s="13">
        <v>22</v>
      </c>
      <c r="C362" s="15">
        <v>107.25</v>
      </c>
      <c r="D362" s="15">
        <v>109.2</v>
      </c>
      <c r="E362" s="15">
        <v>107.1</v>
      </c>
      <c r="F362" s="15">
        <v>106.25</v>
      </c>
      <c r="G362" s="15">
        <v>107.5</v>
      </c>
      <c r="H362" s="15">
        <v>107.35</v>
      </c>
      <c r="I362" s="15">
        <v>108.14</v>
      </c>
      <c r="J362" s="14">
        <v>1476</v>
      </c>
      <c r="K362" s="15">
        <v>97.15000000000001</v>
      </c>
      <c r="L362" s="15">
        <v>71257092</v>
      </c>
      <c r="M362" t="s" s="13">
        <v>7917</v>
      </c>
      <c r="N362" s="15">
        <v>215991</v>
      </c>
      <c r="O362" s="17" cm="1">
        <f t="array" ref="O362">(H362-H361)/H361</f>
        <v>0.0103529411764706</v>
      </c>
    </row>
    <row r="363" ht="13.65" customHeight="1">
      <c r="A363" s="18">
        <v>44802</v>
      </c>
      <c r="B363" t="s" s="13">
        <v>22</v>
      </c>
      <c r="C363" s="15">
        <v>104.05</v>
      </c>
      <c r="D363" s="15">
        <v>105.65</v>
      </c>
      <c r="E363" s="15">
        <v>103.25</v>
      </c>
      <c r="F363" s="15">
        <v>107.35</v>
      </c>
      <c r="G363" s="15">
        <v>105.05</v>
      </c>
      <c r="H363" s="15">
        <v>104.85</v>
      </c>
      <c r="I363" s="15">
        <v>104.73</v>
      </c>
      <c r="J363" s="14">
        <v>1476</v>
      </c>
      <c r="K363" s="15">
        <v>97.15000000000001</v>
      </c>
      <c r="L363" s="15">
        <v>59895805</v>
      </c>
      <c r="M363" t="s" s="13">
        <v>7918</v>
      </c>
      <c r="N363" s="15">
        <v>301406</v>
      </c>
      <c r="O363" s="17" cm="1">
        <f t="array" ref="O363">(H363-H362)/H362</f>
        <v>-0.0232883092687471</v>
      </c>
    </row>
    <row r="364" ht="13.65" customHeight="1">
      <c r="A364" s="18">
        <v>44803</v>
      </c>
      <c r="B364" t="s" s="13">
        <v>22</v>
      </c>
      <c r="C364" s="15">
        <v>106.5</v>
      </c>
      <c r="D364" s="15">
        <v>108.5</v>
      </c>
      <c r="E364" s="15">
        <v>106.05</v>
      </c>
      <c r="F364" s="15">
        <v>104.85</v>
      </c>
      <c r="G364" s="15">
        <v>108.45</v>
      </c>
      <c r="H364" s="15">
        <v>108.3</v>
      </c>
      <c r="I364" s="15">
        <v>107.44</v>
      </c>
      <c r="J364" s="14">
        <v>1476</v>
      </c>
      <c r="K364" s="15">
        <v>97.15000000000001</v>
      </c>
      <c r="L364" s="15">
        <v>67401780</v>
      </c>
      <c r="M364" t="s" s="13">
        <v>7919</v>
      </c>
      <c r="N364" s="15">
        <v>194644</v>
      </c>
      <c r="O364" s="17" cm="1">
        <f t="array" ref="O364">(H364-H363)/H363</f>
        <v>0.0329041487839771</v>
      </c>
    </row>
    <row r="365" ht="13.65" customHeight="1">
      <c r="A365" s="12">
        <v>44805</v>
      </c>
      <c r="B365" t="s" s="13">
        <v>22</v>
      </c>
      <c r="C365" s="15">
        <v>107</v>
      </c>
      <c r="D365" s="15">
        <v>107.75</v>
      </c>
      <c r="E365" s="15">
        <v>105.9</v>
      </c>
      <c r="F365" s="15">
        <v>108.3</v>
      </c>
      <c r="G365" s="15">
        <v>106.6</v>
      </c>
      <c r="H365" s="15">
        <v>106.4</v>
      </c>
      <c r="I365" s="15">
        <v>106.64</v>
      </c>
      <c r="J365" s="14">
        <v>1476</v>
      </c>
      <c r="K365" s="15">
        <v>97.15000000000001</v>
      </c>
      <c r="L365" s="15">
        <v>52454732</v>
      </c>
      <c r="M365" t="s" s="13">
        <v>7920</v>
      </c>
      <c r="N365" s="15">
        <v>216010</v>
      </c>
      <c r="O365" s="17" cm="1">
        <f t="array" ref="O365">(H365-H364)/H364</f>
        <v>-0.0175438596491228</v>
      </c>
    </row>
    <row r="366" ht="13.65" customHeight="1">
      <c r="A366" s="12">
        <v>44806</v>
      </c>
      <c r="B366" t="s" s="13">
        <v>22</v>
      </c>
      <c r="C366" s="15">
        <v>107</v>
      </c>
      <c r="D366" s="15">
        <v>107</v>
      </c>
      <c r="E366" s="15">
        <v>105</v>
      </c>
      <c r="F366" s="15">
        <v>106.4</v>
      </c>
      <c r="G366" s="15">
        <v>105.6</v>
      </c>
      <c r="H366" s="15">
        <v>105.5</v>
      </c>
      <c r="I366" s="15">
        <v>105.79</v>
      </c>
      <c r="J366" s="14">
        <v>1476</v>
      </c>
      <c r="K366" s="15">
        <v>97.15000000000001</v>
      </c>
      <c r="L366" s="15">
        <v>45601352</v>
      </c>
      <c r="M366" t="s" s="13">
        <v>7921</v>
      </c>
      <c r="N366" s="15">
        <v>199259</v>
      </c>
      <c r="O366" s="17" cm="1">
        <f t="array" ref="O366">(H366-H365)/H365</f>
        <v>-0.008458646616541349</v>
      </c>
    </row>
    <row r="367" ht="13.65" customHeight="1">
      <c r="A367" s="12">
        <v>44809</v>
      </c>
      <c r="B367" t="s" s="13">
        <v>22</v>
      </c>
      <c r="C367" s="15">
        <v>106.05</v>
      </c>
      <c r="D367" s="15">
        <v>107.3</v>
      </c>
      <c r="E367" s="15">
        <v>105.8</v>
      </c>
      <c r="F367" s="15">
        <v>105.5</v>
      </c>
      <c r="G367" s="15">
        <v>106.8</v>
      </c>
      <c r="H367" s="15">
        <v>106.9</v>
      </c>
      <c r="I367" s="15">
        <v>106.8</v>
      </c>
      <c r="J367" s="14">
        <v>1476</v>
      </c>
      <c r="K367" s="15">
        <v>97.15000000000001</v>
      </c>
      <c r="L367" s="15">
        <v>40352735</v>
      </c>
      <c r="M367" t="s" s="13">
        <v>7922</v>
      </c>
      <c r="N367" s="15">
        <v>151617</v>
      </c>
      <c r="O367" s="17" cm="1">
        <f t="array" ref="O367">(H367-H366)/H366</f>
        <v>0.0132701421800948</v>
      </c>
    </row>
    <row r="368" ht="13.65" customHeight="1">
      <c r="A368" s="12">
        <v>44810</v>
      </c>
      <c r="B368" t="s" s="13">
        <v>22</v>
      </c>
      <c r="C368" s="15">
        <v>107.4</v>
      </c>
      <c r="D368" s="15">
        <v>108.8</v>
      </c>
      <c r="E368" s="15">
        <v>106.05</v>
      </c>
      <c r="F368" s="15">
        <v>106.9</v>
      </c>
      <c r="G368" s="15">
        <v>108.5</v>
      </c>
      <c r="H368" s="15">
        <v>108.6</v>
      </c>
      <c r="I368" s="15">
        <v>107.47</v>
      </c>
      <c r="J368" s="14">
        <v>1476</v>
      </c>
      <c r="K368" s="15">
        <v>97.15000000000001</v>
      </c>
      <c r="L368" s="15">
        <v>59505849</v>
      </c>
      <c r="M368" t="s" s="13">
        <v>7923</v>
      </c>
      <c r="N368" s="15">
        <v>188792</v>
      </c>
      <c r="O368" s="17" cm="1">
        <f t="array" ref="O368">(H368-H367)/H367</f>
        <v>0.0159027128157156</v>
      </c>
    </row>
    <row r="369" ht="13.65" customHeight="1">
      <c r="A369" s="12">
        <v>44811</v>
      </c>
      <c r="B369" t="s" s="13">
        <v>22</v>
      </c>
      <c r="C369" s="15">
        <v>107.55</v>
      </c>
      <c r="D369" s="15">
        <v>108.9</v>
      </c>
      <c r="E369" s="15">
        <v>107.1</v>
      </c>
      <c r="F369" s="15">
        <v>108.6</v>
      </c>
      <c r="G369" s="15">
        <v>107.6</v>
      </c>
      <c r="H369" s="15">
        <v>107.6</v>
      </c>
      <c r="I369" s="15">
        <v>107.71</v>
      </c>
      <c r="J369" s="14">
        <v>1476</v>
      </c>
      <c r="K369" s="15">
        <v>97.15000000000001</v>
      </c>
      <c r="L369" s="15">
        <v>43945660</v>
      </c>
      <c r="M369" t="s" s="13">
        <v>7924</v>
      </c>
      <c r="N369" s="15">
        <v>173170</v>
      </c>
      <c r="O369" s="17" cm="1">
        <f t="array" ref="O369">(H369-H368)/H368</f>
        <v>-0.00920810313075506</v>
      </c>
    </row>
    <row r="370" ht="13.65" customHeight="1">
      <c r="A370" s="12">
        <v>44812</v>
      </c>
      <c r="B370" t="s" s="13">
        <v>22</v>
      </c>
      <c r="C370" s="15">
        <v>108.4</v>
      </c>
      <c r="D370" s="15">
        <v>108.4</v>
      </c>
      <c r="E370" s="15">
        <v>105.35</v>
      </c>
      <c r="F370" s="15">
        <v>107.6</v>
      </c>
      <c r="G370" s="15">
        <v>105.95</v>
      </c>
      <c r="H370" s="15">
        <v>105.85</v>
      </c>
      <c r="I370" s="15">
        <v>106.3</v>
      </c>
      <c r="J370" s="14">
        <v>1476</v>
      </c>
      <c r="K370" s="15">
        <v>97.15000000000001</v>
      </c>
      <c r="L370" s="15">
        <v>71228405</v>
      </c>
      <c r="M370" t="s" s="13">
        <v>7925</v>
      </c>
      <c r="N370" s="15">
        <v>272918</v>
      </c>
      <c r="O370" s="17" cm="1">
        <f t="array" ref="O370">(H370-H369)/H369</f>
        <v>-0.0162639405204461</v>
      </c>
    </row>
    <row r="371" ht="13.65" customHeight="1">
      <c r="A371" s="12">
        <v>44813</v>
      </c>
      <c r="B371" t="s" s="13">
        <v>22</v>
      </c>
      <c r="C371" s="15">
        <v>107</v>
      </c>
      <c r="D371" s="15">
        <v>107.35</v>
      </c>
      <c r="E371" s="15">
        <v>105.5</v>
      </c>
      <c r="F371" s="15">
        <v>105.85</v>
      </c>
      <c r="G371" s="15">
        <v>105.85</v>
      </c>
      <c r="H371" s="15">
        <v>105.7</v>
      </c>
      <c r="I371" s="15">
        <v>106.31</v>
      </c>
      <c r="J371" s="14">
        <v>1476</v>
      </c>
      <c r="K371" s="15">
        <v>97.15000000000001</v>
      </c>
      <c r="L371" s="15">
        <v>63647166</v>
      </c>
      <c r="M371" t="s" s="13">
        <v>7926</v>
      </c>
      <c r="N371" s="15">
        <v>259668</v>
      </c>
      <c r="O371" s="17" cm="1">
        <f t="array" ref="O371">(H371-H370)/H370</f>
        <v>-0.00141709966934341</v>
      </c>
    </row>
    <row r="372" ht="13.65" customHeight="1">
      <c r="A372" s="18">
        <v>44816</v>
      </c>
      <c r="B372" t="s" s="13">
        <v>22</v>
      </c>
      <c r="C372" s="15">
        <v>106.8</v>
      </c>
      <c r="D372" s="15">
        <v>107.95</v>
      </c>
      <c r="E372" s="15">
        <v>106.5</v>
      </c>
      <c r="F372" s="15">
        <v>105.7</v>
      </c>
      <c r="G372" s="15">
        <v>107.65</v>
      </c>
      <c r="H372" s="15">
        <v>107.75</v>
      </c>
      <c r="I372" s="15">
        <v>107.27</v>
      </c>
      <c r="J372" s="14">
        <v>1476</v>
      </c>
      <c r="K372" s="15">
        <v>97.15000000000001</v>
      </c>
      <c r="L372" s="15">
        <v>40838533</v>
      </c>
      <c r="M372" t="s" s="13">
        <v>7927</v>
      </c>
      <c r="N372" s="15">
        <v>157265</v>
      </c>
      <c r="O372" s="17" cm="1">
        <f t="array" ref="O372">(H372-H371)/H371</f>
        <v>0.0193945127719962</v>
      </c>
    </row>
    <row r="373" ht="13.65" customHeight="1">
      <c r="A373" s="18">
        <v>44817</v>
      </c>
      <c r="B373" t="s" s="13">
        <v>22</v>
      </c>
      <c r="C373" s="15">
        <v>108</v>
      </c>
      <c r="D373" s="15">
        <v>108.7</v>
      </c>
      <c r="E373" s="15">
        <v>107.55</v>
      </c>
      <c r="F373" s="15">
        <v>107.75</v>
      </c>
      <c r="G373" s="15">
        <v>107.85</v>
      </c>
      <c r="H373" s="15">
        <v>107.75</v>
      </c>
      <c r="I373" s="15">
        <v>107.97</v>
      </c>
      <c r="J373" s="14">
        <v>1476</v>
      </c>
      <c r="K373" s="15">
        <v>97.15000000000001</v>
      </c>
      <c r="L373" s="15">
        <v>44179394</v>
      </c>
      <c r="M373" t="s" s="13">
        <v>7928</v>
      </c>
      <c r="N373" s="15">
        <v>167267</v>
      </c>
      <c r="O373" s="17" cm="1">
        <f t="array" ref="O373">(H373-H372)/H372</f>
        <v>0</v>
      </c>
    </row>
    <row r="374" ht="13.65" customHeight="1">
      <c r="A374" s="18">
        <v>44818</v>
      </c>
      <c r="B374" t="s" s="13">
        <v>22</v>
      </c>
      <c r="C374" s="15">
        <v>106.3</v>
      </c>
      <c r="D374" s="15">
        <v>110.4</v>
      </c>
      <c r="E374" s="15">
        <v>105.8</v>
      </c>
      <c r="F374" s="15">
        <v>107.75</v>
      </c>
      <c r="G374" s="15">
        <v>108.9</v>
      </c>
      <c r="H374" s="15">
        <v>109.15</v>
      </c>
      <c r="I374" s="15">
        <v>108.45</v>
      </c>
      <c r="J374" s="14">
        <v>1476</v>
      </c>
      <c r="K374" s="15">
        <v>97.15000000000001</v>
      </c>
      <c r="L374" s="15">
        <v>86379872</v>
      </c>
      <c r="M374" t="s" s="13">
        <v>7929</v>
      </c>
      <c r="N374" s="15">
        <v>258040</v>
      </c>
      <c r="O374" s="17" cm="1">
        <f t="array" ref="O374">(H374-H373)/H373</f>
        <v>0.0129930394431555</v>
      </c>
    </row>
    <row r="375" ht="13.65" customHeight="1">
      <c r="A375" s="18">
        <v>44819</v>
      </c>
      <c r="B375" t="s" s="13">
        <v>22</v>
      </c>
      <c r="C375" s="15">
        <v>108.65</v>
      </c>
      <c r="D375" s="15">
        <v>109</v>
      </c>
      <c r="E375" s="15">
        <v>106.5</v>
      </c>
      <c r="F375" s="15">
        <v>109.15</v>
      </c>
      <c r="G375" s="15">
        <v>107.1</v>
      </c>
      <c r="H375" s="15">
        <v>107</v>
      </c>
      <c r="I375" s="15">
        <v>107.47</v>
      </c>
      <c r="J375" s="14">
        <v>1476</v>
      </c>
      <c r="K375" s="15">
        <v>97.15000000000001</v>
      </c>
      <c r="L375" s="15">
        <v>62926791</v>
      </c>
      <c r="M375" t="s" s="13">
        <v>7930</v>
      </c>
      <c r="N375" s="15">
        <v>229883</v>
      </c>
      <c r="O375" s="17" cm="1">
        <f t="array" ref="O375">(H375-H374)/H374</f>
        <v>-0.0196976637654604</v>
      </c>
    </row>
    <row r="376" ht="13.65" customHeight="1">
      <c r="A376" s="18">
        <v>44820</v>
      </c>
      <c r="B376" t="s" s="13">
        <v>22</v>
      </c>
      <c r="C376" s="15">
        <v>106.2</v>
      </c>
      <c r="D376" s="15">
        <v>107.5</v>
      </c>
      <c r="E376" s="15">
        <v>105</v>
      </c>
      <c r="F376" s="15">
        <v>107</v>
      </c>
      <c r="G376" s="15">
        <v>105.6</v>
      </c>
      <c r="H376" s="15">
        <v>105.7</v>
      </c>
      <c r="I376" s="15">
        <v>105.95</v>
      </c>
      <c r="J376" s="14">
        <v>1476</v>
      </c>
      <c r="K376" s="15">
        <v>97.15000000000001</v>
      </c>
      <c r="L376" s="15">
        <v>107967267</v>
      </c>
      <c r="M376" t="s" s="13">
        <v>7931</v>
      </c>
      <c r="N376" s="15">
        <v>288544</v>
      </c>
      <c r="O376" s="17" cm="1">
        <f t="array" ref="O376">(H376-H375)/H375</f>
        <v>-0.0121495327102804</v>
      </c>
    </row>
    <row r="377" ht="13.65" customHeight="1">
      <c r="A377" s="18">
        <v>44823</v>
      </c>
      <c r="B377" t="s" s="13">
        <v>22</v>
      </c>
      <c r="C377" s="15">
        <v>106.2</v>
      </c>
      <c r="D377" s="15">
        <v>106.2</v>
      </c>
      <c r="E377" s="15">
        <v>103</v>
      </c>
      <c r="F377" s="15">
        <v>105.7</v>
      </c>
      <c r="G377" s="15">
        <v>103.2</v>
      </c>
      <c r="H377" s="15">
        <v>103.1</v>
      </c>
      <c r="I377" s="15">
        <v>104.19</v>
      </c>
      <c r="J377" s="14">
        <v>1426.55</v>
      </c>
      <c r="K377" s="15">
        <v>97.15000000000001</v>
      </c>
      <c r="L377" s="15">
        <v>51146568</v>
      </c>
      <c r="M377" t="s" s="13">
        <v>7932</v>
      </c>
      <c r="N377" s="15">
        <v>291377</v>
      </c>
      <c r="O377" s="17" cm="1">
        <f t="array" ref="O377">(H377-H376)/H376</f>
        <v>-0.0245979186376537</v>
      </c>
    </row>
    <row r="378" ht="13.65" customHeight="1">
      <c r="A378" s="18">
        <v>44824</v>
      </c>
      <c r="B378" t="s" s="13">
        <v>22</v>
      </c>
      <c r="C378" s="15">
        <v>104.2</v>
      </c>
      <c r="D378" s="15">
        <v>106.35</v>
      </c>
      <c r="E378" s="15">
        <v>104</v>
      </c>
      <c r="F378" s="15">
        <v>103.1</v>
      </c>
      <c r="G378" s="15">
        <v>106.05</v>
      </c>
      <c r="H378" s="15">
        <v>105.8</v>
      </c>
      <c r="I378" s="15">
        <v>105.45</v>
      </c>
      <c r="J378" s="14">
        <v>1426.55</v>
      </c>
      <c r="K378" s="15">
        <v>97.15000000000001</v>
      </c>
      <c r="L378" s="15">
        <v>52140254</v>
      </c>
      <c r="M378" t="s" s="13">
        <v>7933</v>
      </c>
      <c r="N378" s="15">
        <v>179678</v>
      </c>
      <c r="O378" s="17" cm="1">
        <f t="array" ref="O378">(H378-H377)/H377</f>
        <v>0.026188166828322</v>
      </c>
    </row>
    <row r="379" ht="13.65" customHeight="1">
      <c r="A379" s="18">
        <v>44825</v>
      </c>
      <c r="B379" t="s" s="13">
        <v>22</v>
      </c>
      <c r="C379" s="15">
        <v>105.8</v>
      </c>
      <c r="D379" s="15">
        <v>107.2</v>
      </c>
      <c r="E379" s="15">
        <v>104.3</v>
      </c>
      <c r="F379" s="15">
        <v>105.8</v>
      </c>
      <c r="G379" s="15">
        <v>104.45</v>
      </c>
      <c r="H379" s="15">
        <v>104.45</v>
      </c>
      <c r="I379" s="15">
        <v>105.64</v>
      </c>
      <c r="J379" s="14">
        <v>1426.55</v>
      </c>
      <c r="K379" s="15">
        <v>97.15000000000001</v>
      </c>
      <c r="L379" s="15">
        <v>46142823</v>
      </c>
      <c r="M379" t="s" s="13">
        <v>7934</v>
      </c>
      <c r="N379" s="15">
        <v>170849</v>
      </c>
      <c r="O379" s="17" cm="1">
        <f t="array" ref="O379">(H379-H378)/H378</f>
        <v>-0.0127599243856333</v>
      </c>
    </row>
    <row r="380" ht="13.65" customHeight="1">
      <c r="A380" s="18">
        <v>44826</v>
      </c>
      <c r="B380" t="s" s="13">
        <v>22</v>
      </c>
      <c r="C380" s="15">
        <v>104.45</v>
      </c>
      <c r="D380" s="15">
        <v>105.3</v>
      </c>
      <c r="E380" s="15">
        <v>103.5</v>
      </c>
      <c r="F380" s="15">
        <v>104.45</v>
      </c>
      <c r="G380" s="15">
        <v>103.75</v>
      </c>
      <c r="H380" s="15">
        <v>103.6</v>
      </c>
      <c r="I380" s="15">
        <v>104.11</v>
      </c>
      <c r="J380" s="14">
        <v>1426.55</v>
      </c>
      <c r="K380" s="15">
        <v>97.15000000000001</v>
      </c>
      <c r="L380" s="15">
        <v>61380323</v>
      </c>
      <c r="M380" t="s" s="13">
        <v>7935</v>
      </c>
      <c r="N380" s="15">
        <v>183741</v>
      </c>
      <c r="O380" s="17" cm="1">
        <f t="array" ref="O380">(H380-H379)/H379</f>
        <v>-0.008137865007180471</v>
      </c>
    </row>
    <row r="381" ht="13.65" customHeight="1">
      <c r="A381" s="18">
        <v>44827</v>
      </c>
      <c r="B381" t="s" s="13">
        <v>22</v>
      </c>
      <c r="C381" s="15">
        <v>106.2</v>
      </c>
      <c r="D381" s="15">
        <v>107.9</v>
      </c>
      <c r="E381" s="15">
        <v>103.75</v>
      </c>
      <c r="F381" s="15">
        <v>103.6</v>
      </c>
      <c r="G381" s="15">
        <v>104.4</v>
      </c>
      <c r="H381" s="15">
        <v>104.3</v>
      </c>
      <c r="I381" s="15">
        <v>105.16</v>
      </c>
      <c r="J381" s="14">
        <v>1426.55</v>
      </c>
      <c r="K381" s="15">
        <v>97.15000000000001</v>
      </c>
      <c r="L381" s="15">
        <v>109765520</v>
      </c>
      <c r="M381" t="s" s="13">
        <v>7936</v>
      </c>
      <c r="N381" s="15">
        <v>352158</v>
      </c>
      <c r="O381" s="17" cm="1">
        <f t="array" ref="O381">(H381-H380)/H380</f>
        <v>0.00675675675675676</v>
      </c>
    </row>
    <row r="382" ht="13.65" customHeight="1">
      <c r="A382" s="18">
        <v>44830</v>
      </c>
      <c r="B382" t="s" s="13">
        <v>22</v>
      </c>
      <c r="C382" s="15">
        <v>104.4</v>
      </c>
      <c r="D382" s="15">
        <v>104.45</v>
      </c>
      <c r="E382" s="15">
        <v>98.5</v>
      </c>
      <c r="F382" s="15">
        <v>104.3</v>
      </c>
      <c r="G382" s="15">
        <v>99.90000000000001</v>
      </c>
      <c r="H382" s="15">
        <v>99.84999999999999</v>
      </c>
      <c r="I382" s="15">
        <v>100.13</v>
      </c>
      <c r="J382" s="14">
        <v>1426.55</v>
      </c>
      <c r="K382" s="15">
        <v>97.15000000000001</v>
      </c>
      <c r="L382" s="15">
        <v>101291962</v>
      </c>
      <c r="M382" t="s" s="13">
        <v>7937</v>
      </c>
      <c r="N382" s="15">
        <v>552989</v>
      </c>
      <c r="O382" s="17" cm="1">
        <f t="array" ref="O382">(H382-H381)/H381</f>
        <v>-0.0426653883029722</v>
      </c>
    </row>
    <row r="383" ht="13.65" customHeight="1">
      <c r="A383" s="18">
        <v>44831</v>
      </c>
      <c r="B383" t="s" s="13">
        <v>22</v>
      </c>
      <c r="C383" s="15">
        <v>101.35</v>
      </c>
      <c r="D383" s="15">
        <v>101.35</v>
      </c>
      <c r="E383" s="15">
        <v>96.5</v>
      </c>
      <c r="F383" s="15">
        <v>99.84999999999999</v>
      </c>
      <c r="G383" s="15">
        <v>97.95</v>
      </c>
      <c r="H383" s="15">
        <v>97.65000000000001</v>
      </c>
      <c r="I383" s="15">
        <v>97.97</v>
      </c>
      <c r="J383" s="14">
        <v>1426.55</v>
      </c>
      <c r="K383" s="15">
        <v>96.5</v>
      </c>
      <c r="L383" s="15">
        <v>104949032</v>
      </c>
      <c r="M383" t="s" s="13">
        <v>7938</v>
      </c>
      <c r="N383" s="15">
        <v>418818</v>
      </c>
      <c r="O383" s="17" cm="1">
        <f t="array" ref="O383">(H383-H382)/H382</f>
        <v>-0.0220330495743615</v>
      </c>
    </row>
    <row r="384" ht="13.65" customHeight="1">
      <c r="A384" s="18">
        <v>44832</v>
      </c>
      <c r="B384" t="s" s="13">
        <v>22</v>
      </c>
      <c r="C384" s="15">
        <v>96.55</v>
      </c>
      <c r="D384" s="15">
        <v>97.84999999999999</v>
      </c>
      <c r="E384" s="15">
        <v>95</v>
      </c>
      <c r="F384" s="15">
        <v>97.65000000000001</v>
      </c>
      <c r="G384" s="15">
        <v>95.2</v>
      </c>
      <c r="H384" s="15">
        <v>95.2</v>
      </c>
      <c r="I384" s="15">
        <v>96.48999999999999</v>
      </c>
      <c r="J384" s="14">
        <v>1426.55</v>
      </c>
      <c r="K384" s="15">
        <v>95</v>
      </c>
      <c r="L384" s="15">
        <v>71724106</v>
      </c>
      <c r="M384" t="s" s="13">
        <v>7939</v>
      </c>
      <c r="N384" s="15">
        <v>347116</v>
      </c>
      <c r="O384" s="17" cm="1">
        <f t="array" ref="O384">(H384-H383)/H383</f>
        <v>-0.025089605734767</v>
      </c>
    </row>
    <row r="385" ht="13.65" customHeight="1">
      <c r="A385" s="18">
        <v>44833</v>
      </c>
      <c r="B385" t="s" s="13">
        <v>22</v>
      </c>
      <c r="C385" s="15">
        <v>97</v>
      </c>
      <c r="D385" s="15">
        <v>98.25</v>
      </c>
      <c r="E385" s="15">
        <v>96.40000000000001</v>
      </c>
      <c r="F385" s="15">
        <v>95.2</v>
      </c>
      <c r="G385" s="15">
        <v>96.95</v>
      </c>
      <c r="H385" s="15">
        <v>96.84999999999999</v>
      </c>
      <c r="I385" s="15">
        <v>97.20999999999999</v>
      </c>
      <c r="J385" s="14">
        <v>1426.55</v>
      </c>
      <c r="K385" s="15">
        <v>95</v>
      </c>
      <c r="L385" s="15">
        <v>60884592</v>
      </c>
      <c r="M385" t="s" s="13">
        <v>7940</v>
      </c>
      <c r="N385" s="15">
        <v>236749</v>
      </c>
      <c r="O385" s="17" cm="1">
        <f t="array" ref="O385">(H385-H384)/H384</f>
        <v>0.0173319327731092</v>
      </c>
    </row>
    <row r="386" ht="13.65" customHeight="1">
      <c r="A386" s="18">
        <v>44834</v>
      </c>
      <c r="B386" t="s" s="13">
        <v>22</v>
      </c>
      <c r="C386" s="15">
        <v>96.84999999999999</v>
      </c>
      <c r="D386" s="15">
        <v>100.4</v>
      </c>
      <c r="E386" s="15">
        <v>95.7</v>
      </c>
      <c r="F386" s="15">
        <v>96.84999999999999</v>
      </c>
      <c r="G386" s="15">
        <v>99.59999999999999</v>
      </c>
      <c r="H386" s="15">
        <v>99.3</v>
      </c>
      <c r="I386" s="15">
        <v>98.18000000000001</v>
      </c>
      <c r="J386" s="14">
        <v>1426.55</v>
      </c>
      <c r="K386" s="15">
        <v>95</v>
      </c>
      <c r="L386" s="15">
        <v>66436616</v>
      </c>
      <c r="M386" t="s" s="13">
        <v>7941</v>
      </c>
      <c r="N386" s="15">
        <v>231910</v>
      </c>
      <c r="O386" s="17" cm="1">
        <f t="array" ref="O386">(H386-H385)/H385</f>
        <v>0.0252968508002065</v>
      </c>
    </row>
    <row r="387" ht="13.65" customHeight="1">
      <c r="A387" s="12">
        <v>44837</v>
      </c>
      <c r="B387" t="s" s="13">
        <v>22</v>
      </c>
      <c r="C387" s="15">
        <v>99.59999999999999</v>
      </c>
      <c r="D387" s="15">
        <v>99.65000000000001</v>
      </c>
      <c r="E387" s="15">
        <v>98</v>
      </c>
      <c r="F387" s="15">
        <v>99.3</v>
      </c>
      <c r="G387" s="15">
        <v>98.3</v>
      </c>
      <c r="H387" s="15">
        <v>98.34999999999999</v>
      </c>
      <c r="I387" s="15">
        <v>98.53</v>
      </c>
      <c r="J387" s="14">
        <v>1426.55</v>
      </c>
      <c r="K387" s="15">
        <v>95</v>
      </c>
      <c r="L387" s="15">
        <v>37282313</v>
      </c>
      <c r="M387" t="s" s="13">
        <v>7942</v>
      </c>
      <c r="N387" s="15">
        <v>180577</v>
      </c>
      <c r="O387" s="17" cm="1">
        <f t="array" ref="O387">(H387-H386)/H386</f>
        <v>-0.00956696878147029</v>
      </c>
    </row>
    <row r="388" ht="13.65" customHeight="1">
      <c r="A388" s="12">
        <v>44838</v>
      </c>
      <c r="B388" t="s" s="13">
        <v>22</v>
      </c>
      <c r="C388" s="15">
        <v>100.3</v>
      </c>
      <c r="D388" s="15">
        <v>101.5</v>
      </c>
      <c r="E388" s="15">
        <v>100</v>
      </c>
      <c r="F388" s="15">
        <v>98.34999999999999</v>
      </c>
      <c r="G388" s="15">
        <v>101.4</v>
      </c>
      <c r="H388" s="15">
        <v>101.15</v>
      </c>
      <c r="I388" s="15">
        <v>100.8</v>
      </c>
      <c r="J388" s="14">
        <v>1426.55</v>
      </c>
      <c r="K388" s="15">
        <v>95</v>
      </c>
      <c r="L388" s="15">
        <v>40186702</v>
      </c>
      <c r="M388" t="s" s="13">
        <v>7943</v>
      </c>
      <c r="N388" s="15">
        <v>199183</v>
      </c>
      <c r="O388" s="17" cm="1">
        <f t="array" ref="O388">(H388-H387)/H387</f>
        <v>0.0284697508896797</v>
      </c>
    </row>
    <row r="389" ht="13.65" customHeight="1">
      <c r="A389" s="12">
        <v>44840</v>
      </c>
      <c r="B389" t="s" s="13">
        <v>22</v>
      </c>
      <c r="C389" s="15">
        <v>102</v>
      </c>
      <c r="D389" s="15">
        <v>103.8</v>
      </c>
      <c r="E389" s="15">
        <v>101.75</v>
      </c>
      <c r="F389" s="15">
        <v>101.15</v>
      </c>
      <c r="G389" s="15">
        <v>103.35</v>
      </c>
      <c r="H389" s="15">
        <v>103.55</v>
      </c>
      <c r="I389" s="15">
        <v>103.14</v>
      </c>
      <c r="J389" s="14">
        <v>1426.55</v>
      </c>
      <c r="K389" s="15">
        <v>95</v>
      </c>
      <c r="L389" s="15">
        <v>48169310</v>
      </c>
      <c r="M389" t="s" s="13">
        <v>7944</v>
      </c>
      <c r="N389" s="15">
        <v>203945</v>
      </c>
      <c r="O389" s="17" cm="1">
        <f t="array" ref="O389">(H389-H388)/H388</f>
        <v>0.0237271379139891</v>
      </c>
    </row>
    <row r="390" ht="13.65" customHeight="1">
      <c r="A390" s="12">
        <v>44841</v>
      </c>
      <c r="B390" t="s" s="13">
        <v>22</v>
      </c>
      <c r="C390" s="15">
        <v>103.3</v>
      </c>
      <c r="D390" s="15">
        <v>103.5</v>
      </c>
      <c r="E390" s="15">
        <v>101.9</v>
      </c>
      <c r="F390" s="15">
        <v>103.55</v>
      </c>
      <c r="G390" s="15">
        <v>103.2</v>
      </c>
      <c r="H390" s="15">
        <v>103.3</v>
      </c>
      <c r="I390" s="15">
        <v>102.58</v>
      </c>
      <c r="J390" s="14">
        <v>1426.55</v>
      </c>
      <c r="K390" s="15">
        <v>95</v>
      </c>
      <c r="L390" s="15">
        <v>36080875</v>
      </c>
      <c r="M390" t="s" s="13">
        <v>7945</v>
      </c>
      <c r="N390" s="15">
        <v>153167</v>
      </c>
      <c r="O390" s="17" cm="1">
        <f t="array" ref="O390">(H390-H389)/H389</f>
        <v>-0.00241429261226461</v>
      </c>
    </row>
    <row r="391" ht="13.65" customHeight="1">
      <c r="A391" s="18">
        <v>44844</v>
      </c>
      <c r="B391" t="s" s="13">
        <v>22</v>
      </c>
      <c r="C391" s="15">
        <v>102</v>
      </c>
      <c r="D391" s="15">
        <v>103.5</v>
      </c>
      <c r="E391" s="15">
        <v>101.15</v>
      </c>
      <c r="F391" s="15">
        <v>103.3</v>
      </c>
      <c r="G391" s="15">
        <v>103.15</v>
      </c>
      <c r="H391" s="15">
        <v>103.2</v>
      </c>
      <c r="I391" s="15">
        <v>102.44</v>
      </c>
      <c r="J391" s="14">
        <v>1426.55</v>
      </c>
      <c r="K391" s="15">
        <v>95</v>
      </c>
      <c r="L391" s="15">
        <v>36641275</v>
      </c>
      <c r="M391" t="s" s="13">
        <v>7946</v>
      </c>
      <c r="N391" s="15">
        <v>153885</v>
      </c>
      <c r="O391" s="17" cm="1">
        <f t="array" ref="O391">(H391-H390)/H390</f>
        <v>-0.000968054211035818</v>
      </c>
    </row>
    <row r="392" ht="13.65" customHeight="1">
      <c r="A392" s="18">
        <v>44845</v>
      </c>
      <c r="B392" t="s" s="13">
        <v>22</v>
      </c>
      <c r="C392" s="15">
        <v>103.55</v>
      </c>
      <c r="D392" s="15">
        <v>103.65</v>
      </c>
      <c r="E392" s="15">
        <v>99.8</v>
      </c>
      <c r="F392" s="15">
        <v>103.2</v>
      </c>
      <c r="G392" s="15">
        <v>100</v>
      </c>
      <c r="H392" s="15">
        <v>100.35</v>
      </c>
      <c r="I392" s="15">
        <v>101.55</v>
      </c>
      <c r="J392" s="14">
        <v>1426.55</v>
      </c>
      <c r="K392" s="15">
        <v>95</v>
      </c>
      <c r="L392" s="15">
        <v>41083734</v>
      </c>
      <c r="M392" t="s" s="13">
        <v>7947</v>
      </c>
      <c r="N392" s="15">
        <v>171088</v>
      </c>
      <c r="O392" s="17" cm="1">
        <f t="array" ref="O392">(H392-H391)/H391</f>
        <v>-0.0276162790697674</v>
      </c>
    </row>
    <row r="393" ht="13.65" customHeight="1">
      <c r="A393" s="18">
        <v>44846</v>
      </c>
      <c r="B393" t="s" s="13">
        <v>22</v>
      </c>
      <c r="C393" s="15">
        <v>100.35</v>
      </c>
      <c r="D393" s="15">
        <v>101.2</v>
      </c>
      <c r="E393" s="15">
        <v>99</v>
      </c>
      <c r="F393" s="15">
        <v>100.35</v>
      </c>
      <c r="G393" s="15">
        <v>100.65</v>
      </c>
      <c r="H393" s="15">
        <v>100.55</v>
      </c>
      <c r="I393" s="15">
        <v>100.23</v>
      </c>
      <c r="J393" s="14">
        <v>1426.55</v>
      </c>
      <c r="K393" s="15">
        <v>95</v>
      </c>
      <c r="L393" s="15">
        <v>41357469</v>
      </c>
      <c r="M393" t="s" s="13">
        <v>7948</v>
      </c>
      <c r="N393" s="15">
        <v>169332</v>
      </c>
      <c r="O393" s="17" cm="1">
        <f t="array" ref="O393">(H393-H392)/H392</f>
        <v>0.00199302441454908</v>
      </c>
    </row>
    <row r="394" ht="13.65" customHeight="1">
      <c r="A394" s="18">
        <v>44847</v>
      </c>
      <c r="B394" t="s" s="13">
        <v>22</v>
      </c>
      <c r="C394" s="15">
        <v>101.1</v>
      </c>
      <c r="D394" s="15">
        <v>101.8</v>
      </c>
      <c r="E394" s="15">
        <v>98.8</v>
      </c>
      <c r="F394" s="15">
        <v>100.55</v>
      </c>
      <c r="G394" s="15">
        <v>100.2</v>
      </c>
      <c r="H394" s="15">
        <v>100.1</v>
      </c>
      <c r="I394" s="15">
        <v>100.03</v>
      </c>
      <c r="J394" s="14">
        <v>1426.55</v>
      </c>
      <c r="K394" s="15">
        <v>95</v>
      </c>
      <c r="L394" s="15">
        <v>34668093</v>
      </c>
      <c r="M394" t="s" s="13">
        <v>7949</v>
      </c>
      <c r="N394" s="15">
        <v>153438</v>
      </c>
      <c r="O394" s="17" cm="1">
        <f t="array" ref="O394">(H394-H393)/H393</f>
        <v>-0.00447538538040776</v>
      </c>
    </row>
    <row r="395" ht="13.65" customHeight="1">
      <c r="A395" s="18">
        <v>44848</v>
      </c>
      <c r="B395" t="s" s="13">
        <v>22</v>
      </c>
      <c r="C395" s="15">
        <v>101.85</v>
      </c>
      <c r="D395" s="15">
        <v>102.8</v>
      </c>
      <c r="E395" s="15">
        <v>99.90000000000001</v>
      </c>
      <c r="F395" s="15">
        <v>100.1</v>
      </c>
      <c r="G395" s="15">
        <v>100.2</v>
      </c>
      <c r="H395" s="15">
        <v>100.1</v>
      </c>
      <c r="I395" s="15">
        <v>101.24</v>
      </c>
      <c r="J395" s="14">
        <v>1426.55</v>
      </c>
      <c r="K395" s="15">
        <v>95</v>
      </c>
      <c r="L395" s="15">
        <v>32456805</v>
      </c>
      <c r="M395" t="s" s="13">
        <v>7950</v>
      </c>
      <c r="N395" s="15">
        <v>133251</v>
      </c>
      <c r="O395" s="17" cm="1">
        <f t="array" ref="O395">(H395-H394)/H394</f>
        <v>0</v>
      </c>
    </row>
    <row r="396" ht="13.65" customHeight="1">
      <c r="A396" s="18">
        <v>44851</v>
      </c>
      <c r="B396" t="s" s="13">
        <v>22</v>
      </c>
      <c r="C396" s="15">
        <v>99.75</v>
      </c>
      <c r="D396" s="15">
        <v>100.4</v>
      </c>
      <c r="E396" s="15">
        <v>98.09999999999999</v>
      </c>
      <c r="F396" s="15">
        <v>100.1</v>
      </c>
      <c r="G396" s="15">
        <v>99.7</v>
      </c>
      <c r="H396" s="15">
        <v>99.55</v>
      </c>
      <c r="I396" s="15">
        <v>99.45999999999999</v>
      </c>
      <c r="J396" s="14">
        <v>1426.55</v>
      </c>
      <c r="K396" s="15">
        <v>95</v>
      </c>
      <c r="L396" s="15">
        <v>37568783</v>
      </c>
      <c r="M396" t="s" s="13">
        <v>7951</v>
      </c>
      <c r="N396" s="15">
        <v>149473</v>
      </c>
      <c r="O396" s="17" cm="1">
        <f t="array" ref="O396">(H396-H395)/H395</f>
        <v>-0.00549450549450549</v>
      </c>
    </row>
    <row r="397" ht="13.65" customHeight="1">
      <c r="A397" s="18">
        <v>44852</v>
      </c>
      <c r="B397" t="s" s="13">
        <v>22</v>
      </c>
      <c r="C397" s="15">
        <v>100.3</v>
      </c>
      <c r="D397" s="15">
        <v>101</v>
      </c>
      <c r="E397" s="15">
        <v>99.8</v>
      </c>
      <c r="F397" s="15">
        <v>99.55</v>
      </c>
      <c r="G397" s="15">
        <v>100.7</v>
      </c>
      <c r="H397" s="15">
        <v>100.65</v>
      </c>
      <c r="I397" s="15">
        <v>100.53</v>
      </c>
      <c r="J397" s="14">
        <v>1426.55</v>
      </c>
      <c r="K397" s="15">
        <v>95</v>
      </c>
      <c r="L397" s="15">
        <v>30722156</v>
      </c>
      <c r="M397" t="s" s="13">
        <v>7952</v>
      </c>
      <c r="N397" s="15">
        <v>105023</v>
      </c>
      <c r="O397" s="17" cm="1">
        <f t="array" ref="O397">(H397-H396)/H396</f>
        <v>0.0110497237569061</v>
      </c>
    </row>
    <row r="398" ht="13.65" customHeight="1">
      <c r="A398" s="18">
        <v>44853</v>
      </c>
      <c r="B398" t="s" s="13">
        <v>22</v>
      </c>
      <c r="C398" s="15">
        <v>100.6</v>
      </c>
      <c r="D398" s="15">
        <v>101.25</v>
      </c>
      <c r="E398" s="15">
        <v>99.7</v>
      </c>
      <c r="F398" s="15">
        <v>100.65</v>
      </c>
      <c r="G398" s="15">
        <v>100.05</v>
      </c>
      <c r="H398" s="15">
        <v>100.05</v>
      </c>
      <c r="I398" s="15">
        <v>100.5</v>
      </c>
      <c r="J398" s="14">
        <v>1426.55</v>
      </c>
      <c r="K398" s="15">
        <v>95</v>
      </c>
      <c r="L398" s="15">
        <v>38764542</v>
      </c>
      <c r="M398" t="s" s="13">
        <v>7953</v>
      </c>
      <c r="N398" s="15">
        <v>140168</v>
      </c>
      <c r="O398" s="17" cm="1">
        <f t="array" ref="O398">(H398-H397)/H397</f>
        <v>-0.00596125186289121</v>
      </c>
    </row>
    <row r="399" ht="13.65" customHeight="1">
      <c r="A399" s="18">
        <v>44854</v>
      </c>
      <c r="B399" t="s" s="13">
        <v>22</v>
      </c>
      <c r="C399" s="15">
        <v>99.5</v>
      </c>
      <c r="D399" s="15">
        <v>101.2</v>
      </c>
      <c r="E399" s="15">
        <v>98.8</v>
      </c>
      <c r="F399" s="15">
        <v>100.05</v>
      </c>
      <c r="G399" s="15">
        <v>101.1</v>
      </c>
      <c r="H399" s="15">
        <v>100.9</v>
      </c>
      <c r="I399" s="15">
        <v>100.04</v>
      </c>
      <c r="J399" s="14">
        <v>1426.55</v>
      </c>
      <c r="K399" s="15">
        <v>95</v>
      </c>
      <c r="L399" s="15">
        <v>38091315</v>
      </c>
      <c r="M399" t="s" s="13">
        <v>7954</v>
      </c>
      <c r="N399" s="15">
        <v>153737</v>
      </c>
      <c r="O399" s="17" cm="1">
        <f t="array" ref="O399">(H399-H398)/H398</f>
        <v>0.00849575212393803</v>
      </c>
    </row>
    <row r="400" ht="13.65" customHeight="1">
      <c r="A400" s="18">
        <v>44855</v>
      </c>
      <c r="B400" t="s" s="13">
        <v>22</v>
      </c>
      <c r="C400" s="15">
        <v>100.85</v>
      </c>
      <c r="D400" s="15">
        <v>101.45</v>
      </c>
      <c r="E400" s="15">
        <v>99.34999999999999</v>
      </c>
      <c r="F400" s="15">
        <v>100.9</v>
      </c>
      <c r="G400" s="15">
        <v>100.2</v>
      </c>
      <c r="H400" s="15">
        <v>100.2</v>
      </c>
      <c r="I400" s="15">
        <v>100.26</v>
      </c>
      <c r="J400" s="14">
        <v>1426.55</v>
      </c>
      <c r="K400" s="15">
        <v>95</v>
      </c>
      <c r="L400" s="15">
        <v>30973997</v>
      </c>
      <c r="M400" t="s" s="13">
        <v>7955</v>
      </c>
      <c r="N400" s="15">
        <v>102319</v>
      </c>
      <c r="O400" s="17" cm="1">
        <f t="array" ref="O400">(H400-H399)/H399</f>
        <v>-0.00693756194251734</v>
      </c>
    </row>
    <row r="401" ht="13.65" customHeight="1">
      <c r="A401" s="18">
        <v>44858</v>
      </c>
      <c r="B401" t="s" s="13">
        <v>22</v>
      </c>
      <c r="C401" s="15">
        <v>102</v>
      </c>
      <c r="D401" s="15">
        <v>102.1</v>
      </c>
      <c r="E401" s="15">
        <v>101</v>
      </c>
      <c r="F401" s="15">
        <v>100.2</v>
      </c>
      <c r="G401" s="15">
        <v>101.2</v>
      </c>
      <c r="H401" s="15">
        <v>101.2</v>
      </c>
      <c r="I401" s="15">
        <v>101.31</v>
      </c>
      <c r="J401" s="14">
        <v>1386.7</v>
      </c>
      <c r="K401" s="15">
        <v>95</v>
      </c>
      <c r="L401" s="15">
        <v>7480281</v>
      </c>
      <c r="M401" t="s" s="13">
        <v>7956</v>
      </c>
      <c r="N401" s="15">
        <v>110758</v>
      </c>
      <c r="O401" s="17" cm="1">
        <f t="array" ref="O401">(H401-H400)/H400</f>
        <v>0.009980039920159681</v>
      </c>
    </row>
    <row r="402" ht="13.65" customHeight="1">
      <c r="A402" s="18">
        <v>44859</v>
      </c>
      <c r="B402" t="s" s="13">
        <v>22</v>
      </c>
      <c r="C402" s="15">
        <v>101.15</v>
      </c>
      <c r="D402" s="15">
        <v>102.5</v>
      </c>
      <c r="E402" s="15">
        <v>100.7</v>
      </c>
      <c r="F402" s="15">
        <v>101.2</v>
      </c>
      <c r="G402" s="15">
        <v>101.1</v>
      </c>
      <c r="H402" s="15">
        <v>101.2</v>
      </c>
      <c r="I402" s="15">
        <v>101.49</v>
      </c>
      <c r="J402" s="14">
        <v>1386.7</v>
      </c>
      <c r="K402" s="15">
        <v>95</v>
      </c>
      <c r="L402" s="15">
        <v>37163180</v>
      </c>
      <c r="M402" t="s" s="13">
        <v>7957</v>
      </c>
      <c r="N402" s="15">
        <v>129443</v>
      </c>
      <c r="O402" s="17" cm="1">
        <f t="array" ref="O402">(H402-H401)/H401</f>
        <v>0</v>
      </c>
    </row>
    <row r="403" ht="13.65" customHeight="1">
      <c r="A403" s="18">
        <v>44861</v>
      </c>
      <c r="B403" t="s" s="13">
        <v>22</v>
      </c>
      <c r="C403" s="15">
        <v>102.25</v>
      </c>
      <c r="D403" s="15">
        <v>104.65</v>
      </c>
      <c r="E403" s="15">
        <v>102.05</v>
      </c>
      <c r="F403" s="15">
        <v>101.2</v>
      </c>
      <c r="G403" s="15">
        <v>104.2</v>
      </c>
      <c r="H403" s="15">
        <v>104.2</v>
      </c>
      <c r="I403" s="15">
        <v>103.87</v>
      </c>
      <c r="J403" s="14">
        <v>1386.7</v>
      </c>
      <c r="K403" s="15">
        <v>95</v>
      </c>
      <c r="L403" s="15">
        <v>74349009</v>
      </c>
      <c r="M403" t="s" s="13">
        <v>7958</v>
      </c>
      <c r="N403" s="15">
        <v>225376</v>
      </c>
      <c r="O403" s="17" cm="1">
        <f t="array" ref="O403">(H403-H402)/H402</f>
        <v>0.0296442687747036</v>
      </c>
    </row>
    <row r="404" ht="13.65" customHeight="1">
      <c r="A404" s="18">
        <v>44862</v>
      </c>
      <c r="B404" t="s" s="13">
        <v>22</v>
      </c>
      <c r="C404" s="15">
        <v>104.1</v>
      </c>
      <c r="D404" s="15">
        <v>104.6</v>
      </c>
      <c r="E404" s="15">
        <v>100.8</v>
      </c>
      <c r="F404" s="15">
        <v>104.2</v>
      </c>
      <c r="G404" s="15">
        <v>101.65</v>
      </c>
      <c r="H404" s="15">
        <v>101.6</v>
      </c>
      <c r="I404" s="15">
        <v>101.92</v>
      </c>
      <c r="J404" s="14">
        <v>1386.7</v>
      </c>
      <c r="K404" s="15">
        <v>95</v>
      </c>
      <c r="L404" s="15">
        <v>51006232</v>
      </c>
      <c r="M404" t="s" s="13">
        <v>7959</v>
      </c>
      <c r="N404" s="15">
        <v>162471</v>
      </c>
      <c r="O404" s="17" cm="1">
        <f t="array" ref="O404">(H404-H403)/H403</f>
        <v>-0.0249520153550864</v>
      </c>
    </row>
    <row r="405" ht="13.65" customHeight="1">
      <c r="A405" s="18">
        <v>44865</v>
      </c>
      <c r="B405" t="s" s="13">
        <v>22</v>
      </c>
      <c r="C405" s="15">
        <v>101.9</v>
      </c>
      <c r="D405" s="15">
        <v>102.15</v>
      </c>
      <c r="E405" s="15">
        <v>100.3</v>
      </c>
      <c r="F405" s="15">
        <v>101.6</v>
      </c>
      <c r="G405" s="15">
        <v>101.1</v>
      </c>
      <c r="H405" s="15">
        <v>101.55</v>
      </c>
      <c r="I405" s="15">
        <v>101.24</v>
      </c>
      <c r="J405" s="14">
        <v>1386.7</v>
      </c>
      <c r="K405" s="15">
        <v>95</v>
      </c>
      <c r="L405" s="15">
        <v>38715841</v>
      </c>
      <c r="M405" t="s" s="13">
        <v>7960</v>
      </c>
      <c r="N405" s="15">
        <v>145456</v>
      </c>
      <c r="O405" s="17" cm="1">
        <f t="array" ref="O405">(H405-H404)/H404</f>
        <v>-0.000492125984251969</v>
      </c>
    </row>
    <row r="406" ht="13.65" customHeight="1">
      <c r="A406" s="12">
        <v>44866</v>
      </c>
      <c r="B406" t="s" s="13">
        <v>22</v>
      </c>
      <c r="C406" s="15">
        <v>98.55</v>
      </c>
      <c r="D406" s="15">
        <v>101.45</v>
      </c>
      <c r="E406" s="15">
        <v>98.55</v>
      </c>
      <c r="F406" s="15">
        <v>101.55</v>
      </c>
      <c r="G406" s="15">
        <v>101.2</v>
      </c>
      <c r="H406" s="15">
        <v>101.2</v>
      </c>
      <c r="I406" s="15">
        <v>100.26</v>
      </c>
      <c r="J406" s="14">
        <v>1386.7</v>
      </c>
      <c r="K406" s="15">
        <v>95</v>
      </c>
      <c r="L406" s="15">
        <v>69031178</v>
      </c>
      <c r="M406" t="s" s="13">
        <v>7961</v>
      </c>
      <c r="N406" s="15">
        <v>211594</v>
      </c>
      <c r="O406" s="17" cm="1">
        <f t="array" ref="O406">(H406-H405)/H405</f>
        <v>-0.0034465780403742</v>
      </c>
    </row>
    <row r="407" ht="13.65" customHeight="1">
      <c r="A407" s="12">
        <v>44867</v>
      </c>
      <c r="B407" t="s" s="13">
        <v>22</v>
      </c>
      <c r="C407" s="15">
        <v>101</v>
      </c>
      <c r="D407" s="15">
        <v>103</v>
      </c>
      <c r="E407" s="15">
        <v>100.8</v>
      </c>
      <c r="F407" s="15">
        <v>101.2</v>
      </c>
      <c r="G407" s="15">
        <v>101.15</v>
      </c>
      <c r="H407" s="15">
        <v>101.25</v>
      </c>
      <c r="I407" s="15">
        <v>101.83</v>
      </c>
      <c r="J407" s="14">
        <v>1386.7</v>
      </c>
      <c r="K407" s="15">
        <v>95</v>
      </c>
      <c r="L407" s="15">
        <v>42336049</v>
      </c>
      <c r="M407" t="s" s="13">
        <v>7962</v>
      </c>
      <c r="N407" s="15">
        <v>148289</v>
      </c>
      <c r="O407" s="17" cm="1">
        <f t="array" ref="O407">(H407-H406)/H406</f>
        <v>0.000494071146245059</v>
      </c>
    </row>
    <row r="408" ht="13.65" customHeight="1">
      <c r="A408" s="12">
        <v>44868</v>
      </c>
      <c r="B408" t="s" s="13">
        <v>22</v>
      </c>
      <c r="C408" s="15">
        <v>100.75</v>
      </c>
      <c r="D408" s="15">
        <v>102.45</v>
      </c>
      <c r="E408" s="15">
        <v>100</v>
      </c>
      <c r="F408" s="15">
        <v>101.25</v>
      </c>
      <c r="G408" s="15">
        <v>101.95</v>
      </c>
      <c r="H408" s="15">
        <v>102</v>
      </c>
      <c r="I408" s="15">
        <v>101.64</v>
      </c>
      <c r="J408" s="14">
        <v>1386.7</v>
      </c>
      <c r="K408" s="15">
        <v>95</v>
      </c>
      <c r="L408" s="15">
        <v>39110676</v>
      </c>
      <c r="M408" t="s" s="13">
        <v>7963</v>
      </c>
      <c r="N408" s="15">
        <v>116765</v>
      </c>
      <c r="O408" s="17" cm="1">
        <f t="array" ref="O408">(H408-H407)/H407</f>
        <v>0.00740740740740741</v>
      </c>
    </row>
    <row r="409" ht="13.65" customHeight="1">
      <c r="A409" s="12">
        <v>44869</v>
      </c>
      <c r="B409" t="s" s="13">
        <v>22</v>
      </c>
      <c r="C409" s="15">
        <v>102.5</v>
      </c>
      <c r="D409" s="15">
        <v>105</v>
      </c>
      <c r="E409" s="15">
        <v>102.2</v>
      </c>
      <c r="F409" s="15">
        <v>102</v>
      </c>
      <c r="G409" s="15">
        <v>104.85</v>
      </c>
      <c r="H409" s="15">
        <v>104.75</v>
      </c>
      <c r="I409" s="15">
        <v>103.7</v>
      </c>
      <c r="J409" s="14">
        <v>1386.7</v>
      </c>
      <c r="K409" s="15">
        <v>95</v>
      </c>
      <c r="L409" s="15">
        <v>70299020</v>
      </c>
      <c r="M409" t="s" s="13">
        <v>7964</v>
      </c>
      <c r="N409" s="15">
        <v>206087</v>
      </c>
      <c r="O409" s="17" cm="1">
        <f t="array" ref="O409">(H409-H408)/H408</f>
        <v>0.0269607843137255</v>
      </c>
    </row>
    <row r="410" ht="13.65" customHeight="1">
      <c r="A410" s="12">
        <v>44872</v>
      </c>
      <c r="B410" t="s" s="13">
        <v>22</v>
      </c>
      <c r="C410" s="15">
        <v>105.9</v>
      </c>
      <c r="D410" s="15">
        <v>107.45</v>
      </c>
      <c r="E410" s="15">
        <v>104.6</v>
      </c>
      <c r="F410" s="15">
        <v>104.75</v>
      </c>
      <c r="G410" s="15">
        <v>106.65</v>
      </c>
      <c r="H410" s="15">
        <v>106.7</v>
      </c>
      <c r="I410" s="15">
        <v>106.48</v>
      </c>
      <c r="J410" s="14">
        <v>1386.7</v>
      </c>
      <c r="K410" s="15">
        <v>95</v>
      </c>
      <c r="L410" s="15">
        <v>74426059</v>
      </c>
      <c r="M410" t="s" s="13">
        <v>7965</v>
      </c>
      <c r="N410" s="15">
        <v>267008</v>
      </c>
      <c r="O410" s="17" cm="1">
        <f t="array" ref="O410">(H410-H409)/H409</f>
        <v>0.0186157517899761</v>
      </c>
    </row>
    <row r="411" ht="13.65" customHeight="1">
      <c r="A411" s="12">
        <v>44874</v>
      </c>
      <c r="B411" t="s" s="13">
        <v>22</v>
      </c>
      <c r="C411" s="15">
        <v>107.25</v>
      </c>
      <c r="D411" s="15">
        <v>107.55</v>
      </c>
      <c r="E411" s="15">
        <v>105.55</v>
      </c>
      <c r="F411" s="15">
        <v>106.7</v>
      </c>
      <c r="G411" s="15">
        <v>105.9</v>
      </c>
      <c r="H411" s="15">
        <v>106.1</v>
      </c>
      <c r="I411" s="15">
        <v>106.32</v>
      </c>
      <c r="J411" s="14">
        <v>1386.7</v>
      </c>
      <c r="K411" s="15">
        <v>95</v>
      </c>
      <c r="L411" s="15">
        <v>38295904</v>
      </c>
      <c r="M411" t="s" s="13">
        <v>7966</v>
      </c>
      <c r="N411" s="15">
        <v>166229</v>
      </c>
      <c r="O411" s="17" cm="1">
        <f t="array" ref="O411">(H411-H410)/H410</f>
        <v>-0.0056232427366448</v>
      </c>
    </row>
    <row r="412" ht="13.65" customHeight="1">
      <c r="A412" s="18">
        <v>44875</v>
      </c>
      <c r="B412" t="s" s="13">
        <v>22</v>
      </c>
      <c r="C412" s="15">
        <v>105.2</v>
      </c>
      <c r="D412" s="15">
        <v>106</v>
      </c>
      <c r="E412" s="15">
        <v>104.45</v>
      </c>
      <c r="F412" s="15">
        <v>106.1</v>
      </c>
      <c r="G412" s="15">
        <v>104.85</v>
      </c>
      <c r="H412" s="15">
        <v>104.7</v>
      </c>
      <c r="I412" s="15">
        <v>105.18</v>
      </c>
      <c r="J412" s="14">
        <v>1386.7</v>
      </c>
      <c r="K412" s="15">
        <v>95</v>
      </c>
      <c r="L412" s="15">
        <v>27864285</v>
      </c>
      <c r="M412" t="s" s="13">
        <v>7967</v>
      </c>
      <c r="N412" s="15">
        <v>97383</v>
      </c>
      <c r="O412" s="17" cm="1">
        <f t="array" ref="O412">(H412-H411)/H411</f>
        <v>-0.0131950989632422</v>
      </c>
    </row>
    <row r="413" ht="13.65" customHeight="1">
      <c r="A413" s="18">
        <v>44876</v>
      </c>
      <c r="B413" t="s" s="13">
        <v>22</v>
      </c>
      <c r="C413" s="15">
        <v>106.25</v>
      </c>
      <c r="D413" s="15">
        <v>108.2</v>
      </c>
      <c r="E413" s="15">
        <v>106.25</v>
      </c>
      <c r="F413" s="15">
        <v>104.7</v>
      </c>
      <c r="G413" s="15">
        <v>107.6</v>
      </c>
      <c r="H413" s="15">
        <v>107.55</v>
      </c>
      <c r="I413" s="15">
        <v>107.45</v>
      </c>
      <c r="J413" s="14">
        <v>1386.7</v>
      </c>
      <c r="K413" s="15">
        <v>95</v>
      </c>
      <c r="L413" s="15">
        <v>77933417</v>
      </c>
      <c r="M413" t="s" s="13">
        <v>7968</v>
      </c>
      <c r="N413" s="15">
        <v>216946</v>
      </c>
      <c r="O413" s="17" cm="1">
        <f t="array" ref="O413">(H413-H412)/H412</f>
        <v>0.0272206303724928</v>
      </c>
    </row>
    <row r="414" ht="13.65" customHeight="1">
      <c r="A414" s="18">
        <v>44879</v>
      </c>
      <c r="B414" t="s" s="13">
        <v>22</v>
      </c>
      <c r="C414" s="15">
        <v>108.5</v>
      </c>
      <c r="D414" s="15">
        <v>110</v>
      </c>
      <c r="E414" s="15">
        <v>108.25</v>
      </c>
      <c r="F414" s="15">
        <v>107.55</v>
      </c>
      <c r="G414" s="15">
        <v>108.7</v>
      </c>
      <c r="H414" s="15">
        <v>108.7</v>
      </c>
      <c r="I414" s="15">
        <v>109.11</v>
      </c>
      <c r="J414" s="14">
        <v>1386.7</v>
      </c>
      <c r="K414" s="15">
        <v>95</v>
      </c>
      <c r="L414" s="15">
        <v>55474425</v>
      </c>
      <c r="M414" t="s" s="13">
        <v>7969</v>
      </c>
      <c r="N414" s="15">
        <v>201128</v>
      </c>
      <c r="O414" s="17" cm="1">
        <f t="array" ref="O414">(H414-H413)/H413</f>
        <v>0.0106927010692701</v>
      </c>
    </row>
    <row r="415" ht="13.65" customHeight="1">
      <c r="A415" s="18">
        <v>44880</v>
      </c>
      <c r="B415" t="s" s="13">
        <v>22</v>
      </c>
      <c r="C415" s="15">
        <v>109</v>
      </c>
      <c r="D415" s="15">
        <v>109.35</v>
      </c>
      <c r="E415" s="15">
        <v>107.2</v>
      </c>
      <c r="F415" s="15">
        <v>108.7</v>
      </c>
      <c r="G415" s="15">
        <v>108.5</v>
      </c>
      <c r="H415" s="15">
        <v>108.55</v>
      </c>
      <c r="I415" s="15">
        <v>108.04</v>
      </c>
      <c r="J415" s="14">
        <v>1386.7</v>
      </c>
      <c r="K415" s="15">
        <v>95</v>
      </c>
      <c r="L415" s="15">
        <v>35007427</v>
      </c>
      <c r="M415" t="s" s="13">
        <v>7970</v>
      </c>
      <c r="N415" s="15">
        <v>123984</v>
      </c>
      <c r="O415" s="17" cm="1">
        <f t="array" ref="O415">(H415-H414)/H414</f>
        <v>-0.00137994480220791</v>
      </c>
    </row>
    <row r="416" ht="13.65" customHeight="1">
      <c r="A416" s="18">
        <v>44881</v>
      </c>
      <c r="B416" t="s" s="13">
        <v>22</v>
      </c>
      <c r="C416" s="15">
        <v>108.45</v>
      </c>
      <c r="D416" s="15">
        <v>108.8</v>
      </c>
      <c r="E416" s="15">
        <v>105.2</v>
      </c>
      <c r="F416" s="15">
        <v>108.55</v>
      </c>
      <c r="G416" s="15">
        <v>106.4</v>
      </c>
      <c r="H416" s="15">
        <v>106.55</v>
      </c>
      <c r="I416" s="15">
        <v>106.96</v>
      </c>
      <c r="J416" s="14">
        <v>1386.7</v>
      </c>
      <c r="K416" s="15">
        <v>95</v>
      </c>
      <c r="L416" s="15">
        <v>40404167</v>
      </c>
      <c r="M416" t="s" s="13">
        <v>7971</v>
      </c>
      <c r="N416" s="15">
        <v>159611</v>
      </c>
      <c r="O416" s="17" cm="1">
        <f t="array" ref="O416">(H416-H415)/H415</f>
        <v>-0.0184246890833717</v>
      </c>
    </row>
    <row r="417" ht="13.65" customHeight="1">
      <c r="A417" s="18">
        <v>44882</v>
      </c>
      <c r="B417" t="s" s="13">
        <v>22</v>
      </c>
      <c r="C417" s="15">
        <v>105.9</v>
      </c>
      <c r="D417" s="15">
        <v>106.8</v>
      </c>
      <c r="E417" s="15">
        <v>104.5</v>
      </c>
      <c r="F417" s="15">
        <v>106.55</v>
      </c>
      <c r="G417" s="15">
        <v>105.85</v>
      </c>
      <c r="H417" s="15">
        <v>105.85</v>
      </c>
      <c r="I417" s="15">
        <v>105.44</v>
      </c>
      <c r="J417" s="14">
        <v>1386.7</v>
      </c>
      <c r="K417" s="15">
        <v>95</v>
      </c>
      <c r="L417" s="15">
        <v>32894825</v>
      </c>
      <c r="M417" t="s" s="13">
        <v>7972</v>
      </c>
      <c r="N417" s="15">
        <v>142955</v>
      </c>
      <c r="O417" s="17" cm="1">
        <f t="array" ref="O417">(H417-H416)/H416</f>
        <v>-0.00656968559361802</v>
      </c>
    </row>
    <row r="418" ht="13.65" customHeight="1">
      <c r="A418" s="18">
        <v>44883</v>
      </c>
      <c r="B418" t="s" s="13">
        <v>22</v>
      </c>
      <c r="C418" s="15">
        <v>105.85</v>
      </c>
      <c r="D418" s="15">
        <v>106.3</v>
      </c>
      <c r="E418" s="15">
        <v>104.7</v>
      </c>
      <c r="F418" s="15">
        <v>105.85</v>
      </c>
      <c r="G418" s="15">
        <v>105.6</v>
      </c>
      <c r="H418" s="15">
        <v>105.5</v>
      </c>
      <c r="I418" s="15">
        <v>105.44</v>
      </c>
      <c r="J418" s="14">
        <v>1386.7</v>
      </c>
      <c r="K418" s="15">
        <v>95</v>
      </c>
      <c r="L418" s="15">
        <v>28992538</v>
      </c>
      <c r="M418" t="s" s="13">
        <v>7973</v>
      </c>
      <c r="N418" s="15">
        <v>104183</v>
      </c>
      <c r="O418" s="17" cm="1">
        <f t="array" ref="O418">(H418-H417)/H417</f>
        <v>-0.00330656589513462</v>
      </c>
    </row>
    <row r="419" ht="13.65" customHeight="1">
      <c r="A419" s="18">
        <v>44886</v>
      </c>
      <c r="B419" t="s" s="13">
        <v>22</v>
      </c>
      <c r="C419" s="15">
        <v>107.7</v>
      </c>
      <c r="D419" s="15">
        <v>107.7</v>
      </c>
      <c r="E419" s="15">
        <v>103.85</v>
      </c>
      <c r="F419" s="15">
        <v>105.5</v>
      </c>
      <c r="G419" s="15">
        <v>104.1</v>
      </c>
      <c r="H419" s="15">
        <v>104.25</v>
      </c>
      <c r="I419" s="15">
        <v>105.39</v>
      </c>
      <c r="J419" s="14">
        <v>1386.7</v>
      </c>
      <c r="K419" s="15">
        <v>95</v>
      </c>
      <c r="L419" s="15">
        <v>58404309</v>
      </c>
      <c r="M419" t="s" s="13">
        <v>7974</v>
      </c>
      <c r="N419" s="15">
        <v>174056</v>
      </c>
      <c r="O419" s="17" cm="1">
        <f t="array" ref="O419">(H419-H418)/H418</f>
        <v>-0.0118483412322275</v>
      </c>
    </row>
    <row r="420" ht="13.65" customHeight="1">
      <c r="A420" s="18">
        <v>44887</v>
      </c>
      <c r="B420" t="s" s="13">
        <v>22</v>
      </c>
      <c r="C420" s="15">
        <v>104.4</v>
      </c>
      <c r="D420" s="15">
        <v>105.4</v>
      </c>
      <c r="E420" s="15">
        <v>103.55</v>
      </c>
      <c r="F420" s="15">
        <v>104.25</v>
      </c>
      <c r="G420" s="15">
        <v>105.35</v>
      </c>
      <c r="H420" s="15">
        <v>105.2</v>
      </c>
      <c r="I420" s="15">
        <v>104.47</v>
      </c>
      <c r="J420" s="14">
        <v>1386.7</v>
      </c>
      <c r="K420" s="15">
        <v>95</v>
      </c>
      <c r="L420" s="15">
        <v>27846186</v>
      </c>
      <c r="M420" t="s" s="13">
        <v>7975</v>
      </c>
      <c r="N420" s="15">
        <v>104893</v>
      </c>
      <c r="O420" s="17" cm="1">
        <f t="array" ref="O420">(H420-H419)/H419</f>
        <v>0.00911270983213429</v>
      </c>
    </row>
    <row r="421" ht="13.65" customHeight="1">
      <c r="A421" s="18">
        <v>44888</v>
      </c>
      <c r="B421" t="s" s="13">
        <v>22</v>
      </c>
      <c r="C421" s="15">
        <v>105.7</v>
      </c>
      <c r="D421" s="15">
        <v>106</v>
      </c>
      <c r="E421" s="15">
        <v>104.95</v>
      </c>
      <c r="F421" s="15">
        <v>105.2</v>
      </c>
      <c r="G421" s="15">
        <v>105.4</v>
      </c>
      <c r="H421" s="15">
        <v>105.45</v>
      </c>
      <c r="I421" s="15">
        <v>105.46</v>
      </c>
      <c r="J421" s="14">
        <v>1386.7</v>
      </c>
      <c r="K421" s="15">
        <v>95</v>
      </c>
      <c r="L421" s="15">
        <v>22809651</v>
      </c>
      <c r="M421" t="s" s="13">
        <v>7976</v>
      </c>
      <c r="N421" s="15">
        <v>115335</v>
      </c>
      <c r="O421" s="17" cm="1">
        <f t="array" ref="O421">(H421-H420)/H420</f>
        <v>0.00237642585551331</v>
      </c>
    </row>
    <row r="422" ht="13.65" customHeight="1">
      <c r="A422" s="18">
        <v>44889</v>
      </c>
      <c r="B422" t="s" s="13">
        <v>22</v>
      </c>
      <c r="C422" s="15">
        <v>105.85</v>
      </c>
      <c r="D422" s="15">
        <v>105.95</v>
      </c>
      <c r="E422" s="15">
        <v>104.6</v>
      </c>
      <c r="F422" s="15">
        <v>105.45</v>
      </c>
      <c r="G422" s="15">
        <v>105.45</v>
      </c>
      <c r="H422" s="15">
        <v>105.5</v>
      </c>
      <c r="I422" s="15">
        <v>105.32</v>
      </c>
      <c r="J422" s="14">
        <v>1386.7</v>
      </c>
      <c r="K422" s="15">
        <v>95</v>
      </c>
      <c r="L422" s="15">
        <v>23737867</v>
      </c>
      <c r="M422" t="s" s="13">
        <v>7977</v>
      </c>
      <c r="N422" s="15">
        <v>126322</v>
      </c>
      <c r="O422" s="17" cm="1">
        <f t="array" ref="O422">(H422-H421)/H421</f>
        <v>0.000474158368895211</v>
      </c>
    </row>
    <row r="423" ht="13.65" customHeight="1">
      <c r="A423" s="18">
        <v>44890</v>
      </c>
      <c r="B423" t="s" s="13">
        <v>22</v>
      </c>
      <c r="C423" s="15">
        <v>105.6</v>
      </c>
      <c r="D423" s="15">
        <v>106.5</v>
      </c>
      <c r="E423" s="15">
        <v>105.1</v>
      </c>
      <c r="F423" s="15">
        <v>105.5</v>
      </c>
      <c r="G423" s="15">
        <v>106.4</v>
      </c>
      <c r="H423" s="15">
        <v>106.2</v>
      </c>
      <c r="I423" s="15">
        <v>105.96</v>
      </c>
      <c r="J423" s="14">
        <v>1386.7</v>
      </c>
      <c r="K423" s="15">
        <v>95</v>
      </c>
      <c r="L423" s="15">
        <v>27361785</v>
      </c>
      <c r="M423" t="s" s="13">
        <v>7978</v>
      </c>
      <c r="N423" s="15">
        <v>108745</v>
      </c>
      <c r="O423" s="17" cm="1">
        <f t="array" ref="O423">(H423-H422)/H422</f>
        <v>0.00663507109004739</v>
      </c>
    </row>
    <row r="424" ht="13.65" customHeight="1">
      <c r="A424" s="18">
        <v>44893</v>
      </c>
      <c r="B424" t="s" s="13">
        <v>22</v>
      </c>
      <c r="C424" s="15">
        <v>106</v>
      </c>
      <c r="D424" s="15">
        <v>106.4</v>
      </c>
      <c r="E424" s="15">
        <v>104.5</v>
      </c>
      <c r="F424" s="15">
        <v>106.2</v>
      </c>
      <c r="G424" s="15">
        <v>104.9</v>
      </c>
      <c r="H424" s="15">
        <v>104.9</v>
      </c>
      <c r="I424" s="15">
        <v>105.01</v>
      </c>
      <c r="J424" s="14">
        <v>1386.7</v>
      </c>
      <c r="K424" s="15">
        <v>95</v>
      </c>
      <c r="L424" s="15">
        <v>33516118</v>
      </c>
      <c r="M424" t="s" s="13">
        <v>7979</v>
      </c>
      <c r="N424" s="15">
        <v>131701</v>
      </c>
      <c r="O424" s="17" cm="1">
        <f t="array" ref="O424">(H424-H423)/H423</f>
        <v>-0.012241054613936</v>
      </c>
    </row>
    <row r="425" ht="13.65" customHeight="1">
      <c r="A425" s="18">
        <v>44894</v>
      </c>
      <c r="B425" t="s" s="13">
        <v>22</v>
      </c>
      <c r="C425" s="15">
        <v>105</v>
      </c>
      <c r="D425" s="15">
        <v>107.65</v>
      </c>
      <c r="E425" s="15">
        <v>104.95</v>
      </c>
      <c r="F425" s="15">
        <v>104.9</v>
      </c>
      <c r="G425" s="15">
        <v>106.05</v>
      </c>
      <c r="H425" s="15">
        <v>106.1</v>
      </c>
      <c r="I425" s="15">
        <v>106.54</v>
      </c>
      <c r="J425" s="14">
        <v>1386.7</v>
      </c>
      <c r="K425" s="15">
        <v>95</v>
      </c>
      <c r="L425" s="15">
        <v>40661568</v>
      </c>
      <c r="M425" t="s" s="13">
        <v>7980</v>
      </c>
      <c r="N425" s="15">
        <v>126137</v>
      </c>
      <c r="O425" s="17" cm="1">
        <f t="array" ref="O425">(H425-H424)/H424</f>
        <v>0.0114394661582459</v>
      </c>
    </row>
    <row r="426" ht="13.65" customHeight="1">
      <c r="A426" s="18">
        <v>44895</v>
      </c>
      <c r="B426" t="s" s="13">
        <v>22</v>
      </c>
      <c r="C426" s="15">
        <v>106.1</v>
      </c>
      <c r="D426" s="15">
        <v>107.95</v>
      </c>
      <c r="E426" s="15">
        <v>105.9</v>
      </c>
      <c r="F426" s="15">
        <v>106.1</v>
      </c>
      <c r="G426" s="15">
        <v>107.55</v>
      </c>
      <c r="H426" s="15">
        <v>107.65</v>
      </c>
      <c r="I426" s="15">
        <v>107.35</v>
      </c>
      <c r="J426" s="14">
        <v>1386.7</v>
      </c>
      <c r="K426" s="15">
        <v>95</v>
      </c>
      <c r="L426" s="15">
        <v>61142050</v>
      </c>
      <c r="M426" t="s" s="13">
        <v>7981</v>
      </c>
      <c r="N426" s="15">
        <v>135519</v>
      </c>
      <c r="O426" s="17" cm="1">
        <f t="array" ref="O426">(H426-H425)/H425</f>
        <v>0.0146088595664467</v>
      </c>
    </row>
    <row r="427" ht="13.65" customHeight="1">
      <c r="A427" s="12">
        <v>44896</v>
      </c>
      <c r="B427" t="s" s="13">
        <v>22</v>
      </c>
      <c r="C427" s="15">
        <v>108.7</v>
      </c>
      <c r="D427" s="15">
        <v>111.3</v>
      </c>
      <c r="E427" s="15">
        <v>108</v>
      </c>
      <c r="F427" s="15">
        <v>107.65</v>
      </c>
      <c r="G427" s="15">
        <v>110.55</v>
      </c>
      <c r="H427" s="15">
        <v>110.75</v>
      </c>
      <c r="I427" s="15">
        <v>109.75</v>
      </c>
      <c r="J427" s="14">
        <v>1386.7</v>
      </c>
      <c r="K427" s="15">
        <v>95</v>
      </c>
      <c r="L427" s="15">
        <v>91702642</v>
      </c>
      <c r="M427" t="s" s="13">
        <v>7982</v>
      </c>
      <c r="N427" s="15">
        <v>283438</v>
      </c>
      <c r="O427" s="17" cm="1">
        <f t="array" ref="O427">(H427-H426)/H426</f>
        <v>0.0287970274036229</v>
      </c>
    </row>
    <row r="428" ht="13.65" customHeight="1">
      <c r="A428" s="12">
        <v>44897</v>
      </c>
      <c r="B428" t="s" s="13">
        <v>22</v>
      </c>
      <c r="C428" s="15">
        <v>110.8</v>
      </c>
      <c r="D428" s="15">
        <v>112.5</v>
      </c>
      <c r="E428" s="15">
        <v>110.15</v>
      </c>
      <c r="F428" s="15">
        <v>110.75</v>
      </c>
      <c r="G428" s="15">
        <v>111.85</v>
      </c>
      <c r="H428" s="15">
        <v>112</v>
      </c>
      <c r="I428" s="15">
        <v>111.54</v>
      </c>
      <c r="J428" s="14">
        <v>1386.7</v>
      </c>
      <c r="K428" s="15">
        <v>95</v>
      </c>
      <c r="L428" s="15">
        <v>70541914</v>
      </c>
      <c r="M428" t="s" s="13">
        <v>7983</v>
      </c>
      <c r="N428" s="15">
        <v>227806</v>
      </c>
      <c r="O428" s="17" cm="1">
        <f t="array" ref="O428">(H428-H427)/H427</f>
        <v>0.0112866817155756</v>
      </c>
    </row>
    <row r="429" ht="13.65" customHeight="1">
      <c r="A429" s="12">
        <v>44900</v>
      </c>
      <c r="B429" t="s" s="13">
        <v>22</v>
      </c>
      <c r="C429" s="15">
        <v>113.3</v>
      </c>
      <c r="D429" s="15">
        <v>116.1</v>
      </c>
      <c r="E429" s="15">
        <v>112.65</v>
      </c>
      <c r="F429" s="15">
        <v>112</v>
      </c>
      <c r="G429" s="15">
        <v>115.45</v>
      </c>
      <c r="H429" s="15">
        <v>115.85</v>
      </c>
      <c r="I429" s="15">
        <v>114.79</v>
      </c>
      <c r="J429" s="14">
        <v>1386.7</v>
      </c>
      <c r="K429" s="15">
        <v>95</v>
      </c>
      <c r="L429" s="15">
        <v>96441799</v>
      </c>
      <c r="M429" t="s" s="13">
        <v>7984</v>
      </c>
      <c r="N429" s="15">
        <v>319132</v>
      </c>
      <c r="O429" s="17" cm="1">
        <f t="array" ref="O429">(H429-H428)/H428</f>
        <v>0.034375</v>
      </c>
    </row>
    <row r="430" ht="13.65" customHeight="1">
      <c r="A430" s="12">
        <v>44901</v>
      </c>
      <c r="B430" t="s" s="13">
        <v>22</v>
      </c>
      <c r="C430" s="15">
        <v>115.35</v>
      </c>
      <c r="D430" s="15">
        <v>115.35</v>
      </c>
      <c r="E430" s="15">
        <v>112.25</v>
      </c>
      <c r="F430" s="15">
        <v>115.85</v>
      </c>
      <c r="G430" s="15">
        <v>112.95</v>
      </c>
      <c r="H430" s="15">
        <v>112.95</v>
      </c>
      <c r="I430" s="15">
        <v>113.31</v>
      </c>
      <c r="J430" s="14">
        <v>1386.7</v>
      </c>
      <c r="K430" s="15">
        <v>95</v>
      </c>
      <c r="L430" s="15">
        <v>50581245</v>
      </c>
      <c r="M430" t="s" s="13">
        <v>7985</v>
      </c>
      <c r="N430" s="15">
        <v>204447</v>
      </c>
      <c r="O430" s="17" cm="1">
        <f t="array" ref="O430">(H430-H429)/H429</f>
        <v>-0.0250323694432456</v>
      </c>
    </row>
    <row r="431" ht="13.65" customHeight="1">
      <c r="A431" s="12">
        <v>44902</v>
      </c>
      <c r="B431" t="s" s="13">
        <v>22</v>
      </c>
      <c r="C431" s="15">
        <v>113.4</v>
      </c>
      <c r="D431" s="15">
        <v>113.5</v>
      </c>
      <c r="E431" s="15">
        <v>110.85</v>
      </c>
      <c r="F431" s="15">
        <v>112.95</v>
      </c>
      <c r="G431" s="15">
        <v>111.2</v>
      </c>
      <c r="H431" s="15">
        <v>111.2</v>
      </c>
      <c r="I431" s="15">
        <v>111.93</v>
      </c>
      <c r="J431" s="14">
        <v>1386.7</v>
      </c>
      <c r="K431" s="15">
        <v>95</v>
      </c>
      <c r="L431" s="15">
        <v>39494279</v>
      </c>
      <c r="M431" t="s" s="13">
        <v>7986</v>
      </c>
      <c r="N431" s="15">
        <v>152182</v>
      </c>
      <c r="O431" s="17" cm="1">
        <f t="array" ref="O431">(H431-H430)/H430</f>
        <v>-0.015493581230633</v>
      </c>
    </row>
    <row r="432" ht="13.65" customHeight="1">
      <c r="A432" s="12">
        <v>44903</v>
      </c>
      <c r="B432" t="s" s="13">
        <v>22</v>
      </c>
      <c r="C432" s="15">
        <v>111.75</v>
      </c>
      <c r="D432" s="15">
        <v>113</v>
      </c>
      <c r="E432" s="15">
        <v>110.8</v>
      </c>
      <c r="F432" s="15">
        <v>111.2</v>
      </c>
      <c r="G432" s="15">
        <v>112</v>
      </c>
      <c r="H432" s="15">
        <v>111.85</v>
      </c>
      <c r="I432" s="15">
        <v>111.73</v>
      </c>
      <c r="J432" s="14">
        <v>1386.7</v>
      </c>
      <c r="K432" s="15">
        <v>95</v>
      </c>
      <c r="L432" s="15">
        <v>32416724</v>
      </c>
      <c r="M432" t="s" s="13">
        <v>7987</v>
      </c>
      <c r="N432" s="15">
        <v>138285</v>
      </c>
      <c r="O432" s="17" cm="1">
        <f t="array" ref="O432">(H432-H431)/H431</f>
        <v>0.00584532374100719</v>
      </c>
    </row>
    <row r="433" ht="13.65" customHeight="1">
      <c r="A433" s="12">
        <v>44904</v>
      </c>
      <c r="B433" t="s" s="13">
        <v>22</v>
      </c>
      <c r="C433" s="15">
        <v>112.8</v>
      </c>
      <c r="D433" s="15">
        <v>113.75</v>
      </c>
      <c r="E433" s="15">
        <v>109.7</v>
      </c>
      <c r="F433" s="15">
        <v>111.85</v>
      </c>
      <c r="G433" s="15">
        <v>110.4</v>
      </c>
      <c r="H433" s="15">
        <v>110.45</v>
      </c>
      <c r="I433" s="15">
        <v>111.58</v>
      </c>
      <c r="J433" s="14">
        <v>1386.7</v>
      </c>
      <c r="K433" s="15">
        <v>95</v>
      </c>
      <c r="L433" s="15">
        <v>35665257</v>
      </c>
      <c r="M433" t="s" s="13">
        <v>7988</v>
      </c>
      <c r="N433" s="15">
        <v>150422</v>
      </c>
      <c r="O433" s="17" cm="1">
        <f t="array" ref="O433">(H433-H432)/H432</f>
        <v>-0.0125167635225749</v>
      </c>
    </row>
    <row r="434" ht="13.65" customHeight="1">
      <c r="A434" s="18">
        <v>44907</v>
      </c>
      <c r="B434" t="s" s="13">
        <v>22</v>
      </c>
      <c r="C434" s="15">
        <v>110.2</v>
      </c>
      <c r="D434" s="15">
        <v>112.1</v>
      </c>
      <c r="E434" s="15">
        <v>108.7</v>
      </c>
      <c r="F434" s="15">
        <v>110.45</v>
      </c>
      <c r="G434" s="15">
        <v>111.95</v>
      </c>
      <c r="H434" s="15">
        <v>111.7</v>
      </c>
      <c r="I434" s="15">
        <v>110.86</v>
      </c>
      <c r="J434" s="14">
        <v>1386.7</v>
      </c>
      <c r="K434" s="15">
        <v>95</v>
      </c>
      <c r="L434" s="15">
        <v>37082389</v>
      </c>
      <c r="M434" t="s" s="13">
        <v>7989</v>
      </c>
      <c r="N434" s="15">
        <v>134511</v>
      </c>
      <c r="O434" s="17" cm="1">
        <f t="array" ref="O434">(H434-H433)/H433</f>
        <v>0.0113173381620643</v>
      </c>
    </row>
    <row r="435" ht="13.65" customHeight="1">
      <c r="A435" s="18">
        <v>44908</v>
      </c>
      <c r="B435" t="s" s="13">
        <v>22</v>
      </c>
      <c r="C435" s="15">
        <v>112.55</v>
      </c>
      <c r="D435" s="15">
        <v>112.85</v>
      </c>
      <c r="E435" s="15">
        <v>110.8</v>
      </c>
      <c r="F435" s="15">
        <v>111.7</v>
      </c>
      <c r="G435" s="15">
        <v>111.25</v>
      </c>
      <c r="H435" s="15">
        <v>111.2</v>
      </c>
      <c r="I435" s="15">
        <v>111.47</v>
      </c>
      <c r="J435" s="14">
        <v>1386.7</v>
      </c>
      <c r="K435" s="15">
        <v>95</v>
      </c>
      <c r="L435" s="15">
        <v>32264080</v>
      </c>
      <c r="M435" t="s" s="13">
        <v>7990</v>
      </c>
      <c r="N435" s="15">
        <v>111948</v>
      </c>
      <c r="O435" s="17" cm="1">
        <f t="array" ref="O435">(H435-H434)/H434</f>
        <v>-0.0044762757385855</v>
      </c>
    </row>
    <row r="436" ht="13.65" customHeight="1">
      <c r="A436" s="18">
        <v>44909</v>
      </c>
      <c r="B436" t="s" s="13">
        <v>22</v>
      </c>
      <c r="C436" s="15">
        <v>111.6</v>
      </c>
      <c r="D436" s="15">
        <v>113.2</v>
      </c>
      <c r="E436" s="15">
        <v>111.1</v>
      </c>
      <c r="F436" s="15">
        <v>111.2</v>
      </c>
      <c r="G436" s="15">
        <v>113.05</v>
      </c>
      <c r="H436" s="15">
        <v>113.05</v>
      </c>
      <c r="I436" s="15">
        <v>112.43</v>
      </c>
      <c r="J436" s="14">
        <v>1386.7</v>
      </c>
      <c r="K436" s="15">
        <v>95</v>
      </c>
      <c r="L436" s="15">
        <v>38606984</v>
      </c>
      <c r="M436" t="s" s="13">
        <v>7991</v>
      </c>
      <c r="N436" s="15">
        <v>250142</v>
      </c>
      <c r="O436" s="17" cm="1">
        <f t="array" ref="O436">(H436-H435)/H435</f>
        <v>0.016636690647482</v>
      </c>
    </row>
    <row r="437" ht="13.65" customHeight="1">
      <c r="A437" s="18">
        <v>44910</v>
      </c>
      <c r="B437" t="s" s="13">
        <v>22</v>
      </c>
      <c r="C437" s="15">
        <v>112.65</v>
      </c>
      <c r="D437" s="15">
        <v>113.45</v>
      </c>
      <c r="E437" s="15">
        <v>110.7</v>
      </c>
      <c r="F437" s="15">
        <v>113.05</v>
      </c>
      <c r="G437" s="15">
        <v>110.9</v>
      </c>
      <c r="H437" s="15">
        <v>110.95</v>
      </c>
      <c r="I437" s="15">
        <v>111.72</v>
      </c>
      <c r="J437" s="14">
        <v>1386.7</v>
      </c>
      <c r="K437" s="15">
        <v>95</v>
      </c>
      <c r="L437" s="15">
        <v>34361613</v>
      </c>
      <c r="M437" t="s" s="13">
        <v>7992</v>
      </c>
      <c r="N437" s="15">
        <v>179928</v>
      </c>
      <c r="O437" s="17" cm="1">
        <f t="array" ref="O437">(H437-H436)/H436</f>
        <v>-0.0185758513931889</v>
      </c>
    </row>
    <row r="438" ht="13.65" customHeight="1">
      <c r="A438" s="18">
        <v>44911</v>
      </c>
      <c r="B438" t="s" s="13">
        <v>22</v>
      </c>
      <c r="C438" s="15">
        <v>110.35</v>
      </c>
      <c r="D438" s="15">
        <v>112.1</v>
      </c>
      <c r="E438" s="15">
        <v>109.45</v>
      </c>
      <c r="F438" s="15">
        <v>110.95</v>
      </c>
      <c r="G438" s="15">
        <v>110.8</v>
      </c>
      <c r="H438" s="15">
        <v>111.05</v>
      </c>
      <c r="I438" s="15">
        <v>110.78</v>
      </c>
      <c r="J438" s="14">
        <v>1386.7</v>
      </c>
      <c r="K438" s="15">
        <v>95</v>
      </c>
      <c r="L438" s="15">
        <v>34736665</v>
      </c>
      <c r="M438" t="s" s="13">
        <v>7993</v>
      </c>
      <c r="N438" s="15">
        <v>121660</v>
      </c>
      <c r="O438" s="17" cm="1">
        <f t="array" ref="O438">(H438-H437)/H437</f>
        <v>0.000901306894997747</v>
      </c>
    </row>
    <row r="439" ht="13.65" customHeight="1">
      <c r="A439" s="18">
        <v>44914</v>
      </c>
      <c r="B439" t="s" s="13">
        <v>22</v>
      </c>
      <c r="C439" s="15">
        <v>111.05</v>
      </c>
      <c r="D439" s="15">
        <v>112.1</v>
      </c>
      <c r="E439" s="15">
        <v>110.8</v>
      </c>
      <c r="F439" s="15">
        <v>111.05</v>
      </c>
      <c r="G439" s="15">
        <v>111.7</v>
      </c>
      <c r="H439" s="15">
        <v>111.8</v>
      </c>
      <c r="I439" s="15">
        <v>111.48</v>
      </c>
      <c r="J439" s="14">
        <v>1386.7</v>
      </c>
      <c r="K439" s="15">
        <v>95</v>
      </c>
      <c r="L439" s="15">
        <v>17297590</v>
      </c>
      <c r="M439" t="s" s="13">
        <v>7994</v>
      </c>
      <c r="N439" s="15">
        <v>110179</v>
      </c>
      <c r="O439" s="17" cm="1">
        <f t="array" ref="O439">(H439-H438)/H438</f>
        <v>0.00675371454299865</v>
      </c>
    </row>
    <row r="440" ht="13.65" customHeight="1">
      <c r="A440" s="18">
        <v>44915</v>
      </c>
      <c r="B440" t="s" s="13">
        <v>22</v>
      </c>
      <c r="C440" s="15">
        <v>111.15</v>
      </c>
      <c r="D440" s="15">
        <v>111.5</v>
      </c>
      <c r="E440" s="15">
        <v>109</v>
      </c>
      <c r="F440" s="15">
        <v>111.8</v>
      </c>
      <c r="G440" s="15">
        <v>111</v>
      </c>
      <c r="H440" s="15">
        <v>110.95</v>
      </c>
      <c r="I440" s="15">
        <v>110.28</v>
      </c>
      <c r="J440" s="14">
        <v>1386.7</v>
      </c>
      <c r="K440" s="15">
        <v>95</v>
      </c>
      <c r="L440" s="15">
        <v>34836506</v>
      </c>
      <c r="M440" t="s" s="13">
        <v>7995</v>
      </c>
      <c r="N440" s="15">
        <v>124555</v>
      </c>
      <c r="O440" s="17" cm="1">
        <f t="array" ref="O440">(H440-H439)/H439</f>
        <v>-0.00760286225402504</v>
      </c>
    </row>
    <row r="441" ht="13.65" customHeight="1">
      <c r="A441" s="18">
        <v>44916</v>
      </c>
      <c r="B441" t="s" s="13">
        <v>22</v>
      </c>
      <c r="C441" s="15">
        <v>111.8</v>
      </c>
      <c r="D441" s="15">
        <v>112</v>
      </c>
      <c r="E441" s="15">
        <v>108.7</v>
      </c>
      <c r="F441" s="15">
        <v>110.95</v>
      </c>
      <c r="G441" s="15">
        <v>109.6</v>
      </c>
      <c r="H441" s="15">
        <v>109.4</v>
      </c>
      <c r="I441" s="15">
        <v>110.33</v>
      </c>
      <c r="J441" s="14">
        <v>1386.7</v>
      </c>
      <c r="K441" s="15">
        <v>95</v>
      </c>
      <c r="L441" s="15">
        <v>32303565</v>
      </c>
      <c r="M441" t="s" s="13">
        <v>7996</v>
      </c>
      <c r="N441" s="15">
        <v>123288</v>
      </c>
      <c r="O441" s="17" cm="1">
        <f t="array" ref="O441">(H441-H440)/H440</f>
        <v>-0.0139702568724651</v>
      </c>
    </row>
    <row r="442" ht="13.65" customHeight="1">
      <c r="A442" s="18">
        <v>44917</v>
      </c>
      <c r="B442" t="s" s="13">
        <v>22</v>
      </c>
      <c r="C442" s="15">
        <v>110</v>
      </c>
      <c r="D442" s="15">
        <v>110.6</v>
      </c>
      <c r="E442" s="15">
        <v>106.35</v>
      </c>
      <c r="F442" s="15">
        <v>109.4</v>
      </c>
      <c r="G442" s="15">
        <v>107.25</v>
      </c>
      <c r="H442" s="15">
        <v>107.65</v>
      </c>
      <c r="I442" s="15">
        <v>107.78</v>
      </c>
      <c r="J442" s="14">
        <v>1386.7</v>
      </c>
      <c r="K442" s="15">
        <v>95</v>
      </c>
      <c r="L442" s="15">
        <v>39639329</v>
      </c>
      <c r="M442" t="s" s="13">
        <v>7997</v>
      </c>
      <c r="N442" s="15">
        <v>156763</v>
      </c>
      <c r="O442" s="17" cm="1">
        <f t="array" ref="O442">(H442-H441)/H441</f>
        <v>-0.0159963436928702</v>
      </c>
    </row>
    <row r="443" ht="13.65" customHeight="1">
      <c r="A443" s="18">
        <v>44918</v>
      </c>
      <c r="B443" t="s" s="13">
        <v>22</v>
      </c>
      <c r="C443" s="15">
        <v>106</v>
      </c>
      <c r="D443" s="15">
        <v>106.75</v>
      </c>
      <c r="E443" s="15">
        <v>101.95</v>
      </c>
      <c r="F443" s="15">
        <v>107.65</v>
      </c>
      <c r="G443" s="15">
        <v>102.25</v>
      </c>
      <c r="H443" s="15">
        <v>102.25</v>
      </c>
      <c r="I443" s="15">
        <v>103.97</v>
      </c>
      <c r="J443" s="14">
        <v>1386.7</v>
      </c>
      <c r="K443" s="15">
        <v>95</v>
      </c>
      <c r="L443" s="15">
        <v>46756489</v>
      </c>
      <c r="M443" t="s" s="13">
        <v>7998</v>
      </c>
      <c r="N443" s="15">
        <v>247994</v>
      </c>
      <c r="O443" s="17" cm="1">
        <f t="array" ref="O443">(H443-H442)/H442</f>
        <v>-0.0501625638643753</v>
      </c>
    </row>
    <row r="444" ht="13.65" customHeight="1">
      <c r="A444" s="18">
        <v>44921</v>
      </c>
      <c r="B444" t="s" s="13">
        <v>22</v>
      </c>
      <c r="C444" s="15">
        <v>102.8</v>
      </c>
      <c r="D444" s="15">
        <v>105.55</v>
      </c>
      <c r="E444" s="15">
        <v>101.65</v>
      </c>
      <c r="F444" s="15">
        <v>102.25</v>
      </c>
      <c r="G444" s="15">
        <v>104.95</v>
      </c>
      <c r="H444" s="15">
        <v>105</v>
      </c>
      <c r="I444" s="15">
        <v>104.39</v>
      </c>
      <c r="J444" s="14">
        <v>1386.7</v>
      </c>
      <c r="K444" s="15">
        <v>95</v>
      </c>
      <c r="L444" s="15">
        <v>33995681</v>
      </c>
      <c r="M444" t="s" s="13">
        <v>7999</v>
      </c>
      <c r="N444" s="15">
        <v>160626</v>
      </c>
      <c r="O444" s="17" cm="1">
        <f t="array" ref="O444">(H444-H443)/H443</f>
        <v>0.0268948655256724</v>
      </c>
    </row>
    <row r="445" ht="13.65" customHeight="1">
      <c r="A445" s="18">
        <v>44922</v>
      </c>
      <c r="B445" t="s" s="13">
        <v>22</v>
      </c>
      <c r="C445" s="15">
        <v>106.65</v>
      </c>
      <c r="D445" s="15">
        <v>111.55</v>
      </c>
      <c r="E445" s="15">
        <v>105.85</v>
      </c>
      <c r="F445" s="15">
        <v>105</v>
      </c>
      <c r="G445" s="15">
        <v>111.3</v>
      </c>
      <c r="H445" s="15">
        <v>111.15</v>
      </c>
      <c r="I445" s="15">
        <v>109.38</v>
      </c>
      <c r="J445" s="14">
        <v>1386.7</v>
      </c>
      <c r="K445" s="15">
        <v>95</v>
      </c>
      <c r="L445" s="15">
        <v>76033410</v>
      </c>
      <c r="M445" t="s" s="13">
        <v>8000</v>
      </c>
      <c r="N445" s="15">
        <v>241759</v>
      </c>
      <c r="O445" s="17" cm="1">
        <f t="array" ref="O445">(H445-H444)/H444</f>
        <v>0.0585714285714286</v>
      </c>
    </row>
    <row r="446" ht="13.65" customHeight="1">
      <c r="A446" s="18">
        <v>44923</v>
      </c>
      <c r="B446" t="s" s="13">
        <v>22</v>
      </c>
      <c r="C446" s="15">
        <v>111.05</v>
      </c>
      <c r="D446" s="15">
        <v>112.3</v>
      </c>
      <c r="E446" s="15">
        <v>109.7</v>
      </c>
      <c r="F446" s="15">
        <v>111.15</v>
      </c>
      <c r="G446" s="15">
        <v>110.2</v>
      </c>
      <c r="H446" s="15">
        <v>110</v>
      </c>
      <c r="I446" s="15">
        <v>110.95</v>
      </c>
      <c r="J446" s="14">
        <v>1386.7</v>
      </c>
      <c r="K446" s="15">
        <v>95</v>
      </c>
      <c r="L446" s="15">
        <v>50660601</v>
      </c>
      <c r="M446" t="s" s="13">
        <v>8001</v>
      </c>
      <c r="N446" s="15">
        <v>186350</v>
      </c>
      <c r="O446" s="17" cm="1">
        <f t="array" ref="O446">(H446-H445)/H445</f>
        <v>-0.0103463787674314</v>
      </c>
    </row>
    <row r="447" ht="13.65" customHeight="1">
      <c r="A447" s="18">
        <v>44924</v>
      </c>
      <c r="B447" t="s" s="13">
        <v>22</v>
      </c>
      <c r="C447" s="15">
        <v>109</v>
      </c>
      <c r="D447" s="15">
        <v>112</v>
      </c>
      <c r="E447" s="15">
        <v>108.85</v>
      </c>
      <c r="F447" s="15">
        <v>110</v>
      </c>
      <c r="G447" s="15">
        <v>111.65</v>
      </c>
      <c r="H447" s="15">
        <v>111.75</v>
      </c>
      <c r="I447" s="15">
        <v>110.83</v>
      </c>
      <c r="J447" s="14">
        <v>1386.7</v>
      </c>
      <c r="K447" s="15">
        <v>95</v>
      </c>
      <c r="L447" s="15">
        <v>51751642</v>
      </c>
      <c r="M447" t="s" s="13">
        <v>8002</v>
      </c>
      <c r="N447" s="15">
        <v>171506</v>
      </c>
      <c r="O447" s="17" cm="1">
        <f t="array" ref="O447">(H447-H446)/H446</f>
        <v>0.0159090909090909</v>
      </c>
    </row>
    <row r="448" ht="13.65" customHeight="1">
      <c r="A448" s="18">
        <v>44925</v>
      </c>
      <c r="B448" t="s" s="13">
        <v>22</v>
      </c>
      <c r="C448" s="15">
        <v>112.9</v>
      </c>
      <c r="D448" s="15">
        <v>114.75</v>
      </c>
      <c r="E448" s="15">
        <v>112.1</v>
      </c>
      <c r="F448" s="15">
        <v>111.75</v>
      </c>
      <c r="G448" s="15">
        <v>112.85</v>
      </c>
      <c r="H448" s="15">
        <v>112.65</v>
      </c>
      <c r="I448" s="15">
        <v>113.48</v>
      </c>
      <c r="J448" s="14">
        <v>1386.7</v>
      </c>
      <c r="K448" s="15">
        <v>95</v>
      </c>
      <c r="L448" s="15">
        <v>56048485</v>
      </c>
      <c r="M448" t="s" s="13">
        <v>8003</v>
      </c>
      <c r="N448" s="15">
        <v>209598</v>
      </c>
      <c r="O448" s="17" cm="1">
        <f t="array" ref="O448">(H448-H447)/H447</f>
        <v>0.00805369127516779</v>
      </c>
    </row>
    <row r="449" ht="13.65" customHeight="1">
      <c r="A449" s="12">
        <v>44928</v>
      </c>
      <c r="B449" t="s" s="13">
        <v>22</v>
      </c>
      <c r="C449" s="15">
        <v>114.4</v>
      </c>
      <c r="D449" s="15">
        <v>119.7</v>
      </c>
      <c r="E449" s="15">
        <v>113.75</v>
      </c>
      <c r="F449" s="15">
        <v>112.65</v>
      </c>
      <c r="G449" s="15">
        <v>119.1</v>
      </c>
      <c r="H449" s="15">
        <v>119.25</v>
      </c>
      <c r="I449" s="15">
        <v>117.82</v>
      </c>
      <c r="J449" s="14">
        <v>1386.7</v>
      </c>
      <c r="K449" s="15">
        <v>95</v>
      </c>
      <c r="L449" s="15">
        <v>143444095</v>
      </c>
      <c r="M449" t="s" s="13">
        <v>8004</v>
      </c>
      <c r="N449" s="15">
        <v>481935</v>
      </c>
      <c r="O449" s="17" cm="1">
        <f t="array" ref="O449">(H449-H448)/H448</f>
        <v>0.0585885486018642</v>
      </c>
    </row>
    <row r="450" ht="13.65" customHeight="1">
      <c r="A450" s="12">
        <v>44929</v>
      </c>
      <c r="B450" t="s" s="13">
        <v>22</v>
      </c>
      <c r="C450" s="15">
        <v>119.8</v>
      </c>
      <c r="D450" s="15">
        <v>120.5</v>
      </c>
      <c r="E450" s="15">
        <v>117.75</v>
      </c>
      <c r="F450" s="15">
        <v>119.25</v>
      </c>
      <c r="G450" s="15">
        <v>118.5</v>
      </c>
      <c r="H450" s="15">
        <v>118.45</v>
      </c>
      <c r="I450" s="15">
        <v>119.04</v>
      </c>
      <c r="J450" s="14">
        <v>1386.7</v>
      </c>
      <c r="K450" s="15">
        <v>95</v>
      </c>
      <c r="L450" s="15">
        <v>74419090</v>
      </c>
      <c r="M450" t="s" s="13">
        <v>8005</v>
      </c>
      <c r="N450" s="15">
        <v>279140</v>
      </c>
      <c r="O450" s="17" cm="1">
        <f t="array" ref="O450">(H450-H449)/H449</f>
        <v>-0.00670859538784067</v>
      </c>
    </row>
    <row r="451" ht="13.65" customHeight="1">
      <c r="A451" s="12">
        <v>44930</v>
      </c>
      <c r="B451" t="s" s="13">
        <v>22</v>
      </c>
      <c r="C451" s="15">
        <v>118.75</v>
      </c>
      <c r="D451" s="15">
        <v>119.05</v>
      </c>
      <c r="E451" s="15">
        <v>115.35</v>
      </c>
      <c r="F451" s="15">
        <v>118.45</v>
      </c>
      <c r="G451" s="15">
        <v>115.45</v>
      </c>
      <c r="H451" s="15">
        <v>115.75</v>
      </c>
      <c r="I451" s="15">
        <v>116.56</v>
      </c>
      <c r="J451" s="14">
        <v>1386.7</v>
      </c>
      <c r="K451" s="15">
        <v>95</v>
      </c>
      <c r="L451" s="15">
        <v>55634568</v>
      </c>
      <c r="M451" t="s" s="13">
        <v>8006</v>
      </c>
      <c r="N451" s="15">
        <v>219447</v>
      </c>
      <c r="O451" s="17" cm="1">
        <f t="array" ref="O451">(H451-H450)/H450</f>
        <v>-0.0227944280287041</v>
      </c>
    </row>
    <row r="452" ht="13.65" customHeight="1">
      <c r="A452" s="12">
        <v>44931</v>
      </c>
      <c r="B452" t="s" s="13">
        <v>22</v>
      </c>
      <c r="C452" s="15">
        <v>116.5</v>
      </c>
      <c r="D452" s="15">
        <v>117</v>
      </c>
      <c r="E452" s="15">
        <v>114.5</v>
      </c>
      <c r="F452" s="15">
        <v>115.75</v>
      </c>
      <c r="G452" s="15">
        <v>116.8</v>
      </c>
      <c r="H452" s="15">
        <v>116.55</v>
      </c>
      <c r="I452" s="15">
        <v>115.74</v>
      </c>
      <c r="J452" s="14">
        <v>1386.7</v>
      </c>
      <c r="K452" s="15">
        <v>95</v>
      </c>
      <c r="L452" s="15">
        <v>58806907</v>
      </c>
      <c r="M452" t="s" s="13">
        <v>8007</v>
      </c>
      <c r="N452" s="15">
        <v>238074</v>
      </c>
      <c r="O452" s="17" cm="1">
        <f t="array" ref="O452">(H452-H451)/H451</f>
        <v>0.00691144708423326</v>
      </c>
    </row>
    <row r="453" ht="13.65" customHeight="1">
      <c r="A453" s="12">
        <v>44932</v>
      </c>
      <c r="B453" t="s" s="13">
        <v>22</v>
      </c>
      <c r="C453" s="15">
        <v>117</v>
      </c>
      <c r="D453" s="15">
        <v>117.85</v>
      </c>
      <c r="E453" s="15">
        <v>115.25</v>
      </c>
      <c r="F453" s="15">
        <v>116.55</v>
      </c>
      <c r="G453" s="15">
        <v>115.6</v>
      </c>
      <c r="H453" s="15">
        <v>115.65</v>
      </c>
      <c r="I453" s="15">
        <v>116.57</v>
      </c>
      <c r="J453" s="14">
        <v>1386.7</v>
      </c>
      <c r="K453" s="15">
        <v>95</v>
      </c>
      <c r="L453" s="15">
        <v>58551863</v>
      </c>
      <c r="M453" t="s" s="13">
        <v>8008</v>
      </c>
      <c r="N453" s="15">
        <v>187180</v>
      </c>
      <c r="O453" s="17" cm="1">
        <f t="array" ref="O453">(H453-H452)/H452</f>
        <v>-0.00772200772200772</v>
      </c>
    </row>
    <row r="454" ht="13.65" customHeight="1">
      <c r="A454" s="12">
        <v>44935</v>
      </c>
      <c r="B454" t="s" s="13">
        <v>22</v>
      </c>
      <c r="C454" s="15">
        <v>116.9</v>
      </c>
      <c r="D454" s="15">
        <v>118.1</v>
      </c>
      <c r="E454" s="15">
        <v>116.55</v>
      </c>
      <c r="F454" s="15">
        <v>115.65</v>
      </c>
      <c r="G454" s="15">
        <v>117.6</v>
      </c>
      <c r="H454" s="15">
        <v>117.55</v>
      </c>
      <c r="I454" s="15">
        <v>117.54</v>
      </c>
      <c r="J454" s="14">
        <v>1386.7</v>
      </c>
      <c r="K454" s="15">
        <v>95</v>
      </c>
      <c r="L454" s="15">
        <v>37763131</v>
      </c>
      <c r="M454" t="s" s="13">
        <v>8009</v>
      </c>
      <c r="N454" s="15">
        <v>184045</v>
      </c>
      <c r="O454" s="17" cm="1">
        <f t="array" ref="O454">(H454-H453)/H453</f>
        <v>0.0164288802421098</v>
      </c>
    </row>
    <row r="455" ht="13.65" customHeight="1">
      <c r="A455" s="18">
        <v>44936</v>
      </c>
      <c r="B455" t="s" s="13">
        <v>22</v>
      </c>
      <c r="C455" s="15">
        <v>117.65</v>
      </c>
      <c r="D455" s="15">
        <v>119.75</v>
      </c>
      <c r="E455" s="15">
        <v>117.55</v>
      </c>
      <c r="F455" s="15">
        <v>117.55</v>
      </c>
      <c r="G455" s="15">
        <v>118.7</v>
      </c>
      <c r="H455" s="15">
        <v>118.85</v>
      </c>
      <c r="I455" s="15">
        <v>118.63</v>
      </c>
      <c r="J455" s="14">
        <v>1386.7</v>
      </c>
      <c r="K455" s="15">
        <v>95</v>
      </c>
      <c r="L455" s="15">
        <v>56750710</v>
      </c>
      <c r="M455" t="s" s="13">
        <v>8010</v>
      </c>
      <c r="N455" s="15">
        <v>206267</v>
      </c>
      <c r="O455" s="17" cm="1">
        <f t="array" ref="O455">(H455-H454)/H454</f>
        <v>0.0110591237771161</v>
      </c>
    </row>
    <row r="456" ht="13.65" customHeight="1">
      <c r="A456" s="18">
        <v>44937</v>
      </c>
      <c r="B456" t="s" s="13">
        <v>22</v>
      </c>
      <c r="C456" s="15">
        <v>119.45</v>
      </c>
      <c r="D456" s="15">
        <v>120.35</v>
      </c>
      <c r="E456" s="15">
        <v>118</v>
      </c>
      <c r="F456" s="15">
        <v>118.85</v>
      </c>
      <c r="G456" s="15">
        <v>118.6</v>
      </c>
      <c r="H456" s="15">
        <v>118.85</v>
      </c>
      <c r="I456" s="15">
        <v>119.04</v>
      </c>
      <c r="J456" s="14">
        <v>1386.7</v>
      </c>
      <c r="K456" s="15">
        <v>95</v>
      </c>
      <c r="L456" s="15">
        <v>49321252</v>
      </c>
      <c r="M456" t="s" s="13">
        <v>8011</v>
      </c>
      <c r="N456" s="15">
        <v>182298</v>
      </c>
      <c r="O456" s="17" cm="1">
        <f t="array" ref="O456">(H456-H455)/H455</f>
        <v>0</v>
      </c>
    </row>
    <row r="457" ht="13.65" customHeight="1">
      <c r="A457" s="18">
        <v>44938</v>
      </c>
      <c r="B457" t="s" s="13">
        <v>22</v>
      </c>
      <c r="C457" s="15">
        <v>118.95</v>
      </c>
      <c r="D457" s="15">
        <v>119.25</v>
      </c>
      <c r="E457" s="15">
        <v>117.6</v>
      </c>
      <c r="F457" s="15">
        <v>118.85</v>
      </c>
      <c r="G457" s="15">
        <v>117.9</v>
      </c>
      <c r="H457" s="15">
        <v>118.1</v>
      </c>
      <c r="I457" s="15">
        <v>118.16</v>
      </c>
      <c r="J457" s="14">
        <v>1386.7</v>
      </c>
      <c r="K457" s="15">
        <v>95</v>
      </c>
      <c r="L457" s="15">
        <v>33740024</v>
      </c>
      <c r="M457" t="s" s="13">
        <v>8012</v>
      </c>
      <c r="N457" s="15">
        <v>127108</v>
      </c>
      <c r="O457" s="17" cm="1">
        <f t="array" ref="O457">(H457-H456)/H456</f>
        <v>-0.00631047538914598</v>
      </c>
    </row>
    <row r="458" ht="13.65" customHeight="1">
      <c r="A458" s="18">
        <v>44939</v>
      </c>
      <c r="B458" t="s" s="13">
        <v>22</v>
      </c>
      <c r="C458" s="15">
        <v>118.55</v>
      </c>
      <c r="D458" s="15">
        <v>121.6</v>
      </c>
      <c r="E458" s="15">
        <v>118.15</v>
      </c>
      <c r="F458" s="15">
        <v>118.1</v>
      </c>
      <c r="G458" s="15">
        <v>120.35</v>
      </c>
      <c r="H458" s="15">
        <v>120.45</v>
      </c>
      <c r="I458" s="15">
        <v>120.31</v>
      </c>
      <c r="J458" s="14">
        <v>1386.7</v>
      </c>
      <c r="K458" s="15">
        <v>95</v>
      </c>
      <c r="L458" s="15">
        <v>68884010</v>
      </c>
      <c r="M458" t="s" s="13">
        <v>8013</v>
      </c>
      <c r="N458" s="15">
        <v>242859</v>
      </c>
      <c r="O458" s="17" cm="1">
        <f t="array" ref="O458">(H458-H457)/H457</f>
        <v>0.0198983911939035</v>
      </c>
    </row>
    <row r="459" ht="13.65" customHeight="1">
      <c r="A459" s="18">
        <v>44942</v>
      </c>
      <c r="B459" t="s" s="13">
        <v>22</v>
      </c>
      <c r="C459" s="15">
        <v>121.45</v>
      </c>
      <c r="D459" s="15">
        <v>121.45</v>
      </c>
      <c r="E459" s="15">
        <v>118.8</v>
      </c>
      <c r="F459" s="15">
        <v>120.45</v>
      </c>
      <c r="G459" s="15">
        <v>119.65</v>
      </c>
      <c r="H459" s="15">
        <v>119.95</v>
      </c>
      <c r="I459" s="15">
        <v>119.8</v>
      </c>
      <c r="J459" s="14">
        <v>1386.7</v>
      </c>
      <c r="K459" s="15">
        <v>95</v>
      </c>
      <c r="L459" s="15">
        <v>44362359</v>
      </c>
      <c r="M459" t="s" s="13">
        <v>8014</v>
      </c>
      <c r="N459" s="15">
        <v>178138</v>
      </c>
      <c r="O459" s="17" cm="1">
        <f t="array" ref="O459">(H459-H458)/H458</f>
        <v>-0.004151100041511</v>
      </c>
    </row>
    <row r="460" ht="13.65" customHeight="1">
      <c r="A460" s="18">
        <v>44943</v>
      </c>
      <c r="B460" t="s" s="13">
        <v>22</v>
      </c>
      <c r="C460" s="15">
        <v>119.75</v>
      </c>
      <c r="D460" s="15">
        <v>119.9</v>
      </c>
      <c r="E460" s="15">
        <v>118</v>
      </c>
      <c r="F460" s="15">
        <v>119.95</v>
      </c>
      <c r="G460" s="15">
        <v>119.3</v>
      </c>
      <c r="H460" s="15">
        <v>119.35</v>
      </c>
      <c r="I460" s="15">
        <v>119</v>
      </c>
      <c r="J460" s="14">
        <v>1386.7</v>
      </c>
      <c r="K460" s="15">
        <v>95</v>
      </c>
      <c r="L460" s="15">
        <v>27880531</v>
      </c>
      <c r="M460" t="s" s="13">
        <v>8015</v>
      </c>
      <c r="N460" s="15">
        <v>117336</v>
      </c>
      <c r="O460" s="17" cm="1">
        <f t="array" ref="O460">(H460-H459)/H459</f>
        <v>-0.00500208420175073</v>
      </c>
    </row>
    <row r="461" ht="13.65" customHeight="1">
      <c r="A461" s="18">
        <v>44944</v>
      </c>
      <c r="B461" t="s" s="13">
        <v>22</v>
      </c>
      <c r="C461" s="15">
        <v>120</v>
      </c>
      <c r="D461" s="15">
        <v>123</v>
      </c>
      <c r="E461" s="15">
        <v>120</v>
      </c>
      <c r="F461" s="15">
        <v>119.35</v>
      </c>
      <c r="G461" s="15">
        <v>122.2</v>
      </c>
      <c r="H461" s="15">
        <v>122.45</v>
      </c>
      <c r="I461" s="15">
        <v>122.08</v>
      </c>
      <c r="J461" s="14">
        <v>1386.7</v>
      </c>
      <c r="K461" s="15">
        <v>95</v>
      </c>
      <c r="L461" s="15">
        <v>64749065</v>
      </c>
      <c r="M461" t="s" s="13">
        <v>8016</v>
      </c>
      <c r="N461" s="15">
        <v>236724</v>
      </c>
      <c r="O461" s="17" cm="1">
        <f t="array" ref="O461">(H461-H460)/H460</f>
        <v>0.025974025974026</v>
      </c>
    </row>
    <row r="462" ht="13.65" customHeight="1">
      <c r="A462" s="18">
        <v>44945</v>
      </c>
      <c r="B462" t="s" s="13">
        <v>22</v>
      </c>
      <c r="C462" s="15">
        <v>121.8</v>
      </c>
      <c r="D462" s="15">
        <v>124.3</v>
      </c>
      <c r="E462" s="15">
        <v>121.15</v>
      </c>
      <c r="F462" s="15">
        <v>122.45</v>
      </c>
      <c r="G462" s="15">
        <v>123.5</v>
      </c>
      <c r="H462" s="15">
        <v>123.55</v>
      </c>
      <c r="I462" s="15">
        <v>123.39</v>
      </c>
      <c r="J462" s="14">
        <v>1386.7</v>
      </c>
      <c r="K462" s="15">
        <v>95</v>
      </c>
      <c r="L462" s="15">
        <v>53564076</v>
      </c>
      <c r="M462" t="s" s="13">
        <v>8017</v>
      </c>
      <c r="N462" s="15">
        <v>238773</v>
      </c>
      <c r="O462" s="17" cm="1">
        <f t="array" ref="O462">(H462-H461)/H461</f>
        <v>0.00898325847284606</v>
      </c>
    </row>
    <row r="463" ht="13.65" customHeight="1">
      <c r="A463" s="18">
        <v>44946</v>
      </c>
      <c r="B463" t="s" s="13">
        <v>22</v>
      </c>
      <c r="C463" s="15">
        <v>123.4</v>
      </c>
      <c r="D463" s="15">
        <v>124.2</v>
      </c>
      <c r="E463" s="15">
        <v>122</v>
      </c>
      <c r="F463" s="15">
        <v>123.55</v>
      </c>
      <c r="G463" s="15">
        <v>122.9</v>
      </c>
      <c r="H463" s="15">
        <v>122.95</v>
      </c>
      <c r="I463" s="15">
        <v>123.27</v>
      </c>
      <c r="J463" s="14">
        <v>1386.7</v>
      </c>
      <c r="K463" s="15">
        <v>95</v>
      </c>
      <c r="L463" s="15">
        <v>37784498</v>
      </c>
      <c r="M463" t="s" s="13">
        <v>8018</v>
      </c>
      <c r="N463" s="15">
        <v>160324</v>
      </c>
      <c r="O463" s="17" cm="1">
        <f t="array" ref="O463">(H463-H462)/H462</f>
        <v>-0.00485633346823149</v>
      </c>
    </row>
    <row r="464" ht="13.65" customHeight="1">
      <c r="A464" s="18">
        <v>44949</v>
      </c>
      <c r="B464" t="s" s="13">
        <v>22</v>
      </c>
      <c r="C464" s="15">
        <v>123.4</v>
      </c>
      <c r="D464" s="15">
        <v>123.85</v>
      </c>
      <c r="E464" s="15">
        <v>121.5</v>
      </c>
      <c r="F464" s="15">
        <v>122.95</v>
      </c>
      <c r="G464" s="15">
        <v>121.8</v>
      </c>
      <c r="H464" s="15">
        <v>122</v>
      </c>
      <c r="I464" s="15">
        <v>122.6</v>
      </c>
      <c r="J464" s="14">
        <v>1386.7</v>
      </c>
      <c r="K464" s="15">
        <v>95</v>
      </c>
      <c r="L464" s="15">
        <v>28601260</v>
      </c>
      <c r="M464" t="s" s="13">
        <v>8019</v>
      </c>
      <c r="N464" s="15">
        <v>133056</v>
      </c>
      <c r="O464" s="17" cm="1">
        <f t="array" ref="O464">(H464-H463)/H463</f>
        <v>-0.00772671817812119</v>
      </c>
    </row>
    <row r="465" ht="13.65" customHeight="1">
      <c r="A465" s="18">
        <v>44950</v>
      </c>
      <c r="B465" t="s" s="13">
        <v>22</v>
      </c>
      <c r="C465" s="15">
        <v>122.5</v>
      </c>
      <c r="D465" s="15">
        <v>122.55</v>
      </c>
      <c r="E465" s="15">
        <v>120.1</v>
      </c>
      <c r="F465" s="15">
        <v>122</v>
      </c>
      <c r="G465" s="15">
        <v>120.4</v>
      </c>
      <c r="H465" s="15">
        <v>120.4</v>
      </c>
      <c r="I465" s="15">
        <v>121.01</v>
      </c>
      <c r="J465" s="14">
        <v>1386.7</v>
      </c>
      <c r="K465" s="15">
        <v>95</v>
      </c>
      <c r="L465" s="15">
        <v>27707765</v>
      </c>
      <c r="M465" t="s" s="13">
        <v>8020</v>
      </c>
      <c r="N465" s="15">
        <v>137675</v>
      </c>
      <c r="O465" s="17" cm="1">
        <f t="array" ref="O465">(H465-H464)/H464</f>
        <v>-0.0131147540983607</v>
      </c>
    </row>
    <row r="466" ht="13.65" customHeight="1">
      <c r="A466" s="18">
        <v>44951</v>
      </c>
      <c r="B466" t="s" s="13">
        <v>22</v>
      </c>
      <c r="C466" s="15">
        <v>120.35</v>
      </c>
      <c r="D466" s="15">
        <v>122.25</v>
      </c>
      <c r="E466" s="15">
        <v>120.1</v>
      </c>
      <c r="F466" s="15">
        <v>120.4</v>
      </c>
      <c r="G466" s="15">
        <v>121</v>
      </c>
      <c r="H466" s="15">
        <v>121</v>
      </c>
      <c r="I466" s="15">
        <v>120.91</v>
      </c>
      <c r="J466" s="14">
        <v>1386.7</v>
      </c>
      <c r="K466" s="15">
        <v>95</v>
      </c>
      <c r="L466" s="15">
        <v>46522102</v>
      </c>
      <c r="M466" t="s" s="13">
        <v>8021</v>
      </c>
      <c r="N466" s="15">
        <v>152844</v>
      </c>
      <c r="O466" s="17" cm="1">
        <f t="array" ref="O466">(H466-H465)/H465</f>
        <v>0.00498338870431894</v>
      </c>
    </row>
    <row r="467" ht="13.65" customHeight="1">
      <c r="A467" s="18">
        <v>44953</v>
      </c>
      <c r="B467" t="s" s="13">
        <v>22</v>
      </c>
      <c r="C467" s="15">
        <v>121.9</v>
      </c>
      <c r="D467" s="15">
        <v>123.25</v>
      </c>
      <c r="E467" s="15">
        <v>119.1</v>
      </c>
      <c r="F467" s="15">
        <v>121</v>
      </c>
      <c r="G467" s="15">
        <v>120.65</v>
      </c>
      <c r="H467" s="15">
        <v>120.65</v>
      </c>
      <c r="I467" s="15">
        <v>121.04</v>
      </c>
      <c r="J467" s="14">
        <v>1386.7</v>
      </c>
      <c r="K467" s="15">
        <v>95</v>
      </c>
      <c r="L467" s="15">
        <v>58771746</v>
      </c>
      <c r="M467" t="s" s="13">
        <v>8022</v>
      </c>
      <c r="N467" s="15">
        <v>193540</v>
      </c>
      <c r="O467" s="17" cm="1">
        <f t="array" ref="O467">(H467-H466)/H466</f>
        <v>-0.00289256198347107</v>
      </c>
    </row>
    <row r="468" ht="13.65" customHeight="1">
      <c r="A468" s="18">
        <v>44956</v>
      </c>
      <c r="B468" t="s" s="13">
        <v>22</v>
      </c>
      <c r="C468" s="15">
        <v>120.45</v>
      </c>
      <c r="D468" s="15">
        <v>121.1</v>
      </c>
      <c r="E468" s="15">
        <v>116.9</v>
      </c>
      <c r="F468" s="15">
        <v>120.65</v>
      </c>
      <c r="G468" s="15">
        <v>118.65</v>
      </c>
      <c r="H468" s="15">
        <v>118.75</v>
      </c>
      <c r="I468" s="15">
        <v>118.48</v>
      </c>
      <c r="J468" s="14">
        <v>1386.7</v>
      </c>
      <c r="K468" s="15">
        <v>95</v>
      </c>
      <c r="L468" s="15">
        <v>46551837</v>
      </c>
      <c r="M468" t="s" s="13">
        <v>8023</v>
      </c>
      <c r="N468" s="15">
        <v>197879</v>
      </c>
      <c r="O468" s="17" cm="1">
        <f t="array" ref="O468">(H468-H467)/H467</f>
        <v>-0.015748031496063</v>
      </c>
    </row>
    <row r="469" ht="13.65" customHeight="1">
      <c r="A469" s="18">
        <v>44957</v>
      </c>
      <c r="B469" t="s" s="13">
        <v>22</v>
      </c>
      <c r="C469" s="15">
        <v>118.75</v>
      </c>
      <c r="D469" s="15">
        <v>120.45</v>
      </c>
      <c r="E469" s="15">
        <v>117.75</v>
      </c>
      <c r="F469" s="15">
        <v>118.75</v>
      </c>
      <c r="G469" s="15">
        <v>119.6</v>
      </c>
      <c r="H469" s="15">
        <v>119.7</v>
      </c>
      <c r="I469" s="15">
        <v>119.48</v>
      </c>
      <c r="J469" s="14">
        <v>1386.7</v>
      </c>
      <c r="K469" s="15">
        <v>95</v>
      </c>
      <c r="L469" s="15">
        <v>43986769</v>
      </c>
      <c r="M469" t="s" s="13">
        <v>8024</v>
      </c>
      <c r="N469" s="15">
        <v>165252</v>
      </c>
      <c r="O469" s="17" cm="1">
        <f t="array" ref="O469">(H469-H468)/H468</f>
        <v>0.008</v>
      </c>
    </row>
    <row r="470" ht="13.65" customHeight="1">
      <c r="A470" s="12">
        <v>44958</v>
      </c>
      <c r="B470" t="s" s="13">
        <v>22</v>
      </c>
      <c r="C470" s="15">
        <v>120.1</v>
      </c>
      <c r="D470" s="15">
        <v>124.15</v>
      </c>
      <c r="E470" s="15">
        <v>119.3</v>
      </c>
      <c r="F470" s="15">
        <v>119.7</v>
      </c>
      <c r="G470" s="15">
        <v>122.05</v>
      </c>
      <c r="H470" s="15">
        <v>122.05</v>
      </c>
      <c r="I470" s="15">
        <v>122.17</v>
      </c>
      <c r="J470" s="14">
        <v>1386.7</v>
      </c>
      <c r="K470" s="15">
        <v>95</v>
      </c>
      <c r="L470" s="15">
        <v>72919626</v>
      </c>
      <c r="M470" t="s" s="13">
        <v>8025</v>
      </c>
      <c r="N470" s="15">
        <v>218692</v>
      </c>
      <c r="O470" s="17" cm="1">
        <f t="array" ref="O470">(H470-H469)/H469</f>
        <v>0.0196324143692565</v>
      </c>
    </row>
    <row r="471" ht="13.65" customHeight="1">
      <c r="A471" s="12">
        <v>44959</v>
      </c>
      <c r="B471" t="s" s="13">
        <v>22</v>
      </c>
      <c r="C471" s="15">
        <v>121.95</v>
      </c>
      <c r="D471" s="15">
        <v>122.5</v>
      </c>
      <c r="E471" s="15">
        <v>118.4</v>
      </c>
      <c r="F471" s="15">
        <v>122.05</v>
      </c>
      <c r="G471" s="15">
        <v>120</v>
      </c>
      <c r="H471" s="15">
        <v>119.95</v>
      </c>
      <c r="I471" s="15">
        <v>119.7</v>
      </c>
      <c r="J471" s="14">
        <v>1386.7</v>
      </c>
      <c r="K471" s="15">
        <v>95</v>
      </c>
      <c r="L471" s="15">
        <v>38768010</v>
      </c>
      <c r="M471" t="s" s="13">
        <v>8026</v>
      </c>
      <c r="N471" s="15">
        <v>156869</v>
      </c>
      <c r="O471" s="17" cm="1">
        <f t="array" ref="O471">(H471-H470)/H470</f>
        <v>-0.017206063088898</v>
      </c>
    </row>
    <row r="472" ht="13.65" customHeight="1">
      <c r="A472" s="12">
        <v>44960</v>
      </c>
      <c r="B472" t="s" s="13">
        <v>22</v>
      </c>
      <c r="C472" s="15">
        <v>120.05</v>
      </c>
      <c r="D472" s="15">
        <v>121</v>
      </c>
      <c r="E472" s="15">
        <v>117.2</v>
      </c>
      <c r="F472" s="15">
        <v>119.95</v>
      </c>
      <c r="G472" s="15">
        <v>120</v>
      </c>
      <c r="H472" s="15">
        <v>120.35</v>
      </c>
      <c r="I472" s="15">
        <v>119.18</v>
      </c>
      <c r="J472" s="14">
        <v>1386.7</v>
      </c>
      <c r="K472" s="15">
        <v>95</v>
      </c>
      <c r="L472" s="15">
        <v>46977350</v>
      </c>
      <c r="M472" t="s" s="13">
        <v>8027</v>
      </c>
      <c r="N472" s="15">
        <v>180644</v>
      </c>
      <c r="O472" s="17" cm="1">
        <f t="array" ref="O472">(H472-H471)/H471</f>
        <v>0.00333472280116715</v>
      </c>
    </row>
    <row r="473" ht="13.65" customHeight="1">
      <c r="A473" s="12">
        <v>44963</v>
      </c>
      <c r="B473" t="s" s="13">
        <v>22</v>
      </c>
      <c r="C473" s="15">
        <v>120</v>
      </c>
      <c r="D473" s="15">
        <v>120</v>
      </c>
      <c r="E473" s="15">
        <v>117</v>
      </c>
      <c r="F473" s="15">
        <v>120.35</v>
      </c>
      <c r="G473" s="15">
        <v>117.2</v>
      </c>
      <c r="H473" s="15">
        <v>117.45</v>
      </c>
      <c r="I473" s="15">
        <v>117.84</v>
      </c>
      <c r="J473" s="14">
        <v>1386.7</v>
      </c>
      <c r="K473" s="15">
        <v>95</v>
      </c>
      <c r="L473" s="15">
        <v>49546361</v>
      </c>
      <c r="M473" t="s" s="13">
        <v>8028</v>
      </c>
      <c r="N473" s="15">
        <v>209239</v>
      </c>
      <c r="O473" s="17" cm="1">
        <f t="array" ref="O473">(H473-H472)/H472</f>
        <v>-0.0240963855421687</v>
      </c>
    </row>
    <row r="474" ht="13.65" customHeight="1">
      <c r="A474" s="12">
        <v>44964</v>
      </c>
      <c r="B474" t="s" s="13">
        <v>22</v>
      </c>
      <c r="C474" s="15">
        <v>112.6</v>
      </c>
      <c r="D474" s="15">
        <v>115.35</v>
      </c>
      <c r="E474" s="15">
        <v>110.55</v>
      </c>
      <c r="F474" s="15">
        <v>117.45</v>
      </c>
      <c r="G474" s="15">
        <v>111.2</v>
      </c>
      <c r="H474" s="15">
        <v>111.45</v>
      </c>
      <c r="I474" s="15">
        <v>112.53</v>
      </c>
      <c r="J474" s="14">
        <v>1386.7</v>
      </c>
      <c r="K474" s="15">
        <v>95</v>
      </c>
      <c r="L474" s="15">
        <v>110953246</v>
      </c>
      <c r="M474" t="s" s="13">
        <v>8029</v>
      </c>
      <c r="N474" s="15">
        <v>427378</v>
      </c>
      <c r="O474" s="17" cm="1">
        <f t="array" ref="O474">(H474-H473)/H473</f>
        <v>-0.0510855683269476</v>
      </c>
    </row>
    <row r="475" ht="13.65" customHeight="1">
      <c r="A475" s="12">
        <v>44965</v>
      </c>
      <c r="B475" t="s" s="13">
        <v>22</v>
      </c>
      <c r="C475" s="15">
        <v>111.45</v>
      </c>
      <c r="D475" s="15">
        <v>112.75</v>
      </c>
      <c r="E475" s="15">
        <v>110.1</v>
      </c>
      <c r="F475" s="15">
        <v>111.45</v>
      </c>
      <c r="G475" s="15">
        <v>111.6</v>
      </c>
      <c r="H475" s="15">
        <v>111.45</v>
      </c>
      <c r="I475" s="15">
        <v>111.47</v>
      </c>
      <c r="J475" s="14">
        <v>1386.7</v>
      </c>
      <c r="K475" s="15">
        <v>95</v>
      </c>
      <c r="L475" s="15">
        <v>66523699</v>
      </c>
      <c r="M475" t="s" s="13">
        <v>8030</v>
      </c>
      <c r="N475" s="15">
        <v>246258</v>
      </c>
      <c r="O475" s="17" cm="1">
        <f t="array" ref="O475">(H475-H474)/H474</f>
        <v>0</v>
      </c>
    </row>
    <row r="476" ht="13.65" customHeight="1">
      <c r="A476" s="12">
        <v>44966</v>
      </c>
      <c r="B476" t="s" s="13">
        <v>22</v>
      </c>
      <c r="C476" s="15">
        <v>112.15</v>
      </c>
      <c r="D476" s="15">
        <v>112.95</v>
      </c>
      <c r="E476" s="15">
        <v>109.95</v>
      </c>
      <c r="F476" s="15">
        <v>111.45</v>
      </c>
      <c r="G476" s="15">
        <v>111.35</v>
      </c>
      <c r="H476" s="15">
        <v>111.25</v>
      </c>
      <c r="I476" s="15">
        <v>111.11</v>
      </c>
      <c r="J476" s="14">
        <v>1386.7</v>
      </c>
      <c r="K476" s="15">
        <v>95</v>
      </c>
      <c r="L476" s="15">
        <v>64710455</v>
      </c>
      <c r="M476" t="s" s="13">
        <v>8031</v>
      </c>
      <c r="N476" s="15">
        <v>195025</v>
      </c>
      <c r="O476" s="17" cm="1">
        <f t="array" ref="O476">(H476-H475)/H475</f>
        <v>-0.00179452669358457</v>
      </c>
    </row>
    <row r="477" ht="13.65" customHeight="1">
      <c r="A477" s="18">
        <v>44967</v>
      </c>
      <c r="B477" t="s" s="13">
        <v>22</v>
      </c>
      <c r="C477" s="15">
        <v>111</v>
      </c>
      <c r="D477" s="15">
        <v>111.25</v>
      </c>
      <c r="E477" s="15">
        <v>108.3</v>
      </c>
      <c r="F477" s="15">
        <v>111.25</v>
      </c>
      <c r="G477" s="15">
        <v>108.75</v>
      </c>
      <c r="H477" s="15">
        <v>108.8</v>
      </c>
      <c r="I477" s="15">
        <v>109.08</v>
      </c>
      <c r="J477" s="14">
        <v>1386.7</v>
      </c>
      <c r="K477" s="15">
        <v>95</v>
      </c>
      <c r="L477" s="15">
        <v>60810058</v>
      </c>
      <c r="M477" t="s" s="13">
        <v>8032</v>
      </c>
      <c r="N477" s="15">
        <v>270870</v>
      </c>
      <c r="O477" s="17" cm="1">
        <f t="array" ref="O477">(H477-H476)/H476</f>
        <v>-0.0220224719101124</v>
      </c>
    </row>
    <row r="478" ht="13.65" customHeight="1">
      <c r="A478" s="18">
        <v>44970</v>
      </c>
      <c r="B478" t="s" s="13">
        <v>22</v>
      </c>
      <c r="C478" s="15">
        <v>108.8</v>
      </c>
      <c r="D478" s="15">
        <v>110.6</v>
      </c>
      <c r="E478" s="15">
        <v>108.4</v>
      </c>
      <c r="F478" s="15">
        <v>108.8</v>
      </c>
      <c r="G478" s="15">
        <v>109.15</v>
      </c>
      <c r="H478" s="15">
        <v>108.75</v>
      </c>
      <c r="I478" s="15">
        <v>109.23</v>
      </c>
      <c r="J478" s="14">
        <v>1386.7</v>
      </c>
      <c r="K478" s="15">
        <v>95</v>
      </c>
      <c r="L478" s="15">
        <v>56186469</v>
      </c>
      <c r="M478" t="s" s="13">
        <v>8033</v>
      </c>
      <c r="N478" s="15">
        <v>213478</v>
      </c>
      <c r="O478" s="17" cm="1">
        <f t="array" ref="O478">(H478-H477)/H477</f>
        <v>-0.000459558823529412</v>
      </c>
    </row>
    <row r="479" ht="13.65" customHeight="1">
      <c r="A479" s="18">
        <v>44971</v>
      </c>
      <c r="B479" t="s" s="13">
        <v>22</v>
      </c>
      <c r="C479" s="15">
        <v>109.55</v>
      </c>
      <c r="D479" s="15">
        <v>109.9</v>
      </c>
      <c r="E479" s="15">
        <v>108.25</v>
      </c>
      <c r="F479" s="15">
        <v>108.75</v>
      </c>
      <c r="G479" s="15">
        <v>109.3</v>
      </c>
      <c r="H479" s="15">
        <v>109.25</v>
      </c>
      <c r="I479" s="15">
        <v>109.07</v>
      </c>
      <c r="J479" s="14">
        <v>1386.7</v>
      </c>
      <c r="K479" s="15">
        <v>95</v>
      </c>
      <c r="L479" s="15">
        <v>31163587</v>
      </c>
      <c r="M479" t="s" s="13">
        <v>8034</v>
      </c>
      <c r="N479" s="15">
        <v>147750</v>
      </c>
      <c r="O479" s="17" cm="1">
        <f t="array" ref="O479">(H479-H478)/H478</f>
        <v>0.00459770114942529</v>
      </c>
    </row>
    <row r="480" ht="13.65" customHeight="1">
      <c r="A480" s="18">
        <v>44972</v>
      </c>
      <c r="B480" t="s" s="13">
        <v>22</v>
      </c>
      <c r="C480" s="15">
        <v>109</v>
      </c>
      <c r="D480" s="15">
        <v>110.6</v>
      </c>
      <c r="E480" s="15">
        <v>108.8</v>
      </c>
      <c r="F480" s="15">
        <v>109.25</v>
      </c>
      <c r="G480" s="15">
        <v>110.35</v>
      </c>
      <c r="H480" s="15">
        <v>110.3</v>
      </c>
      <c r="I480" s="15">
        <v>109.82</v>
      </c>
      <c r="J480" s="14">
        <v>1386.7</v>
      </c>
      <c r="K480" s="15">
        <v>95</v>
      </c>
      <c r="L480" s="15">
        <v>35544190</v>
      </c>
      <c r="M480" t="s" s="13">
        <v>8035</v>
      </c>
      <c r="N480" s="15">
        <v>150839</v>
      </c>
      <c r="O480" s="17" cm="1">
        <f t="array" ref="O480">(H480-H479)/H479</f>
        <v>0.00961098398169336</v>
      </c>
    </row>
    <row r="481" ht="13.65" customHeight="1">
      <c r="A481" s="18">
        <v>44973</v>
      </c>
      <c r="B481" t="s" s="13">
        <v>22</v>
      </c>
      <c r="C481" s="15">
        <v>111</v>
      </c>
      <c r="D481" s="15">
        <v>112.2</v>
      </c>
      <c r="E481" s="15">
        <v>110.65</v>
      </c>
      <c r="F481" s="15">
        <v>110.3</v>
      </c>
      <c r="G481" s="15">
        <v>112</v>
      </c>
      <c r="H481" s="15">
        <v>112</v>
      </c>
      <c r="I481" s="15">
        <v>111.38</v>
      </c>
      <c r="J481" s="14">
        <v>1386.7</v>
      </c>
      <c r="K481" s="15">
        <v>95</v>
      </c>
      <c r="L481" s="15">
        <v>30956191</v>
      </c>
      <c r="M481" t="s" s="13">
        <v>8036</v>
      </c>
      <c r="N481" s="15">
        <v>133246</v>
      </c>
      <c r="O481" s="17" cm="1">
        <f t="array" ref="O481">(H481-H480)/H480</f>
        <v>0.0154125113327289</v>
      </c>
    </row>
    <row r="482" ht="13.65" customHeight="1">
      <c r="A482" s="18">
        <v>44974</v>
      </c>
      <c r="B482" t="s" s="13">
        <v>22</v>
      </c>
      <c r="C482" s="15">
        <v>111.55</v>
      </c>
      <c r="D482" s="15">
        <v>113.1</v>
      </c>
      <c r="E482" s="15">
        <v>111.3</v>
      </c>
      <c r="F482" s="15">
        <v>112</v>
      </c>
      <c r="G482" s="15">
        <v>112.1</v>
      </c>
      <c r="H482" s="15">
        <v>112.25</v>
      </c>
      <c r="I482" s="15">
        <v>112.56</v>
      </c>
      <c r="J482" s="14">
        <v>1386.7</v>
      </c>
      <c r="K482" s="15">
        <v>95</v>
      </c>
      <c r="L482" s="15">
        <v>34107244</v>
      </c>
      <c r="M482" t="s" s="13">
        <v>8037</v>
      </c>
      <c r="N482" s="15">
        <v>150582</v>
      </c>
      <c r="O482" s="17" cm="1">
        <f t="array" ref="O482">(H482-H481)/H481</f>
        <v>0.00223214285714286</v>
      </c>
    </row>
    <row r="483" ht="13.65" customHeight="1">
      <c r="A483" s="18">
        <v>44977</v>
      </c>
      <c r="B483" t="s" s="13">
        <v>22</v>
      </c>
      <c r="C483" s="15">
        <v>112.3</v>
      </c>
      <c r="D483" s="15">
        <v>112.7</v>
      </c>
      <c r="E483" s="15">
        <v>111.05</v>
      </c>
      <c r="F483" s="15">
        <v>112.25</v>
      </c>
      <c r="G483" s="15">
        <v>112.55</v>
      </c>
      <c r="H483" s="15">
        <v>112.35</v>
      </c>
      <c r="I483" s="15">
        <v>112.16</v>
      </c>
      <c r="J483" s="14">
        <v>1386.7</v>
      </c>
      <c r="K483" s="15">
        <v>95</v>
      </c>
      <c r="L483" s="15">
        <v>19896764</v>
      </c>
      <c r="M483" t="s" s="13">
        <v>8038</v>
      </c>
      <c r="N483" s="15">
        <v>105686</v>
      </c>
      <c r="O483" s="17" cm="1">
        <f t="array" ref="O483">(H483-H482)/H482</f>
        <v>0.00089086859688196</v>
      </c>
    </row>
    <row r="484" ht="13.65" customHeight="1">
      <c r="A484" s="18">
        <v>44978</v>
      </c>
      <c r="B484" t="s" s="13">
        <v>22</v>
      </c>
      <c r="C484" s="15">
        <v>112.9</v>
      </c>
      <c r="D484" s="15">
        <v>114.2</v>
      </c>
      <c r="E484" s="15">
        <v>112.75</v>
      </c>
      <c r="F484" s="15">
        <v>112.35</v>
      </c>
      <c r="G484" s="15">
        <v>113.45</v>
      </c>
      <c r="H484" s="15">
        <v>113.15</v>
      </c>
      <c r="I484" s="15">
        <v>113.56</v>
      </c>
      <c r="J484" s="14">
        <v>1386.7</v>
      </c>
      <c r="K484" s="15">
        <v>95</v>
      </c>
      <c r="L484" s="15">
        <v>29830864</v>
      </c>
      <c r="M484" t="s" s="13">
        <v>8039</v>
      </c>
      <c r="N484" s="15">
        <v>149603</v>
      </c>
      <c r="O484" s="17" cm="1">
        <f t="array" ref="O484">(H484-H483)/H483</f>
        <v>0.00712060525144637</v>
      </c>
    </row>
    <row r="485" ht="13.65" customHeight="1">
      <c r="A485" s="18">
        <v>44979</v>
      </c>
      <c r="B485" t="s" s="13">
        <v>22</v>
      </c>
      <c r="C485" s="15">
        <v>113.25</v>
      </c>
      <c r="D485" s="15">
        <v>113.7</v>
      </c>
      <c r="E485" s="15">
        <v>110.65</v>
      </c>
      <c r="F485" s="15">
        <v>113.15</v>
      </c>
      <c r="G485" s="15">
        <v>111.15</v>
      </c>
      <c r="H485" s="15">
        <v>111.15</v>
      </c>
      <c r="I485" s="15">
        <v>111.85</v>
      </c>
      <c r="J485" s="14">
        <v>1386.7</v>
      </c>
      <c r="K485" s="15">
        <v>95</v>
      </c>
      <c r="L485" s="15">
        <v>24391211</v>
      </c>
      <c r="M485" t="s" s="13">
        <v>8040</v>
      </c>
      <c r="N485" s="15">
        <v>128818</v>
      </c>
      <c r="O485" s="17" cm="1">
        <f t="array" ref="O485">(H485-H484)/H484</f>
        <v>-0.0176756517896597</v>
      </c>
    </row>
    <row r="486" ht="13.65" customHeight="1">
      <c r="A486" s="18">
        <v>44980</v>
      </c>
      <c r="B486" t="s" s="13">
        <v>22</v>
      </c>
      <c r="C486" s="15">
        <v>111.55</v>
      </c>
      <c r="D486" s="15">
        <v>113.65</v>
      </c>
      <c r="E486" s="15">
        <v>111.35</v>
      </c>
      <c r="F486" s="15">
        <v>111.15</v>
      </c>
      <c r="G486" s="15">
        <v>112.2</v>
      </c>
      <c r="H486" s="15">
        <v>112.05</v>
      </c>
      <c r="I486" s="15">
        <v>112.32</v>
      </c>
      <c r="J486" s="14">
        <v>1386.7</v>
      </c>
      <c r="K486" s="15">
        <v>95</v>
      </c>
      <c r="L486" s="15">
        <v>30845778</v>
      </c>
      <c r="M486" t="s" s="13">
        <v>8041</v>
      </c>
      <c r="N486" s="15">
        <v>153482</v>
      </c>
      <c r="O486" s="17" cm="1">
        <f t="array" ref="O486">(H486-H485)/H485</f>
        <v>0.008097165991902831</v>
      </c>
    </row>
    <row r="487" ht="13.65" customHeight="1">
      <c r="A487" s="18">
        <v>44981</v>
      </c>
      <c r="B487" t="s" s="13">
        <v>22</v>
      </c>
      <c r="C487" s="15">
        <v>112.5</v>
      </c>
      <c r="D487" s="15">
        <v>112.9</v>
      </c>
      <c r="E487" s="15">
        <v>109.55</v>
      </c>
      <c r="F487" s="15">
        <v>112.05</v>
      </c>
      <c r="G487" s="15">
        <v>109.85</v>
      </c>
      <c r="H487" s="15">
        <v>109.75</v>
      </c>
      <c r="I487" s="15">
        <v>110.47</v>
      </c>
      <c r="J487" s="14">
        <v>1386.7</v>
      </c>
      <c r="K487" s="15">
        <v>95</v>
      </c>
      <c r="L487" s="15">
        <v>34326940</v>
      </c>
      <c r="M487" t="s" s="13">
        <v>8042</v>
      </c>
      <c r="N487" s="15">
        <v>154954</v>
      </c>
      <c r="O487" s="17" cm="1">
        <f t="array" ref="O487">(H487-H486)/H486</f>
        <v>-0.0205265506470326</v>
      </c>
    </row>
    <row r="488" ht="13.65" customHeight="1">
      <c r="A488" s="18">
        <v>44984</v>
      </c>
      <c r="B488" t="s" s="13">
        <v>22</v>
      </c>
      <c r="C488" s="15">
        <v>109.8</v>
      </c>
      <c r="D488" s="15">
        <v>110.05</v>
      </c>
      <c r="E488" s="15">
        <v>105.15</v>
      </c>
      <c r="F488" s="15">
        <v>109.75</v>
      </c>
      <c r="G488" s="15">
        <v>106.5</v>
      </c>
      <c r="H488" s="15">
        <v>106.1</v>
      </c>
      <c r="I488" s="15">
        <v>106.67</v>
      </c>
      <c r="J488" s="14">
        <v>1386.7</v>
      </c>
      <c r="K488" s="15">
        <v>95</v>
      </c>
      <c r="L488" s="15">
        <v>56217189</v>
      </c>
      <c r="M488" t="s" s="13">
        <v>8043</v>
      </c>
      <c r="N488" s="15">
        <v>276383</v>
      </c>
      <c r="O488" s="17" cm="1">
        <f t="array" ref="O488">(H488-H487)/H487</f>
        <v>-0.0332574031890661</v>
      </c>
    </row>
    <row r="489" ht="13.65" customHeight="1">
      <c r="A489" s="18">
        <v>44985</v>
      </c>
      <c r="B489" t="s" s="13">
        <v>22</v>
      </c>
      <c r="C489" s="15">
        <v>106.85</v>
      </c>
      <c r="D489" s="15">
        <v>107.05</v>
      </c>
      <c r="E489" s="15">
        <v>103.55</v>
      </c>
      <c r="F489" s="15">
        <v>106.1</v>
      </c>
      <c r="G489" s="15">
        <v>104.1</v>
      </c>
      <c r="H489" s="15">
        <v>103.95</v>
      </c>
      <c r="I489" s="15">
        <v>104.68</v>
      </c>
      <c r="J489" s="14">
        <v>1386.7</v>
      </c>
      <c r="K489" s="15">
        <v>95</v>
      </c>
      <c r="L489" s="15">
        <v>76540448</v>
      </c>
      <c r="M489" t="s" s="13">
        <v>8044</v>
      </c>
      <c r="N489" s="15">
        <v>273452</v>
      </c>
      <c r="O489" s="17" cm="1">
        <f t="array" ref="O489">(H489-H488)/H488</f>
        <v>-0.0202639019792648</v>
      </c>
    </row>
    <row r="490" ht="13.65" customHeight="1">
      <c r="A490" s="12">
        <v>44986</v>
      </c>
      <c r="B490" t="s" s="13">
        <v>22</v>
      </c>
      <c r="C490" s="15">
        <v>104.7</v>
      </c>
      <c r="D490" s="15">
        <v>107.1</v>
      </c>
      <c r="E490" s="15">
        <v>104.5</v>
      </c>
      <c r="F490" s="15">
        <v>103.95</v>
      </c>
      <c r="G490" s="15">
        <v>105.7</v>
      </c>
      <c r="H490" s="15">
        <v>105.5</v>
      </c>
      <c r="I490" s="15">
        <v>105.57</v>
      </c>
      <c r="J490" s="14">
        <v>1386.7</v>
      </c>
      <c r="K490" s="15">
        <v>95</v>
      </c>
      <c r="L490" s="15">
        <v>76175319</v>
      </c>
      <c r="M490" t="s" s="13">
        <v>8045</v>
      </c>
      <c r="N490" s="15">
        <v>212265</v>
      </c>
      <c r="O490" s="17" cm="1">
        <f t="array" ref="O490">(H490-H489)/H489</f>
        <v>0.0149110149110149</v>
      </c>
    </row>
    <row r="491" ht="13.65" customHeight="1">
      <c r="A491" s="12">
        <v>44987</v>
      </c>
      <c r="B491" t="s" s="13">
        <v>22</v>
      </c>
      <c r="C491" s="15">
        <v>106.05</v>
      </c>
      <c r="D491" s="15">
        <v>106.9</v>
      </c>
      <c r="E491" s="15">
        <v>104.35</v>
      </c>
      <c r="F491" s="15">
        <v>105.5</v>
      </c>
      <c r="G491" s="15">
        <v>104.85</v>
      </c>
      <c r="H491" s="15">
        <v>104.65</v>
      </c>
      <c r="I491" s="15">
        <v>105.14</v>
      </c>
      <c r="J491" s="14">
        <v>1386.7</v>
      </c>
      <c r="K491" s="15">
        <v>95</v>
      </c>
      <c r="L491" s="15">
        <v>55276248</v>
      </c>
      <c r="M491" t="s" s="13">
        <v>8046</v>
      </c>
      <c r="N491" s="15">
        <v>200155</v>
      </c>
      <c r="O491" s="17" cm="1">
        <f t="array" ref="O491">(H491-H490)/H490</f>
        <v>-0.00805687203791469</v>
      </c>
    </row>
    <row r="492" ht="13.65" customHeight="1">
      <c r="A492" s="12">
        <v>44988</v>
      </c>
      <c r="B492" t="s" s="13">
        <v>22</v>
      </c>
      <c r="C492" s="15">
        <v>106</v>
      </c>
      <c r="D492" s="15">
        <v>107.45</v>
      </c>
      <c r="E492" s="15">
        <v>105</v>
      </c>
      <c r="F492" s="15">
        <v>104.65</v>
      </c>
      <c r="G492" s="15">
        <v>107.45</v>
      </c>
      <c r="H492" s="15">
        <v>107</v>
      </c>
      <c r="I492" s="15">
        <v>105.92</v>
      </c>
      <c r="J492" s="14">
        <v>1386.7</v>
      </c>
      <c r="K492" s="15">
        <v>95</v>
      </c>
      <c r="L492" s="15">
        <v>117175295</v>
      </c>
      <c r="M492" t="s" s="13">
        <v>8047</v>
      </c>
      <c r="N492" s="15">
        <v>212882</v>
      </c>
      <c r="O492" s="17" cm="1">
        <f t="array" ref="O492">(H492-H491)/H491</f>
        <v>0.0224558050645007</v>
      </c>
    </row>
    <row r="493" ht="13.65" customHeight="1">
      <c r="A493" s="12">
        <v>44991</v>
      </c>
      <c r="B493" t="s" s="13">
        <v>22</v>
      </c>
      <c r="C493" s="15">
        <v>107.5</v>
      </c>
      <c r="D493" s="15">
        <v>107.6</v>
      </c>
      <c r="E493" s="15">
        <v>105</v>
      </c>
      <c r="F493" s="15">
        <v>107</v>
      </c>
      <c r="G493" s="15">
        <v>105.85</v>
      </c>
      <c r="H493" s="15">
        <v>105.65</v>
      </c>
      <c r="I493" s="15">
        <v>106.04</v>
      </c>
      <c r="J493" s="14">
        <v>1386.7</v>
      </c>
      <c r="K493" s="15">
        <v>95</v>
      </c>
      <c r="L493" s="15">
        <v>106868143</v>
      </c>
      <c r="M493" t="s" s="13">
        <v>8048</v>
      </c>
      <c r="N493" s="15">
        <v>235575</v>
      </c>
      <c r="O493" s="17" cm="1">
        <f t="array" ref="O493">(H493-H492)/H492</f>
        <v>-0.0126168224299065</v>
      </c>
    </row>
    <row r="494" ht="13.65" customHeight="1">
      <c r="A494" s="12">
        <v>44993</v>
      </c>
      <c r="B494" t="s" s="13">
        <v>22</v>
      </c>
      <c r="C494" s="15">
        <v>105.3</v>
      </c>
      <c r="D494" s="15">
        <v>106.9</v>
      </c>
      <c r="E494" s="15">
        <v>104</v>
      </c>
      <c r="F494" s="15">
        <v>105.65</v>
      </c>
      <c r="G494" s="15">
        <v>106.4</v>
      </c>
      <c r="H494" s="15">
        <v>106.5</v>
      </c>
      <c r="I494" s="15">
        <v>106.1</v>
      </c>
      <c r="J494" s="14">
        <v>1386.7</v>
      </c>
      <c r="K494" s="15">
        <v>95</v>
      </c>
      <c r="L494" s="15">
        <v>43939583</v>
      </c>
      <c r="M494" t="s" s="13">
        <v>8049</v>
      </c>
      <c r="N494" s="15">
        <v>176234</v>
      </c>
      <c r="O494" s="17" cm="1">
        <f t="array" ref="O494">(H494-H493)/H493</f>
        <v>0.00804543303360151</v>
      </c>
    </row>
    <row r="495" ht="13.65" customHeight="1">
      <c r="A495" s="12">
        <v>44994</v>
      </c>
      <c r="B495" t="s" s="13">
        <v>22</v>
      </c>
      <c r="C495" s="15">
        <v>107.85</v>
      </c>
      <c r="D495" s="15">
        <v>108.95</v>
      </c>
      <c r="E495" s="15">
        <v>107.5</v>
      </c>
      <c r="F495" s="15">
        <v>106.5</v>
      </c>
      <c r="G495" s="15">
        <v>108.2</v>
      </c>
      <c r="H495" s="15">
        <v>108.2</v>
      </c>
      <c r="I495" s="15">
        <v>108.41</v>
      </c>
      <c r="J495" s="14">
        <v>1386.7</v>
      </c>
      <c r="K495" s="15">
        <v>95</v>
      </c>
      <c r="L495" s="15">
        <v>51967449</v>
      </c>
      <c r="M495" t="s" s="13">
        <v>8050</v>
      </c>
      <c r="N495" s="15">
        <v>199963</v>
      </c>
      <c r="O495" s="17" cm="1">
        <f t="array" ref="O495">(H495-H494)/H494</f>
        <v>0.015962441314554</v>
      </c>
    </row>
    <row r="496" ht="13.65" customHeight="1">
      <c r="A496" s="18">
        <v>44995</v>
      </c>
      <c r="B496" t="s" s="13">
        <v>22</v>
      </c>
      <c r="C496" s="15">
        <v>107</v>
      </c>
      <c r="D496" s="15">
        <v>108.35</v>
      </c>
      <c r="E496" s="15">
        <v>106.6</v>
      </c>
      <c r="F496" s="15">
        <v>108.2</v>
      </c>
      <c r="G496" s="15">
        <v>108.15</v>
      </c>
      <c r="H496" s="15">
        <v>108.1</v>
      </c>
      <c r="I496" s="15">
        <v>107.74</v>
      </c>
      <c r="J496" s="14">
        <v>1386.7</v>
      </c>
      <c r="K496" s="15">
        <v>95</v>
      </c>
      <c r="L496" s="15">
        <v>47699832</v>
      </c>
      <c r="M496" t="s" s="13">
        <v>8051</v>
      </c>
      <c r="N496" s="15">
        <v>154176</v>
      </c>
      <c r="O496" s="17" cm="1">
        <f t="array" ref="O496">(H496-H495)/H495</f>
        <v>-0.000924214417744917</v>
      </c>
    </row>
    <row r="497" ht="13.65" customHeight="1">
      <c r="A497" s="18">
        <v>44998</v>
      </c>
      <c r="B497" t="s" s="13">
        <v>22</v>
      </c>
      <c r="C497" s="15">
        <v>108.25</v>
      </c>
      <c r="D497" s="15">
        <v>109</v>
      </c>
      <c r="E497" s="15">
        <v>106.35</v>
      </c>
      <c r="F497" s="15">
        <v>108.1</v>
      </c>
      <c r="G497" s="15">
        <v>107.15</v>
      </c>
      <c r="H497" s="15">
        <v>106.8</v>
      </c>
      <c r="I497" s="15">
        <v>107.66</v>
      </c>
      <c r="J497" s="14">
        <v>1386.7</v>
      </c>
      <c r="K497" s="15">
        <v>95</v>
      </c>
      <c r="L497" s="15">
        <v>34552596</v>
      </c>
      <c r="M497" t="s" s="13">
        <v>8052</v>
      </c>
      <c r="N497" s="15">
        <v>143686</v>
      </c>
      <c r="O497" s="17" cm="1">
        <f t="array" ref="O497">(H497-H496)/H496</f>
        <v>-0.0120259019426457</v>
      </c>
    </row>
    <row r="498" ht="13.65" customHeight="1">
      <c r="A498" s="18">
        <v>44999</v>
      </c>
      <c r="B498" t="s" s="13">
        <v>22</v>
      </c>
      <c r="C498" s="15">
        <v>107</v>
      </c>
      <c r="D498" s="15">
        <v>108.55</v>
      </c>
      <c r="E498" s="15">
        <v>106.2</v>
      </c>
      <c r="F498" s="15">
        <v>106.8</v>
      </c>
      <c r="G498" s="15">
        <v>106.55</v>
      </c>
      <c r="H498" s="15">
        <v>106.4</v>
      </c>
      <c r="I498" s="15">
        <v>107.38</v>
      </c>
      <c r="J498" s="14">
        <v>1386.7</v>
      </c>
      <c r="K498" s="15">
        <v>95</v>
      </c>
      <c r="L498" s="15">
        <v>48584984</v>
      </c>
      <c r="M498" t="s" s="13">
        <v>8053</v>
      </c>
      <c r="N498" s="15">
        <v>166949</v>
      </c>
      <c r="O498" s="17" cm="1">
        <f t="array" ref="O498">(H498-H497)/H497</f>
        <v>-0.00374531835205993</v>
      </c>
    </row>
    <row r="499" ht="13.65" customHeight="1">
      <c r="A499" s="18">
        <v>45000</v>
      </c>
      <c r="B499" t="s" s="13">
        <v>22</v>
      </c>
      <c r="C499" s="15">
        <v>107.5</v>
      </c>
      <c r="D499" s="15">
        <v>109.15</v>
      </c>
      <c r="E499" s="15">
        <v>107.4</v>
      </c>
      <c r="F499" s="15">
        <v>106.4</v>
      </c>
      <c r="G499" s="15">
        <v>108.7</v>
      </c>
      <c r="H499" s="15">
        <v>108.65</v>
      </c>
      <c r="I499" s="15">
        <v>108.53</v>
      </c>
      <c r="J499" s="14">
        <v>1386.7</v>
      </c>
      <c r="K499" s="15">
        <v>95</v>
      </c>
      <c r="L499" s="15">
        <v>38930902</v>
      </c>
      <c r="M499" t="s" s="13">
        <v>8054</v>
      </c>
      <c r="N499" s="15">
        <v>150243</v>
      </c>
      <c r="O499" s="17" cm="1">
        <f t="array" ref="O499">(H499-H498)/H498</f>
        <v>0.0211466165413534</v>
      </c>
    </row>
    <row r="500" ht="13.65" customHeight="1">
      <c r="A500" s="18">
        <v>45001</v>
      </c>
      <c r="B500" t="s" s="13">
        <v>22</v>
      </c>
      <c r="C500" s="15">
        <v>107.25</v>
      </c>
      <c r="D500" s="15">
        <v>107.25</v>
      </c>
      <c r="E500" s="15">
        <v>103.7</v>
      </c>
      <c r="F500" s="15">
        <v>108.65</v>
      </c>
      <c r="G500" s="15">
        <v>105.3</v>
      </c>
      <c r="H500" s="15">
        <v>105.05</v>
      </c>
      <c r="I500" s="15">
        <v>104.83</v>
      </c>
      <c r="J500" s="14">
        <v>1386.7</v>
      </c>
      <c r="K500" s="15">
        <v>95</v>
      </c>
      <c r="L500" s="15">
        <v>81088340</v>
      </c>
      <c r="M500" t="s" s="13">
        <v>8055</v>
      </c>
      <c r="N500" s="15">
        <v>276188</v>
      </c>
      <c r="O500" s="17" cm="1">
        <f t="array" ref="O500">(H500-H499)/H499</f>
        <v>-0.0331339162448228</v>
      </c>
    </row>
    <row r="501" ht="13.65" customHeight="1">
      <c r="A501" s="18">
        <v>45002</v>
      </c>
      <c r="B501" t="s" s="13">
        <v>22</v>
      </c>
      <c r="C501" s="15">
        <v>106.45</v>
      </c>
      <c r="D501" s="15">
        <v>107.35</v>
      </c>
      <c r="E501" s="15">
        <v>105</v>
      </c>
      <c r="F501" s="15">
        <v>105.05</v>
      </c>
      <c r="G501" s="15">
        <v>107.15</v>
      </c>
      <c r="H501" s="15">
        <v>107</v>
      </c>
      <c r="I501" s="15">
        <v>106.25</v>
      </c>
      <c r="J501" s="14">
        <v>1386.7</v>
      </c>
      <c r="K501" s="15">
        <v>95</v>
      </c>
      <c r="L501" s="15">
        <v>48962238</v>
      </c>
      <c r="M501" t="s" s="13">
        <v>8056</v>
      </c>
      <c r="N501" s="15">
        <v>165069</v>
      </c>
      <c r="O501" s="17" cm="1">
        <f t="array" ref="O501">(H501-H500)/H500</f>
        <v>0.0185625892432175</v>
      </c>
    </row>
    <row r="502" ht="13.65" customHeight="1">
      <c r="A502" s="18">
        <v>45005</v>
      </c>
      <c r="B502" t="s" s="13">
        <v>22</v>
      </c>
      <c r="C502" s="15">
        <v>106.1</v>
      </c>
      <c r="D502" s="15">
        <v>106.45</v>
      </c>
      <c r="E502" s="15">
        <v>103.85</v>
      </c>
      <c r="F502" s="15">
        <v>107</v>
      </c>
      <c r="G502" s="15">
        <v>104.5</v>
      </c>
      <c r="H502" s="15">
        <v>104.5</v>
      </c>
      <c r="I502" s="15">
        <v>104.71</v>
      </c>
      <c r="J502" s="14">
        <v>1386.7</v>
      </c>
      <c r="K502" s="15">
        <v>95</v>
      </c>
      <c r="L502" s="15">
        <v>41569640</v>
      </c>
      <c r="M502" t="s" s="13">
        <v>8057</v>
      </c>
      <c r="N502" s="15">
        <v>182679</v>
      </c>
      <c r="O502" s="17" cm="1">
        <f t="array" ref="O502">(H502-H501)/H501</f>
        <v>-0.0233644859813084</v>
      </c>
    </row>
    <row r="503" ht="13.65" customHeight="1">
      <c r="A503" s="18">
        <v>45006</v>
      </c>
      <c r="B503" t="s" s="13">
        <v>22</v>
      </c>
      <c r="C503" s="15">
        <v>105.1</v>
      </c>
      <c r="D503" s="15">
        <v>105.4</v>
      </c>
      <c r="E503" s="15">
        <v>104.3</v>
      </c>
      <c r="F503" s="15">
        <v>104.5</v>
      </c>
      <c r="G503" s="15">
        <v>104.8</v>
      </c>
      <c r="H503" s="15">
        <v>104.75</v>
      </c>
      <c r="I503" s="15">
        <v>104.71</v>
      </c>
      <c r="J503" s="14">
        <v>1386.7</v>
      </c>
      <c r="K503" s="15">
        <v>95</v>
      </c>
      <c r="L503" s="15">
        <v>26434897</v>
      </c>
      <c r="M503" t="s" s="13">
        <v>8058</v>
      </c>
      <c r="N503" s="15">
        <v>142994</v>
      </c>
      <c r="O503" s="17" cm="1">
        <f t="array" ref="O503">(H503-H502)/H502</f>
        <v>0.00239234449760766</v>
      </c>
    </row>
    <row r="504" ht="13.65" customHeight="1">
      <c r="A504" s="18">
        <v>45007</v>
      </c>
      <c r="B504" t="s" s="13">
        <v>22</v>
      </c>
      <c r="C504" s="15">
        <v>104.75</v>
      </c>
      <c r="D504" s="15">
        <v>105.95</v>
      </c>
      <c r="E504" s="15">
        <v>104.4</v>
      </c>
      <c r="F504" s="15">
        <v>104.75</v>
      </c>
      <c r="G504" s="15">
        <v>104.95</v>
      </c>
      <c r="H504" s="15">
        <v>104.8</v>
      </c>
      <c r="I504" s="15">
        <v>105.21</v>
      </c>
      <c r="J504" s="14">
        <v>1386.7</v>
      </c>
      <c r="K504" s="15">
        <v>95</v>
      </c>
      <c r="L504" s="15">
        <v>25891259</v>
      </c>
      <c r="M504" t="s" s="13">
        <v>8059</v>
      </c>
      <c r="N504" s="15">
        <v>105023</v>
      </c>
      <c r="O504" s="17" cm="1">
        <f t="array" ref="O504">(H504-H503)/H503</f>
        <v>0.000477326968973747</v>
      </c>
    </row>
    <row r="505" ht="13.65" customHeight="1">
      <c r="A505" s="18">
        <v>45008</v>
      </c>
      <c r="B505" t="s" s="13">
        <v>22</v>
      </c>
      <c r="C505" s="15">
        <v>104.4</v>
      </c>
      <c r="D505" s="15">
        <v>105.5</v>
      </c>
      <c r="E505" s="15">
        <v>104.35</v>
      </c>
      <c r="F505" s="15">
        <v>104.8</v>
      </c>
      <c r="G505" s="15">
        <v>105</v>
      </c>
      <c r="H505" s="15">
        <v>104.9</v>
      </c>
      <c r="I505" s="15">
        <v>105.06</v>
      </c>
      <c r="J505" s="14">
        <v>1386.7</v>
      </c>
      <c r="K505" s="15">
        <v>95</v>
      </c>
      <c r="L505" s="15">
        <v>20913844</v>
      </c>
      <c r="M505" t="s" s="13">
        <v>8060</v>
      </c>
      <c r="N505" s="15">
        <v>114789</v>
      </c>
      <c r="O505" s="17" cm="1">
        <f t="array" ref="O505">(H505-H504)/H504</f>
        <v>0.000954198473282443</v>
      </c>
    </row>
    <row r="506" ht="13.65" customHeight="1">
      <c r="A506" s="18">
        <v>45009</v>
      </c>
      <c r="B506" t="s" s="13">
        <v>22</v>
      </c>
      <c r="C506" s="15">
        <v>105</v>
      </c>
      <c r="D506" s="15">
        <v>105.05</v>
      </c>
      <c r="E506" s="15">
        <v>101.55</v>
      </c>
      <c r="F506" s="15">
        <v>104.9</v>
      </c>
      <c r="G506" s="15">
        <v>102.05</v>
      </c>
      <c r="H506" s="15">
        <v>102.1</v>
      </c>
      <c r="I506" s="15">
        <v>103.1</v>
      </c>
      <c r="J506" s="14">
        <v>1386.7</v>
      </c>
      <c r="K506" s="15">
        <v>95</v>
      </c>
      <c r="L506" s="15">
        <v>39014278</v>
      </c>
      <c r="M506" t="s" s="13">
        <v>8061</v>
      </c>
      <c r="N506" s="15">
        <v>241782</v>
      </c>
      <c r="O506" s="17" cm="1">
        <f t="array" ref="O506">(H506-H505)/H505</f>
        <v>-0.0266920877025739</v>
      </c>
    </row>
    <row r="507" ht="13.65" customHeight="1">
      <c r="A507" s="18">
        <v>45012</v>
      </c>
      <c r="B507" t="s" s="13">
        <v>22</v>
      </c>
      <c r="C507" s="15">
        <v>102.55</v>
      </c>
      <c r="D507" s="15">
        <v>103.4</v>
      </c>
      <c r="E507" s="15">
        <v>102.1</v>
      </c>
      <c r="F507" s="15">
        <v>102.1</v>
      </c>
      <c r="G507" s="15">
        <v>102.3</v>
      </c>
      <c r="H507" s="15">
        <v>102.3</v>
      </c>
      <c r="I507" s="15">
        <v>102.63</v>
      </c>
      <c r="J507" s="14">
        <v>1386.7</v>
      </c>
      <c r="K507" s="15">
        <v>95</v>
      </c>
      <c r="L507" s="15">
        <v>24753289</v>
      </c>
      <c r="M507" t="s" s="13">
        <v>8062</v>
      </c>
      <c r="N507" s="15">
        <v>149006</v>
      </c>
      <c r="O507" s="17" cm="1">
        <f t="array" ref="O507">(H507-H506)/H506</f>
        <v>0.0019588638589618</v>
      </c>
    </row>
    <row r="508" ht="13.65" customHeight="1">
      <c r="A508" s="18">
        <v>45013</v>
      </c>
      <c r="B508" t="s" s="13">
        <v>22</v>
      </c>
      <c r="C508" s="15">
        <v>102.85</v>
      </c>
      <c r="D508" s="15">
        <v>103.1</v>
      </c>
      <c r="E508" s="15">
        <v>102.35</v>
      </c>
      <c r="F508" s="15">
        <v>102.3</v>
      </c>
      <c r="G508" s="15">
        <v>102.6</v>
      </c>
      <c r="H508" s="15">
        <v>102.5</v>
      </c>
      <c r="I508" s="15">
        <v>102.66</v>
      </c>
      <c r="J508" s="14">
        <v>1386.7</v>
      </c>
      <c r="K508" s="15">
        <v>95</v>
      </c>
      <c r="L508" s="15">
        <v>18703734</v>
      </c>
      <c r="M508" t="s" s="13">
        <v>8063</v>
      </c>
      <c r="N508" s="15">
        <v>119164</v>
      </c>
      <c r="O508" s="17" cm="1">
        <f t="array" ref="O508">(H508-H507)/H507</f>
        <v>0.00195503421309873</v>
      </c>
    </row>
    <row r="509" ht="13.65" customHeight="1">
      <c r="A509" s="18">
        <v>45014</v>
      </c>
      <c r="B509" t="s" s="13">
        <v>22</v>
      </c>
      <c r="C509" s="15">
        <v>102.5</v>
      </c>
      <c r="D509" s="15">
        <v>104.5</v>
      </c>
      <c r="E509" s="15">
        <v>101.65</v>
      </c>
      <c r="F509" s="15">
        <v>102.5</v>
      </c>
      <c r="G509" s="15">
        <v>103.8</v>
      </c>
      <c r="H509" s="15">
        <v>103.6</v>
      </c>
      <c r="I509" s="15">
        <v>102.55</v>
      </c>
      <c r="J509" s="14">
        <v>1386.7</v>
      </c>
      <c r="K509" s="15">
        <v>95</v>
      </c>
      <c r="L509" s="15">
        <v>37221124</v>
      </c>
      <c r="M509" t="s" s="13">
        <v>8064</v>
      </c>
      <c r="N509" s="15">
        <v>150605</v>
      </c>
      <c r="O509" s="17" cm="1">
        <f t="array" ref="O509">(H509-H508)/H508</f>
        <v>0.0107317073170732</v>
      </c>
    </row>
    <row r="510" ht="13.65" customHeight="1">
      <c r="A510" s="18">
        <v>45016</v>
      </c>
      <c r="B510" t="s" s="13">
        <v>22</v>
      </c>
      <c r="C510" s="15">
        <v>105</v>
      </c>
      <c r="D510" s="15">
        <v>105.5</v>
      </c>
      <c r="E510" s="15">
        <v>104.1</v>
      </c>
      <c r="F510" s="15">
        <v>103.6</v>
      </c>
      <c r="G510" s="15">
        <v>104.5</v>
      </c>
      <c r="H510" s="15">
        <v>104.5</v>
      </c>
      <c r="I510" s="15">
        <v>104.9</v>
      </c>
      <c r="J510" s="14">
        <v>1386.7</v>
      </c>
      <c r="K510" s="15">
        <v>95</v>
      </c>
      <c r="L510" s="15">
        <v>34579415</v>
      </c>
      <c r="M510" t="s" s="13">
        <v>8065</v>
      </c>
      <c r="N510" s="15">
        <v>143838</v>
      </c>
      <c r="O510" s="17" cm="1">
        <f t="array" ref="O510">(H510-H509)/H509</f>
        <v>0.008687258687258691</v>
      </c>
    </row>
    <row r="511" ht="13.65" customHeight="1">
      <c r="A511" s="21"/>
      <c r="B511" s="21"/>
      <c r="C511" s="21"/>
      <c r="D511" s="21"/>
      <c r="E511" s="21"/>
      <c r="F511" s="21"/>
      <c r="G511" s="21"/>
      <c r="H511" s="21"/>
      <c r="I511" s="21"/>
      <c r="J511" s="21"/>
      <c r="K511" s="21"/>
      <c r="L511" s="21"/>
      <c r="M511" s="21"/>
      <c r="N511" s="21"/>
      <c r="O511" s="8"/>
    </row>
    <row r="512" ht="13.65" customHeight="1">
      <c r="A512" s="8"/>
      <c r="B512" s="8"/>
      <c r="C512" s="8"/>
      <c r="D512" s="8"/>
      <c r="E512" s="8"/>
      <c r="F512" s="8"/>
      <c r="G512" s="8"/>
      <c r="H512" s="8"/>
      <c r="I512" s="8"/>
      <c r="J512" s="8"/>
      <c r="K512" s="8"/>
      <c r="L512" s="8"/>
      <c r="M512" s="8"/>
      <c r="N512" t="s" s="7">
        <v>8066</v>
      </c>
      <c r="O512" s="22" cm="1">
        <f t="array" ref="O512">AVERAGE(O263:O510)</f>
        <v>-0.0044730353819487</v>
      </c>
    </row>
    <row r="513" ht="13.65" customHeight="1">
      <c r="A513" s="8"/>
      <c r="B513" s="8"/>
      <c r="C513" s="8"/>
      <c r="D513" s="8"/>
      <c r="E513" s="8"/>
      <c r="F513" s="8"/>
      <c r="G513" s="8"/>
      <c r="H513" s="8"/>
      <c r="I513" s="8"/>
      <c r="J513" s="8"/>
      <c r="K513" s="8"/>
      <c r="L513" s="8"/>
      <c r="M513" s="8"/>
      <c r="N513" t="s" s="7">
        <v>527</v>
      </c>
      <c r="O513" s="22" cm="1">
        <f t="array" ref="O513">STDEV(O263:O510)</f>
        <v>0.0610335945350421</v>
      </c>
    </row>
    <row r="514" ht="13.65" customHeight="1">
      <c r="A514" s="8"/>
      <c r="B514" s="8"/>
      <c r="C514" s="8"/>
      <c r="D514" s="8"/>
      <c r="E514" s="8"/>
      <c r="F514" s="8"/>
      <c r="G514" s="8"/>
      <c r="H514" s="8"/>
      <c r="I514" s="8"/>
      <c r="J514" s="8"/>
      <c r="K514" s="8"/>
      <c r="L514" s="8"/>
      <c r="M514" s="8"/>
      <c r="N514" t="s" s="7">
        <v>7817</v>
      </c>
      <c r="O514" s="23" cm="1">
        <f t="array" ref="O514">AVERAGE(L262:L510)</f>
        <v>38491768.9678715</v>
      </c>
    </row>
    <row r="515" ht="13.65" customHeight="1">
      <c r="A515" s="8"/>
      <c r="B515" s="8"/>
      <c r="C515" s="8"/>
      <c r="D515" s="8"/>
      <c r="E515" s="8"/>
      <c r="F515" s="8"/>
      <c r="G515" s="8"/>
      <c r="H515" s="8"/>
      <c r="I515" s="8"/>
      <c r="J515" s="8"/>
      <c r="K515" s="8"/>
      <c r="L515" s="8"/>
      <c r="M515" s="8"/>
      <c r="N515" t="s" s="7">
        <v>275</v>
      </c>
      <c r="O515" s="23" cm="1">
        <f t="array" ref="O515">IF(H510&gt;H262,1,IF(H510&lt;H262,-1,0))</f>
        <v>-1</v>
      </c>
    </row>
    <row r="516" ht="13.65" customHeight="1">
      <c r="A516" s="8"/>
      <c r="B516" s="8"/>
      <c r="C516" s="8"/>
      <c r="D516" s="8"/>
      <c r="E516" s="8"/>
      <c r="F516" s="8"/>
      <c r="G516" s="8"/>
      <c r="H516" s="8"/>
      <c r="I516" s="8"/>
      <c r="J516" s="8"/>
      <c r="K516" s="8"/>
      <c r="L516" s="8"/>
      <c r="M516" s="8"/>
      <c r="N516" t="s" s="7">
        <v>528</v>
      </c>
      <c r="O516" s="22" cm="1">
        <f t="array" ref="O516">(H510-H262)/H262</f>
        <v>-0.920659023612482</v>
      </c>
    </row>
    <row r="517" ht="13.65" customHeight="1">
      <c r="A517" t="s" s="7">
        <v>529</v>
      </c>
      <c r="B517" s="8"/>
      <c r="C517" s="8"/>
      <c r="D517" s="8"/>
      <c r="E517" s="8"/>
      <c r="F517" s="8"/>
      <c r="G517" s="8"/>
      <c r="H517" s="8"/>
      <c r="I517" s="8"/>
      <c r="J517" s="8"/>
      <c r="K517" s="8"/>
      <c r="L517" s="8"/>
      <c r="M517" s="8"/>
      <c r="N517" s="8"/>
      <c r="O517" s="8"/>
    </row>
    <row r="518" ht="13.65" customHeight="1">
      <c r="A518" s="8"/>
      <c r="B518" s="8"/>
      <c r="C518" s="8"/>
      <c r="D518" s="8"/>
      <c r="E518" s="8"/>
      <c r="F518" s="8"/>
      <c r="G518" s="8"/>
      <c r="H518" s="8"/>
      <c r="I518" s="8"/>
      <c r="J518" s="8"/>
      <c r="K518" s="8"/>
      <c r="L518" s="8"/>
      <c r="M518" s="8"/>
      <c r="N518" s="8"/>
      <c r="O518" s="8"/>
    </row>
    <row r="519" ht="13.65" customHeight="1">
      <c r="A519" s="9"/>
      <c r="B519" s="9"/>
      <c r="C519" s="9"/>
      <c r="D519" s="9"/>
      <c r="E519" s="9"/>
      <c r="F519" s="9"/>
      <c r="G519" s="9"/>
      <c r="H519" s="9"/>
      <c r="I519" s="9"/>
      <c r="J519" s="9"/>
      <c r="K519" s="9"/>
      <c r="L519" s="9"/>
      <c r="M519" s="9"/>
      <c r="N519" s="9"/>
      <c r="O519" s="8"/>
    </row>
    <row r="520" ht="13.65" customHeight="1">
      <c r="A520" t="s" s="10">
        <v>7</v>
      </c>
      <c r="B520" t="s" s="10">
        <v>8</v>
      </c>
      <c r="C520" t="s" s="10">
        <v>9</v>
      </c>
      <c r="D520" t="s" s="10">
        <v>10</v>
      </c>
      <c r="E520" t="s" s="10">
        <v>11</v>
      </c>
      <c r="F520" t="s" s="10">
        <v>12</v>
      </c>
      <c r="G520" t="s" s="10">
        <v>13</v>
      </c>
      <c r="H520" t="s" s="10">
        <v>14</v>
      </c>
      <c r="I520" t="s" s="10">
        <v>15</v>
      </c>
      <c r="J520" t="s" s="10">
        <v>16</v>
      </c>
      <c r="K520" t="s" s="10">
        <v>17</v>
      </c>
      <c r="L520" t="s" s="10">
        <v>18</v>
      </c>
      <c r="M520" t="s" s="10">
        <v>19</v>
      </c>
      <c r="N520" t="s" s="10">
        <v>20</v>
      </c>
      <c r="O520" t="s" s="11">
        <v>21</v>
      </c>
    </row>
    <row r="521" ht="13.65" customHeight="1">
      <c r="A521" s="12">
        <v>45019</v>
      </c>
      <c r="B521" t="s" s="13">
        <v>22</v>
      </c>
      <c r="C521" s="15">
        <v>105.1</v>
      </c>
      <c r="D521" s="15">
        <v>105.25</v>
      </c>
      <c r="E521" s="15">
        <v>103.8</v>
      </c>
      <c r="F521" s="15">
        <v>104.5</v>
      </c>
      <c r="G521" s="15">
        <v>104.15</v>
      </c>
      <c r="H521" s="15">
        <v>104.1</v>
      </c>
      <c r="I521" s="15">
        <v>104.3</v>
      </c>
      <c r="J521" s="14">
        <v>1386.7</v>
      </c>
      <c r="K521" s="15">
        <v>95</v>
      </c>
      <c r="L521" s="15">
        <v>21840428</v>
      </c>
      <c r="M521" t="s" s="13">
        <v>8067</v>
      </c>
      <c r="N521" s="15">
        <v>111674</v>
      </c>
      <c r="O521" s="16"/>
    </row>
    <row r="522" ht="13.65" customHeight="1">
      <c r="A522" s="12">
        <v>45021</v>
      </c>
      <c r="B522" t="s" s="13">
        <v>22</v>
      </c>
      <c r="C522" s="15">
        <v>104.1</v>
      </c>
      <c r="D522" s="15">
        <v>105</v>
      </c>
      <c r="E522" s="15">
        <v>103.2</v>
      </c>
      <c r="F522" s="15">
        <v>104.1</v>
      </c>
      <c r="G522" s="15">
        <v>104.8</v>
      </c>
      <c r="H522" s="15">
        <v>104.85</v>
      </c>
      <c r="I522" s="15">
        <v>104.27</v>
      </c>
      <c r="J522" s="14">
        <v>1386.7</v>
      </c>
      <c r="K522" s="15">
        <v>95</v>
      </c>
      <c r="L522" s="15">
        <v>25194802</v>
      </c>
      <c r="M522" t="s" s="13">
        <v>8068</v>
      </c>
      <c r="N522" s="15">
        <v>126999</v>
      </c>
      <c r="O522" s="17" cm="1">
        <f t="array" ref="O522">(H522-H521)/H521</f>
        <v>0.00720461095100865</v>
      </c>
    </row>
    <row r="523" ht="13.65" customHeight="1">
      <c r="A523" s="12">
        <v>45022</v>
      </c>
      <c r="B523" t="s" s="13">
        <v>22</v>
      </c>
      <c r="C523" s="15">
        <v>104.85</v>
      </c>
      <c r="D523" s="15">
        <v>105.1</v>
      </c>
      <c r="E523" s="15">
        <v>104.2</v>
      </c>
      <c r="F523" s="15">
        <v>104.85</v>
      </c>
      <c r="G523" s="15">
        <v>104.5</v>
      </c>
      <c r="H523" s="15">
        <v>104.35</v>
      </c>
      <c r="I523" s="15">
        <v>104.58</v>
      </c>
      <c r="J523" s="14">
        <v>1386.7</v>
      </c>
      <c r="K523" s="15">
        <v>95</v>
      </c>
      <c r="L523" s="15">
        <v>21053782</v>
      </c>
      <c r="M523" t="s" s="13">
        <v>8069</v>
      </c>
      <c r="N523" s="15">
        <v>95727</v>
      </c>
      <c r="O523" s="17" cm="1">
        <f t="array" ref="O523">(H523-H522)/H522</f>
        <v>-0.00476871721506915</v>
      </c>
    </row>
    <row r="524" ht="13.65" customHeight="1">
      <c r="A524" s="18">
        <v>45026</v>
      </c>
      <c r="B524" t="s" s="13">
        <v>22</v>
      </c>
      <c r="C524" s="15">
        <v>104.5</v>
      </c>
      <c r="D524" s="15">
        <v>105.75</v>
      </c>
      <c r="E524" s="15">
        <v>104.5</v>
      </c>
      <c r="F524" s="15">
        <v>104.35</v>
      </c>
      <c r="G524" s="15">
        <v>105.1</v>
      </c>
      <c r="H524" s="15">
        <v>104.95</v>
      </c>
      <c r="I524" s="15">
        <v>105.07</v>
      </c>
      <c r="J524" s="14">
        <v>1384</v>
      </c>
      <c r="K524" s="15">
        <v>95</v>
      </c>
      <c r="L524" s="15">
        <v>19992257</v>
      </c>
      <c r="M524" t="s" s="13">
        <v>8070</v>
      </c>
      <c r="N524" s="15">
        <v>99915</v>
      </c>
      <c r="O524" s="17" cm="1">
        <f t="array" ref="O524">(H524-H523)/H523</f>
        <v>0.00574988021082894</v>
      </c>
    </row>
    <row r="525" ht="13.65" customHeight="1">
      <c r="A525" s="18">
        <v>45027</v>
      </c>
      <c r="B525" t="s" s="13">
        <v>22</v>
      </c>
      <c r="C525" s="15">
        <v>105.55</v>
      </c>
      <c r="D525" s="15">
        <v>107.85</v>
      </c>
      <c r="E525" s="15">
        <v>105.1</v>
      </c>
      <c r="F525" s="15">
        <v>104.95</v>
      </c>
      <c r="G525" s="15">
        <v>107.6</v>
      </c>
      <c r="H525" s="15">
        <v>107.55</v>
      </c>
      <c r="I525" s="15">
        <v>106.2</v>
      </c>
      <c r="J525" s="14">
        <v>1384</v>
      </c>
      <c r="K525" s="15">
        <v>95</v>
      </c>
      <c r="L525" s="15">
        <v>49304956</v>
      </c>
      <c r="M525" t="s" s="13">
        <v>8071</v>
      </c>
      <c r="N525" s="15">
        <v>130047</v>
      </c>
      <c r="O525" s="17" cm="1">
        <f t="array" ref="O525">(H525-H524)/H524</f>
        <v>0.0247737017627442</v>
      </c>
    </row>
    <row r="526" ht="13.65" customHeight="1">
      <c r="A526" s="18">
        <v>45028</v>
      </c>
      <c r="B526" t="s" s="13">
        <v>22</v>
      </c>
      <c r="C526" s="15">
        <v>108.2</v>
      </c>
      <c r="D526" s="15">
        <v>108.4</v>
      </c>
      <c r="E526" s="15">
        <v>106.95</v>
      </c>
      <c r="F526" s="15">
        <v>107.55</v>
      </c>
      <c r="G526" s="15">
        <v>107.7</v>
      </c>
      <c r="H526" s="15">
        <v>107.6</v>
      </c>
      <c r="I526" s="15">
        <v>107.81</v>
      </c>
      <c r="J526" s="14">
        <v>1384</v>
      </c>
      <c r="K526" s="15">
        <v>95</v>
      </c>
      <c r="L526" s="15">
        <v>27349538</v>
      </c>
      <c r="M526" t="s" s="13">
        <v>8072</v>
      </c>
      <c r="N526" s="15">
        <v>128731</v>
      </c>
      <c r="O526" s="17" cm="1">
        <f t="array" ref="O526">(H526-H525)/H525</f>
        <v>0.000464900046490005</v>
      </c>
    </row>
    <row r="527" ht="13.65" customHeight="1">
      <c r="A527" s="18">
        <v>45029</v>
      </c>
      <c r="B527" t="s" s="13">
        <v>22</v>
      </c>
      <c r="C527" s="15">
        <v>107.5</v>
      </c>
      <c r="D527" s="15">
        <v>108.15</v>
      </c>
      <c r="E527" s="15">
        <v>105.9</v>
      </c>
      <c r="F527" s="15">
        <v>107.6</v>
      </c>
      <c r="G527" s="15">
        <v>107.6</v>
      </c>
      <c r="H527" s="15">
        <v>107.5</v>
      </c>
      <c r="I527" s="15">
        <v>106.9</v>
      </c>
      <c r="J527" s="14">
        <v>1384</v>
      </c>
      <c r="K527" s="15">
        <v>95</v>
      </c>
      <c r="L527" s="15">
        <v>34880922</v>
      </c>
      <c r="M527" t="s" s="13">
        <v>8073</v>
      </c>
      <c r="N527" s="15">
        <v>123611</v>
      </c>
      <c r="O527" s="17" cm="1">
        <f t="array" ref="O527">(H527-H526)/H526</f>
        <v>-0.000929368029739777</v>
      </c>
    </row>
    <row r="528" ht="13.65" customHeight="1">
      <c r="A528" s="18">
        <v>45033</v>
      </c>
      <c r="B528" t="s" s="13">
        <v>22</v>
      </c>
      <c r="C528" s="15">
        <v>107.6</v>
      </c>
      <c r="D528" s="15">
        <v>108.3</v>
      </c>
      <c r="E528" s="15">
        <v>106.75</v>
      </c>
      <c r="F528" s="15">
        <v>107.5</v>
      </c>
      <c r="G528" s="15">
        <v>107.2</v>
      </c>
      <c r="H528" s="15">
        <v>107.15</v>
      </c>
      <c r="I528" s="15">
        <v>107.25</v>
      </c>
      <c r="J528" s="14">
        <v>1366.65</v>
      </c>
      <c r="K528" s="15">
        <v>95</v>
      </c>
      <c r="L528" s="15">
        <v>24642162</v>
      </c>
      <c r="M528" t="s" s="13">
        <v>8074</v>
      </c>
      <c r="N528" s="15">
        <v>124418</v>
      </c>
      <c r="O528" s="17" cm="1">
        <f t="array" ref="O528">(H528-H527)/H527</f>
        <v>-0.00325581395348837</v>
      </c>
    </row>
    <row r="529" ht="13.65" customHeight="1">
      <c r="A529" s="18">
        <v>45034</v>
      </c>
      <c r="B529" t="s" s="13">
        <v>22</v>
      </c>
      <c r="C529" s="15">
        <v>107.2</v>
      </c>
      <c r="D529" s="15">
        <v>107.9</v>
      </c>
      <c r="E529" s="15">
        <v>106.85</v>
      </c>
      <c r="F529" s="15">
        <v>107.15</v>
      </c>
      <c r="G529" s="15">
        <v>107.55</v>
      </c>
      <c r="H529" s="15">
        <v>107.6</v>
      </c>
      <c r="I529" s="15">
        <v>107.33</v>
      </c>
      <c r="J529" s="14">
        <v>1366.65</v>
      </c>
      <c r="K529" s="15">
        <v>95</v>
      </c>
      <c r="L529" s="15">
        <v>25476339</v>
      </c>
      <c r="M529" t="s" s="13">
        <v>8075</v>
      </c>
      <c r="N529" s="15">
        <v>81880</v>
      </c>
      <c r="O529" s="17" cm="1">
        <f t="array" ref="O529">(H529-H528)/H528</f>
        <v>0.00419972001866542</v>
      </c>
    </row>
    <row r="530" ht="13.65" customHeight="1">
      <c r="A530" s="18">
        <v>45035</v>
      </c>
      <c r="B530" t="s" s="13">
        <v>22</v>
      </c>
      <c r="C530" s="15">
        <v>107.85</v>
      </c>
      <c r="D530" s="15">
        <v>110.4</v>
      </c>
      <c r="E530" s="15">
        <v>107.75</v>
      </c>
      <c r="F530" s="15">
        <v>107.6</v>
      </c>
      <c r="G530" s="15">
        <v>108.1</v>
      </c>
      <c r="H530" s="15">
        <v>108.1</v>
      </c>
      <c r="I530" s="15">
        <v>109.04</v>
      </c>
      <c r="J530" s="14">
        <v>1366.65</v>
      </c>
      <c r="K530" s="15">
        <v>95</v>
      </c>
      <c r="L530" s="15">
        <v>62100775</v>
      </c>
      <c r="M530" t="s" s="13">
        <v>8076</v>
      </c>
      <c r="N530" s="15">
        <v>184789</v>
      </c>
      <c r="O530" s="17" cm="1">
        <f t="array" ref="O530">(H530-H529)/H529</f>
        <v>0.00464684014869888</v>
      </c>
    </row>
    <row r="531" ht="13.65" customHeight="1">
      <c r="A531" s="18">
        <v>45036</v>
      </c>
      <c r="B531" t="s" s="13">
        <v>22</v>
      </c>
      <c r="C531" s="15">
        <v>108.2</v>
      </c>
      <c r="D531" s="15">
        <v>108.7</v>
      </c>
      <c r="E531" s="15">
        <v>107.4</v>
      </c>
      <c r="F531" s="15">
        <v>108.1</v>
      </c>
      <c r="G531" s="15">
        <v>108.1</v>
      </c>
      <c r="H531" s="15">
        <v>108</v>
      </c>
      <c r="I531" s="15">
        <v>108.02</v>
      </c>
      <c r="J531" s="14">
        <v>1366.65</v>
      </c>
      <c r="K531" s="15">
        <v>95</v>
      </c>
      <c r="L531" s="15">
        <v>18337948</v>
      </c>
      <c r="M531" t="s" s="13">
        <v>8077</v>
      </c>
      <c r="N531" s="15">
        <v>99645</v>
      </c>
      <c r="O531" s="17" cm="1">
        <f t="array" ref="O531">(H531-H530)/H530</f>
        <v>-0.000925069380203515</v>
      </c>
    </row>
    <row r="532" ht="13.65" customHeight="1">
      <c r="A532" s="18">
        <v>45037</v>
      </c>
      <c r="B532" t="s" s="13">
        <v>22</v>
      </c>
      <c r="C532" s="15">
        <v>108</v>
      </c>
      <c r="D532" s="15">
        <v>108.1</v>
      </c>
      <c r="E532" s="15">
        <v>105.35</v>
      </c>
      <c r="F532" s="15">
        <v>108</v>
      </c>
      <c r="G532" s="15">
        <v>106.1</v>
      </c>
      <c r="H532" s="15">
        <v>106.15</v>
      </c>
      <c r="I532" s="15">
        <v>106.06</v>
      </c>
      <c r="J532" s="14">
        <v>1366.65</v>
      </c>
      <c r="K532" s="15">
        <v>95</v>
      </c>
      <c r="L532" s="15">
        <v>37638506</v>
      </c>
      <c r="M532" t="s" s="13">
        <v>8078</v>
      </c>
      <c r="N532" s="15">
        <v>155242</v>
      </c>
      <c r="O532" s="17" cm="1">
        <f t="array" ref="O532">(H532-H531)/H531</f>
        <v>-0.0171296296296296</v>
      </c>
    </row>
    <row r="533" ht="13.65" customHeight="1">
      <c r="A533" s="18">
        <v>45040</v>
      </c>
      <c r="B533" t="s" s="13">
        <v>22</v>
      </c>
      <c r="C533" s="15">
        <v>106.4</v>
      </c>
      <c r="D533" s="15">
        <v>106.7</v>
      </c>
      <c r="E533" s="15">
        <v>105.35</v>
      </c>
      <c r="F533" s="15">
        <v>106.15</v>
      </c>
      <c r="G533" s="15">
        <v>106.7</v>
      </c>
      <c r="H533" s="15">
        <v>106.5</v>
      </c>
      <c r="I533" s="15">
        <v>106.21</v>
      </c>
      <c r="J533" s="14">
        <v>1330</v>
      </c>
      <c r="K533" s="15">
        <v>95</v>
      </c>
      <c r="L533" s="15">
        <v>23475012</v>
      </c>
      <c r="M533" t="s" s="13">
        <v>8079</v>
      </c>
      <c r="N533" s="15">
        <v>104865</v>
      </c>
      <c r="O533" s="17" cm="1">
        <f t="array" ref="O533">(H533-H532)/H532</f>
        <v>0.00329722091380122</v>
      </c>
    </row>
    <row r="534" ht="13.65" customHeight="1">
      <c r="A534" s="18">
        <v>45041</v>
      </c>
      <c r="B534" t="s" s="13">
        <v>22</v>
      </c>
      <c r="C534" s="15">
        <v>106.7</v>
      </c>
      <c r="D534" s="15">
        <v>107.6</v>
      </c>
      <c r="E534" s="15">
        <v>106.25</v>
      </c>
      <c r="F534" s="15">
        <v>106.5</v>
      </c>
      <c r="G534" s="15">
        <v>106.95</v>
      </c>
      <c r="H534" s="15">
        <v>107.05</v>
      </c>
      <c r="I534" s="15">
        <v>107.17</v>
      </c>
      <c r="J534" s="14">
        <v>1330</v>
      </c>
      <c r="K534" s="15">
        <v>95</v>
      </c>
      <c r="L534" s="15">
        <v>23333425</v>
      </c>
      <c r="M534" t="s" s="13">
        <v>8080</v>
      </c>
      <c r="N534" s="15">
        <v>117726</v>
      </c>
      <c r="O534" s="17" cm="1">
        <f t="array" ref="O534">(H534-H533)/H533</f>
        <v>0.00516431924882629</v>
      </c>
    </row>
    <row r="535" ht="13.65" customHeight="1">
      <c r="A535" s="18">
        <v>45042</v>
      </c>
      <c r="B535" t="s" s="13">
        <v>22</v>
      </c>
      <c r="C535" s="15">
        <v>106.5</v>
      </c>
      <c r="D535" s="15">
        <v>107.05</v>
      </c>
      <c r="E535" s="15">
        <v>105.85</v>
      </c>
      <c r="F535" s="15">
        <v>107.05</v>
      </c>
      <c r="G535" s="15">
        <v>106.9</v>
      </c>
      <c r="H535" s="15">
        <v>106.85</v>
      </c>
      <c r="I535" s="15">
        <v>106.61</v>
      </c>
      <c r="J535" s="14">
        <v>1330</v>
      </c>
      <c r="K535" s="15">
        <v>95</v>
      </c>
      <c r="L535" s="15">
        <v>23590297</v>
      </c>
      <c r="M535" t="s" s="13">
        <v>8081</v>
      </c>
      <c r="N535" s="15">
        <v>102154</v>
      </c>
      <c r="O535" s="17" cm="1">
        <f t="array" ref="O535">(H535-H534)/H534</f>
        <v>-0.0018682858477347</v>
      </c>
    </row>
    <row r="536" ht="13.65" customHeight="1">
      <c r="A536" s="18">
        <v>45043</v>
      </c>
      <c r="B536" t="s" s="13">
        <v>22</v>
      </c>
      <c r="C536" s="15">
        <v>106.3</v>
      </c>
      <c r="D536" s="15">
        <v>107.85</v>
      </c>
      <c r="E536" s="15">
        <v>106.3</v>
      </c>
      <c r="F536" s="15">
        <v>106.85</v>
      </c>
      <c r="G536" s="15">
        <v>107.65</v>
      </c>
      <c r="H536" s="15">
        <v>107.65</v>
      </c>
      <c r="I536" s="15">
        <v>107.29</v>
      </c>
      <c r="J536" s="14">
        <v>1330</v>
      </c>
      <c r="K536" s="15">
        <v>95</v>
      </c>
      <c r="L536" s="15">
        <v>22364308</v>
      </c>
      <c r="M536" t="s" s="13">
        <v>8082</v>
      </c>
      <c r="N536" s="15">
        <v>101664</v>
      </c>
      <c r="O536" s="17" cm="1">
        <f t="array" ref="O536">(H536-H535)/H535</f>
        <v>0.00748713149274684</v>
      </c>
    </row>
    <row r="537" ht="13.65" customHeight="1">
      <c r="A537" s="18">
        <v>45044</v>
      </c>
      <c r="B537" t="s" s="13">
        <v>22</v>
      </c>
      <c r="C537" s="15">
        <v>107.8</v>
      </c>
      <c r="D537" s="15">
        <v>108.5</v>
      </c>
      <c r="E537" s="15">
        <v>107.3</v>
      </c>
      <c r="F537" s="15">
        <v>107.65</v>
      </c>
      <c r="G537" s="15">
        <v>108</v>
      </c>
      <c r="H537" s="15">
        <v>107.95</v>
      </c>
      <c r="I537" s="15">
        <v>107.8</v>
      </c>
      <c r="J537" s="14">
        <v>1330</v>
      </c>
      <c r="K537" s="15">
        <v>95</v>
      </c>
      <c r="L537" s="15">
        <v>30072920</v>
      </c>
      <c r="M537" t="s" s="13">
        <v>8083</v>
      </c>
      <c r="N537" s="15">
        <v>121074</v>
      </c>
      <c r="O537" s="17" cm="1">
        <f t="array" ref="O537">(H537-H536)/H536</f>
        <v>0.00278680910357641</v>
      </c>
    </row>
    <row r="538" ht="13.65" customHeight="1">
      <c r="A538" s="19">
        <v>45048</v>
      </c>
      <c r="B538" t="s" s="13">
        <v>22</v>
      </c>
      <c r="C538" s="15">
        <v>108</v>
      </c>
      <c r="D538" s="15">
        <v>110.85</v>
      </c>
      <c r="E538" s="15">
        <v>108</v>
      </c>
      <c r="F538" s="15">
        <v>107.95</v>
      </c>
      <c r="G538" s="15">
        <v>110.4</v>
      </c>
      <c r="H538" s="15">
        <v>110.3</v>
      </c>
      <c r="I538" s="15">
        <v>109.88</v>
      </c>
      <c r="J538" s="14">
        <v>1330</v>
      </c>
      <c r="K538" s="15">
        <v>95</v>
      </c>
      <c r="L538" s="15">
        <v>52822162</v>
      </c>
      <c r="M538" t="s" s="13">
        <v>8084</v>
      </c>
      <c r="N538" s="15">
        <v>177776</v>
      </c>
      <c r="O538" s="17" cm="1">
        <f t="array" ref="O538">(H538-H537)/H537</f>
        <v>0.0217693376563224</v>
      </c>
    </row>
    <row r="539" ht="13.65" customHeight="1">
      <c r="A539" s="19">
        <v>45049</v>
      </c>
      <c r="B539" t="s" s="13">
        <v>22</v>
      </c>
      <c r="C539" s="15">
        <v>109.8</v>
      </c>
      <c r="D539" s="15">
        <v>111</v>
      </c>
      <c r="E539" s="15">
        <v>108.75</v>
      </c>
      <c r="F539" s="15">
        <v>110.3</v>
      </c>
      <c r="G539" s="15">
        <v>109.75</v>
      </c>
      <c r="H539" s="15">
        <v>109.7</v>
      </c>
      <c r="I539" s="15">
        <v>109.71</v>
      </c>
      <c r="J539" s="14">
        <v>1330</v>
      </c>
      <c r="K539" s="15">
        <v>95</v>
      </c>
      <c r="L539" s="15">
        <v>51272624</v>
      </c>
      <c r="M539" t="s" s="13">
        <v>8085</v>
      </c>
      <c r="N539" s="15">
        <v>164302</v>
      </c>
      <c r="O539" s="17" cm="1">
        <f t="array" ref="O539">(H539-H538)/H538</f>
        <v>-0.00543970988213962</v>
      </c>
    </row>
    <row r="540" ht="13.65" customHeight="1">
      <c r="A540" s="19">
        <v>45050</v>
      </c>
      <c r="B540" t="s" s="13">
        <v>22</v>
      </c>
      <c r="C540" s="15">
        <v>110</v>
      </c>
      <c r="D540" s="15">
        <v>111.9</v>
      </c>
      <c r="E540" s="15">
        <v>109.5</v>
      </c>
      <c r="F540" s="15">
        <v>109.7</v>
      </c>
      <c r="G540" s="15">
        <v>110.9</v>
      </c>
      <c r="H540" s="15">
        <v>111.05</v>
      </c>
      <c r="I540" s="15">
        <v>111.1</v>
      </c>
      <c r="J540" s="14">
        <v>1330</v>
      </c>
      <c r="K540" s="15">
        <v>95</v>
      </c>
      <c r="L540" s="15">
        <v>38636907</v>
      </c>
      <c r="M540" t="s" s="13">
        <v>8086</v>
      </c>
      <c r="N540" s="15">
        <v>141966</v>
      </c>
      <c r="O540" s="17" cm="1">
        <f t="array" ref="O540">(H540-H539)/H539</f>
        <v>0.012306289881495</v>
      </c>
    </row>
    <row r="541" ht="13.65" customHeight="1">
      <c r="A541" s="19">
        <v>45051</v>
      </c>
      <c r="B541" t="s" s="13">
        <v>22</v>
      </c>
      <c r="C541" s="15">
        <v>110.85</v>
      </c>
      <c r="D541" s="15">
        <v>110.85</v>
      </c>
      <c r="E541" s="15">
        <v>108.4</v>
      </c>
      <c r="F541" s="15">
        <v>111.05</v>
      </c>
      <c r="G541" s="15">
        <v>108.7</v>
      </c>
      <c r="H541" s="15">
        <v>108.65</v>
      </c>
      <c r="I541" s="15">
        <v>109.25</v>
      </c>
      <c r="J541" s="14">
        <v>1330</v>
      </c>
      <c r="K541" s="15">
        <v>95</v>
      </c>
      <c r="L541" s="15">
        <v>32958346</v>
      </c>
      <c r="M541" t="s" s="13">
        <v>8087</v>
      </c>
      <c r="N541" s="15">
        <v>132104</v>
      </c>
      <c r="O541" s="17" cm="1">
        <f t="array" ref="O541">(H541-H540)/H540</f>
        <v>-0.0216118865375957</v>
      </c>
    </row>
    <row r="542" ht="13.65" customHeight="1">
      <c r="A542" s="19">
        <v>45054</v>
      </c>
      <c r="B542" t="s" s="13">
        <v>22</v>
      </c>
      <c r="C542" s="15">
        <v>109.25</v>
      </c>
      <c r="D542" s="15">
        <v>109.85</v>
      </c>
      <c r="E542" s="15">
        <v>108.25</v>
      </c>
      <c r="F542" s="15">
        <v>108.65</v>
      </c>
      <c r="G542" s="15">
        <v>109.75</v>
      </c>
      <c r="H542" s="15">
        <v>109.55</v>
      </c>
      <c r="I542" s="15">
        <v>109.36</v>
      </c>
      <c r="J542" s="14">
        <v>1274.2</v>
      </c>
      <c r="K542" s="15">
        <v>95</v>
      </c>
      <c r="L542" s="15">
        <v>23130472</v>
      </c>
      <c r="M542" t="s" s="13">
        <v>8088</v>
      </c>
      <c r="N542" s="15">
        <v>100999</v>
      </c>
      <c r="O542" s="17" cm="1">
        <f t="array" ref="O542">(H542-H541)/H541</f>
        <v>0.00828347906120571</v>
      </c>
    </row>
    <row r="543" ht="13.65" customHeight="1">
      <c r="A543" s="19">
        <v>45055</v>
      </c>
      <c r="B543" t="s" s="13">
        <v>22</v>
      </c>
      <c r="C543" s="15">
        <v>109.6</v>
      </c>
      <c r="D543" s="15">
        <v>111.2</v>
      </c>
      <c r="E543" s="15">
        <v>109.15</v>
      </c>
      <c r="F543" s="15">
        <v>109.55</v>
      </c>
      <c r="G543" s="15">
        <v>109.65</v>
      </c>
      <c r="H543" s="15">
        <v>109.55</v>
      </c>
      <c r="I543" s="15">
        <v>110.22</v>
      </c>
      <c r="J543" s="14">
        <v>1274.2</v>
      </c>
      <c r="K543" s="15">
        <v>95</v>
      </c>
      <c r="L543" s="15">
        <v>27999202</v>
      </c>
      <c r="M543" t="s" s="13">
        <v>8089</v>
      </c>
      <c r="N543" s="15">
        <v>124913</v>
      </c>
      <c r="O543" s="17" cm="1">
        <f t="array" ref="O543">(H543-H542)/H542</f>
        <v>0</v>
      </c>
    </row>
    <row r="544" ht="13.65" customHeight="1">
      <c r="A544" s="20">
        <v>45056</v>
      </c>
      <c r="B544" t="s" s="13">
        <v>22</v>
      </c>
      <c r="C544" s="15">
        <v>109.6</v>
      </c>
      <c r="D544" s="15">
        <v>110</v>
      </c>
      <c r="E544" s="15">
        <v>108.6</v>
      </c>
      <c r="F544" s="15">
        <v>109.55</v>
      </c>
      <c r="G544" s="15">
        <v>109.35</v>
      </c>
      <c r="H544" s="15">
        <v>109.25</v>
      </c>
      <c r="I544" s="15">
        <v>109.03</v>
      </c>
      <c r="J544" s="14">
        <v>1274.2</v>
      </c>
      <c r="K544" s="15">
        <v>95</v>
      </c>
      <c r="L544" s="15">
        <v>19213215</v>
      </c>
      <c r="M544" t="s" s="13">
        <v>8090</v>
      </c>
      <c r="N544" s="15">
        <v>102095</v>
      </c>
      <c r="O544" s="17" cm="1">
        <f t="array" ref="O544">(H544-H543)/H543</f>
        <v>-0.00273847558192606</v>
      </c>
    </row>
    <row r="545" ht="13.65" customHeight="1">
      <c r="A545" s="20">
        <v>45057</v>
      </c>
      <c r="B545" t="s" s="13">
        <v>22</v>
      </c>
      <c r="C545" s="15">
        <v>109.2</v>
      </c>
      <c r="D545" s="15">
        <v>109.5</v>
      </c>
      <c r="E545" s="15">
        <v>108.25</v>
      </c>
      <c r="F545" s="15">
        <v>109.25</v>
      </c>
      <c r="G545" s="15">
        <v>108.65</v>
      </c>
      <c r="H545" s="15">
        <v>108.55</v>
      </c>
      <c r="I545" s="15">
        <v>108.8</v>
      </c>
      <c r="J545" s="14">
        <v>1274.2</v>
      </c>
      <c r="K545" s="15">
        <v>95</v>
      </c>
      <c r="L545" s="15">
        <v>19817637</v>
      </c>
      <c r="M545" t="s" s="13">
        <v>8091</v>
      </c>
      <c r="N545" s="15">
        <v>108331</v>
      </c>
      <c r="O545" s="17" cm="1">
        <f t="array" ref="O545">(H545-H544)/H544</f>
        <v>-0.00640732265446224</v>
      </c>
    </row>
    <row r="546" ht="13.65" customHeight="1">
      <c r="A546" s="20">
        <v>45058</v>
      </c>
      <c r="B546" t="s" s="13">
        <v>22</v>
      </c>
      <c r="C546" s="15">
        <v>108.35</v>
      </c>
      <c r="D546" s="15">
        <v>108.4</v>
      </c>
      <c r="E546" s="15">
        <v>106.55</v>
      </c>
      <c r="F546" s="15">
        <v>108.55</v>
      </c>
      <c r="G546" s="15">
        <v>106.85</v>
      </c>
      <c r="H546" s="15">
        <v>106.75</v>
      </c>
      <c r="I546" s="15">
        <v>107.06</v>
      </c>
      <c r="J546" s="14">
        <v>1274.2</v>
      </c>
      <c r="K546" s="15">
        <v>95</v>
      </c>
      <c r="L546" s="15">
        <v>36794838</v>
      </c>
      <c r="M546" t="s" s="13">
        <v>8092</v>
      </c>
      <c r="N546" s="15">
        <v>152385</v>
      </c>
      <c r="O546" s="17" cm="1">
        <f t="array" ref="O546">(H546-H545)/H545</f>
        <v>-0.0165822201750345</v>
      </c>
    </row>
    <row r="547" ht="13.65" customHeight="1">
      <c r="A547" s="20">
        <v>45061</v>
      </c>
      <c r="B547" t="s" s="13">
        <v>22</v>
      </c>
      <c r="C547" s="15">
        <v>107.05</v>
      </c>
      <c r="D547" s="15">
        <v>108.2</v>
      </c>
      <c r="E547" s="15">
        <v>105.65</v>
      </c>
      <c r="F547" s="15">
        <v>106.75</v>
      </c>
      <c r="G547" s="15">
        <v>107.65</v>
      </c>
      <c r="H547" s="15">
        <v>107.7</v>
      </c>
      <c r="I547" s="15">
        <v>107.17</v>
      </c>
      <c r="J547" s="14">
        <v>1209</v>
      </c>
      <c r="K547" s="15">
        <v>95</v>
      </c>
      <c r="L547" s="15">
        <v>22148028</v>
      </c>
      <c r="M547" t="s" s="13">
        <v>8093</v>
      </c>
      <c r="N547" s="15">
        <v>124207</v>
      </c>
      <c r="O547" s="17" cm="1">
        <f t="array" ref="O547">(H547-H546)/H546</f>
        <v>0.00889929742388759</v>
      </c>
    </row>
    <row r="548" ht="13.65" customHeight="1">
      <c r="A548" s="20">
        <v>45062</v>
      </c>
      <c r="B548" t="s" s="13">
        <v>22</v>
      </c>
      <c r="C548" s="15">
        <v>108.2</v>
      </c>
      <c r="D548" s="15">
        <v>108.65</v>
      </c>
      <c r="E548" s="15">
        <v>107.2</v>
      </c>
      <c r="F548" s="15">
        <v>107.7</v>
      </c>
      <c r="G548" s="15">
        <v>107.55</v>
      </c>
      <c r="H548" s="15">
        <v>107.4</v>
      </c>
      <c r="I548" s="15">
        <v>107.62</v>
      </c>
      <c r="J548" s="14">
        <v>1209</v>
      </c>
      <c r="K548" s="15">
        <v>95</v>
      </c>
      <c r="L548" s="15">
        <v>18587658</v>
      </c>
      <c r="M548" t="s" s="13">
        <v>8094</v>
      </c>
      <c r="N548" s="15">
        <v>95237</v>
      </c>
      <c r="O548" s="17" cm="1">
        <f t="array" ref="O548">(H548-H547)/H547</f>
        <v>-0.00278551532033426</v>
      </c>
    </row>
    <row r="549" ht="13.65" customHeight="1">
      <c r="A549" s="20">
        <v>45063</v>
      </c>
      <c r="B549" t="s" s="13">
        <v>22</v>
      </c>
      <c r="C549" s="15">
        <v>107.4</v>
      </c>
      <c r="D549" s="15">
        <v>107.5</v>
      </c>
      <c r="E549" s="15">
        <v>105.55</v>
      </c>
      <c r="F549" s="15">
        <v>107.4</v>
      </c>
      <c r="G549" s="15">
        <v>106.05</v>
      </c>
      <c r="H549" s="15">
        <v>106</v>
      </c>
      <c r="I549" s="15">
        <v>106.26</v>
      </c>
      <c r="J549" s="14">
        <v>1209</v>
      </c>
      <c r="K549" s="15">
        <v>95</v>
      </c>
      <c r="L549" s="15">
        <v>28895465</v>
      </c>
      <c r="M549" t="s" s="13">
        <v>8095</v>
      </c>
      <c r="N549" s="15">
        <v>158469</v>
      </c>
      <c r="O549" s="17" cm="1">
        <f t="array" ref="O549">(H549-H548)/H548</f>
        <v>-0.0130353817504655</v>
      </c>
    </row>
    <row r="550" ht="13.65" customHeight="1">
      <c r="A550" s="20">
        <v>45064</v>
      </c>
      <c r="B550" t="s" s="13">
        <v>22</v>
      </c>
      <c r="C550" s="15">
        <v>106.5</v>
      </c>
      <c r="D550" s="15">
        <v>107.15</v>
      </c>
      <c r="E550" s="15">
        <v>105.1</v>
      </c>
      <c r="F550" s="15">
        <v>106</v>
      </c>
      <c r="G550" s="15">
        <v>105.35</v>
      </c>
      <c r="H550" s="15">
        <v>105.2</v>
      </c>
      <c r="I550" s="15">
        <v>105.92</v>
      </c>
      <c r="J550" s="14">
        <v>1209</v>
      </c>
      <c r="K550" s="15">
        <v>95</v>
      </c>
      <c r="L550" s="15">
        <v>24208481</v>
      </c>
      <c r="M550" t="s" s="13">
        <v>8096</v>
      </c>
      <c r="N550" s="15">
        <v>153094</v>
      </c>
      <c r="O550" s="17" cm="1">
        <f t="array" ref="O550">(H550-H549)/H549</f>
        <v>-0.00754716981132075</v>
      </c>
    </row>
    <row r="551" ht="13.65" customHeight="1">
      <c r="A551" s="20">
        <v>45065</v>
      </c>
      <c r="B551" t="s" s="13">
        <v>22</v>
      </c>
      <c r="C551" s="15">
        <v>105.6</v>
      </c>
      <c r="D551" s="15">
        <v>105.7</v>
      </c>
      <c r="E551" s="15">
        <v>104.05</v>
      </c>
      <c r="F551" s="15">
        <v>105.2</v>
      </c>
      <c r="G551" s="15">
        <v>104.7</v>
      </c>
      <c r="H551" s="15">
        <v>104.65</v>
      </c>
      <c r="I551" s="15">
        <v>104.56</v>
      </c>
      <c r="J551" s="14">
        <v>1209</v>
      </c>
      <c r="K551" s="15">
        <v>95</v>
      </c>
      <c r="L551" s="15">
        <v>29848841</v>
      </c>
      <c r="M551" t="s" s="13">
        <v>8097</v>
      </c>
      <c r="N551" s="15">
        <v>164196</v>
      </c>
      <c r="O551" s="17" cm="1">
        <f t="array" ref="O551">(H551-H550)/H550</f>
        <v>-0.00522813688212928</v>
      </c>
    </row>
    <row r="552" ht="13.65" customHeight="1">
      <c r="A552" s="20">
        <v>45068</v>
      </c>
      <c r="B552" t="s" s="13">
        <v>22</v>
      </c>
      <c r="C552" s="15">
        <v>105</v>
      </c>
      <c r="D552" s="15">
        <v>105.25</v>
      </c>
      <c r="E552" s="15">
        <v>104.3</v>
      </c>
      <c r="F552" s="15">
        <v>104.65</v>
      </c>
      <c r="G552" s="15">
        <v>105.1</v>
      </c>
      <c r="H552" s="15">
        <v>105</v>
      </c>
      <c r="I552" s="15">
        <v>104.88</v>
      </c>
      <c r="J552" s="14">
        <v>1097</v>
      </c>
      <c r="K552" s="15">
        <v>95</v>
      </c>
      <c r="L552" s="15">
        <v>21588716</v>
      </c>
      <c r="M552" t="s" s="13">
        <v>8098</v>
      </c>
      <c r="N552" s="15">
        <v>146640</v>
      </c>
      <c r="O552" s="17" cm="1">
        <f t="array" ref="O552">(H552-H551)/H551</f>
        <v>0.00334448160535117</v>
      </c>
    </row>
    <row r="553" ht="13.65" customHeight="1">
      <c r="A553" s="20">
        <v>45069</v>
      </c>
      <c r="B553" t="s" s="13">
        <v>22</v>
      </c>
      <c r="C553" s="15">
        <v>105.1</v>
      </c>
      <c r="D553" s="15">
        <v>106.05</v>
      </c>
      <c r="E553" s="15">
        <v>105</v>
      </c>
      <c r="F553" s="15">
        <v>105</v>
      </c>
      <c r="G553" s="15">
        <v>105.6</v>
      </c>
      <c r="H553" s="15">
        <v>105.6</v>
      </c>
      <c r="I553" s="15">
        <v>105.58</v>
      </c>
      <c r="J553" s="14">
        <v>1097</v>
      </c>
      <c r="K553" s="15">
        <v>95</v>
      </c>
      <c r="L553" s="15">
        <v>21304034</v>
      </c>
      <c r="M553" t="s" s="13">
        <v>8099</v>
      </c>
      <c r="N553" s="15">
        <v>120258</v>
      </c>
      <c r="O553" s="17" cm="1">
        <f t="array" ref="O553">(H553-H552)/H552</f>
        <v>0.00571428571428571</v>
      </c>
    </row>
    <row r="554" ht="13.65" customHeight="1">
      <c r="A554" s="20">
        <v>45070</v>
      </c>
      <c r="B554" t="s" s="13">
        <v>22</v>
      </c>
      <c r="C554" s="15">
        <v>105.1</v>
      </c>
      <c r="D554" s="15">
        <v>105.8</v>
      </c>
      <c r="E554" s="15">
        <v>104.9</v>
      </c>
      <c r="F554" s="15">
        <v>105.6</v>
      </c>
      <c r="G554" s="15">
        <v>105</v>
      </c>
      <c r="H554" s="15">
        <v>105.2</v>
      </c>
      <c r="I554" s="15">
        <v>105.3</v>
      </c>
      <c r="J554" s="14">
        <v>1097</v>
      </c>
      <c r="K554" s="15">
        <v>95</v>
      </c>
      <c r="L554" s="15">
        <v>28454367</v>
      </c>
      <c r="M554" t="s" s="13">
        <v>8100</v>
      </c>
      <c r="N554" s="15">
        <v>113015</v>
      </c>
      <c r="O554" s="17" cm="1">
        <f t="array" ref="O554">(H554-H553)/H553</f>
        <v>-0.00378787878787879</v>
      </c>
    </row>
    <row r="555" ht="13.65" customHeight="1">
      <c r="A555" s="20">
        <v>45071</v>
      </c>
      <c r="B555" t="s" s="13">
        <v>22</v>
      </c>
      <c r="C555" s="15">
        <v>105</v>
      </c>
      <c r="D555" s="15">
        <v>105.2</v>
      </c>
      <c r="E555" s="15">
        <v>104.3</v>
      </c>
      <c r="F555" s="15">
        <v>105.2</v>
      </c>
      <c r="G555" s="15">
        <v>105</v>
      </c>
      <c r="H555" s="15">
        <v>104.85</v>
      </c>
      <c r="I555" s="15">
        <v>104.66</v>
      </c>
      <c r="J555" s="14">
        <v>1097</v>
      </c>
      <c r="K555" s="15">
        <v>95</v>
      </c>
      <c r="L555" s="15">
        <v>25885062</v>
      </c>
      <c r="M555" t="s" s="13">
        <v>8101</v>
      </c>
      <c r="N555" s="15">
        <v>120182</v>
      </c>
      <c r="O555" s="17" cm="1">
        <f t="array" ref="O555">(H555-H554)/H554</f>
        <v>-0.00332699619771863</v>
      </c>
    </row>
    <row r="556" ht="13.65" customHeight="1">
      <c r="A556" s="20">
        <v>45072</v>
      </c>
      <c r="B556" t="s" s="13">
        <v>22</v>
      </c>
      <c r="C556" s="15">
        <v>105</v>
      </c>
      <c r="D556" s="15">
        <v>106.75</v>
      </c>
      <c r="E556" s="15">
        <v>104.95</v>
      </c>
      <c r="F556" s="15">
        <v>104.85</v>
      </c>
      <c r="G556" s="15">
        <v>106.45</v>
      </c>
      <c r="H556" s="15">
        <v>106.4</v>
      </c>
      <c r="I556" s="15">
        <v>105.85</v>
      </c>
      <c r="J556" s="14">
        <v>1097</v>
      </c>
      <c r="K556" s="15">
        <v>95</v>
      </c>
      <c r="L556" s="15">
        <v>28362042</v>
      </c>
      <c r="M556" t="s" s="13">
        <v>8102</v>
      </c>
      <c r="N556" s="15">
        <v>106252</v>
      </c>
      <c r="O556" s="17" cm="1">
        <f t="array" ref="O556">(H556-H555)/H555</f>
        <v>0.0147830233667144</v>
      </c>
    </row>
    <row r="557" ht="13.65" customHeight="1">
      <c r="A557" s="20">
        <v>45075</v>
      </c>
      <c r="B557" t="s" s="13">
        <v>22</v>
      </c>
      <c r="C557" s="15">
        <v>107</v>
      </c>
      <c r="D557" s="15">
        <v>108.85</v>
      </c>
      <c r="E557" s="15">
        <v>106.3</v>
      </c>
      <c r="F557" s="15">
        <v>106.4</v>
      </c>
      <c r="G557" s="15">
        <v>108.35</v>
      </c>
      <c r="H557" s="15">
        <v>108.45</v>
      </c>
      <c r="I557" s="15">
        <v>107.92</v>
      </c>
      <c r="J557" s="14">
        <v>1092.8</v>
      </c>
      <c r="K557" s="15">
        <v>95</v>
      </c>
      <c r="L557" s="15">
        <v>41062311</v>
      </c>
      <c r="M557" t="s" s="13">
        <v>8103</v>
      </c>
      <c r="N557" s="15">
        <v>149388</v>
      </c>
      <c r="O557" s="17" cm="1">
        <f t="array" ref="O557">(H557-H556)/H556</f>
        <v>0.0192669172932331</v>
      </c>
    </row>
    <row r="558" ht="13.65" customHeight="1">
      <c r="A558" s="20">
        <v>45076</v>
      </c>
      <c r="B558" t="s" s="13">
        <v>22</v>
      </c>
      <c r="C558" s="15">
        <v>108.95</v>
      </c>
      <c r="D558" s="15">
        <v>108.95</v>
      </c>
      <c r="E558" s="15">
        <v>106.9</v>
      </c>
      <c r="F558" s="15">
        <v>108.45</v>
      </c>
      <c r="G558" s="15">
        <v>106.95</v>
      </c>
      <c r="H558" s="15">
        <v>107.05</v>
      </c>
      <c r="I558" s="15">
        <v>107.57</v>
      </c>
      <c r="J558" s="14">
        <v>1092.8</v>
      </c>
      <c r="K558" s="15">
        <v>95</v>
      </c>
      <c r="L558" s="15">
        <v>33475211</v>
      </c>
      <c r="M558" t="s" s="13">
        <v>8104</v>
      </c>
      <c r="N558" s="15">
        <v>134867</v>
      </c>
      <c r="O558" s="17" cm="1">
        <f t="array" ref="O558">(H558-H557)/H557</f>
        <v>-0.0129091747349009</v>
      </c>
    </row>
    <row r="559" ht="13.65" customHeight="1">
      <c r="A559" s="20">
        <v>45077</v>
      </c>
      <c r="B559" t="s" s="13">
        <v>22</v>
      </c>
      <c r="C559" s="15">
        <v>106.4</v>
      </c>
      <c r="D559" s="15">
        <v>106.95</v>
      </c>
      <c r="E559" s="15">
        <v>105.6</v>
      </c>
      <c r="F559" s="15">
        <v>107.05</v>
      </c>
      <c r="G559" s="15">
        <v>105.85</v>
      </c>
      <c r="H559" s="15">
        <v>105.8</v>
      </c>
      <c r="I559" s="15">
        <v>106.14</v>
      </c>
      <c r="J559" s="14">
        <v>1092.8</v>
      </c>
      <c r="K559" s="15">
        <v>95</v>
      </c>
      <c r="L559" s="15">
        <v>41249944</v>
      </c>
      <c r="M559" t="s" s="13">
        <v>8105</v>
      </c>
      <c r="N559" s="15">
        <v>131061</v>
      </c>
      <c r="O559" s="17" cm="1">
        <f t="array" ref="O559">(H559-H558)/H558</f>
        <v>-0.0116767865483419</v>
      </c>
    </row>
    <row r="560" ht="13.65" customHeight="1">
      <c r="A560" s="12">
        <v>45078</v>
      </c>
      <c r="B560" t="s" s="13">
        <v>22</v>
      </c>
      <c r="C560" s="15">
        <v>105.9</v>
      </c>
      <c r="D560" s="15">
        <v>106.7</v>
      </c>
      <c r="E560" s="15">
        <v>105.8</v>
      </c>
      <c r="F560" s="15">
        <v>105.8</v>
      </c>
      <c r="G560" s="15">
        <v>106</v>
      </c>
      <c r="H560" s="15">
        <v>105.95</v>
      </c>
      <c r="I560" s="15">
        <v>106.15</v>
      </c>
      <c r="J560" s="14">
        <v>1092.8</v>
      </c>
      <c r="K560" s="15">
        <v>95</v>
      </c>
      <c r="L560" s="15">
        <v>21211538</v>
      </c>
      <c r="M560" t="s" s="13">
        <v>8106</v>
      </c>
      <c r="N560" s="15">
        <v>94464</v>
      </c>
      <c r="O560" s="17" cm="1">
        <f t="array" ref="O560">(H560-H559)/H559</f>
        <v>0.00141776937618147</v>
      </c>
    </row>
    <row r="561" ht="13.65" customHeight="1">
      <c r="A561" s="12">
        <v>45079</v>
      </c>
      <c r="B561" t="s" s="13">
        <v>22</v>
      </c>
      <c r="C561" s="15">
        <v>106.5</v>
      </c>
      <c r="D561" s="15">
        <v>108.3</v>
      </c>
      <c r="E561" s="15">
        <v>106.5</v>
      </c>
      <c r="F561" s="15">
        <v>105.95</v>
      </c>
      <c r="G561" s="15">
        <v>108.05</v>
      </c>
      <c r="H561" s="15">
        <v>108</v>
      </c>
      <c r="I561" s="15">
        <v>107.48</v>
      </c>
      <c r="J561" s="14">
        <v>1092.8</v>
      </c>
      <c r="K561" s="15">
        <v>95</v>
      </c>
      <c r="L561" s="15">
        <v>46686933</v>
      </c>
      <c r="M561" t="s" s="13">
        <v>8107</v>
      </c>
      <c r="N561" s="15">
        <v>138198</v>
      </c>
      <c r="O561" s="17" cm="1">
        <f t="array" ref="O561">(H561-H560)/H560</f>
        <v>0.0193487494100991</v>
      </c>
    </row>
    <row r="562" ht="13.65" customHeight="1">
      <c r="A562" s="12">
        <v>45082</v>
      </c>
      <c r="B562" t="s" s="13">
        <v>22</v>
      </c>
      <c r="C562" s="15">
        <v>108.65</v>
      </c>
      <c r="D562" s="15">
        <v>109.9</v>
      </c>
      <c r="E562" s="15">
        <v>107.8</v>
      </c>
      <c r="F562" s="15">
        <v>108</v>
      </c>
      <c r="G562" s="15">
        <v>109.6</v>
      </c>
      <c r="H562" s="15">
        <v>109.4</v>
      </c>
      <c r="I562" s="15">
        <v>108.83</v>
      </c>
      <c r="J562" s="14">
        <v>1088.9</v>
      </c>
      <c r="K562" s="15">
        <v>95</v>
      </c>
      <c r="L562" s="15">
        <v>39642539</v>
      </c>
      <c r="M562" t="s" s="13">
        <v>8108</v>
      </c>
      <c r="N562" s="15">
        <v>143608</v>
      </c>
      <c r="O562" s="17" cm="1">
        <f t="array" ref="O562">(H562-H561)/H561</f>
        <v>0.012962962962963</v>
      </c>
    </row>
    <row r="563" ht="13.65" customHeight="1">
      <c r="A563" s="12">
        <v>45083</v>
      </c>
      <c r="B563" t="s" s="13">
        <v>22</v>
      </c>
      <c r="C563" s="15">
        <v>109.75</v>
      </c>
      <c r="D563" s="15">
        <v>109.85</v>
      </c>
      <c r="E563" s="15">
        <v>108.3</v>
      </c>
      <c r="F563" s="15">
        <v>109.4</v>
      </c>
      <c r="G563" s="15">
        <v>109.1</v>
      </c>
      <c r="H563" s="15">
        <v>109</v>
      </c>
      <c r="I563" s="15">
        <v>108.94</v>
      </c>
      <c r="J563" s="14">
        <v>1088.9</v>
      </c>
      <c r="K563" s="15">
        <v>95</v>
      </c>
      <c r="L563" s="15">
        <v>26751372</v>
      </c>
      <c r="M563" t="s" s="13">
        <v>8109</v>
      </c>
      <c r="N563" s="15">
        <v>123777</v>
      </c>
      <c r="O563" s="17" cm="1">
        <f t="array" ref="O563">(H563-H562)/H562</f>
        <v>-0.0036563071297989</v>
      </c>
    </row>
    <row r="564" ht="13.65" customHeight="1">
      <c r="A564" s="12">
        <v>45084</v>
      </c>
      <c r="B564" t="s" s="13">
        <v>22</v>
      </c>
      <c r="C564" s="15">
        <v>109.5</v>
      </c>
      <c r="D564" s="15">
        <v>111.75</v>
      </c>
      <c r="E564" s="15">
        <v>108.9</v>
      </c>
      <c r="F564" s="15">
        <v>109</v>
      </c>
      <c r="G564" s="15">
        <v>111.5</v>
      </c>
      <c r="H564" s="15">
        <v>111.5</v>
      </c>
      <c r="I564" s="15">
        <v>110.46</v>
      </c>
      <c r="J564" s="14">
        <v>1088.9</v>
      </c>
      <c r="K564" s="15">
        <v>95</v>
      </c>
      <c r="L564" s="15">
        <v>45157197</v>
      </c>
      <c r="M564" t="s" s="13">
        <v>8110</v>
      </c>
      <c r="N564" s="15">
        <v>172381</v>
      </c>
      <c r="O564" s="17" cm="1">
        <f t="array" ref="O564">(H564-H563)/H563</f>
        <v>0.0229357798165138</v>
      </c>
    </row>
    <row r="565" ht="13.65" customHeight="1">
      <c r="A565" s="12">
        <v>45085</v>
      </c>
      <c r="B565" t="s" s="13">
        <v>22</v>
      </c>
      <c r="C565" s="15">
        <v>111.5</v>
      </c>
      <c r="D565" s="15">
        <v>113</v>
      </c>
      <c r="E565" s="15">
        <v>110.95</v>
      </c>
      <c r="F565" s="15">
        <v>111.5</v>
      </c>
      <c r="G565" s="15">
        <v>111.25</v>
      </c>
      <c r="H565" s="15">
        <v>111.15</v>
      </c>
      <c r="I565" s="15">
        <v>111.81</v>
      </c>
      <c r="J565" s="14">
        <v>1088.9</v>
      </c>
      <c r="K565" s="15">
        <v>95</v>
      </c>
      <c r="L565" s="15">
        <v>46380294</v>
      </c>
      <c r="M565" t="s" s="13">
        <v>8111</v>
      </c>
      <c r="N565" s="15">
        <v>163368</v>
      </c>
      <c r="O565" s="17" cm="1">
        <f t="array" ref="O565">(H565-H564)/H564</f>
        <v>-0.0031390134529148</v>
      </c>
    </row>
    <row r="566" ht="13.65" customHeight="1">
      <c r="A566" s="12">
        <v>45086</v>
      </c>
      <c r="B566" t="s" s="13">
        <v>22</v>
      </c>
      <c r="C566" s="15">
        <v>111.25</v>
      </c>
      <c r="D566" s="15">
        <v>111.65</v>
      </c>
      <c r="E566" s="15">
        <v>108.65</v>
      </c>
      <c r="F566" s="15">
        <v>111.15</v>
      </c>
      <c r="G566" s="15">
        <v>109.15</v>
      </c>
      <c r="H566" s="15">
        <v>108.9</v>
      </c>
      <c r="I566" s="15">
        <v>109.42</v>
      </c>
      <c r="J566" s="14">
        <v>1088.9</v>
      </c>
      <c r="K566" s="15">
        <v>95</v>
      </c>
      <c r="L566" s="15">
        <v>36392617</v>
      </c>
      <c r="M566" t="s" s="13">
        <v>8112</v>
      </c>
      <c r="N566" s="15">
        <v>160353</v>
      </c>
      <c r="O566" s="17" cm="1">
        <f t="array" ref="O566">(H566-H565)/H565</f>
        <v>-0.0202429149797571</v>
      </c>
    </row>
    <row r="567" ht="13.65" customHeight="1">
      <c r="A567" s="18">
        <v>45089</v>
      </c>
      <c r="B567" t="s" s="13">
        <v>22</v>
      </c>
      <c r="C567" s="15">
        <v>109.15</v>
      </c>
      <c r="D567" s="15">
        <v>110.6</v>
      </c>
      <c r="E567" s="15">
        <v>109.15</v>
      </c>
      <c r="F567" s="15">
        <v>108.9</v>
      </c>
      <c r="G567" s="15">
        <v>109.55</v>
      </c>
      <c r="H567" s="15">
        <v>109.5</v>
      </c>
      <c r="I567" s="15">
        <v>109.79</v>
      </c>
      <c r="J567" s="14">
        <v>1013.7</v>
      </c>
      <c r="K567" s="15">
        <v>95</v>
      </c>
      <c r="L567" s="15">
        <v>23472313</v>
      </c>
      <c r="M567" t="s" s="13">
        <v>8113</v>
      </c>
      <c r="N567" s="15">
        <v>129504</v>
      </c>
      <c r="O567" s="17" cm="1">
        <f t="array" ref="O567">(H567-H566)/H566</f>
        <v>0.00550964187327824</v>
      </c>
    </row>
    <row r="568" ht="13.65" customHeight="1">
      <c r="A568" s="18">
        <v>45090</v>
      </c>
      <c r="B568" t="s" s="13">
        <v>22</v>
      </c>
      <c r="C568" s="15">
        <v>110</v>
      </c>
      <c r="D568" s="15">
        <v>111.85</v>
      </c>
      <c r="E568" s="15">
        <v>109.65</v>
      </c>
      <c r="F568" s="15">
        <v>109.5</v>
      </c>
      <c r="G568" s="15">
        <v>111.05</v>
      </c>
      <c r="H568" s="15">
        <v>111.15</v>
      </c>
      <c r="I568" s="15">
        <v>110.85</v>
      </c>
      <c r="J568" s="14">
        <v>1013.7</v>
      </c>
      <c r="K568" s="15">
        <v>95</v>
      </c>
      <c r="L568" s="15">
        <v>30018212</v>
      </c>
      <c r="M568" t="s" s="13">
        <v>8114</v>
      </c>
      <c r="N568" s="15">
        <v>129410</v>
      </c>
      <c r="O568" s="17" cm="1">
        <f t="array" ref="O568">(H568-H567)/H567</f>
        <v>0.0150684931506849</v>
      </c>
    </row>
    <row r="569" ht="13.65" customHeight="1">
      <c r="A569" s="18">
        <v>45091</v>
      </c>
      <c r="B569" t="s" s="13">
        <v>22</v>
      </c>
      <c r="C569" s="15">
        <v>111.5</v>
      </c>
      <c r="D569" s="15">
        <v>114</v>
      </c>
      <c r="E569" s="15">
        <v>111.4</v>
      </c>
      <c r="F569" s="15">
        <v>111.15</v>
      </c>
      <c r="G569" s="15">
        <v>113.75</v>
      </c>
      <c r="H569" s="15">
        <v>113.8</v>
      </c>
      <c r="I569" s="15">
        <v>113.22</v>
      </c>
      <c r="J569" s="14">
        <v>1013.7</v>
      </c>
      <c r="K569" s="15">
        <v>95</v>
      </c>
      <c r="L569" s="15">
        <v>66696433</v>
      </c>
      <c r="M569" t="s" s="13">
        <v>8115</v>
      </c>
      <c r="N569" s="15">
        <v>245307</v>
      </c>
      <c r="O569" s="17" cm="1">
        <f t="array" ref="O569">(H569-H568)/H568</f>
        <v>0.0238416554206028</v>
      </c>
    </row>
    <row r="570" ht="13.65" customHeight="1">
      <c r="A570" s="18">
        <v>45092</v>
      </c>
      <c r="B570" t="s" s="13">
        <v>22</v>
      </c>
      <c r="C570" s="15">
        <v>113.9</v>
      </c>
      <c r="D570" s="15">
        <v>114.2</v>
      </c>
      <c r="E570" s="15">
        <v>113.25</v>
      </c>
      <c r="F570" s="15">
        <v>113.8</v>
      </c>
      <c r="G570" s="15">
        <v>113.65</v>
      </c>
      <c r="H570" s="15">
        <v>113.75</v>
      </c>
      <c r="I570" s="15">
        <v>113.75</v>
      </c>
      <c r="J570" s="14">
        <v>1013.7</v>
      </c>
      <c r="K570" s="15">
        <v>95</v>
      </c>
      <c r="L570" s="15">
        <v>39430138</v>
      </c>
      <c r="M570" t="s" s="13">
        <v>8116</v>
      </c>
      <c r="N570" s="15">
        <v>148524</v>
      </c>
      <c r="O570" s="17" cm="1">
        <f t="array" ref="O570">(H570-H569)/H569</f>
        <v>-0.000439367311072056</v>
      </c>
    </row>
    <row r="571" ht="13.65" customHeight="1">
      <c r="A571" s="18">
        <v>45093</v>
      </c>
      <c r="B571" t="s" s="13">
        <v>22</v>
      </c>
      <c r="C571" s="15">
        <v>114.4</v>
      </c>
      <c r="D571" s="15">
        <v>114.8</v>
      </c>
      <c r="E571" s="15">
        <v>113.85</v>
      </c>
      <c r="F571" s="15">
        <v>113.75</v>
      </c>
      <c r="G571" s="15">
        <v>114.35</v>
      </c>
      <c r="H571" s="15">
        <v>114.25</v>
      </c>
      <c r="I571" s="15">
        <v>114.24</v>
      </c>
      <c r="J571" s="14">
        <v>1013.7</v>
      </c>
      <c r="K571" s="15">
        <v>95</v>
      </c>
      <c r="L571" s="15">
        <v>31715807</v>
      </c>
      <c r="M571" t="s" s="13">
        <v>8117</v>
      </c>
      <c r="N571" s="15">
        <v>119137</v>
      </c>
      <c r="O571" s="17" cm="1">
        <f t="array" ref="O571">(H571-H570)/H570</f>
        <v>0.0043956043956044</v>
      </c>
    </row>
    <row r="572" ht="13.65" customHeight="1">
      <c r="A572" s="18">
        <v>45096</v>
      </c>
      <c r="B572" t="s" s="13">
        <v>22</v>
      </c>
      <c r="C572" s="15">
        <v>115.45</v>
      </c>
      <c r="D572" s="15">
        <v>115.6</v>
      </c>
      <c r="E572" s="15">
        <v>113.05</v>
      </c>
      <c r="F572" s="15">
        <v>114.25</v>
      </c>
      <c r="G572" s="15">
        <v>114.2</v>
      </c>
      <c r="H572" s="15">
        <v>114.1</v>
      </c>
      <c r="I572" s="15">
        <v>114.08</v>
      </c>
      <c r="J572" s="15">
        <v>976.7</v>
      </c>
      <c r="K572" s="15">
        <v>95</v>
      </c>
      <c r="L572" s="15">
        <v>33502185</v>
      </c>
      <c r="M572" t="s" s="13">
        <v>8118</v>
      </c>
      <c r="N572" s="15">
        <v>140304</v>
      </c>
      <c r="O572" s="17" cm="1">
        <f t="array" ref="O572">(H572-H571)/H571</f>
        <v>-0.00131291028446389</v>
      </c>
    </row>
    <row r="573" ht="13.65" customHeight="1">
      <c r="A573" s="18">
        <v>45097</v>
      </c>
      <c r="B573" t="s" s="13">
        <v>22</v>
      </c>
      <c r="C573" s="15">
        <v>114.1</v>
      </c>
      <c r="D573" s="15">
        <v>115.25</v>
      </c>
      <c r="E573" s="15">
        <v>113.5</v>
      </c>
      <c r="F573" s="15">
        <v>114.1</v>
      </c>
      <c r="G573" s="15">
        <v>114.5</v>
      </c>
      <c r="H573" s="15">
        <v>114.25</v>
      </c>
      <c r="I573" s="15">
        <v>114.53</v>
      </c>
      <c r="J573" s="15">
        <v>976.7</v>
      </c>
      <c r="K573" s="15">
        <v>95</v>
      </c>
      <c r="L573" s="15">
        <v>30371599</v>
      </c>
      <c r="M573" t="s" s="13">
        <v>8119</v>
      </c>
      <c r="N573" s="15">
        <v>137218</v>
      </c>
      <c r="O573" s="17" cm="1">
        <f t="array" ref="O573">(H573-H572)/H572</f>
        <v>0.00131463628396144</v>
      </c>
    </row>
    <row r="574" ht="13.65" customHeight="1">
      <c r="A574" s="18">
        <v>45098</v>
      </c>
      <c r="B574" t="s" s="13">
        <v>22</v>
      </c>
      <c r="C574" s="15">
        <v>114.9</v>
      </c>
      <c r="D574" s="15">
        <v>114.9</v>
      </c>
      <c r="E574" s="15">
        <v>112.85</v>
      </c>
      <c r="F574" s="15">
        <v>114.25</v>
      </c>
      <c r="G574" s="15">
        <v>113.95</v>
      </c>
      <c r="H574" s="15">
        <v>113.9</v>
      </c>
      <c r="I574" s="15">
        <v>113.68</v>
      </c>
      <c r="J574" s="15">
        <v>976.7</v>
      </c>
      <c r="K574" s="15">
        <v>95</v>
      </c>
      <c r="L574" s="15">
        <v>35627983</v>
      </c>
      <c r="M574" t="s" s="13">
        <v>8120</v>
      </c>
      <c r="N574" s="15">
        <v>141248</v>
      </c>
      <c r="O574" s="17" cm="1">
        <f t="array" ref="O574">(H574-H573)/H573</f>
        <v>-0.00306345733041575</v>
      </c>
    </row>
    <row r="575" ht="13.65" customHeight="1">
      <c r="A575" s="18">
        <v>45099</v>
      </c>
      <c r="B575" t="s" s="13">
        <v>22</v>
      </c>
      <c r="C575" s="15">
        <v>110.6</v>
      </c>
      <c r="D575" s="15">
        <v>112.2</v>
      </c>
      <c r="E575" s="15">
        <v>110.55</v>
      </c>
      <c r="F575" s="15">
        <v>113.9</v>
      </c>
      <c r="G575" s="15">
        <v>111.2</v>
      </c>
      <c r="H575" s="15">
        <v>111.1</v>
      </c>
      <c r="I575" s="15">
        <v>111.38</v>
      </c>
      <c r="J575" s="15">
        <v>976.7</v>
      </c>
      <c r="K575" s="15">
        <v>95</v>
      </c>
      <c r="L575" s="15">
        <v>34769987</v>
      </c>
      <c r="M575" t="s" s="13">
        <v>8121</v>
      </c>
      <c r="N575" s="15">
        <v>153503</v>
      </c>
      <c r="O575" s="17" cm="1">
        <f t="array" ref="O575">(H575-H574)/H574</f>
        <v>-0.0245829675153644</v>
      </c>
    </row>
    <row r="576" ht="13.65" customHeight="1">
      <c r="A576" s="18">
        <v>45100</v>
      </c>
      <c r="B576" t="s" s="13">
        <v>22</v>
      </c>
      <c r="C576" s="15">
        <v>110.5</v>
      </c>
      <c r="D576" s="15">
        <v>110.75</v>
      </c>
      <c r="E576" s="15">
        <v>109.2</v>
      </c>
      <c r="F576" s="15">
        <v>111.1</v>
      </c>
      <c r="G576" s="15">
        <v>109.35</v>
      </c>
      <c r="H576" s="15">
        <v>109.6</v>
      </c>
      <c r="I576" s="15">
        <v>109.97</v>
      </c>
      <c r="J576" s="15">
        <v>976.7</v>
      </c>
      <c r="K576" s="15">
        <v>95</v>
      </c>
      <c r="L576" s="15">
        <v>22190233</v>
      </c>
      <c r="M576" t="s" s="13">
        <v>8122</v>
      </c>
      <c r="N576" s="15">
        <v>112770</v>
      </c>
      <c r="O576" s="17" cm="1">
        <f t="array" ref="O576">(H576-H575)/H575</f>
        <v>-0.0135013501350135</v>
      </c>
    </row>
    <row r="577" ht="13.65" customHeight="1">
      <c r="A577" s="18">
        <v>45103</v>
      </c>
      <c r="B577" t="s" s="13">
        <v>22</v>
      </c>
      <c r="C577" s="15">
        <v>109.6</v>
      </c>
      <c r="D577" s="15">
        <v>110.2</v>
      </c>
      <c r="E577" s="15">
        <v>108.1</v>
      </c>
      <c r="F577" s="15">
        <v>109.6</v>
      </c>
      <c r="G577" s="15">
        <v>110.2</v>
      </c>
      <c r="H577" s="15">
        <v>109.85</v>
      </c>
      <c r="I577" s="15">
        <v>109.1</v>
      </c>
      <c r="J577" s="15">
        <v>976.7</v>
      </c>
      <c r="K577" s="15">
        <v>95</v>
      </c>
      <c r="L577" s="15">
        <v>25332751</v>
      </c>
      <c r="M577" t="s" s="13">
        <v>8123</v>
      </c>
      <c r="N577" s="15">
        <v>129004</v>
      </c>
      <c r="O577" s="17" cm="1">
        <f t="array" ref="O577">(H577-H576)/H576</f>
        <v>0.00228102189781022</v>
      </c>
    </row>
    <row r="578" ht="13.65" customHeight="1">
      <c r="A578" s="18">
        <v>45104</v>
      </c>
      <c r="B578" t="s" s="13">
        <v>22</v>
      </c>
      <c r="C578" s="15">
        <v>110.6</v>
      </c>
      <c r="D578" s="15">
        <v>111.5</v>
      </c>
      <c r="E578" s="15">
        <v>110.15</v>
      </c>
      <c r="F578" s="15">
        <v>109.85</v>
      </c>
      <c r="G578" s="15">
        <v>110.9</v>
      </c>
      <c r="H578" s="15">
        <v>110.75</v>
      </c>
      <c r="I578" s="15">
        <v>110.86</v>
      </c>
      <c r="J578" s="15">
        <v>976.7</v>
      </c>
      <c r="K578" s="15">
        <v>95</v>
      </c>
      <c r="L578" s="15">
        <v>24129403</v>
      </c>
      <c r="M578" t="s" s="13">
        <v>8124</v>
      </c>
      <c r="N578" s="15">
        <v>138795</v>
      </c>
      <c r="O578" s="17" cm="1">
        <f t="array" ref="O578">(H578-H577)/H577</f>
        <v>0.00819299044151115</v>
      </c>
    </row>
    <row r="579" ht="13.65" customHeight="1">
      <c r="A579" s="18">
        <v>45105</v>
      </c>
      <c r="B579" t="s" s="13">
        <v>22</v>
      </c>
      <c r="C579" s="15">
        <v>111.5</v>
      </c>
      <c r="D579" s="15">
        <v>112.05</v>
      </c>
      <c r="E579" s="15">
        <v>110.9</v>
      </c>
      <c r="F579" s="15">
        <v>110.75</v>
      </c>
      <c r="G579" s="15">
        <v>111.65</v>
      </c>
      <c r="H579" s="15">
        <v>111.55</v>
      </c>
      <c r="I579" s="15">
        <v>111.54</v>
      </c>
      <c r="J579" s="15">
        <v>976.7</v>
      </c>
      <c r="K579" s="15">
        <v>95</v>
      </c>
      <c r="L579" s="15">
        <v>23895274</v>
      </c>
      <c r="M579" t="s" s="13">
        <v>8125</v>
      </c>
      <c r="N579" s="15">
        <v>123251</v>
      </c>
      <c r="O579" s="17" cm="1">
        <f t="array" ref="O579">(H579-H578)/H578</f>
        <v>0.0072234762979684</v>
      </c>
    </row>
    <row r="580" ht="13.65" customHeight="1">
      <c r="A580" s="18">
        <v>45107</v>
      </c>
      <c r="B580" t="s" s="13">
        <v>22</v>
      </c>
      <c r="C580" s="15">
        <v>111.6</v>
      </c>
      <c r="D580" s="15">
        <v>112.2</v>
      </c>
      <c r="E580" s="15">
        <v>110.4</v>
      </c>
      <c r="F580" s="15">
        <v>111.55</v>
      </c>
      <c r="G580" s="15">
        <v>112</v>
      </c>
      <c r="H580" s="15">
        <v>112</v>
      </c>
      <c r="I580" s="15">
        <v>111.64</v>
      </c>
      <c r="J580" s="15">
        <v>976.7</v>
      </c>
      <c r="K580" s="15">
        <v>95</v>
      </c>
      <c r="L580" s="15">
        <v>26741918</v>
      </c>
      <c r="M580" t="s" s="13">
        <v>8126</v>
      </c>
      <c r="N580" s="15">
        <v>129098</v>
      </c>
      <c r="O580" s="17" cm="1">
        <f t="array" ref="O580">(H580-H579)/H579</f>
        <v>0.00403406544150605</v>
      </c>
    </row>
    <row r="581" ht="13.65" customHeight="1">
      <c r="A581" s="12">
        <v>45110</v>
      </c>
      <c r="B581" t="s" s="13">
        <v>22</v>
      </c>
      <c r="C581" s="15">
        <v>112.25</v>
      </c>
      <c r="D581" s="15">
        <v>114.25</v>
      </c>
      <c r="E581" s="15">
        <v>112.05</v>
      </c>
      <c r="F581" s="15">
        <v>112</v>
      </c>
      <c r="G581" s="15">
        <v>113</v>
      </c>
      <c r="H581" s="15">
        <v>113.1</v>
      </c>
      <c r="I581" s="15">
        <v>113.38</v>
      </c>
      <c r="J581" s="15">
        <v>976.7</v>
      </c>
      <c r="K581" s="15">
        <v>95</v>
      </c>
      <c r="L581" s="15">
        <v>30979256</v>
      </c>
      <c r="M581" t="s" s="13">
        <v>8127</v>
      </c>
      <c r="N581" s="15">
        <v>137687</v>
      </c>
      <c r="O581" s="17" cm="1">
        <f t="array" ref="O581">(H581-H580)/H580</f>
        <v>0.009821428571428569</v>
      </c>
    </row>
    <row r="582" ht="13.65" customHeight="1">
      <c r="A582" s="12">
        <v>45111</v>
      </c>
      <c r="B582" t="s" s="13">
        <v>22</v>
      </c>
      <c r="C582" s="15">
        <v>113.2</v>
      </c>
      <c r="D582" s="15">
        <v>113.4</v>
      </c>
      <c r="E582" s="15">
        <v>112.1</v>
      </c>
      <c r="F582" s="15">
        <v>113.1</v>
      </c>
      <c r="G582" s="15">
        <v>112.35</v>
      </c>
      <c r="H582" s="15">
        <v>112.4</v>
      </c>
      <c r="I582" s="15">
        <v>112.66</v>
      </c>
      <c r="J582" s="15">
        <v>976.7</v>
      </c>
      <c r="K582" s="15">
        <v>95</v>
      </c>
      <c r="L582" s="15">
        <v>25080307</v>
      </c>
      <c r="M582" t="s" s="13">
        <v>8128</v>
      </c>
      <c r="N582" s="15">
        <v>124580</v>
      </c>
      <c r="O582" s="17" cm="1">
        <f t="array" ref="O582">(H582-H581)/H581</f>
        <v>-0.00618921308576481</v>
      </c>
    </row>
    <row r="583" ht="13.65" customHeight="1">
      <c r="A583" s="12">
        <v>45112</v>
      </c>
      <c r="B583" t="s" s="13">
        <v>22</v>
      </c>
      <c r="C583" s="15">
        <v>112.55</v>
      </c>
      <c r="D583" s="15">
        <v>113.55</v>
      </c>
      <c r="E583" s="15">
        <v>112.2</v>
      </c>
      <c r="F583" s="15">
        <v>112.4</v>
      </c>
      <c r="G583" s="15">
        <v>112.9</v>
      </c>
      <c r="H583" s="15">
        <v>112.95</v>
      </c>
      <c r="I583" s="15">
        <v>112.97</v>
      </c>
      <c r="J583" s="15">
        <v>976.7</v>
      </c>
      <c r="K583" s="15">
        <v>95</v>
      </c>
      <c r="L583" s="15">
        <v>27877180</v>
      </c>
      <c r="M583" t="s" s="13">
        <v>8129</v>
      </c>
      <c r="N583" s="15">
        <v>119567</v>
      </c>
      <c r="O583" s="17" cm="1">
        <f t="array" ref="O583">(H583-H582)/H582</f>
        <v>0.0048932384341637</v>
      </c>
    </row>
    <row r="584" ht="13.65" customHeight="1">
      <c r="A584" s="12">
        <v>45113</v>
      </c>
      <c r="B584" t="s" s="13">
        <v>22</v>
      </c>
      <c r="C584" s="15">
        <v>112</v>
      </c>
      <c r="D584" s="15">
        <v>112.85</v>
      </c>
      <c r="E584" s="15">
        <v>111.5</v>
      </c>
      <c r="F584" s="15">
        <v>112.95</v>
      </c>
      <c r="G584" s="15">
        <v>112.65</v>
      </c>
      <c r="H584" s="15">
        <v>112.65</v>
      </c>
      <c r="I584" s="15">
        <v>112.15</v>
      </c>
      <c r="J584" s="15">
        <v>976.7</v>
      </c>
      <c r="K584" s="15">
        <v>95</v>
      </c>
      <c r="L584" s="15">
        <v>34320086</v>
      </c>
      <c r="M584" t="s" s="13">
        <v>8130</v>
      </c>
      <c r="N584" s="15">
        <v>138042</v>
      </c>
      <c r="O584" s="17" cm="1">
        <f t="array" ref="O584">(H584-H583)/H583</f>
        <v>-0.00265604249667995</v>
      </c>
    </row>
    <row r="585" ht="13.65" customHeight="1">
      <c r="A585" s="12">
        <v>45114</v>
      </c>
      <c r="B585" t="s" s="13">
        <v>22</v>
      </c>
      <c r="C585" s="15">
        <v>112</v>
      </c>
      <c r="D585" s="15">
        <v>113.3</v>
      </c>
      <c r="E585" s="15">
        <v>111.25</v>
      </c>
      <c r="F585" s="15">
        <v>112.65</v>
      </c>
      <c r="G585" s="15">
        <v>111.6</v>
      </c>
      <c r="H585" s="15">
        <v>111.6</v>
      </c>
      <c r="I585" s="15">
        <v>112.11</v>
      </c>
      <c r="J585" s="15">
        <v>976.7</v>
      </c>
      <c r="K585" s="15">
        <v>95</v>
      </c>
      <c r="L585" s="15">
        <v>30034274</v>
      </c>
      <c r="M585" t="s" s="13">
        <v>8131</v>
      </c>
      <c r="N585" s="15">
        <v>113689</v>
      </c>
      <c r="O585" s="17" cm="1">
        <f t="array" ref="O585">(H585-H584)/H584</f>
        <v>-0.00932090545938748</v>
      </c>
    </row>
    <row r="586" ht="13.65" customHeight="1">
      <c r="A586" s="18">
        <v>45117</v>
      </c>
      <c r="B586" t="s" s="13">
        <v>22</v>
      </c>
      <c r="C586" s="15">
        <v>112.25</v>
      </c>
      <c r="D586" s="15">
        <v>115.7</v>
      </c>
      <c r="E586" s="15">
        <v>111.65</v>
      </c>
      <c r="F586" s="15">
        <v>111.6</v>
      </c>
      <c r="G586" s="15">
        <v>115.25</v>
      </c>
      <c r="H586" s="15">
        <v>115.3</v>
      </c>
      <c r="I586" s="15">
        <v>114.48</v>
      </c>
      <c r="J586" s="15">
        <v>976.7</v>
      </c>
      <c r="K586" s="15">
        <v>95</v>
      </c>
      <c r="L586" s="15">
        <v>60652690</v>
      </c>
      <c r="M586" t="s" s="13">
        <v>8132</v>
      </c>
      <c r="N586" s="15">
        <v>219509</v>
      </c>
      <c r="O586" s="17" cm="1">
        <f t="array" ref="O586">(H586-H585)/H585</f>
        <v>0.0331541218637993</v>
      </c>
    </row>
    <row r="587" ht="13.65" customHeight="1">
      <c r="A587" s="18">
        <v>45118</v>
      </c>
      <c r="B587" t="s" s="13">
        <v>22</v>
      </c>
      <c r="C587" s="15">
        <v>115.6</v>
      </c>
      <c r="D587" s="15">
        <v>116.1</v>
      </c>
      <c r="E587" s="15">
        <v>114.8</v>
      </c>
      <c r="F587" s="15">
        <v>115.3</v>
      </c>
      <c r="G587" s="15">
        <v>115.1</v>
      </c>
      <c r="H587" s="15">
        <v>115.15</v>
      </c>
      <c r="I587" s="15">
        <v>115.43</v>
      </c>
      <c r="J587" s="15">
        <v>976.7</v>
      </c>
      <c r="K587" s="15">
        <v>95</v>
      </c>
      <c r="L587" s="15">
        <v>37999385</v>
      </c>
      <c r="M587" t="s" s="13">
        <v>8133</v>
      </c>
      <c r="N587" s="15">
        <v>192661</v>
      </c>
      <c r="O587" s="17" cm="1">
        <f t="array" ref="O587">(H587-H586)/H586</f>
        <v>-0.0013009540329575</v>
      </c>
    </row>
    <row r="588" ht="13.65" customHeight="1">
      <c r="A588" s="18">
        <v>45119</v>
      </c>
      <c r="B588" t="s" s="13">
        <v>22</v>
      </c>
      <c r="C588" s="15">
        <v>115.15</v>
      </c>
      <c r="D588" s="15">
        <v>116.05</v>
      </c>
      <c r="E588" s="15">
        <v>114</v>
      </c>
      <c r="F588" s="15">
        <v>115.15</v>
      </c>
      <c r="G588" s="15">
        <v>114.75</v>
      </c>
      <c r="H588" s="15">
        <v>114.7</v>
      </c>
      <c r="I588" s="15">
        <v>114.77</v>
      </c>
      <c r="J588" s="15">
        <v>976.7</v>
      </c>
      <c r="K588" s="15">
        <v>95</v>
      </c>
      <c r="L588" s="15">
        <v>32771204</v>
      </c>
      <c r="M588" t="s" s="13">
        <v>8134</v>
      </c>
      <c r="N588" s="15">
        <v>149737</v>
      </c>
      <c r="O588" s="17" cm="1">
        <f t="array" ref="O588">(H588-H587)/H587</f>
        <v>-0.00390794615718628</v>
      </c>
    </row>
    <row r="589" ht="13.65" customHeight="1">
      <c r="A589" s="18">
        <v>45120</v>
      </c>
      <c r="B589" t="s" s="13">
        <v>22</v>
      </c>
      <c r="C589" s="15">
        <v>116</v>
      </c>
      <c r="D589" s="15">
        <v>116.95</v>
      </c>
      <c r="E589" s="15">
        <v>114.5</v>
      </c>
      <c r="F589" s="15">
        <v>114.7</v>
      </c>
      <c r="G589" s="15">
        <v>114.95</v>
      </c>
      <c r="H589" s="15">
        <v>114.85</v>
      </c>
      <c r="I589" s="15">
        <v>115.73</v>
      </c>
      <c r="J589" s="15">
        <v>976.7</v>
      </c>
      <c r="K589" s="15">
        <v>95</v>
      </c>
      <c r="L589" s="15">
        <v>44847814</v>
      </c>
      <c r="M589" t="s" s="13">
        <v>8135</v>
      </c>
      <c r="N589" s="15">
        <v>161649</v>
      </c>
      <c r="O589" s="17" cm="1">
        <f t="array" ref="O589">(H589-H588)/H588</f>
        <v>0.0013077593722755</v>
      </c>
    </row>
    <row r="590" ht="13.65" customHeight="1">
      <c r="A590" s="18">
        <v>45121</v>
      </c>
      <c r="B590" t="s" s="13">
        <v>22</v>
      </c>
      <c r="C590" s="15">
        <v>115.7</v>
      </c>
      <c r="D590" s="15">
        <v>117.9</v>
      </c>
      <c r="E590" s="15">
        <v>114.8</v>
      </c>
      <c r="F590" s="15">
        <v>114.85</v>
      </c>
      <c r="G590" s="15">
        <v>117.65</v>
      </c>
      <c r="H590" s="15">
        <v>117.15</v>
      </c>
      <c r="I590" s="15">
        <v>116.26</v>
      </c>
      <c r="J590" s="15">
        <v>976.7</v>
      </c>
      <c r="K590" s="15">
        <v>95</v>
      </c>
      <c r="L590" s="15">
        <v>34521821</v>
      </c>
      <c r="M590" t="s" s="13">
        <v>8136</v>
      </c>
      <c r="N590" s="15">
        <v>138452</v>
      </c>
      <c r="O590" s="17" cm="1">
        <f t="array" ref="O590">(H590-H589)/H589</f>
        <v>0.0200261210274271</v>
      </c>
    </row>
    <row r="591" ht="13.65" customHeight="1">
      <c r="A591" s="18">
        <v>45124</v>
      </c>
      <c r="B591" t="s" s="13">
        <v>22</v>
      </c>
      <c r="C591" s="15">
        <v>117.95</v>
      </c>
      <c r="D591" s="15">
        <v>119.35</v>
      </c>
      <c r="E591" s="15">
        <v>117.1</v>
      </c>
      <c r="F591" s="15">
        <v>117.15</v>
      </c>
      <c r="G591" s="15">
        <v>117.8</v>
      </c>
      <c r="H591" s="15">
        <v>117.75</v>
      </c>
      <c r="I591" s="15">
        <v>118.34</v>
      </c>
      <c r="J591" s="15">
        <v>976.7</v>
      </c>
      <c r="K591" s="15">
        <v>95</v>
      </c>
      <c r="L591" s="15">
        <v>49115369</v>
      </c>
      <c r="M591" t="s" s="13">
        <v>8137</v>
      </c>
      <c r="N591" s="15">
        <v>196197</v>
      </c>
      <c r="O591" s="17" cm="1">
        <f t="array" ref="O591">(H591-H590)/H590</f>
        <v>0.00512163892445583</v>
      </c>
    </row>
    <row r="592" ht="13.65" customHeight="1">
      <c r="A592" s="18">
        <v>45125</v>
      </c>
      <c r="B592" t="s" s="13">
        <v>22</v>
      </c>
      <c r="C592" s="15">
        <v>118</v>
      </c>
      <c r="D592" s="15">
        <v>118.15</v>
      </c>
      <c r="E592" s="15">
        <v>116.4</v>
      </c>
      <c r="F592" s="15">
        <v>117.75</v>
      </c>
      <c r="G592" s="15">
        <v>116.6</v>
      </c>
      <c r="H592" s="15">
        <v>116.6</v>
      </c>
      <c r="I592" s="15">
        <v>117.09</v>
      </c>
      <c r="J592" s="15">
        <v>976.7</v>
      </c>
      <c r="K592" s="15">
        <v>95</v>
      </c>
      <c r="L592" s="15">
        <v>23433431</v>
      </c>
      <c r="M592" t="s" s="13">
        <v>8138</v>
      </c>
      <c r="N592" s="15">
        <v>124030</v>
      </c>
      <c r="O592" s="17" cm="1">
        <f t="array" ref="O592">(H592-H591)/H591</f>
        <v>-0.00976645435244161</v>
      </c>
    </row>
    <row r="593" ht="13.65" customHeight="1">
      <c r="A593" s="18">
        <v>45126</v>
      </c>
      <c r="B593" t="s" s="13">
        <v>22</v>
      </c>
      <c r="C593" s="15">
        <v>116.7</v>
      </c>
      <c r="D593" s="15">
        <v>117.2</v>
      </c>
      <c r="E593" s="15">
        <v>116.1</v>
      </c>
      <c r="F593" s="15">
        <v>116.6</v>
      </c>
      <c r="G593" s="15">
        <v>116.55</v>
      </c>
      <c r="H593" s="15">
        <v>116.7</v>
      </c>
      <c r="I593" s="15">
        <v>116.69</v>
      </c>
      <c r="J593" s="15">
        <v>976.7</v>
      </c>
      <c r="K593" s="15">
        <v>95</v>
      </c>
      <c r="L593" s="15">
        <v>17222355</v>
      </c>
      <c r="M593" t="s" s="13">
        <v>8139</v>
      </c>
      <c r="N593" s="15">
        <v>112312</v>
      </c>
      <c r="O593" s="17" cm="1">
        <f t="array" ref="O593">(H593-H592)/H592</f>
        <v>0.000857632933104631</v>
      </c>
    </row>
    <row r="594" ht="13.65" customHeight="1">
      <c r="A594" s="18">
        <v>45127</v>
      </c>
      <c r="B594" t="s" s="13">
        <v>22</v>
      </c>
      <c r="C594" s="15">
        <v>116.7</v>
      </c>
      <c r="D594" s="15">
        <v>117.25</v>
      </c>
      <c r="E594" s="15">
        <v>116.35</v>
      </c>
      <c r="F594" s="15">
        <v>116.7</v>
      </c>
      <c r="G594" s="15">
        <v>116.9</v>
      </c>
      <c r="H594" s="15">
        <v>116.95</v>
      </c>
      <c r="I594" s="15">
        <v>116.87</v>
      </c>
      <c r="J594" s="15">
        <v>976.7</v>
      </c>
      <c r="K594" s="15">
        <v>95</v>
      </c>
      <c r="L594" s="15">
        <v>22303831</v>
      </c>
      <c r="M594" t="s" s="13">
        <v>8140</v>
      </c>
      <c r="N594" s="15">
        <v>106969</v>
      </c>
      <c r="O594" s="17" cm="1">
        <f t="array" ref="O594">(H594-H593)/H593</f>
        <v>0.00214224507283633</v>
      </c>
    </row>
    <row r="595" ht="13.65" customHeight="1">
      <c r="A595" s="18">
        <v>45128</v>
      </c>
      <c r="B595" t="s" s="13">
        <v>22</v>
      </c>
      <c r="C595" s="15">
        <v>116.6</v>
      </c>
      <c r="D595" s="15">
        <v>117.95</v>
      </c>
      <c r="E595" s="15">
        <v>115.5</v>
      </c>
      <c r="F595" s="15">
        <v>116.95</v>
      </c>
      <c r="G595" s="15">
        <v>116.7</v>
      </c>
      <c r="H595" s="15">
        <v>116.6</v>
      </c>
      <c r="I595" s="15">
        <v>116.65</v>
      </c>
      <c r="J595" s="15">
        <v>976.7</v>
      </c>
      <c r="K595" s="15">
        <v>95</v>
      </c>
      <c r="L595" s="15">
        <v>31546136</v>
      </c>
      <c r="M595" t="s" s="13">
        <v>8141</v>
      </c>
      <c r="N595" s="15">
        <v>126664</v>
      </c>
      <c r="O595" s="17" cm="1">
        <f t="array" ref="O595">(H595-H594)/H594</f>
        <v>-0.0029927319367251</v>
      </c>
    </row>
    <row r="596" ht="13.65" customHeight="1">
      <c r="A596" s="18">
        <v>45131</v>
      </c>
      <c r="B596" t="s" s="13">
        <v>22</v>
      </c>
      <c r="C596" s="15">
        <v>116.5</v>
      </c>
      <c r="D596" s="15">
        <v>116.5</v>
      </c>
      <c r="E596" s="15">
        <v>114.35</v>
      </c>
      <c r="F596" s="15">
        <v>116.6</v>
      </c>
      <c r="G596" s="15">
        <v>115.25</v>
      </c>
      <c r="H596" s="15">
        <v>115.5</v>
      </c>
      <c r="I596" s="15">
        <v>115.37</v>
      </c>
      <c r="J596" s="15">
        <v>976.7</v>
      </c>
      <c r="K596" s="15">
        <v>95</v>
      </c>
      <c r="L596" s="15">
        <v>38113555</v>
      </c>
      <c r="M596" t="s" s="13">
        <v>8142</v>
      </c>
      <c r="N596" s="15">
        <v>166031</v>
      </c>
      <c r="O596" s="17" cm="1">
        <f t="array" ref="O596">(H596-H595)/H595</f>
        <v>-0.00943396226415094</v>
      </c>
    </row>
    <row r="597" ht="13.65" customHeight="1">
      <c r="A597" s="18">
        <v>45132</v>
      </c>
      <c r="B597" t="s" s="13">
        <v>22</v>
      </c>
      <c r="C597" s="15">
        <v>115</v>
      </c>
      <c r="D597" s="15">
        <v>119.9</v>
      </c>
      <c r="E597" s="15">
        <v>114.35</v>
      </c>
      <c r="F597" s="15">
        <v>115.5</v>
      </c>
      <c r="G597" s="15">
        <v>119.1</v>
      </c>
      <c r="H597" s="15">
        <v>119.25</v>
      </c>
      <c r="I597" s="15">
        <v>118.27</v>
      </c>
      <c r="J597" s="15">
        <v>976.7</v>
      </c>
      <c r="K597" s="15">
        <v>95</v>
      </c>
      <c r="L597" s="15">
        <v>88035259</v>
      </c>
      <c r="M597" t="s" s="13">
        <v>8143</v>
      </c>
      <c r="N597" s="15">
        <v>290928</v>
      </c>
      <c r="O597" s="17" cm="1">
        <f t="array" ref="O597">(H597-H596)/H596</f>
        <v>0.0324675324675325</v>
      </c>
    </row>
    <row r="598" ht="13.65" customHeight="1">
      <c r="A598" s="18">
        <v>45133</v>
      </c>
      <c r="B598" t="s" s="13">
        <v>22</v>
      </c>
      <c r="C598" s="15">
        <v>119.8</v>
      </c>
      <c r="D598" s="15">
        <v>120.6</v>
      </c>
      <c r="E598" s="15">
        <v>118.85</v>
      </c>
      <c r="F598" s="15">
        <v>119.25</v>
      </c>
      <c r="G598" s="15">
        <v>119.85</v>
      </c>
      <c r="H598" s="15">
        <v>119.95</v>
      </c>
      <c r="I598" s="15">
        <v>119.81</v>
      </c>
      <c r="J598" s="15">
        <v>976.7</v>
      </c>
      <c r="K598" s="15">
        <v>95</v>
      </c>
      <c r="L598" s="15">
        <v>29716336</v>
      </c>
      <c r="M598" t="s" s="13">
        <v>8144</v>
      </c>
      <c r="N598" s="15">
        <v>166824</v>
      </c>
      <c r="O598" s="17" cm="1">
        <f t="array" ref="O598">(H598-H597)/H597</f>
        <v>0.00587002096436059</v>
      </c>
    </row>
    <row r="599" ht="13.65" customHeight="1">
      <c r="A599" s="18">
        <v>45134</v>
      </c>
      <c r="B599" t="s" s="13">
        <v>22</v>
      </c>
      <c r="C599" s="15">
        <v>120.25</v>
      </c>
      <c r="D599" s="15">
        <v>121.45</v>
      </c>
      <c r="E599" s="15">
        <v>119.15</v>
      </c>
      <c r="F599" s="15">
        <v>119.95</v>
      </c>
      <c r="G599" s="15">
        <v>120.3</v>
      </c>
      <c r="H599" s="15">
        <v>119.8</v>
      </c>
      <c r="I599" s="15">
        <v>120.27</v>
      </c>
      <c r="J599" s="15">
        <v>976.7</v>
      </c>
      <c r="K599" s="15">
        <v>95</v>
      </c>
      <c r="L599" s="15">
        <v>39664251</v>
      </c>
      <c r="M599" t="s" s="13">
        <v>8145</v>
      </c>
      <c r="N599" s="15">
        <v>155050</v>
      </c>
      <c r="O599" s="17" cm="1">
        <f t="array" ref="O599">(H599-H598)/H598</f>
        <v>-0.00125052105043768</v>
      </c>
    </row>
    <row r="600" ht="13.65" customHeight="1">
      <c r="A600" s="18">
        <v>45135</v>
      </c>
      <c r="B600" t="s" s="13">
        <v>22</v>
      </c>
      <c r="C600" s="15">
        <v>120.2</v>
      </c>
      <c r="D600" s="15">
        <v>121.1</v>
      </c>
      <c r="E600" s="15">
        <v>118.7</v>
      </c>
      <c r="F600" s="15">
        <v>119.8</v>
      </c>
      <c r="G600" s="15">
        <v>120.5</v>
      </c>
      <c r="H600" s="15">
        <v>120.6</v>
      </c>
      <c r="I600" s="15">
        <v>119.93</v>
      </c>
      <c r="J600" s="15">
        <v>976.7</v>
      </c>
      <c r="K600" s="15">
        <v>95</v>
      </c>
      <c r="L600" s="15">
        <v>33996691</v>
      </c>
      <c r="M600" t="s" s="13">
        <v>8146</v>
      </c>
      <c r="N600" s="15">
        <v>140641</v>
      </c>
      <c r="O600" s="17" cm="1">
        <f t="array" ref="O600">(H600-H599)/H599</f>
        <v>0.00667779632721202</v>
      </c>
    </row>
    <row r="601" ht="13.65" customHeight="1">
      <c r="A601" s="18">
        <v>45138</v>
      </c>
      <c r="B601" t="s" s="13">
        <v>22</v>
      </c>
      <c r="C601" s="15">
        <v>120.6</v>
      </c>
      <c r="D601" s="15">
        <v>123.85</v>
      </c>
      <c r="E601" s="15">
        <v>120.6</v>
      </c>
      <c r="F601" s="15">
        <v>120.6</v>
      </c>
      <c r="G601" s="15">
        <v>122.85</v>
      </c>
      <c r="H601" s="15">
        <v>123.15</v>
      </c>
      <c r="I601" s="15">
        <v>122.85</v>
      </c>
      <c r="J601" s="15">
        <v>124.3</v>
      </c>
      <c r="K601" s="15">
        <v>95</v>
      </c>
      <c r="L601" s="15">
        <v>52330311</v>
      </c>
      <c r="M601" t="s" s="13">
        <v>8147</v>
      </c>
      <c r="N601" s="15">
        <v>223916</v>
      </c>
      <c r="O601" s="17" cm="1">
        <f t="array" ref="O601">(H601-H600)/H600</f>
        <v>0.0211442786069652</v>
      </c>
    </row>
    <row r="602" ht="13.65" customHeight="1">
      <c r="A602" s="12">
        <v>45139</v>
      </c>
      <c r="B602" t="s" s="13">
        <v>22</v>
      </c>
      <c r="C602" s="15">
        <v>123.55</v>
      </c>
      <c r="D602" s="15">
        <v>124.15</v>
      </c>
      <c r="E602" s="15">
        <v>122.55</v>
      </c>
      <c r="F602" s="15">
        <v>123.15</v>
      </c>
      <c r="G602" s="15">
        <v>123.15</v>
      </c>
      <c r="H602" s="15">
        <v>123.2</v>
      </c>
      <c r="I602" s="15">
        <v>123.36</v>
      </c>
      <c r="J602" s="15">
        <v>124.3</v>
      </c>
      <c r="K602" s="15">
        <v>95</v>
      </c>
      <c r="L602" s="15">
        <v>27863562</v>
      </c>
      <c r="M602" t="s" s="13">
        <v>8148</v>
      </c>
      <c r="N602" s="15">
        <v>152455</v>
      </c>
      <c r="O602" s="17" cm="1">
        <f t="array" ref="O602">(H602-H601)/H601</f>
        <v>0.000406008932196508</v>
      </c>
    </row>
    <row r="603" ht="13.65" customHeight="1">
      <c r="A603" s="12">
        <v>45140</v>
      </c>
      <c r="B603" t="s" s="13">
        <v>22</v>
      </c>
      <c r="C603" s="15">
        <v>122.9</v>
      </c>
      <c r="D603" s="15">
        <v>122.9</v>
      </c>
      <c r="E603" s="15">
        <v>118.25</v>
      </c>
      <c r="F603" s="15">
        <v>123.2</v>
      </c>
      <c r="G603" s="15">
        <v>119.2</v>
      </c>
      <c r="H603" s="15">
        <v>118.95</v>
      </c>
      <c r="I603" s="15">
        <v>119.89</v>
      </c>
      <c r="J603" s="15">
        <v>124.3</v>
      </c>
      <c r="K603" s="15">
        <v>95</v>
      </c>
      <c r="L603" s="15">
        <v>54951586</v>
      </c>
      <c r="M603" t="s" s="13">
        <v>8149</v>
      </c>
      <c r="N603" s="15">
        <v>240403</v>
      </c>
      <c r="O603" s="17" cm="1">
        <f t="array" ref="O603">(H603-H602)/H602</f>
        <v>-0.0344967532467532</v>
      </c>
    </row>
    <row r="604" ht="13.65" customHeight="1">
      <c r="A604" s="12">
        <v>45141</v>
      </c>
      <c r="B604" t="s" s="13">
        <v>22</v>
      </c>
      <c r="C604" s="15">
        <v>118.7</v>
      </c>
      <c r="D604" s="15">
        <v>119.65</v>
      </c>
      <c r="E604" s="15">
        <v>117.5</v>
      </c>
      <c r="F604" s="15">
        <v>118.95</v>
      </c>
      <c r="G604" s="15">
        <v>118.6</v>
      </c>
      <c r="H604" s="15">
        <v>118.2</v>
      </c>
      <c r="I604" s="15">
        <v>118.24</v>
      </c>
      <c r="J604" s="15">
        <v>124.3</v>
      </c>
      <c r="K604" s="15">
        <v>95</v>
      </c>
      <c r="L604" s="15">
        <v>34624188</v>
      </c>
      <c r="M604" t="s" s="13">
        <v>8150</v>
      </c>
      <c r="N604" s="15">
        <v>196496</v>
      </c>
      <c r="O604" s="17" cm="1">
        <f t="array" ref="O604">(H604-H603)/H603</f>
        <v>-0.00630517023959647</v>
      </c>
    </row>
    <row r="605" ht="13.65" customHeight="1">
      <c r="A605" s="12">
        <v>45142</v>
      </c>
      <c r="B605" t="s" s="13">
        <v>22</v>
      </c>
      <c r="C605" s="15">
        <v>119.4</v>
      </c>
      <c r="D605" s="15">
        <v>119.75</v>
      </c>
      <c r="E605" s="15">
        <v>118</v>
      </c>
      <c r="F605" s="15">
        <v>118.2</v>
      </c>
      <c r="G605" s="15">
        <v>119</v>
      </c>
      <c r="H605" s="15">
        <v>119</v>
      </c>
      <c r="I605" s="15">
        <v>118.93</v>
      </c>
      <c r="J605" s="15">
        <v>124.3</v>
      </c>
      <c r="K605" s="15">
        <v>95</v>
      </c>
      <c r="L605" s="15">
        <v>22303966</v>
      </c>
      <c r="M605" t="s" s="13">
        <v>8151</v>
      </c>
      <c r="N605" s="15">
        <v>114669</v>
      </c>
      <c r="O605" s="17" cm="1">
        <f t="array" ref="O605">(H605-H604)/H604</f>
        <v>0.00676818950930626</v>
      </c>
    </row>
    <row r="606" ht="13.65" customHeight="1">
      <c r="A606" s="12">
        <v>45145</v>
      </c>
      <c r="B606" t="s" s="13">
        <v>22</v>
      </c>
      <c r="C606" s="15">
        <v>119.6</v>
      </c>
      <c r="D606" s="15">
        <v>119.6</v>
      </c>
      <c r="E606" s="15">
        <v>118</v>
      </c>
      <c r="F606" s="15">
        <v>119</v>
      </c>
      <c r="G606" s="15">
        <v>118.6</v>
      </c>
      <c r="H606" s="15">
        <v>118.85</v>
      </c>
      <c r="I606" s="15">
        <v>118.73</v>
      </c>
      <c r="J606" s="15">
        <v>124.3</v>
      </c>
      <c r="K606" s="15">
        <v>95</v>
      </c>
      <c r="L606" s="15">
        <v>20711952</v>
      </c>
      <c r="M606" t="s" s="13">
        <v>8152</v>
      </c>
      <c r="N606" s="15">
        <v>133643</v>
      </c>
      <c r="O606" s="17" cm="1">
        <f t="array" ref="O606">(H606-H605)/H605</f>
        <v>-0.00126050420168067</v>
      </c>
    </row>
    <row r="607" ht="13.65" customHeight="1">
      <c r="A607" s="12">
        <v>45146</v>
      </c>
      <c r="B607" t="s" s="13">
        <v>22</v>
      </c>
      <c r="C607" s="15">
        <v>119</v>
      </c>
      <c r="D607" s="15">
        <v>119.5</v>
      </c>
      <c r="E607" s="15">
        <v>117.95</v>
      </c>
      <c r="F607" s="15">
        <v>118.85</v>
      </c>
      <c r="G607" s="15">
        <v>118.15</v>
      </c>
      <c r="H607" s="15">
        <v>118.15</v>
      </c>
      <c r="I607" s="15">
        <v>118.51</v>
      </c>
      <c r="J607" s="15">
        <v>124.3</v>
      </c>
      <c r="K607" s="15">
        <v>95</v>
      </c>
      <c r="L607" s="15">
        <v>21275054</v>
      </c>
      <c r="M607" t="s" s="13">
        <v>8153</v>
      </c>
      <c r="N607" s="15">
        <v>122839</v>
      </c>
      <c r="O607" s="17" cm="1">
        <f t="array" ref="O607">(H607-H606)/H606</f>
        <v>-0.00588977702986958</v>
      </c>
    </row>
    <row r="608" ht="13.65" customHeight="1">
      <c r="A608" s="12">
        <v>45147</v>
      </c>
      <c r="B608" t="s" s="13">
        <v>22</v>
      </c>
      <c r="C608" s="15">
        <v>118.35</v>
      </c>
      <c r="D608" s="15">
        <v>120.5</v>
      </c>
      <c r="E608" s="15">
        <v>116.9</v>
      </c>
      <c r="F608" s="15">
        <v>118.15</v>
      </c>
      <c r="G608" s="15">
        <v>120.4</v>
      </c>
      <c r="H608" s="15">
        <v>120.2</v>
      </c>
      <c r="I608" s="15">
        <v>118.53</v>
      </c>
      <c r="J608" s="15">
        <v>124.3</v>
      </c>
      <c r="K608" s="15">
        <v>95</v>
      </c>
      <c r="L608" s="15">
        <v>34154214</v>
      </c>
      <c r="M608" t="s" s="13">
        <v>8154</v>
      </c>
      <c r="N608" s="15">
        <v>146911</v>
      </c>
      <c r="O608" s="17" cm="1">
        <f t="array" ref="O608">(H608-H607)/H607</f>
        <v>0.0173508252221752</v>
      </c>
    </row>
    <row r="609" ht="13.65" customHeight="1">
      <c r="A609" s="18">
        <v>45148</v>
      </c>
      <c r="B609" t="s" s="13">
        <v>22</v>
      </c>
      <c r="C609" s="15">
        <v>120</v>
      </c>
      <c r="D609" s="15">
        <v>120.65</v>
      </c>
      <c r="E609" s="15">
        <v>119.25</v>
      </c>
      <c r="F609" s="15">
        <v>120.2</v>
      </c>
      <c r="G609" s="15">
        <v>120</v>
      </c>
      <c r="H609" s="15">
        <v>120</v>
      </c>
      <c r="I609" s="15">
        <v>119.92</v>
      </c>
      <c r="J609" s="15">
        <v>124.3</v>
      </c>
      <c r="K609" s="15">
        <v>95</v>
      </c>
      <c r="L609" s="15">
        <v>24439101</v>
      </c>
      <c r="M609" t="s" s="13">
        <v>8155</v>
      </c>
      <c r="N609" s="15">
        <v>140513</v>
      </c>
      <c r="O609" s="17" cm="1">
        <f t="array" ref="O609">(H609-H608)/H608</f>
        <v>-0.00166389351081531</v>
      </c>
    </row>
    <row r="610" ht="13.65" customHeight="1">
      <c r="A610" s="18">
        <v>45149</v>
      </c>
      <c r="B610" t="s" s="13">
        <v>22</v>
      </c>
      <c r="C610" s="15">
        <v>120.3</v>
      </c>
      <c r="D610" s="15">
        <v>121.4</v>
      </c>
      <c r="E610" s="15">
        <v>119.15</v>
      </c>
      <c r="F610" s="15">
        <v>120</v>
      </c>
      <c r="G610" s="15">
        <v>120.55</v>
      </c>
      <c r="H610" s="15">
        <v>120.3</v>
      </c>
      <c r="I610" s="15">
        <v>120.43</v>
      </c>
      <c r="J610" s="15">
        <v>124.3</v>
      </c>
      <c r="K610" s="15">
        <v>95</v>
      </c>
      <c r="L610" s="15">
        <v>26337436</v>
      </c>
      <c r="M610" t="s" s="13">
        <v>8156</v>
      </c>
      <c r="N610" s="15">
        <v>144366</v>
      </c>
      <c r="O610" s="17" cm="1">
        <f t="array" ref="O610">(H610-H609)/H609</f>
        <v>0.0025</v>
      </c>
    </row>
    <row r="611" ht="13.65" customHeight="1">
      <c r="A611" s="18">
        <v>45152</v>
      </c>
      <c r="B611" t="s" s="13">
        <v>22</v>
      </c>
      <c r="C611" s="15">
        <v>120.3</v>
      </c>
      <c r="D611" s="15">
        <v>120.4</v>
      </c>
      <c r="E611" s="15">
        <v>117.35</v>
      </c>
      <c r="F611" s="15">
        <v>120.3</v>
      </c>
      <c r="G611" s="15">
        <v>117.85</v>
      </c>
      <c r="H611" s="15">
        <v>118.15</v>
      </c>
      <c r="I611" s="15">
        <v>118.23</v>
      </c>
      <c r="J611" s="15">
        <v>124.3</v>
      </c>
      <c r="K611" s="15">
        <v>95</v>
      </c>
      <c r="L611" s="15">
        <v>33095516</v>
      </c>
      <c r="M611" t="s" s="13">
        <v>8157</v>
      </c>
      <c r="N611" s="15">
        <v>167262</v>
      </c>
      <c r="O611" s="17" cm="1">
        <f t="array" ref="O611">(H611-H610)/H610</f>
        <v>-0.0178719866999169</v>
      </c>
    </row>
    <row r="612" ht="13.65" customHeight="1">
      <c r="A612" s="18">
        <v>45154</v>
      </c>
      <c r="B612" t="s" s="13">
        <v>22</v>
      </c>
      <c r="C612" s="15">
        <v>117.95</v>
      </c>
      <c r="D612" s="15">
        <v>117.95</v>
      </c>
      <c r="E612" s="15">
        <v>115.4</v>
      </c>
      <c r="F612" s="15">
        <v>118.15</v>
      </c>
      <c r="G612" s="15">
        <v>115.9</v>
      </c>
      <c r="H612" s="15">
        <v>115.95</v>
      </c>
      <c r="I612" s="15">
        <v>116.22</v>
      </c>
      <c r="J612" s="15">
        <v>124.3</v>
      </c>
      <c r="K612" s="15">
        <v>95</v>
      </c>
      <c r="L612" s="15">
        <v>31252473</v>
      </c>
      <c r="M612" t="s" s="13">
        <v>8158</v>
      </c>
      <c r="N612" s="15">
        <v>169033</v>
      </c>
      <c r="O612" s="17" cm="1">
        <f t="array" ref="O612">(H612-H611)/H611</f>
        <v>-0.0186203977994075</v>
      </c>
    </row>
    <row r="613" ht="13.65" customHeight="1">
      <c r="A613" s="18">
        <v>45155</v>
      </c>
      <c r="B613" t="s" s="13">
        <v>22</v>
      </c>
      <c r="C613" s="15">
        <v>115.9</v>
      </c>
      <c r="D613" s="15">
        <v>116.8</v>
      </c>
      <c r="E613" s="15">
        <v>114.7</v>
      </c>
      <c r="F613" s="15">
        <v>115.95</v>
      </c>
      <c r="G613" s="15">
        <v>115.95</v>
      </c>
      <c r="H613" s="15">
        <v>116.05</v>
      </c>
      <c r="I613" s="15">
        <v>115.78</v>
      </c>
      <c r="J613" s="15">
        <v>124.3</v>
      </c>
      <c r="K613" s="15">
        <v>95</v>
      </c>
      <c r="L613" s="15">
        <v>28461865</v>
      </c>
      <c r="M613" t="s" s="13">
        <v>8159</v>
      </c>
      <c r="N613" s="15">
        <v>171164</v>
      </c>
      <c r="O613" s="17" cm="1">
        <f t="array" ref="O613">(H613-H612)/H612</f>
        <v>0.00086244070720138</v>
      </c>
    </row>
    <row r="614" ht="13.65" customHeight="1">
      <c r="A614" s="18">
        <v>45156</v>
      </c>
      <c r="B614" t="s" s="13">
        <v>22</v>
      </c>
      <c r="C614" s="15">
        <v>116.3</v>
      </c>
      <c r="D614" s="15">
        <v>116.4</v>
      </c>
      <c r="E614" s="15">
        <v>114.75</v>
      </c>
      <c r="F614" s="15">
        <v>116.05</v>
      </c>
      <c r="G614" s="15">
        <v>116.4</v>
      </c>
      <c r="H614" s="15">
        <v>115.8</v>
      </c>
      <c r="I614" s="15">
        <v>115.55</v>
      </c>
      <c r="J614" s="15">
        <v>124.3</v>
      </c>
      <c r="K614" s="15">
        <v>95</v>
      </c>
      <c r="L614" s="15">
        <v>30381609</v>
      </c>
      <c r="M614" t="s" s="13">
        <v>8160</v>
      </c>
      <c r="N614" s="15">
        <v>137398</v>
      </c>
      <c r="O614" s="17" cm="1">
        <f t="array" ref="O614">(H614-H613)/H613</f>
        <v>-0.002154243860405</v>
      </c>
    </row>
    <row r="615" ht="13.65" customHeight="1">
      <c r="A615" s="18">
        <v>45159</v>
      </c>
      <c r="B615" t="s" s="13">
        <v>22</v>
      </c>
      <c r="C615" s="15">
        <v>116.75</v>
      </c>
      <c r="D615" s="15">
        <v>117.1</v>
      </c>
      <c r="E615" s="15">
        <v>115.85</v>
      </c>
      <c r="F615" s="15">
        <v>115.8</v>
      </c>
      <c r="G615" s="15">
        <v>116.8</v>
      </c>
      <c r="H615" s="15">
        <v>116.9</v>
      </c>
      <c r="I615" s="15">
        <v>116.64</v>
      </c>
      <c r="J615" s="15">
        <v>124.3</v>
      </c>
      <c r="K615" s="15">
        <v>95</v>
      </c>
      <c r="L615" s="15">
        <v>22629651</v>
      </c>
      <c r="M615" t="s" s="13">
        <v>8161</v>
      </c>
      <c r="N615" s="15">
        <v>134669</v>
      </c>
      <c r="O615" s="17" cm="1">
        <f t="array" ref="O615">(H615-H614)/H614</f>
        <v>0.00949913644214162</v>
      </c>
    </row>
    <row r="616" ht="13.65" customHeight="1">
      <c r="A616" s="18">
        <v>45160</v>
      </c>
      <c r="B616" t="s" s="13">
        <v>22</v>
      </c>
      <c r="C616" s="15">
        <v>117.15</v>
      </c>
      <c r="D616" s="15">
        <v>117.75</v>
      </c>
      <c r="E616" s="15">
        <v>116.5</v>
      </c>
      <c r="F616" s="15">
        <v>116.9</v>
      </c>
      <c r="G616" s="15">
        <v>117.55</v>
      </c>
      <c r="H616" s="15">
        <v>117.55</v>
      </c>
      <c r="I616" s="15">
        <v>117.21</v>
      </c>
      <c r="J616" s="15">
        <v>124.3</v>
      </c>
      <c r="K616" s="15">
        <v>95</v>
      </c>
      <c r="L616" s="15">
        <v>17343131</v>
      </c>
      <c r="M616" t="s" s="13">
        <v>8162</v>
      </c>
      <c r="N616" s="15">
        <v>111027</v>
      </c>
      <c r="O616" s="17" cm="1">
        <f t="array" ref="O616">(H616-H615)/H615</f>
        <v>0.00556030795551754</v>
      </c>
    </row>
    <row r="617" ht="13.65" customHeight="1">
      <c r="A617" s="18">
        <v>45161</v>
      </c>
      <c r="B617" t="s" s="13">
        <v>22</v>
      </c>
      <c r="C617" s="15">
        <v>117.85</v>
      </c>
      <c r="D617" s="15">
        <v>119.25</v>
      </c>
      <c r="E617" s="15">
        <v>117.65</v>
      </c>
      <c r="F617" s="15">
        <v>117.55</v>
      </c>
      <c r="G617" s="15">
        <v>118.85</v>
      </c>
      <c r="H617" s="15">
        <v>118.95</v>
      </c>
      <c r="I617" s="15">
        <v>118.89</v>
      </c>
      <c r="J617" s="15">
        <v>124.3</v>
      </c>
      <c r="K617" s="15">
        <v>95</v>
      </c>
      <c r="L617" s="15">
        <v>43744909</v>
      </c>
      <c r="M617" t="s" s="13">
        <v>8163</v>
      </c>
      <c r="N617" s="15">
        <v>133768</v>
      </c>
      <c r="O617" s="17" cm="1">
        <f t="array" ref="O617">(H617-H616)/H616</f>
        <v>0.0119098256061251</v>
      </c>
    </row>
    <row r="618" ht="13.65" customHeight="1">
      <c r="A618" s="18">
        <v>45162</v>
      </c>
      <c r="B618" t="s" s="13">
        <v>22</v>
      </c>
      <c r="C618" s="15">
        <v>119.5</v>
      </c>
      <c r="D618" s="15">
        <v>120.1</v>
      </c>
      <c r="E618" s="15">
        <v>118.05</v>
      </c>
      <c r="F618" s="15">
        <v>118.95</v>
      </c>
      <c r="G618" s="15">
        <v>118.3</v>
      </c>
      <c r="H618" s="15">
        <v>118.25</v>
      </c>
      <c r="I618" s="15">
        <v>118.81</v>
      </c>
      <c r="J618" s="15">
        <v>124.3</v>
      </c>
      <c r="K618" s="15">
        <v>95</v>
      </c>
      <c r="L618" s="15">
        <v>27103446</v>
      </c>
      <c r="M618" t="s" s="13">
        <v>8164</v>
      </c>
      <c r="N618" s="15">
        <v>134041</v>
      </c>
      <c r="O618" s="17" cm="1">
        <f t="array" ref="O618">(H618-H617)/H617</f>
        <v>-0.0058848255569567</v>
      </c>
    </row>
    <row r="619" ht="13.65" customHeight="1">
      <c r="A619" s="18">
        <v>45163</v>
      </c>
      <c r="B619" t="s" s="13">
        <v>22</v>
      </c>
      <c r="C619" s="15">
        <v>118</v>
      </c>
      <c r="D619" s="15">
        <v>118.15</v>
      </c>
      <c r="E619" s="15">
        <v>116.7</v>
      </c>
      <c r="F619" s="15">
        <v>118.25</v>
      </c>
      <c r="G619" s="15">
        <v>117.1</v>
      </c>
      <c r="H619" s="15">
        <v>116.9</v>
      </c>
      <c r="I619" s="15">
        <v>117.39</v>
      </c>
      <c r="J619" s="15">
        <v>124.3</v>
      </c>
      <c r="K619" s="15">
        <v>95</v>
      </c>
      <c r="L619" s="15">
        <v>23692527</v>
      </c>
      <c r="M619" t="s" s="13">
        <v>8165</v>
      </c>
      <c r="N619" s="15">
        <v>107610</v>
      </c>
      <c r="O619" s="17" cm="1">
        <f t="array" ref="O619">(H619-H618)/H618</f>
        <v>-0.0114164904862579</v>
      </c>
    </row>
    <row r="620" ht="13.65" customHeight="1">
      <c r="A620" s="18">
        <v>45166</v>
      </c>
      <c r="B620" t="s" s="13">
        <v>22</v>
      </c>
      <c r="C620" s="15">
        <v>117</v>
      </c>
      <c r="D620" s="15">
        <v>118.25</v>
      </c>
      <c r="E620" s="15">
        <v>117</v>
      </c>
      <c r="F620" s="15">
        <v>116.9</v>
      </c>
      <c r="G620" s="15">
        <v>117.55</v>
      </c>
      <c r="H620" s="15">
        <v>117.6</v>
      </c>
      <c r="I620" s="15">
        <v>117.68</v>
      </c>
      <c r="J620" s="15">
        <v>124.3</v>
      </c>
      <c r="K620" s="15">
        <v>95</v>
      </c>
      <c r="L620" s="15">
        <v>19218821</v>
      </c>
      <c r="M620" t="s" s="13">
        <v>8166</v>
      </c>
      <c r="N620" s="15">
        <v>103263</v>
      </c>
      <c r="O620" s="17" cm="1">
        <f t="array" ref="O620">(H620-H619)/H619</f>
        <v>0.00598802395209581</v>
      </c>
    </row>
    <row r="621" ht="13.65" customHeight="1">
      <c r="A621" s="18">
        <v>45167</v>
      </c>
      <c r="B621" t="s" s="13">
        <v>22</v>
      </c>
      <c r="C621" s="15">
        <v>118.5</v>
      </c>
      <c r="D621" s="15">
        <v>120.15</v>
      </c>
      <c r="E621" s="15">
        <v>117.75</v>
      </c>
      <c r="F621" s="15">
        <v>117.6</v>
      </c>
      <c r="G621" s="15">
        <v>119.8</v>
      </c>
      <c r="H621" s="15">
        <v>119.55</v>
      </c>
      <c r="I621" s="15">
        <v>119.1</v>
      </c>
      <c r="J621" s="15">
        <v>124.3</v>
      </c>
      <c r="K621" s="15">
        <v>95</v>
      </c>
      <c r="L621" s="15">
        <v>36038317</v>
      </c>
      <c r="M621" t="s" s="13">
        <v>8167</v>
      </c>
      <c r="N621" s="15">
        <v>129481</v>
      </c>
      <c r="O621" s="17" cm="1">
        <f t="array" ref="O621">(H621-H620)/H620</f>
        <v>0.0165816326530612</v>
      </c>
    </row>
    <row r="622" ht="13.65" customHeight="1">
      <c r="A622" s="18">
        <v>45168</v>
      </c>
      <c r="B622" t="s" s="13">
        <v>22</v>
      </c>
      <c r="C622" s="15">
        <v>120.5</v>
      </c>
      <c r="D622" s="15">
        <v>122.7</v>
      </c>
      <c r="E622" s="15">
        <v>120.25</v>
      </c>
      <c r="F622" s="15">
        <v>119.55</v>
      </c>
      <c r="G622" s="15">
        <v>122.05</v>
      </c>
      <c r="H622" s="15">
        <v>122.1</v>
      </c>
      <c r="I622" s="15">
        <v>122.02</v>
      </c>
      <c r="J622" s="15">
        <v>124.3</v>
      </c>
      <c r="K622" s="15">
        <v>95</v>
      </c>
      <c r="L622" s="15">
        <v>51467177</v>
      </c>
      <c r="M622" t="s" s="13">
        <v>8168</v>
      </c>
      <c r="N622" s="15">
        <v>265241</v>
      </c>
      <c r="O622" s="17" cm="1">
        <f t="array" ref="O622">(H622-H621)/H621</f>
        <v>0.0213299874529486</v>
      </c>
    </row>
    <row r="623" ht="13.65" customHeight="1">
      <c r="A623" s="18">
        <v>45169</v>
      </c>
      <c r="B623" t="s" s="13">
        <v>22</v>
      </c>
      <c r="C623" s="15">
        <v>122.85</v>
      </c>
      <c r="D623" s="15">
        <v>123.6</v>
      </c>
      <c r="E623" s="15">
        <v>122.15</v>
      </c>
      <c r="F623" s="15">
        <v>122.1</v>
      </c>
      <c r="G623" s="15">
        <v>123.6</v>
      </c>
      <c r="H623" s="15">
        <v>122.9</v>
      </c>
      <c r="I623" s="15">
        <v>122.77</v>
      </c>
      <c r="J623" s="15">
        <v>124.3</v>
      </c>
      <c r="K623" s="15">
        <v>95</v>
      </c>
      <c r="L623" s="15">
        <v>60626985</v>
      </c>
      <c r="M623" t="s" s="13">
        <v>8169</v>
      </c>
      <c r="N623" s="15">
        <v>201344</v>
      </c>
      <c r="O623" s="17" cm="1">
        <f t="array" ref="O623">(H623-H622)/H622</f>
        <v>0.00655200655200655</v>
      </c>
    </row>
    <row r="624" ht="13.65" customHeight="1">
      <c r="A624" s="12">
        <v>45170</v>
      </c>
      <c r="B624" t="s" s="13">
        <v>22</v>
      </c>
      <c r="C624" s="15">
        <v>123.5</v>
      </c>
      <c r="D624" s="15">
        <v>128.7</v>
      </c>
      <c r="E624" s="15">
        <v>123.4</v>
      </c>
      <c r="F624" s="15">
        <v>122.9</v>
      </c>
      <c r="G624" s="15">
        <v>126.8</v>
      </c>
      <c r="H624" s="15">
        <v>127.05</v>
      </c>
      <c r="I624" s="15">
        <v>127.05</v>
      </c>
      <c r="J624" s="15">
        <v>128.7</v>
      </c>
      <c r="K624" s="15">
        <v>95</v>
      </c>
      <c r="L624" s="15">
        <v>76460408</v>
      </c>
      <c r="M624" t="s" s="13">
        <v>8170</v>
      </c>
      <c r="N624" s="15">
        <v>315467</v>
      </c>
      <c r="O624" s="17" cm="1">
        <f t="array" ref="O624">(H624-H623)/H623</f>
        <v>0.0337672904800651</v>
      </c>
    </row>
    <row r="625" ht="13.65" customHeight="1">
      <c r="A625" s="12">
        <v>45173</v>
      </c>
      <c r="B625" t="s" s="13">
        <v>22</v>
      </c>
      <c r="C625" s="15">
        <v>129.2</v>
      </c>
      <c r="D625" s="15">
        <v>132.9</v>
      </c>
      <c r="E625" s="15">
        <v>128.85</v>
      </c>
      <c r="F625" s="15">
        <v>127.05</v>
      </c>
      <c r="G625" s="15">
        <v>131.9</v>
      </c>
      <c r="H625" s="15">
        <v>131.75</v>
      </c>
      <c r="I625" s="15">
        <v>131.69</v>
      </c>
      <c r="J625" s="15">
        <v>132.9</v>
      </c>
      <c r="K625" s="15">
        <v>95</v>
      </c>
      <c r="L625" s="15">
        <v>68525900</v>
      </c>
      <c r="M625" t="s" s="13">
        <v>8171</v>
      </c>
      <c r="N625" s="15">
        <v>342443</v>
      </c>
      <c r="O625" s="17" cm="1">
        <f t="array" ref="O625">(H625-H624)/H624</f>
        <v>0.0369933097205824</v>
      </c>
    </row>
    <row r="626" ht="13.65" customHeight="1">
      <c r="A626" s="12">
        <v>45174</v>
      </c>
      <c r="B626" t="s" s="13">
        <v>22</v>
      </c>
      <c r="C626" s="15">
        <v>131.75</v>
      </c>
      <c r="D626" s="15">
        <v>132.45</v>
      </c>
      <c r="E626" s="15">
        <v>128.85</v>
      </c>
      <c r="F626" s="15">
        <v>131.75</v>
      </c>
      <c r="G626" s="15">
        <v>131.75</v>
      </c>
      <c r="H626" s="15">
        <v>131.7</v>
      </c>
      <c r="I626" s="15">
        <v>130.75</v>
      </c>
      <c r="J626" s="15">
        <v>132.9</v>
      </c>
      <c r="K626" s="15">
        <v>95</v>
      </c>
      <c r="L626" s="15">
        <v>36466807</v>
      </c>
      <c r="M626" t="s" s="13">
        <v>8172</v>
      </c>
      <c r="N626" s="15">
        <v>190902</v>
      </c>
      <c r="O626" s="17" cm="1">
        <f t="array" ref="O626">(H626-H625)/H625</f>
        <v>-0.000379506641366224</v>
      </c>
    </row>
    <row r="627" ht="13.65" customHeight="1">
      <c r="A627" s="12">
        <v>45175</v>
      </c>
      <c r="B627" t="s" s="13">
        <v>22</v>
      </c>
      <c r="C627" s="15">
        <v>132.4</v>
      </c>
      <c r="D627" s="15">
        <v>132.4</v>
      </c>
      <c r="E627" s="15">
        <v>128.2</v>
      </c>
      <c r="F627" s="15">
        <v>131.7</v>
      </c>
      <c r="G627" s="15">
        <v>129.45</v>
      </c>
      <c r="H627" s="15">
        <v>129.6</v>
      </c>
      <c r="I627" s="15">
        <v>129.55</v>
      </c>
      <c r="J627" s="15">
        <v>132.9</v>
      </c>
      <c r="K627" s="15">
        <v>95</v>
      </c>
      <c r="L627" s="15">
        <v>36058850</v>
      </c>
      <c r="M627" t="s" s="13">
        <v>8173</v>
      </c>
      <c r="N627" s="15">
        <v>216595</v>
      </c>
      <c r="O627" s="17" cm="1">
        <f t="array" ref="O627">(H627-H626)/H626</f>
        <v>-0.0159453302961276</v>
      </c>
    </row>
    <row r="628" ht="13.65" customHeight="1">
      <c r="A628" s="12">
        <v>45176</v>
      </c>
      <c r="B628" t="s" s="13">
        <v>22</v>
      </c>
      <c r="C628" s="15">
        <v>129.5</v>
      </c>
      <c r="D628" s="15">
        <v>130.8</v>
      </c>
      <c r="E628" s="15">
        <v>128.6</v>
      </c>
      <c r="F628" s="15">
        <v>129.6</v>
      </c>
      <c r="G628" s="15">
        <v>130.1</v>
      </c>
      <c r="H628" s="15">
        <v>130.15</v>
      </c>
      <c r="I628" s="15">
        <v>130</v>
      </c>
      <c r="J628" s="15">
        <v>132.9</v>
      </c>
      <c r="K628" s="15">
        <v>95</v>
      </c>
      <c r="L628" s="15">
        <v>30268235</v>
      </c>
      <c r="M628" t="s" s="13">
        <v>8174</v>
      </c>
      <c r="N628" s="15">
        <v>153956</v>
      </c>
      <c r="O628" s="17" cm="1">
        <f t="array" ref="O628">(H628-H627)/H627</f>
        <v>0.00424382716049383</v>
      </c>
    </row>
    <row r="629" ht="13.65" customHeight="1">
      <c r="A629" s="12">
        <v>45177</v>
      </c>
      <c r="B629" t="s" s="13">
        <v>22</v>
      </c>
      <c r="C629" s="15">
        <v>131.4</v>
      </c>
      <c r="D629" s="15">
        <v>131.65</v>
      </c>
      <c r="E629" s="15">
        <v>129.2</v>
      </c>
      <c r="F629" s="15">
        <v>130.15</v>
      </c>
      <c r="G629" s="15">
        <v>129.6</v>
      </c>
      <c r="H629" s="15">
        <v>129.5</v>
      </c>
      <c r="I629" s="15">
        <v>130.24</v>
      </c>
      <c r="J629" s="15">
        <v>132.9</v>
      </c>
      <c r="K629" s="15">
        <v>95</v>
      </c>
      <c r="L629" s="15">
        <v>34313523</v>
      </c>
      <c r="M629" t="s" s="13">
        <v>8175</v>
      </c>
      <c r="N629" s="15">
        <v>126365</v>
      </c>
      <c r="O629" s="17" cm="1">
        <f t="array" ref="O629">(H629-H628)/H628</f>
        <v>-0.00499423741836343</v>
      </c>
    </row>
    <row r="630" ht="13.65" customHeight="1">
      <c r="A630" s="18">
        <v>45180</v>
      </c>
      <c r="B630" t="s" s="13">
        <v>22</v>
      </c>
      <c r="C630" s="15">
        <v>129.5</v>
      </c>
      <c r="D630" s="15">
        <v>131.85</v>
      </c>
      <c r="E630" s="15">
        <v>129.2</v>
      </c>
      <c r="F630" s="15">
        <v>129.5</v>
      </c>
      <c r="G630" s="15">
        <v>131.1</v>
      </c>
      <c r="H630" s="15">
        <v>131.15</v>
      </c>
      <c r="I630" s="15">
        <v>130.71</v>
      </c>
      <c r="J630" s="15">
        <v>132.9</v>
      </c>
      <c r="K630" s="15">
        <v>95</v>
      </c>
      <c r="L630" s="15">
        <v>33377857</v>
      </c>
      <c r="M630" t="s" s="13">
        <v>8176</v>
      </c>
      <c r="N630" s="15">
        <v>174961</v>
      </c>
      <c r="O630" s="17" cm="1">
        <f t="array" ref="O630">(H630-H629)/H629</f>
        <v>0.0127413127413127</v>
      </c>
    </row>
    <row r="631" ht="13.65" customHeight="1">
      <c r="A631" s="18">
        <v>45181</v>
      </c>
      <c r="B631" t="s" s="13">
        <v>22</v>
      </c>
      <c r="C631" s="15">
        <v>132.8</v>
      </c>
      <c r="D631" s="15">
        <v>133.15</v>
      </c>
      <c r="E631" s="15">
        <v>128.65</v>
      </c>
      <c r="F631" s="15">
        <v>131.15</v>
      </c>
      <c r="G631" s="15">
        <v>128.9</v>
      </c>
      <c r="H631" s="15">
        <v>129</v>
      </c>
      <c r="I631" s="15">
        <v>130.05</v>
      </c>
      <c r="J631" s="15">
        <v>133.15</v>
      </c>
      <c r="K631" s="15">
        <v>95</v>
      </c>
      <c r="L631" s="15">
        <v>38065283</v>
      </c>
      <c r="M631" t="s" s="13">
        <v>8177</v>
      </c>
      <c r="N631" s="15">
        <v>212107</v>
      </c>
      <c r="O631" s="17" cm="1">
        <f t="array" ref="O631">(H631-H630)/H630</f>
        <v>-0.0163934426229508</v>
      </c>
    </row>
    <row r="632" ht="13.65" customHeight="1">
      <c r="A632" s="18">
        <v>45182</v>
      </c>
      <c r="B632" t="s" s="13">
        <v>22</v>
      </c>
      <c r="C632" s="15">
        <v>129.6</v>
      </c>
      <c r="D632" s="15">
        <v>130.5</v>
      </c>
      <c r="E632" s="15">
        <v>127.7</v>
      </c>
      <c r="F632" s="15">
        <v>129</v>
      </c>
      <c r="G632" s="15">
        <v>129.9</v>
      </c>
      <c r="H632" s="15">
        <v>129.55</v>
      </c>
      <c r="I632" s="15">
        <v>129.32</v>
      </c>
      <c r="J632" s="15">
        <v>133.15</v>
      </c>
      <c r="K632" s="15">
        <v>95</v>
      </c>
      <c r="L632" s="15">
        <v>23371459</v>
      </c>
      <c r="M632" t="s" s="13">
        <v>8178</v>
      </c>
      <c r="N632" s="15">
        <v>163917</v>
      </c>
      <c r="O632" s="17" cm="1">
        <f t="array" ref="O632">(H632-H631)/H631</f>
        <v>0.00426356589147287</v>
      </c>
    </row>
    <row r="633" ht="13.65" customHeight="1">
      <c r="A633" s="18">
        <v>45183</v>
      </c>
      <c r="B633" t="s" s="13">
        <v>22</v>
      </c>
      <c r="C633" s="15">
        <v>131</v>
      </c>
      <c r="D633" s="15">
        <v>134.2</v>
      </c>
      <c r="E633" s="15">
        <v>130.8</v>
      </c>
      <c r="F633" s="15">
        <v>129.55</v>
      </c>
      <c r="G633" s="15">
        <v>131.95</v>
      </c>
      <c r="H633" s="15">
        <v>131.7</v>
      </c>
      <c r="I633" s="15">
        <v>132.32</v>
      </c>
      <c r="J633" s="15">
        <v>134.2</v>
      </c>
      <c r="K633" s="15">
        <v>95</v>
      </c>
      <c r="L633" s="15">
        <v>58800620</v>
      </c>
      <c r="M633" t="s" s="13">
        <v>8179</v>
      </c>
      <c r="N633" s="15">
        <v>333183</v>
      </c>
      <c r="O633" s="17" cm="1">
        <f t="array" ref="O633">(H633-H632)/H632</f>
        <v>0.0165959089154766</v>
      </c>
    </row>
    <row r="634" ht="13.65" customHeight="1">
      <c r="A634" s="18">
        <v>45184</v>
      </c>
      <c r="B634" t="s" s="13">
        <v>22</v>
      </c>
      <c r="C634" s="15">
        <v>132.6</v>
      </c>
      <c r="D634" s="15">
        <v>133.3</v>
      </c>
      <c r="E634" s="15">
        <v>129.85</v>
      </c>
      <c r="F634" s="15">
        <v>131.7</v>
      </c>
      <c r="G634" s="15">
        <v>132.2</v>
      </c>
      <c r="H634" s="15">
        <v>131.95</v>
      </c>
      <c r="I634" s="15">
        <v>131.48</v>
      </c>
      <c r="J634" s="15">
        <v>134.2</v>
      </c>
      <c r="K634" s="15">
        <v>95</v>
      </c>
      <c r="L634" s="15">
        <v>85058495</v>
      </c>
      <c r="M634" t="s" s="13">
        <v>8180</v>
      </c>
      <c r="N634" s="15">
        <v>189446</v>
      </c>
      <c r="O634" s="17" cm="1">
        <f t="array" ref="O634">(H634-H633)/H633</f>
        <v>0.00189825360668185</v>
      </c>
    </row>
    <row r="635" ht="13.65" customHeight="1">
      <c r="A635" s="18">
        <v>45187</v>
      </c>
      <c r="B635" t="s" s="13">
        <v>22</v>
      </c>
      <c r="C635" s="15">
        <v>135</v>
      </c>
      <c r="D635" s="15">
        <v>135</v>
      </c>
      <c r="E635" s="15">
        <v>130.05</v>
      </c>
      <c r="F635" s="15">
        <v>131.95</v>
      </c>
      <c r="G635" s="15">
        <v>130.5</v>
      </c>
      <c r="H635" s="15">
        <v>130.45</v>
      </c>
      <c r="I635" s="15">
        <v>131.81</v>
      </c>
      <c r="J635" s="15">
        <v>135</v>
      </c>
      <c r="K635" s="15">
        <v>95</v>
      </c>
      <c r="L635" s="15">
        <v>62420823</v>
      </c>
      <c r="M635" t="s" s="13">
        <v>8181</v>
      </c>
      <c r="N635" s="15">
        <v>282655</v>
      </c>
      <c r="O635" s="17" cm="1">
        <f t="array" ref="O635">(H635-H634)/H634</f>
        <v>-0.0113679424024252</v>
      </c>
    </row>
    <row r="636" ht="13.65" customHeight="1">
      <c r="A636" s="18">
        <v>45189</v>
      </c>
      <c r="B636" t="s" s="13">
        <v>22</v>
      </c>
      <c r="C636" s="15">
        <v>130.45</v>
      </c>
      <c r="D636" s="15">
        <v>131.8</v>
      </c>
      <c r="E636" s="15">
        <v>128</v>
      </c>
      <c r="F636" s="15">
        <v>130.45</v>
      </c>
      <c r="G636" s="15">
        <v>128.5</v>
      </c>
      <c r="H636" s="15">
        <v>128.3</v>
      </c>
      <c r="I636" s="15">
        <v>129.55</v>
      </c>
      <c r="J636" s="15">
        <v>135</v>
      </c>
      <c r="K636" s="15">
        <v>95</v>
      </c>
      <c r="L636" s="15">
        <v>43627379</v>
      </c>
      <c r="M636" t="s" s="13">
        <v>8182</v>
      </c>
      <c r="N636" s="15">
        <v>220289</v>
      </c>
      <c r="O636" s="17" cm="1">
        <f t="array" ref="O636">(H636-H635)/H635</f>
        <v>-0.0164814105021081</v>
      </c>
    </row>
    <row r="637" ht="13.65" customHeight="1">
      <c r="A637" s="18">
        <v>45190</v>
      </c>
      <c r="B637" t="s" s="13">
        <v>22</v>
      </c>
      <c r="C637" s="15">
        <v>128.3</v>
      </c>
      <c r="D637" s="15">
        <v>129.25</v>
      </c>
      <c r="E637" s="15">
        <v>127.2</v>
      </c>
      <c r="F637" s="15">
        <v>128.3</v>
      </c>
      <c r="G637" s="15">
        <v>127.9</v>
      </c>
      <c r="H637" s="15">
        <v>127.8</v>
      </c>
      <c r="I637" s="15">
        <v>128.19</v>
      </c>
      <c r="J637" s="15">
        <v>135</v>
      </c>
      <c r="K637" s="15">
        <v>95</v>
      </c>
      <c r="L637" s="15">
        <v>29826091</v>
      </c>
      <c r="M637" t="s" s="13">
        <v>8183</v>
      </c>
      <c r="N637" s="15">
        <v>189809</v>
      </c>
      <c r="O637" s="17" cm="1">
        <f t="array" ref="O637">(H637-H636)/H636</f>
        <v>-0.0038971161340608</v>
      </c>
    </row>
    <row r="638" ht="13.65" customHeight="1">
      <c r="A638" s="18">
        <v>45191</v>
      </c>
      <c r="B638" t="s" s="13">
        <v>22</v>
      </c>
      <c r="C638" s="15">
        <v>127.15</v>
      </c>
      <c r="D638" s="15">
        <v>128.7</v>
      </c>
      <c r="E638" s="15">
        <v>125.5</v>
      </c>
      <c r="F638" s="15">
        <v>127.8</v>
      </c>
      <c r="G638" s="15">
        <v>127.2</v>
      </c>
      <c r="H638" s="15">
        <v>126.75</v>
      </c>
      <c r="I638" s="15">
        <v>127.09</v>
      </c>
      <c r="J638" s="15">
        <v>135</v>
      </c>
      <c r="K638" s="15">
        <v>95</v>
      </c>
      <c r="L638" s="15">
        <v>34059194</v>
      </c>
      <c r="M638" t="s" s="13">
        <v>8184</v>
      </c>
      <c r="N638" s="15">
        <v>193209</v>
      </c>
      <c r="O638" s="17" cm="1">
        <f t="array" ref="O638">(H638-H637)/H637</f>
        <v>-0.008215962441314549</v>
      </c>
    </row>
    <row r="639" ht="13.65" customHeight="1">
      <c r="A639" s="18">
        <v>45194</v>
      </c>
      <c r="B639" t="s" s="13">
        <v>22</v>
      </c>
      <c r="C639" s="15">
        <v>127.3</v>
      </c>
      <c r="D639" s="15">
        <v>128.3</v>
      </c>
      <c r="E639" s="15">
        <v>126.1</v>
      </c>
      <c r="F639" s="15">
        <v>126.75</v>
      </c>
      <c r="G639" s="15">
        <v>127.25</v>
      </c>
      <c r="H639" s="15">
        <v>127.4</v>
      </c>
      <c r="I639" s="15">
        <v>127.29</v>
      </c>
      <c r="J639" s="15">
        <v>135</v>
      </c>
      <c r="K639" s="15">
        <v>95</v>
      </c>
      <c r="L639" s="15">
        <v>23466981</v>
      </c>
      <c r="M639" t="s" s="13">
        <v>8185</v>
      </c>
      <c r="N639" s="15">
        <v>148843</v>
      </c>
      <c r="O639" s="17" cm="1">
        <f t="array" ref="O639">(H639-H638)/H638</f>
        <v>0.00512820512820513</v>
      </c>
    </row>
    <row r="640" ht="13.65" customHeight="1">
      <c r="A640" s="18">
        <v>45195</v>
      </c>
      <c r="B640" t="s" s="13">
        <v>22</v>
      </c>
      <c r="C640" s="15">
        <v>129</v>
      </c>
      <c r="D640" s="15">
        <v>130.55</v>
      </c>
      <c r="E640" s="15">
        <v>128.4</v>
      </c>
      <c r="F640" s="15">
        <v>127.4</v>
      </c>
      <c r="G640" s="15">
        <v>128.95</v>
      </c>
      <c r="H640" s="15">
        <v>128.9</v>
      </c>
      <c r="I640" s="15">
        <v>129.5</v>
      </c>
      <c r="J640" s="15">
        <v>135</v>
      </c>
      <c r="K640" s="15">
        <v>95</v>
      </c>
      <c r="L640" s="15">
        <v>48936598</v>
      </c>
      <c r="M640" t="s" s="13">
        <v>8186</v>
      </c>
      <c r="N640" s="15">
        <v>235615</v>
      </c>
      <c r="O640" s="17" cm="1">
        <f t="array" ref="O640">(H640-H639)/H639</f>
        <v>0.0117739403453689</v>
      </c>
    </row>
    <row r="641" ht="13.65" customHeight="1">
      <c r="A641" s="18">
        <v>45196</v>
      </c>
      <c r="B641" t="s" s="13">
        <v>22</v>
      </c>
      <c r="C641" s="15">
        <v>128.75</v>
      </c>
      <c r="D641" s="15">
        <v>128.75</v>
      </c>
      <c r="E641" s="15">
        <v>126.7</v>
      </c>
      <c r="F641" s="15">
        <v>128.9</v>
      </c>
      <c r="G641" s="15">
        <v>128.4</v>
      </c>
      <c r="H641" s="15">
        <v>128.15</v>
      </c>
      <c r="I641" s="15">
        <v>127.79</v>
      </c>
      <c r="J641" s="15">
        <v>135</v>
      </c>
      <c r="K641" s="15">
        <v>95</v>
      </c>
      <c r="L641" s="15">
        <v>33277329</v>
      </c>
      <c r="M641" t="s" s="13">
        <v>8187</v>
      </c>
      <c r="N641" s="15">
        <v>184173</v>
      </c>
      <c r="O641" s="17" cm="1">
        <f t="array" ref="O641">(H641-H640)/H640</f>
        <v>-0.00581846392552366</v>
      </c>
    </row>
    <row r="642" ht="13.65" customHeight="1">
      <c r="A642" s="18">
        <v>45197</v>
      </c>
      <c r="B642" t="s" s="13">
        <v>22</v>
      </c>
      <c r="C642" s="15">
        <v>128.35</v>
      </c>
      <c r="D642" s="15">
        <v>129.3</v>
      </c>
      <c r="E642" s="15">
        <v>126.3</v>
      </c>
      <c r="F642" s="15">
        <v>128.15</v>
      </c>
      <c r="G642" s="15">
        <v>127.25</v>
      </c>
      <c r="H642" s="15">
        <v>126.8</v>
      </c>
      <c r="I642" s="15">
        <v>127.69</v>
      </c>
      <c r="J642" s="15">
        <v>135</v>
      </c>
      <c r="K642" s="15">
        <v>95</v>
      </c>
      <c r="L642" s="15">
        <v>29982233</v>
      </c>
      <c r="M642" t="s" s="13">
        <v>8188</v>
      </c>
      <c r="N642" s="15">
        <v>165709</v>
      </c>
      <c r="O642" s="17" cm="1">
        <f t="array" ref="O642">(H642-H641)/H641</f>
        <v>-0.0105345298478346</v>
      </c>
    </row>
    <row r="643" ht="13.65" customHeight="1">
      <c r="A643" s="18">
        <v>45198</v>
      </c>
      <c r="B643" t="s" s="13">
        <v>22</v>
      </c>
      <c r="C643" s="15">
        <v>128.2</v>
      </c>
      <c r="D643" s="15">
        <v>129.55</v>
      </c>
      <c r="E643" s="15">
        <v>127.55</v>
      </c>
      <c r="F643" s="15">
        <v>126.8</v>
      </c>
      <c r="G643" s="15">
        <v>129.05</v>
      </c>
      <c r="H643" s="15">
        <v>128.9</v>
      </c>
      <c r="I643" s="15">
        <v>128.73</v>
      </c>
      <c r="J643" s="15">
        <v>135</v>
      </c>
      <c r="K643" s="15">
        <v>95</v>
      </c>
      <c r="L643" s="15">
        <v>28406435</v>
      </c>
      <c r="M643" t="s" s="13">
        <v>8189</v>
      </c>
      <c r="N643" s="15">
        <v>156353</v>
      </c>
      <c r="O643" s="17" cm="1">
        <f t="array" ref="O643">(H643-H642)/H642</f>
        <v>0.0165615141955836</v>
      </c>
    </row>
    <row r="644" ht="13.65" customHeight="1">
      <c r="A644" s="12">
        <v>45202</v>
      </c>
      <c r="B644" t="s" s="13">
        <v>22</v>
      </c>
      <c r="C644" s="15">
        <v>129</v>
      </c>
      <c r="D644" s="15">
        <v>129.1</v>
      </c>
      <c r="E644" s="15">
        <v>127.25</v>
      </c>
      <c r="F644" s="15">
        <v>128.9</v>
      </c>
      <c r="G644" s="15">
        <v>128.1</v>
      </c>
      <c r="H644" s="15">
        <v>128</v>
      </c>
      <c r="I644" s="15">
        <v>127.82</v>
      </c>
      <c r="J644" s="15">
        <v>135</v>
      </c>
      <c r="K644" s="15">
        <v>98</v>
      </c>
      <c r="L644" s="15">
        <v>18613557</v>
      </c>
      <c r="M644" t="s" s="13">
        <v>8190</v>
      </c>
      <c r="N644" s="15">
        <v>136399</v>
      </c>
      <c r="O644" s="17" cm="1">
        <f t="array" ref="O644">(H644-H643)/H643</f>
        <v>-0.00698215671062839</v>
      </c>
    </row>
    <row r="645" ht="13.65" customHeight="1">
      <c r="A645" s="12">
        <v>45203</v>
      </c>
      <c r="B645" t="s" s="13">
        <v>22</v>
      </c>
      <c r="C645" s="15">
        <v>127</v>
      </c>
      <c r="D645" s="15">
        <v>127.1</v>
      </c>
      <c r="E645" s="15">
        <v>124.5</v>
      </c>
      <c r="F645" s="15">
        <v>128</v>
      </c>
      <c r="G645" s="15">
        <v>125.35</v>
      </c>
      <c r="H645" s="15">
        <v>125.3</v>
      </c>
      <c r="I645" s="15">
        <v>125.49</v>
      </c>
      <c r="J645" s="15">
        <v>135</v>
      </c>
      <c r="K645" s="15">
        <v>98</v>
      </c>
      <c r="L645" s="15">
        <v>33272725</v>
      </c>
      <c r="M645" t="s" s="13">
        <v>8191</v>
      </c>
      <c r="N645" s="15">
        <v>214486</v>
      </c>
      <c r="O645" s="17" cm="1">
        <f t="array" ref="O645">(H645-H644)/H644</f>
        <v>-0.02109375</v>
      </c>
    </row>
    <row r="646" ht="13.65" customHeight="1">
      <c r="A646" s="12">
        <v>45204</v>
      </c>
      <c r="B646" t="s" s="13">
        <v>22</v>
      </c>
      <c r="C646" s="15">
        <v>125.9</v>
      </c>
      <c r="D646" s="15">
        <v>126.15</v>
      </c>
      <c r="E646" s="15">
        <v>124.55</v>
      </c>
      <c r="F646" s="15">
        <v>125.3</v>
      </c>
      <c r="G646" s="15">
        <v>125.55</v>
      </c>
      <c r="H646" s="15">
        <v>125.25</v>
      </c>
      <c r="I646" s="15">
        <v>125.31</v>
      </c>
      <c r="J646" s="15">
        <v>135</v>
      </c>
      <c r="K646" s="15">
        <v>98</v>
      </c>
      <c r="L646" s="15">
        <v>27063441</v>
      </c>
      <c r="M646" t="s" s="13">
        <v>8192</v>
      </c>
      <c r="N646" s="15">
        <v>165593</v>
      </c>
      <c r="O646" s="17" cm="1">
        <f t="array" ref="O646">(H646-H645)/H645</f>
        <v>-0.000399042298483639</v>
      </c>
    </row>
    <row r="647" ht="13.65" customHeight="1">
      <c r="A647" s="12">
        <v>45205</v>
      </c>
      <c r="B647" t="s" s="13">
        <v>22</v>
      </c>
      <c r="C647" s="15">
        <v>126.5</v>
      </c>
      <c r="D647" s="15">
        <v>127</v>
      </c>
      <c r="E647" s="15">
        <v>125.1</v>
      </c>
      <c r="F647" s="15">
        <v>125.25</v>
      </c>
      <c r="G647" s="15">
        <v>125.85</v>
      </c>
      <c r="H647" s="15">
        <v>125.9</v>
      </c>
      <c r="I647" s="15">
        <v>125.85</v>
      </c>
      <c r="J647" s="15">
        <v>135</v>
      </c>
      <c r="K647" s="15">
        <v>98</v>
      </c>
      <c r="L647" s="15">
        <v>21928671</v>
      </c>
      <c r="M647" t="s" s="13">
        <v>8193</v>
      </c>
      <c r="N647" s="15">
        <v>145005</v>
      </c>
      <c r="O647" s="17" cm="1">
        <f t="array" ref="O647">(H647-H646)/H646</f>
        <v>0.00518962075848303</v>
      </c>
    </row>
    <row r="648" ht="13.65" customHeight="1">
      <c r="A648" s="12">
        <v>45208</v>
      </c>
      <c r="B648" t="s" s="13">
        <v>22</v>
      </c>
      <c r="C648" s="15">
        <v>124.8</v>
      </c>
      <c r="D648" s="15">
        <v>124.9</v>
      </c>
      <c r="E648" s="15">
        <v>122.6</v>
      </c>
      <c r="F648" s="15">
        <v>125.9</v>
      </c>
      <c r="G648" s="15">
        <v>123.35</v>
      </c>
      <c r="H648" s="15">
        <v>123.85</v>
      </c>
      <c r="I648" s="15">
        <v>123.88</v>
      </c>
      <c r="J648" s="15">
        <v>135</v>
      </c>
      <c r="K648" s="15">
        <v>98.09999999999999</v>
      </c>
      <c r="L648" s="15">
        <v>21457836</v>
      </c>
      <c r="M648" t="s" s="13">
        <v>8194</v>
      </c>
      <c r="N648" s="15">
        <v>187353</v>
      </c>
      <c r="O648" s="17" cm="1">
        <f t="array" ref="O648">(H648-H647)/H647</f>
        <v>-0.0162827640984909</v>
      </c>
    </row>
    <row r="649" ht="13.65" customHeight="1">
      <c r="A649" s="18">
        <v>45209</v>
      </c>
      <c r="B649" t="s" s="13">
        <v>22</v>
      </c>
      <c r="C649" s="15">
        <v>124.7</v>
      </c>
      <c r="D649" s="15">
        <v>125.9</v>
      </c>
      <c r="E649" s="15">
        <v>123.75</v>
      </c>
      <c r="F649" s="15">
        <v>123.85</v>
      </c>
      <c r="G649" s="15">
        <v>125.25</v>
      </c>
      <c r="H649" s="15">
        <v>125.3</v>
      </c>
      <c r="I649" s="15">
        <v>124.78</v>
      </c>
      <c r="J649" s="15">
        <v>135</v>
      </c>
      <c r="K649" s="15">
        <v>98.09999999999999</v>
      </c>
      <c r="L649" s="15">
        <v>28745957</v>
      </c>
      <c r="M649" t="s" s="13">
        <v>8195</v>
      </c>
      <c r="N649" s="15">
        <v>171447</v>
      </c>
      <c r="O649" s="17" cm="1">
        <f t="array" ref="O649">(H649-H648)/H648</f>
        <v>0.011707710940654</v>
      </c>
    </row>
    <row r="650" ht="13.65" customHeight="1">
      <c r="A650" s="18">
        <v>45210</v>
      </c>
      <c r="B650" t="s" s="13">
        <v>22</v>
      </c>
      <c r="C650" s="15">
        <v>126</v>
      </c>
      <c r="D650" s="15">
        <v>126.3</v>
      </c>
      <c r="E650" s="15">
        <v>124.7</v>
      </c>
      <c r="F650" s="15">
        <v>125.3</v>
      </c>
      <c r="G650" s="15">
        <v>124.95</v>
      </c>
      <c r="H650" s="15">
        <v>124.95</v>
      </c>
      <c r="I650" s="15">
        <v>125.48</v>
      </c>
      <c r="J650" s="15">
        <v>135</v>
      </c>
      <c r="K650" s="15">
        <v>98.09999999999999</v>
      </c>
      <c r="L650" s="15">
        <v>24455932</v>
      </c>
      <c r="M650" t="s" s="13">
        <v>8196</v>
      </c>
      <c r="N650" s="15">
        <v>132086</v>
      </c>
      <c r="O650" s="17" cm="1">
        <f t="array" ref="O650">(H650-H649)/H649</f>
        <v>-0.00279329608938547</v>
      </c>
    </row>
    <row r="651" ht="13.65" customHeight="1">
      <c r="A651" s="18">
        <v>45211</v>
      </c>
      <c r="B651" t="s" s="13">
        <v>22</v>
      </c>
      <c r="C651" s="15">
        <v>125.35</v>
      </c>
      <c r="D651" s="15">
        <v>126.9</v>
      </c>
      <c r="E651" s="15">
        <v>125.1</v>
      </c>
      <c r="F651" s="15">
        <v>124.95</v>
      </c>
      <c r="G651" s="15">
        <v>125.8</v>
      </c>
      <c r="H651" s="15">
        <v>125.9</v>
      </c>
      <c r="I651" s="15">
        <v>126.09</v>
      </c>
      <c r="J651" s="15">
        <v>135</v>
      </c>
      <c r="K651" s="15">
        <v>98.09999999999999</v>
      </c>
      <c r="L651" s="15">
        <v>19361688</v>
      </c>
      <c r="M651" t="s" s="13">
        <v>8197</v>
      </c>
      <c r="N651" s="15">
        <v>126504</v>
      </c>
      <c r="O651" s="17" cm="1">
        <f t="array" ref="O651">(H651-H650)/H650</f>
        <v>0.00760304121648659</v>
      </c>
    </row>
    <row r="652" ht="13.65" customHeight="1">
      <c r="A652" s="18">
        <v>45212</v>
      </c>
      <c r="B652" t="s" s="13">
        <v>22</v>
      </c>
      <c r="C652" s="15">
        <v>125</v>
      </c>
      <c r="D652" s="15">
        <v>125.75</v>
      </c>
      <c r="E652" s="15">
        <v>124</v>
      </c>
      <c r="F652" s="15">
        <v>125.9</v>
      </c>
      <c r="G652" s="15">
        <v>125.2</v>
      </c>
      <c r="H652" s="15">
        <v>125.05</v>
      </c>
      <c r="I652" s="15">
        <v>124.93</v>
      </c>
      <c r="J652" s="15">
        <v>135</v>
      </c>
      <c r="K652" s="15">
        <v>98.09999999999999</v>
      </c>
      <c r="L652" s="15">
        <v>26912800</v>
      </c>
      <c r="M652" t="s" s="13">
        <v>8198</v>
      </c>
      <c r="N652" s="15">
        <v>160443</v>
      </c>
      <c r="O652" s="17" cm="1">
        <f t="array" ref="O652">(H652-H651)/H651</f>
        <v>-0.00675138999205719</v>
      </c>
    </row>
    <row r="653" ht="13.65" customHeight="1">
      <c r="A653" s="18">
        <v>45215</v>
      </c>
      <c r="B653" t="s" s="13">
        <v>22</v>
      </c>
      <c r="C653" s="15">
        <v>125.1</v>
      </c>
      <c r="D653" s="15">
        <v>127.25</v>
      </c>
      <c r="E653" s="15">
        <v>124.95</v>
      </c>
      <c r="F653" s="15">
        <v>125.05</v>
      </c>
      <c r="G653" s="15">
        <v>127.1</v>
      </c>
      <c r="H653" s="15">
        <v>127</v>
      </c>
      <c r="I653" s="15">
        <v>126.51</v>
      </c>
      <c r="J653" s="15">
        <v>135</v>
      </c>
      <c r="K653" s="15">
        <v>98.09999999999999</v>
      </c>
      <c r="L653" s="15">
        <v>23868700</v>
      </c>
      <c r="M653" t="s" s="13">
        <v>8199</v>
      </c>
      <c r="N653" s="15">
        <v>148084</v>
      </c>
      <c r="O653" s="17" cm="1">
        <f t="array" ref="O653">(H653-H652)/H652</f>
        <v>0.015593762495002</v>
      </c>
    </row>
    <row r="654" ht="13.65" customHeight="1">
      <c r="A654" s="18">
        <v>45216</v>
      </c>
      <c r="B654" t="s" s="13">
        <v>22</v>
      </c>
      <c r="C654" s="15">
        <v>127.9</v>
      </c>
      <c r="D654" s="15">
        <v>128.55</v>
      </c>
      <c r="E654" s="15">
        <v>127</v>
      </c>
      <c r="F654" s="15">
        <v>127</v>
      </c>
      <c r="G654" s="15">
        <v>127.75</v>
      </c>
      <c r="H654" s="15">
        <v>127.4</v>
      </c>
      <c r="I654" s="15">
        <v>127.9</v>
      </c>
      <c r="J654" s="15">
        <v>135</v>
      </c>
      <c r="K654" s="15">
        <v>98.09999999999999</v>
      </c>
      <c r="L654" s="15">
        <v>24241710</v>
      </c>
      <c r="M654" t="s" s="13">
        <v>8200</v>
      </c>
      <c r="N654" s="15">
        <v>136830</v>
      </c>
      <c r="O654" s="17" cm="1">
        <f t="array" ref="O654">(H654-H653)/H653</f>
        <v>0.0031496062992126</v>
      </c>
    </row>
    <row r="655" ht="13.65" customHeight="1">
      <c r="A655" s="18">
        <v>45217</v>
      </c>
      <c r="B655" t="s" s="13">
        <v>22</v>
      </c>
      <c r="C655" s="15">
        <v>127.85</v>
      </c>
      <c r="D655" s="15">
        <v>128.7</v>
      </c>
      <c r="E655" s="15">
        <v>126.6</v>
      </c>
      <c r="F655" s="15">
        <v>127.4</v>
      </c>
      <c r="G655" s="15">
        <v>127.1</v>
      </c>
      <c r="H655" s="15">
        <v>127.1</v>
      </c>
      <c r="I655" s="15">
        <v>127.42</v>
      </c>
      <c r="J655" s="15">
        <v>135</v>
      </c>
      <c r="K655" s="15">
        <v>98.09999999999999</v>
      </c>
      <c r="L655" s="15">
        <v>20926079</v>
      </c>
      <c r="M655" t="s" s="13">
        <v>8201</v>
      </c>
      <c r="N655" s="15">
        <v>141265</v>
      </c>
      <c r="O655" s="17" cm="1">
        <f t="array" ref="O655">(H655-H654)/H654</f>
        <v>-0.00235478806907378</v>
      </c>
    </row>
    <row r="656" ht="13.65" customHeight="1">
      <c r="A656" s="18">
        <v>45218</v>
      </c>
      <c r="B656" t="s" s="13">
        <v>22</v>
      </c>
      <c r="C656" s="15">
        <v>125.5</v>
      </c>
      <c r="D656" s="15">
        <v>126.5</v>
      </c>
      <c r="E656" s="15">
        <v>124.35</v>
      </c>
      <c r="F656" s="15">
        <v>127.1</v>
      </c>
      <c r="G656" s="15">
        <v>125.8</v>
      </c>
      <c r="H656" s="15">
        <v>126</v>
      </c>
      <c r="I656" s="15">
        <v>125.46</v>
      </c>
      <c r="J656" s="15">
        <v>135</v>
      </c>
      <c r="K656" s="15">
        <v>98.09999999999999</v>
      </c>
      <c r="L656" s="15">
        <v>30941319</v>
      </c>
      <c r="M656" t="s" s="13">
        <v>8202</v>
      </c>
      <c r="N656" s="15">
        <v>165387</v>
      </c>
      <c r="O656" s="17" cm="1">
        <f t="array" ref="O656">(H656-H655)/H655</f>
        <v>-0.00865460267505901</v>
      </c>
    </row>
    <row r="657" ht="13.65" customHeight="1">
      <c r="A657" s="18">
        <v>45219</v>
      </c>
      <c r="B657" t="s" s="13">
        <v>22</v>
      </c>
      <c r="C657" s="15">
        <v>125</v>
      </c>
      <c r="D657" s="15">
        <v>125.75</v>
      </c>
      <c r="E657" s="15">
        <v>122.7</v>
      </c>
      <c r="F657" s="15">
        <v>126</v>
      </c>
      <c r="G657" s="15">
        <v>123.1</v>
      </c>
      <c r="H657" s="15">
        <v>123.1</v>
      </c>
      <c r="I657" s="15">
        <v>124.01</v>
      </c>
      <c r="J657" s="15">
        <v>135</v>
      </c>
      <c r="K657" s="15">
        <v>98.09999999999999</v>
      </c>
      <c r="L657" s="15">
        <v>30746140</v>
      </c>
      <c r="M657" t="s" s="13">
        <v>8203</v>
      </c>
      <c r="N657" s="15">
        <v>192203</v>
      </c>
      <c r="O657" s="17" cm="1">
        <f t="array" ref="O657">(H657-H656)/H656</f>
        <v>-0.023015873015873</v>
      </c>
    </row>
    <row r="658" ht="13.65" customHeight="1">
      <c r="A658" s="18">
        <v>45222</v>
      </c>
      <c r="B658" t="s" s="13">
        <v>22</v>
      </c>
      <c r="C658" s="15">
        <v>123.35</v>
      </c>
      <c r="D658" s="15">
        <v>123.4</v>
      </c>
      <c r="E658" s="15">
        <v>119.7</v>
      </c>
      <c r="F658" s="15">
        <v>123.1</v>
      </c>
      <c r="G658" s="15">
        <v>120.05</v>
      </c>
      <c r="H658" s="15">
        <v>120</v>
      </c>
      <c r="I658" s="15">
        <v>120.97</v>
      </c>
      <c r="J658" s="15">
        <v>135</v>
      </c>
      <c r="K658" s="15">
        <v>98.55</v>
      </c>
      <c r="L658" s="15">
        <v>30699479</v>
      </c>
      <c r="M658" t="s" s="13">
        <v>8204</v>
      </c>
      <c r="N658" s="15">
        <v>198614</v>
      </c>
      <c r="O658" s="17" cm="1">
        <f t="array" ref="O658">(H658-H657)/H657</f>
        <v>-0.025182778229082</v>
      </c>
    </row>
    <row r="659" ht="13.65" customHeight="1">
      <c r="A659" s="18">
        <v>45224</v>
      </c>
      <c r="B659" t="s" s="13">
        <v>22</v>
      </c>
      <c r="C659" s="15">
        <v>121.2</v>
      </c>
      <c r="D659" s="15">
        <v>122.8</v>
      </c>
      <c r="E659" s="15">
        <v>120.75</v>
      </c>
      <c r="F659" s="15">
        <v>120</v>
      </c>
      <c r="G659" s="15">
        <v>121.3</v>
      </c>
      <c r="H659" s="15">
        <v>121.35</v>
      </c>
      <c r="I659" s="15">
        <v>121.79</v>
      </c>
      <c r="J659" s="15">
        <v>135</v>
      </c>
      <c r="K659" s="15">
        <v>98.55</v>
      </c>
      <c r="L659" s="15">
        <v>27346103</v>
      </c>
      <c r="M659" t="s" s="13">
        <v>8205</v>
      </c>
      <c r="N659" s="15">
        <v>166352</v>
      </c>
      <c r="O659" s="17" cm="1">
        <f t="array" ref="O659">(H659-H658)/H658</f>
        <v>0.01125</v>
      </c>
    </row>
    <row r="660" ht="13.65" customHeight="1">
      <c r="A660" s="18">
        <v>45225</v>
      </c>
      <c r="B660" t="s" s="13">
        <v>22</v>
      </c>
      <c r="C660" s="15">
        <v>120.85</v>
      </c>
      <c r="D660" s="15">
        <v>120.9</v>
      </c>
      <c r="E660" s="15">
        <v>118.9</v>
      </c>
      <c r="F660" s="15">
        <v>121.35</v>
      </c>
      <c r="G660" s="15">
        <v>120.05</v>
      </c>
      <c r="H660" s="15">
        <v>119.9</v>
      </c>
      <c r="I660" s="15">
        <v>119.81</v>
      </c>
      <c r="J660" s="15">
        <v>135</v>
      </c>
      <c r="K660" s="15">
        <v>98.55</v>
      </c>
      <c r="L660" s="15">
        <v>36298907</v>
      </c>
      <c r="M660" t="s" s="13">
        <v>8206</v>
      </c>
      <c r="N660" s="15">
        <v>191297</v>
      </c>
      <c r="O660" s="17" cm="1">
        <f t="array" ref="O660">(H660-H659)/H659</f>
        <v>-0.0119489081170169</v>
      </c>
    </row>
    <row r="661" ht="13.65" customHeight="1">
      <c r="A661" s="18">
        <v>45226</v>
      </c>
      <c r="B661" t="s" s="13">
        <v>22</v>
      </c>
      <c r="C661" s="15">
        <v>120.5</v>
      </c>
      <c r="D661" s="15">
        <v>121.8</v>
      </c>
      <c r="E661" s="15">
        <v>119.5</v>
      </c>
      <c r="F661" s="15">
        <v>119.9</v>
      </c>
      <c r="G661" s="15">
        <v>120</v>
      </c>
      <c r="H661" s="15">
        <v>119.9</v>
      </c>
      <c r="I661" s="15">
        <v>120.34</v>
      </c>
      <c r="J661" s="15">
        <v>135</v>
      </c>
      <c r="K661" s="15">
        <v>98.55</v>
      </c>
      <c r="L661" s="15">
        <v>28424007</v>
      </c>
      <c r="M661" t="s" s="13">
        <v>8207</v>
      </c>
      <c r="N661" s="15">
        <v>144880</v>
      </c>
      <c r="O661" s="17" cm="1">
        <f t="array" ref="O661">(H661-H660)/H660</f>
        <v>0</v>
      </c>
    </row>
    <row r="662" ht="13.65" customHeight="1">
      <c r="A662" s="18">
        <v>45229</v>
      </c>
      <c r="B662" t="s" s="13">
        <v>22</v>
      </c>
      <c r="C662" s="15">
        <v>121.05</v>
      </c>
      <c r="D662" s="15">
        <v>121.25</v>
      </c>
      <c r="E662" s="15">
        <v>118.95</v>
      </c>
      <c r="F662" s="15">
        <v>119.9</v>
      </c>
      <c r="G662" s="15">
        <v>119.15</v>
      </c>
      <c r="H662" s="15">
        <v>119.15</v>
      </c>
      <c r="I662" s="15">
        <v>119.37</v>
      </c>
      <c r="J662" s="15">
        <v>135</v>
      </c>
      <c r="K662" s="15">
        <v>98.55</v>
      </c>
      <c r="L662" s="15">
        <v>18753217</v>
      </c>
      <c r="M662" t="s" s="13">
        <v>8208</v>
      </c>
      <c r="N662" s="15">
        <v>145518</v>
      </c>
      <c r="O662" s="17" cm="1">
        <f t="array" ref="O662">(H662-H661)/H661</f>
        <v>-0.00625521267723103</v>
      </c>
    </row>
    <row r="663" ht="13.65" customHeight="1">
      <c r="A663" s="18">
        <v>45230</v>
      </c>
      <c r="B663" t="s" s="13">
        <v>22</v>
      </c>
      <c r="C663" s="15">
        <v>120</v>
      </c>
      <c r="D663" s="15">
        <v>120.15</v>
      </c>
      <c r="E663" s="15">
        <v>118.4</v>
      </c>
      <c r="F663" s="15">
        <v>119.15</v>
      </c>
      <c r="G663" s="15">
        <v>118.9</v>
      </c>
      <c r="H663" s="15">
        <v>118.75</v>
      </c>
      <c r="I663" s="15">
        <v>119.02</v>
      </c>
      <c r="J663" s="15">
        <v>135</v>
      </c>
      <c r="K663" s="15">
        <v>98.55</v>
      </c>
      <c r="L663" s="15">
        <v>22319950</v>
      </c>
      <c r="M663" t="s" s="13">
        <v>8209</v>
      </c>
      <c r="N663" s="15">
        <v>147250</v>
      </c>
      <c r="O663" s="17" cm="1">
        <f t="array" ref="O663">(H663-H662)/H662</f>
        <v>-0.00335711288292069</v>
      </c>
    </row>
    <row r="664" ht="13.65" customHeight="1">
      <c r="A664" s="12">
        <v>45231</v>
      </c>
      <c r="B664" t="s" s="13">
        <v>22</v>
      </c>
      <c r="C664" s="15">
        <v>119</v>
      </c>
      <c r="D664" s="15">
        <v>119.1</v>
      </c>
      <c r="E664" s="15">
        <v>116</v>
      </c>
      <c r="F664" s="15">
        <v>118.75</v>
      </c>
      <c r="G664" s="15">
        <v>116.15</v>
      </c>
      <c r="H664" s="15">
        <v>116.6</v>
      </c>
      <c r="I664" s="15">
        <v>117.78</v>
      </c>
      <c r="J664" s="15">
        <v>135</v>
      </c>
      <c r="K664" s="15">
        <v>98.55</v>
      </c>
      <c r="L664" s="15">
        <v>24717941</v>
      </c>
      <c r="M664" t="s" s="13">
        <v>8210</v>
      </c>
      <c r="N664" s="15">
        <v>162002</v>
      </c>
      <c r="O664" s="17" cm="1">
        <f t="array" ref="O664">(H664-H663)/H663</f>
        <v>-0.0181052631578947</v>
      </c>
    </row>
    <row r="665" ht="13.65" customHeight="1">
      <c r="A665" s="12">
        <v>45232</v>
      </c>
      <c r="B665" t="s" s="13">
        <v>22</v>
      </c>
      <c r="C665" s="15">
        <v>114.6</v>
      </c>
      <c r="D665" s="15">
        <v>118.55</v>
      </c>
      <c r="E665" s="15">
        <v>114.6</v>
      </c>
      <c r="F665" s="15">
        <v>116.6</v>
      </c>
      <c r="G665" s="15">
        <v>118.5</v>
      </c>
      <c r="H665" s="15">
        <v>118.1</v>
      </c>
      <c r="I665" s="15">
        <v>116.7</v>
      </c>
      <c r="J665" s="15">
        <v>135</v>
      </c>
      <c r="K665" s="15">
        <v>98.55</v>
      </c>
      <c r="L665" s="15">
        <v>72538804</v>
      </c>
      <c r="M665" t="s" s="13">
        <v>8211</v>
      </c>
      <c r="N665" s="15">
        <v>280659</v>
      </c>
      <c r="O665" s="17" cm="1">
        <f t="array" ref="O665">(H665-H664)/H664</f>
        <v>0.0128644939965695</v>
      </c>
    </row>
    <row r="666" ht="13.65" customHeight="1">
      <c r="A666" s="12">
        <v>45233</v>
      </c>
      <c r="B666" t="s" s="13">
        <v>22</v>
      </c>
      <c r="C666" s="15">
        <v>118.2</v>
      </c>
      <c r="D666" s="15">
        <v>118.6</v>
      </c>
      <c r="E666" s="15">
        <v>117.1</v>
      </c>
      <c r="F666" s="15">
        <v>118.1</v>
      </c>
      <c r="G666" s="15">
        <v>117.4</v>
      </c>
      <c r="H666" s="15">
        <v>117.3</v>
      </c>
      <c r="I666" s="15">
        <v>117.73</v>
      </c>
      <c r="J666" s="15">
        <v>135</v>
      </c>
      <c r="K666" s="15">
        <v>98.55</v>
      </c>
      <c r="L666" s="15">
        <v>31747230</v>
      </c>
      <c r="M666" t="s" s="13">
        <v>8212</v>
      </c>
      <c r="N666" s="15">
        <v>179215</v>
      </c>
      <c r="O666" s="17" cm="1">
        <f t="array" ref="O666">(H666-H665)/H665</f>
        <v>-0.00677392040643522</v>
      </c>
    </row>
    <row r="667" ht="13.65" customHeight="1">
      <c r="A667" s="12">
        <v>45236</v>
      </c>
      <c r="B667" t="s" s="13">
        <v>22</v>
      </c>
      <c r="C667" s="15">
        <v>118.5</v>
      </c>
      <c r="D667" s="15">
        <v>119.65</v>
      </c>
      <c r="E667" s="15">
        <v>117.5</v>
      </c>
      <c r="F667" s="15">
        <v>117.3</v>
      </c>
      <c r="G667" s="15">
        <v>119.6</v>
      </c>
      <c r="H667" s="15">
        <v>119.4</v>
      </c>
      <c r="I667" s="15">
        <v>118.62</v>
      </c>
      <c r="J667" s="15">
        <v>135</v>
      </c>
      <c r="K667" s="15">
        <v>101.55</v>
      </c>
      <c r="L667" s="15">
        <v>27883152</v>
      </c>
      <c r="M667" t="s" s="13">
        <v>8213</v>
      </c>
      <c r="N667" s="15">
        <v>150363</v>
      </c>
      <c r="O667" s="17" cm="1">
        <f t="array" ref="O667">(H667-H666)/H666</f>
        <v>0.0179028132992327</v>
      </c>
    </row>
    <row r="668" ht="13.65" customHeight="1">
      <c r="A668" s="12">
        <v>45237</v>
      </c>
      <c r="B668" t="s" s="13">
        <v>22</v>
      </c>
      <c r="C668" s="15">
        <v>119.3</v>
      </c>
      <c r="D668" s="15">
        <v>120.2</v>
      </c>
      <c r="E668" s="15">
        <v>118.4</v>
      </c>
      <c r="F668" s="15">
        <v>119.4</v>
      </c>
      <c r="G668" s="15">
        <v>119.75</v>
      </c>
      <c r="H668" s="15">
        <v>119.65</v>
      </c>
      <c r="I668" s="15">
        <v>119.62</v>
      </c>
      <c r="J668" s="15">
        <v>135</v>
      </c>
      <c r="K668" s="15">
        <v>101.55</v>
      </c>
      <c r="L668" s="15">
        <v>25818033</v>
      </c>
      <c r="M668" t="s" s="13">
        <v>8214</v>
      </c>
      <c r="N668" s="15">
        <v>135129</v>
      </c>
      <c r="O668" s="17" cm="1">
        <f t="array" ref="O668">(H668-H667)/H667</f>
        <v>0.00209380234505863</v>
      </c>
    </row>
    <row r="669" ht="13.65" customHeight="1">
      <c r="A669" s="12">
        <v>45238</v>
      </c>
      <c r="B669" t="s" s="13">
        <v>22</v>
      </c>
      <c r="C669" s="15">
        <v>119.75</v>
      </c>
      <c r="D669" s="15">
        <v>120.5</v>
      </c>
      <c r="E669" s="15">
        <v>118.55</v>
      </c>
      <c r="F669" s="15">
        <v>119.65</v>
      </c>
      <c r="G669" s="15">
        <v>119.05</v>
      </c>
      <c r="H669" s="15">
        <v>119.05</v>
      </c>
      <c r="I669" s="15">
        <v>119.11</v>
      </c>
      <c r="J669" s="15">
        <v>135</v>
      </c>
      <c r="K669" s="15">
        <v>101.55</v>
      </c>
      <c r="L669" s="15">
        <v>22552386</v>
      </c>
      <c r="M669" t="s" s="13">
        <v>8215</v>
      </c>
      <c r="N669" s="15">
        <v>128934</v>
      </c>
      <c r="O669" s="17" cm="1">
        <f t="array" ref="O669">(H669-H668)/H668</f>
        <v>-0.00501462599247806</v>
      </c>
    </row>
    <row r="670" ht="13.65" customHeight="1">
      <c r="A670" s="12">
        <v>45239</v>
      </c>
      <c r="B670" t="s" s="13">
        <v>22</v>
      </c>
      <c r="C670" s="15">
        <v>119.2</v>
      </c>
      <c r="D670" s="15">
        <v>120.5</v>
      </c>
      <c r="E670" s="15">
        <v>118.85</v>
      </c>
      <c r="F670" s="15">
        <v>119.05</v>
      </c>
      <c r="G670" s="15">
        <v>119.65</v>
      </c>
      <c r="H670" s="15">
        <v>119.65</v>
      </c>
      <c r="I670" s="15">
        <v>119.7</v>
      </c>
      <c r="J670" s="15">
        <v>135</v>
      </c>
      <c r="K670" s="15">
        <v>101.55</v>
      </c>
      <c r="L670" s="15">
        <v>22979112</v>
      </c>
      <c r="M670" t="s" s="13">
        <v>8216</v>
      </c>
      <c r="N670" s="15">
        <v>132295</v>
      </c>
      <c r="O670" s="17" cm="1">
        <f t="array" ref="O670">(H670-H669)/H669</f>
        <v>0.00503989920201596</v>
      </c>
    </row>
    <row r="671" ht="13.65" customHeight="1">
      <c r="A671" s="18">
        <v>45240</v>
      </c>
      <c r="B671" t="s" s="13">
        <v>22</v>
      </c>
      <c r="C671" s="15">
        <v>119.5</v>
      </c>
      <c r="D671" s="15">
        <v>120.45</v>
      </c>
      <c r="E671" s="15">
        <v>118.8</v>
      </c>
      <c r="F671" s="15">
        <v>119.65</v>
      </c>
      <c r="G671" s="15">
        <v>120.15</v>
      </c>
      <c r="H671" s="15">
        <v>120.05</v>
      </c>
      <c r="I671" s="15">
        <v>119.81</v>
      </c>
      <c r="J671" s="15">
        <v>135</v>
      </c>
      <c r="K671" s="15">
        <v>101.55</v>
      </c>
      <c r="L671" s="15">
        <v>23584510</v>
      </c>
      <c r="M671" t="s" s="13">
        <v>8217</v>
      </c>
      <c r="N671" s="15">
        <v>137597</v>
      </c>
      <c r="O671" s="17" cm="1">
        <f t="array" ref="O671">(H671-H670)/H670</f>
        <v>0.00334308399498537</v>
      </c>
    </row>
    <row r="672" ht="13.65" customHeight="1">
      <c r="A672" s="18">
        <v>45242</v>
      </c>
      <c r="B672" t="s" s="13">
        <v>22</v>
      </c>
      <c r="C672" s="15">
        <v>121.6</v>
      </c>
      <c r="D672" s="15">
        <v>121.6</v>
      </c>
      <c r="E672" s="15">
        <v>120.6</v>
      </c>
      <c r="F672" s="15">
        <v>120.05</v>
      </c>
      <c r="G672" s="15">
        <v>120.85</v>
      </c>
      <c r="H672" s="15">
        <v>120.85</v>
      </c>
      <c r="I672" s="15">
        <v>120.92</v>
      </c>
      <c r="J672" s="15">
        <v>135</v>
      </c>
      <c r="K672" s="15">
        <v>101.55</v>
      </c>
      <c r="L672" s="15">
        <v>3984034</v>
      </c>
      <c r="M672" t="s" s="13">
        <v>8218</v>
      </c>
      <c r="N672" s="15">
        <v>69992</v>
      </c>
      <c r="O672" s="17" cm="1">
        <f t="array" ref="O672">(H672-H671)/H671</f>
        <v>0.00666389004581424</v>
      </c>
    </row>
    <row r="673" ht="13.65" customHeight="1">
      <c r="A673" s="18">
        <v>45243</v>
      </c>
      <c r="B673" t="s" s="13">
        <v>22</v>
      </c>
      <c r="C673" s="15">
        <v>120.85</v>
      </c>
      <c r="D673" s="15">
        <v>121.25</v>
      </c>
      <c r="E673" s="15">
        <v>119.9</v>
      </c>
      <c r="F673" s="15">
        <v>120.85</v>
      </c>
      <c r="G673" s="15">
        <v>120.8</v>
      </c>
      <c r="H673" s="15">
        <v>121</v>
      </c>
      <c r="I673" s="15">
        <v>120.74</v>
      </c>
      <c r="J673" s="15">
        <v>135</v>
      </c>
      <c r="K673" s="15">
        <v>101.55</v>
      </c>
      <c r="L673" s="15">
        <v>17951775</v>
      </c>
      <c r="M673" t="s" s="13">
        <v>8219</v>
      </c>
      <c r="N673" s="15">
        <v>128808</v>
      </c>
      <c r="O673" s="17" cm="1">
        <f t="array" ref="O673">(H673-H672)/H672</f>
        <v>0.00124120810922631</v>
      </c>
    </row>
    <row r="674" ht="13.65" customHeight="1">
      <c r="A674" s="18">
        <v>45245</v>
      </c>
      <c r="B674" t="s" s="13">
        <v>22</v>
      </c>
      <c r="C674" s="15">
        <v>121.7</v>
      </c>
      <c r="D674" s="15">
        <v>124.4</v>
      </c>
      <c r="E674" s="15">
        <v>121.5</v>
      </c>
      <c r="F674" s="15">
        <v>121</v>
      </c>
      <c r="G674" s="15">
        <v>124.1</v>
      </c>
      <c r="H674" s="15">
        <v>124.05</v>
      </c>
      <c r="I674" s="15">
        <v>123.38</v>
      </c>
      <c r="J674" s="15">
        <v>135</v>
      </c>
      <c r="K674" s="15">
        <v>101.55</v>
      </c>
      <c r="L674" s="15">
        <v>38344393</v>
      </c>
      <c r="M674" t="s" s="13">
        <v>8220</v>
      </c>
      <c r="N674" s="15">
        <v>183566</v>
      </c>
      <c r="O674" s="17" cm="1">
        <f t="array" ref="O674">(H674-H673)/H673</f>
        <v>0.0252066115702479</v>
      </c>
    </row>
    <row r="675" ht="13.65" customHeight="1">
      <c r="A675" s="18">
        <v>45246</v>
      </c>
      <c r="B675" t="s" s="13">
        <v>22</v>
      </c>
      <c r="C675" s="15">
        <v>124</v>
      </c>
      <c r="D675" s="15">
        <v>125.25</v>
      </c>
      <c r="E675" s="15">
        <v>123</v>
      </c>
      <c r="F675" s="15">
        <v>124.05</v>
      </c>
      <c r="G675" s="15">
        <v>124.4</v>
      </c>
      <c r="H675" s="15">
        <v>124.7</v>
      </c>
      <c r="I675" s="15">
        <v>124.48</v>
      </c>
      <c r="J675" s="15">
        <v>135</v>
      </c>
      <c r="K675" s="15">
        <v>101.55</v>
      </c>
      <c r="L675" s="15">
        <v>30836413</v>
      </c>
      <c r="M675" t="s" s="13">
        <v>8221</v>
      </c>
      <c r="N675" s="15">
        <v>165433</v>
      </c>
      <c r="O675" s="17" cm="1">
        <f t="array" ref="O675">(H675-H674)/H674</f>
        <v>0.00523982265215639</v>
      </c>
    </row>
    <row r="676" ht="13.65" customHeight="1">
      <c r="A676" s="18">
        <v>45247</v>
      </c>
      <c r="B676" t="s" s="13">
        <v>22</v>
      </c>
      <c r="C676" s="15">
        <v>124.7</v>
      </c>
      <c r="D676" s="15">
        <v>125.75</v>
      </c>
      <c r="E676" s="15">
        <v>124.3</v>
      </c>
      <c r="F676" s="15">
        <v>124.7</v>
      </c>
      <c r="G676" s="15">
        <v>125</v>
      </c>
      <c r="H676" s="15">
        <v>125.2</v>
      </c>
      <c r="I676" s="15">
        <v>125.16</v>
      </c>
      <c r="J676" s="15">
        <v>135</v>
      </c>
      <c r="K676" s="15">
        <v>101.55</v>
      </c>
      <c r="L676" s="15">
        <v>23319439</v>
      </c>
      <c r="M676" t="s" s="13">
        <v>8222</v>
      </c>
      <c r="N676" s="15">
        <v>130629</v>
      </c>
      <c r="O676" s="17" cm="1">
        <f t="array" ref="O676">(H676-H675)/H675</f>
        <v>0.00400962309542903</v>
      </c>
    </row>
    <row r="677" ht="13.65" customHeight="1">
      <c r="A677" s="18">
        <v>45250</v>
      </c>
      <c r="B677" t="s" s="13">
        <v>22</v>
      </c>
      <c r="C677" s="15">
        <v>125.05</v>
      </c>
      <c r="D677" s="15">
        <v>125.65</v>
      </c>
      <c r="E677" s="15">
        <v>124.05</v>
      </c>
      <c r="F677" s="15">
        <v>125.2</v>
      </c>
      <c r="G677" s="15">
        <v>124.25</v>
      </c>
      <c r="H677" s="15">
        <v>124.35</v>
      </c>
      <c r="I677" s="15">
        <v>124.89</v>
      </c>
      <c r="J677" s="15">
        <v>135</v>
      </c>
      <c r="K677" s="15">
        <v>101.55</v>
      </c>
      <c r="L677" s="15">
        <v>18780290</v>
      </c>
      <c r="M677" t="s" s="13">
        <v>8223</v>
      </c>
      <c r="N677" s="15">
        <v>144456</v>
      </c>
      <c r="O677" s="17" cm="1">
        <f t="array" ref="O677">(H677-H676)/H676</f>
        <v>-0.00678913738019169</v>
      </c>
    </row>
    <row r="678" ht="13.65" customHeight="1">
      <c r="A678" s="18">
        <v>45251</v>
      </c>
      <c r="B678" t="s" s="13">
        <v>22</v>
      </c>
      <c r="C678" s="15">
        <v>125.05</v>
      </c>
      <c r="D678" s="15">
        <v>126.4</v>
      </c>
      <c r="E678" s="15">
        <v>124.95</v>
      </c>
      <c r="F678" s="15">
        <v>124.35</v>
      </c>
      <c r="G678" s="15">
        <v>126.2</v>
      </c>
      <c r="H678" s="15">
        <v>126.25</v>
      </c>
      <c r="I678" s="15">
        <v>125.95</v>
      </c>
      <c r="J678" s="15">
        <v>135</v>
      </c>
      <c r="K678" s="15">
        <v>101.55</v>
      </c>
      <c r="L678" s="15">
        <v>29643312</v>
      </c>
      <c r="M678" t="s" s="13">
        <v>8224</v>
      </c>
      <c r="N678" s="15">
        <v>152063</v>
      </c>
      <c r="O678" s="17" cm="1">
        <f t="array" ref="O678">(H678-H677)/H677</f>
        <v>0.0152794531564133</v>
      </c>
    </row>
    <row r="679" ht="13.65" customHeight="1">
      <c r="A679" s="18">
        <v>45252</v>
      </c>
      <c r="B679" t="s" s="13">
        <v>22</v>
      </c>
      <c r="C679" s="15">
        <v>126.4</v>
      </c>
      <c r="D679" s="15">
        <v>126.9</v>
      </c>
      <c r="E679" s="15">
        <v>125.5</v>
      </c>
      <c r="F679" s="15">
        <v>126.25</v>
      </c>
      <c r="G679" s="15">
        <v>126.3</v>
      </c>
      <c r="H679" s="15">
        <v>126.1</v>
      </c>
      <c r="I679" s="15">
        <v>126.11</v>
      </c>
      <c r="J679" s="15">
        <v>135</v>
      </c>
      <c r="K679" s="15">
        <v>101.55</v>
      </c>
      <c r="L679" s="15">
        <v>19588063</v>
      </c>
      <c r="M679" t="s" s="13">
        <v>8225</v>
      </c>
      <c r="N679" s="15">
        <v>112127</v>
      </c>
      <c r="O679" s="17" cm="1">
        <f t="array" ref="O679">(H679-H678)/H678</f>
        <v>-0.00118811881188119</v>
      </c>
    </row>
    <row r="680" ht="13.65" customHeight="1">
      <c r="A680" s="18">
        <v>45253</v>
      </c>
      <c r="B680" t="s" s="13">
        <v>22</v>
      </c>
      <c r="C680" s="15">
        <v>126.35</v>
      </c>
      <c r="D680" s="15">
        <v>127.4</v>
      </c>
      <c r="E680" s="15">
        <v>125.9</v>
      </c>
      <c r="F680" s="15">
        <v>126.1</v>
      </c>
      <c r="G680" s="15">
        <v>126.75</v>
      </c>
      <c r="H680" s="15">
        <v>126.7</v>
      </c>
      <c r="I680" s="15">
        <v>126.78</v>
      </c>
      <c r="J680" s="15">
        <v>135</v>
      </c>
      <c r="K680" s="15">
        <v>101.55</v>
      </c>
      <c r="L680" s="15">
        <v>30736851</v>
      </c>
      <c r="M680" t="s" s="13">
        <v>8226</v>
      </c>
      <c r="N680" s="15">
        <v>152378</v>
      </c>
      <c r="O680" s="17" cm="1">
        <f t="array" ref="O680">(H680-H679)/H679</f>
        <v>0.00475812846946868</v>
      </c>
    </row>
    <row r="681" ht="13.65" customHeight="1">
      <c r="A681" s="18">
        <v>45254</v>
      </c>
      <c r="B681" t="s" s="13">
        <v>22</v>
      </c>
      <c r="C681" s="15">
        <v>126.7</v>
      </c>
      <c r="D681" s="15">
        <v>127</v>
      </c>
      <c r="E681" s="15">
        <v>125.55</v>
      </c>
      <c r="F681" s="15">
        <v>126.7</v>
      </c>
      <c r="G681" s="15">
        <v>126.05</v>
      </c>
      <c r="H681" s="15">
        <v>125.95</v>
      </c>
      <c r="I681" s="15">
        <v>126.15</v>
      </c>
      <c r="J681" s="15">
        <v>135</v>
      </c>
      <c r="K681" s="15">
        <v>101.55</v>
      </c>
      <c r="L681" s="15">
        <v>14719450</v>
      </c>
      <c r="M681" t="s" s="13">
        <v>8227</v>
      </c>
      <c r="N681" s="15">
        <v>104736</v>
      </c>
      <c r="O681" s="17" cm="1">
        <f t="array" ref="O681">(H681-H680)/H680</f>
        <v>-0.00591949486977111</v>
      </c>
    </row>
    <row r="682" ht="13.65" customHeight="1">
      <c r="A682" s="18">
        <v>45258</v>
      </c>
      <c r="B682" t="s" s="13">
        <v>22</v>
      </c>
      <c r="C682" s="15">
        <v>127</v>
      </c>
      <c r="D682" s="15">
        <v>127</v>
      </c>
      <c r="E682" s="15">
        <v>126</v>
      </c>
      <c r="F682" s="15">
        <v>125.95</v>
      </c>
      <c r="G682" s="15">
        <v>126.95</v>
      </c>
      <c r="H682" s="15">
        <v>126.85</v>
      </c>
      <c r="I682" s="15">
        <v>126.49</v>
      </c>
      <c r="J682" s="15">
        <v>135</v>
      </c>
      <c r="K682" s="15">
        <v>101.55</v>
      </c>
      <c r="L682" s="15">
        <v>18377843</v>
      </c>
      <c r="M682" t="s" s="13">
        <v>8228</v>
      </c>
      <c r="N682" s="15">
        <v>137072</v>
      </c>
      <c r="O682" s="17" cm="1">
        <f t="array" ref="O682">(H682-H681)/H681</f>
        <v>0.00714569273521239</v>
      </c>
    </row>
    <row r="683" ht="13.65" customHeight="1">
      <c r="A683" s="18">
        <v>45259</v>
      </c>
      <c r="B683" t="s" s="13">
        <v>22</v>
      </c>
      <c r="C683" s="15">
        <v>127.15</v>
      </c>
      <c r="D683" s="15">
        <v>128.15</v>
      </c>
      <c r="E683" s="15">
        <v>126.7</v>
      </c>
      <c r="F683" s="15">
        <v>126.85</v>
      </c>
      <c r="G683" s="15">
        <v>127.8</v>
      </c>
      <c r="H683" s="15">
        <v>127.75</v>
      </c>
      <c r="I683" s="15">
        <v>127.6</v>
      </c>
      <c r="J683" s="15">
        <v>135</v>
      </c>
      <c r="K683" s="15">
        <v>101.55</v>
      </c>
      <c r="L683" s="15">
        <v>23092165</v>
      </c>
      <c r="M683" t="s" s="13">
        <v>8229</v>
      </c>
      <c r="N683" s="15">
        <v>137907</v>
      </c>
      <c r="O683" s="17" cm="1">
        <f t="array" ref="O683">(H683-H682)/H682</f>
        <v>0.00709499408750493</v>
      </c>
    </row>
    <row r="684" ht="13.65" customHeight="1">
      <c r="A684" s="18">
        <v>45260</v>
      </c>
      <c r="B684" t="s" s="13">
        <v>22</v>
      </c>
      <c r="C684" s="15">
        <v>127.8</v>
      </c>
      <c r="D684" s="15">
        <v>128.85</v>
      </c>
      <c r="E684" s="15">
        <v>126.5</v>
      </c>
      <c r="F684" s="15">
        <v>127.75</v>
      </c>
      <c r="G684" s="15">
        <v>127.9</v>
      </c>
      <c r="H684" s="15">
        <v>127.9</v>
      </c>
      <c r="I684" s="15">
        <v>127.97</v>
      </c>
      <c r="J684" s="15">
        <v>135</v>
      </c>
      <c r="K684" s="15">
        <v>101.55</v>
      </c>
      <c r="L684" s="15">
        <v>40165104</v>
      </c>
      <c r="M684" t="s" s="13">
        <v>8230</v>
      </c>
      <c r="N684" s="15">
        <v>173510</v>
      </c>
      <c r="O684" s="17" cm="1">
        <f t="array" ref="O684">(H684-H683)/H683</f>
        <v>0.00117416829745597</v>
      </c>
    </row>
    <row r="685" ht="13.65" customHeight="1">
      <c r="A685" s="12">
        <v>45261</v>
      </c>
      <c r="B685" t="s" s="13">
        <v>22</v>
      </c>
      <c r="C685" s="15">
        <v>128.9</v>
      </c>
      <c r="D685" s="15">
        <v>130.3</v>
      </c>
      <c r="E685" s="15">
        <v>128.05</v>
      </c>
      <c r="F685" s="15">
        <v>127.9</v>
      </c>
      <c r="G685" s="15">
        <v>130</v>
      </c>
      <c r="H685" s="15">
        <v>130</v>
      </c>
      <c r="I685" s="15">
        <v>129.41</v>
      </c>
      <c r="J685" s="15">
        <v>135</v>
      </c>
      <c r="K685" s="15">
        <v>101.55</v>
      </c>
      <c r="L685" s="15">
        <v>31192397</v>
      </c>
      <c r="M685" t="s" s="13">
        <v>8231</v>
      </c>
      <c r="N685" s="15">
        <v>172753</v>
      </c>
      <c r="O685" s="17" cm="1">
        <f t="array" ref="O685">(H685-H684)/H684</f>
        <v>0.016419077404222</v>
      </c>
    </row>
    <row r="686" ht="13.65" customHeight="1">
      <c r="A686" s="12">
        <v>45264</v>
      </c>
      <c r="B686" t="s" s="13">
        <v>22</v>
      </c>
      <c r="C686" s="15">
        <v>132.2</v>
      </c>
      <c r="D686" s="15">
        <v>132.35</v>
      </c>
      <c r="E686" s="15">
        <v>130.4</v>
      </c>
      <c r="F686" s="15">
        <v>130</v>
      </c>
      <c r="G686" s="15">
        <v>131</v>
      </c>
      <c r="H686" s="15">
        <v>131</v>
      </c>
      <c r="I686" s="15">
        <v>131.07</v>
      </c>
      <c r="J686" s="15">
        <v>135</v>
      </c>
      <c r="K686" s="15">
        <v>101.55</v>
      </c>
      <c r="L686" s="15">
        <v>41230928</v>
      </c>
      <c r="M686" t="s" s="13">
        <v>8232</v>
      </c>
      <c r="N686" s="15">
        <v>213569</v>
      </c>
      <c r="O686" s="17" cm="1">
        <f t="array" ref="O686">(H686-H685)/H685</f>
        <v>0.00769230769230769</v>
      </c>
    </row>
    <row r="687" ht="13.65" customHeight="1">
      <c r="A687" s="12">
        <v>45265</v>
      </c>
      <c r="B687" t="s" s="13">
        <v>22</v>
      </c>
      <c r="C687" s="15">
        <v>131</v>
      </c>
      <c r="D687" s="15">
        <v>132.45</v>
      </c>
      <c r="E687" s="15">
        <v>130</v>
      </c>
      <c r="F687" s="15">
        <v>131</v>
      </c>
      <c r="G687" s="15">
        <v>131.7</v>
      </c>
      <c r="H687" s="15">
        <v>131.6</v>
      </c>
      <c r="I687" s="15">
        <v>131.38</v>
      </c>
      <c r="J687" s="15">
        <v>135</v>
      </c>
      <c r="K687" s="15">
        <v>101.55</v>
      </c>
      <c r="L687" s="15">
        <v>35192149</v>
      </c>
      <c r="M687" t="s" s="13">
        <v>8233</v>
      </c>
      <c r="N687" s="15">
        <v>191777</v>
      </c>
      <c r="O687" s="17" cm="1">
        <f t="array" ref="O687">(H687-H686)/H686</f>
        <v>0.00458015267175573</v>
      </c>
    </row>
    <row r="688" ht="13.65" customHeight="1">
      <c r="A688" s="12">
        <v>45266</v>
      </c>
      <c r="B688" t="s" s="13">
        <v>22</v>
      </c>
      <c r="C688" s="15">
        <v>132.5</v>
      </c>
      <c r="D688" s="15">
        <v>133.4</v>
      </c>
      <c r="E688" s="15">
        <v>130.8</v>
      </c>
      <c r="F688" s="15">
        <v>131.6</v>
      </c>
      <c r="G688" s="15">
        <v>132</v>
      </c>
      <c r="H688" s="15">
        <v>131.85</v>
      </c>
      <c r="I688" s="15">
        <v>132</v>
      </c>
      <c r="J688" s="15">
        <v>135</v>
      </c>
      <c r="K688" s="15">
        <v>101.55</v>
      </c>
      <c r="L688" s="15">
        <v>40753593</v>
      </c>
      <c r="M688" t="s" s="13">
        <v>8234</v>
      </c>
      <c r="N688" s="15">
        <v>183004</v>
      </c>
      <c r="O688" s="17" cm="1">
        <f t="array" ref="O688">(H688-H687)/H687</f>
        <v>0.00189969604863222</v>
      </c>
    </row>
    <row r="689" ht="13.65" customHeight="1">
      <c r="A689" s="12">
        <v>45267</v>
      </c>
      <c r="B689" t="s" s="13">
        <v>22</v>
      </c>
      <c r="C689" s="15">
        <v>131.7</v>
      </c>
      <c r="D689" s="15">
        <v>132.2</v>
      </c>
      <c r="E689" s="15">
        <v>129.8</v>
      </c>
      <c r="F689" s="15">
        <v>131.85</v>
      </c>
      <c r="G689" s="15">
        <v>130.05</v>
      </c>
      <c r="H689" s="15">
        <v>130</v>
      </c>
      <c r="I689" s="15">
        <v>130.51</v>
      </c>
      <c r="J689" s="15">
        <v>135</v>
      </c>
      <c r="K689" s="15">
        <v>101.55</v>
      </c>
      <c r="L689" s="15">
        <v>34686333</v>
      </c>
      <c r="M689" t="s" s="13">
        <v>8235</v>
      </c>
      <c r="N689" s="15">
        <v>176826</v>
      </c>
      <c r="O689" s="17" cm="1">
        <f t="array" ref="O689">(H689-H688)/H688</f>
        <v>-0.0140310959423587</v>
      </c>
    </row>
    <row r="690" ht="13.65" customHeight="1">
      <c r="A690" s="12">
        <v>45268</v>
      </c>
      <c r="B690" t="s" s="13">
        <v>22</v>
      </c>
      <c r="C690" s="15">
        <v>130.15</v>
      </c>
      <c r="D690" s="15">
        <v>131.4</v>
      </c>
      <c r="E690" s="15">
        <v>127.95</v>
      </c>
      <c r="F690" s="15">
        <v>130</v>
      </c>
      <c r="G690" s="15">
        <v>129.2</v>
      </c>
      <c r="H690" s="15">
        <v>129.2</v>
      </c>
      <c r="I690" s="15">
        <v>129.66</v>
      </c>
      <c r="J690" s="15">
        <v>135</v>
      </c>
      <c r="K690" s="15">
        <v>101.55</v>
      </c>
      <c r="L690" s="15">
        <v>34393711</v>
      </c>
      <c r="M690" t="s" s="13">
        <v>8236</v>
      </c>
      <c r="N690" s="15">
        <v>164457</v>
      </c>
      <c r="O690" s="17" cm="1">
        <f t="array" ref="O690">(H690-H689)/H689</f>
        <v>-0.00615384615384615</v>
      </c>
    </row>
    <row r="691" ht="13.65" customHeight="1">
      <c r="A691" s="18">
        <v>45271</v>
      </c>
      <c r="B691" t="s" s="13">
        <v>22</v>
      </c>
      <c r="C691" s="15">
        <v>129.85</v>
      </c>
      <c r="D691" s="15">
        <v>130.5</v>
      </c>
      <c r="E691" s="15">
        <v>128.75</v>
      </c>
      <c r="F691" s="15">
        <v>129.2</v>
      </c>
      <c r="G691" s="15">
        <v>130.25</v>
      </c>
      <c r="H691" s="15">
        <v>130.05</v>
      </c>
      <c r="I691" s="15">
        <v>129.82</v>
      </c>
      <c r="J691" s="15">
        <v>135</v>
      </c>
      <c r="K691" s="15">
        <v>101.55</v>
      </c>
      <c r="L691" s="15">
        <v>24038059</v>
      </c>
      <c r="M691" t="s" s="13">
        <v>8237</v>
      </c>
      <c r="N691" s="15">
        <v>144371</v>
      </c>
      <c r="O691" s="17" cm="1">
        <f t="array" ref="O691">(H691-H690)/H690</f>
        <v>0.00657894736842105</v>
      </c>
    </row>
    <row r="692" ht="13.65" customHeight="1">
      <c r="A692" s="18">
        <v>45272</v>
      </c>
      <c r="B692" t="s" s="13">
        <v>22</v>
      </c>
      <c r="C692" s="15">
        <v>130.05</v>
      </c>
      <c r="D692" s="15">
        <v>132.15</v>
      </c>
      <c r="E692" s="15">
        <v>129.7</v>
      </c>
      <c r="F692" s="15">
        <v>130.05</v>
      </c>
      <c r="G692" s="15">
        <v>130.35</v>
      </c>
      <c r="H692" s="15">
        <v>130.1</v>
      </c>
      <c r="I692" s="15">
        <v>130.87</v>
      </c>
      <c r="J692" s="15">
        <v>135</v>
      </c>
      <c r="K692" s="15">
        <v>101.55</v>
      </c>
      <c r="L692" s="15">
        <v>30696410</v>
      </c>
      <c r="M692" t="s" s="13">
        <v>8238</v>
      </c>
      <c r="N692" s="15">
        <v>155668</v>
      </c>
      <c r="O692" s="17" cm="1">
        <f t="array" ref="O692">(H692-H691)/H691</f>
        <v>0.000384467512495194</v>
      </c>
    </row>
    <row r="693" ht="13.65" customHeight="1">
      <c r="A693" s="18">
        <v>45273</v>
      </c>
      <c r="B693" t="s" s="13">
        <v>22</v>
      </c>
      <c r="C693" s="15">
        <v>130.55</v>
      </c>
      <c r="D693" s="15">
        <v>131.5</v>
      </c>
      <c r="E693" s="15">
        <v>129.15</v>
      </c>
      <c r="F693" s="15">
        <v>130.1</v>
      </c>
      <c r="G693" s="15">
        <v>131.35</v>
      </c>
      <c r="H693" s="15">
        <v>131.4</v>
      </c>
      <c r="I693" s="15">
        <v>130.59</v>
      </c>
      <c r="J693" s="15">
        <v>135</v>
      </c>
      <c r="K693" s="15">
        <v>101.55</v>
      </c>
      <c r="L693" s="15">
        <v>22767972</v>
      </c>
      <c r="M693" t="s" s="13">
        <v>8239</v>
      </c>
      <c r="N693" s="15">
        <v>146208</v>
      </c>
      <c r="O693" s="17" cm="1">
        <f t="array" ref="O693">(H693-H692)/H692</f>
        <v>0.009992313604919289</v>
      </c>
    </row>
    <row r="694" ht="13.65" customHeight="1">
      <c r="A694" s="18">
        <v>45274</v>
      </c>
      <c r="B694" t="s" s="13">
        <v>22</v>
      </c>
      <c r="C694" s="15">
        <v>132.3</v>
      </c>
      <c r="D694" s="15">
        <v>133.25</v>
      </c>
      <c r="E694" s="15">
        <v>131.5</v>
      </c>
      <c r="F694" s="15">
        <v>131.4</v>
      </c>
      <c r="G694" s="15">
        <v>132</v>
      </c>
      <c r="H694" s="15">
        <v>132</v>
      </c>
      <c r="I694" s="15">
        <v>132.33</v>
      </c>
      <c r="J694" s="15">
        <v>135</v>
      </c>
      <c r="K694" s="15">
        <v>101.55</v>
      </c>
      <c r="L694" s="15">
        <v>43372143</v>
      </c>
      <c r="M694" t="s" s="13">
        <v>8240</v>
      </c>
      <c r="N694" s="15">
        <v>185803</v>
      </c>
      <c r="O694" s="17" cm="1">
        <f t="array" ref="O694">(H694-H693)/H693</f>
        <v>0.0045662100456621</v>
      </c>
    </row>
    <row r="695" ht="13.65" customHeight="1">
      <c r="A695" s="18">
        <v>45275</v>
      </c>
      <c r="B695" t="s" s="13">
        <v>22</v>
      </c>
      <c r="C695" s="15">
        <v>133.4</v>
      </c>
      <c r="D695" s="15">
        <v>136.75</v>
      </c>
      <c r="E695" s="15">
        <v>133</v>
      </c>
      <c r="F695" s="15">
        <v>132</v>
      </c>
      <c r="G695" s="15">
        <v>136.55</v>
      </c>
      <c r="H695" s="15">
        <v>136.45</v>
      </c>
      <c r="I695" s="15">
        <v>135.24</v>
      </c>
      <c r="J695" s="15">
        <v>136.75</v>
      </c>
      <c r="K695" s="15">
        <v>101.55</v>
      </c>
      <c r="L695" s="15">
        <v>77377446</v>
      </c>
      <c r="M695" t="s" s="13">
        <v>8241</v>
      </c>
      <c r="N695" s="15">
        <v>292704</v>
      </c>
      <c r="O695" s="17" cm="1">
        <f t="array" ref="O695">(H695-H694)/H694</f>
        <v>0.0337121212121212</v>
      </c>
    </row>
    <row r="696" ht="13.65" customHeight="1">
      <c r="A696" s="18">
        <v>45278</v>
      </c>
      <c r="B696" t="s" s="13">
        <v>22</v>
      </c>
      <c r="C696" s="15">
        <v>136.85</v>
      </c>
      <c r="D696" s="15">
        <v>137.6</v>
      </c>
      <c r="E696" s="15">
        <v>135.1</v>
      </c>
      <c r="F696" s="15">
        <v>136.45</v>
      </c>
      <c r="G696" s="15">
        <v>136.55</v>
      </c>
      <c r="H696" s="15">
        <v>136.6</v>
      </c>
      <c r="I696" s="15">
        <v>136.73</v>
      </c>
      <c r="J696" s="15">
        <v>137.6</v>
      </c>
      <c r="K696" s="15">
        <v>101.55</v>
      </c>
      <c r="L696" s="15">
        <v>38461877</v>
      </c>
      <c r="M696" t="s" s="13">
        <v>8242</v>
      </c>
      <c r="N696" s="15">
        <v>259565</v>
      </c>
      <c r="O696" s="17" cm="1">
        <f t="array" ref="O696">(H696-H695)/H695</f>
        <v>0.00109930377427629</v>
      </c>
    </row>
    <row r="697" ht="13.65" customHeight="1">
      <c r="A697" s="18">
        <v>45279</v>
      </c>
      <c r="B697" t="s" s="13">
        <v>22</v>
      </c>
      <c r="C697" s="15">
        <v>136.65</v>
      </c>
      <c r="D697" s="15">
        <v>137.6</v>
      </c>
      <c r="E697" s="15">
        <v>134.8</v>
      </c>
      <c r="F697" s="15">
        <v>136.6</v>
      </c>
      <c r="G697" s="15">
        <v>135.5</v>
      </c>
      <c r="H697" s="15">
        <v>135.4</v>
      </c>
      <c r="I697" s="15">
        <v>135.81</v>
      </c>
      <c r="J697" s="15">
        <v>137.6</v>
      </c>
      <c r="K697" s="15">
        <v>101.55</v>
      </c>
      <c r="L697" s="15">
        <v>27726431</v>
      </c>
      <c r="M697" t="s" s="13">
        <v>8243</v>
      </c>
      <c r="N697" s="15">
        <v>167461</v>
      </c>
      <c r="O697" s="17" cm="1">
        <f t="array" ref="O697">(H697-H696)/H696</f>
        <v>-0.008784773060029279</v>
      </c>
    </row>
    <row r="698" ht="13.65" customHeight="1">
      <c r="A698" s="18">
        <v>45280</v>
      </c>
      <c r="B698" t="s" s="13">
        <v>22</v>
      </c>
      <c r="C698" s="15">
        <v>135.9</v>
      </c>
      <c r="D698" s="15">
        <v>136.15</v>
      </c>
      <c r="E698" s="15">
        <v>128.75</v>
      </c>
      <c r="F698" s="15">
        <v>135.4</v>
      </c>
      <c r="G698" s="15">
        <v>128.85</v>
      </c>
      <c r="H698" s="15">
        <v>129.75</v>
      </c>
      <c r="I698" s="15">
        <v>132.87</v>
      </c>
      <c r="J698" s="15">
        <v>137.6</v>
      </c>
      <c r="K698" s="15">
        <v>101.55</v>
      </c>
      <c r="L698" s="15">
        <v>39495961</v>
      </c>
      <c r="M698" t="s" s="13">
        <v>8244</v>
      </c>
      <c r="N698" s="15">
        <v>201438</v>
      </c>
      <c r="O698" s="17" cm="1">
        <f t="array" ref="O698">(H698-H697)/H697</f>
        <v>-0.0417282127031019</v>
      </c>
    </row>
    <row r="699" ht="13.65" customHeight="1">
      <c r="A699" s="18">
        <v>45281</v>
      </c>
      <c r="B699" t="s" s="13">
        <v>22</v>
      </c>
      <c r="C699" s="15">
        <v>128.7</v>
      </c>
      <c r="D699" s="15">
        <v>131.45</v>
      </c>
      <c r="E699" s="15">
        <v>127.85</v>
      </c>
      <c r="F699" s="15">
        <v>129.75</v>
      </c>
      <c r="G699" s="15">
        <v>131.4</v>
      </c>
      <c r="H699" s="15">
        <v>131</v>
      </c>
      <c r="I699" s="15">
        <v>130.01</v>
      </c>
      <c r="J699" s="15">
        <v>137.6</v>
      </c>
      <c r="K699" s="15">
        <v>101.55</v>
      </c>
      <c r="L699" s="15">
        <v>34914399</v>
      </c>
      <c r="M699" t="s" s="13">
        <v>8245</v>
      </c>
      <c r="N699" s="15">
        <v>198021</v>
      </c>
      <c r="O699" s="17" cm="1">
        <f t="array" ref="O699">(H699-H698)/H698</f>
        <v>0.00963391136801541</v>
      </c>
    </row>
    <row r="700" ht="13.65" customHeight="1">
      <c r="A700" s="18">
        <v>45282</v>
      </c>
      <c r="B700" t="s" s="13">
        <v>22</v>
      </c>
      <c r="C700" s="15">
        <v>132.4</v>
      </c>
      <c r="D700" s="15">
        <v>134.75</v>
      </c>
      <c r="E700" s="15">
        <v>131.75</v>
      </c>
      <c r="F700" s="15">
        <v>131</v>
      </c>
      <c r="G700" s="15">
        <v>133.45</v>
      </c>
      <c r="H700" s="15">
        <v>133.55</v>
      </c>
      <c r="I700" s="15">
        <v>133.44</v>
      </c>
      <c r="J700" s="15">
        <v>137.6</v>
      </c>
      <c r="K700" s="15">
        <v>101.55</v>
      </c>
      <c r="L700" s="15">
        <v>37357334</v>
      </c>
      <c r="M700" t="s" s="13">
        <v>8246</v>
      </c>
      <c r="N700" s="15">
        <v>213314</v>
      </c>
      <c r="O700" s="17" cm="1">
        <f t="array" ref="O700">(H700-H699)/H699</f>
        <v>0.0194656488549618</v>
      </c>
    </row>
    <row r="701" ht="13.65" customHeight="1">
      <c r="A701" s="18">
        <v>45286</v>
      </c>
      <c r="B701" t="s" s="13">
        <v>22</v>
      </c>
      <c r="C701" s="15">
        <v>134.7</v>
      </c>
      <c r="D701" s="15">
        <v>136.1</v>
      </c>
      <c r="E701" s="15">
        <v>134.45</v>
      </c>
      <c r="F701" s="15">
        <v>133.55</v>
      </c>
      <c r="G701" s="15">
        <v>135.4</v>
      </c>
      <c r="H701" s="15">
        <v>135.2</v>
      </c>
      <c r="I701" s="15">
        <v>135.43</v>
      </c>
      <c r="J701" s="15">
        <v>137.6</v>
      </c>
      <c r="K701" s="15">
        <v>101.55</v>
      </c>
      <c r="L701" s="15">
        <v>25936447</v>
      </c>
      <c r="M701" t="s" s="13">
        <v>8247</v>
      </c>
      <c r="N701" s="15">
        <v>182329</v>
      </c>
      <c r="O701" s="17" cm="1">
        <f t="array" ref="O701">(H701-H700)/H700</f>
        <v>0.0123549232497192</v>
      </c>
    </row>
    <row r="702" ht="13.65" customHeight="1">
      <c r="A702" s="18">
        <v>45287</v>
      </c>
      <c r="B702" t="s" s="13">
        <v>22</v>
      </c>
      <c r="C702" s="15">
        <v>135.85</v>
      </c>
      <c r="D702" s="15">
        <v>138.9</v>
      </c>
      <c r="E702" s="15">
        <v>135.5</v>
      </c>
      <c r="F702" s="15">
        <v>135.2</v>
      </c>
      <c r="G702" s="15">
        <v>137</v>
      </c>
      <c r="H702" s="15">
        <v>137.2</v>
      </c>
      <c r="I702" s="15">
        <v>137.4</v>
      </c>
      <c r="J702" s="15">
        <v>138.9</v>
      </c>
      <c r="K702" s="15">
        <v>101.55</v>
      </c>
      <c r="L702" s="15">
        <v>48101400</v>
      </c>
      <c r="M702" t="s" s="13">
        <v>8248</v>
      </c>
      <c r="N702" s="15">
        <v>240022</v>
      </c>
      <c r="O702" s="17" cm="1">
        <f t="array" ref="O702">(H702-H701)/H701</f>
        <v>0.014792899408284</v>
      </c>
    </row>
    <row r="703" ht="13.65" customHeight="1">
      <c r="A703" s="18">
        <v>45288</v>
      </c>
      <c r="B703" t="s" s="13">
        <v>22</v>
      </c>
      <c r="C703" s="15">
        <v>138.15</v>
      </c>
      <c r="D703" s="15">
        <v>138.75</v>
      </c>
      <c r="E703" s="15">
        <v>136.85</v>
      </c>
      <c r="F703" s="15">
        <v>137.2</v>
      </c>
      <c r="G703" s="15">
        <v>138.25</v>
      </c>
      <c r="H703" s="15">
        <v>138.15</v>
      </c>
      <c r="I703" s="15">
        <v>137.88</v>
      </c>
      <c r="J703" s="15">
        <v>138.9</v>
      </c>
      <c r="K703" s="15">
        <v>101.55</v>
      </c>
      <c r="L703" s="15">
        <v>34661176</v>
      </c>
      <c r="M703" t="s" s="13">
        <v>8249</v>
      </c>
      <c r="N703" s="15">
        <v>215436</v>
      </c>
      <c r="O703" s="17" cm="1">
        <f t="array" ref="O703">(H703-H702)/H702</f>
        <v>0.00692419825072886</v>
      </c>
    </row>
    <row r="704" ht="13.65" customHeight="1">
      <c r="A704" s="18">
        <v>45289</v>
      </c>
      <c r="B704" t="s" s="13">
        <v>22</v>
      </c>
      <c r="C704" s="15">
        <v>138.6</v>
      </c>
      <c r="D704" s="15">
        <v>141.25</v>
      </c>
      <c r="E704" s="15">
        <v>137.15</v>
      </c>
      <c r="F704" s="15">
        <v>138.15</v>
      </c>
      <c r="G704" s="15">
        <v>139.3</v>
      </c>
      <c r="H704" s="15">
        <v>139.6</v>
      </c>
      <c r="I704" s="15">
        <v>139.52</v>
      </c>
      <c r="J704" s="15">
        <v>141.25</v>
      </c>
      <c r="K704" s="15">
        <v>101.55</v>
      </c>
      <c r="L704" s="15">
        <v>49202910</v>
      </c>
      <c r="M704" t="s" s="13">
        <v>8250</v>
      </c>
      <c r="N704" s="15">
        <v>234503</v>
      </c>
      <c r="O704" s="17" cm="1">
        <f t="array" ref="O704">(H704-H703)/H703</f>
        <v>0.0104958378574014</v>
      </c>
    </row>
    <row r="705" ht="13.65" customHeight="1">
      <c r="A705" s="12">
        <v>45292</v>
      </c>
      <c r="B705" t="s" s="13">
        <v>22</v>
      </c>
      <c r="C705" s="15">
        <v>140</v>
      </c>
      <c r="D705" s="15">
        <v>140.95</v>
      </c>
      <c r="E705" s="15">
        <v>139.05</v>
      </c>
      <c r="F705" s="15">
        <v>139.6</v>
      </c>
      <c r="G705" s="15">
        <v>139.7</v>
      </c>
      <c r="H705" s="15">
        <v>139.85</v>
      </c>
      <c r="I705" s="15">
        <v>140.16</v>
      </c>
      <c r="J705" s="15">
        <v>141.25</v>
      </c>
      <c r="K705" s="15">
        <v>101.55</v>
      </c>
      <c r="L705" s="15">
        <v>21186105</v>
      </c>
      <c r="M705" t="s" s="13">
        <v>8251</v>
      </c>
      <c r="N705" s="15">
        <v>187550</v>
      </c>
      <c r="O705" s="17" cm="1">
        <f t="array" ref="O705">(H705-H704)/H704</f>
        <v>0.00179083094555874</v>
      </c>
    </row>
    <row r="706" ht="13.65" customHeight="1">
      <c r="A706" s="12">
        <v>45293</v>
      </c>
      <c r="B706" t="s" s="13">
        <v>22</v>
      </c>
      <c r="C706" s="15">
        <v>140.5</v>
      </c>
      <c r="D706" s="15">
        <v>140.6</v>
      </c>
      <c r="E706" s="15">
        <v>137.05</v>
      </c>
      <c r="F706" s="15">
        <v>139.85</v>
      </c>
      <c r="G706" s="15">
        <v>139.5</v>
      </c>
      <c r="H706" s="15">
        <v>139.6</v>
      </c>
      <c r="I706" s="15">
        <v>139.16</v>
      </c>
      <c r="J706" s="15">
        <v>141.25</v>
      </c>
      <c r="K706" s="15">
        <v>101.55</v>
      </c>
      <c r="L706" s="15">
        <v>27764060</v>
      </c>
      <c r="M706" t="s" s="13">
        <v>8252</v>
      </c>
      <c r="N706" s="15">
        <v>167466</v>
      </c>
      <c r="O706" s="17" cm="1">
        <f t="array" ref="O706">(H706-H705)/H705</f>
        <v>-0.00178762960314623</v>
      </c>
    </row>
    <row r="707" ht="13.65" customHeight="1">
      <c r="A707" s="12">
        <v>45294</v>
      </c>
      <c r="B707" t="s" s="13">
        <v>22</v>
      </c>
      <c r="C707" s="15">
        <v>139.5</v>
      </c>
      <c r="D707" s="15">
        <v>139.6</v>
      </c>
      <c r="E707" s="15">
        <v>134.35</v>
      </c>
      <c r="F707" s="15">
        <v>139.6</v>
      </c>
      <c r="G707" s="15">
        <v>135</v>
      </c>
      <c r="H707" s="15">
        <v>135.35</v>
      </c>
      <c r="I707" s="15">
        <v>136.44</v>
      </c>
      <c r="J707" s="15">
        <v>141.25</v>
      </c>
      <c r="K707" s="15">
        <v>101.55</v>
      </c>
      <c r="L707" s="15">
        <v>45176618</v>
      </c>
      <c r="M707" t="s" s="13">
        <v>8253</v>
      </c>
      <c r="N707" s="15">
        <v>279840</v>
      </c>
      <c r="O707" s="17" cm="1">
        <f t="array" ref="O707">(H707-H706)/H706</f>
        <v>-0.0304441260744986</v>
      </c>
    </row>
    <row r="708" ht="13.65" customHeight="1">
      <c r="A708" s="12">
        <v>45295</v>
      </c>
      <c r="B708" t="s" s="13">
        <v>22</v>
      </c>
      <c r="C708" s="15">
        <v>136</v>
      </c>
      <c r="D708" s="15">
        <v>136.35</v>
      </c>
      <c r="E708" s="15">
        <v>134</v>
      </c>
      <c r="F708" s="15">
        <v>135.35</v>
      </c>
      <c r="G708" s="15">
        <v>134.4</v>
      </c>
      <c r="H708" s="15">
        <v>134.25</v>
      </c>
      <c r="I708" s="15">
        <v>134.42</v>
      </c>
      <c r="J708" s="15">
        <v>141.25</v>
      </c>
      <c r="K708" s="15">
        <v>101.55</v>
      </c>
      <c r="L708" s="15">
        <v>43913498</v>
      </c>
      <c r="M708" t="s" s="13">
        <v>8254</v>
      </c>
      <c r="N708" s="15">
        <v>249740</v>
      </c>
      <c r="O708" s="17" cm="1">
        <f t="array" ref="O708">(H708-H707)/H707</f>
        <v>-0.00812707794606576</v>
      </c>
    </row>
    <row r="709" ht="13.65" customHeight="1">
      <c r="A709" s="12">
        <v>45296</v>
      </c>
      <c r="B709" t="s" s="13">
        <v>22</v>
      </c>
      <c r="C709" s="15">
        <v>135</v>
      </c>
      <c r="D709" s="15">
        <v>135.95</v>
      </c>
      <c r="E709" s="15">
        <v>132.85</v>
      </c>
      <c r="F709" s="15">
        <v>134.25</v>
      </c>
      <c r="G709" s="15">
        <v>133.7</v>
      </c>
      <c r="H709" s="15">
        <v>133.65</v>
      </c>
      <c r="I709" s="15">
        <v>134.34</v>
      </c>
      <c r="J709" s="15">
        <v>141.25</v>
      </c>
      <c r="K709" s="15">
        <v>101.55</v>
      </c>
      <c r="L709" s="15">
        <v>71330190</v>
      </c>
      <c r="M709" t="s" s="13">
        <v>8255</v>
      </c>
      <c r="N709" s="15">
        <v>248067</v>
      </c>
      <c r="O709" s="17" cm="1">
        <f t="array" ref="O709">(H709-H708)/H708</f>
        <v>-0.00446927374301676</v>
      </c>
    </row>
    <row r="710" ht="13.65" customHeight="1">
      <c r="A710" s="12">
        <v>45299</v>
      </c>
      <c r="B710" t="s" s="13">
        <v>22</v>
      </c>
      <c r="C710" s="15">
        <v>135.3</v>
      </c>
      <c r="D710" s="15">
        <v>135.95</v>
      </c>
      <c r="E710" s="15">
        <v>131.75</v>
      </c>
      <c r="F710" s="15">
        <v>133.65</v>
      </c>
      <c r="G710" s="15">
        <v>132.3</v>
      </c>
      <c r="H710" s="15">
        <v>132</v>
      </c>
      <c r="I710" s="15">
        <v>133.63</v>
      </c>
      <c r="J710" s="15">
        <v>141.25</v>
      </c>
      <c r="K710" s="15">
        <v>101.55</v>
      </c>
      <c r="L710" s="15">
        <v>39559717</v>
      </c>
      <c r="M710" t="s" s="13">
        <v>8256</v>
      </c>
      <c r="N710" s="15">
        <v>228285</v>
      </c>
      <c r="O710" s="17" cm="1">
        <f t="array" ref="O710">(H710-H709)/H709</f>
        <v>-0.0123456790123457</v>
      </c>
    </row>
    <row r="711" ht="13.65" customHeight="1">
      <c r="A711" s="12">
        <v>45300</v>
      </c>
      <c r="B711" t="s" s="13">
        <v>22</v>
      </c>
      <c r="C711" s="15">
        <v>133.5</v>
      </c>
      <c r="D711" s="15">
        <v>134.8</v>
      </c>
      <c r="E711" s="15">
        <v>132.5</v>
      </c>
      <c r="F711" s="15">
        <v>132</v>
      </c>
      <c r="G711" s="15">
        <v>133.85</v>
      </c>
      <c r="H711" s="15">
        <v>133.65</v>
      </c>
      <c r="I711" s="15">
        <v>133.81</v>
      </c>
      <c r="J711" s="15">
        <v>141.25</v>
      </c>
      <c r="K711" s="15">
        <v>101.55</v>
      </c>
      <c r="L711" s="15">
        <v>30736868</v>
      </c>
      <c r="M711" t="s" s="13">
        <v>8257</v>
      </c>
      <c r="N711" s="15">
        <v>168721</v>
      </c>
      <c r="O711" s="17" cm="1">
        <f t="array" ref="O711">(H711-H710)/H710</f>
        <v>0.0125</v>
      </c>
    </row>
    <row r="712" ht="13.65" customHeight="1">
      <c r="A712" s="18">
        <v>45301</v>
      </c>
      <c r="B712" t="s" s="13">
        <v>22</v>
      </c>
      <c r="C712" s="15">
        <v>133.8</v>
      </c>
      <c r="D712" s="15">
        <v>134.7</v>
      </c>
      <c r="E712" s="15">
        <v>132.1</v>
      </c>
      <c r="F712" s="15">
        <v>133.65</v>
      </c>
      <c r="G712" s="15">
        <v>134.15</v>
      </c>
      <c r="H712" s="15">
        <v>134.1</v>
      </c>
      <c r="I712" s="15">
        <v>133.72</v>
      </c>
      <c r="J712" s="15">
        <v>141.25</v>
      </c>
      <c r="K712" s="15">
        <v>101.55</v>
      </c>
      <c r="L712" s="15">
        <v>27213624</v>
      </c>
      <c r="M712" t="s" s="13">
        <v>8258</v>
      </c>
      <c r="N712" s="15">
        <v>175426</v>
      </c>
      <c r="O712" s="17" cm="1">
        <f t="array" ref="O712">(H712-H711)/H711</f>
        <v>0.00336700336700337</v>
      </c>
    </row>
    <row r="713" ht="13.65" customHeight="1">
      <c r="A713" s="18">
        <v>45302</v>
      </c>
      <c r="B713" t="s" s="13">
        <v>22</v>
      </c>
      <c r="C713" s="15">
        <v>134.85</v>
      </c>
      <c r="D713" s="15">
        <v>135.65</v>
      </c>
      <c r="E713" s="15">
        <v>134.2</v>
      </c>
      <c r="F713" s="15">
        <v>134.1</v>
      </c>
      <c r="G713" s="15">
        <v>135.1</v>
      </c>
      <c r="H713" s="15">
        <v>134.9</v>
      </c>
      <c r="I713" s="15">
        <v>135.05</v>
      </c>
      <c r="J713" s="15">
        <v>141.25</v>
      </c>
      <c r="K713" s="15">
        <v>101.55</v>
      </c>
      <c r="L713" s="15">
        <v>23113349</v>
      </c>
      <c r="M713" t="s" s="13">
        <v>8259</v>
      </c>
      <c r="N713" s="15">
        <v>152705</v>
      </c>
      <c r="O713" s="17" cm="1">
        <f t="array" ref="O713">(H713-H712)/H712</f>
        <v>0.00596569724086503</v>
      </c>
    </row>
    <row r="714" ht="13.65" customHeight="1">
      <c r="A714" s="18">
        <v>45303</v>
      </c>
      <c r="B714" t="s" s="13">
        <v>22</v>
      </c>
      <c r="C714" s="15">
        <v>135.8</v>
      </c>
      <c r="D714" s="15">
        <v>136.25</v>
      </c>
      <c r="E714" s="15">
        <v>134.65</v>
      </c>
      <c r="F714" s="15">
        <v>134.9</v>
      </c>
      <c r="G714" s="15">
        <v>135.45</v>
      </c>
      <c r="H714" s="15">
        <v>135.3</v>
      </c>
      <c r="I714" s="15">
        <v>135.58</v>
      </c>
      <c r="J714" s="15">
        <v>141.25</v>
      </c>
      <c r="K714" s="15">
        <v>101.55</v>
      </c>
      <c r="L714" s="15">
        <v>32883921</v>
      </c>
      <c r="M714" t="s" s="13">
        <v>8260</v>
      </c>
      <c r="N714" s="15">
        <v>170543</v>
      </c>
      <c r="O714" s="17" cm="1">
        <f t="array" ref="O714">(H714-H713)/H713</f>
        <v>0.00296515937731653</v>
      </c>
    </row>
    <row r="715" ht="13.65" customHeight="1">
      <c r="A715" s="18">
        <v>45306</v>
      </c>
      <c r="B715" t="s" s="13">
        <v>22</v>
      </c>
      <c r="C715" s="15">
        <v>136</v>
      </c>
      <c r="D715" s="15">
        <v>136.25</v>
      </c>
      <c r="E715" s="15">
        <v>133.95</v>
      </c>
      <c r="F715" s="15">
        <v>135.3</v>
      </c>
      <c r="G715" s="15">
        <v>135</v>
      </c>
      <c r="H715" s="15">
        <v>134.9</v>
      </c>
      <c r="I715" s="15">
        <v>134.79</v>
      </c>
      <c r="J715" s="15">
        <v>141.25</v>
      </c>
      <c r="K715" s="15">
        <v>101.55</v>
      </c>
      <c r="L715" s="15">
        <v>34158775</v>
      </c>
      <c r="M715" t="s" s="13">
        <v>8261</v>
      </c>
      <c r="N715" s="15">
        <v>177458</v>
      </c>
      <c r="O715" s="17" cm="1">
        <f t="array" ref="O715">(H715-H714)/H714</f>
        <v>-0.00295639320029564</v>
      </c>
    </row>
    <row r="716" ht="13.65" customHeight="1">
      <c r="A716" s="18">
        <v>45307</v>
      </c>
      <c r="B716" t="s" s="13">
        <v>22</v>
      </c>
      <c r="C716" s="15">
        <v>134.7</v>
      </c>
      <c r="D716" s="15">
        <v>138.5</v>
      </c>
      <c r="E716" s="15">
        <v>134</v>
      </c>
      <c r="F716" s="15">
        <v>134.9</v>
      </c>
      <c r="G716" s="15">
        <v>137.25</v>
      </c>
      <c r="H716" s="15">
        <v>137.25</v>
      </c>
      <c r="I716" s="15">
        <v>136.59</v>
      </c>
      <c r="J716" s="15">
        <v>141.25</v>
      </c>
      <c r="K716" s="15">
        <v>101.55</v>
      </c>
      <c r="L716" s="15">
        <v>56361287</v>
      </c>
      <c r="M716" t="s" s="13">
        <v>8262</v>
      </c>
      <c r="N716" s="15">
        <v>213394</v>
      </c>
      <c r="O716" s="17" cm="1">
        <f t="array" ref="O716">(H716-H715)/H715</f>
        <v>0.0174203113417346</v>
      </c>
    </row>
    <row r="717" ht="13.65" customHeight="1">
      <c r="A717" s="18">
        <v>45308</v>
      </c>
      <c r="B717" t="s" s="13">
        <v>22</v>
      </c>
      <c r="C717" s="15">
        <v>135.45</v>
      </c>
      <c r="D717" s="15">
        <v>135.75</v>
      </c>
      <c r="E717" s="15">
        <v>131.4</v>
      </c>
      <c r="F717" s="15">
        <v>137.25</v>
      </c>
      <c r="G717" s="15">
        <v>131.8</v>
      </c>
      <c r="H717" s="15">
        <v>131.65</v>
      </c>
      <c r="I717" s="15">
        <v>133.28</v>
      </c>
      <c r="J717" s="15">
        <v>141.25</v>
      </c>
      <c r="K717" s="15">
        <v>101.55</v>
      </c>
      <c r="L717" s="15">
        <v>58982971</v>
      </c>
      <c r="M717" t="s" s="13">
        <v>8263</v>
      </c>
      <c r="N717" s="15">
        <v>298756</v>
      </c>
      <c r="O717" s="17" cm="1">
        <f t="array" ref="O717">(H717-H716)/H716</f>
        <v>-0.0408014571948998</v>
      </c>
    </row>
    <row r="718" ht="13.65" customHeight="1">
      <c r="A718" s="18">
        <v>45309</v>
      </c>
      <c r="B718" t="s" s="13">
        <v>22</v>
      </c>
      <c r="C718" s="15">
        <v>131.65</v>
      </c>
      <c r="D718" s="15">
        <v>132.25</v>
      </c>
      <c r="E718" s="15">
        <v>128.2</v>
      </c>
      <c r="F718" s="15">
        <v>131.65</v>
      </c>
      <c r="G718" s="15">
        <v>131.35</v>
      </c>
      <c r="H718" s="15">
        <v>131</v>
      </c>
      <c r="I718" s="15">
        <v>130.47</v>
      </c>
      <c r="J718" s="15">
        <v>141.25</v>
      </c>
      <c r="K718" s="15">
        <v>101.55</v>
      </c>
      <c r="L718" s="15">
        <v>45273496</v>
      </c>
      <c r="M718" t="s" s="13">
        <v>8264</v>
      </c>
      <c r="N718" s="15">
        <v>267573</v>
      </c>
      <c r="O718" s="17" cm="1">
        <f t="array" ref="O718">(H718-H717)/H717</f>
        <v>-0.00493733383972655</v>
      </c>
    </row>
    <row r="719" ht="13.65" customHeight="1">
      <c r="A719" s="18">
        <v>45310</v>
      </c>
      <c r="B719" t="s" s="13">
        <v>22</v>
      </c>
      <c r="C719" s="15">
        <v>132.6</v>
      </c>
      <c r="D719" s="15">
        <v>134.7</v>
      </c>
      <c r="E719" s="15">
        <v>131.6</v>
      </c>
      <c r="F719" s="15">
        <v>131</v>
      </c>
      <c r="G719" s="15">
        <v>134.1</v>
      </c>
      <c r="H719" s="15">
        <v>134.25</v>
      </c>
      <c r="I719" s="15">
        <v>133.63</v>
      </c>
      <c r="J719" s="15">
        <v>141.25</v>
      </c>
      <c r="K719" s="15">
        <v>101.55</v>
      </c>
      <c r="L719" s="15">
        <v>32653013</v>
      </c>
      <c r="M719" t="s" s="13">
        <v>8265</v>
      </c>
      <c r="N719" s="15">
        <v>187679</v>
      </c>
      <c r="O719" s="17" cm="1">
        <f t="array" ref="O719">(H719-H718)/H718</f>
        <v>0.0248091603053435</v>
      </c>
    </row>
    <row r="720" ht="13.65" customHeight="1">
      <c r="A720" s="18">
        <v>45311</v>
      </c>
      <c r="B720" t="s" s="13">
        <v>22</v>
      </c>
      <c r="C720" s="15">
        <v>134.25</v>
      </c>
      <c r="D720" s="15">
        <v>135.2</v>
      </c>
      <c r="E720" s="15">
        <v>133.3</v>
      </c>
      <c r="F720" s="15">
        <v>134.25</v>
      </c>
      <c r="G720" s="15">
        <v>133.9</v>
      </c>
      <c r="H720" s="15">
        <v>133.95</v>
      </c>
      <c r="I720" s="15">
        <v>134.26</v>
      </c>
      <c r="J720" s="15">
        <v>141.25</v>
      </c>
      <c r="K720" s="15">
        <v>101.55</v>
      </c>
      <c r="L720" s="15">
        <v>16578179</v>
      </c>
      <c r="M720" t="s" s="13">
        <v>8266</v>
      </c>
      <c r="N720" s="15">
        <v>122378</v>
      </c>
      <c r="O720" s="17" cm="1">
        <f t="array" ref="O720">(H720-H719)/H719</f>
        <v>-0.00223463687150838</v>
      </c>
    </row>
    <row r="721" ht="13.65" customHeight="1">
      <c r="A721" s="18">
        <v>45314</v>
      </c>
      <c r="B721" t="s" s="13">
        <v>22</v>
      </c>
      <c r="C721" s="15">
        <v>134.8</v>
      </c>
      <c r="D721" s="15">
        <v>135.2</v>
      </c>
      <c r="E721" s="15">
        <v>129.3</v>
      </c>
      <c r="F721" s="15">
        <v>133.95</v>
      </c>
      <c r="G721" s="15">
        <v>130.05</v>
      </c>
      <c r="H721" s="15">
        <v>130.1</v>
      </c>
      <c r="I721" s="15">
        <v>132.31</v>
      </c>
      <c r="J721" s="15">
        <v>141.25</v>
      </c>
      <c r="K721" s="15">
        <v>101.55</v>
      </c>
      <c r="L721" s="15">
        <v>35373970</v>
      </c>
      <c r="M721" t="s" s="13">
        <v>8267</v>
      </c>
      <c r="N721" s="15">
        <v>217517</v>
      </c>
      <c r="O721" s="17" cm="1">
        <f t="array" ref="O721">(H721-H720)/H720</f>
        <v>-0.0287420679357969</v>
      </c>
    </row>
    <row r="722" ht="13.65" customHeight="1">
      <c r="A722" s="18">
        <v>45315</v>
      </c>
      <c r="B722" t="s" s="13">
        <v>22</v>
      </c>
      <c r="C722" s="15">
        <v>130.2</v>
      </c>
      <c r="D722" s="15">
        <v>135.55</v>
      </c>
      <c r="E722" s="15">
        <v>130.1</v>
      </c>
      <c r="F722" s="15">
        <v>130.1</v>
      </c>
      <c r="G722" s="15">
        <v>134.9</v>
      </c>
      <c r="H722" s="15">
        <v>135.15</v>
      </c>
      <c r="I722" s="15">
        <v>133.35</v>
      </c>
      <c r="J722" s="15">
        <v>141.25</v>
      </c>
      <c r="K722" s="15">
        <v>101.55</v>
      </c>
      <c r="L722" s="15">
        <v>39340119</v>
      </c>
      <c r="M722" t="s" s="13">
        <v>8268</v>
      </c>
      <c r="N722" s="15">
        <v>216385</v>
      </c>
      <c r="O722" s="17" cm="1">
        <f t="array" ref="O722">(H722-H721)/H721</f>
        <v>0.0388162951575711</v>
      </c>
    </row>
    <row r="723" ht="13.65" customHeight="1">
      <c r="A723" s="18">
        <v>45316</v>
      </c>
      <c r="B723" t="s" s="13">
        <v>22</v>
      </c>
      <c r="C723" s="15">
        <v>136.5</v>
      </c>
      <c r="D723" s="15">
        <v>136.5</v>
      </c>
      <c r="E723" s="15">
        <v>132</v>
      </c>
      <c r="F723" s="15">
        <v>135.15</v>
      </c>
      <c r="G723" s="15">
        <v>134.15</v>
      </c>
      <c r="H723" s="15">
        <v>133.75</v>
      </c>
      <c r="I723" s="15">
        <v>134.19</v>
      </c>
      <c r="J723" s="15">
        <v>141.25</v>
      </c>
      <c r="K723" s="15">
        <v>101.55</v>
      </c>
      <c r="L723" s="15">
        <v>61358839</v>
      </c>
      <c r="M723" t="s" s="13">
        <v>8269</v>
      </c>
      <c r="N723" s="15">
        <v>306685</v>
      </c>
      <c r="O723" s="17" cm="1">
        <f t="array" ref="O723">(H723-H722)/H722</f>
        <v>-0.0103588605253422</v>
      </c>
    </row>
    <row r="724" ht="13.65" customHeight="1">
      <c r="A724" s="18">
        <v>45320</v>
      </c>
      <c r="B724" t="s" s="13">
        <v>22</v>
      </c>
      <c r="C724" s="15">
        <v>134.7</v>
      </c>
      <c r="D724" s="15">
        <v>135.4</v>
      </c>
      <c r="E724" s="15">
        <v>133.5</v>
      </c>
      <c r="F724" s="15">
        <v>133.75</v>
      </c>
      <c r="G724" s="15">
        <v>135.05</v>
      </c>
      <c r="H724" s="15">
        <v>135</v>
      </c>
      <c r="I724" s="15">
        <v>134.67</v>
      </c>
      <c r="J724" s="15">
        <v>141.25</v>
      </c>
      <c r="K724" s="15">
        <v>101.55</v>
      </c>
      <c r="L724" s="15">
        <v>29745400</v>
      </c>
      <c r="M724" t="s" s="13">
        <v>8270</v>
      </c>
      <c r="N724" s="15">
        <v>187551</v>
      </c>
      <c r="O724" s="17" cm="1">
        <f t="array" ref="O724">(H724-H723)/H723</f>
        <v>0.00934579439252336</v>
      </c>
    </row>
    <row r="725" ht="13.65" customHeight="1">
      <c r="A725" s="18">
        <v>45321</v>
      </c>
      <c r="B725" t="s" s="13">
        <v>22</v>
      </c>
      <c r="C725" s="15">
        <v>135.6</v>
      </c>
      <c r="D725" s="15">
        <v>137.7</v>
      </c>
      <c r="E725" s="15">
        <v>134.5</v>
      </c>
      <c r="F725" s="15">
        <v>135</v>
      </c>
      <c r="G725" s="15">
        <v>134.75</v>
      </c>
      <c r="H725" s="15">
        <v>134.7</v>
      </c>
      <c r="I725" s="15">
        <v>136.17</v>
      </c>
      <c r="J725" s="15">
        <v>141.25</v>
      </c>
      <c r="K725" s="15">
        <v>101.55</v>
      </c>
      <c r="L725" s="15">
        <v>35704185</v>
      </c>
      <c r="M725" t="s" s="13">
        <v>8271</v>
      </c>
      <c r="N725" s="15">
        <v>245199</v>
      </c>
      <c r="O725" s="17" cm="1">
        <f t="array" ref="O725">(H725-H724)/H724</f>
        <v>-0.00222222222222222</v>
      </c>
    </row>
    <row r="726" ht="13.65" customHeight="1">
      <c r="A726" s="18">
        <v>45322</v>
      </c>
      <c r="B726" t="s" s="13">
        <v>22</v>
      </c>
      <c r="C726" s="15">
        <v>135</v>
      </c>
      <c r="D726" s="15">
        <v>136.7</v>
      </c>
      <c r="E726" s="15">
        <v>134.5</v>
      </c>
      <c r="F726" s="15">
        <v>134.7</v>
      </c>
      <c r="G726" s="15">
        <v>135.95</v>
      </c>
      <c r="H726" s="15">
        <v>135.95</v>
      </c>
      <c r="I726" s="15">
        <v>135.84</v>
      </c>
      <c r="J726" s="15">
        <v>141.25</v>
      </c>
      <c r="K726" s="15">
        <v>101.55</v>
      </c>
      <c r="L726" s="15">
        <v>36079354</v>
      </c>
      <c r="M726" t="s" s="13">
        <v>8272</v>
      </c>
      <c r="N726" s="15">
        <v>217115</v>
      </c>
      <c r="O726" s="17" cm="1">
        <f t="array" ref="O726">(H726-H725)/H725</f>
        <v>0.00927988121752042</v>
      </c>
    </row>
    <row r="727" ht="13.65" customHeight="1">
      <c r="A727" s="12">
        <v>45323</v>
      </c>
      <c r="B727" t="s" s="13">
        <v>22</v>
      </c>
      <c r="C727" s="15">
        <v>136.4</v>
      </c>
      <c r="D727" s="15">
        <v>136.75</v>
      </c>
      <c r="E727" s="15">
        <v>134.5</v>
      </c>
      <c r="F727" s="15">
        <v>135.95</v>
      </c>
      <c r="G727" s="15">
        <v>134.9</v>
      </c>
      <c r="H727" s="15">
        <v>134.8</v>
      </c>
      <c r="I727" s="15">
        <v>135.69</v>
      </c>
      <c r="J727" s="15">
        <v>141.25</v>
      </c>
      <c r="K727" s="15">
        <v>101.55</v>
      </c>
      <c r="L727" s="15">
        <v>31701793</v>
      </c>
      <c r="M727" t="s" s="13">
        <v>8273</v>
      </c>
      <c r="N727" s="15">
        <v>214127</v>
      </c>
      <c r="O727" s="17" cm="1">
        <f t="array" ref="O727">(H727-H726)/H726</f>
        <v>-0.008458992276572271</v>
      </c>
    </row>
    <row r="728" ht="13.65" customHeight="1">
      <c r="A728" s="12">
        <v>45324</v>
      </c>
      <c r="B728" t="s" s="13">
        <v>22</v>
      </c>
      <c r="C728" s="15">
        <v>135.3</v>
      </c>
      <c r="D728" s="15">
        <v>139.6</v>
      </c>
      <c r="E728" s="15">
        <v>134.8</v>
      </c>
      <c r="F728" s="15">
        <v>134.8</v>
      </c>
      <c r="G728" s="15">
        <v>138.6</v>
      </c>
      <c r="H728" s="15">
        <v>138.7</v>
      </c>
      <c r="I728" s="15">
        <v>137.64</v>
      </c>
      <c r="J728" s="15">
        <v>141.25</v>
      </c>
      <c r="K728" s="15">
        <v>101.55</v>
      </c>
      <c r="L728" s="15">
        <v>69296192</v>
      </c>
      <c r="M728" t="s" s="13">
        <v>8274</v>
      </c>
      <c r="N728" s="15">
        <v>353725</v>
      </c>
      <c r="O728" s="17" cm="1">
        <f t="array" ref="O728">(H728-H727)/H727</f>
        <v>0.0289317507418398</v>
      </c>
    </row>
    <row r="729" ht="13.65" customHeight="1">
      <c r="A729" s="12">
        <v>45327</v>
      </c>
      <c r="B729" t="s" s="13">
        <v>22</v>
      </c>
      <c r="C729" s="15">
        <v>140</v>
      </c>
      <c r="D729" s="15">
        <v>143.35</v>
      </c>
      <c r="E729" s="15">
        <v>139.35</v>
      </c>
      <c r="F729" s="15">
        <v>138.7</v>
      </c>
      <c r="G729" s="15">
        <v>141.6</v>
      </c>
      <c r="H729" s="15">
        <v>141.55</v>
      </c>
      <c r="I729" s="15">
        <v>141.5</v>
      </c>
      <c r="J729" s="15">
        <v>143.35</v>
      </c>
      <c r="K729" s="15">
        <v>101.55</v>
      </c>
      <c r="L729" s="15">
        <v>80737626</v>
      </c>
      <c r="M729" t="s" s="13">
        <v>8275</v>
      </c>
      <c r="N729" s="15">
        <v>375154</v>
      </c>
      <c r="O729" s="17" cm="1">
        <f t="array" ref="O729">(H729-H728)/H728</f>
        <v>0.0205479452054795</v>
      </c>
    </row>
    <row r="730" ht="13.65" customHeight="1">
      <c r="A730" s="12">
        <v>45328</v>
      </c>
      <c r="B730" t="s" s="13">
        <v>22</v>
      </c>
      <c r="C730" s="15">
        <v>143</v>
      </c>
      <c r="D730" s="15">
        <v>145.1</v>
      </c>
      <c r="E730" s="15">
        <v>140.45</v>
      </c>
      <c r="F730" s="15">
        <v>141.55</v>
      </c>
      <c r="G730" s="15">
        <v>144.6</v>
      </c>
      <c r="H730" s="15">
        <v>144.65</v>
      </c>
      <c r="I730" s="15">
        <v>143.03</v>
      </c>
      <c r="J730" s="15">
        <v>145.1</v>
      </c>
      <c r="K730" s="15">
        <v>101.55</v>
      </c>
      <c r="L730" s="15">
        <v>53192936</v>
      </c>
      <c r="M730" t="s" s="13">
        <v>8276</v>
      </c>
      <c r="N730" s="15">
        <v>256507</v>
      </c>
      <c r="O730" s="17" cm="1">
        <f t="array" ref="O730">(H730-H729)/H729</f>
        <v>0.0219003885552808</v>
      </c>
    </row>
    <row r="731" ht="13.65" customHeight="1">
      <c r="A731" s="12">
        <v>45329</v>
      </c>
      <c r="B731" t="s" s="13">
        <v>22</v>
      </c>
      <c r="C731" s="15">
        <v>146.85</v>
      </c>
      <c r="D731" s="15">
        <v>147.4</v>
      </c>
      <c r="E731" s="15">
        <v>144.05</v>
      </c>
      <c r="F731" s="15">
        <v>144.65</v>
      </c>
      <c r="G731" s="15">
        <v>144.4</v>
      </c>
      <c r="H731" s="15">
        <v>144.4</v>
      </c>
      <c r="I731" s="15">
        <v>145.61</v>
      </c>
      <c r="J731" s="15">
        <v>147.4</v>
      </c>
      <c r="K731" s="15">
        <v>101.55</v>
      </c>
      <c r="L731" s="15">
        <v>61517064</v>
      </c>
      <c r="M731" t="s" s="13">
        <v>8277</v>
      </c>
      <c r="N731" s="15">
        <v>292894</v>
      </c>
      <c r="O731" s="17" cm="1">
        <f t="array" ref="O731">(H731-H730)/H730</f>
        <v>-0.00172830971310059</v>
      </c>
    </row>
    <row r="732" ht="13.65" customHeight="1">
      <c r="A732" s="12">
        <v>45330</v>
      </c>
      <c r="B732" t="s" s="13">
        <v>22</v>
      </c>
      <c r="C732" s="15">
        <v>145.3</v>
      </c>
      <c r="D732" s="15">
        <v>145.65</v>
      </c>
      <c r="E732" s="15">
        <v>143.05</v>
      </c>
      <c r="F732" s="15">
        <v>144.4</v>
      </c>
      <c r="G732" s="15">
        <v>143.8</v>
      </c>
      <c r="H732" s="15">
        <v>143.65</v>
      </c>
      <c r="I732" s="15">
        <v>144.24</v>
      </c>
      <c r="J732" s="15">
        <v>147.4</v>
      </c>
      <c r="K732" s="15">
        <v>101.55</v>
      </c>
      <c r="L732" s="15">
        <v>38997666</v>
      </c>
      <c r="M732" t="s" s="13">
        <v>8278</v>
      </c>
      <c r="N732" s="15">
        <v>256373</v>
      </c>
      <c r="O732" s="17" cm="1">
        <f t="array" ref="O732">(H732-H731)/H731</f>
        <v>-0.00519390581717452</v>
      </c>
    </row>
    <row r="733" ht="13.65" customHeight="1">
      <c r="A733" s="12">
        <v>45331</v>
      </c>
      <c r="B733" t="s" s="13">
        <v>22</v>
      </c>
      <c r="C733" s="15">
        <v>144.2</v>
      </c>
      <c r="D733" s="15">
        <v>144.45</v>
      </c>
      <c r="E733" s="15">
        <v>139.15</v>
      </c>
      <c r="F733" s="15">
        <v>143.65</v>
      </c>
      <c r="G733" s="15">
        <v>141.3</v>
      </c>
      <c r="H733" s="15">
        <v>141.3</v>
      </c>
      <c r="I733" s="15">
        <v>141.21</v>
      </c>
      <c r="J733" s="15">
        <v>147.4</v>
      </c>
      <c r="K733" s="15">
        <v>101.55</v>
      </c>
      <c r="L733" s="15">
        <v>35961925</v>
      </c>
      <c r="M733" t="s" s="13">
        <v>8279</v>
      </c>
      <c r="N733" s="15">
        <v>237401</v>
      </c>
      <c r="O733" s="17" cm="1">
        <f t="array" ref="O733">(H733-H732)/H732</f>
        <v>-0.0163592064044553</v>
      </c>
    </row>
    <row r="734" ht="13.65" customHeight="1">
      <c r="A734" s="18">
        <v>45334</v>
      </c>
      <c r="B734" t="s" s="13">
        <v>22</v>
      </c>
      <c r="C734" s="15">
        <v>142</v>
      </c>
      <c r="D734" s="15">
        <v>142.95</v>
      </c>
      <c r="E734" s="15">
        <v>136.65</v>
      </c>
      <c r="F734" s="15">
        <v>141.3</v>
      </c>
      <c r="G734" s="15">
        <v>137.5</v>
      </c>
      <c r="H734" s="15">
        <v>137.4</v>
      </c>
      <c r="I734" s="15">
        <v>139.16</v>
      </c>
      <c r="J734" s="15">
        <v>147.4</v>
      </c>
      <c r="K734" s="15">
        <v>101.55</v>
      </c>
      <c r="L734" s="15">
        <v>36477544</v>
      </c>
      <c r="M734" t="s" s="13">
        <v>8280</v>
      </c>
      <c r="N734" s="15">
        <v>219005</v>
      </c>
      <c r="O734" s="17" cm="1">
        <f t="array" ref="O734">(H734-H733)/H733</f>
        <v>-0.0276008492569002</v>
      </c>
    </row>
    <row r="735" ht="13.65" customHeight="1">
      <c r="A735" s="18">
        <v>45335</v>
      </c>
      <c r="B735" t="s" s="13">
        <v>22</v>
      </c>
      <c r="C735" s="15">
        <v>137.75</v>
      </c>
      <c r="D735" s="15">
        <v>138.25</v>
      </c>
      <c r="E735" s="15">
        <v>134.1</v>
      </c>
      <c r="F735" s="15">
        <v>137.4</v>
      </c>
      <c r="G735" s="15">
        <v>137.8</v>
      </c>
      <c r="H735" s="15">
        <v>137.85</v>
      </c>
      <c r="I735" s="15">
        <v>136.95</v>
      </c>
      <c r="J735" s="15">
        <v>147.4</v>
      </c>
      <c r="K735" s="15">
        <v>101.55</v>
      </c>
      <c r="L735" s="15">
        <v>39155909</v>
      </c>
      <c r="M735" t="s" s="13">
        <v>8281</v>
      </c>
      <c r="N735" s="15">
        <v>205902</v>
      </c>
      <c r="O735" s="17" cm="1">
        <f t="array" ref="O735">(H735-H734)/H734</f>
        <v>0.00327510917030568</v>
      </c>
    </row>
    <row r="736" ht="13.65" customHeight="1">
      <c r="A736" s="18">
        <v>45336</v>
      </c>
      <c r="B736" t="s" s="13">
        <v>22</v>
      </c>
      <c r="C736" s="15">
        <v>137</v>
      </c>
      <c r="D736" s="15">
        <v>141.5</v>
      </c>
      <c r="E736" s="15">
        <v>135.75</v>
      </c>
      <c r="F736" s="15">
        <v>137.85</v>
      </c>
      <c r="G736" s="15">
        <v>141.45</v>
      </c>
      <c r="H736" s="15">
        <v>141.2</v>
      </c>
      <c r="I736" s="15">
        <v>138.83</v>
      </c>
      <c r="J736" s="15">
        <v>147.4</v>
      </c>
      <c r="K736" s="15">
        <v>101.55</v>
      </c>
      <c r="L736" s="15">
        <v>29141690</v>
      </c>
      <c r="M736" t="s" s="13">
        <v>8282</v>
      </c>
      <c r="N736" s="15">
        <v>202721</v>
      </c>
      <c r="O736" s="17" cm="1">
        <f t="array" ref="O736">(H736-H735)/H735</f>
        <v>0.0243017772941603</v>
      </c>
    </row>
    <row r="737" ht="13.65" customHeight="1">
      <c r="A737" s="18">
        <v>45337</v>
      </c>
      <c r="B737" t="s" s="13">
        <v>22</v>
      </c>
      <c r="C737" s="15">
        <v>141.5</v>
      </c>
      <c r="D737" s="15">
        <v>143.45</v>
      </c>
      <c r="E737" s="15">
        <v>141</v>
      </c>
      <c r="F737" s="15">
        <v>141.2</v>
      </c>
      <c r="G737" s="15">
        <v>141.1</v>
      </c>
      <c r="H737" s="15">
        <v>141.2</v>
      </c>
      <c r="I737" s="15">
        <v>142.05</v>
      </c>
      <c r="J737" s="15">
        <v>147.4</v>
      </c>
      <c r="K737" s="15">
        <v>101.55</v>
      </c>
      <c r="L737" s="15">
        <v>31587387</v>
      </c>
      <c r="M737" t="s" s="13">
        <v>8283</v>
      </c>
      <c r="N737" s="15">
        <v>201451</v>
      </c>
      <c r="O737" s="17" cm="1">
        <f t="array" ref="O737">(H737-H736)/H736</f>
        <v>0</v>
      </c>
    </row>
    <row r="738" ht="13.65" customHeight="1">
      <c r="A738" s="18">
        <v>45338</v>
      </c>
      <c r="B738" t="s" s="13">
        <v>22</v>
      </c>
      <c r="C738" s="15">
        <v>142.05</v>
      </c>
      <c r="D738" s="15">
        <v>143.45</v>
      </c>
      <c r="E738" s="15">
        <v>141.5</v>
      </c>
      <c r="F738" s="15">
        <v>141.2</v>
      </c>
      <c r="G738" s="15">
        <v>142.25</v>
      </c>
      <c r="H738" s="15">
        <v>142.3</v>
      </c>
      <c r="I738" s="15">
        <v>142.68</v>
      </c>
      <c r="J738" s="15">
        <v>147.4</v>
      </c>
      <c r="K738" s="15">
        <v>101.55</v>
      </c>
      <c r="L738" s="15">
        <v>22316127</v>
      </c>
      <c r="M738" t="s" s="13">
        <v>8284</v>
      </c>
      <c r="N738" s="15">
        <v>159823</v>
      </c>
      <c r="O738" s="17" cm="1">
        <f t="array" ref="O738">(H738-H737)/H737</f>
        <v>0.00779036827195467</v>
      </c>
    </row>
    <row r="739" ht="13.65" customHeight="1">
      <c r="A739" s="18">
        <v>45341</v>
      </c>
      <c r="B739" t="s" s="13">
        <v>22</v>
      </c>
      <c r="C739" s="15">
        <v>142.95</v>
      </c>
      <c r="D739" s="15">
        <v>143.35</v>
      </c>
      <c r="E739" s="15">
        <v>141.35</v>
      </c>
      <c r="F739" s="15">
        <v>142.3</v>
      </c>
      <c r="G739" s="15">
        <v>141.8</v>
      </c>
      <c r="H739" s="15">
        <v>141.95</v>
      </c>
      <c r="I739" s="15">
        <v>142.28</v>
      </c>
      <c r="J739" s="15">
        <v>147.4</v>
      </c>
      <c r="K739" s="15">
        <v>101.55</v>
      </c>
      <c r="L739" s="15">
        <v>16973568</v>
      </c>
      <c r="M739" t="s" s="13">
        <v>8285</v>
      </c>
      <c r="N739" s="15">
        <v>148665</v>
      </c>
      <c r="O739" s="17" cm="1">
        <f t="array" ref="O739">(H739-H738)/H738</f>
        <v>-0.00245959241040056</v>
      </c>
    </row>
    <row r="740" ht="13.65" customHeight="1">
      <c r="A740" s="18">
        <v>45342</v>
      </c>
      <c r="B740" t="s" s="13">
        <v>22</v>
      </c>
      <c r="C740" s="15">
        <v>141.95</v>
      </c>
      <c r="D740" s="15">
        <v>142.25</v>
      </c>
      <c r="E740" s="15">
        <v>140.05</v>
      </c>
      <c r="F740" s="15">
        <v>141.95</v>
      </c>
      <c r="G740" s="15">
        <v>141.15</v>
      </c>
      <c r="H740" s="15">
        <v>141.05</v>
      </c>
      <c r="I740" s="15">
        <v>140.86</v>
      </c>
      <c r="J740" s="15">
        <v>147.4</v>
      </c>
      <c r="K740" s="15">
        <v>101.55</v>
      </c>
      <c r="L740" s="15">
        <v>24291123</v>
      </c>
      <c r="M740" t="s" s="13">
        <v>8286</v>
      </c>
      <c r="N740" s="15">
        <v>169579</v>
      </c>
      <c r="O740" s="17" cm="1">
        <f t="array" ref="O740">(H740-H739)/H739</f>
        <v>-0.00634026065516027</v>
      </c>
    </row>
    <row r="741" ht="13.65" customHeight="1">
      <c r="A741" s="18">
        <v>45343</v>
      </c>
      <c r="B741" t="s" s="13">
        <v>22</v>
      </c>
      <c r="C741" s="15">
        <v>141.55</v>
      </c>
      <c r="D741" s="15">
        <v>146.2</v>
      </c>
      <c r="E741" s="15">
        <v>141.45</v>
      </c>
      <c r="F741" s="15">
        <v>141.05</v>
      </c>
      <c r="G741" s="15">
        <v>144</v>
      </c>
      <c r="H741" s="15">
        <v>143.9</v>
      </c>
      <c r="I741" s="15">
        <v>144.64</v>
      </c>
      <c r="J741" s="15">
        <v>147.4</v>
      </c>
      <c r="K741" s="15">
        <v>101.55</v>
      </c>
      <c r="L741" s="15">
        <v>88000833</v>
      </c>
      <c r="M741" t="s" s="13">
        <v>8287</v>
      </c>
      <c r="N741" s="15">
        <v>402755</v>
      </c>
      <c r="O741" s="17" cm="1">
        <f t="array" ref="O741">(H741-H740)/H740</f>
        <v>0.0202056008507621</v>
      </c>
    </row>
    <row r="742" ht="13.65" customHeight="1">
      <c r="A742" s="18">
        <v>45344</v>
      </c>
      <c r="B742" t="s" s="13">
        <v>22</v>
      </c>
      <c r="C742" s="15">
        <v>145</v>
      </c>
      <c r="D742" s="15">
        <v>146.15</v>
      </c>
      <c r="E742" s="15">
        <v>143.5</v>
      </c>
      <c r="F742" s="15">
        <v>143.9</v>
      </c>
      <c r="G742" s="15">
        <v>145.95</v>
      </c>
      <c r="H742" s="15">
        <v>145.9</v>
      </c>
      <c r="I742" s="15">
        <v>145.05</v>
      </c>
      <c r="J742" s="15">
        <v>147.4</v>
      </c>
      <c r="K742" s="15">
        <v>101.55</v>
      </c>
      <c r="L742" s="15">
        <v>46728176</v>
      </c>
      <c r="M742" t="s" s="13">
        <v>8288</v>
      </c>
      <c r="N742" s="15">
        <v>301165</v>
      </c>
      <c r="O742" s="17" cm="1">
        <f t="array" ref="O742">(H742-H741)/H741</f>
        <v>0.0138985406532314</v>
      </c>
    </row>
    <row r="743" ht="13.65" customHeight="1">
      <c r="A743" s="18">
        <v>45345</v>
      </c>
      <c r="B743" t="s" s="13">
        <v>22</v>
      </c>
      <c r="C743" s="15">
        <v>146.4</v>
      </c>
      <c r="D743" s="15">
        <v>147.1</v>
      </c>
      <c r="E743" s="15">
        <v>145</v>
      </c>
      <c r="F743" s="15">
        <v>145.9</v>
      </c>
      <c r="G743" s="15">
        <v>145.4</v>
      </c>
      <c r="H743" s="15">
        <v>145.45</v>
      </c>
      <c r="I743" s="15">
        <v>146.22</v>
      </c>
      <c r="J743" s="15">
        <v>147.4</v>
      </c>
      <c r="K743" s="15">
        <v>101.55</v>
      </c>
      <c r="L743" s="15">
        <v>28414697</v>
      </c>
      <c r="M743" t="s" s="13">
        <v>8289</v>
      </c>
      <c r="N743" s="15">
        <v>206077</v>
      </c>
      <c r="O743" s="17" cm="1">
        <f t="array" ref="O743">(H743-H742)/H742</f>
        <v>-0.00308430431802605</v>
      </c>
    </row>
    <row r="744" ht="13.65" customHeight="1">
      <c r="A744" s="18">
        <v>45348</v>
      </c>
      <c r="B744" t="s" s="13">
        <v>22</v>
      </c>
      <c r="C744" s="15">
        <v>145.85</v>
      </c>
      <c r="D744" s="15">
        <v>145.95</v>
      </c>
      <c r="E744" s="15">
        <v>142.25</v>
      </c>
      <c r="F744" s="15">
        <v>145.45</v>
      </c>
      <c r="G744" s="15">
        <v>142.6</v>
      </c>
      <c r="H744" s="15">
        <v>142.65</v>
      </c>
      <c r="I744" s="15">
        <v>143.68</v>
      </c>
      <c r="J744" s="15">
        <v>147.4</v>
      </c>
      <c r="K744" s="15">
        <v>101.55</v>
      </c>
      <c r="L744" s="15">
        <v>22570277</v>
      </c>
      <c r="M744" t="s" s="13">
        <v>8290</v>
      </c>
      <c r="N744" s="15">
        <v>181967</v>
      </c>
      <c r="O744" s="17" cm="1">
        <f t="array" ref="O744">(H744-H743)/H743</f>
        <v>-0.0192506015812994</v>
      </c>
    </row>
    <row r="745" ht="13.65" customHeight="1">
      <c r="A745" s="18">
        <v>45349</v>
      </c>
      <c r="B745" t="s" s="13">
        <v>22</v>
      </c>
      <c r="C745" s="15">
        <v>142.65</v>
      </c>
      <c r="D745" s="15">
        <v>144.5</v>
      </c>
      <c r="E745" s="15">
        <v>142</v>
      </c>
      <c r="F745" s="15">
        <v>142.65</v>
      </c>
      <c r="G745" s="15">
        <v>144.2</v>
      </c>
      <c r="H745" s="15">
        <v>144.2</v>
      </c>
      <c r="I745" s="15">
        <v>143.45</v>
      </c>
      <c r="J745" s="15">
        <v>147.4</v>
      </c>
      <c r="K745" s="15">
        <v>101.55</v>
      </c>
      <c r="L745" s="15">
        <v>24119469</v>
      </c>
      <c r="M745" t="s" s="13">
        <v>8291</v>
      </c>
      <c r="N745" s="15">
        <v>181981</v>
      </c>
      <c r="O745" s="17" cm="1">
        <f t="array" ref="O745">(H745-H744)/H744</f>
        <v>0.0108657553452506</v>
      </c>
    </row>
    <row r="746" ht="13.65" customHeight="1">
      <c r="A746" s="18">
        <v>45350</v>
      </c>
      <c r="B746" t="s" s="13">
        <v>22</v>
      </c>
      <c r="C746" s="15">
        <v>144.05</v>
      </c>
      <c r="D746" s="15">
        <v>144.95</v>
      </c>
      <c r="E746" s="15">
        <v>140.05</v>
      </c>
      <c r="F746" s="15">
        <v>144.2</v>
      </c>
      <c r="G746" s="15">
        <v>140.7</v>
      </c>
      <c r="H746" s="15">
        <v>140.75</v>
      </c>
      <c r="I746" s="15">
        <v>142.2</v>
      </c>
      <c r="J746" s="15">
        <v>147.4</v>
      </c>
      <c r="K746" s="15">
        <v>101.55</v>
      </c>
      <c r="L746" s="15">
        <v>20721926</v>
      </c>
      <c r="M746" t="s" s="13">
        <v>8292</v>
      </c>
      <c r="N746" s="15">
        <v>194968</v>
      </c>
      <c r="O746" s="17" cm="1">
        <f t="array" ref="O746">(H746-H745)/H745</f>
        <v>-0.0239251040221914</v>
      </c>
    </row>
    <row r="747" ht="13.65" customHeight="1">
      <c r="A747" s="18">
        <v>45351</v>
      </c>
      <c r="B747" t="s" s="13">
        <v>22</v>
      </c>
      <c r="C747" s="15">
        <v>140.8</v>
      </c>
      <c r="D747" s="15">
        <v>141.85</v>
      </c>
      <c r="E747" s="15">
        <v>139.4</v>
      </c>
      <c r="F747" s="15">
        <v>140.75</v>
      </c>
      <c r="G747" s="15">
        <v>141.6</v>
      </c>
      <c r="H747" s="15">
        <v>140.85</v>
      </c>
      <c r="I747" s="15">
        <v>140.78</v>
      </c>
      <c r="J747" s="15">
        <v>147.4</v>
      </c>
      <c r="K747" s="15">
        <v>101.55</v>
      </c>
      <c r="L747" s="15">
        <v>32248156</v>
      </c>
      <c r="M747" t="s" s="13">
        <v>8293</v>
      </c>
      <c r="N747" s="15">
        <v>184138</v>
      </c>
      <c r="O747" s="17" cm="1">
        <f t="array" ref="O747">(H747-H746)/H746</f>
        <v>0.000710479573712256</v>
      </c>
    </row>
    <row r="748" ht="13.65" customHeight="1">
      <c r="A748" s="12">
        <v>45352</v>
      </c>
      <c r="B748" t="s" s="13">
        <v>22</v>
      </c>
      <c r="C748" s="15">
        <v>143</v>
      </c>
      <c r="D748" s="15">
        <v>150.65</v>
      </c>
      <c r="E748" s="15">
        <v>143</v>
      </c>
      <c r="F748" s="15">
        <v>140.85</v>
      </c>
      <c r="G748" s="15">
        <v>150.55</v>
      </c>
      <c r="H748" s="15">
        <v>149.95</v>
      </c>
      <c r="I748" s="15">
        <v>147.83</v>
      </c>
      <c r="J748" s="15">
        <v>150.65</v>
      </c>
      <c r="K748" s="15">
        <v>101.55</v>
      </c>
      <c r="L748" s="15">
        <v>123709943</v>
      </c>
      <c r="M748" t="s" s="13">
        <v>8294</v>
      </c>
      <c r="N748" s="15">
        <v>452172</v>
      </c>
      <c r="O748" s="17" cm="1">
        <f t="array" ref="O748">(H748-H747)/H747</f>
        <v>0.06460773872914451</v>
      </c>
    </row>
    <row r="749" ht="13.65" customHeight="1">
      <c r="A749" s="12">
        <v>45353</v>
      </c>
      <c r="B749" t="s" s="13">
        <v>22</v>
      </c>
      <c r="C749" s="15">
        <v>152</v>
      </c>
      <c r="D749" s="15">
        <v>156.2</v>
      </c>
      <c r="E749" s="15">
        <v>151</v>
      </c>
      <c r="F749" s="15">
        <v>149.95</v>
      </c>
      <c r="G749" s="15">
        <v>155.35</v>
      </c>
      <c r="H749" s="15">
        <v>155.25</v>
      </c>
      <c r="I749" s="15">
        <v>154.02</v>
      </c>
      <c r="J749" s="15">
        <v>156.2</v>
      </c>
      <c r="K749" s="15">
        <v>101.55</v>
      </c>
      <c r="L749" s="15">
        <v>21643047</v>
      </c>
      <c r="M749" t="s" s="13">
        <v>8295</v>
      </c>
      <c r="N749" s="15">
        <v>139508</v>
      </c>
      <c r="O749" s="17" cm="1">
        <f t="array" ref="O749">(H749-H748)/H748</f>
        <v>0.0353451150383461</v>
      </c>
    </row>
    <row r="750" ht="13.65" customHeight="1">
      <c r="A750" s="12">
        <v>45355</v>
      </c>
      <c r="B750" t="s" s="13">
        <v>22</v>
      </c>
      <c r="C750" s="15">
        <v>154.9</v>
      </c>
      <c r="D750" s="15">
        <v>154.9</v>
      </c>
      <c r="E750" s="15">
        <v>151.05</v>
      </c>
      <c r="F750" s="15">
        <v>155.25</v>
      </c>
      <c r="G750" s="15">
        <v>153</v>
      </c>
      <c r="H750" s="15">
        <v>153.1</v>
      </c>
      <c r="I750" s="15">
        <v>153.02</v>
      </c>
      <c r="J750" s="15">
        <v>156.2</v>
      </c>
      <c r="K750" s="15">
        <v>101.55</v>
      </c>
      <c r="L750" s="15">
        <v>67577785</v>
      </c>
      <c r="M750" t="s" s="13">
        <v>8296</v>
      </c>
      <c r="N750" s="15">
        <v>453939</v>
      </c>
      <c r="O750" s="17" cm="1">
        <f t="array" ref="O750">(H750-H749)/H749</f>
        <v>-0.0138486312399356</v>
      </c>
    </row>
    <row r="751" ht="13.65" customHeight="1">
      <c r="A751" s="12">
        <v>45356</v>
      </c>
      <c r="B751" t="s" s="13">
        <v>22</v>
      </c>
      <c r="C751" s="15">
        <v>153.2</v>
      </c>
      <c r="D751" s="15">
        <v>154</v>
      </c>
      <c r="E751" s="15">
        <v>150.75</v>
      </c>
      <c r="F751" s="15">
        <v>153.1</v>
      </c>
      <c r="G751" s="15">
        <v>152</v>
      </c>
      <c r="H751" s="15">
        <v>151.85</v>
      </c>
      <c r="I751" s="15">
        <v>152.4</v>
      </c>
      <c r="J751" s="15">
        <v>156.2</v>
      </c>
      <c r="K751" s="15">
        <v>101.55</v>
      </c>
      <c r="L751" s="15">
        <v>37165490</v>
      </c>
      <c r="M751" t="s" s="13">
        <v>8297</v>
      </c>
      <c r="N751" s="15">
        <v>255164</v>
      </c>
      <c r="O751" s="17" cm="1">
        <f t="array" ref="O751">(H751-H750)/H750</f>
        <v>-0.00816459830176355</v>
      </c>
    </row>
    <row r="752" ht="13.65" customHeight="1">
      <c r="A752" s="12">
        <v>45357</v>
      </c>
      <c r="B752" t="s" s="13">
        <v>22</v>
      </c>
      <c r="C752" s="15">
        <v>151.8</v>
      </c>
      <c r="D752" s="15">
        <v>152.65</v>
      </c>
      <c r="E752" s="15">
        <v>147.9</v>
      </c>
      <c r="F752" s="15">
        <v>151.85</v>
      </c>
      <c r="G752" s="15">
        <v>151.75</v>
      </c>
      <c r="H752" s="15">
        <v>151.6</v>
      </c>
      <c r="I752" s="15">
        <v>149.88</v>
      </c>
      <c r="J752" s="15">
        <v>156.2</v>
      </c>
      <c r="K752" s="15">
        <v>101.55</v>
      </c>
      <c r="L752" s="15">
        <v>51782444</v>
      </c>
      <c r="M752" t="s" s="13">
        <v>8298</v>
      </c>
      <c r="N752" s="15">
        <v>248968</v>
      </c>
      <c r="O752" s="17" cm="1">
        <f t="array" ref="O752">(H752-H751)/H751</f>
        <v>-0.0016463615409944</v>
      </c>
    </row>
    <row r="753" ht="13.65" customHeight="1">
      <c r="A753" s="12">
        <v>45358</v>
      </c>
      <c r="B753" t="s" s="13">
        <v>22</v>
      </c>
      <c r="C753" s="15">
        <v>152.4</v>
      </c>
      <c r="D753" s="15">
        <v>159.15</v>
      </c>
      <c r="E753" s="15">
        <v>152.25</v>
      </c>
      <c r="F753" s="15">
        <v>151.6</v>
      </c>
      <c r="G753" s="15">
        <v>157.05</v>
      </c>
      <c r="H753" s="15">
        <v>157.25</v>
      </c>
      <c r="I753" s="15">
        <v>156.5</v>
      </c>
      <c r="J753" s="15">
        <v>159.15</v>
      </c>
      <c r="K753" s="15">
        <v>101.55</v>
      </c>
      <c r="L753" s="15">
        <v>124847699</v>
      </c>
      <c r="M753" t="s" s="13">
        <v>8299</v>
      </c>
      <c r="N753" s="15">
        <v>569247</v>
      </c>
      <c r="O753" s="17" cm="1">
        <f t="array" ref="O753">(H753-H752)/H752</f>
        <v>0.0372691292875989</v>
      </c>
    </row>
    <row r="754" ht="13.65" customHeight="1">
      <c r="A754" s="18">
        <v>45362</v>
      </c>
      <c r="B754" t="s" s="13">
        <v>22</v>
      </c>
      <c r="C754" s="15">
        <v>158.9</v>
      </c>
      <c r="D754" s="15">
        <v>158.9</v>
      </c>
      <c r="E754" s="15">
        <v>153</v>
      </c>
      <c r="F754" s="15">
        <v>157.25</v>
      </c>
      <c r="G754" s="15">
        <v>153.75</v>
      </c>
      <c r="H754" s="15">
        <v>153.45</v>
      </c>
      <c r="I754" s="15">
        <v>154.27</v>
      </c>
      <c r="J754" s="15">
        <v>159.15</v>
      </c>
      <c r="K754" s="15">
        <v>101.55</v>
      </c>
      <c r="L754" s="15">
        <v>54155385</v>
      </c>
      <c r="M754" t="s" s="13">
        <v>8300</v>
      </c>
      <c r="N754" s="15">
        <v>350516</v>
      </c>
      <c r="O754" s="17" cm="1">
        <f t="array" ref="O754">(H754-H753)/H753</f>
        <v>-0.0241653418124006</v>
      </c>
    </row>
    <row r="755" ht="13.65" customHeight="1">
      <c r="A755" s="18">
        <v>45363</v>
      </c>
      <c r="B755" t="s" s="13">
        <v>22</v>
      </c>
      <c r="C755" s="15">
        <v>154.2</v>
      </c>
      <c r="D755" s="15">
        <v>154.55</v>
      </c>
      <c r="E755" s="15">
        <v>150.9</v>
      </c>
      <c r="F755" s="15">
        <v>153.45</v>
      </c>
      <c r="G755" s="15">
        <v>152.3</v>
      </c>
      <c r="H755" s="15">
        <v>152.5</v>
      </c>
      <c r="I755" s="15">
        <v>152.46</v>
      </c>
      <c r="J755" s="15">
        <v>159.15</v>
      </c>
      <c r="K755" s="15">
        <v>101.55</v>
      </c>
      <c r="L755" s="15">
        <v>34947937</v>
      </c>
      <c r="M755" t="s" s="13">
        <v>8301</v>
      </c>
      <c r="N755" s="15">
        <v>251671</v>
      </c>
      <c r="O755" s="17" cm="1">
        <f t="array" ref="O755">(H755-H754)/H754</f>
        <v>-0.00619094167481264</v>
      </c>
    </row>
    <row r="756" ht="13.65" customHeight="1">
      <c r="A756" s="18">
        <v>45364</v>
      </c>
      <c r="B756" t="s" s="13">
        <v>22</v>
      </c>
      <c r="C756" s="15">
        <v>152.8</v>
      </c>
      <c r="D756" s="15">
        <v>152.9</v>
      </c>
      <c r="E756" s="15">
        <v>142.5</v>
      </c>
      <c r="F756" s="15">
        <v>152.5</v>
      </c>
      <c r="G756" s="15">
        <v>143.35</v>
      </c>
      <c r="H756" s="15">
        <v>143.65</v>
      </c>
      <c r="I756" s="15">
        <v>146.32</v>
      </c>
      <c r="J756" s="15">
        <v>159.15</v>
      </c>
      <c r="K756" s="15">
        <v>101.55</v>
      </c>
      <c r="L756" s="15">
        <v>70937597</v>
      </c>
      <c r="M756" t="s" s="13">
        <v>8302</v>
      </c>
      <c r="N756" s="15">
        <v>386517</v>
      </c>
      <c r="O756" s="17" cm="1">
        <f t="array" ref="O756">(H756-H755)/H755</f>
        <v>-0.0580327868852459</v>
      </c>
    </row>
    <row r="757" ht="13.65" customHeight="1">
      <c r="A757" s="18">
        <v>45365</v>
      </c>
      <c r="B757" t="s" s="13">
        <v>22</v>
      </c>
      <c r="C757" s="15">
        <v>143.6</v>
      </c>
      <c r="D757" s="15">
        <v>143.95</v>
      </c>
      <c r="E757" s="15">
        <v>138.35</v>
      </c>
      <c r="F757" s="15">
        <v>143.65</v>
      </c>
      <c r="G757" s="15">
        <v>142.7</v>
      </c>
      <c r="H757" s="15">
        <v>142.45</v>
      </c>
      <c r="I757" s="15">
        <v>141.39</v>
      </c>
      <c r="J757" s="15">
        <v>159.15</v>
      </c>
      <c r="K757" s="15">
        <v>101.55</v>
      </c>
      <c r="L757" s="15">
        <v>91956952</v>
      </c>
      <c r="M757" t="s" s="13">
        <v>8303</v>
      </c>
      <c r="N757" s="15">
        <v>473239</v>
      </c>
      <c r="O757" s="17" cm="1">
        <f t="array" ref="O757">(H757-H756)/H756</f>
        <v>-0.008353637312913329</v>
      </c>
    </row>
    <row r="758" ht="13.65" customHeight="1">
      <c r="A758" s="18">
        <v>45366</v>
      </c>
      <c r="B758" t="s" s="13">
        <v>22</v>
      </c>
      <c r="C758" s="15">
        <v>142.9</v>
      </c>
      <c r="D758" s="15">
        <v>143.7</v>
      </c>
      <c r="E758" s="15">
        <v>139.85</v>
      </c>
      <c r="F758" s="15">
        <v>142.45</v>
      </c>
      <c r="G758" s="15">
        <v>141.8</v>
      </c>
      <c r="H758" s="15">
        <v>141.7</v>
      </c>
      <c r="I758" s="15">
        <v>141.75</v>
      </c>
      <c r="J758" s="15">
        <v>159.15</v>
      </c>
      <c r="K758" s="15">
        <v>101.55</v>
      </c>
      <c r="L758" s="15">
        <v>68482621</v>
      </c>
      <c r="M758" t="s" s="13">
        <v>8304</v>
      </c>
      <c r="N758" s="15">
        <v>340024</v>
      </c>
      <c r="O758" s="17" cm="1">
        <f t="array" ref="O758">(H758-H757)/H757</f>
        <v>-0.00526500526500527</v>
      </c>
    </row>
    <row r="759" ht="13.65" customHeight="1">
      <c r="A759" s="18">
        <v>45369</v>
      </c>
      <c r="B759" t="s" s="13">
        <v>22</v>
      </c>
      <c r="C759" s="15">
        <v>142.55</v>
      </c>
      <c r="D759" s="15">
        <v>150.25</v>
      </c>
      <c r="E759" s="15">
        <v>142.2</v>
      </c>
      <c r="F759" s="15">
        <v>141.7</v>
      </c>
      <c r="G759" s="15">
        <v>148.8</v>
      </c>
      <c r="H759" s="15">
        <v>149.7</v>
      </c>
      <c r="I759" s="15">
        <v>147.47</v>
      </c>
      <c r="J759" s="15">
        <v>159.15</v>
      </c>
      <c r="K759" s="15">
        <v>101.55</v>
      </c>
      <c r="L759" s="15">
        <v>166913078</v>
      </c>
      <c r="M759" t="s" s="13">
        <v>8305</v>
      </c>
      <c r="N759" s="15">
        <v>575951</v>
      </c>
      <c r="O759" s="17" cm="1">
        <f t="array" ref="O759">(H759-H758)/H758</f>
        <v>0.0564573041637262</v>
      </c>
    </row>
    <row r="760" ht="13.65" customHeight="1">
      <c r="A760" s="18">
        <v>45370</v>
      </c>
      <c r="B760" t="s" s="13">
        <v>22</v>
      </c>
      <c r="C760" s="15">
        <v>149</v>
      </c>
      <c r="D760" s="15">
        <v>152.45</v>
      </c>
      <c r="E760" s="15">
        <v>147.6</v>
      </c>
      <c r="F760" s="15">
        <v>149.7</v>
      </c>
      <c r="G760" s="15">
        <v>148.7</v>
      </c>
      <c r="H760" s="15">
        <v>148.75</v>
      </c>
      <c r="I760" s="15">
        <v>149.67</v>
      </c>
      <c r="J760" s="15">
        <v>159.15</v>
      </c>
      <c r="K760" s="15">
        <v>101.55</v>
      </c>
      <c r="L760" s="15">
        <v>105004268</v>
      </c>
      <c r="M760" t="s" s="13">
        <v>8306</v>
      </c>
      <c r="N760" s="15">
        <v>517768</v>
      </c>
      <c r="O760" s="17" cm="1">
        <f t="array" ref="O760">(H760-H759)/H759</f>
        <v>-0.00634602538410154</v>
      </c>
    </row>
    <row r="761" ht="13.65" customHeight="1">
      <c r="A761" s="18">
        <v>45371</v>
      </c>
      <c r="B761" t="s" s="13">
        <v>22</v>
      </c>
      <c r="C761" s="15">
        <v>149.6</v>
      </c>
      <c r="D761" s="15">
        <v>150.65</v>
      </c>
      <c r="E761" s="15">
        <v>143.85</v>
      </c>
      <c r="F761" s="15">
        <v>148.75</v>
      </c>
      <c r="G761" s="15">
        <v>145.4</v>
      </c>
      <c r="H761" s="15">
        <v>145.65</v>
      </c>
      <c r="I761" s="15">
        <v>146.24</v>
      </c>
      <c r="J761" s="15">
        <v>159.15</v>
      </c>
      <c r="K761" s="15">
        <v>101.55</v>
      </c>
      <c r="L761" s="15">
        <v>77550319</v>
      </c>
      <c r="M761" t="s" s="13">
        <v>8307</v>
      </c>
      <c r="N761" s="15">
        <v>343720</v>
      </c>
      <c r="O761" s="17" cm="1">
        <f t="array" ref="O761">(H761-H760)/H760</f>
        <v>-0.0208403361344538</v>
      </c>
    </row>
    <row r="762" ht="13.65" customHeight="1">
      <c r="A762" s="18">
        <v>45372</v>
      </c>
      <c r="B762" t="s" s="13">
        <v>22</v>
      </c>
      <c r="C762" s="15">
        <v>148</v>
      </c>
      <c r="D762" s="15">
        <v>151.2</v>
      </c>
      <c r="E762" s="15">
        <v>147.8</v>
      </c>
      <c r="F762" s="15">
        <v>145.65</v>
      </c>
      <c r="G762" s="15">
        <v>150.2</v>
      </c>
      <c r="H762" s="15">
        <v>150.1</v>
      </c>
      <c r="I762" s="15">
        <v>150.09</v>
      </c>
      <c r="J762" s="15">
        <v>159.15</v>
      </c>
      <c r="K762" s="15">
        <v>101.55</v>
      </c>
      <c r="L762" s="15">
        <v>84225737</v>
      </c>
      <c r="M762" t="s" s="13">
        <v>8308</v>
      </c>
      <c r="N762" s="15">
        <v>439293</v>
      </c>
      <c r="O762" s="17" cm="1">
        <f t="array" ref="O762">(H762-H761)/H761</f>
        <v>0.0305526948163405</v>
      </c>
    </row>
    <row r="763" ht="13.65" customHeight="1">
      <c r="A763" s="18">
        <v>45373</v>
      </c>
      <c r="B763" t="s" s="13">
        <v>22</v>
      </c>
      <c r="C763" s="15">
        <v>149</v>
      </c>
      <c r="D763" s="15">
        <v>152.75</v>
      </c>
      <c r="E763" s="15">
        <v>148.35</v>
      </c>
      <c r="F763" s="15">
        <v>150.1</v>
      </c>
      <c r="G763" s="15">
        <v>151.45</v>
      </c>
      <c r="H763" s="15">
        <v>151.8</v>
      </c>
      <c r="I763" s="15">
        <v>151.31</v>
      </c>
      <c r="J763" s="15">
        <v>159.15</v>
      </c>
      <c r="K763" s="15">
        <v>101.55</v>
      </c>
      <c r="L763" s="15">
        <v>68241556</v>
      </c>
      <c r="M763" t="s" s="13">
        <v>8309</v>
      </c>
      <c r="N763" s="15">
        <v>311476</v>
      </c>
      <c r="O763" s="17" cm="1">
        <f t="array" ref="O763">(H763-H762)/H762</f>
        <v>0.011325782811459</v>
      </c>
    </row>
    <row r="764" ht="13.65" customHeight="1">
      <c r="A764" s="18">
        <v>45377</v>
      </c>
      <c r="B764" t="s" s="13">
        <v>22</v>
      </c>
      <c r="C764" s="15">
        <v>151.15</v>
      </c>
      <c r="D764" s="15">
        <v>153.4</v>
      </c>
      <c r="E764" s="15">
        <v>150.5</v>
      </c>
      <c r="F764" s="15">
        <v>151.8</v>
      </c>
      <c r="G764" s="15">
        <v>152.25</v>
      </c>
      <c r="H764" s="15">
        <v>152.4</v>
      </c>
      <c r="I764" s="15">
        <v>152.04</v>
      </c>
      <c r="J764" s="15">
        <v>159.15</v>
      </c>
      <c r="K764" s="15">
        <v>101.65</v>
      </c>
      <c r="L764" s="15">
        <v>52965508</v>
      </c>
      <c r="M764" t="s" s="13">
        <v>8310</v>
      </c>
      <c r="N764" s="15">
        <v>293448</v>
      </c>
      <c r="O764" s="17" cm="1">
        <f t="array" ref="O764">(H764-H763)/H763</f>
        <v>0.00395256916996047</v>
      </c>
    </row>
    <row r="765" ht="13.65" customHeight="1">
      <c r="A765" s="18">
        <v>45378</v>
      </c>
      <c r="B765" t="s" s="13">
        <v>22</v>
      </c>
      <c r="C765" s="15">
        <v>152.45</v>
      </c>
      <c r="D765" s="15">
        <v>154.1</v>
      </c>
      <c r="E765" s="15">
        <v>152</v>
      </c>
      <c r="F765" s="15">
        <v>152.4</v>
      </c>
      <c r="G765" s="15">
        <v>152.6</v>
      </c>
      <c r="H765" s="15">
        <v>152.7</v>
      </c>
      <c r="I765" s="15">
        <v>153.04</v>
      </c>
      <c r="J765" s="15">
        <v>159.15</v>
      </c>
      <c r="K765" s="15">
        <v>101.65</v>
      </c>
      <c r="L765" s="15">
        <v>35328794</v>
      </c>
      <c r="M765" t="s" s="13">
        <v>8311</v>
      </c>
      <c r="N765" s="15">
        <v>199762</v>
      </c>
      <c r="O765" s="17" cm="1">
        <f t="array" ref="O765">(H765-H764)/H764</f>
        <v>0.00196850393700787</v>
      </c>
    </row>
    <row r="766" ht="13.65" customHeight="1">
      <c r="A766" s="18">
        <v>45379</v>
      </c>
      <c r="B766" t="s" s="13">
        <v>22</v>
      </c>
      <c r="C766" s="15">
        <v>152.7</v>
      </c>
      <c r="D766" s="15">
        <v>157</v>
      </c>
      <c r="E766" s="15">
        <v>152.7</v>
      </c>
      <c r="F766" s="15">
        <v>152.7</v>
      </c>
      <c r="G766" s="15">
        <v>156.2</v>
      </c>
      <c r="H766" s="15">
        <v>155.85</v>
      </c>
      <c r="I766" s="15">
        <v>155.17</v>
      </c>
      <c r="J766" s="15">
        <v>159.15</v>
      </c>
      <c r="K766" s="15">
        <v>101.65</v>
      </c>
      <c r="L766" s="15">
        <v>62575327</v>
      </c>
      <c r="M766" t="s" s="13">
        <v>8312</v>
      </c>
      <c r="N766" s="15">
        <v>329742</v>
      </c>
      <c r="O766" s="17" cm="1">
        <f t="array" ref="O766">(H766-H765)/H765</f>
        <v>0.0206286836935167</v>
      </c>
    </row>
    <row r="767" ht="13.65" customHeight="1">
      <c r="A767" s="12">
        <v>45383</v>
      </c>
      <c r="B767" t="s" s="13">
        <v>22</v>
      </c>
      <c r="C767" s="15">
        <v>156.8</v>
      </c>
      <c r="D767" s="15">
        <v>163.9</v>
      </c>
      <c r="E767" s="15">
        <v>156.5</v>
      </c>
      <c r="F767" s="15">
        <v>155.85</v>
      </c>
      <c r="G767" s="15">
        <v>162.8</v>
      </c>
      <c r="H767" s="15">
        <v>163.15</v>
      </c>
      <c r="I767" s="15">
        <v>161.41</v>
      </c>
      <c r="J767" s="15">
        <v>163.9</v>
      </c>
      <c r="K767" s="15">
        <v>103.2</v>
      </c>
      <c r="L767" s="15">
        <v>84583929</v>
      </c>
      <c r="M767" t="s" s="13">
        <v>8313</v>
      </c>
      <c r="N767" s="15">
        <v>397933</v>
      </c>
      <c r="O767" s="17" cm="1">
        <f t="array" ref="O767">(H767-H766)/H766</f>
        <v>0.0468399101700353</v>
      </c>
    </row>
    <row r="768" ht="13.65" customHeight="1">
      <c r="A768" s="21"/>
      <c r="B768" s="21"/>
      <c r="C768" s="21"/>
      <c r="D768" s="21"/>
      <c r="E768" s="21"/>
      <c r="F768" s="21"/>
      <c r="G768" s="21"/>
      <c r="H768" s="21"/>
      <c r="I768" s="21"/>
      <c r="J768" s="21"/>
      <c r="K768" s="21"/>
      <c r="L768" s="21"/>
      <c r="M768" s="21"/>
      <c r="N768" s="21"/>
      <c r="O768" s="8"/>
    </row>
    <row r="769" ht="13.65" customHeight="1">
      <c r="A769" s="8"/>
      <c r="B769" s="8"/>
      <c r="C769" s="8"/>
      <c r="D769" s="8"/>
      <c r="E769" s="8"/>
      <c r="F769" s="8"/>
      <c r="G769" s="8"/>
      <c r="H769" s="8"/>
      <c r="I769" s="8"/>
      <c r="J769" s="8"/>
      <c r="K769" s="8"/>
      <c r="L769" s="8"/>
      <c r="M769" s="8"/>
      <c r="N769" t="s" s="7">
        <v>1028</v>
      </c>
      <c r="O769" s="22" cm="1">
        <f t="array" ref="O769">AVERAGE(O521:O767)</f>
        <v>0.00194578409777158</v>
      </c>
    </row>
    <row r="770" ht="13.65" customHeight="1">
      <c r="A770" s="8"/>
      <c r="B770" s="8"/>
      <c r="C770" s="8"/>
      <c r="D770" s="8"/>
      <c r="E770" s="8"/>
      <c r="F770" s="8"/>
      <c r="G770" s="8"/>
      <c r="H770" s="8"/>
      <c r="I770" s="8"/>
      <c r="J770" s="8"/>
      <c r="K770" s="8"/>
      <c r="L770" s="8"/>
      <c r="M770" s="8"/>
      <c r="N770" t="s" s="7">
        <v>527</v>
      </c>
      <c r="O770" s="22" cm="1">
        <f t="array" ref="O770">STDEV(O522:O767)</f>
        <v>0.0154005919999065</v>
      </c>
    </row>
    <row r="771" ht="13.65" customHeight="1">
      <c r="A771" s="8"/>
      <c r="B771" s="8"/>
      <c r="C771" s="8"/>
      <c r="D771" s="8"/>
      <c r="E771" s="8"/>
      <c r="F771" s="8"/>
      <c r="G771" s="8"/>
      <c r="H771" s="8"/>
      <c r="I771" s="8"/>
      <c r="J771" s="8"/>
      <c r="K771" s="8"/>
      <c r="L771" s="8"/>
      <c r="M771" s="8"/>
      <c r="N771" t="s" s="7">
        <v>7817</v>
      </c>
      <c r="O771" s="23" cm="1">
        <f t="array" ref="O771">AVERAGE(L521:L767)</f>
        <v>37214829.2550607</v>
      </c>
    </row>
    <row r="772" ht="13.65" customHeight="1">
      <c r="A772" s="8"/>
      <c r="B772" s="8"/>
      <c r="C772" s="8"/>
      <c r="D772" s="8"/>
      <c r="E772" s="8"/>
      <c r="F772" s="8"/>
      <c r="G772" s="8"/>
      <c r="H772" s="8"/>
      <c r="I772" s="8"/>
      <c r="J772" s="8"/>
      <c r="K772" s="8"/>
      <c r="L772" s="8"/>
      <c r="M772" s="8"/>
      <c r="N772" t="s" s="7">
        <v>275</v>
      </c>
      <c r="O772" s="23" cm="1">
        <f t="array" ref="O772">IF(H767&gt;H521,1,IF(H767&lt;H521,-1,0))</f>
        <v>1</v>
      </c>
    </row>
    <row r="773" ht="13.65" customHeight="1">
      <c r="A773" t="s" s="7">
        <v>778</v>
      </c>
      <c r="B773" s="8"/>
      <c r="C773" s="8"/>
      <c r="D773" s="8"/>
      <c r="E773" s="8"/>
      <c r="F773" s="8"/>
      <c r="G773" s="8"/>
      <c r="H773" s="8"/>
      <c r="I773" s="8"/>
      <c r="J773" s="8"/>
      <c r="K773" s="8"/>
      <c r="L773" s="8"/>
      <c r="M773" s="8"/>
      <c r="N773" t="s" s="7">
        <v>528</v>
      </c>
      <c r="O773" s="22" cm="1">
        <f t="array" ref="O773">(H767-H521)/H521</f>
        <v>0.567243035542747</v>
      </c>
    </row>
    <row r="774" ht="13.65" customHeight="1">
      <c r="A774" s="8"/>
      <c r="B774" s="8"/>
      <c r="C774" s="8"/>
      <c r="D774" s="8"/>
      <c r="E774" s="8"/>
      <c r="F774" s="8"/>
      <c r="G774" s="8"/>
      <c r="H774" s="8"/>
      <c r="I774" s="8"/>
      <c r="J774" s="8"/>
      <c r="K774" s="8"/>
      <c r="L774" s="8"/>
      <c r="M774" s="8"/>
      <c r="N774" s="8"/>
      <c r="O774" s="8"/>
    </row>
    <row r="775" ht="13.65" customHeight="1">
      <c r="A775" s="9"/>
      <c r="B775" s="9"/>
      <c r="C775" s="9"/>
      <c r="D775" s="9"/>
      <c r="E775" s="9"/>
      <c r="F775" s="9"/>
      <c r="G775" s="9"/>
      <c r="H775" s="9"/>
      <c r="I775" s="9"/>
      <c r="J775" s="9"/>
      <c r="K775" s="9"/>
      <c r="L775" s="9"/>
      <c r="M775" s="9"/>
      <c r="N775" s="9"/>
      <c r="O775" s="8"/>
    </row>
    <row r="776" ht="13.65" customHeight="1">
      <c r="A776" t="s" s="10">
        <v>7</v>
      </c>
      <c r="B776" t="s" s="10">
        <v>8</v>
      </c>
      <c r="C776" t="s" s="10">
        <v>9</v>
      </c>
      <c r="D776" t="s" s="10">
        <v>10</v>
      </c>
      <c r="E776" t="s" s="10">
        <v>11</v>
      </c>
      <c r="F776" t="s" s="10">
        <v>12</v>
      </c>
      <c r="G776" t="s" s="10">
        <v>13</v>
      </c>
      <c r="H776" t="s" s="10">
        <v>14</v>
      </c>
      <c r="I776" t="s" s="10">
        <v>15</v>
      </c>
      <c r="J776" t="s" s="10">
        <v>16</v>
      </c>
      <c r="K776" t="s" s="10">
        <v>17</v>
      </c>
      <c r="L776" t="s" s="10">
        <v>18</v>
      </c>
      <c r="M776" t="s" s="10">
        <v>19</v>
      </c>
      <c r="N776" t="s" s="10">
        <v>20</v>
      </c>
      <c r="O776" t="s" s="11">
        <v>21</v>
      </c>
    </row>
    <row r="777" ht="13.65" customHeight="1">
      <c r="A777" s="12">
        <v>45383</v>
      </c>
      <c r="B777" t="s" s="13">
        <v>22</v>
      </c>
      <c r="C777" s="15">
        <v>156.8</v>
      </c>
      <c r="D777" s="15">
        <v>163.9</v>
      </c>
      <c r="E777" s="15">
        <v>156.5</v>
      </c>
      <c r="F777" s="15">
        <v>155.85</v>
      </c>
      <c r="G777" s="15">
        <v>162.8</v>
      </c>
      <c r="H777" s="15">
        <v>163.15</v>
      </c>
      <c r="I777" s="15">
        <v>161.41</v>
      </c>
      <c r="J777" s="15">
        <v>163.9</v>
      </c>
      <c r="K777" s="15">
        <v>103.2</v>
      </c>
      <c r="L777" s="15">
        <v>84583929</v>
      </c>
      <c r="M777" t="s" s="13">
        <v>8313</v>
      </c>
      <c r="N777" s="15">
        <v>397933</v>
      </c>
      <c r="O777" s="16"/>
    </row>
    <row r="778" ht="13.65" customHeight="1">
      <c r="A778" s="12">
        <v>45384</v>
      </c>
      <c r="B778" t="s" s="13">
        <v>22</v>
      </c>
      <c r="C778" s="15">
        <v>162.95</v>
      </c>
      <c r="D778" s="15">
        <v>165.5</v>
      </c>
      <c r="E778" s="15">
        <v>161.8</v>
      </c>
      <c r="F778" s="15">
        <v>163.15</v>
      </c>
      <c r="G778" s="15">
        <v>164.6</v>
      </c>
      <c r="H778" s="15">
        <v>164.65</v>
      </c>
      <c r="I778" s="15">
        <v>163.87</v>
      </c>
      <c r="J778" s="15">
        <v>165.5</v>
      </c>
      <c r="K778" s="15">
        <v>103.2</v>
      </c>
      <c r="L778" s="15">
        <v>69533405</v>
      </c>
      <c r="M778" t="s" s="13">
        <v>8314</v>
      </c>
      <c r="N778" s="15">
        <v>335307</v>
      </c>
      <c r="O778" s="17" cm="1">
        <f t="array" ref="O778">(H778-H777)/H777</f>
        <v>0.00919399325773828</v>
      </c>
    </row>
    <row r="779" ht="13.65" customHeight="1">
      <c r="A779" s="12">
        <v>45385</v>
      </c>
      <c r="B779" t="s" s="13">
        <v>22</v>
      </c>
      <c r="C779" s="15">
        <v>164.65</v>
      </c>
      <c r="D779" s="15">
        <v>166.25</v>
      </c>
      <c r="E779" s="15">
        <v>163.1</v>
      </c>
      <c r="F779" s="15">
        <v>164.65</v>
      </c>
      <c r="G779" s="15">
        <v>163.6</v>
      </c>
      <c r="H779" s="15">
        <v>163.65</v>
      </c>
      <c r="I779" s="15">
        <v>164.75</v>
      </c>
      <c r="J779" s="15">
        <v>166.25</v>
      </c>
      <c r="K779" s="15">
        <v>103.2</v>
      </c>
      <c r="L779" s="15">
        <v>50938559</v>
      </c>
      <c r="M779" t="s" s="13">
        <v>8315</v>
      </c>
      <c r="N779" s="15">
        <v>358923</v>
      </c>
      <c r="O779" s="17" cm="1">
        <f t="array" ref="O779">(H779-H778)/H778</f>
        <v>-0.00607348921955664</v>
      </c>
    </row>
    <row r="780" ht="13.65" customHeight="1">
      <c r="A780" s="12">
        <v>45386</v>
      </c>
      <c r="B780" t="s" s="13">
        <v>22</v>
      </c>
      <c r="C780" s="15">
        <v>165.55</v>
      </c>
      <c r="D780" s="15">
        <v>165.95</v>
      </c>
      <c r="E780" s="15">
        <v>161</v>
      </c>
      <c r="F780" s="15">
        <v>163.65</v>
      </c>
      <c r="G780" s="15">
        <v>163.95</v>
      </c>
      <c r="H780" s="15">
        <v>163.4</v>
      </c>
      <c r="I780" s="15">
        <v>163.29</v>
      </c>
      <c r="J780" s="15">
        <v>166.25</v>
      </c>
      <c r="K780" s="15">
        <v>103.2</v>
      </c>
      <c r="L780" s="15">
        <v>61094750</v>
      </c>
      <c r="M780" t="s" s="13">
        <v>8316</v>
      </c>
      <c r="N780" s="15">
        <v>346150</v>
      </c>
      <c r="O780" s="17" cm="1">
        <f t="array" ref="O780">(H780-H779)/H779</f>
        <v>-0.00152765047357165</v>
      </c>
    </row>
    <row r="781" ht="13.65" customHeight="1">
      <c r="A781" s="12">
        <v>45387</v>
      </c>
      <c r="B781" t="s" s="13">
        <v>22</v>
      </c>
      <c r="C781" s="15">
        <v>163.9</v>
      </c>
      <c r="D781" s="15">
        <v>164.15</v>
      </c>
      <c r="E781" s="15">
        <v>160.8</v>
      </c>
      <c r="F781" s="15">
        <v>163.4</v>
      </c>
      <c r="G781" s="15">
        <v>163.3</v>
      </c>
      <c r="H781" s="15">
        <v>163.35</v>
      </c>
      <c r="I781" s="15">
        <v>162.44</v>
      </c>
      <c r="J781" s="15">
        <v>166.25</v>
      </c>
      <c r="K781" s="15">
        <v>103.2</v>
      </c>
      <c r="L781" s="15">
        <v>44668121</v>
      </c>
      <c r="M781" t="s" s="13">
        <v>8317</v>
      </c>
      <c r="N781" s="15">
        <v>259852</v>
      </c>
      <c r="O781" s="17" cm="1">
        <f t="array" ref="O781">(H781-H780)/H780</f>
        <v>-0.000305997552019584</v>
      </c>
    </row>
    <row r="782" ht="13.65" customHeight="1">
      <c r="A782" s="12">
        <v>45390</v>
      </c>
      <c r="B782" t="s" s="13">
        <v>22</v>
      </c>
      <c r="C782" s="15">
        <v>166.95</v>
      </c>
      <c r="D782" s="15">
        <v>166.95</v>
      </c>
      <c r="E782" s="15">
        <v>164.2</v>
      </c>
      <c r="F782" s="15">
        <v>163.35</v>
      </c>
      <c r="G782" s="15">
        <v>164.9</v>
      </c>
      <c r="H782" s="15">
        <v>165.2</v>
      </c>
      <c r="I782" s="15">
        <v>165.36</v>
      </c>
      <c r="J782" s="15">
        <v>166.95</v>
      </c>
      <c r="K782" s="15">
        <v>104.05</v>
      </c>
      <c r="L782" s="15">
        <v>48255703</v>
      </c>
      <c r="M782" t="s" s="13">
        <v>8318</v>
      </c>
      <c r="N782" s="15">
        <v>262899</v>
      </c>
      <c r="O782" s="17" cm="1">
        <f t="array" ref="O782">(H782-H781)/H781</f>
        <v>0.0113253749617386</v>
      </c>
    </row>
    <row r="783" ht="13.65" customHeight="1">
      <c r="A783" s="12">
        <v>45391</v>
      </c>
      <c r="B783" t="s" s="13">
        <v>22</v>
      </c>
      <c r="C783" s="15">
        <v>166</v>
      </c>
      <c r="D783" s="15">
        <v>169.8</v>
      </c>
      <c r="E783" s="15">
        <v>165.2</v>
      </c>
      <c r="F783" s="15">
        <v>165.2</v>
      </c>
      <c r="G783" s="15">
        <v>166.05</v>
      </c>
      <c r="H783" s="15">
        <v>166</v>
      </c>
      <c r="I783" s="15">
        <v>167.56</v>
      </c>
      <c r="J783" s="15">
        <v>169.8</v>
      </c>
      <c r="K783" s="15">
        <v>104.05</v>
      </c>
      <c r="L783" s="15">
        <v>63884687</v>
      </c>
      <c r="M783" t="s" s="13">
        <v>8319</v>
      </c>
      <c r="N783" s="15">
        <v>306316</v>
      </c>
      <c r="O783" s="17" cm="1">
        <f t="array" ref="O783">(H783-H782)/H782</f>
        <v>0.00484261501210654</v>
      </c>
    </row>
    <row r="784" ht="13.65" customHeight="1">
      <c r="A784" s="18">
        <v>45392</v>
      </c>
      <c r="B784" t="s" s="13">
        <v>22</v>
      </c>
      <c r="C784" s="15">
        <v>167.3</v>
      </c>
      <c r="D784" s="15">
        <v>169.2</v>
      </c>
      <c r="E784" s="15">
        <v>164.5</v>
      </c>
      <c r="F784" s="15">
        <v>166</v>
      </c>
      <c r="G784" s="15">
        <v>165.1</v>
      </c>
      <c r="H784" s="15">
        <v>165.05</v>
      </c>
      <c r="I784" s="15">
        <v>166.69</v>
      </c>
      <c r="J784" s="15">
        <v>169.8</v>
      </c>
      <c r="K784" s="15">
        <v>104.05</v>
      </c>
      <c r="L784" s="15">
        <v>64134758</v>
      </c>
      <c r="M784" t="s" s="13">
        <v>8320</v>
      </c>
      <c r="N784" s="15">
        <v>352243</v>
      </c>
      <c r="O784" s="17" cm="1">
        <f t="array" ref="O784">(H784-H783)/H783</f>
        <v>-0.00572289156626506</v>
      </c>
    </row>
    <row r="785" ht="13.65" customHeight="1">
      <c r="A785" s="18">
        <v>45394</v>
      </c>
      <c r="B785" t="s" s="13">
        <v>22</v>
      </c>
      <c r="C785" s="15">
        <v>166</v>
      </c>
      <c r="D785" s="15">
        <v>166</v>
      </c>
      <c r="E785" s="15">
        <v>163</v>
      </c>
      <c r="F785" s="15">
        <v>165.05</v>
      </c>
      <c r="G785" s="15">
        <v>163.5</v>
      </c>
      <c r="H785" s="15">
        <v>163.5</v>
      </c>
      <c r="I785" s="15">
        <v>164.33</v>
      </c>
      <c r="J785" s="15">
        <v>169.8</v>
      </c>
      <c r="K785" s="15">
        <v>104.05</v>
      </c>
      <c r="L785" s="15">
        <v>55317636</v>
      </c>
      <c r="M785" t="s" s="13">
        <v>8321</v>
      </c>
      <c r="N785" s="15">
        <v>311078</v>
      </c>
      <c r="O785" s="17" cm="1">
        <f t="array" ref="O785">(H785-H784)/H784</f>
        <v>-0.009391093607997581</v>
      </c>
    </row>
    <row r="786" ht="13.65" customHeight="1">
      <c r="A786" s="18">
        <v>45397</v>
      </c>
      <c r="B786" t="s" s="13">
        <v>22</v>
      </c>
      <c r="C786" s="15">
        <v>161.8</v>
      </c>
      <c r="D786" s="15">
        <v>164.7</v>
      </c>
      <c r="E786" s="15">
        <v>158.6</v>
      </c>
      <c r="F786" s="15">
        <v>163.5</v>
      </c>
      <c r="G786" s="15">
        <v>161.15</v>
      </c>
      <c r="H786" s="15">
        <v>160.85</v>
      </c>
      <c r="I786" s="15">
        <v>161.55</v>
      </c>
      <c r="J786" s="15">
        <v>169.8</v>
      </c>
      <c r="K786" s="15">
        <v>104.05</v>
      </c>
      <c r="L786" s="15">
        <v>66426404</v>
      </c>
      <c r="M786" t="s" s="13">
        <v>8322</v>
      </c>
      <c r="N786" s="15">
        <v>393289</v>
      </c>
      <c r="O786" s="17" cm="1">
        <f t="array" ref="O786">(H786-H785)/H785</f>
        <v>-0.0162079510703364</v>
      </c>
    </row>
    <row r="787" ht="13.65" customHeight="1">
      <c r="A787" s="18">
        <v>45398</v>
      </c>
      <c r="B787" t="s" s="13">
        <v>22</v>
      </c>
      <c r="C787" s="15">
        <v>160.85</v>
      </c>
      <c r="D787" s="15">
        <v>162.45</v>
      </c>
      <c r="E787" s="15">
        <v>159</v>
      </c>
      <c r="F787" s="15">
        <v>160.85</v>
      </c>
      <c r="G787" s="15">
        <v>160.3</v>
      </c>
      <c r="H787" s="15">
        <v>160.05</v>
      </c>
      <c r="I787" s="15">
        <v>160.8</v>
      </c>
      <c r="J787" s="15">
        <v>169.8</v>
      </c>
      <c r="K787" s="15">
        <v>104.05</v>
      </c>
      <c r="L787" s="15">
        <v>41391261</v>
      </c>
      <c r="M787" t="s" s="13">
        <v>8323</v>
      </c>
      <c r="N787" s="15">
        <v>246139</v>
      </c>
      <c r="O787" s="17" cm="1">
        <f t="array" ref="O787">(H787-H786)/H786</f>
        <v>-0.00497357786757849</v>
      </c>
    </row>
    <row r="788" ht="13.65" customHeight="1">
      <c r="A788" s="18">
        <v>45400</v>
      </c>
      <c r="B788" t="s" s="13">
        <v>22</v>
      </c>
      <c r="C788" s="15">
        <v>160.9</v>
      </c>
      <c r="D788" s="15">
        <v>164</v>
      </c>
      <c r="E788" s="15">
        <v>159.15</v>
      </c>
      <c r="F788" s="15">
        <v>160.05</v>
      </c>
      <c r="G788" s="15">
        <v>161.2</v>
      </c>
      <c r="H788" s="15">
        <v>160.05</v>
      </c>
      <c r="I788" s="15">
        <v>161.96</v>
      </c>
      <c r="J788" s="15">
        <v>169.8</v>
      </c>
      <c r="K788" s="15">
        <v>104.05</v>
      </c>
      <c r="L788" s="15">
        <v>68093672</v>
      </c>
      <c r="M788" t="s" s="13">
        <v>8324</v>
      </c>
      <c r="N788" s="15">
        <v>342037</v>
      </c>
      <c r="O788" s="17" cm="1">
        <f t="array" ref="O788">(H788-H787)/H787</f>
        <v>0</v>
      </c>
    </row>
    <row r="789" ht="13.65" customHeight="1">
      <c r="A789" s="18">
        <v>45401</v>
      </c>
      <c r="B789" t="s" s="13">
        <v>22</v>
      </c>
      <c r="C789" s="15">
        <v>160</v>
      </c>
      <c r="D789" s="15">
        <v>162.5</v>
      </c>
      <c r="E789" s="15">
        <v>157.3</v>
      </c>
      <c r="F789" s="15">
        <v>160.05</v>
      </c>
      <c r="G789" s="15">
        <v>161.9</v>
      </c>
      <c r="H789" s="15">
        <v>162.1</v>
      </c>
      <c r="I789" s="15">
        <v>160.47</v>
      </c>
      <c r="J789" s="15">
        <v>169.8</v>
      </c>
      <c r="K789" s="15">
        <v>104.05</v>
      </c>
      <c r="L789" s="15">
        <v>60078229</v>
      </c>
      <c r="M789" t="s" s="13">
        <v>8325</v>
      </c>
      <c r="N789" s="15">
        <v>335708</v>
      </c>
      <c r="O789" s="17" cm="1">
        <f t="array" ref="O789">(H789-H788)/H788</f>
        <v>0.0128084973445798</v>
      </c>
    </row>
    <row r="790" ht="13.65" customHeight="1">
      <c r="A790" s="18">
        <v>45404</v>
      </c>
      <c r="B790" t="s" s="13">
        <v>22</v>
      </c>
      <c r="C790" s="15">
        <v>163.8</v>
      </c>
      <c r="D790" s="15">
        <v>164.7</v>
      </c>
      <c r="E790" s="15">
        <v>161.5</v>
      </c>
      <c r="F790" s="15">
        <v>162.1</v>
      </c>
      <c r="G790" s="15">
        <v>162.1</v>
      </c>
      <c r="H790" s="15">
        <v>161.85</v>
      </c>
      <c r="I790" s="15">
        <v>162.68</v>
      </c>
      <c r="J790" s="15">
        <v>169.8</v>
      </c>
      <c r="K790" s="15">
        <v>104.05</v>
      </c>
      <c r="L790" s="15">
        <v>39304790</v>
      </c>
      <c r="M790" t="s" s="13">
        <v>8326</v>
      </c>
      <c r="N790" s="15">
        <v>218374</v>
      </c>
      <c r="O790" s="17" cm="1">
        <f t="array" ref="O790">(H790-H789)/H789</f>
        <v>-0.00154225786551511</v>
      </c>
    </row>
    <row r="791" ht="13.65" customHeight="1">
      <c r="A791" s="18">
        <v>45405</v>
      </c>
      <c r="B791" t="s" s="13">
        <v>22</v>
      </c>
      <c r="C791" s="15">
        <v>163.5</v>
      </c>
      <c r="D791" s="15">
        <v>163.5</v>
      </c>
      <c r="E791" s="15">
        <v>160.8</v>
      </c>
      <c r="F791" s="15">
        <v>161.85</v>
      </c>
      <c r="G791" s="15">
        <v>161.1</v>
      </c>
      <c r="H791" s="15">
        <v>161.15</v>
      </c>
      <c r="I791" s="15">
        <v>161.98</v>
      </c>
      <c r="J791" s="15">
        <v>169.8</v>
      </c>
      <c r="K791" s="15">
        <v>104.05</v>
      </c>
      <c r="L791" s="15">
        <v>30295177</v>
      </c>
      <c r="M791" t="s" s="13">
        <v>8327</v>
      </c>
      <c r="N791" s="15">
        <v>193536</v>
      </c>
      <c r="O791" s="17" cm="1">
        <f t="array" ref="O791">(H791-H790)/H790</f>
        <v>-0.00432499227679951</v>
      </c>
    </row>
    <row r="792" ht="13.65" customHeight="1">
      <c r="A792" s="18">
        <v>45406</v>
      </c>
      <c r="B792" t="s" s="13">
        <v>22</v>
      </c>
      <c r="C792" s="15">
        <v>162.45</v>
      </c>
      <c r="D792" s="15">
        <v>166.9</v>
      </c>
      <c r="E792" s="15">
        <v>161.45</v>
      </c>
      <c r="F792" s="15">
        <v>161.15</v>
      </c>
      <c r="G792" s="15">
        <v>165.7</v>
      </c>
      <c r="H792" s="15">
        <v>165.55</v>
      </c>
      <c r="I792" s="15">
        <v>164.89</v>
      </c>
      <c r="J792" s="15">
        <v>169.8</v>
      </c>
      <c r="K792" s="15">
        <v>104.05</v>
      </c>
      <c r="L792" s="15">
        <v>59894921</v>
      </c>
      <c r="M792" t="s" s="13">
        <v>8328</v>
      </c>
      <c r="N792" s="15">
        <v>285424</v>
      </c>
      <c r="O792" s="17" cm="1">
        <f t="array" ref="O792">(H792-H791)/H791</f>
        <v>0.0273037542662116</v>
      </c>
    </row>
    <row r="793" ht="13.65" customHeight="1">
      <c r="A793" s="18">
        <v>45407</v>
      </c>
      <c r="B793" t="s" s="13">
        <v>22</v>
      </c>
      <c r="C793" s="15">
        <v>165.4</v>
      </c>
      <c r="D793" s="15">
        <v>168</v>
      </c>
      <c r="E793" s="15">
        <v>164.15</v>
      </c>
      <c r="F793" s="15">
        <v>165.55</v>
      </c>
      <c r="G793" s="15">
        <v>167</v>
      </c>
      <c r="H793" s="15">
        <v>167.7</v>
      </c>
      <c r="I793" s="15">
        <v>166.15</v>
      </c>
      <c r="J793" s="15">
        <v>169.8</v>
      </c>
      <c r="K793" s="15">
        <v>104.05</v>
      </c>
      <c r="L793" s="15">
        <v>50128523</v>
      </c>
      <c r="M793" t="s" s="13">
        <v>8329</v>
      </c>
      <c r="N793" s="15">
        <v>251319</v>
      </c>
      <c r="O793" s="17" cm="1">
        <f t="array" ref="O793">(H793-H792)/H792</f>
        <v>0.012987012987013</v>
      </c>
    </row>
    <row r="794" ht="13.65" customHeight="1">
      <c r="A794" s="18">
        <v>45408</v>
      </c>
      <c r="B794" t="s" s="13">
        <v>22</v>
      </c>
      <c r="C794" s="15">
        <v>168</v>
      </c>
      <c r="D794" s="15">
        <v>170.7</v>
      </c>
      <c r="E794" s="15">
        <v>165.25</v>
      </c>
      <c r="F794" s="15">
        <v>167.7</v>
      </c>
      <c r="G794" s="15">
        <v>166.2</v>
      </c>
      <c r="H794" s="15">
        <v>165.8</v>
      </c>
      <c r="I794" s="15">
        <v>167.69</v>
      </c>
      <c r="J794" s="15">
        <v>170.7</v>
      </c>
      <c r="K794" s="15">
        <v>104.05</v>
      </c>
      <c r="L794" s="15">
        <v>65355111</v>
      </c>
      <c r="M794" t="s" s="13">
        <v>8330</v>
      </c>
      <c r="N794" s="15">
        <v>335513</v>
      </c>
      <c r="O794" s="17" cm="1">
        <f t="array" ref="O794">(H794-H793)/H793</f>
        <v>-0.011329755515802</v>
      </c>
    </row>
    <row r="795" ht="13.65" customHeight="1">
      <c r="A795" s="18">
        <v>45411</v>
      </c>
      <c r="B795" t="s" s="13">
        <v>22</v>
      </c>
      <c r="C795" s="15">
        <v>168.2</v>
      </c>
      <c r="D795" s="15">
        <v>169.6</v>
      </c>
      <c r="E795" s="15">
        <v>166.9</v>
      </c>
      <c r="F795" s="15">
        <v>165.8</v>
      </c>
      <c r="G795" s="15">
        <v>167.4</v>
      </c>
      <c r="H795" s="15">
        <v>167.4</v>
      </c>
      <c r="I795" s="15">
        <v>167.97</v>
      </c>
      <c r="J795" s="15">
        <v>170.7</v>
      </c>
      <c r="K795" s="15">
        <v>104.05</v>
      </c>
      <c r="L795" s="15">
        <v>44906151</v>
      </c>
      <c r="M795" t="s" s="13">
        <v>8331</v>
      </c>
      <c r="N795" s="15">
        <v>233688</v>
      </c>
      <c r="O795" s="17" cm="1">
        <f t="array" ref="O795">(H795-H794)/H794</f>
        <v>0.009650180940892639</v>
      </c>
    </row>
    <row r="796" ht="13.65" customHeight="1">
      <c r="A796" s="18">
        <v>45412</v>
      </c>
      <c r="B796" t="s" s="13">
        <v>22</v>
      </c>
      <c r="C796" s="15">
        <v>168.4</v>
      </c>
      <c r="D796" s="15">
        <v>168.4</v>
      </c>
      <c r="E796" s="15">
        <v>164.5</v>
      </c>
      <c r="F796" s="15">
        <v>167.4</v>
      </c>
      <c r="G796" s="15">
        <v>164.75</v>
      </c>
      <c r="H796" s="15">
        <v>165</v>
      </c>
      <c r="I796" s="15">
        <v>165.94</v>
      </c>
      <c r="J796" s="15">
        <v>170.7</v>
      </c>
      <c r="K796" s="15">
        <v>104.05</v>
      </c>
      <c r="L796" s="15">
        <v>55043389</v>
      </c>
      <c r="M796" t="s" s="13">
        <v>8332</v>
      </c>
      <c r="N796" s="15">
        <v>246416</v>
      </c>
      <c r="O796" s="17" cm="1">
        <f t="array" ref="O796">(H796-H795)/H795</f>
        <v>-0.014336917562724</v>
      </c>
    </row>
    <row r="797" ht="13.65" customHeight="1">
      <c r="A797" s="19">
        <v>45414</v>
      </c>
      <c r="B797" t="s" s="13">
        <v>22</v>
      </c>
      <c r="C797" s="15">
        <v>165</v>
      </c>
      <c r="D797" s="15">
        <v>168.9</v>
      </c>
      <c r="E797" s="15">
        <v>165</v>
      </c>
      <c r="F797" s="15">
        <v>165</v>
      </c>
      <c r="G797" s="15">
        <v>167.6</v>
      </c>
      <c r="H797" s="15">
        <v>167.35</v>
      </c>
      <c r="I797" s="15">
        <v>167.53</v>
      </c>
      <c r="J797" s="15">
        <v>170.7</v>
      </c>
      <c r="K797" s="15">
        <v>104.05</v>
      </c>
      <c r="L797" s="15">
        <v>69320283</v>
      </c>
      <c r="M797" t="s" s="13">
        <v>8333</v>
      </c>
      <c r="N797" s="15">
        <v>325535</v>
      </c>
      <c r="O797" s="17" cm="1">
        <f t="array" ref="O797">(H797-H796)/H796</f>
        <v>0.0142424242424242</v>
      </c>
    </row>
    <row r="798" ht="13.65" customHeight="1">
      <c r="A798" s="19">
        <v>45415</v>
      </c>
      <c r="B798" t="s" s="13">
        <v>22</v>
      </c>
      <c r="C798" s="15">
        <v>168.95</v>
      </c>
      <c r="D798" s="15">
        <v>170.75</v>
      </c>
      <c r="E798" s="15">
        <v>165.15</v>
      </c>
      <c r="F798" s="15">
        <v>167.35</v>
      </c>
      <c r="G798" s="15">
        <v>166.5</v>
      </c>
      <c r="H798" s="15">
        <v>166.5</v>
      </c>
      <c r="I798" s="15">
        <v>168.13</v>
      </c>
      <c r="J798" s="15">
        <v>170.75</v>
      </c>
      <c r="K798" s="15">
        <v>104.05</v>
      </c>
      <c r="L798" s="15">
        <v>62573586</v>
      </c>
      <c r="M798" t="s" s="13">
        <v>8334</v>
      </c>
      <c r="N798" s="15">
        <v>311958</v>
      </c>
      <c r="O798" s="17" cm="1">
        <f t="array" ref="O798">(H798-H797)/H797</f>
        <v>-0.00507917538093815</v>
      </c>
    </row>
    <row r="799" ht="13.65" customHeight="1">
      <c r="A799" s="19">
        <v>45418</v>
      </c>
      <c r="B799" t="s" s="13">
        <v>22</v>
      </c>
      <c r="C799" s="15">
        <v>167.95</v>
      </c>
      <c r="D799" s="15">
        <v>168.65</v>
      </c>
      <c r="E799" s="15">
        <v>164.7</v>
      </c>
      <c r="F799" s="15">
        <v>166.5</v>
      </c>
      <c r="G799" s="15">
        <v>167.5</v>
      </c>
      <c r="H799" s="15">
        <v>167.6</v>
      </c>
      <c r="I799" s="15">
        <v>167.17</v>
      </c>
      <c r="J799" s="15">
        <v>170.75</v>
      </c>
      <c r="K799" s="15">
        <v>104.05</v>
      </c>
      <c r="L799" s="15">
        <v>37621296</v>
      </c>
      <c r="M799" t="s" s="13">
        <v>8335</v>
      </c>
      <c r="N799" s="15">
        <v>241194</v>
      </c>
      <c r="O799" s="17" cm="1">
        <f t="array" ref="O799">(H799-H798)/H798</f>
        <v>0.00660660660660661</v>
      </c>
    </row>
    <row r="800" ht="13.65" customHeight="1">
      <c r="A800" s="19">
        <v>45419</v>
      </c>
      <c r="B800" t="s" s="13">
        <v>22</v>
      </c>
      <c r="C800" s="15">
        <v>167.95</v>
      </c>
      <c r="D800" s="15">
        <v>167.95</v>
      </c>
      <c r="E800" s="15">
        <v>162.3</v>
      </c>
      <c r="F800" s="15">
        <v>167.6</v>
      </c>
      <c r="G800" s="15">
        <v>164.2</v>
      </c>
      <c r="H800" s="15">
        <v>164.25</v>
      </c>
      <c r="I800" s="15">
        <v>164.76</v>
      </c>
      <c r="J800" s="15">
        <v>170.75</v>
      </c>
      <c r="K800" s="15">
        <v>104.05</v>
      </c>
      <c r="L800" s="15">
        <v>43611824</v>
      </c>
      <c r="M800" t="s" s="13">
        <v>8336</v>
      </c>
      <c r="N800" s="15">
        <v>246880</v>
      </c>
      <c r="O800" s="17" cm="1">
        <f t="array" ref="O800">(H800-H799)/H799</f>
        <v>-0.0199880668257757</v>
      </c>
    </row>
    <row r="801" ht="13.65" customHeight="1">
      <c r="A801" s="19">
        <v>45420</v>
      </c>
      <c r="B801" t="s" s="13">
        <v>22</v>
      </c>
      <c r="C801" s="15">
        <v>164.2</v>
      </c>
      <c r="D801" s="15">
        <v>167.1</v>
      </c>
      <c r="E801" s="15">
        <v>163.5</v>
      </c>
      <c r="F801" s="15">
        <v>164.25</v>
      </c>
      <c r="G801" s="15">
        <v>166.4</v>
      </c>
      <c r="H801" s="15">
        <v>166.05</v>
      </c>
      <c r="I801" s="15">
        <v>165.88</v>
      </c>
      <c r="J801" s="15">
        <v>170.75</v>
      </c>
      <c r="K801" s="15">
        <v>104.05</v>
      </c>
      <c r="L801" s="15">
        <v>30128705</v>
      </c>
      <c r="M801" t="s" s="13">
        <v>8337</v>
      </c>
      <c r="N801" s="15">
        <v>215473</v>
      </c>
      <c r="O801" s="17" cm="1">
        <f t="array" ref="O801">(H801-H800)/H800</f>
        <v>0.010958904109589</v>
      </c>
    </row>
    <row r="802" ht="13.65" customHeight="1">
      <c r="A802" s="19">
        <v>45421</v>
      </c>
      <c r="B802" t="s" s="13">
        <v>22</v>
      </c>
      <c r="C802" s="15">
        <v>165.95</v>
      </c>
      <c r="D802" s="15">
        <v>166.7</v>
      </c>
      <c r="E802" s="15">
        <v>161.5</v>
      </c>
      <c r="F802" s="15">
        <v>166.05</v>
      </c>
      <c r="G802" s="15">
        <v>162</v>
      </c>
      <c r="H802" s="15">
        <v>161.9</v>
      </c>
      <c r="I802" s="15">
        <v>164.05</v>
      </c>
      <c r="J802" s="15">
        <v>170.75</v>
      </c>
      <c r="K802" s="15">
        <v>104.05</v>
      </c>
      <c r="L802" s="15">
        <v>30223088</v>
      </c>
      <c r="M802" t="s" s="13">
        <v>8338</v>
      </c>
      <c r="N802" s="15">
        <v>253157</v>
      </c>
      <c r="O802" s="17" cm="1">
        <f t="array" ref="O802">(H802-H801)/H801</f>
        <v>-0.0249924721469437</v>
      </c>
    </row>
    <row r="803" ht="13.65" customHeight="1">
      <c r="A803" s="20">
        <v>45422</v>
      </c>
      <c r="B803" t="s" s="13">
        <v>22</v>
      </c>
      <c r="C803" s="15">
        <v>163.2</v>
      </c>
      <c r="D803" s="15">
        <v>164.35</v>
      </c>
      <c r="E803" s="15">
        <v>161.85</v>
      </c>
      <c r="F803" s="15">
        <v>161.9</v>
      </c>
      <c r="G803" s="15">
        <v>162.4</v>
      </c>
      <c r="H803" s="15">
        <v>162.25</v>
      </c>
      <c r="I803" s="15">
        <v>162.98</v>
      </c>
      <c r="J803" s="15">
        <v>170.75</v>
      </c>
      <c r="K803" s="15">
        <v>104.05</v>
      </c>
      <c r="L803" s="15">
        <v>31472419</v>
      </c>
      <c r="M803" t="s" s="13">
        <v>8339</v>
      </c>
      <c r="N803" s="15">
        <v>197325</v>
      </c>
      <c r="O803" s="17" cm="1">
        <f t="array" ref="O803">(H803-H802)/H802</f>
        <v>0.00216182828906733</v>
      </c>
    </row>
    <row r="804" ht="13.65" customHeight="1">
      <c r="A804" s="20">
        <v>45425</v>
      </c>
      <c r="B804" t="s" s="13">
        <v>22</v>
      </c>
      <c r="C804" s="15">
        <v>162.45</v>
      </c>
      <c r="D804" s="15">
        <v>164.5</v>
      </c>
      <c r="E804" s="15">
        <v>158.05</v>
      </c>
      <c r="F804" s="15">
        <v>162.25</v>
      </c>
      <c r="G804" s="15">
        <v>164</v>
      </c>
      <c r="H804" s="15">
        <v>163.85</v>
      </c>
      <c r="I804" s="15">
        <v>161.69</v>
      </c>
      <c r="J804" s="15">
        <v>170.75</v>
      </c>
      <c r="K804" s="15">
        <v>104.05</v>
      </c>
      <c r="L804" s="15">
        <v>36561003</v>
      </c>
      <c r="M804" t="s" s="13">
        <v>8340</v>
      </c>
      <c r="N804" s="15">
        <v>226641</v>
      </c>
      <c r="O804" s="17" cm="1">
        <f t="array" ref="O804">(H804-H803)/H803</f>
        <v>0.009861325115562401</v>
      </c>
    </row>
    <row r="805" ht="13.65" customHeight="1">
      <c r="A805" s="20">
        <v>45426</v>
      </c>
      <c r="B805" t="s" s="13">
        <v>22</v>
      </c>
      <c r="C805" s="15">
        <v>164.1</v>
      </c>
      <c r="D805" s="15">
        <v>166.55</v>
      </c>
      <c r="E805" s="15">
        <v>163.5</v>
      </c>
      <c r="F805" s="15">
        <v>163.85</v>
      </c>
      <c r="G805" s="15">
        <v>164.85</v>
      </c>
      <c r="H805" s="15">
        <v>164.95</v>
      </c>
      <c r="I805" s="15">
        <v>165.16</v>
      </c>
      <c r="J805" s="15">
        <v>170.75</v>
      </c>
      <c r="K805" s="15">
        <v>104.05</v>
      </c>
      <c r="L805" s="15">
        <v>46261468</v>
      </c>
      <c r="M805" t="s" s="13">
        <v>8341</v>
      </c>
      <c r="N805" s="15">
        <v>183357</v>
      </c>
      <c r="O805" s="17" cm="1">
        <f t="array" ref="O805">(H805-H804)/H804</f>
        <v>0.00671345743057675</v>
      </c>
    </row>
    <row r="806" ht="13.65" customHeight="1">
      <c r="A806" s="20">
        <v>45427</v>
      </c>
      <c r="B806" t="s" s="13">
        <v>22</v>
      </c>
      <c r="C806" s="15">
        <v>164.95</v>
      </c>
      <c r="D806" s="15">
        <v>167.55</v>
      </c>
      <c r="E806" s="15">
        <v>164.95</v>
      </c>
      <c r="F806" s="15">
        <v>164.95</v>
      </c>
      <c r="G806" s="15">
        <v>165.85</v>
      </c>
      <c r="H806" s="15">
        <v>165.6</v>
      </c>
      <c r="I806" s="15">
        <v>166.13</v>
      </c>
      <c r="J806" s="15">
        <v>170.75</v>
      </c>
      <c r="K806" s="15">
        <v>104.05</v>
      </c>
      <c r="L806" s="15">
        <v>29601304</v>
      </c>
      <c r="M806" t="s" s="13">
        <v>8342</v>
      </c>
      <c r="N806" s="15">
        <v>174079</v>
      </c>
      <c r="O806" s="17" cm="1">
        <f t="array" ref="O806">(H806-H805)/H805</f>
        <v>0.00394058805698697</v>
      </c>
    </row>
    <row r="807" ht="13.65" customHeight="1">
      <c r="A807" s="20">
        <v>45428</v>
      </c>
      <c r="B807" t="s" s="13">
        <v>22</v>
      </c>
      <c r="C807" s="15">
        <v>167.25</v>
      </c>
      <c r="D807" s="15">
        <v>168</v>
      </c>
      <c r="E807" s="15">
        <v>162.3</v>
      </c>
      <c r="F807" s="15">
        <v>165.6</v>
      </c>
      <c r="G807" s="15">
        <v>165.85</v>
      </c>
      <c r="H807" s="15">
        <v>165.9</v>
      </c>
      <c r="I807" s="15">
        <v>165.1</v>
      </c>
      <c r="J807" s="15">
        <v>170.75</v>
      </c>
      <c r="K807" s="15">
        <v>104.05</v>
      </c>
      <c r="L807" s="15">
        <v>41126570</v>
      </c>
      <c r="M807" t="s" s="13">
        <v>8343</v>
      </c>
      <c r="N807" s="15">
        <v>245941</v>
      </c>
      <c r="O807" s="17" cm="1">
        <f t="array" ref="O807">(H807-H806)/H806</f>
        <v>0.00181159420289855</v>
      </c>
    </row>
    <row r="808" ht="13.65" customHeight="1">
      <c r="A808" s="20">
        <v>45429</v>
      </c>
      <c r="B808" t="s" s="13">
        <v>22</v>
      </c>
      <c r="C808" s="15">
        <v>166.6</v>
      </c>
      <c r="D808" s="15">
        <v>168.45</v>
      </c>
      <c r="E808" s="15">
        <v>165.45</v>
      </c>
      <c r="F808" s="15">
        <v>165.9</v>
      </c>
      <c r="G808" s="15">
        <v>167.2</v>
      </c>
      <c r="H808" s="15">
        <v>167.35</v>
      </c>
      <c r="I808" s="15">
        <v>167.21</v>
      </c>
      <c r="J808" s="15">
        <v>170.75</v>
      </c>
      <c r="K808" s="15">
        <v>104.05</v>
      </c>
      <c r="L808" s="15">
        <v>39181277</v>
      </c>
      <c r="M808" t="s" s="13">
        <v>8344</v>
      </c>
      <c r="N808" s="15">
        <v>207093</v>
      </c>
      <c r="O808" s="17" cm="1">
        <f t="array" ref="O808">(H808-H807)/H807</f>
        <v>0.00874020494273659</v>
      </c>
    </row>
    <row r="809" ht="13.65" customHeight="1">
      <c r="A809" s="20">
        <v>45430</v>
      </c>
      <c r="B809" t="s" s="13">
        <v>22</v>
      </c>
      <c r="C809" s="15">
        <v>168</v>
      </c>
      <c r="D809" s="15">
        <v>168.3</v>
      </c>
      <c r="E809" s="15">
        <v>167.3</v>
      </c>
      <c r="F809" s="15">
        <v>167.35</v>
      </c>
      <c r="G809" s="15">
        <v>167.8</v>
      </c>
      <c r="H809" s="15">
        <v>167.9</v>
      </c>
      <c r="I809" s="15">
        <v>167.97</v>
      </c>
      <c r="J809" s="15">
        <v>170.75</v>
      </c>
      <c r="K809" s="15">
        <v>104.05</v>
      </c>
      <c r="L809" s="15">
        <v>3601856</v>
      </c>
      <c r="M809" t="s" s="13">
        <v>8345</v>
      </c>
      <c r="N809" s="15">
        <v>41951</v>
      </c>
      <c r="O809" s="17" cm="1">
        <f t="array" ref="O809">(H809-H808)/H808</f>
        <v>0.00328652524648939</v>
      </c>
    </row>
    <row r="810" ht="13.65" customHeight="1">
      <c r="A810" s="20">
        <v>45433</v>
      </c>
      <c r="B810" t="s" s="13">
        <v>22</v>
      </c>
      <c r="C810" s="15">
        <v>168.5</v>
      </c>
      <c r="D810" s="15">
        <v>175.2</v>
      </c>
      <c r="E810" s="15">
        <v>167.95</v>
      </c>
      <c r="F810" s="15">
        <v>167.9</v>
      </c>
      <c r="G810" s="15">
        <v>174</v>
      </c>
      <c r="H810" s="15">
        <v>174.35</v>
      </c>
      <c r="I810" s="15">
        <v>172.79</v>
      </c>
      <c r="J810" s="15">
        <v>175.2</v>
      </c>
      <c r="K810" s="15">
        <v>104.3</v>
      </c>
      <c r="L810" s="15">
        <v>84833644</v>
      </c>
      <c r="M810" t="s" s="13">
        <v>8346</v>
      </c>
      <c r="N810" s="15">
        <v>450461</v>
      </c>
      <c r="O810" s="17" cm="1">
        <f t="array" ref="O810">(H810-H809)/H809</f>
        <v>0.0384157236450268</v>
      </c>
    </row>
    <row r="811" ht="13.65" customHeight="1">
      <c r="A811" s="20">
        <v>45434</v>
      </c>
      <c r="B811" t="s" s="13">
        <v>22</v>
      </c>
      <c r="C811" s="15">
        <v>175.45</v>
      </c>
      <c r="D811" s="15">
        <v>175.5</v>
      </c>
      <c r="E811" s="15">
        <v>171.5</v>
      </c>
      <c r="F811" s="15">
        <v>174.35</v>
      </c>
      <c r="G811" s="15">
        <v>173.05</v>
      </c>
      <c r="H811" s="15">
        <v>173.3</v>
      </c>
      <c r="I811" s="15">
        <v>173.1</v>
      </c>
      <c r="J811" s="15">
        <v>175.5</v>
      </c>
      <c r="K811" s="15">
        <v>104.3</v>
      </c>
      <c r="L811" s="15">
        <v>42919832</v>
      </c>
      <c r="M811" t="s" s="13">
        <v>8347</v>
      </c>
      <c r="N811" s="15">
        <v>298848</v>
      </c>
      <c r="O811" s="17" cm="1">
        <f t="array" ref="O811">(H811-H810)/H810</f>
        <v>-0.00602236879839403</v>
      </c>
    </row>
    <row r="812" ht="13.65" customHeight="1">
      <c r="A812" s="20">
        <v>45435</v>
      </c>
      <c r="B812" t="s" s="13">
        <v>22</v>
      </c>
      <c r="C812" s="15">
        <v>173.05</v>
      </c>
      <c r="D812" s="15">
        <v>175.8</v>
      </c>
      <c r="E812" s="15">
        <v>170.5</v>
      </c>
      <c r="F812" s="15">
        <v>173.3</v>
      </c>
      <c r="G812" s="15">
        <v>175.15</v>
      </c>
      <c r="H812" s="15">
        <v>175.5</v>
      </c>
      <c r="I812" s="15">
        <v>173.37</v>
      </c>
      <c r="J812" s="15">
        <v>175.8</v>
      </c>
      <c r="K812" s="15">
        <v>104.3</v>
      </c>
      <c r="L812" s="15">
        <v>49377680</v>
      </c>
      <c r="M812" t="s" s="13">
        <v>8348</v>
      </c>
      <c r="N812" s="15">
        <v>259776</v>
      </c>
      <c r="O812" s="17" cm="1">
        <f t="array" ref="O812">(H812-H811)/H811</f>
        <v>0.0126947489901904</v>
      </c>
    </row>
    <row r="813" ht="13.65" customHeight="1">
      <c r="A813" s="20">
        <v>45436</v>
      </c>
      <c r="B813" t="s" s="13">
        <v>22</v>
      </c>
      <c r="C813" s="15">
        <v>174.95</v>
      </c>
      <c r="D813" s="15">
        <v>177.55</v>
      </c>
      <c r="E813" s="15">
        <v>174.15</v>
      </c>
      <c r="F813" s="15">
        <v>175.5</v>
      </c>
      <c r="G813" s="15">
        <v>174.9</v>
      </c>
      <c r="H813" s="15">
        <v>174.85</v>
      </c>
      <c r="I813" s="15">
        <v>176.15</v>
      </c>
      <c r="J813" s="15">
        <v>177.55</v>
      </c>
      <c r="K813" s="15">
        <v>104.3</v>
      </c>
      <c r="L813" s="15">
        <v>38674485</v>
      </c>
      <c r="M813" t="s" s="13">
        <v>8349</v>
      </c>
      <c r="N813" s="15">
        <v>227760</v>
      </c>
      <c r="O813" s="17" cm="1">
        <f t="array" ref="O813">(H813-H812)/H812</f>
        <v>-0.0037037037037037</v>
      </c>
    </row>
    <row r="814" ht="13.65" customHeight="1">
      <c r="A814" s="20">
        <v>45439</v>
      </c>
      <c r="B814" t="s" s="13">
        <v>22</v>
      </c>
      <c r="C814" s="15">
        <v>177.7</v>
      </c>
      <c r="D814" s="15">
        <v>177.7</v>
      </c>
      <c r="E814" s="15">
        <v>174.85</v>
      </c>
      <c r="F814" s="15">
        <v>174.85</v>
      </c>
      <c r="G814" s="15">
        <v>175.7</v>
      </c>
      <c r="H814" s="15">
        <v>175.5</v>
      </c>
      <c r="I814" s="15">
        <v>176.22</v>
      </c>
      <c r="J814" s="15">
        <v>177.7</v>
      </c>
      <c r="K814" s="15">
        <v>105.6</v>
      </c>
      <c r="L814" s="15">
        <v>30410585</v>
      </c>
      <c r="M814" t="s" s="13">
        <v>8350</v>
      </c>
      <c r="N814" s="15">
        <v>201390</v>
      </c>
      <c r="O814" s="17" cm="1">
        <f t="array" ref="O814">(H814-H813)/H813</f>
        <v>0.00371747211895911</v>
      </c>
    </row>
    <row r="815" ht="13.65" customHeight="1">
      <c r="A815" s="20">
        <v>45440</v>
      </c>
      <c r="B815" t="s" s="13">
        <v>22</v>
      </c>
      <c r="C815" s="15">
        <v>175.9</v>
      </c>
      <c r="D815" s="15">
        <v>177.5</v>
      </c>
      <c r="E815" s="15">
        <v>173.45</v>
      </c>
      <c r="F815" s="15">
        <v>175.5</v>
      </c>
      <c r="G815" s="15">
        <v>175.1</v>
      </c>
      <c r="H815" s="15">
        <v>174.9</v>
      </c>
      <c r="I815" s="15">
        <v>175.61</v>
      </c>
      <c r="J815" s="15">
        <v>177.7</v>
      </c>
      <c r="K815" s="15">
        <v>105.6</v>
      </c>
      <c r="L815" s="15">
        <v>39208456</v>
      </c>
      <c r="M815" t="s" s="13">
        <v>8351</v>
      </c>
      <c r="N815" s="15">
        <v>208812</v>
      </c>
      <c r="O815" s="17" cm="1">
        <f t="array" ref="O815">(H815-H814)/H814</f>
        <v>-0.00341880341880342</v>
      </c>
    </row>
    <row r="816" ht="13.65" customHeight="1">
      <c r="A816" s="20">
        <v>45441</v>
      </c>
      <c r="B816" t="s" s="13">
        <v>22</v>
      </c>
      <c r="C816" s="15">
        <v>174.75</v>
      </c>
      <c r="D816" s="15">
        <v>176</v>
      </c>
      <c r="E816" s="15">
        <v>173.5</v>
      </c>
      <c r="F816" s="15">
        <v>174.9</v>
      </c>
      <c r="G816" s="15">
        <v>174</v>
      </c>
      <c r="H816" s="15">
        <v>174.25</v>
      </c>
      <c r="I816" s="15">
        <v>174.52</v>
      </c>
      <c r="J816" s="15">
        <v>177.7</v>
      </c>
      <c r="K816" s="15">
        <v>105.6</v>
      </c>
      <c r="L816" s="15">
        <v>36575550</v>
      </c>
      <c r="M816" t="s" s="13">
        <v>8352</v>
      </c>
      <c r="N816" s="15">
        <v>182235</v>
      </c>
      <c r="O816" s="17" cm="1">
        <f t="array" ref="O816">(H816-H815)/H815</f>
        <v>-0.00371640937678674</v>
      </c>
    </row>
    <row r="817" ht="13.65" customHeight="1">
      <c r="A817" s="20">
        <v>45442</v>
      </c>
      <c r="B817" t="s" s="13">
        <v>22</v>
      </c>
      <c r="C817" s="15">
        <v>172</v>
      </c>
      <c r="D817" s="15">
        <v>172</v>
      </c>
      <c r="E817" s="15">
        <v>163.35</v>
      </c>
      <c r="F817" s="15">
        <v>174.25</v>
      </c>
      <c r="G817" s="15">
        <v>165.2</v>
      </c>
      <c r="H817" s="15">
        <v>164.15</v>
      </c>
      <c r="I817" s="15">
        <v>166.88</v>
      </c>
      <c r="J817" s="15">
        <v>177.7</v>
      </c>
      <c r="K817" s="15">
        <v>105.6</v>
      </c>
      <c r="L817" s="15">
        <v>108813875</v>
      </c>
      <c r="M817" t="s" s="13">
        <v>8353</v>
      </c>
      <c r="N817" s="15">
        <v>573678</v>
      </c>
      <c r="O817" s="17" cm="1">
        <f t="array" ref="O817">(H817-H816)/H816</f>
        <v>-0.0579626972740316</v>
      </c>
    </row>
    <row r="818" ht="13.65" customHeight="1">
      <c r="A818" s="20">
        <v>45443</v>
      </c>
      <c r="B818" t="s" s="13">
        <v>22</v>
      </c>
      <c r="C818" s="15">
        <v>166.05</v>
      </c>
      <c r="D818" s="15">
        <v>167.95</v>
      </c>
      <c r="E818" s="15">
        <v>164</v>
      </c>
      <c r="F818" s="15">
        <v>164.15</v>
      </c>
      <c r="G818" s="15">
        <v>167.45</v>
      </c>
      <c r="H818" s="15">
        <v>167.2</v>
      </c>
      <c r="I818" s="15">
        <v>166.27</v>
      </c>
      <c r="J818" s="15">
        <v>177.7</v>
      </c>
      <c r="K818" s="15">
        <v>105.6</v>
      </c>
      <c r="L818" s="15">
        <v>83713848</v>
      </c>
      <c r="M818" t="s" s="13">
        <v>8354</v>
      </c>
      <c r="N818" s="15">
        <v>359449</v>
      </c>
      <c r="O818" s="17" cm="1">
        <f t="array" ref="O818">(H818-H817)/H817</f>
        <v>0.0185805665549802</v>
      </c>
    </row>
    <row r="819" ht="13.65" customHeight="1">
      <c r="A819" s="12">
        <v>45446</v>
      </c>
      <c r="B819" t="s" s="13">
        <v>22</v>
      </c>
      <c r="C819" s="15">
        <v>173.25</v>
      </c>
      <c r="D819" s="15">
        <v>175</v>
      </c>
      <c r="E819" s="15">
        <v>168.85</v>
      </c>
      <c r="F819" s="15">
        <v>167.2</v>
      </c>
      <c r="G819" s="15">
        <v>174.35</v>
      </c>
      <c r="H819" s="15">
        <v>174.25</v>
      </c>
      <c r="I819" s="15">
        <v>172.44</v>
      </c>
      <c r="J819" s="15">
        <v>177.7</v>
      </c>
      <c r="K819" s="15">
        <v>107.8</v>
      </c>
      <c r="L819" s="15">
        <v>86397540</v>
      </c>
      <c r="M819" t="s" s="13">
        <v>8355</v>
      </c>
      <c r="N819" s="15">
        <v>410714</v>
      </c>
      <c r="O819" s="17" cm="1">
        <f t="array" ref="O819">(H819-H818)/H818</f>
        <v>0.0421650717703349</v>
      </c>
    </row>
    <row r="820" ht="13.65" customHeight="1">
      <c r="A820" s="12">
        <v>45447</v>
      </c>
      <c r="B820" t="s" s="13">
        <v>22</v>
      </c>
      <c r="C820" s="15">
        <v>174.5</v>
      </c>
      <c r="D820" s="15">
        <v>174.65</v>
      </c>
      <c r="E820" s="15">
        <v>148.15</v>
      </c>
      <c r="F820" s="15">
        <v>174.25</v>
      </c>
      <c r="G820" s="15">
        <v>160</v>
      </c>
      <c r="H820" s="15">
        <v>158.95</v>
      </c>
      <c r="I820" s="15">
        <v>160.74</v>
      </c>
      <c r="J820" s="15">
        <v>177.7</v>
      </c>
      <c r="K820" s="15">
        <v>107.8</v>
      </c>
      <c r="L820" s="15">
        <v>125042158</v>
      </c>
      <c r="M820" t="s" s="13">
        <v>8356</v>
      </c>
      <c r="N820" s="15">
        <v>784621</v>
      </c>
      <c r="O820" s="17" cm="1">
        <f t="array" ref="O820">(H820-H819)/H819</f>
        <v>-0.0878048780487805</v>
      </c>
    </row>
    <row r="821" ht="13.65" customHeight="1">
      <c r="A821" s="12">
        <v>45448</v>
      </c>
      <c r="B821" t="s" s="13">
        <v>22</v>
      </c>
      <c r="C821" s="15">
        <v>162.15</v>
      </c>
      <c r="D821" s="15">
        <v>169.6</v>
      </c>
      <c r="E821" s="15">
        <v>159</v>
      </c>
      <c r="F821" s="15">
        <v>158.95</v>
      </c>
      <c r="G821" s="15">
        <v>169</v>
      </c>
      <c r="H821" s="15">
        <v>169.2</v>
      </c>
      <c r="I821" s="15">
        <v>164.36</v>
      </c>
      <c r="J821" s="15">
        <v>177.7</v>
      </c>
      <c r="K821" s="15">
        <v>107.8</v>
      </c>
      <c r="L821" s="15">
        <v>60098501</v>
      </c>
      <c r="M821" t="s" s="13">
        <v>8357</v>
      </c>
      <c r="N821" s="15">
        <v>438996</v>
      </c>
      <c r="O821" s="17" cm="1">
        <f t="array" ref="O821">(H821-H820)/H820</f>
        <v>0.06448568732305759</v>
      </c>
    </row>
    <row r="822" ht="13.65" customHeight="1">
      <c r="A822" s="12">
        <v>45449</v>
      </c>
      <c r="B822" t="s" s="13">
        <v>22</v>
      </c>
      <c r="C822" s="15">
        <v>170</v>
      </c>
      <c r="D822" s="15">
        <v>174.7</v>
      </c>
      <c r="E822" s="15">
        <v>169.4</v>
      </c>
      <c r="F822" s="15">
        <v>169.2</v>
      </c>
      <c r="G822" s="15">
        <v>172.15</v>
      </c>
      <c r="H822" s="15">
        <v>172.05</v>
      </c>
      <c r="I822" s="15">
        <v>172.34</v>
      </c>
      <c r="J822" s="15">
        <v>177.7</v>
      </c>
      <c r="K822" s="15">
        <v>107.8</v>
      </c>
      <c r="L822" s="15">
        <v>57920819</v>
      </c>
      <c r="M822" t="s" s="13">
        <v>8358</v>
      </c>
      <c r="N822" s="15">
        <v>502032</v>
      </c>
      <c r="O822" s="17" cm="1">
        <f t="array" ref="O822">(H822-H821)/H821</f>
        <v>0.0168439716312057</v>
      </c>
    </row>
    <row r="823" ht="13.65" customHeight="1">
      <c r="A823" s="12">
        <v>45450</v>
      </c>
      <c r="B823" t="s" s="13">
        <v>22</v>
      </c>
      <c r="C823" s="15">
        <v>172</v>
      </c>
      <c r="D823" s="15">
        <v>179.65</v>
      </c>
      <c r="E823" s="15">
        <v>170.8</v>
      </c>
      <c r="F823" s="15">
        <v>172.05</v>
      </c>
      <c r="G823" s="15">
        <v>178.85</v>
      </c>
      <c r="H823" s="15">
        <v>178.9</v>
      </c>
      <c r="I823" s="15">
        <v>177.14</v>
      </c>
      <c r="J823" s="15">
        <v>179.65</v>
      </c>
      <c r="K823" s="15">
        <v>107.8</v>
      </c>
      <c r="L823" s="15">
        <v>84319867</v>
      </c>
      <c r="M823" t="s" s="13">
        <v>8359</v>
      </c>
      <c r="N823" s="15">
        <v>488851</v>
      </c>
      <c r="O823" s="17" cm="1">
        <f t="array" ref="O823">(H823-H822)/H822</f>
        <v>0.039814007555943</v>
      </c>
    </row>
    <row r="824" ht="13.65" customHeight="1">
      <c r="A824" s="18">
        <v>45453</v>
      </c>
      <c r="B824" t="s" s="13">
        <v>22</v>
      </c>
      <c r="C824" s="15">
        <v>180.21</v>
      </c>
      <c r="D824" s="15">
        <v>182.1</v>
      </c>
      <c r="E824" s="15">
        <v>177.36</v>
      </c>
      <c r="F824" s="15">
        <v>178.9</v>
      </c>
      <c r="G824" s="15">
        <v>180.45</v>
      </c>
      <c r="H824" s="15">
        <v>180.29</v>
      </c>
      <c r="I824" s="15">
        <v>180.4</v>
      </c>
      <c r="J824" s="15">
        <v>182.1</v>
      </c>
      <c r="K824" s="15">
        <v>108.1</v>
      </c>
      <c r="L824" s="15">
        <v>74286848</v>
      </c>
      <c r="M824" t="s" s="13">
        <v>8360</v>
      </c>
      <c r="N824" s="15">
        <v>320294</v>
      </c>
      <c r="O824" s="17" cm="1">
        <f t="array" ref="O824">(H824-H823)/H823</f>
        <v>0.007769703745109</v>
      </c>
    </row>
    <row r="825" ht="13.65" customHeight="1">
      <c r="A825" s="18">
        <v>45454</v>
      </c>
      <c r="B825" t="s" s="13">
        <v>22</v>
      </c>
      <c r="C825" s="15">
        <v>180.5</v>
      </c>
      <c r="D825" s="15">
        <v>183.75</v>
      </c>
      <c r="E825" s="15">
        <v>180.5</v>
      </c>
      <c r="F825" s="15">
        <v>180.29</v>
      </c>
      <c r="G825" s="15">
        <v>181.6</v>
      </c>
      <c r="H825" s="15">
        <v>181.33</v>
      </c>
      <c r="I825" s="15">
        <v>182.06</v>
      </c>
      <c r="J825" s="15">
        <v>183.75</v>
      </c>
      <c r="K825" s="15">
        <v>108.1</v>
      </c>
      <c r="L825" s="15">
        <v>55555544</v>
      </c>
      <c r="M825" t="s" s="13">
        <v>8361</v>
      </c>
      <c r="N825" s="15">
        <v>324246</v>
      </c>
      <c r="O825" s="17" cm="1">
        <f t="array" ref="O825">(H825-H824)/H824</f>
        <v>0.0057684841089356</v>
      </c>
    </row>
    <row r="826" ht="13.65" customHeight="1">
      <c r="A826" s="18">
        <v>45455</v>
      </c>
      <c r="B826" t="s" s="13">
        <v>22</v>
      </c>
      <c r="C826" s="15">
        <v>182.25</v>
      </c>
      <c r="D826" s="15">
        <v>183.87</v>
      </c>
      <c r="E826" s="15">
        <v>181.5</v>
      </c>
      <c r="F826" s="15">
        <v>181.33</v>
      </c>
      <c r="G826" s="15">
        <v>182.47</v>
      </c>
      <c r="H826" s="15">
        <v>182.23</v>
      </c>
      <c r="I826" s="15">
        <v>182.95</v>
      </c>
      <c r="J826" s="15">
        <v>183.87</v>
      </c>
      <c r="K826" s="15">
        <v>108.1</v>
      </c>
      <c r="L826" s="15">
        <v>33304643</v>
      </c>
      <c r="M826" t="s" s="13">
        <v>8362</v>
      </c>
      <c r="N826" s="15">
        <v>254524</v>
      </c>
      <c r="O826" s="17" cm="1">
        <f t="array" ref="O826">(H826-H825)/H825</f>
        <v>0.00496332653173772</v>
      </c>
    </row>
    <row r="827" ht="13.65" customHeight="1">
      <c r="A827" s="18">
        <v>45456</v>
      </c>
      <c r="B827" t="s" s="13">
        <v>22</v>
      </c>
      <c r="C827" s="15">
        <v>183.4</v>
      </c>
      <c r="D827" s="15">
        <v>184.1</v>
      </c>
      <c r="E827" s="15">
        <v>180.51</v>
      </c>
      <c r="F827" s="15">
        <v>182.23</v>
      </c>
      <c r="G827" s="15">
        <v>182.5</v>
      </c>
      <c r="H827" s="15">
        <v>182.56</v>
      </c>
      <c r="I827" s="15">
        <v>182.23</v>
      </c>
      <c r="J827" s="15">
        <v>184.1</v>
      </c>
      <c r="K827" s="15">
        <v>108.1</v>
      </c>
      <c r="L827" s="15">
        <v>36669164</v>
      </c>
      <c r="M827" t="s" s="13">
        <v>8363</v>
      </c>
      <c r="N827" s="15">
        <v>332013</v>
      </c>
      <c r="O827" s="17" cm="1">
        <f t="array" ref="O827">(H827-H826)/H826</f>
        <v>0.00181089831531581</v>
      </c>
    </row>
    <row r="828" ht="13.65" customHeight="1">
      <c r="A828" s="18">
        <v>45457</v>
      </c>
      <c r="B828" t="s" s="13">
        <v>22</v>
      </c>
      <c r="C828" s="15">
        <v>182.95</v>
      </c>
      <c r="D828" s="15">
        <v>183.5</v>
      </c>
      <c r="E828" s="15">
        <v>181.4</v>
      </c>
      <c r="F828" s="15">
        <v>182.56</v>
      </c>
      <c r="G828" s="15">
        <v>182.9</v>
      </c>
      <c r="H828" s="15">
        <v>183.15</v>
      </c>
      <c r="I828" s="15">
        <v>182.61</v>
      </c>
      <c r="J828" s="15">
        <v>184.1</v>
      </c>
      <c r="K828" s="15">
        <v>108.1</v>
      </c>
      <c r="L828" s="15">
        <v>28509237</v>
      </c>
      <c r="M828" t="s" s="13">
        <v>8364</v>
      </c>
      <c r="N828" s="15">
        <v>232292</v>
      </c>
      <c r="O828" s="17" cm="1">
        <f t="array" ref="O828">(H828-H827)/H827</f>
        <v>0.00323181419807187</v>
      </c>
    </row>
    <row r="829" ht="13.65" customHeight="1">
      <c r="A829" s="18">
        <v>45461</v>
      </c>
      <c r="B829" t="s" s="13">
        <v>22</v>
      </c>
      <c r="C829" s="15">
        <v>183.8</v>
      </c>
      <c r="D829" s="15">
        <v>184.6</v>
      </c>
      <c r="E829" s="15">
        <v>180.6</v>
      </c>
      <c r="F829" s="15">
        <v>183.15</v>
      </c>
      <c r="G829" s="15">
        <v>181.25</v>
      </c>
      <c r="H829" s="15">
        <v>181.12</v>
      </c>
      <c r="I829" s="15">
        <v>182.12</v>
      </c>
      <c r="J829" s="15">
        <v>184.6</v>
      </c>
      <c r="K829" s="15">
        <v>108.1</v>
      </c>
      <c r="L829" s="15">
        <v>35032118</v>
      </c>
      <c r="M829" t="s" s="13">
        <v>8365</v>
      </c>
      <c r="N829" s="15">
        <v>295636</v>
      </c>
      <c r="O829" s="17" cm="1">
        <f t="array" ref="O829">(H829-H828)/H828</f>
        <v>-0.0110838110838111</v>
      </c>
    </row>
    <row r="830" ht="13.65" customHeight="1">
      <c r="A830" s="18">
        <v>45462</v>
      </c>
      <c r="B830" t="s" s="13">
        <v>22</v>
      </c>
      <c r="C830" s="15">
        <v>182.45</v>
      </c>
      <c r="D830" s="15">
        <v>182.49</v>
      </c>
      <c r="E830" s="15">
        <v>179.31</v>
      </c>
      <c r="F830" s="15">
        <v>181.12</v>
      </c>
      <c r="G830" s="15">
        <v>180.07</v>
      </c>
      <c r="H830" s="15">
        <v>180.02</v>
      </c>
      <c r="I830" s="15">
        <v>180.63</v>
      </c>
      <c r="J830" s="15">
        <v>184.6</v>
      </c>
      <c r="K830" s="15">
        <v>108.1</v>
      </c>
      <c r="L830" s="15">
        <v>27476795</v>
      </c>
      <c r="M830" t="s" s="13">
        <v>8366</v>
      </c>
      <c r="N830" s="15">
        <v>197494</v>
      </c>
      <c r="O830" s="17" cm="1">
        <f t="array" ref="O830">(H830-H829)/H829</f>
        <v>-0.00607332155477032</v>
      </c>
    </row>
    <row r="831" ht="13.65" customHeight="1">
      <c r="A831" s="18">
        <v>45463</v>
      </c>
      <c r="B831" t="s" s="13">
        <v>22</v>
      </c>
      <c r="C831" s="15">
        <v>181.6</v>
      </c>
      <c r="D831" s="15">
        <v>182.95</v>
      </c>
      <c r="E831" s="15">
        <v>179.37</v>
      </c>
      <c r="F831" s="15">
        <v>180.02</v>
      </c>
      <c r="G831" s="15">
        <v>182.75</v>
      </c>
      <c r="H831" s="15">
        <v>182.28</v>
      </c>
      <c r="I831" s="15">
        <v>181.91</v>
      </c>
      <c r="J831" s="15">
        <v>184.6</v>
      </c>
      <c r="K831" s="15">
        <v>108.1</v>
      </c>
      <c r="L831" s="15">
        <v>38837494</v>
      </c>
      <c r="M831" t="s" s="13">
        <v>8367</v>
      </c>
      <c r="N831" s="15">
        <v>278129</v>
      </c>
      <c r="O831" s="17" cm="1">
        <f t="array" ref="O831">(H831-H830)/H830</f>
        <v>0.0125541606488168</v>
      </c>
    </row>
    <row r="832" ht="13.65" customHeight="1">
      <c r="A832" s="18">
        <v>45464</v>
      </c>
      <c r="B832" t="s" s="13">
        <v>22</v>
      </c>
      <c r="C832" s="15">
        <v>179.4</v>
      </c>
      <c r="D832" s="15">
        <v>180.9</v>
      </c>
      <c r="E832" s="15">
        <v>178.18</v>
      </c>
      <c r="F832" s="15">
        <v>182.28</v>
      </c>
      <c r="G832" s="15">
        <v>179.94</v>
      </c>
      <c r="H832" s="15">
        <v>179.94</v>
      </c>
      <c r="I832" s="15">
        <v>179.76</v>
      </c>
      <c r="J832" s="15">
        <v>184.6</v>
      </c>
      <c r="K832" s="15">
        <v>108.1</v>
      </c>
      <c r="L832" s="15">
        <v>65494855</v>
      </c>
      <c r="M832" t="s" s="13">
        <v>8368</v>
      </c>
      <c r="N832" s="15">
        <v>284687</v>
      </c>
      <c r="O832" s="17" cm="1">
        <f t="array" ref="O832">(H832-H831)/H831</f>
        <v>-0.0128373930217248</v>
      </c>
    </row>
    <row r="833" ht="13.65" customHeight="1">
      <c r="A833" s="18">
        <v>45467</v>
      </c>
      <c r="B833" t="s" s="13">
        <v>22</v>
      </c>
      <c r="C833" s="15">
        <v>177.44</v>
      </c>
      <c r="D833" s="15">
        <v>178.95</v>
      </c>
      <c r="E833" s="15">
        <v>175.1</v>
      </c>
      <c r="F833" s="15">
        <v>179.94</v>
      </c>
      <c r="G833" s="15">
        <v>177.8</v>
      </c>
      <c r="H833" s="15">
        <v>177.96</v>
      </c>
      <c r="I833" s="15">
        <v>177.26</v>
      </c>
      <c r="J833" s="15">
        <v>184.6</v>
      </c>
      <c r="K833" s="15">
        <v>108.1</v>
      </c>
      <c r="L833" s="15">
        <v>47597307</v>
      </c>
      <c r="M833" t="s" s="13">
        <v>8369</v>
      </c>
      <c r="N833" s="15">
        <v>314462</v>
      </c>
      <c r="O833" s="17" cm="1">
        <f t="array" ref="O833">(H833-H832)/H832</f>
        <v>-0.0110036678892964</v>
      </c>
    </row>
    <row r="834" ht="13.65" customHeight="1">
      <c r="A834" s="18">
        <v>45468</v>
      </c>
      <c r="B834" t="s" s="13">
        <v>22</v>
      </c>
      <c r="C834" s="15">
        <v>177.99</v>
      </c>
      <c r="D834" s="15">
        <v>179</v>
      </c>
      <c r="E834" s="15">
        <v>175.25</v>
      </c>
      <c r="F834" s="15">
        <v>177.96</v>
      </c>
      <c r="G834" s="15">
        <v>175.86</v>
      </c>
      <c r="H834" s="15">
        <v>175.68</v>
      </c>
      <c r="I834" s="15">
        <v>176.61</v>
      </c>
      <c r="J834" s="15">
        <v>184.6</v>
      </c>
      <c r="K834" s="15">
        <v>108.1</v>
      </c>
      <c r="L834" s="15">
        <v>30599989</v>
      </c>
      <c r="M834" t="s" s="13">
        <v>8370</v>
      </c>
      <c r="N834" s="15">
        <v>325368</v>
      </c>
      <c r="O834" s="17" cm="1">
        <f t="array" ref="O834">(H834-H833)/H833</f>
        <v>-0.0128118678354686</v>
      </c>
    </row>
    <row r="835" ht="13.65" customHeight="1">
      <c r="A835" s="18">
        <v>45469</v>
      </c>
      <c r="B835" t="s" s="13">
        <v>22</v>
      </c>
      <c r="C835" s="15">
        <v>175.68</v>
      </c>
      <c r="D835" s="15">
        <v>176</v>
      </c>
      <c r="E835" s="15">
        <v>171.84</v>
      </c>
      <c r="F835" s="15">
        <v>175.68</v>
      </c>
      <c r="G835" s="15">
        <v>172.8</v>
      </c>
      <c r="H835" s="15">
        <v>172.56</v>
      </c>
      <c r="I835" s="15">
        <v>172.87</v>
      </c>
      <c r="J835" s="15">
        <v>184.6</v>
      </c>
      <c r="K835" s="15">
        <v>108.1</v>
      </c>
      <c r="L835" s="15">
        <v>44006436</v>
      </c>
      <c r="M835" t="s" s="13">
        <v>8371</v>
      </c>
      <c r="N835" s="15">
        <v>346807</v>
      </c>
      <c r="O835" s="17" cm="1">
        <f t="array" ref="O835">(H835-H834)/H834</f>
        <v>-0.0177595628415301</v>
      </c>
    </row>
    <row r="836" ht="13.65" customHeight="1">
      <c r="A836" s="18">
        <v>45470</v>
      </c>
      <c r="B836" t="s" s="13">
        <v>22</v>
      </c>
      <c r="C836" s="15">
        <v>172.56</v>
      </c>
      <c r="D836" s="15">
        <v>174.95</v>
      </c>
      <c r="E836" s="15">
        <v>171.8</v>
      </c>
      <c r="F836" s="15">
        <v>172.56</v>
      </c>
      <c r="G836" s="15">
        <v>174.35</v>
      </c>
      <c r="H836" s="15">
        <v>174.16</v>
      </c>
      <c r="I836" s="15">
        <v>173.41</v>
      </c>
      <c r="J836" s="15">
        <v>184.6</v>
      </c>
      <c r="K836" s="15">
        <v>108.1</v>
      </c>
      <c r="L836" s="15">
        <v>49767976</v>
      </c>
      <c r="M836" t="s" s="13">
        <v>8372</v>
      </c>
      <c r="N836" s="15">
        <v>349831</v>
      </c>
      <c r="O836" s="17" cm="1">
        <f t="array" ref="O836">(H836-H835)/H835</f>
        <v>0.009272137227630969</v>
      </c>
    </row>
    <row r="837" ht="13.65" customHeight="1">
      <c r="A837" s="18">
        <v>45471</v>
      </c>
      <c r="B837" t="s" s="13">
        <v>22</v>
      </c>
      <c r="C837" s="15">
        <v>174.17</v>
      </c>
      <c r="D837" s="15">
        <v>177.1</v>
      </c>
      <c r="E837" s="15">
        <v>173.57</v>
      </c>
      <c r="F837" s="15">
        <v>174.16</v>
      </c>
      <c r="G837" s="15">
        <v>174.75</v>
      </c>
      <c r="H837" s="15">
        <v>174.01</v>
      </c>
      <c r="I837" s="15">
        <v>175.29</v>
      </c>
      <c r="J837" s="15">
        <v>184.6</v>
      </c>
      <c r="K837" s="15">
        <v>108.1</v>
      </c>
      <c r="L837" s="15">
        <v>37521949</v>
      </c>
      <c r="M837" t="s" s="13">
        <v>8373</v>
      </c>
      <c r="N837" s="15">
        <v>275273</v>
      </c>
      <c r="O837" s="17" cm="1">
        <f t="array" ref="O837">(H837-H836)/H836</f>
        <v>-0.000861276986678916</v>
      </c>
    </row>
    <row r="838" ht="13.65" customHeight="1">
      <c r="A838" s="12">
        <v>45474</v>
      </c>
      <c r="B838" t="s" s="13">
        <v>22</v>
      </c>
      <c r="C838" s="15">
        <v>174.5</v>
      </c>
      <c r="D838" s="15">
        <v>175.99</v>
      </c>
      <c r="E838" s="15">
        <v>173.51</v>
      </c>
      <c r="F838" s="15">
        <v>174.01</v>
      </c>
      <c r="G838" s="15">
        <v>174.25</v>
      </c>
      <c r="H838" s="15">
        <v>174.07</v>
      </c>
      <c r="I838" s="15">
        <v>174.62</v>
      </c>
      <c r="J838" s="15">
        <v>184.6</v>
      </c>
      <c r="K838" s="15">
        <v>111.25</v>
      </c>
      <c r="L838" s="15">
        <v>27807688</v>
      </c>
      <c r="M838" t="s" s="13">
        <v>8374</v>
      </c>
      <c r="N838" s="15">
        <v>260872</v>
      </c>
      <c r="O838" s="17" cm="1">
        <f t="array" ref="O838">(H838-H837)/H837</f>
        <v>0.00034480776966841</v>
      </c>
    </row>
    <row r="839" ht="13.65" customHeight="1">
      <c r="A839" s="12">
        <v>45475</v>
      </c>
      <c r="B839" t="s" s="13">
        <v>22</v>
      </c>
      <c r="C839" s="15">
        <v>174.47</v>
      </c>
      <c r="D839" s="15">
        <v>175.75</v>
      </c>
      <c r="E839" s="15">
        <v>173.6</v>
      </c>
      <c r="F839" s="15">
        <v>174.07</v>
      </c>
      <c r="G839" s="15">
        <v>174.61</v>
      </c>
      <c r="H839" s="15">
        <v>174.54</v>
      </c>
      <c r="I839" s="15">
        <v>174.54</v>
      </c>
      <c r="J839" s="15">
        <v>184.6</v>
      </c>
      <c r="K839" s="15">
        <v>111.25</v>
      </c>
      <c r="L839" s="15">
        <v>33359495</v>
      </c>
      <c r="M839" t="s" s="13">
        <v>8375</v>
      </c>
      <c r="N839" s="15">
        <v>390213</v>
      </c>
      <c r="O839" s="17" cm="1">
        <f t="array" ref="O839">(H839-H838)/H838</f>
        <v>0.00270006319296835</v>
      </c>
    </row>
    <row r="840" ht="13.65" customHeight="1">
      <c r="A840" s="12">
        <v>45476</v>
      </c>
      <c r="B840" t="s" s="13">
        <v>22</v>
      </c>
      <c r="C840" s="15">
        <v>174.54</v>
      </c>
      <c r="D840" s="15">
        <v>176.88</v>
      </c>
      <c r="E840" s="15">
        <v>174.4</v>
      </c>
      <c r="F840" s="15">
        <v>174.54</v>
      </c>
      <c r="G840" s="15">
        <v>176.38</v>
      </c>
      <c r="H840" s="15">
        <v>176.37</v>
      </c>
      <c r="I840" s="15">
        <v>175.56</v>
      </c>
      <c r="J840" s="15">
        <v>184.6</v>
      </c>
      <c r="K840" s="15">
        <v>111.25</v>
      </c>
      <c r="L840" s="15">
        <v>29090492</v>
      </c>
      <c r="M840" t="s" s="13">
        <v>8376</v>
      </c>
      <c r="N840" s="15">
        <v>339843</v>
      </c>
      <c r="O840" s="17" cm="1">
        <f t="array" ref="O840">(H840-H839)/H839</f>
        <v>0.0104847026469577</v>
      </c>
    </row>
    <row r="841" ht="13.65" customHeight="1">
      <c r="A841" s="12">
        <v>45477</v>
      </c>
      <c r="B841" t="s" s="13">
        <v>22</v>
      </c>
      <c r="C841" s="15">
        <v>177</v>
      </c>
      <c r="D841" s="15">
        <v>178.19</v>
      </c>
      <c r="E841" s="15">
        <v>175.82</v>
      </c>
      <c r="F841" s="15">
        <v>176.37</v>
      </c>
      <c r="G841" s="15">
        <v>176.5</v>
      </c>
      <c r="H841" s="15">
        <v>176.29</v>
      </c>
      <c r="I841" s="15">
        <v>176.85</v>
      </c>
      <c r="J841" s="15">
        <v>184.6</v>
      </c>
      <c r="K841" s="15">
        <v>111.25</v>
      </c>
      <c r="L841" s="15">
        <v>29504744</v>
      </c>
      <c r="M841" t="s" s="13">
        <v>8377</v>
      </c>
      <c r="N841" s="15">
        <v>378450</v>
      </c>
      <c r="O841" s="17" cm="1">
        <f t="array" ref="O841">(H841-H840)/H840</f>
        <v>-0.000453591880705335</v>
      </c>
    </row>
    <row r="842" ht="13.65" customHeight="1">
      <c r="A842" s="12">
        <v>45478</v>
      </c>
      <c r="B842" t="s" s="13">
        <v>22</v>
      </c>
      <c r="C842" s="15">
        <v>176.2</v>
      </c>
      <c r="D842" s="15">
        <v>176.2</v>
      </c>
      <c r="E842" s="15">
        <v>173.4</v>
      </c>
      <c r="F842" s="15">
        <v>176.29</v>
      </c>
      <c r="G842" s="15">
        <v>175</v>
      </c>
      <c r="H842" s="15">
        <v>174.71</v>
      </c>
      <c r="I842" s="15">
        <v>174.65</v>
      </c>
      <c r="J842" s="15">
        <v>184.6</v>
      </c>
      <c r="K842" s="15">
        <v>111.25</v>
      </c>
      <c r="L842" s="15">
        <v>38123217</v>
      </c>
      <c r="M842" t="s" s="13">
        <v>8378</v>
      </c>
      <c r="N842" s="15">
        <v>262997</v>
      </c>
      <c r="O842" s="17" cm="1">
        <f t="array" ref="O842">(H842-H841)/H841</f>
        <v>-0.008962504963412559</v>
      </c>
    </row>
    <row r="843" ht="13.65" customHeight="1">
      <c r="A843" s="12">
        <v>45481</v>
      </c>
      <c r="B843" t="s" s="13">
        <v>22</v>
      </c>
      <c r="C843" s="15">
        <v>174.6</v>
      </c>
      <c r="D843" s="15">
        <v>175.47</v>
      </c>
      <c r="E843" s="15">
        <v>172.09</v>
      </c>
      <c r="F843" s="15">
        <v>174.71</v>
      </c>
      <c r="G843" s="15">
        <v>172.49</v>
      </c>
      <c r="H843" s="15">
        <v>172.28</v>
      </c>
      <c r="I843" s="15">
        <v>173.35</v>
      </c>
      <c r="J843" s="15">
        <v>184.6</v>
      </c>
      <c r="K843" s="15">
        <v>111.65</v>
      </c>
      <c r="L843" s="15">
        <v>31479861</v>
      </c>
      <c r="M843" t="s" s="13">
        <v>8379</v>
      </c>
      <c r="N843" s="15">
        <v>256103</v>
      </c>
      <c r="O843" s="17" cm="1">
        <f t="array" ref="O843">(H843-H842)/H842</f>
        <v>-0.0139087630931258</v>
      </c>
    </row>
    <row r="844" ht="13.65" customHeight="1">
      <c r="A844" s="12">
        <v>45482</v>
      </c>
      <c r="B844" t="s" s="13">
        <v>22</v>
      </c>
      <c r="C844" s="15">
        <v>173.6</v>
      </c>
      <c r="D844" s="15">
        <v>173.7</v>
      </c>
      <c r="E844" s="15">
        <v>171.51</v>
      </c>
      <c r="F844" s="15">
        <v>172.28</v>
      </c>
      <c r="G844" s="15">
        <v>171.94</v>
      </c>
      <c r="H844" s="15">
        <v>171.8</v>
      </c>
      <c r="I844" s="15">
        <v>172.31</v>
      </c>
      <c r="J844" s="15">
        <v>184.6</v>
      </c>
      <c r="K844" s="15">
        <v>111.65</v>
      </c>
      <c r="L844" s="15">
        <v>25127904</v>
      </c>
      <c r="M844" t="s" s="13">
        <v>8380</v>
      </c>
      <c r="N844" s="15">
        <v>360530</v>
      </c>
      <c r="O844" s="17" cm="1">
        <f t="array" ref="O844">(H844-H843)/H843</f>
        <v>-0.00278616206175993</v>
      </c>
    </row>
    <row r="845" ht="13.65" customHeight="1">
      <c r="A845" s="18">
        <v>45483</v>
      </c>
      <c r="B845" t="s" s="13">
        <v>22</v>
      </c>
      <c r="C845" s="15">
        <v>172.5</v>
      </c>
      <c r="D845" s="15">
        <v>172.89</v>
      </c>
      <c r="E845" s="15">
        <v>167.02</v>
      </c>
      <c r="F845" s="15">
        <v>171.8</v>
      </c>
      <c r="G845" s="15">
        <v>168.2</v>
      </c>
      <c r="H845" s="15">
        <v>167.98</v>
      </c>
      <c r="I845" s="15">
        <v>168.76</v>
      </c>
      <c r="J845" s="15">
        <v>184.6</v>
      </c>
      <c r="K845" s="15">
        <v>111.65</v>
      </c>
      <c r="L845" s="15">
        <v>41525591</v>
      </c>
      <c r="M845" t="s" s="13">
        <v>8381</v>
      </c>
      <c r="N845" s="15">
        <v>356940</v>
      </c>
      <c r="O845" s="17" cm="1">
        <f t="array" ref="O845">(H845-H844)/H844</f>
        <v>-0.0222351571594878</v>
      </c>
    </row>
    <row r="846" ht="13.65" customHeight="1">
      <c r="A846" s="18">
        <v>45484</v>
      </c>
      <c r="B846" t="s" s="13">
        <v>22</v>
      </c>
      <c r="C846" s="15">
        <v>170</v>
      </c>
      <c r="D846" s="15">
        <v>170.95</v>
      </c>
      <c r="E846" s="15">
        <v>168.67</v>
      </c>
      <c r="F846" s="15">
        <v>167.98</v>
      </c>
      <c r="G846" s="15">
        <v>169.45</v>
      </c>
      <c r="H846" s="15">
        <v>168.92</v>
      </c>
      <c r="I846" s="15">
        <v>169.53</v>
      </c>
      <c r="J846" s="15">
        <v>184.6</v>
      </c>
      <c r="K846" s="15">
        <v>111.65</v>
      </c>
      <c r="L846" s="15">
        <v>33987236</v>
      </c>
      <c r="M846" t="s" s="13">
        <v>8382</v>
      </c>
      <c r="N846" s="15">
        <v>328338</v>
      </c>
      <c r="O846" s="17" cm="1">
        <f t="array" ref="O846">(H846-H845)/H845</f>
        <v>0.00559590427431837</v>
      </c>
    </row>
    <row r="847" ht="13.65" customHeight="1">
      <c r="A847" s="18">
        <v>45485</v>
      </c>
      <c r="B847" t="s" s="13">
        <v>22</v>
      </c>
      <c r="C847" s="15">
        <v>170.2</v>
      </c>
      <c r="D847" s="15">
        <v>170.39</v>
      </c>
      <c r="E847" s="15">
        <v>168.01</v>
      </c>
      <c r="F847" s="15">
        <v>168.92</v>
      </c>
      <c r="G847" s="15">
        <v>168.1</v>
      </c>
      <c r="H847" s="15">
        <v>168.69</v>
      </c>
      <c r="I847" s="15">
        <v>168.98</v>
      </c>
      <c r="J847" s="15">
        <v>184.6</v>
      </c>
      <c r="K847" s="15">
        <v>111.65</v>
      </c>
      <c r="L847" s="15">
        <v>33311402</v>
      </c>
      <c r="M847" t="s" s="13">
        <v>8383</v>
      </c>
      <c r="N847" s="15">
        <v>209844</v>
      </c>
      <c r="O847" s="17" cm="1">
        <f t="array" ref="O847">(H847-H846)/H846</f>
        <v>-0.00136159128581577</v>
      </c>
    </row>
    <row r="848" ht="13.65" customHeight="1">
      <c r="A848" s="18">
        <v>45488</v>
      </c>
      <c r="B848" t="s" s="13">
        <v>22</v>
      </c>
      <c r="C848" s="15">
        <v>168.69</v>
      </c>
      <c r="D848" s="15">
        <v>168.99</v>
      </c>
      <c r="E848" s="15">
        <v>165.8</v>
      </c>
      <c r="F848" s="15">
        <v>168.69</v>
      </c>
      <c r="G848" s="15">
        <v>167.1</v>
      </c>
      <c r="H848" s="15">
        <v>166.76</v>
      </c>
      <c r="I848" s="15">
        <v>167.02</v>
      </c>
      <c r="J848" s="15">
        <v>184.6</v>
      </c>
      <c r="K848" s="15">
        <v>114.35</v>
      </c>
      <c r="L848" s="15">
        <v>32635187</v>
      </c>
      <c r="M848" t="s" s="13">
        <v>8384</v>
      </c>
      <c r="N848" s="15">
        <v>325344</v>
      </c>
      <c r="O848" s="17" cm="1">
        <f t="array" ref="O848">(H848-H847)/H847</f>
        <v>-0.0114411049854763</v>
      </c>
    </row>
    <row r="849" ht="13.65" customHeight="1">
      <c r="A849" s="18">
        <v>45489</v>
      </c>
      <c r="B849" t="s" s="13">
        <v>22</v>
      </c>
      <c r="C849" s="15">
        <v>167.8</v>
      </c>
      <c r="D849" s="15">
        <v>169.82</v>
      </c>
      <c r="E849" s="15">
        <v>166.7</v>
      </c>
      <c r="F849" s="15">
        <v>166.76</v>
      </c>
      <c r="G849" s="15">
        <v>167.25</v>
      </c>
      <c r="H849" s="15">
        <v>167.07</v>
      </c>
      <c r="I849" s="15">
        <v>168.15</v>
      </c>
      <c r="J849" s="15">
        <v>184.6</v>
      </c>
      <c r="K849" s="15">
        <v>114.35</v>
      </c>
      <c r="L849" s="15">
        <v>26506026</v>
      </c>
      <c r="M849" t="s" s="13">
        <v>8385</v>
      </c>
      <c r="N849" s="15">
        <v>228148</v>
      </c>
      <c r="O849" s="17" cm="1">
        <f t="array" ref="O849">(H849-H848)/H848</f>
        <v>0.00185895898296954</v>
      </c>
    </row>
    <row r="850" ht="13.65" customHeight="1">
      <c r="A850" s="18">
        <v>45491</v>
      </c>
      <c r="B850" t="s" s="13">
        <v>22</v>
      </c>
      <c r="C850" s="15">
        <v>167.61</v>
      </c>
      <c r="D850" s="15">
        <v>167.61</v>
      </c>
      <c r="E850" s="15">
        <v>164.44</v>
      </c>
      <c r="F850" s="15">
        <v>167.07</v>
      </c>
      <c r="G850" s="15">
        <v>166.45</v>
      </c>
      <c r="H850" s="15">
        <v>166.36</v>
      </c>
      <c r="I850" s="15">
        <v>165.6</v>
      </c>
      <c r="J850" s="15">
        <v>184.6</v>
      </c>
      <c r="K850" s="15">
        <v>114.35</v>
      </c>
      <c r="L850" s="15">
        <v>36568852</v>
      </c>
      <c r="M850" t="s" s="13">
        <v>8386</v>
      </c>
      <c r="N850" s="15">
        <v>344341</v>
      </c>
      <c r="O850" s="17" cm="1">
        <f t="array" ref="O850">(H850-H849)/H849</f>
        <v>-0.00424971568803496</v>
      </c>
    </row>
    <row r="851" ht="13.65" customHeight="1">
      <c r="A851" s="18">
        <v>45492</v>
      </c>
      <c r="B851" t="s" s="13">
        <v>22</v>
      </c>
      <c r="C851" s="15">
        <v>166</v>
      </c>
      <c r="D851" s="15">
        <v>166.09</v>
      </c>
      <c r="E851" s="15">
        <v>157.2</v>
      </c>
      <c r="F851" s="15">
        <v>166.36</v>
      </c>
      <c r="G851" s="15">
        <v>158.1</v>
      </c>
      <c r="H851" s="15">
        <v>157.77</v>
      </c>
      <c r="I851" s="15">
        <v>159.86</v>
      </c>
      <c r="J851" s="15">
        <v>184.6</v>
      </c>
      <c r="K851" s="15">
        <v>114.35</v>
      </c>
      <c r="L851" s="15">
        <v>77987514</v>
      </c>
      <c r="M851" t="s" s="13">
        <v>8387</v>
      </c>
      <c r="N851" s="15">
        <v>697738</v>
      </c>
      <c r="O851" s="17" cm="1">
        <f t="array" ref="O851">(H851-H850)/H850</f>
        <v>-0.0516350084154845</v>
      </c>
    </row>
    <row r="852" ht="13.65" customHeight="1">
      <c r="A852" s="18">
        <v>45495</v>
      </c>
      <c r="B852" t="s" s="13">
        <v>22</v>
      </c>
      <c r="C852" s="15">
        <v>158.4</v>
      </c>
      <c r="D852" s="15">
        <v>160.7</v>
      </c>
      <c r="E852" s="15">
        <v>156.41</v>
      </c>
      <c r="F852" s="15">
        <v>157.77</v>
      </c>
      <c r="G852" s="15">
        <v>160.69</v>
      </c>
      <c r="H852" s="15">
        <v>160.32</v>
      </c>
      <c r="I852" s="15">
        <v>159.58</v>
      </c>
      <c r="J852" s="15">
        <v>184.6</v>
      </c>
      <c r="K852" s="15">
        <v>114.35</v>
      </c>
      <c r="L852" s="15">
        <v>40353690</v>
      </c>
      <c r="M852" t="s" s="13">
        <v>8388</v>
      </c>
      <c r="N852" s="15">
        <v>388728</v>
      </c>
      <c r="O852" s="17" cm="1">
        <f t="array" ref="O852">(H852-H851)/H851</f>
        <v>0.0161627685871839</v>
      </c>
    </row>
    <row r="853" ht="13.65" customHeight="1">
      <c r="A853" s="18">
        <v>45496</v>
      </c>
      <c r="B853" t="s" s="13">
        <v>22</v>
      </c>
      <c r="C853" s="15">
        <v>161.6</v>
      </c>
      <c r="D853" s="15">
        <v>161.97</v>
      </c>
      <c r="E853" s="15">
        <v>155</v>
      </c>
      <c r="F853" s="15">
        <v>160.32</v>
      </c>
      <c r="G853" s="15">
        <v>160.19</v>
      </c>
      <c r="H853" s="15">
        <v>160.02</v>
      </c>
      <c r="I853" s="15">
        <v>159.14</v>
      </c>
      <c r="J853" s="15">
        <v>184.6</v>
      </c>
      <c r="K853" s="15">
        <v>114.35</v>
      </c>
      <c r="L853" s="15">
        <v>37077411</v>
      </c>
      <c r="M853" t="s" s="13">
        <v>8389</v>
      </c>
      <c r="N853" s="15">
        <v>369290</v>
      </c>
      <c r="O853" s="17" cm="1">
        <f t="array" ref="O853">(H853-H852)/H852</f>
        <v>-0.00187125748502994</v>
      </c>
    </row>
    <row r="854" ht="13.65" customHeight="1">
      <c r="A854" s="18">
        <v>45497</v>
      </c>
      <c r="B854" t="s" s="13">
        <v>22</v>
      </c>
      <c r="C854" s="15">
        <v>160.02</v>
      </c>
      <c r="D854" s="15">
        <v>162.02</v>
      </c>
      <c r="E854" s="15">
        <v>159.19</v>
      </c>
      <c r="F854" s="15">
        <v>160.02</v>
      </c>
      <c r="G854" s="15">
        <v>160.2</v>
      </c>
      <c r="H854" s="15">
        <v>160.31</v>
      </c>
      <c r="I854" s="15">
        <v>160.83</v>
      </c>
      <c r="J854" s="15">
        <v>184.6</v>
      </c>
      <c r="K854" s="15">
        <v>114.35</v>
      </c>
      <c r="L854" s="15">
        <v>28086566</v>
      </c>
      <c r="M854" t="s" s="13">
        <v>8390</v>
      </c>
      <c r="N854" s="15">
        <v>224594</v>
      </c>
      <c r="O854" s="17" cm="1">
        <f t="array" ref="O854">(H854-H853)/H853</f>
        <v>0.00181227346581677</v>
      </c>
    </row>
    <row r="855" ht="13.65" customHeight="1">
      <c r="A855" s="18">
        <v>45498</v>
      </c>
      <c r="B855" t="s" s="13">
        <v>22</v>
      </c>
      <c r="C855" s="15">
        <v>158.5</v>
      </c>
      <c r="D855" s="15">
        <v>158.5</v>
      </c>
      <c r="E855" s="15">
        <v>156.9</v>
      </c>
      <c r="F855" s="15">
        <v>160.31</v>
      </c>
      <c r="G855" s="15">
        <v>157.5</v>
      </c>
      <c r="H855" s="15">
        <v>157.39</v>
      </c>
      <c r="I855" s="15">
        <v>157.5</v>
      </c>
      <c r="J855" s="15">
        <v>184.6</v>
      </c>
      <c r="K855" s="15">
        <v>114.35</v>
      </c>
      <c r="L855" s="15">
        <v>45155876</v>
      </c>
      <c r="M855" t="s" s="13">
        <v>8391</v>
      </c>
      <c r="N855" s="15">
        <v>340737</v>
      </c>
      <c r="O855" s="17" cm="1">
        <f t="array" ref="O855">(H855-H854)/H854</f>
        <v>-0.01821470900131</v>
      </c>
    </row>
    <row r="856" ht="13.65" customHeight="1">
      <c r="A856" s="18">
        <v>45499</v>
      </c>
      <c r="B856" t="s" s="13">
        <v>22</v>
      </c>
      <c r="C856" s="15">
        <v>158.75</v>
      </c>
      <c r="D856" s="15">
        <v>162.95</v>
      </c>
      <c r="E856" s="15">
        <v>158.21</v>
      </c>
      <c r="F856" s="15">
        <v>157.39</v>
      </c>
      <c r="G856" s="15">
        <v>162.62</v>
      </c>
      <c r="H856" s="15">
        <v>162.55</v>
      </c>
      <c r="I856" s="15">
        <v>161.88</v>
      </c>
      <c r="J856" s="15">
        <v>184.6</v>
      </c>
      <c r="K856" s="15">
        <v>114.35</v>
      </c>
      <c r="L856" s="15">
        <v>45642032</v>
      </c>
      <c r="M856" t="s" s="13">
        <v>8392</v>
      </c>
      <c r="N856" s="15">
        <v>292607</v>
      </c>
      <c r="O856" s="17" cm="1">
        <f t="array" ref="O856">(H856-H855)/H855</f>
        <v>0.0327848020839952</v>
      </c>
    </row>
    <row r="857" ht="13.65" customHeight="1">
      <c r="A857" s="18">
        <v>45502</v>
      </c>
      <c r="B857" t="s" s="13">
        <v>22</v>
      </c>
      <c r="C857" s="15">
        <v>164.7</v>
      </c>
      <c r="D857" s="15">
        <v>164.7</v>
      </c>
      <c r="E857" s="15">
        <v>162.33</v>
      </c>
      <c r="F857" s="15">
        <v>162.55</v>
      </c>
      <c r="G857" s="15">
        <v>162.9</v>
      </c>
      <c r="H857" s="15">
        <v>162.87</v>
      </c>
      <c r="I857" s="15">
        <v>163.32</v>
      </c>
      <c r="J857" s="15">
        <v>184.6</v>
      </c>
      <c r="K857" s="15">
        <v>114.6</v>
      </c>
      <c r="L857" s="15">
        <v>31754833</v>
      </c>
      <c r="M857" t="s" s="13">
        <v>8393</v>
      </c>
      <c r="N857" s="15">
        <v>253901</v>
      </c>
      <c r="O857" s="17" cm="1">
        <f t="array" ref="O857">(H857-H856)/H856</f>
        <v>0.00196862503844971</v>
      </c>
    </row>
    <row r="858" ht="13.65" customHeight="1">
      <c r="A858" s="18">
        <v>45503</v>
      </c>
      <c r="B858" t="s" s="13">
        <v>22</v>
      </c>
      <c r="C858" s="15">
        <v>162.9</v>
      </c>
      <c r="D858" s="15">
        <v>165.3</v>
      </c>
      <c r="E858" s="15">
        <v>161.31</v>
      </c>
      <c r="F858" s="15">
        <v>162.87</v>
      </c>
      <c r="G858" s="15">
        <v>164.55</v>
      </c>
      <c r="H858" s="15">
        <v>164.07</v>
      </c>
      <c r="I858" s="15">
        <v>163.43</v>
      </c>
      <c r="J858" s="15">
        <v>184.6</v>
      </c>
      <c r="K858" s="15">
        <v>114.6</v>
      </c>
      <c r="L858" s="15">
        <v>42824600</v>
      </c>
      <c r="M858" t="s" s="13">
        <v>8394</v>
      </c>
      <c r="N858" s="15">
        <v>309634</v>
      </c>
      <c r="O858" s="17" cm="1">
        <f t="array" ref="O858">(H858-H857)/H857</f>
        <v>0.00736783938110149</v>
      </c>
    </row>
    <row r="859" ht="13.65" customHeight="1">
      <c r="A859" s="18">
        <v>45504</v>
      </c>
      <c r="B859" t="s" s="13">
        <v>22</v>
      </c>
      <c r="C859" s="15">
        <v>166.29</v>
      </c>
      <c r="D859" s="15">
        <v>166.5</v>
      </c>
      <c r="E859" s="15">
        <v>163.55</v>
      </c>
      <c r="F859" s="15">
        <v>164.07</v>
      </c>
      <c r="G859" s="15">
        <v>165.44</v>
      </c>
      <c r="H859" s="15">
        <v>165.33</v>
      </c>
      <c r="I859" s="15">
        <v>164.78</v>
      </c>
      <c r="J859" s="15">
        <v>184.6</v>
      </c>
      <c r="K859" s="15">
        <v>114.6</v>
      </c>
      <c r="L859" s="15">
        <v>52769925</v>
      </c>
      <c r="M859" t="s" s="13">
        <v>8395</v>
      </c>
      <c r="N859" s="15">
        <v>277640</v>
      </c>
      <c r="O859" s="17" cm="1">
        <f t="array" ref="O859">(H859-H858)/H858</f>
        <v>0.00767964893033461</v>
      </c>
    </row>
    <row r="860" ht="13.65" customHeight="1">
      <c r="A860" s="12">
        <v>45505</v>
      </c>
      <c r="B860" t="s" s="13">
        <v>22</v>
      </c>
      <c r="C860" s="15">
        <v>168.2</v>
      </c>
      <c r="D860" s="15">
        <v>168.95</v>
      </c>
      <c r="E860" s="15">
        <v>160.9</v>
      </c>
      <c r="F860" s="15">
        <v>165.33</v>
      </c>
      <c r="G860" s="15">
        <v>163.07</v>
      </c>
      <c r="H860" s="15">
        <v>163.06</v>
      </c>
      <c r="I860" s="15">
        <v>164.04</v>
      </c>
      <c r="J860" s="15">
        <v>184.6</v>
      </c>
      <c r="K860" s="15">
        <v>114.6</v>
      </c>
      <c r="L860" s="15">
        <v>118341338</v>
      </c>
      <c r="M860" t="s" s="13">
        <v>8396</v>
      </c>
      <c r="N860" s="15">
        <v>512835</v>
      </c>
      <c r="O860" s="17" cm="1">
        <f t="array" ref="O860">(H860-H859)/H859</f>
        <v>-0.0137301155265227</v>
      </c>
    </row>
    <row r="861" ht="13.65" customHeight="1">
      <c r="A861" s="12">
        <v>45506</v>
      </c>
      <c r="B861" t="s" s="13">
        <v>22</v>
      </c>
      <c r="C861" s="15">
        <v>161</v>
      </c>
      <c r="D861" s="15">
        <v>161.19</v>
      </c>
      <c r="E861" s="15">
        <v>154.72</v>
      </c>
      <c r="F861" s="15">
        <v>163.06</v>
      </c>
      <c r="G861" s="15">
        <v>158.39</v>
      </c>
      <c r="H861" s="15">
        <v>158.22</v>
      </c>
      <c r="I861" s="15">
        <v>158.29</v>
      </c>
      <c r="J861" s="15">
        <v>184.6</v>
      </c>
      <c r="K861" s="15">
        <v>114.6</v>
      </c>
      <c r="L861" s="15">
        <v>72427529</v>
      </c>
      <c r="M861" t="s" s="13">
        <v>8397</v>
      </c>
      <c r="N861" s="15">
        <v>669777</v>
      </c>
      <c r="O861" s="17" cm="1">
        <f t="array" ref="O861">(H861-H860)/H860</f>
        <v>-0.0296823255243469</v>
      </c>
    </row>
    <row r="862" ht="13.65" customHeight="1">
      <c r="A862" s="12">
        <v>45509</v>
      </c>
      <c r="B862" t="s" s="13">
        <v>22</v>
      </c>
      <c r="C862" s="15">
        <v>153.66</v>
      </c>
      <c r="D862" s="15">
        <v>154</v>
      </c>
      <c r="E862" s="15">
        <v>149</v>
      </c>
      <c r="F862" s="15">
        <v>158.22</v>
      </c>
      <c r="G862" s="15">
        <v>149.34</v>
      </c>
      <c r="H862" s="15">
        <v>149.82</v>
      </c>
      <c r="I862" s="15">
        <v>151.19</v>
      </c>
      <c r="J862" s="15">
        <v>184.6</v>
      </c>
      <c r="K862" s="15">
        <v>114.6</v>
      </c>
      <c r="L862" s="15">
        <v>102883971</v>
      </c>
      <c r="M862" t="s" s="13">
        <v>8398</v>
      </c>
      <c r="N862" s="15">
        <v>917741</v>
      </c>
      <c r="O862" s="17" cm="1">
        <f t="array" ref="O862">(H862-H861)/H861</f>
        <v>-0.0530906332954115</v>
      </c>
    </row>
    <row r="863" ht="13.65" customHeight="1">
      <c r="A863" s="12">
        <v>45510</v>
      </c>
      <c r="B863" t="s" s="13">
        <v>22</v>
      </c>
      <c r="C863" s="15">
        <v>151.21</v>
      </c>
      <c r="D863" s="15">
        <v>153.8</v>
      </c>
      <c r="E863" s="15">
        <v>149.61</v>
      </c>
      <c r="F863" s="15">
        <v>149.82</v>
      </c>
      <c r="G863" s="15">
        <v>151.17</v>
      </c>
      <c r="H863" s="15">
        <v>150.32</v>
      </c>
      <c r="I863" s="15">
        <v>151.52</v>
      </c>
      <c r="J863" s="15">
        <v>184.6</v>
      </c>
      <c r="K863" s="15">
        <v>114.6</v>
      </c>
      <c r="L863" s="15">
        <v>53507102</v>
      </c>
      <c r="M863" t="s" s="13">
        <v>8399</v>
      </c>
      <c r="N863" s="15">
        <v>589379</v>
      </c>
      <c r="O863" s="17" cm="1">
        <f t="array" ref="O863">(H863-H862)/H862</f>
        <v>0.00333733813910025</v>
      </c>
    </row>
    <row r="864" ht="13.65" customHeight="1">
      <c r="A864" s="12">
        <v>45511</v>
      </c>
      <c r="B864" t="s" s="13">
        <v>22</v>
      </c>
      <c r="C864" s="15">
        <v>153.7</v>
      </c>
      <c r="D864" s="15">
        <v>154.3</v>
      </c>
      <c r="E864" s="15">
        <v>151.9</v>
      </c>
      <c r="F864" s="15">
        <v>150.32</v>
      </c>
      <c r="G864" s="15">
        <v>154.15</v>
      </c>
      <c r="H864" s="15">
        <v>153.86</v>
      </c>
      <c r="I864" s="15">
        <v>153.05</v>
      </c>
      <c r="J864" s="15">
        <v>184.6</v>
      </c>
      <c r="K864" s="15">
        <v>114.6</v>
      </c>
      <c r="L864" s="15">
        <v>32029697</v>
      </c>
      <c r="M864" t="s" s="13">
        <v>8400</v>
      </c>
      <c r="N864" s="15">
        <v>309953</v>
      </c>
      <c r="O864" s="17" cm="1">
        <f t="array" ref="O864">(H864-H863)/H863</f>
        <v>0.0235497605109101</v>
      </c>
    </row>
    <row r="865" ht="13.65" customHeight="1">
      <c r="A865" s="12">
        <v>45512</v>
      </c>
      <c r="B865" t="s" s="13">
        <v>22</v>
      </c>
      <c r="C865" s="15">
        <v>153.4</v>
      </c>
      <c r="D865" s="15">
        <v>153.44</v>
      </c>
      <c r="E865" s="15">
        <v>150</v>
      </c>
      <c r="F865" s="15">
        <v>153.86</v>
      </c>
      <c r="G865" s="15">
        <v>150.6</v>
      </c>
      <c r="H865" s="15">
        <v>150.28</v>
      </c>
      <c r="I865" s="15">
        <v>151.32</v>
      </c>
      <c r="J865" s="15">
        <v>184.6</v>
      </c>
      <c r="K865" s="15">
        <v>114.6</v>
      </c>
      <c r="L865" s="15">
        <v>51858615</v>
      </c>
      <c r="M865" t="s" s="13">
        <v>8401</v>
      </c>
      <c r="N865" s="15">
        <v>371279</v>
      </c>
      <c r="O865" s="17" cm="1">
        <f t="array" ref="O865">(H865-H864)/H864</f>
        <v>-0.02326790588847</v>
      </c>
    </row>
    <row r="866" ht="13.65" customHeight="1">
      <c r="A866" s="12">
        <v>45513</v>
      </c>
      <c r="B866" t="s" s="13">
        <v>22</v>
      </c>
      <c r="C866" s="15">
        <v>153</v>
      </c>
      <c r="D866" s="15">
        <v>153</v>
      </c>
      <c r="E866" s="15">
        <v>151.25</v>
      </c>
      <c r="F866" s="15">
        <v>150.28</v>
      </c>
      <c r="G866" s="15">
        <v>151.7</v>
      </c>
      <c r="H866" s="15">
        <v>151.81</v>
      </c>
      <c r="I866" s="15">
        <v>152.06</v>
      </c>
      <c r="J866" s="15">
        <v>184.6</v>
      </c>
      <c r="K866" s="15">
        <v>114.6</v>
      </c>
      <c r="L866" s="15">
        <v>23290101</v>
      </c>
      <c r="M866" t="s" s="13">
        <v>8402</v>
      </c>
      <c r="N866" s="15">
        <v>259551</v>
      </c>
      <c r="O866" s="17" cm="1">
        <f t="array" ref="O866">(H866-H865)/H865</f>
        <v>0.0101809954751131</v>
      </c>
    </row>
    <row r="867" ht="13.65" customHeight="1">
      <c r="A867" s="18">
        <v>45516</v>
      </c>
      <c r="B867" t="s" s="13">
        <v>22</v>
      </c>
      <c r="C867" s="15">
        <v>151</v>
      </c>
      <c r="D867" s="15">
        <v>153.4</v>
      </c>
      <c r="E867" s="15">
        <v>149.88</v>
      </c>
      <c r="F867" s="15">
        <v>151.81</v>
      </c>
      <c r="G867" s="15">
        <v>152.14</v>
      </c>
      <c r="H867" s="15">
        <v>152.06</v>
      </c>
      <c r="I867" s="15">
        <v>152.12</v>
      </c>
      <c r="J867" s="15">
        <v>184.6</v>
      </c>
      <c r="K867" s="15">
        <v>114.6</v>
      </c>
      <c r="L867" s="15">
        <v>30550334</v>
      </c>
      <c r="M867" t="s" s="13">
        <v>8403</v>
      </c>
      <c r="N867" s="15">
        <v>238401</v>
      </c>
      <c r="O867" s="17" cm="1">
        <f t="array" ref="O867">(H867-H866)/H866</f>
        <v>0.00164679533627561</v>
      </c>
    </row>
    <row r="868" ht="13.65" customHeight="1">
      <c r="A868" s="18">
        <v>45517</v>
      </c>
      <c r="B868" t="s" s="13">
        <v>22</v>
      </c>
      <c r="C868" s="15">
        <v>152.1</v>
      </c>
      <c r="D868" s="15">
        <v>152.95</v>
      </c>
      <c r="E868" s="15">
        <v>148.5</v>
      </c>
      <c r="F868" s="15">
        <v>152.06</v>
      </c>
      <c r="G868" s="15">
        <v>148.9</v>
      </c>
      <c r="H868" s="15">
        <v>148.88</v>
      </c>
      <c r="I868" s="15">
        <v>150.42</v>
      </c>
      <c r="J868" s="15">
        <v>184.6</v>
      </c>
      <c r="K868" s="15">
        <v>114.6</v>
      </c>
      <c r="L868" s="15">
        <v>29396493</v>
      </c>
      <c r="M868" t="s" s="13">
        <v>8404</v>
      </c>
      <c r="N868" s="15">
        <v>300330</v>
      </c>
      <c r="O868" s="17" cm="1">
        <f t="array" ref="O868">(H868-H867)/H867</f>
        <v>-0.0209127975799027</v>
      </c>
    </row>
    <row r="869" ht="13.65" customHeight="1">
      <c r="A869" s="18">
        <v>45518</v>
      </c>
      <c r="B869" t="s" s="13">
        <v>22</v>
      </c>
      <c r="C869" s="15">
        <v>149.9</v>
      </c>
      <c r="D869" s="15">
        <v>149.9</v>
      </c>
      <c r="E869" s="15">
        <v>142.35</v>
      </c>
      <c r="F869" s="15">
        <v>148.88</v>
      </c>
      <c r="G869" s="15">
        <v>146.5</v>
      </c>
      <c r="H869" s="15">
        <v>146.17</v>
      </c>
      <c r="I869" s="15">
        <v>145.48</v>
      </c>
      <c r="J869" s="15">
        <v>184.6</v>
      </c>
      <c r="K869" s="15">
        <v>114.6</v>
      </c>
      <c r="L869" s="15">
        <v>97911180</v>
      </c>
      <c r="M869" t="s" s="13">
        <v>8405</v>
      </c>
      <c r="N869" s="15">
        <v>569116</v>
      </c>
      <c r="O869" s="17" cm="1">
        <f t="array" ref="O869">(H869-H868)/H868</f>
        <v>-0.0182025792584632</v>
      </c>
    </row>
    <row r="870" ht="13.65" customHeight="1">
      <c r="A870" s="18">
        <v>45520</v>
      </c>
      <c r="B870" t="s" s="13">
        <v>22</v>
      </c>
      <c r="C870" s="15">
        <v>148</v>
      </c>
      <c r="D870" s="15">
        <v>150</v>
      </c>
      <c r="E870" s="15">
        <v>146.46</v>
      </c>
      <c r="F870" s="15">
        <v>146.17</v>
      </c>
      <c r="G870" s="15">
        <v>149.5</v>
      </c>
      <c r="H870" s="15">
        <v>149.52</v>
      </c>
      <c r="I870" s="15">
        <v>147.79</v>
      </c>
      <c r="J870" s="15">
        <v>184.6</v>
      </c>
      <c r="K870" s="15">
        <v>114.6</v>
      </c>
      <c r="L870" s="15">
        <v>54131721</v>
      </c>
      <c r="M870" t="s" s="13">
        <v>8406</v>
      </c>
      <c r="N870" s="15">
        <v>359932</v>
      </c>
      <c r="O870" s="17" cm="1">
        <f t="array" ref="O870">(H870-H869)/H869</f>
        <v>0.0229185195320517</v>
      </c>
    </row>
    <row r="871" ht="13.65" customHeight="1">
      <c r="A871" s="18">
        <v>45523</v>
      </c>
      <c r="B871" t="s" s="13">
        <v>22</v>
      </c>
      <c r="C871" s="15">
        <v>150.85</v>
      </c>
      <c r="D871" s="15">
        <v>154.3</v>
      </c>
      <c r="E871" s="15">
        <v>150.39</v>
      </c>
      <c r="F871" s="15">
        <v>149.52</v>
      </c>
      <c r="G871" s="15">
        <v>154.09</v>
      </c>
      <c r="H871" s="15">
        <v>153.96</v>
      </c>
      <c r="I871" s="15">
        <v>152.26</v>
      </c>
      <c r="J871" s="15">
        <v>184.6</v>
      </c>
      <c r="K871" s="15">
        <v>114.6</v>
      </c>
      <c r="L871" s="15">
        <v>62889770</v>
      </c>
      <c r="M871" t="s" s="13">
        <v>8407</v>
      </c>
      <c r="N871" s="15">
        <v>456383</v>
      </c>
      <c r="O871" s="17" cm="1">
        <f t="array" ref="O871">(H871-H870)/H870</f>
        <v>0.0296950240770465</v>
      </c>
    </row>
    <row r="872" ht="13.65" customHeight="1">
      <c r="A872" s="18">
        <v>45524</v>
      </c>
      <c r="B872" t="s" s="13">
        <v>22</v>
      </c>
      <c r="C872" s="15">
        <v>155.7</v>
      </c>
      <c r="D872" s="15">
        <v>155.7</v>
      </c>
      <c r="E872" s="15">
        <v>152.8</v>
      </c>
      <c r="F872" s="15">
        <v>153.96</v>
      </c>
      <c r="G872" s="15">
        <v>153.85</v>
      </c>
      <c r="H872" s="15">
        <v>153.93</v>
      </c>
      <c r="I872" s="15">
        <v>153.47</v>
      </c>
      <c r="J872" s="15">
        <v>184.6</v>
      </c>
      <c r="K872" s="15">
        <v>114.6</v>
      </c>
      <c r="L872" s="15">
        <v>37559016</v>
      </c>
      <c r="M872" t="s" s="13">
        <v>8408</v>
      </c>
      <c r="N872" s="15">
        <v>251608</v>
      </c>
      <c r="O872" s="17" cm="1">
        <f t="array" ref="O872">(H872-H871)/H871</f>
        <v>-0.00019485580670304</v>
      </c>
    </row>
    <row r="873" ht="13.65" customHeight="1">
      <c r="A873" s="18">
        <v>45525</v>
      </c>
      <c r="B873" t="s" s="13">
        <v>22</v>
      </c>
      <c r="C873" s="15">
        <v>153</v>
      </c>
      <c r="D873" s="15">
        <v>154.18</v>
      </c>
      <c r="E873" s="15">
        <v>151.77</v>
      </c>
      <c r="F873" s="15">
        <v>153.93</v>
      </c>
      <c r="G873" s="15">
        <v>152</v>
      </c>
      <c r="H873" s="15">
        <v>151.92</v>
      </c>
      <c r="I873" s="15">
        <v>152.43</v>
      </c>
      <c r="J873" s="15">
        <v>184.6</v>
      </c>
      <c r="K873" s="15">
        <v>114.6</v>
      </c>
      <c r="L873" s="15">
        <v>49749381</v>
      </c>
      <c r="M873" t="s" s="13">
        <v>8409</v>
      </c>
      <c r="N873" s="15">
        <v>279210</v>
      </c>
      <c r="O873" s="17" cm="1">
        <f t="array" ref="O873">(H873-H872)/H872</f>
        <v>-0.0130578834535178</v>
      </c>
    </row>
    <row r="874" ht="13.65" customHeight="1">
      <c r="A874" s="18">
        <v>45526</v>
      </c>
      <c r="B874" t="s" s="13">
        <v>22</v>
      </c>
      <c r="C874" s="15">
        <v>152.51</v>
      </c>
      <c r="D874" s="15">
        <v>154.35</v>
      </c>
      <c r="E874" s="15">
        <v>152.51</v>
      </c>
      <c r="F874" s="15">
        <v>151.92</v>
      </c>
      <c r="G874" s="15">
        <v>154</v>
      </c>
      <c r="H874" s="15">
        <v>154.14</v>
      </c>
      <c r="I874" s="15">
        <v>153.67</v>
      </c>
      <c r="J874" s="15">
        <v>184.6</v>
      </c>
      <c r="K874" s="15">
        <v>114.6</v>
      </c>
      <c r="L874" s="15">
        <v>36719176</v>
      </c>
      <c r="M874" t="s" s="13">
        <v>8410</v>
      </c>
      <c r="N874" s="15">
        <v>247398</v>
      </c>
      <c r="O874" s="17" cm="1">
        <f t="array" ref="O874">(H874-H873)/H873</f>
        <v>0.0146129541864139</v>
      </c>
    </row>
    <row r="875" ht="13.65" customHeight="1">
      <c r="A875" s="18">
        <v>45527</v>
      </c>
      <c r="B875" t="s" s="13">
        <v>22</v>
      </c>
      <c r="C875" s="15">
        <v>154</v>
      </c>
      <c r="D875" s="15">
        <v>154.39</v>
      </c>
      <c r="E875" s="15">
        <v>152.55</v>
      </c>
      <c r="F875" s="15">
        <v>154.14</v>
      </c>
      <c r="G875" s="15">
        <v>154.3</v>
      </c>
      <c r="H875" s="15">
        <v>154.2</v>
      </c>
      <c r="I875" s="15">
        <v>153.73</v>
      </c>
      <c r="J875" s="15">
        <v>184.6</v>
      </c>
      <c r="K875" s="15">
        <v>114.6</v>
      </c>
      <c r="L875" s="15">
        <v>31490857</v>
      </c>
      <c r="M875" t="s" s="13">
        <v>8411</v>
      </c>
      <c r="N875" s="15">
        <v>203065</v>
      </c>
      <c r="O875" s="17" cm="1">
        <f t="array" ref="O875">(H875-H874)/H874</f>
        <v>0.000389256520046711</v>
      </c>
    </row>
    <row r="876" ht="13.65" customHeight="1">
      <c r="A876" s="18">
        <v>45530</v>
      </c>
      <c r="B876" t="s" s="13">
        <v>22</v>
      </c>
      <c r="C876" s="15">
        <v>154.61</v>
      </c>
      <c r="D876" s="15">
        <v>156.4</v>
      </c>
      <c r="E876" s="15">
        <v>153.7</v>
      </c>
      <c r="F876" s="15">
        <v>154.2</v>
      </c>
      <c r="G876" s="15">
        <v>155.9</v>
      </c>
      <c r="H876" s="15">
        <v>155.7</v>
      </c>
      <c r="I876" s="15">
        <v>155.03</v>
      </c>
      <c r="J876" s="15">
        <v>184.6</v>
      </c>
      <c r="K876" s="15">
        <v>114.6</v>
      </c>
      <c r="L876" s="15">
        <v>32497603</v>
      </c>
      <c r="M876" t="s" s="13">
        <v>8412</v>
      </c>
      <c r="N876" s="15">
        <v>223228</v>
      </c>
      <c r="O876" s="17" cm="1">
        <f t="array" ref="O876">(H876-H875)/H875</f>
        <v>0.009727626459143971</v>
      </c>
    </row>
    <row r="877" ht="13.65" customHeight="1">
      <c r="A877" s="18">
        <v>45531</v>
      </c>
      <c r="B877" t="s" s="13">
        <v>22</v>
      </c>
      <c r="C877" s="15">
        <v>155.8</v>
      </c>
      <c r="D877" s="15">
        <v>156.5</v>
      </c>
      <c r="E877" s="15">
        <v>154.6</v>
      </c>
      <c r="F877" s="15">
        <v>155.7</v>
      </c>
      <c r="G877" s="15">
        <v>154.75</v>
      </c>
      <c r="H877" s="15">
        <v>154.7</v>
      </c>
      <c r="I877" s="15">
        <v>155.27</v>
      </c>
      <c r="J877" s="15">
        <v>184.6</v>
      </c>
      <c r="K877" s="15">
        <v>114.6</v>
      </c>
      <c r="L877" s="15">
        <v>24523684</v>
      </c>
      <c r="M877" t="s" s="13">
        <v>8413</v>
      </c>
      <c r="N877" s="15">
        <v>186818</v>
      </c>
      <c r="O877" s="17" cm="1">
        <f t="array" ref="O877">(H877-H876)/H876</f>
        <v>-0.00642260757867694</v>
      </c>
    </row>
    <row r="878" ht="13.65" customHeight="1">
      <c r="A878" s="18">
        <v>45532</v>
      </c>
      <c r="B878" t="s" s="13">
        <v>22</v>
      </c>
      <c r="C878" s="15">
        <v>154.7</v>
      </c>
      <c r="D878" s="15">
        <v>155</v>
      </c>
      <c r="E878" s="15">
        <v>153.05</v>
      </c>
      <c r="F878" s="15">
        <v>154.7</v>
      </c>
      <c r="G878" s="15">
        <v>153.65</v>
      </c>
      <c r="H878" s="15">
        <v>153.7</v>
      </c>
      <c r="I878" s="15">
        <v>153.88</v>
      </c>
      <c r="J878" s="15">
        <v>184.6</v>
      </c>
      <c r="K878" s="15">
        <v>114.6</v>
      </c>
      <c r="L878" s="15">
        <v>25195197</v>
      </c>
      <c r="M878" t="s" s="13">
        <v>8414</v>
      </c>
      <c r="N878" s="15">
        <v>200539</v>
      </c>
      <c r="O878" s="17" cm="1">
        <f t="array" ref="O878">(H878-H877)/H877</f>
        <v>-0.00646412411118293</v>
      </c>
    </row>
    <row r="879" ht="13.65" customHeight="1">
      <c r="A879" s="18">
        <v>45533</v>
      </c>
      <c r="B879" t="s" s="13">
        <v>22</v>
      </c>
      <c r="C879" s="15">
        <v>153.21</v>
      </c>
      <c r="D879" s="15">
        <v>153.56</v>
      </c>
      <c r="E879" s="15">
        <v>151.2</v>
      </c>
      <c r="F879" s="15">
        <v>153.7</v>
      </c>
      <c r="G879" s="15">
        <v>153.15</v>
      </c>
      <c r="H879" s="15">
        <v>152.97</v>
      </c>
      <c r="I879" s="15">
        <v>152.64</v>
      </c>
      <c r="J879" s="15">
        <v>184.6</v>
      </c>
      <c r="K879" s="15">
        <v>114.6</v>
      </c>
      <c r="L879" s="15">
        <v>44452983</v>
      </c>
      <c r="M879" t="s" s="13">
        <v>8415</v>
      </c>
      <c r="N879" s="15">
        <v>263576</v>
      </c>
      <c r="O879" s="17" cm="1">
        <f t="array" ref="O879">(H879-H878)/H878</f>
        <v>-0.00474951203643461</v>
      </c>
    </row>
    <row r="880" ht="13.65" customHeight="1">
      <c r="A880" s="18">
        <v>45534</v>
      </c>
      <c r="B880" t="s" s="13">
        <v>22</v>
      </c>
      <c r="C880" s="15">
        <v>153</v>
      </c>
      <c r="D880" s="15">
        <v>155.25</v>
      </c>
      <c r="E880" s="15">
        <v>152.47</v>
      </c>
      <c r="F880" s="15">
        <v>152.97</v>
      </c>
      <c r="G880" s="15">
        <v>153.3</v>
      </c>
      <c r="H880" s="15">
        <v>152.76</v>
      </c>
      <c r="I880" s="15">
        <v>153.54</v>
      </c>
      <c r="J880" s="15">
        <v>184.6</v>
      </c>
      <c r="K880" s="15">
        <v>114.6</v>
      </c>
      <c r="L880" s="15">
        <v>55134023</v>
      </c>
      <c r="M880" t="s" s="13">
        <v>8416</v>
      </c>
      <c r="N880" s="15">
        <v>238118</v>
      </c>
      <c r="O880" s="17" cm="1">
        <f t="array" ref="O880">(H880-H879)/H879</f>
        <v>-0.00137281819964699</v>
      </c>
    </row>
    <row r="881" ht="13.65" customHeight="1">
      <c r="A881" s="12">
        <v>45537</v>
      </c>
      <c r="B881" t="s" s="13">
        <v>22</v>
      </c>
      <c r="C881" s="15">
        <v>153.9</v>
      </c>
      <c r="D881" s="15">
        <v>153.9</v>
      </c>
      <c r="E881" s="15">
        <v>152.14</v>
      </c>
      <c r="F881" s="15">
        <v>152.76</v>
      </c>
      <c r="G881" s="15">
        <v>152.7</v>
      </c>
      <c r="H881" s="15">
        <v>152.88</v>
      </c>
      <c r="I881" s="15">
        <v>152.93</v>
      </c>
      <c r="J881" s="15">
        <v>184.6</v>
      </c>
      <c r="K881" s="15">
        <v>114.6</v>
      </c>
      <c r="L881" s="15">
        <v>19200143</v>
      </c>
      <c r="M881" t="s" s="13">
        <v>8417</v>
      </c>
      <c r="N881" s="15">
        <v>202414</v>
      </c>
      <c r="O881" s="17" cm="1">
        <f t="array" ref="O881">(H881-H880)/H880</f>
        <v>0.000785545954438335</v>
      </c>
    </row>
    <row r="882" ht="13.65" customHeight="1">
      <c r="A882" s="12">
        <v>45538</v>
      </c>
      <c r="B882" t="s" s="13">
        <v>22</v>
      </c>
      <c r="C882" s="15">
        <v>152.84</v>
      </c>
      <c r="D882" s="15">
        <v>153.45</v>
      </c>
      <c r="E882" s="15">
        <v>152.01</v>
      </c>
      <c r="F882" s="15">
        <v>152.88</v>
      </c>
      <c r="G882" s="15">
        <v>152.28</v>
      </c>
      <c r="H882" s="15">
        <v>152.15</v>
      </c>
      <c r="I882" s="15">
        <v>152.42</v>
      </c>
      <c r="J882" s="15">
        <v>184.6</v>
      </c>
      <c r="K882" s="15">
        <v>114.6</v>
      </c>
      <c r="L882" s="15">
        <v>19780066</v>
      </c>
      <c r="M882" t="s" s="13">
        <v>8418</v>
      </c>
      <c r="N882" s="15">
        <v>217103</v>
      </c>
      <c r="O882" s="17" cm="1">
        <f t="array" ref="O882">(H882-H881)/H881</f>
        <v>-0.00477498691784406</v>
      </c>
    </row>
    <row r="883" ht="13.65" customHeight="1">
      <c r="A883" s="12">
        <v>45539</v>
      </c>
      <c r="B883" t="s" s="13">
        <v>22</v>
      </c>
      <c r="C883" s="15">
        <v>149.5</v>
      </c>
      <c r="D883" s="15">
        <v>152.18</v>
      </c>
      <c r="E883" s="15">
        <v>149.16</v>
      </c>
      <c r="F883" s="15">
        <v>152.15</v>
      </c>
      <c r="G883" s="15">
        <v>150.95</v>
      </c>
      <c r="H883" s="15">
        <v>151.18</v>
      </c>
      <c r="I883" s="15">
        <v>150.88</v>
      </c>
      <c r="J883" s="15">
        <v>184.6</v>
      </c>
      <c r="K883" s="15">
        <v>114.6</v>
      </c>
      <c r="L883" s="15">
        <v>39613696</v>
      </c>
      <c r="M883" t="s" s="13">
        <v>8419</v>
      </c>
      <c r="N883" s="15">
        <v>271132</v>
      </c>
      <c r="O883" s="17" cm="1">
        <f t="array" ref="O883">(H883-H882)/H882</f>
        <v>-0.00637528754518567</v>
      </c>
    </row>
    <row r="884" ht="13.65" customHeight="1">
      <c r="A884" s="12">
        <v>45540</v>
      </c>
      <c r="B884" t="s" s="13">
        <v>22</v>
      </c>
      <c r="C884" s="15">
        <v>151</v>
      </c>
      <c r="D884" s="15">
        <v>152.79</v>
      </c>
      <c r="E884" s="15">
        <v>151</v>
      </c>
      <c r="F884" s="15">
        <v>151.18</v>
      </c>
      <c r="G884" s="15">
        <v>152.03</v>
      </c>
      <c r="H884" s="15">
        <v>151.72</v>
      </c>
      <c r="I884" s="15">
        <v>151.9</v>
      </c>
      <c r="J884" s="15">
        <v>184.6</v>
      </c>
      <c r="K884" s="15">
        <v>114.6</v>
      </c>
      <c r="L884" s="15">
        <v>28347324</v>
      </c>
      <c r="M884" t="s" s="13">
        <v>8420</v>
      </c>
      <c r="N884" s="15">
        <v>204493</v>
      </c>
      <c r="O884" s="17" cm="1">
        <f t="array" ref="O884">(H884-H883)/H883</f>
        <v>0.00357190104511179</v>
      </c>
    </row>
    <row r="885" ht="13.65" customHeight="1">
      <c r="A885" s="12">
        <v>45541</v>
      </c>
      <c r="B885" t="s" s="13">
        <v>22</v>
      </c>
      <c r="C885" s="15">
        <v>151.94</v>
      </c>
      <c r="D885" s="15">
        <v>152.9</v>
      </c>
      <c r="E885" s="15">
        <v>149.65</v>
      </c>
      <c r="F885" s="15">
        <v>151.72</v>
      </c>
      <c r="G885" s="15">
        <v>151.25</v>
      </c>
      <c r="H885" s="15">
        <v>151.22</v>
      </c>
      <c r="I885" s="15">
        <v>151.12</v>
      </c>
      <c r="J885" s="15">
        <v>184.6</v>
      </c>
      <c r="K885" s="15">
        <v>114.6</v>
      </c>
      <c r="L885" s="15">
        <v>30709532</v>
      </c>
      <c r="M885" t="s" s="13">
        <v>8421</v>
      </c>
      <c r="N885" s="15">
        <v>244219</v>
      </c>
      <c r="O885" s="17" cm="1">
        <f t="array" ref="O885">(H885-H884)/H884</f>
        <v>-0.00329554442393883</v>
      </c>
    </row>
    <row r="886" ht="13.65" customHeight="1">
      <c r="A886" s="12">
        <v>45544</v>
      </c>
      <c r="B886" t="s" s="13">
        <v>22</v>
      </c>
      <c r="C886" s="15">
        <v>150.9</v>
      </c>
      <c r="D886" s="15">
        <v>150.9</v>
      </c>
      <c r="E886" s="15">
        <v>148.05</v>
      </c>
      <c r="F886" s="15">
        <v>151.22</v>
      </c>
      <c r="G886" s="15">
        <v>149.5</v>
      </c>
      <c r="H886" s="15">
        <v>149.47</v>
      </c>
      <c r="I886" s="15">
        <v>149.39</v>
      </c>
      <c r="J886" s="15">
        <v>184.6</v>
      </c>
      <c r="K886" s="15">
        <v>114.6</v>
      </c>
      <c r="L886" s="15">
        <v>32624586</v>
      </c>
      <c r="M886" t="s" s="13">
        <v>8422</v>
      </c>
      <c r="N886" s="15">
        <v>374794</v>
      </c>
      <c r="O886" s="17" cm="1">
        <f t="array" ref="O886">(H886-H885)/H885</f>
        <v>-0.0115725433143764</v>
      </c>
    </row>
    <row r="887" ht="13.65" customHeight="1">
      <c r="A887" s="18">
        <v>45545</v>
      </c>
      <c r="B887" t="s" s="13">
        <v>22</v>
      </c>
      <c r="C887" s="15">
        <v>150.5</v>
      </c>
      <c r="D887" s="15">
        <v>151.59</v>
      </c>
      <c r="E887" s="15">
        <v>148.81</v>
      </c>
      <c r="F887" s="15">
        <v>149.47</v>
      </c>
      <c r="G887" s="15">
        <v>149.59</v>
      </c>
      <c r="H887" s="15">
        <v>149.42</v>
      </c>
      <c r="I887" s="15">
        <v>149.93</v>
      </c>
      <c r="J887" s="15">
        <v>184.6</v>
      </c>
      <c r="K887" s="15">
        <v>114.6</v>
      </c>
      <c r="L887" s="15">
        <v>41607844</v>
      </c>
      <c r="M887" t="s" s="13">
        <v>8423</v>
      </c>
      <c r="N887" s="15">
        <v>303910</v>
      </c>
      <c r="O887" s="17" cm="1">
        <f t="array" ref="O887">(H887-H886)/H886</f>
        <v>-0.000334515287348632</v>
      </c>
    </row>
    <row r="888" ht="13.65" customHeight="1">
      <c r="A888" s="18">
        <v>45546</v>
      </c>
      <c r="B888" t="s" s="13">
        <v>22</v>
      </c>
      <c r="C888" s="15">
        <v>149.9</v>
      </c>
      <c r="D888" s="15">
        <v>150.2</v>
      </c>
      <c r="E888" s="15">
        <v>147.62</v>
      </c>
      <c r="F888" s="15">
        <v>149.42</v>
      </c>
      <c r="G888" s="15">
        <v>148.38</v>
      </c>
      <c r="H888" s="15">
        <v>148.17</v>
      </c>
      <c r="I888" s="15">
        <v>148.9</v>
      </c>
      <c r="J888" s="15">
        <v>184.6</v>
      </c>
      <c r="K888" s="15">
        <v>114.6</v>
      </c>
      <c r="L888" s="15">
        <v>24633287</v>
      </c>
      <c r="M888" t="s" s="13">
        <v>8424</v>
      </c>
      <c r="N888" s="15">
        <v>214629</v>
      </c>
      <c r="O888" s="17" cm="1">
        <f t="array" ref="O888">(H888-H887)/H887</f>
        <v>-0.008365680631776199</v>
      </c>
    </row>
    <row r="889" ht="13.65" customHeight="1">
      <c r="A889" s="18">
        <v>45547</v>
      </c>
      <c r="B889" t="s" s="13">
        <v>22</v>
      </c>
      <c r="C889" s="15">
        <v>152</v>
      </c>
      <c r="D889" s="15">
        <v>152.44</v>
      </c>
      <c r="E889" s="15">
        <v>148.75</v>
      </c>
      <c r="F889" s="15">
        <v>148.17</v>
      </c>
      <c r="G889" s="15">
        <v>151.8</v>
      </c>
      <c r="H889" s="15">
        <v>151.74</v>
      </c>
      <c r="I889" s="15">
        <v>150.69</v>
      </c>
      <c r="J889" s="15">
        <v>184.6</v>
      </c>
      <c r="K889" s="15">
        <v>114.6</v>
      </c>
      <c r="L889" s="15">
        <v>73191476</v>
      </c>
      <c r="M889" t="s" s="13">
        <v>8425</v>
      </c>
      <c r="N889" s="15">
        <v>394657</v>
      </c>
      <c r="O889" s="17" cm="1">
        <f t="array" ref="O889">(H889-H888)/H888</f>
        <v>0.0240939461429439</v>
      </c>
    </row>
    <row r="890" ht="13.65" customHeight="1">
      <c r="A890" s="18">
        <v>45548</v>
      </c>
      <c r="B890" t="s" s="13">
        <v>22</v>
      </c>
      <c r="C890" s="15">
        <v>152.78</v>
      </c>
      <c r="D890" s="15">
        <v>155.4</v>
      </c>
      <c r="E890" s="15">
        <v>152.5</v>
      </c>
      <c r="F890" s="15">
        <v>151.74</v>
      </c>
      <c r="G890" s="15">
        <v>153.4</v>
      </c>
      <c r="H890" s="15">
        <v>153.49</v>
      </c>
      <c r="I890" s="15">
        <v>153.99</v>
      </c>
      <c r="J890" s="15">
        <v>184.6</v>
      </c>
      <c r="K890" s="15">
        <v>114.6</v>
      </c>
      <c r="L890" s="15">
        <v>54894255</v>
      </c>
      <c r="M890" t="s" s="13">
        <v>8426</v>
      </c>
      <c r="N890" s="15">
        <v>307875</v>
      </c>
      <c r="O890" s="17" cm="1">
        <f t="array" ref="O890">(H890-H889)/H889</f>
        <v>0.0115328851983656</v>
      </c>
    </row>
    <row r="891" ht="13.65" customHeight="1">
      <c r="A891" s="18">
        <v>45551</v>
      </c>
      <c r="B891" t="s" s="13">
        <v>22</v>
      </c>
      <c r="C891" s="15">
        <v>155</v>
      </c>
      <c r="D891" s="15">
        <v>155.66</v>
      </c>
      <c r="E891" s="15">
        <v>153.5</v>
      </c>
      <c r="F891" s="15">
        <v>153.49</v>
      </c>
      <c r="G891" s="15">
        <v>154.15</v>
      </c>
      <c r="H891" s="15">
        <v>154.21</v>
      </c>
      <c r="I891" s="15">
        <v>154.43</v>
      </c>
      <c r="J891" s="15">
        <v>184.6</v>
      </c>
      <c r="K891" s="15">
        <v>114.6</v>
      </c>
      <c r="L891" s="15">
        <v>32575460</v>
      </c>
      <c r="M891" t="s" s="13">
        <v>8427</v>
      </c>
      <c r="N891" s="15">
        <v>220809</v>
      </c>
      <c r="O891" s="17" cm="1">
        <f t="array" ref="O891">(H891-H890)/H890</f>
        <v>0.00469085933937064</v>
      </c>
    </row>
    <row r="892" ht="13.65" customHeight="1">
      <c r="A892" s="18">
        <v>45552</v>
      </c>
      <c r="B892" t="s" s="13">
        <v>22</v>
      </c>
      <c r="C892" s="15">
        <v>154</v>
      </c>
      <c r="D892" s="15">
        <v>154.24</v>
      </c>
      <c r="E892" s="15">
        <v>152.27</v>
      </c>
      <c r="F892" s="15">
        <v>154.21</v>
      </c>
      <c r="G892" s="15">
        <v>152.7</v>
      </c>
      <c r="H892" s="15">
        <v>152.82</v>
      </c>
      <c r="I892" s="15">
        <v>153.06</v>
      </c>
      <c r="J892" s="15">
        <v>184.6</v>
      </c>
      <c r="K892" s="15">
        <v>114.6</v>
      </c>
      <c r="L892" s="15">
        <v>18275113</v>
      </c>
      <c r="M892" t="s" s="13">
        <v>8428</v>
      </c>
      <c r="N892" s="15">
        <v>170530</v>
      </c>
      <c r="O892" s="17" cm="1">
        <f t="array" ref="O892">(H892-H891)/H891</f>
        <v>-0.00901368264055509</v>
      </c>
    </row>
    <row r="893" ht="13.65" customHeight="1">
      <c r="A893" s="18">
        <v>45553</v>
      </c>
      <c r="B893" t="s" s="13">
        <v>22</v>
      </c>
      <c r="C893" s="15">
        <v>152.4</v>
      </c>
      <c r="D893" s="15">
        <v>152.98</v>
      </c>
      <c r="E893" s="15">
        <v>149.61</v>
      </c>
      <c r="F893" s="15">
        <v>152.82</v>
      </c>
      <c r="G893" s="15">
        <v>150.55</v>
      </c>
      <c r="H893" s="15">
        <v>150.6</v>
      </c>
      <c r="I893" s="15">
        <v>151.06</v>
      </c>
      <c r="J893" s="15">
        <v>184.6</v>
      </c>
      <c r="K893" s="15">
        <v>114.6</v>
      </c>
      <c r="L893" s="15">
        <v>24856345</v>
      </c>
      <c r="M893" t="s" s="13">
        <v>8429</v>
      </c>
      <c r="N893" s="15">
        <v>193657</v>
      </c>
      <c r="O893" s="17" cm="1">
        <f t="array" ref="O893">(H893-H892)/H892</f>
        <v>-0.0145268943855516</v>
      </c>
    </row>
    <row r="894" ht="13.65" customHeight="1">
      <c r="A894" s="18">
        <v>45554</v>
      </c>
      <c r="B894" t="s" s="13">
        <v>22</v>
      </c>
      <c r="C894" s="15">
        <v>151.89</v>
      </c>
      <c r="D894" s="15">
        <v>152.19</v>
      </c>
      <c r="E894" s="15">
        <v>147.79</v>
      </c>
      <c r="F894" s="15">
        <v>150.6</v>
      </c>
      <c r="G894" s="15">
        <v>150.08</v>
      </c>
      <c r="H894" s="15">
        <v>149.54</v>
      </c>
      <c r="I894" s="15">
        <v>149.59</v>
      </c>
      <c r="J894" s="15">
        <v>184.6</v>
      </c>
      <c r="K894" s="15">
        <v>114.6</v>
      </c>
      <c r="L894" s="15">
        <v>36913781</v>
      </c>
      <c r="M894" t="s" s="13">
        <v>8430</v>
      </c>
      <c r="N894" s="15">
        <v>276513</v>
      </c>
      <c r="O894" s="17" cm="1">
        <f t="array" ref="O894">(H894-H893)/H893</f>
        <v>-0.00703851261620186</v>
      </c>
    </row>
    <row r="895" ht="13.65" customHeight="1">
      <c r="A895" s="18">
        <v>45555</v>
      </c>
      <c r="B895" t="s" s="13">
        <v>22</v>
      </c>
      <c r="C895" s="15">
        <v>151</v>
      </c>
      <c r="D895" s="15">
        <v>153.34</v>
      </c>
      <c r="E895" s="15">
        <v>150.65</v>
      </c>
      <c r="F895" s="15">
        <v>149.54</v>
      </c>
      <c r="G895" s="15">
        <v>152.1</v>
      </c>
      <c r="H895" s="15">
        <v>152.02</v>
      </c>
      <c r="I895" s="15">
        <v>152.14</v>
      </c>
      <c r="J895" s="15">
        <v>184.6</v>
      </c>
      <c r="K895" s="15">
        <v>114.6</v>
      </c>
      <c r="L895" s="15">
        <v>53873369</v>
      </c>
      <c r="M895" t="s" s="13">
        <v>8431</v>
      </c>
      <c r="N895" s="15">
        <v>275747</v>
      </c>
      <c r="O895" s="17" cm="1">
        <f t="array" ref="O895">(H895-H894)/H894</f>
        <v>0.0165841915206634</v>
      </c>
    </row>
    <row r="896" ht="13.65" customHeight="1">
      <c r="A896" s="18">
        <v>45558</v>
      </c>
      <c r="B896" t="s" s="13">
        <v>22</v>
      </c>
      <c r="C896" s="15">
        <v>154.38</v>
      </c>
      <c r="D896" s="15">
        <v>154.39</v>
      </c>
      <c r="E896" s="15">
        <v>152.8</v>
      </c>
      <c r="F896" s="15">
        <v>152.02</v>
      </c>
      <c r="G896" s="15">
        <v>153.85</v>
      </c>
      <c r="H896" s="15">
        <v>153.99</v>
      </c>
      <c r="I896" s="15">
        <v>153.57</v>
      </c>
      <c r="J896" s="15">
        <v>184.6</v>
      </c>
      <c r="K896" s="15">
        <v>114.6</v>
      </c>
      <c r="L896" s="15">
        <v>33281905</v>
      </c>
      <c r="M896" t="s" s="13">
        <v>8432</v>
      </c>
      <c r="N896" s="15">
        <v>232550</v>
      </c>
      <c r="O896" s="17" cm="1">
        <f t="array" ref="O896">(H896-H895)/H895</f>
        <v>0.0129588212077358</v>
      </c>
    </row>
    <row r="897" ht="13.65" customHeight="1">
      <c r="A897" s="18">
        <v>45559</v>
      </c>
      <c r="B897" t="s" s="13">
        <v>22</v>
      </c>
      <c r="C897" s="15">
        <v>155.15</v>
      </c>
      <c r="D897" s="15">
        <v>161.5</v>
      </c>
      <c r="E897" s="15">
        <v>154.85</v>
      </c>
      <c r="F897" s="15">
        <v>153.99</v>
      </c>
      <c r="G897" s="15">
        <v>160.65</v>
      </c>
      <c r="H897" s="15">
        <v>160.53</v>
      </c>
      <c r="I897" s="15">
        <v>159.11</v>
      </c>
      <c r="J897" s="15">
        <v>184.6</v>
      </c>
      <c r="K897" s="15">
        <v>114.6</v>
      </c>
      <c r="L897" s="15">
        <v>137414352</v>
      </c>
      <c r="M897" t="s" s="13">
        <v>8433</v>
      </c>
      <c r="N897" s="15">
        <v>560847</v>
      </c>
      <c r="O897" s="17" cm="1">
        <f t="array" ref="O897">(H897-H896)/H896</f>
        <v>0.0424702902785895</v>
      </c>
    </row>
    <row r="898" ht="13.65" customHeight="1">
      <c r="A898" s="18">
        <v>45560</v>
      </c>
      <c r="B898" t="s" s="13">
        <v>22</v>
      </c>
      <c r="C898" s="15">
        <v>161.5</v>
      </c>
      <c r="D898" s="15">
        <v>162.69</v>
      </c>
      <c r="E898" s="15">
        <v>159.52</v>
      </c>
      <c r="F898" s="15">
        <v>160.53</v>
      </c>
      <c r="G898" s="15">
        <v>161.53</v>
      </c>
      <c r="H898" s="15">
        <v>161.66</v>
      </c>
      <c r="I898" s="15">
        <v>161.19</v>
      </c>
      <c r="J898" s="15">
        <v>184.6</v>
      </c>
      <c r="K898" s="15">
        <v>114.6</v>
      </c>
      <c r="L898" s="15">
        <v>58044967</v>
      </c>
      <c r="M898" t="s" s="13">
        <v>8434</v>
      </c>
      <c r="N898" s="15">
        <v>345741</v>
      </c>
      <c r="O898" s="17" cm="1">
        <f t="array" ref="O898">(H898-H897)/H897</f>
        <v>0.00703918270728213</v>
      </c>
    </row>
    <row r="899" ht="13.65" customHeight="1">
      <c r="A899" s="18">
        <v>45561</v>
      </c>
      <c r="B899" t="s" s="13">
        <v>22</v>
      </c>
      <c r="C899" s="15">
        <v>162</v>
      </c>
      <c r="D899" s="15">
        <v>165.9</v>
      </c>
      <c r="E899" s="15">
        <v>160.48</v>
      </c>
      <c r="F899" s="15">
        <v>161.66</v>
      </c>
      <c r="G899" s="15">
        <v>165.41</v>
      </c>
      <c r="H899" s="15">
        <v>165.61</v>
      </c>
      <c r="I899" s="15">
        <v>164.02</v>
      </c>
      <c r="J899" s="15">
        <v>184.6</v>
      </c>
      <c r="K899" s="15">
        <v>114.6</v>
      </c>
      <c r="L899" s="15">
        <v>88661662</v>
      </c>
      <c r="M899" t="s" s="13">
        <v>8435</v>
      </c>
      <c r="N899" s="15">
        <v>402853</v>
      </c>
      <c r="O899" s="17" cm="1">
        <f t="array" ref="O899">(H899-H898)/H898</f>
        <v>0.0244339972782383</v>
      </c>
    </row>
    <row r="900" ht="13.65" customHeight="1">
      <c r="A900" s="18">
        <v>45562</v>
      </c>
      <c r="B900" t="s" s="13">
        <v>22</v>
      </c>
      <c r="C900" s="15">
        <v>167</v>
      </c>
      <c r="D900" s="15">
        <v>169.01</v>
      </c>
      <c r="E900" s="15">
        <v>165.89</v>
      </c>
      <c r="F900" s="15">
        <v>165.61</v>
      </c>
      <c r="G900" s="15">
        <v>166.13</v>
      </c>
      <c r="H900" s="15">
        <v>166.55</v>
      </c>
      <c r="I900" s="15">
        <v>167.16</v>
      </c>
      <c r="J900" s="15">
        <v>184.6</v>
      </c>
      <c r="K900" s="15">
        <v>114.6</v>
      </c>
      <c r="L900" s="15">
        <v>72795668</v>
      </c>
      <c r="M900" t="s" s="13">
        <v>8436</v>
      </c>
      <c r="N900" s="15">
        <v>390367</v>
      </c>
      <c r="O900" s="17" cm="1">
        <f t="array" ref="O900">(H900-H899)/H899</f>
        <v>0.0056759857496528</v>
      </c>
    </row>
    <row r="901" ht="13.65" customHeight="1">
      <c r="A901" s="18">
        <v>45565</v>
      </c>
      <c r="B901" t="s" s="13">
        <v>22</v>
      </c>
      <c r="C901" s="15">
        <v>167.5</v>
      </c>
      <c r="D901" s="15">
        <v>170.18</v>
      </c>
      <c r="E901" s="15">
        <v>167.26</v>
      </c>
      <c r="F901" s="15">
        <v>166.55</v>
      </c>
      <c r="G901" s="15">
        <v>168.11</v>
      </c>
      <c r="H901" s="15">
        <v>168.55</v>
      </c>
      <c r="I901" s="15">
        <v>169.02</v>
      </c>
      <c r="J901" s="15">
        <v>184.6</v>
      </c>
      <c r="K901" s="15">
        <v>114.6</v>
      </c>
      <c r="L901" s="15">
        <v>92381529</v>
      </c>
      <c r="M901" t="s" s="13">
        <v>8437</v>
      </c>
      <c r="N901" s="15">
        <v>440055</v>
      </c>
      <c r="O901" s="17" cm="1">
        <f t="array" ref="O901">(H901-H900)/H900</f>
        <v>0.0120084058841189</v>
      </c>
    </row>
    <row r="902" ht="13.65" customHeight="1">
      <c r="A902" s="12">
        <v>45566</v>
      </c>
      <c r="B902" t="s" s="13">
        <v>22</v>
      </c>
      <c r="C902" s="15">
        <v>169.49</v>
      </c>
      <c r="D902" s="15">
        <v>169.49</v>
      </c>
      <c r="E902" s="15">
        <v>165.1</v>
      </c>
      <c r="F902" s="15">
        <v>168.55</v>
      </c>
      <c r="G902" s="15">
        <v>166.7</v>
      </c>
      <c r="H902" s="15">
        <v>167.03</v>
      </c>
      <c r="I902" s="15">
        <v>167.13</v>
      </c>
      <c r="J902" s="15">
        <v>184.6</v>
      </c>
      <c r="K902" s="15">
        <v>114.6</v>
      </c>
      <c r="L902" s="15">
        <v>50761579</v>
      </c>
      <c r="M902" t="s" s="13">
        <v>8438</v>
      </c>
      <c r="N902" s="15">
        <v>285911</v>
      </c>
      <c r="O902" s="17" cm="1">
        <f t="array" ref="O902">(H902-H901)/H901</f>
        <v>-0.009018095520617031</v>
      </c>
    </row>
    <row r="903" ht="13.65" customHeight="1">
      <c r="A903" s="12">
        <v>45568</v>
      </c>
      <c r="B903" t="s" s="13">
        <v>22</v>
      </c>
      <c r="C903" s="15">
        <v>165.5</v>
      </c>
      <c r="D903" s="15">
        <v>169.99</v>
      </c>
      <c r="E903" s="15">
        <v>164.52</v>
      </c>
      <c r="F903" s="15">
        <v>167.03</v>
      </c>
      <c r="G903" s="15">
        <v>166.99</v>
      </c>
      <c r="H903" s="15">
        <v>166.98</v>
      </c>
      <c r="I903" s="15">
        <v>167.92</v>
      </c>
      <c r="J903" s="15">
        <v>184.6</v>
      </c>
      <c r="K903" s="15">
        <v>114.6</v>
      </c>
      <c r="L903" s="15">
        <v>75959797</v>
      </c>
      <c r="M903" t="s" s="13">
        <v>8439</v>
      </c>
      <c r="N903" s="15">
        <v>475585</v>
      </c>
      <c r="O903" s="17" cm="1">
        <f t="array" ref="O903">(H903-H902)/H902</f>
        <v>-0.000299347422618691</v>
      </c>
    </row>
    <row r="904" ht="13.65" customHeight="1">
      <c r="A904" s="12">
        <v>45569</v>
      </c>
      <c r="B904" t="s" s="13">
        <v>22</v>
      </c>
      <c r="C904" s="15">
        <v>167</v>
      </c>
      <c r="D904" s="15">
        <v>169.1</v>
      </c>
      <c r="E904" s="15">
        <v>164</v>
      </c>
      <c r="F904" s="15">
        <v>166.98</v>
      </c>
      <c r="G904" s="15">
        <v>166.92</v>
      </c>
      <c r="H904" s="15">
        <v>166.75</v>
      </c>
      <c r="I904" s="15">
        <v>166.97</v>
      </c>
      <c r="J904" s="15">
        <v>184.6</v>
      </c>
      <c r="K904" s="15">
        <v>114.6</v>
      </c>
      <c r="L904" s="15">
        <v>53880875</v>
      </c>
      <c r="M904" t="s" s="13">
        <v>8440</v>
      </c>
      <c r="N904" s="15">
        <v>325032</v>
      </c>
      <c r="O904" s="17" cm="1">
        <f t="array" ref="O904">(H904-H903)/H903</f>
        <v>-0.00137741046831956</v>
      </c>
    </row>
    <row r="905" ht="13.65" customHeight="1">
      <c r="A905" s="12">
        <v>45572</v>
      </c>
      <c r="B905" t="s" s="13">
        <v>22</v>
      </c>
      <c r="C905" s="15">
        <v>167.1</v>
      </c>
      <c r="D905" s="15">
        <v>167.95</v>
      </c>
      <c r="E905" s="15">
        <v>162.33</v>
      </c>
      <c r="F905" s="15">
        <v>166.75</v>
      </c>
      <c r="G905" s="15">
        <v>164.08</v>
      </c>
      <c r="H905" s="15">
        <v>164.36</v>
      </c>
      <c r="I905" s="15">
        <v>164.93</v>
      </c>
      <c r="J905" s="15">
        <v>184.6</v>
      </c>
      <c r="K905" s="15">
        <v>114.6</v>
      </c>
      <c r="L905" s="15">
        <v>48775098</v>
      </c>
      <c r="M905" t="s" s="13">
        <v>8441</v>
      </c>
      <c r="N905" s="15">
        <v>374772</v>
      </c>
      <c r="O905" s="17" cm="1">
        <f t="array" ref="O905">(H905-H904)/H904</f>
        <v>-0.0143328335832084</v>
      </c>
    </row>
    <row r="906" ht="13.65" customHeight="1">
      <c r="A906" s="12">
        <v>45573</v>
      </c>
      <c r="B906" t="s" s="13">
        <v>22</v>
      </c>
      <c r="C906" s="15">
        <v>163</v>
      </c>
      <c r="D906" s="15">
        <v>163.59</v>
      </c>
      <c r="E906" s="15">
        <v>156.7</v>
      </c>
      <c r="F906" s="15">
        <v>164.36</v>
      </c>
      <c r="G906" s="15">
        <v>159.89</v>
      </c>
      <c r="H906" s="15">
        <v>159.52</v>
      </c>
      <c r="I906" s="15">
        <v>159.07</v>
      </c>
      <c r="J906" s="15">
        <v>184.6</v>
      </c>
      <c r="K906" s="15">
        <v>114.6</v>
      </c>
      <c r="L906" s="15">
        <v>74956764</v>
      </c>
      <c r="M906" t="s" s="13">
        <v>8442</v>
      </c>
      <c r="N906" s="15">
        <v>492897</v>
      </c>
      <c r="O906" s="17" cm="1">
        <f t="array" ref="O906">(H906-H905)/H905</f>
        <v>-0.0294475541494281</v>
      </c>
    </row>
    <row r="907" ht="13.65" customHeight="1">
      <c r="A907" s="12">
        <v>45574</v>
      </c>
      <c r="B907" t="s" s="13">
        <v>22</v>
      </c>
      <c r="C907" s="15">
        <v>159.52</v>
      </c>
      <c r="D907" s="15">
        <v>162.2</v>
      </c>
      <c r="E907" s="15">
        <v>158.11</v>
      </c>
      <c r="F907" s="15">
        <v>159.52</v>
      </c>
      <c r="G907" s="15">
        <v>158.3</v>
      </c>
      <c r="H907" s="15">
        <v>159.06</v>
      </c>
      <c r="I907" s="15">
        <v>160.33</v>
      </c>
      <c r="J907" s="15">
        <v>184.6</v>
      </c>
      <c r="K907" s="15">
        <v>114.6</v>
      </c>
      <c r="L907" s="15">
        <v>42766218</v>
      </c>
      <c r="M907" t="s" s="13">
        <v>8443</v>
      </c>
      <c r="N907" s="15">
        <v>247518</v>
      </c>
      <c r="O907" s="17" cm="1">
        <f t="array" ref="O907">(H907-H906)/H906</f>
        <v>-0.00288365095285858</v>
      </c>
    </row>
    <row r="908" ht="13.65" customHeight="1">
      <c r="A908" s="18">
        <v>45575</v>
      </c>
      <c r="B908" t="s" s="13">
        <v>22</v>
      </c>
      <c r="C908" s="15">
        <v>158.3</v>
      </c>
      <c r="D908" s="15">
        <v>161.18</v>
      </c>
      <c r="E908" s="15">
        <v>156.6</v>
      </c>
      <c r="F908" s="15">
        <v>159.06</v>
      </c>
      <c r="G908" s="15">
        <v>159.99</v>
      </c>
      <c r="H908" s="15">
        <v>159.72</v>
      </c>
      <c r="I908" s="15">
        <v>159.82</v>
      </c>
      <c r="J908" s="15">
        <v>184.6</v>
      </c>
      <c r="K908" s="15">
        <v>114.6</v>
      </c>
      <c r="L908" s="15">
        <v>46507936</v>
      </c>
      <c r="M908" t="s" s="13">
        <v>8444</v>
      </c>
      <c r="N908" s="15">
        <v>285169</v>
      </c>
      <c r="O908" s="17" cm="1">
        <f t="array" ref="O908">(H908-H907)/H907</f>
        <v>0.004149377593361</v>
      </c>
    </row>
    <row r="909" ht="13.65" customHeight="1">
      <c r="A909" s="18">
        <v>45576</v>
      </c>
      <c r="B909" t="s" s="13">
        <v>22</v>
      </c>
      <c r="C909" s="15">
        <v>159.3</v>
      </c>
      <c r="D909" s="15">
        <v>163.78</v>
      </c>
      <c r="E909" s="15">
        <v>159.2</v>
      </c>
      <c r="F909" s="15">
        <v>159.72</v>
      </c>
      <c r="G909" s="15">
        <v>160.85</v>
      </c>
      <c r="H909" s="15">
        <v>160.66</v>
      </c>
      <c r="I909" s="15">
        <v>161.54</v>
      </c>
      <c r="J909" s="15">
        <v>184.6</v>
      </c>
      <c r="K909" s="15">
        <v>114.6</v>
      </c>
      <c r="L909" s="15">
        <v>53263433</v>
      </c>
      <c r="M909" t="s" s="13">
        <v>8445</v>
      </c>
      <c r="N909" s="15">
        <v>231565</v>
      </c>
      <c r="O909" s="17" cm="1">
        <f t="array" ref="O909">(H909-H908)/H908</f>
        <v>0.00588529927372903</v>
      </c>
    </row>
    <row r="910" ht="13.65" customHeight="1">
      <c r="A910" s="18">
        <v>45579</v>
      </c>
      <c r="B910" t="s" s="13">
        <v>22</v>
      </c>
      <c r="C910" s="15">
        <v>161.88</v>
      </c>
      <c r="D910" s="15">
        <v>163.38</v>
      </c>
      <c r="E910" s="15">
        <v>158.04</v>
      </c>
      <c r="F910" s="15">
        <v>160.66</v>
      </c>
      <c r="G910" s="15">
        <v>158.29</v>
      </c>
      <c r="H910" s="15">
        <v>158.32</v>
      </c>
      <c r="I910" s="15">
        <v>159.69</v>
      </c>
      <c r="J910" s="15">
        <v>184.6</v>
      </c>
      <c r="K910" s="15">
        <v>114.6</v>
      </c>
      <c r="L910" s="15">
        <v>35566857</v>
      </c>
      <c r="M910" t="s" s="13">
        <v>8446</v>
      </c>
      <c r="N910" s="15">
        <v>236374</v>
      </c>
      <c r="O910" s="17" cm="1">
        <f t="array" ref="O910">(H910-H909)/H909</f>
        <v>-0.0145649197062119</v>
      </c>
    </row>
    <row r="911" ht="13.65" customHeight="1">
      <c r="A911" s="18">
        <v>45580</v>
      </c>
      <c r="B911" t="s" s="13">
        <v>22</v>
      </c>
      <c r="C911" s="15">
        <v>159.5</v>
      </c>
      <c r="D911" s="15">
        <v>159.53</v>
      </c>
      <c r="E911" s="15">
        <v>155.05</v>
      </c>
      <c r="F911" s="15">
        <v>158.32</v>
      </c>
      <c r="G911" s="15">
        <v>155.66</v>
      </c>
      <c r="H911" s="15">
        <v>155.63</v>
      </c>
      <c r="I911" s="15">
        <v>156.14</v>
      </c>
      <c r="J911" s="15">
        <v>184.6</v>
      </c>
      <c r="K911" s="15">
        <v>114.6</v>
      </c>
      <c r="L911" s="15">
        <v>38964393</v>
      </c>
      <c r="M911" t="s" s="13">
        <v>8447</v>
      </c>
      <c r="N911" s="15">
        <v>261649</v>
      </c>
      <c r="O911" s="17" cm="1">
        <f t="array" ref="O911">(H911-H910)/H910</f>
        <v>-0.0169909044972208</v>
      </c>
    </row>
    <row r="912" ht="13.65" customHeight="1">
      <c r="A912" s="18">
        <v>45581</v>
      </c>
      <c r="B912" t="s" s="13">
        <v>22</v>
      </c>
      <c r="C912" s="15">
        <v>155.19</v>
      </c>
      <c r="D912" s="15">
        <v>156.55</v>
      </c>
      <c r="E912" s="15">
        <v>154.02</v>
      </c>
      <c r="F912" s="15">
        <v>155.63</v>
      </c>
      <c r="G912" s="15">
        <v>155.1</v>
      </c>
      <c r="H912" s="15">
        <v>155.24</v>
      </c>
      <c r="I912" s="15">
        <v>155.35</v>
      </c>
      <c r="J912" s="15">
        <v>184.6</v>
      </c>
      <c r="K912" s="15">
        <v>114.6</v>
      </c>
      <c r="L912" s="15">
        <v>28518262</v>
      </c>
      <c r="M912" t="s" s="13">
        <v>8448</v>
      </c>
      <c r="N912" s="15">
        <v>214491</v>
      </c>
      <c r="O912" s="17" cm="1">
        <f t="array" ref="O912">(H912-H911)/H911</f>
        <v>-0.00250594358414187</v>
      </c>
    </row>
    <row r="913" ht="13.65" customHeight="1">
      <c r="A913" s="18">
        <v>45582</v>
      </c>
      <c r="B913" t="s" s="13">
        <v>22</v>
      </c>
      <c r="C913" s="15">
        <v>155.65</v>
      </c>
      <c r="D913" s="15">
        <v>156.3</v>
      </c>
      <c r="E913" s="15">
        <v>152.1</v>
      </c>
      <c r="F913" s="15">
        <v>155.24</v>
      </c>
      <c r="G913" s="15">
        <v>152.5</v>
      </c>
      <c r="H913" s="15">
        <v>152.4</v>
      </c>
      <c r="I913" s="15">
        <v>153.63</v>
      </c>
      <c r="J913" s="15">
        <v>184.6</v>
      </c>
      <c r="K913" s="15">
        <v>114.6</v>
      </c>
      <c r="L913" s="15">
        <v>28404223</v>
      </c>
      <c r="M913" t="s" s="13">
        <v>8449</v>
      </c>
      <c r="N913" s="15">
        <v>187556</v>
      </c>
      <c r="O913" s="17" cm="1">
        <f t="array" ref="O913">(H913-H912)/H912</f>
        <v>-0.0182942540582324</v>
      </c>
    </row>
    <row r="914" ht="13.65" customHeight="1">
      <c r="A914" s="18">
        <v>45583</v>
      </c>
      <c r="B914" t="s" s="13">
        <v>22</v>
      </c>
      <c r="C914" s="15">
        <v>152.4</v>
      </c>
      <c r="D914" s="15">
        <v>156.2</v>
      </c>
      <c r="E914" s="15">
        <v>151.1</v>
      </c>
      <c r="F914" s="15">
        <v>152.4</v>
      </c>
      <c r="G914" s="15">
        <v>155.5</v>
      </c>
      <c r="H914" s="15">
        <v>155.39</v>
      </c>
      <c r="I914" s="15">
        <v>154.3</v>
      </c>
      <c r="J914" s="15">
        <v>184.6</v>
      </c>
      <c r="K914" s="15">
        <v>114.6</v>
      </c>
      <c r="L914" s="15">
        <v>34750795</v>
      </c>
      <c r="M914" t="s" s="13">
        <v>8450</v>
      </c>
      <c r="N914" s="15">
        <v>212619</v>
      </c>
      <c r="O914" s="17" cm="1">
        <f t="array" ref="O914">(H914-H913)/H913</f>
        <v>0.0196194225721785</v>
      </c>
    </row>
    <row r="915" ht="13.65" customHeight="1">
      <c r="A915" s="18">
        <v>45586</v>
      </c>
      <c r="B915" t="s" s="13">
        <v>22</v>
      </c>
      <c r="C915" s="15">
        <v>156.1</v>
      </c>
      <c r="D915" s="15">
        <v>157.93</v>
      </c>
      <c r="E915" s="15">
        <v>154.59</v>
      </c>
      <c r="F915" s="15">
        <v>155.39</v>
      </c>
      <c r="G915" s="15">
        <v>155</v>
      </c>
      <c r="H915" s="15">
        <v>155.03</v>
      </c>
      <c r="I915" s="15">
        <v>155.43</v>
      </c>
      <c r="J915" s="15">
        <v>184.6</v>
      </c>
      <c r="K915" s="15">
        <v>114.6</v>
      </c>
      <c r="L915" s="15">
        <v>25799090</v>
      </c>
      <c r="M915" t="s" s="13">
        <v>8451</v>
      </c>
      <c r="N915" s="15">
        <v>196995</v>
      </c>
      <c r="O915" s="17" cm="1">
        <f t="array" ref="O915">(H915-H914)/H914</f>
        <v>-0.00231675139970397</v>
      </c>
    </row>
    <row r="916" ht="13.65" customHeight="1">
      <c r="A916" s="18">
        <v>45587</v>
      </c>
      <c r="B916" t="s" s="13">
        <v>22</v>
      </c>
      <c r="C916" s="15">
        <v>154.9</v>
      </c>
      <c r="D916" s="15">
        <v>154.9</v>
      </c>
      <c r="E916" s="15">
        <v>150.1</v>
      </c>
      <c r="F916" s="15">
        <v>155.03</v>
      </c>
      <c r="G916" s="15">
        <v>150.9</v>
      </c>
      <c r="H916" s="15">
        <v>150.39</v>
      </c>
      <c r="I916" s="15">
        <v>151.88</v>
      </c>
      <c r="J916" s="15">
        <v>184.6</v>
      </c>
      <c r="K916" s="15">
        <v>114.6</v>
      </c>
      <c r="L916" s="15">
        <v>39079846</v>
      </c>
      <c r="M916" t="s" s="13">
        <v>8452</v>
      </c>
      <c r="N916" s="15">
        <v>228867</v>
      </c>
      <c r="O916" s="17" cm="1">
        <f t="array" ref="O916">(H916-H915)/H915</f>
        <v>-0.0299296910275431</v>
      </c>
    </row>
    <row r="917" ht="13.65" customHeight="1">
      <c r="A917" s="18">
        <v>45588</v>
      </c>
      <c r="B917" t="s" s="13">
        <v>22</v>
      </c>
      <c r="C917" s="15">
        <v>150.3</v>
      </c>
      <c r="D917" s="15">
        <v>151.95</v>
      </c>
      <c r="E917" s="15">
        <v>148.05</v>
      </c>
      <c r="F917" s="15">
        <v>150.39</v>
      </c>
      <c r="G917" s="15">
        <v>148.69</v>
      </c>
      <c r="H917" s="15">
        <v>148.78</v>
      </c>
      <c r="I917" s="15">
        <v>149.84</v>
      </c>
      <c r="J917" s="15">
        <v>184.6</v>
      </c>
      <c r="K917" s="15">
        <v>114.6</v>
      </c>
      <c r="L917" s="15">
        <v>42107893</v>
      </c>
      <c r="M917" t="s" s="13">
        <v>8453</v>
      </c>
      <c r="N917" s="15">
        <v>245073</v>
      </c>
      <c r="O917" s="17" cm="1">
        <f t="array" ref="O917">(H917-H916)/H916</f>
        <v>-0.0107054990358401</v>
      </c>
    </row>
    <row r="918" ht="13.65" customHeight="1">
      <c r="A918" s="18">
        <v>45589</v>
      </c>
      <c r="B918" t="s" s="13">
        <v>22</v>
      </c>
      <c r="C918" s="15">
        <v>149.49</v>
      </c>
      <c r="D918" s="15">
        <v>149.83</v>
      </c>
      <c r="E918" s="15">
        <v>148.01</v>
      </c>
      <c r="F918" s="15">
        <v>148.78</v>
      </c>
      <c r="G918" s="15">
        <v>149.06</v>
      </c>
      <c r="H918" s="15">
        <v>148.98</v>
      </c>
      <c r="I918" s="15">
        <v>148.92</v>
      </c>
      <c r="J918" s="15">
        <v>184.6</v>
      </c>
      <c r="K918" s="15">
        <v>114.6</v>
      </c>
      <c r="L918" s="15">
        <v>22115070</v>
      </c>
      <c r="M918" t="s" s="13">
        <v>8454</v>
      </c>
      <c r="N918" s="15">
        <v>209076</v>
      </c>
      <c r="O918" s="17" cm="1">
        <f t="array" ref="O918">(H918-H917)/H917</f>
        <v>0.00134426670251378</v>
      </c>
    </row>
    <row r="919" ht="13.65" customHeight="1">
      <c r="A919" s="18">
        <v>45590</v>
      </c>
      <c r="B919" t="s" s="13">
        <v>22</v>
      </c>
      <c r="C919" s="15">
        <v>149</v>
      </c>
      <c r="D919" s="15">
        <v>149.5</v>
      </c>
      <c r="E919" s="15">
        <v>144.43</v>
      </c>
      <c r="F919" s="15">
        <v>148.98</v>
      </c>
      <c r="G919" s="15">
        <v>146.25</v>
      </c>
      <c r="H919" s="15">
        <v>145.86</v>
      </c>
      <c r="I919" s="15">
        <v>145.89</v>
      </c>
      <c r="J919" s="15">
        <v>184.6</v>
      </c>
      <c r="K919" s="15">
        <v>114.6</v>
      </c>
      <c r="L919" s="15">
        <v>39730802</v>
      </c>
      <c r="M919" t="s" s="13">
        <v>8455</v>
      </c>
      <c r="N919" s="15">
        <v>302722</v>
      </c>
      <c r="O919" s="17" cm="1">
        <f t="array" ref="O919">(H919-H918)/H918</f>
        <v>-0.0209424083769634</v>
      </c>
    </row>
    <row r="920" ht="13.65" customHeight="1">
      <c r="A920" s="18">
        <v>45593</v>
      </c>
      <c r="B920" t="s" s="13">
        <v>22</v>
      </c>
      <c r="C920" s="15">
        <v>146</v>
      </c>
      <c r="D920" s="15">
        <v>149.73</v>
      </c>
      <c r="E920" s="15">
        <v>144.73</v>
      </c>
      <c r="F920" s="15">
        <v>145.86</v>
      </c>
      <c r="G920" s="15">
        <v>149.5</v>
      </c>
      <c r="H920" s="15">
        <v>149.38</v>
      </c>
      <c r="I920" s="15">
        <v>148.11</v>
      </c>
      <c r="J920" s="15">
        <v>184.6</v>
      </c>
      <c r="K920" s="15">
        <v>114.6</v>
      </c>
      <c r="L920" s="15">
        <v>28386897</v>
      </c>
      <c r="M920" t="s" s="13">
        <v>8456</v>
      </c>
      <c r="N920" s="15">
        <v>202518</v>
      </c>
      <c r="O920" s="17" cm="1">
        <f t="array" ref="O920">(H920-H919)/H919</f>
        <v>0.024132730015083</v>
      </c>
    </row>
    <row r="921" ht="13.65" customHeight="1">
      <c r="A921" s="18">
        <v>45594</v>
      </c>
      <c r="B921" t="s" s="13">
        <v>22</v>
      </c>
      <c r="C921" s="15">
        <v>149.85</v>
      </c>
      <c r="D921" s="15">
        <v>150.45</v>
      </c>
      <c r="E921" s="15">
        <v>146.55</v>
      </c>
      <c r="F921" s="15">
        <v>149.38</v>
      </c>
      <c r="G921" s="15">
        <v>150.1</v>
      </c>
      <c r="H921" s="15">
        <v>150.06</v>
      </c>
      <c r="I921" s="15">
        <v>148.24</v>
      </c>
      <c r="J921" s="15">
        <v>184.6</v>
      </c>
      <c r="K921" s="15">
        <v>114.6</v>
      </c>
      <c r="L921" s="15">
        <v>32258407</v>
      </c>
      <c r="M921" t="s" s="13">
        <v>8457</v>
      </c>
      <c r="N921" s="15">
        <v>278118</v>
      </c>
      <c r="O921" s="17" cm="1">
        <f t="array" ref="O921">(H921-H920)/H920</f>
        <v>0.00455214888204579</v>
      </c>
    </row>
    <row r="922" ht="13.65" customHeight="1">
      <c r="A922" s="18">
        <v>45595</v>
      </c>
      <c r="B922" t="s" s="13">
        <v>22</v>
      </c>
      <c r="C922" s="15">
        <v>148.1</v>
      </c>
      <c r="D922" s="15">
        <v>150.95</v>
      </c>
      <c r="E922" s="15">
        <v>148.1</v>
      </c>
      <c r="F922" s="15">
        <v>150.06</v>
      </c>
      <c r="G922" s="15">
        <v>148.85</v>
      </c>
      <c r="H922" s="15">
        <v>148.97</v>
      </c>
      <c r="I922" s="15">
        <v>149.65</v>
      </c>
      <c r="J922" s="15">
        <v>184.6</v>
      </c>
      <c r="K922" s="15">
        <v>114.6</v>
      </c>
      <c r="L922" s="15">
        <v>21362130</v>
      </c>
      <c r="M922" t="s" s="13">
        <v>8458</v>
      </c>
      <c r="N922" s="15">
        <v>179907</v>
      </c>
      <c r="O922" s="17" cm="1">
        <f t="array" ref="O922">(H922-H921)/H921</f>
        <v>-0.00726376116220179</v>
      </c>
    </row>
    <row r="923" ht="13.65" customHeight="1">
      <c r="A923" s="18">
        <v>45596</v>
      </c>
      <c r="B923" t="s" s="13">
        <v>22</v>
      </c>
      <c r="C923" s="15">
        <v>149.08</v>
      </c>
      <c r="D923" s="15">
        <v>149.95</v>
      </c>
      <c r="E923" s="15">
        <v>148.2</v>
      </c>
      <c r="F923" s="15">
        <v>148.97</v>
      </c>
      <c r="G923" s="15">
        <v>148.33</v>
      </c>
      <c r="H923" s="15">
        <v>148.56</v>
      </c>
      <c r="I923" s="15">
        <v>148.87</v>
      </c>
      <c r="J923" s="15">
        <v>184.6</v>
      </c>
      <c r="K923" s="15">
        <v>114.6</v>
      </c>
      <c r="L923" s="15">
        <v>26383702</v>
      </c>
      <c r="M923" t="s" s="13">
        <v>8459</v>
      </c>
      <c r="N923" s="15">
        <v>192116</v>
      </c>
      <c r="O923" s="17" cm="1">
        <f t="array" ref="O923">(H923-H922)/H922</f>
        <v>-0.00275223199301873</v>
      </c>
    </row>
    <row r="924" ht="13.65" customHeight="1">
      <c r="A924" s="12">
        <v>45597</v>
      </c>
      <c r="B924" t="s" s="13">
        <v>22</v>
      </c>
      <c r="C924" s="15">
        <v>149.66</v>
      </c>
      <c r="D924" s="15">
        <v>150.25</v>
      </c>
      <c r="E924" s="15">
        <v>149</v>
      </c>
      <c r="F924" s="15">
        <v>148.56</v>
      </c>
      <c r="G924" s="15">
        <v>149.7</v>
      </c>
      <c r="H924" s="15">
        <v>149.75</v>
      </c>
      <c r="I924" s="15">
        <v>149.85</v>
      </c>
      <c r="J924" s="15">
        <v>184.6</v>
      </c>
      <c r="K924" s="15">
        <v>114.6</v>
      </c>
      <c r="L924" s="15">
        <v>5106804</v>
      </c>
      <c r="M924" t="s" s="13">
        <v>8460</v>
      </c>
      <c r="N924" s="15">
        <v>90862</v>
      </c>
      <c r="O924" s="17" cm="1">
        <f t="array" ref="O924">(H924-H923)/H923</f>
        <v>0.00801023155627356</v>
      </c>
    </row>
    <row r="925" ht="13.65" customHeight="1">
      <c r="A925" s="12">
        <v>45600</v>
      </c>
      <c r="B925" t="s" s="13">
        <v>22</v>
      </c>
      <c r="C925" s="15">
        <v>150</v>
      </c>
      <c r="D925" s="15">
        <v>150</v>
      </c>
      <c r="E925" s="15">
        <v>145.1</v>
      </c>
      <c r="F925" s="15">
        <v>149.75</v>
      </c>
      <c r="G925" s="15">
        <v>147.1</v>
      </c>
      <c r="H925" s="15">
        <v>146.95</v>
      </c>
      <c r="I925" s="15">
        <v>146.86</v>
      </c>
      <c r="J925" s="15">
        <v>184.6</v>
      </c>
      <c r="K925" s="15">
        <v>117.5</v>
      </c>
      <c r="L925" s="15">
        <v>25571021</v>
      </c>
      <c r="M925" t="s" s="13">
        <v>8461</v>
      </c>
      <c r="N925" s="15">
        <v>287395</v>
      </c>
      <c r="O925" s="17" cm="1">
        <f t="array" ref="O925">(H925-H924)/H924</f>
        <v>-0.0186978297161937</v>
      </c>
    </row>
    <row r="926" ht="13.65" customHeight="1">
      <c r="A926" s="12">
        <v>45601</v>
      </c>
      <c r="B926" t="s" s="13">
        <v>22</v>
      </c>
      <c r="C926" s="15">
        <v>147</v>
      </c>
      <c r="D926" s="15">
        <v>152.55</v>
      </c>
      <c r="E926" s="15">
        <v>146.95</v>
      </c>
      <c r="F926" s="15">
        <v>146.95</v>
      </c>
      <c r="G926" s="15">
        <v>152.45</v>
      </c>
      <c r="H926" s="15">
        <v>152.29</v>
      </c>
      <c r="I926" s="15">
        <v>150.69</v>
      </c>
      <c r="J926" s="15">
        <v>184.6</v>
      </c>
      <c r="K926" s="15">
        <v>117.5</v>
      </c>
      <c r="L926" s="15">
        <v>42772283</v>
      </c>
      <c r="M926" t="s" s="13">
        <v>8462</v>
      </c>
      <c r="N926" s="15">
        <v>244601</v>
      </c>
      <c r="O926" s="17" cm="1">
        <f t="array" ref="O926">(H926-H925)/H925</f>
        <v>0.0363388907791766</v>
      </c>
    </row>
    <row r="927" ht="13.65" customHeight="1">
      <c r="A927" s="12">
        <v>45602</v>
      </c>
      <c r="B927" t="s" s="13">
        <v>22</v>
      </c>
      <c r="C927" s="15">
        <v>154</v>
      </c>
      <c r="D927" s="15">
        <v>154.95</v>
      </c>
      <c r="E927" s="15">
        <v>149.59</v>
      </c>
      <c r="F927" s="15">
        <v>152.29</v>
      </c>
      <c r="G927" s="15">
        <v>153.81</v>
      </c>
      <c r="H927" s="15">
        <v>153.62</v>
      </c>
      <c r="I927" s="15">
        <v>151.73</v>
      </c>
      <c r="J927" s="15">
        <v>184.6</v>
      </c>
      <c r="K927" s="15">
        <v>117.5</v>
      </c>
      <c r="L927" s="15">
        <v>48928986</v>
      </c>
      <c r="M927" t="s" s="13">
        <v>8463</v>
      </c>
      <c r="N927" s="15">
        <v>261381</v>
      </c>
      <c r="O927" s="17" cm="1">
        <f t="array" ref="O927">(H927-H926)/H926</f>
        <v>0.008733337710946219</v>
      </c>
    </row>
    <row r="928" ht="13.65" customHeight="1">
      <c r="A928" s="12">
        <v>45603</v>
      </c>
      <c r="B928" t="s" s="13">
        <v>22</v>
      </c>
      <c r="C928" s="15">
        <v>156.11</v>
      </c>
      <c r="D928" s="15">
        <v>156.92</v>
      </c>
      <c r="E928" s="15">
        <v>150.2</v>
      </c>
      <c r="F928" s="15">
        <v>153.62</v>
      </c>
      <c r="G928" s="15">
        <v>151.15</v>
      </c>
      <c r="H928" s="15">
        <v>150.95</v>
      </c>
      <c r="I928" s="15">
        <v>153.48</v>
      </c>
      <c r="J928" s="15">
        <v>184.6</v>
      </c>
      <c r="K928" s="15">
        <v>117.5</v>
      </c>
      <c r="L928" s="15">
        <v>88254789</v>
      </c>
      <c r="M928" t="s" s="13">
        <v>8464</v>
      </c>
      <c r="N928" s="15">
        <v>373011</v>
      </c>
      <c r="O928" s="17" cm="1">
        <f t="array" ref="O928">(H928-H927)/H927</f>
        <v>-0.0173805494076292</v>
      </c>
    </row>
    <row r="929" ht="13.65" customHeight="1">
      <c r="A929" s="12">
        <v>45604</v>
      </c>
      <c r="B929" t="s" s="13">
        <v>22</v>
      </c>
      <c r="C929" s="15">
        <v>152</v>
      </c>
      <c r="D929" s="15">
        <v>152</v>
      </c>
      <c r="E929" s="15">
        <v>146.94</v>
      </c>
      <c r="F929" s="15">
        <v>150.95</v>
      </c>
      <c r="G929" s="15">
        <v>147.3</v>
      </c>
      <c r="H929" s="15">
        <v>147.57</v>
      </c>
      <c r="I929" s="15">
        <v>149.2</v>
      </c>
      <c r="J929" s="15">
        <v>184.6</v>
      </c>
      <c r="K929" s="15">
        <v>117.5</v>
      </c>
      <c r="L929" s="15">
        <v>61980989</v>
      </c>
      <c r="M929" t="s" s="13">
        <v>8465</v>
      </c>
      <c r="N929" s="15">
        <v>288855</v>
      </c>
      <c r="O929" s="17" cm="1">
        <f t="array" ref="O929">(H929-H928)/H928</f>
        <v>-0.0223915203709838</v>
      </c>
    </row>
    <row r="930" ht="13.65" customHeight="1">
      <c r="A930" s="18">
        <v>45607</v>
      </c>
      <c r="B930" t="s" s="13">
        <v>22</v>
      </c>
      <c r="C930" s="15">
        <v>147.57</v>
      </c>
      <c r="D930" s="15">
        <v>147.69</v>
      </c>
      <c r="E930" s="15">
        <v>144.1</v>
      </c>
      <c r="F930" s="15">
        <v>147.57</v>
      </c>
      <c r="G930" s="15">
        <v>145.3</v>
      </c>
      <c r="H930" s="15">
        <v>145.01</v>
      </c>
      <c r="I930" s="15">
        <v>145.58</v>
      </c>
      <c r="J930" s="15">
        <v>184.6</v>
      </c>
      <c r="K930" s="15">
        <v>119.9</v>
      </c>
      <c r="L930" s="15">
        <v>47497863</v>
      </c>
      <c r="M930" t="s" s="13">
        <v>8466</v>
      </c>
      <c r="N930" s="15">
        <v>315622</v>
      </c>
      <c r="O930" s="17" cm="1">
        <f t="array" ref="O930">(H930-H929)/H929</f>
        <v>-0.0173476993968964</v>
      </c>
    </row>
    <row r="931" ht="13.65" customHeight="1">
      <c r="A931" s="18">
        <v>45608</v>
      </c>
      <c r="B931" t="s" s="13">
        <v>22</v>
      </c>
      <c r="C931" s="15">
        <v>145.65</v>
      </c>
      <c r="D931" s="15">
        <v>147.13</v>
      </c>
      <c r="E931" s="15">
        <v>143.6</v>
      </c>
      <c r="F931" s="15">
        <v>145.01</v>
      </c>
      <c r="G931" s="15">
        <v>143.9</v>
      </c>
      <c r="H931" s="15">
        <v>144.17</v>
      </c>
      <c r="I931" s="15">
        <v>145.51</v>
      </c>
      <c r="J931" s="15">
        <v>184.6</v>
      </c>
      <c r="K931" s="15">
        <v>119.9</v>
      </c>
      <c r="L931" s="15">
        <v>28861672</v>
      </c>
      <c r="M931" t="s" s="13">
        <v>8467</v>
      </c>
      <c r="N931" s="15">
        <v>246899</v>
      </c>
      <c r="O931" s="17" cm="1">
        <f t="array" ref="O931">(H931-H930)/H930</f>
        <v>-0.00579270395145162</v>
      </c>
    </row>
    <row r="932" ht="13.65" customHeight="1">
      <c r="A932" s="18">
        <v>45609</v>
      </c>
      <c r="B932" t="s" s="13">
        <v>22</v>
      </c>
      <c r="C932" s="15">
        <v>143.6</v>
      </c>
      <c r="D932" s="15">
        <v>143.6</v>
      </c>
      <c r="E932" s="15">
        <v>138.6</v>
      </c>
      <c r="F932" s="15">
        <v>144.17</v>
      </c>
      <c r="G932" s="15">
        <v>139.69</v>
      </c>
      <c r="H932" s="15">
        <v>139.17</v>
      </c>
      <c r="I932" s="15">
        <v>140.03</v>
      </c>
      <c r="J932" s="15">
        <v>184.6</v>
      </c>
      <c r="K932" s="15">
        <v>119.9</v>
      </c>
      <c r="L932" s="15">
        <v>57609083</v>
      </c>
      <c r="M932" t="s" s="13">
        <v>8468</v>
      </c>
      <c r="N932" s="15">
        <v>428370</v>
      </c>
      <c r="O932" s="17" cm="1">
        <f t="array" ref="O932">(H932-H931)/H931</f>
        <v>-0.0346812790455712</v>
      </c>
    </row>
    <row r="933" ht="13.65" customHeight="1">
      <c r="A933" s="18">
        <v>45610</v>
      </c>
      <c r="B933" t="s" s="13">
        <v>22</v>
      </c>
      <c r="C933" s="15">
        <v>139.71</v>
      </c>
      <c r="D933" s="15">
        <v>140.73</v>
      </c>
      <c r="E933" s="15">
        <v>137.5</v>
      </c>
      <c r="F933" s="15">
        <v>139.17</v>
      </c>
      <c r="G933" s="15">
        <v>138.1</v>
      </c>
      <c r="H933" s="15">
        <v>137.98</v>
      </c>
      <c r="I933" s="15">
        <v>138.75</v>
      </c>
      <c r="J933" s="15">
        <v>184.6</v>
      </c>
      <c r="K933" s="15">
        <v>119.9</v>
      </c>
      <c r="L933" s="15">
        <v>36345184</v>
      </c>
      <c r="M933" t="s" s="13">
        <v>8469</v>
      </c>
      <c r="N933" s="15">
        <v>292008</v>
      </c>
      <c r="O933" s="17" cm="1">
        <f t="array" ref="O933">(H933-H932)/H932</f>
        <v>-0.00855069339656535</v>
      </c>
    </row>
    <row r="934" ht="13.65" customHeight="1">
      <c r="A934" s="18">
        <v>45614</v>
      </c>
      <c r="B934" t="s" s="13">
        <v>22</v>
      </c>
      <c r="C934" s="15">
        <v>139.49</v>
      </c>
      <c r="D934" s="15">
        <v>143.25</v>
      </c>
      <c r="E934" s="15">
        <v>138</v>
      </c>
      <c r="F934" s="15">
        <v>137.98</v>
      </c>
      <c r="G934" s="15">
        <v>141.2</v>
      </c>
      <c r="H934" s="15">
        <v>141.21</v>
      </c>
      <c r="I934" s="15">
        <v>140.81</v>
      </c>
      <c r="J934" s="15">
        <v>184.6</v>
      </c>
      <c r="K934" s="15">
        <v>124.05</v>
      </c>
      <c r="L934" s="15">
        <v>40233848</v>
      </c>
      <c r="M934" t="s" s="13">
        <v>8470</v>
      </c>
      <c r="N934" s="15">
        <v>269998</v>
      </c>
      <c r="O934" s="17" cm="1">
        <f t="array" ref="O934">(H934-H933)/H933</f>
        <v>0.0234091897376431</v>
      </c>
    </row>
    <row r="935" ht="13.65" customHeight="1">
      <c r="A935" s="18">
        <v>45615</v>
      </c>
      <c r="B935" t="s" s="13">
        <v>22</v>
      </c>
      <c r="C935" s="15">
        <v>142</v>
      </c>
      <c r="D935" s="15">
        <v>142.49</v>
      </c>
      <c r="E935" s="15">
        <v>139.06</v>
      </c>
      <c r="F935" s="15">
        <v>141.21</v>
      </c>
      <c r="G935" s="15">
        <v>139.58</v>
      </c>
      <c r="H935" s="15">
        <v>139.46</v>
      </c>
      <c r="I935" s="15">
        <v>140.88</v>
      </c>
      <c r="J935" s="15">
        <v>184.6</v>
      </c>
      <c r="K935" s="15">
        <v>124.05</v>
      </c>
      <c r="L935" s="15">
        <v>37611903</v>
      </c>
      <c r="M935" t="s" s="13">
        <v>8471</v>
      </c>
      <c r="N935" s="15">
        <v>210103</v>
      </c>
      <c r="O935" s="17" cm="1">
        <f t="array" ref="O935">(H935-H934)/H934</f>
        <v>-0.0123928900219531</v>
      </c>
    </row>
    <row r="936" ht="13.65" customHeight="1">
      <c r="A936" s="18">
        <v>45617</v>
      </c>
      <c r="B936" t="s" s="13">
        <v>22</v>
      </c>
      <c r="C936" s="15">
        <v>139.5</v>
      </c>
      <c r="D936" s="15">
        <v>141.6</v>
      </c>
      <c r="E936" s="15">
        <v>137.25</v>
      </c>
      <c r="F936" s="15">
        <v>139.46</v>
      </c>
      <c r="G936" s="15">
        <v>140</v>
      </c>
      <c r="H936" s="15">
        <v>140.22</v>
      </c>
      <c r="I936" s="15">
        <v>139.78</v>
      </c>
      <c r="J936" s="15">
        <v>184.6</v>
      </c>
      <c r="K936" s="15">
        <v>124.05</v>
      </c>
      <c r="L936" s="15">
        <v>58398744</v>
      </c>
      <c r="M936" t="s" s="13">
        <v>8472</v>
      </c>
      <c r="N936" s="15">
        <v>307883</v>
      </c>
      <c r="O936" s="17" cm="1">
        <f t="array" ref="O936">(H936-H935)/H935</f>
        <v>0.00544959128065395</v>
      </c>
    </row>
    <row r="937" ht="13.65" customHeight="1">
      <c r="A937" s="18">
        <v>45618</v>
      </c>
      <c r="B937" t="s" s="13">
        <v>22</v>
      </c>
      <c r="C937" s="15">
        <v>140.15</v>
      </c>
      <c r="D937" s="15">
        <v>143.19</v>
      </c>
      <c r="E937" s="15">
        <v>139.65</v>
      </c>
      <c r="F937" s="15">
        <v>140.22</v>
      </c>
      <c r="G937" s="15">
        <v>142.55</v>
      </c>
      <c r="H937" s="15">
        <v>142.78</v>
      </c>
      <c r="I937" s="15">
        <v>141.57</v>
      </c>
      <c r="J937" s="15">
        <v>184.6</v>
      </c>
      <c r="K937" s="15">
        <v>124.05</v>
      </c>
      <c r="L937" s="15">
        <v>43710169</v>
      </c>
      <c r="M937" t="s" s="13">
        <v>8473</v>
      </c>
      <c r="N937" s="15">
        <v>218947</v>
      </c>
      <c r="O937" s="17" cm="1">
        <f t="array" ref="O937">(H937-H936)/H936</f>
        <v>0.0182570246755099</v>
      </c>
    </row>
    <row r="938" ht="13.65" customHeight="1">
      <c r="A938" s="18">
        <v>45621</v>
      </c>
      <c r="B938" t="s" s="13">
        <v>22</v>
      </c>
      <c r="C938" s="15">
        <v>144.94</v>
      </c>
      <c r="D938" s="15">
        <v>146.15</v>
      </c>
      <c r="E938" s="15">
        <v>142.84</v>
      </c>
      <c r="F938" s="15">
        <v>142.78</v>
      </c>
      <c r="G938" s="15">
        <v>143.87</v>
      </c>
      <c r="H938" s="15">
        <v>143.67</v>
      </c>
      <c r="I938" s="15">
        <v>144.36</v>
      </c>
      <c r="J938" s="15">
        <v>184.6</v>
      </c>
      <c r="K938" s="15">
        <v>126</v>
      </c>
      <c r="L938" s="15">
        <v>53883890</v>
      </c>
      <c r="M938" t="s" s="13">
        <v>8474</v>
      </c>
      <c r="N938" s="15">
        <v>194245</v>
      </c>
      <c r="O938" s="17" cm="1">
        <f t="array" ref="O938">(H938-H937)/H937</f>
        <v>0.00623336601764953</v>
      </c>
    </row>
    <row r="939" ht="13.65" customHeight="1">
      <c r="A939" s="18">
        <v>45622</v>
      </c>
      <c r="B939" t="s" s="13">
        <v>22</v>
      </c>
      <c r="C939" s="15">
        <v>144.22</v>
      </c>
      <c r="D939" s="15">
        <v>145.8</v>
      </c>
      <c r="E939" s="15">
        <v>143.58</v>
      </c>
      <c r="F939" s="15">
        <v>143.67</v>
      </c>
      <c r="G939" s="15">
        <v>144.42</v>
      </c>
      <c r="H939" s="15">
        <v>144.47</v>
      </c>
      <c r="I939" s="15">
        <v>144.86</v>
      </c>
      <c r="J939" s="15">
        <v>184.6</v>
      </c>
      <c r="K939" s="15">
        <v>126</v>
      </c>
      <c r="L939" s="15">
        <v>25608469</v>
      </c>
      <c r="M939" t="s" s="13">
        <v>8475</v>
      </c>
      <c r="N939" s="15">
        <v>140188</v>
      </c>
      <c r="O939" s="17" cm="1">
        <f t="array" ref="O939">(H939-H938)/H938</f>
        <v>0.00556831628036472</v>
      </c>
    </row>
    <row r="940" ht="13.65" customHeight="1">
      <c r="A940" s="18">
        <v>45623</v>
      </c>
      <c r="B940" t="s" s="13">
        <v>22</v>
      </c>
      <c r="C940" s="15">
        <v>144.31</v>
      </c>
      <c r="D940" s="15">
        <v>144.9</v>
      </c>
      <c r="E940" s="15">
        <v>142.9</v>
      </c>
      <c r="F940" s="15">
        <v>144.47</v>
      </c>
      <c r="G940" s="15">
        <v>144.64</v>
      </c>
      <c r="H940" s="15">
        <v>144.53</v>
      </c>
      <c r="I940" s="15">
        <v>143.94</v>
      </c>
      <c r="J940" s="15">
        <v>184.6</v>
      </c>
      <c r="K940" s="15">
        <v>126</v>
      </c>
      <c r="L940" s="15">
        <v>24895631</v>
      </c>
      <c r="M940" t="s" s="13">
        <v>8476</v>
      </c>
      <c r="N940" s="15">
        <v>171733</v>
      </c>
      <c r="O940" s="17" cm="1">
        <f t="array" ref="O940">(H940-H939)/H939</f>
        <v>0.000415311137260331</v>
      </c>
    </row>
    <row r="941" ht="13.65" customHeight="1">
      <c r="A941" s="18">
        <v>45624</v>
      </c>
      <c r="B941" t="s" s="13">
        <v>22</v>
      </c>
      <c r="C941" s="15">
        <v>144</v>
      </c>
      <c r="D941" s="15">
        <v>145.25</v>
      </c>
      <c r="E941" s="15">
        <v>143.09</v>
      </c>
      <c r="F941" s="15">
        <v>144.53</v>
      </c>
      <c r="G941" s="15">
        <v>143.63</v>
      </c>
      <c r="H941" s="15">
        <v>143.39</v>
      </c>
      <c r="I941" s="15">
        <v>144.13</v>
      </c>
      <c r="J941" s="15">
        <v>184.6</v>
      </c>
      <c r="K941" s="15">
        <v>126</v>
      </c>
      <c r="L941" s="15">
        <v>30947861</v>
      </c>
      <c r="M941" t="s" s="13">
        <v>8477</v>
      </c>
      <c r="N941" s="15">
        <v>267599</v>
      </c>
      <c r="O941" s="17" cm="1">
        <f t="array" ref="O941">(H941-H940)/H940</f>
        <v>-0.007887635784958141</v>
      </c>
    </row>
    <row r="942" ht="13.65" customHeight="1">
      <c r="A942" s="18">
        <v>45625</v>
      </c>
      <c r="B942" t="s" s="13">
        <v>22</v>
      </c>
      <c r="C942" s="15">
        <v>143.9</v>
      </c>
      <c r="D942" s="15">
        <v>145.49</v>
      </c>
      <c r="E942" s="15">
        <v>143.05</v>
      </c>
      <c r="F942" s="15">
        <v>143.39</v>
      </c>
      <c r="G942" s="15">
        <v>144.45</v>
      </c>
      <c r="H942" s="15">
        <v>144.54</v>
      </c>
      <c r="I942" s="15">
        <v>144.47</v>
      </c>
      <c r="J942" s="15">
        <v>184.6</v>
      </c>
      <c r="K942" s="15">
        <v>126</v>
      </c>
      <c r="L942" s="15">
        <v>29742979</v>
      </c>
      <c r="M942" t="s" s="13">
        <v>8478</v>
      </c>
      <c r="N942" s="15">
        <v>180493</v>
      </c>
      <c r="O942" s="17" cm="1">
        <f t="array" ref="O942">(H942-H941)/H941</f>
        <v>0.008020085082641751</v>
      </c>
    </row>
    <row r="943" ht="13.65" customHeight="1">
      <c r="A943" s="12">
        <v>45628</v>
      </c>
      <c r="B943" t="s" s="13">
        <v>22</v>
      </c>
      <c r="C943" s="15">
        <v>144.11</v>
      </c>
      <c r="D943" s="15">
        <v>146.83</v>
      </c>
      <c r="E943" s="15">
        <v>143.14</v>
      </c>
      <c r="F943" s="15">
        <v>144.54</v>
      </c>
      <c r="G943" s="15">
        <v>146.36</v>
      </c>
      <c r="H943" s="15">
        <v>146.41</v>
      </c>
      <c r="I943" s="15">
        <v>145.29</v>
      </c>
      <c r="J943" s="15">
        <v>184.6</v>
      </c>
      <c r="K943" s="15">
        <v>127.85</v>
      </c>
      <c r="L943" s="15">
        <v>23840351</v>
      </c>
      <c r="M943" t="s" s="13">
        <v>8479</v>
      </c>
      <c r="N943" s="15">
        <v>178524</v>
      </c>
      <c r="O943" s="17" cm="1">
        <f t="array" ref="O943">(H943-H942)/H942</f>
        <v>0.012937595129376</v>
      </c>
    </row>
    <row r="944" ht="13.65" customHeight="1">
      <c r="A944" s="12">
        <v>45629</v>
      </c>
      <c r="B944" t="s" s="13">
        <v>22</v>
      </c>
      <c r="C944" s="15">
        <v>146.75</v>
      </c>
      <c r="D944" s="15">
        <v>148.2</v>
      </c>
      <c r="E944" s="15">
        <v>146.34</v>
      </c>
      <c r="F944" s="15">
        <v>146.41</v>
      </c>
      <c r="G944" s="15">
        <v>146.6</v>
      </c>
      <c r="H944" s="15">
        <v>146.54</v>
      </c>
      <c r="I944" s="15">
        <v>146.87</v>
      </c>
      <c r="J944" s="15">
        <v>184.6</v>
      </c>
      <c r="K944" s="15">
        <v>127.85</v>
      </c>
      <c r="L944" s="15">
        <v>35527228</v>
      </c>
      <c r="M944" t="s" s="13">
        <v>8480</v>
      </c>
      <c r="N944" s="15">
        <v>256795</v>
      </c>
      <c r="O944" s="17" cm="1">
        <f t="array" ref="O944">(H944-H943)/H943</f>
        <v>0.000887917491974592</v>
      </c>
    </row>
    <row r="945" ht="13.65" customHeight="1">
      <c r="A945" s="12">
        <v>45630</v>
      </c>
      <c r="B945" t="s" s="13">
        <v>22</v>
      </c>
      <c r="C945" s="15">
        <v>147</v>
      </c>
      <c r="D945" s="15">
        <v>147.05</v>
      </c>
      <c r="E945" s="15">
        <v>144</v>
      </c>
      <c r="F945" s="15">
        <v>146.54</v>
      </c>
      <c r="G945" s="15">
        <v>145.89</v>
      </c>
      <c r="H945" s="15">
        <v>145.85</v>
      </c>
      <c r="I945" s="15">
        <v>145.43</v>
      </c>
      <c r="J945" s="15">
        <v>184.6</v>
      </c>
      <c r="K945" s="15">
        <v>127.85</v>
      </c>
      <c r="L945" s="15">
        <v>38537808</v>
      </c>
      <c r="M945" t="s" s="13">
        <v>8481</v>
      </c>
      <c r="N945" s="15">
        <v>293458</v>
      </c>
      <c r="O945" s="17" cm="1">
        <f t="array" ref="O945">(H945-H944)/H944</f>
        <v>-0.00470861198307629</v>
      </c>
    </row>
    <row r="946" ht="13.65" customHeight="1">
      <c r="A946" s="12">
        <v>45631</v>
      </c>
      <c r="B946" t="s" s="13">
        <v>22</v>
      </c>
      <c r="C946" s="15">
        <v>146.5</v>
      </c>
      <c r="D946" s="15">
        <v>147.88</v>
      </c>
      <c r="E946" s="15">
        <v>144.8</v>
      </c>
      <c r="F946" s="15">
        <v>145.85</v>
      </c>
      <c r="G946" s="15">
        <v>147.11</v>
      </c>
      <c r="H946" s="15">
        <v>147.07</v>
      </c>
      <c r="I946" s="15">
        <v>146.48</v>
      </c>
      <c r="J946" s="15">
        <v>184.6</v>
      </c>
      <c r="K946" s="15">
        <v>127.85</v>
      </c>
      <c r="L946" s="15">
        <v>36328245</v>
      </c>
      <c r="M946" t="s" s="13">
        <v>8482</v>
      </c>
      <c r="N946" s="15">
        <v>320660</v>
      </c>
      <c r="O946" s="17" cm="1">
        <f t="array" ref="O946">(H946-H945)/H945</f>
        <v>0.00836475831333562</v>
      </c>
    </row>
    <row r="947" ht="13.65" customHeight="1">
      <c r="A947" s="12">
        <v>45632</v>
      </c>
      <c r="B947" t="s" s="13">
        <v>22</v>
      </c>
      <c r="C947" s="15">
        <v>147.5</v>
      </c>
      <c r="D947" s="15">
        <v>148.68</v>
      </c>
      <c r="E947" s="15">
        <v>146.6</v>
      </c>
      <c r="F947" s="15">
        <v>147.07</v>
      </c>
      <c r="G947" s="15">
        <v>148.1</v>
      </c>
      <c r="H947" s="15">
        <v>148.29</v>
      </c>
      <c r="I947" s="15">
        <v>147.54</v>
      </c>
      <c r="J947" s="15">
        <v>184.6</v>
      </c>
      <c r="K947" s="15">
        <v>127.85</v>
      </c>
      <c r="L947" s="15">
        <v>30604899</v>
      </c>
      <c r="M947" t="s" s="13">
        <v>8483</v>
      </c>
      <c r="N947" s="15">
        <v>152986</v>
      </c>
      <c r="O947" s="17" cm="1">
        <f t="array" ref="O947">(H947-H946)/H946</f>
        <v>0.00829536955191405</v>
      </c>
    </row>
    <row r="948" ht="13.65" customHeight="1">
      <c r="A948" s="12">
        <v>45635</v>
      </c>
      <c r="B948" t="s" s="13">
        <v>22</v>
      </c>
      <c r="C948" s="15">
        <v>148.29</v>
      </c>
      <c r="D948" s="15">
        <v>150.67</v>
      </c>
      <c r="E948" s="15">
        <v>146.63</v>
      </c>
      <c r="F948" s="15">
        <v>148.29</v>
      </c>
      <c r="G948" s="15">
        <v>149.7</v>
      </c>
      <c r="H948" s="15">
        <v>149.88</v>
      </c>
      <c r="I948" s="15">
        <v>148.72</v>
      </c>
      <c r="J948" s="15">
        <v>184.6</v>
      </c>
      <c r="K948" s="15">
        <v>127.85</v>
      </c>
      <c r="L948" s="15">
        <v>39059139</v>
      </c>
      <c r="M948" t="s" s="13">
        <v>8484</v>
      </c>
      <c r="N948" s="15">
        <v>213740</v>
      </c>
      <c r="O948" s="17" cm="1">
        <f t="array" ref="O948">(H948-H947)/H947</f>
        <v>0.0107222334614607</v>
      </c>
    </row>
    <row r="949" ht="13.65" customHeight="1">
      <c r="A949" s="18">
        <v>45636</v>
      </c>
      <c r="B949" t="s" s="13">
        <v>22</v>
      </c>
      <c r="C949" s="15">
        <v>150.19</v>
      </c>
      <c r="D949" s="15">
        <v>152.5</v>
      </c>
      <c r="E949" s="15">
        <v>149.31</v>
      </c>
      <c r="F949" s="15">
        <v>149.88</v>
      </c>
      <c r="G949" s="15">
        <v>150.38</v>
      </c>
      <c r="H949" s="15">
        <v>150.32</v>
      </c>
      <c r="I949" s="15">
        <v>150.93</v>
      </c>
      <c r="J949" s="15">
        <v>184.6</v>
      </c>
      <c r="K949" s="15">
        <v>127.85</v>
      </c>
      <c r="L949" s="15">
        <v>36278104</v>
      </c>
      <c r="M949" t="s" s="13">
        <v>8485</v>
      </c>
      <c r="N949" s="15">
        <v>198144</v>
      </c>
      <c r="O949" s="17" cm="1">
        <f t="array" ref="O949">(H949-H948)/H948</f>
        <v>0.0029356818788364</v>
      </c>
    </row>
    <row r="950" ht="13.65" customHeight="1">
      <c r="A950" s="18">
        <v>45637</v>
      </c>
      <c r="B950" t="s" s="13">
        <v>22</v>
      </c>
      <c r="C950" s="15">
        <v>150.59</v>
      </c>
      <c r="D950" s="15">
        <v>152.11</v>
      </c>
      <c r="E950" s="15">
        <v>150.06</v>
      </c>
      <c r="F950" s="15">
        <v>150.32</v>
      </c>
      <c r="G950" s="15">
        <v>150.65</v>
      </c>
      <c r="H950" s="15">
        <v>150.6</v>
      </c>
      <c r="I950" s="15">
        <v>151.24</v>
      </c>
      <c r="J950" s="15">
        <v>184.6</v>
      </c>
      <c r="K950" s="15">
        <v>127.85</v>
      </c>
      <c r="L950" s="15">
        <v>20499709</v>
      </c>
      <c r="M950" t="s" s="13">
        <v>8486</v>
      </c>
      <c r="N950" s="15">
        <v>154183</v>
      </c>
      <c r="O950" s="17" cm="1">
        <f t="array" ref="O950">(H950-H949)/H949</f>
        <v>0.0018626929217669</v>
      </c>
    </row>
    <row r="951" ht="13.65" customHeight="1">
      <c r="A951" s="18">
        <v>45638</v>
      </c>
      <c r="B951" t="s" s="13">
        <v>22</v>
      </c>
      <c r="C951" s="15">
        <v>150.87</v>
      </c>
      <c r="D951" s="15">
        <v>151.63</v>
      </c>
      <c r="E951" s="15">
        <v>148.7</v>
      </c>
      <c r="F951" s="15">
        <v>150.6</v>
      </c>
      <c r="G951" s="15">
        <v>150.4</v>
      </c>
      <c r="H951" s="15">
        <v>150.78</v>
      </c>
      <c r="I951" s="15">
        <v>150.22</v>
      </c>
      <c r="J951" s="15">
        <v>184.6</v>
      </c>
      <c r="K951" s="15">
        <v>127.85</v>
      </c>
      <c r="L951" s="15">
        <v>25761723</v>
      </c>
      <c r="M951" t="s" s="13">
        <v>8487</v>
      </c>
      <c r="N951" s="15">
        <v>210043</v>
      </c>
      <c r="O951" s="17" cm="1">
        <f t="array" ref="O951">(H951-H950)/H950</f>
        <v>0.00119521912350598</v>
      </c>
    </row>
    <row r="952" ht="13.65" customHeight="1">
      <c r="A952" s="18">
        <v>45639</v>
      </c>
      <c r="B952" t="s" s="13">
        <v>22</v>
      </c>
      <c r="C952" s="15">
        <v>150</v>
      </c>
      <c r="D952" s="15">
        <v>150.05</v>
      </c>
      <c r="E952" s="15">
        <v>145.55</v>
      </c>
      <c r="F952" s="15">
        <v>150.78</v>
      </c>
      <c r="G952" s="15">
        <v>148.8</v>
      </c>
      <c r="H952" s="15">
        <v>148.95</v>
      </c>
      <c r="I952" s="15">
        <v>147.45</v>
      </c>
      <c r="J952" s="15">
        <v>184.6</v>
      </c>
      <c r="K952" s="15">
        <v>127.85</v>
      </c>
      <c r="L952" s="15">
        <v>39701388</v>
      </c>
      <c r="M952" t="s" s="13">
        <v>8488</v>
      </c>
      <c r="N952" s="15">
        <v>244523</v>
      </c>
      <c r="O952" s="17" cm="1">
        <f t="array" ref="O952">(H952-H951)/H951</f>
        <v>-0.0121368881814564</v>
      </c>
    </row>
    <row r="953" ht="13.65" customHeight="1">
      <c r="A953" s="18">
        <v>45642</v>
      </c>
      <c r="B953" t="s" s="13">
        <v>22</v>
      </c>
      <c r="C953" s="15">
        <v>148.94</v>
      </c>
      <c r="D953" s="15">
        <v>149.8</v>
      </c>
      <c r="E953" s="15">
        <v>147.1</v>
      </c>
      <c r="F953" s="15">
        <v>148.95</v>
      </c>
      <c r="G953" s="15">
        <v>147.8</v>
      </c>
      <c r="H953" s="15">
        <v>147.79</v>
      </c>
      <c r="I953" s="15">
        <v>148.03</v>
      </c>
      <c r="J953" s="15">
        <v>184.6</v>
      </c>
      <c r="K953" s="15">
        <v>127.85</v>
      </c>
      <c r="L953" s="15">
        <v>22634773</v>
      </c>
      <c r="M953" t="s" s="13">
        <v>8489</v>
      </c>
      <c r="N953" s="15">
        <v>134545</v>
      </c>
      <c r="O953" s="17" cm="1">
        <f t="array" ref="O953">(H953-H952)/H952</f>
        <v>-0.00778784827123196</v>
      </c>
    </row>
    <row r="954" ht="13.65" customHeight="1">
      <c r="A954" s="18">
        <v>45643</v>
      </c>
      <c r="B954" t="s" s="13">
        <v>22</v>
      </c>
      <c r="C954" s="15">
        <v>147.79</v>
      </c>
      <c r="D954" s="15">
        <v>148.5</v>
      </c>
      <c r="E954" s="15">
        <v>145.33</v>
      </c>
      <c r="F954" s="15">
        <v>147.79</v>
      </c>
      <c r="G954" s="15">
        <v>145.65</v>
      </c>
      <c r="H954" s="15">
        <v>145.68</v>
      </c>
      <c r="I954" s="15">
        <v>146.89</v>
      </c>
      <c r="J954" s="15">
        <v>184.6</v>
      </c>
      <c r="K954" s="15">
        <v>127.85</v>
      </c>
      <c r="L954" s="15">
        <v>27110781</v>
      </c>
      <c r="M954" t="s" s="13">
        <v>8490</v>
      </c>
      <c r="N954" s="15">
        <v>178654</v>
      </c>
      <c r="O954" s="17" cm="1">
        <f t="array" ref="O954">(H954-H953)/H953</f>
        <v>-0.0142770146829961</v>
      </c>
    </row>
    <row r="955" ht="13.65" customHeight="1">
      <c r="A955" s="18">
        <v>45644</v>
      </c>
      <c r="B955" t="s" s="13">
        <v>22</v>
      </c>
      <c r="C955" s="15">
        <v>146</v>
      </c>
      <c r="D955" s="15">
        <v>146.9</v>
      </c>
      <c r="E955" s="15">
        <v>143.3</v>
      </c>
      <c r="F955" s="15">
        <v>145.68</v>
      </c>
      <c r="G955" s="15">
        <v>144.54</v>
      </c>
      <c r="H955" s="15">
        <v>144.46</v>
      </c>
      <c r="I955" s="15">
        <v>144.65</v>
      </c>
      <c r="J955" s="15">
        <v>184.6</v>
      </c>
      <c r="K955" s="15">
        <v>127.85</v>
      </c>
      <c r="L955" s="15">
        <v>19850229</v>
      </c>
      <c r="M955" t="s" s="13">
        <v>8491</v>
      </c>
      <c r="N955" s="15">
        <v>170033</v>
      </c>
      <c r="O955" s="17" cm="1">
        <f t="array" ref="O955">(H955-H954)/H954</f>
        <v>-0.00837451949478309</v>
      </c>
    </row>
    <row r="956" ht="13.65" customHeight="1">
      <c r="A956" s="18">
        <v>45645</v>
      </c>
      <c r="B956" t="s" s="13">
        <v>22</v>
      </c>
      <c r="C956" s="15">
        <v>141.55</v>
      </c>
      <c r="D956" s="15">
        <v>143.8</v>
      </c>
      <c r="E956" s="15">
        <v>141.1</v>
      </c>
      <c r="F956" s="15">
        <v>144.46</v>
      </c>
      <c r="G956" s="15">
        <v>143.14</v>
      </c>
      <c r="H956" s="15">
        <v>143.26</v>
      </c>
      <c r="I956" s="15">
        <v>142.36</v>
      </c>
      <c r="J956" s="15">
        <v>184.6</v>
      </c>
      <c r="K956" s="15">
        <v>127.85</v>
      </c>
      <c r="L956" s="15">
        <v>27104579</v>
      </c>
      <c r="M956" t="s" s="13">
        <v>8492</v>
      </c>
      <c r="N956" s="15">
        <v>176879</v>
      </c>
      <c r="O956" s="17" cm="1">
        <f t="array" ref="O956">(H956-H955)/H955</f>
        <v>-0.00830679772947529</v>
      </c>
    </row>
    <row r="957" ht="13.65" customHeight="1">
      <c r="A957" s="18">
        <v>45646</v>
      </c>
      <c r="B957" t="s" s="13">
        <v>22</v>
      </c>
      <c r="C957" s="15">
        <v>142.89</v>
      </c>
      <c r="D957" s="15">
        <v>144.4</v>
      </c>
      <c r="E957" s="15">
        <v>140</v>
      </c>
      <c r="F957" s="15">
        <v>143.26</v>
      </c>
      <c r="G957" s="15">
        <v>140.45</v>
      </c>
      <c r="H957" s="15">
        <v>140.68</v>
      </c>
      <c r="I957" s="15">
        <v>142.23</v>
      </c>
      <c r="J957" s="15">
        <v>184.6</v>
      </c>
      <c r="K957" s="15">
        <v>127.85</v>
      </c>
      <c r="L957" s="15">
        <v>46503449</v>
      </c>
      <c r="M957" t="s" s="13">
        <v>8493</v>
      </c>
      <c r="N957" s="15">
        <v>239716</v>
      </c>
      <c r="O957" s="17" cm="1">
        <f t="array" ref="O957">(H957-H956)/H956</f>
        <v>-0.0180092140164735</v>
      </c>
    </row>
    <row r="958" ht="13.65" customHeight="1">
      <c r="A958" s="18">
        <v>45649</v>
      </c>
      <c r="B958" t="s" s="13">
        <v>22</v>
      </c>
      <c r="C958" s="15">
        <v>142.45</v>
      </c>
      <c r="D958" s="15">
        <v>143.8</v>
      </c>
      <c r="E958" s="15">
        <v>140.61</v>
      </c>
      <c r="F958" s="15">
        <v>140.68</v>
      </c>
      <c r="G958" s="15">
        <v>141.81</v>
      </c>
      <c r="H958" s="15">
        <v>141.71</v>
      </c>
      <c r="I958" s="15">
        <v>142.37</v>
      </c>
      <c r="J958" s="15">
        <v>184.6</v>
      </c>
      <c r="K958" s="15">
        <v>128.2</v>
      </c>
      <c r="L958" s="15">
        <v>27514178</v>
      </c>
      <c r="M958" t="s" s="13">
        <v>8494</v>
      </c>
      <c r="N958" s="15">
        <v>180882</v>
      </c>
      <c r="O958" s="17" cm="1">
        <f t="array" ref="O958">(H958-H957)/H957</f>
        <v>0.00732158089280637</v>
      </c>
    </row>
    <row r="959" ht="13.65" customHeight="1">
      <c r="A959" s="18">
        <v>45650</v>
      </c>
      <c r="B959" t="s" s="13">
        <v>22</v>
      </c>
      <c r="C959" s="15">
        <v>141.2</v>
      </c>
      <c r="D959" s="15">
        <v>141.5</v>
      </c>
      <c r="E959" s="15">
        <v>139.25</v>
      </c>
      <c r="F959" s="15">
        <v>141.71</v>
      </c>
      <c r="G959" s="15">
        <v>140.9</v>
      </c>
      <c r="H959" s="15">
        <v>140.38</v>
      </c>
      <c r="I959" s="15">
        <v>140.29</v>
      </c>
      <c r="J959" s="15">
        <v>184.6</v>
      </c>
      <c r="K959" s="15">
        <v>128.2</v>
      </c>
      <c r="L959" s="15">
        <v>25882917</v>
      </c>
      <c r="M959" t="s" s="13">
        <v>8495</v>
      </c>
      <c r="N959" s="15">
        <v>220844</v>
      </c>
      <c r="O959" s="17" cm="1">
        <f t="array" ref="O959">(H959-H958)/H958</f>
        <v>-0.00938536447674829</v>
      </c>
    </row>
    <row r="960" ht="13.65" customHeight="1">
      <c r="A960" s="18">
        <v>45652</v>
      </c>
      <c r="B960" t="s" s="13">
        <v>22</v>
      </c>
      <c r="C960" s="15">
        <v>140.95</v>
      </c>
      <c r="D960" s="15">
        <v>141.15</v>
      </c>
      <c r="E960" s="15">
        <v>139.51</v>
      </c>
      <c r="F960" s="15">
        <v>140.38</v>
      </c>
      <c r="G960" s="15">
        <v>140.6</v>
      </c>
      <c r="H960" s="15">
        <v>140.36</v>
      </c>
      <c r="I960" s="15">
        <v>140.24</v>
      </c>
      <c r="J960" s="15">
        <v>184.6</v>
      </c>
      <c r="K960" s="15">
        <v>128.2</v>
      </c>
      <c r="L960" s="15">
        <v>23939932</v>
      </c>
      <c r="M960" t="s" s="13">
        <v>8496</v>
      </c>
      <c r="N960" s="15">
        <v>176823</v>
      </c>
      <c r="O960" s="17" cm="1">
        <f t="array" ref="O960">(H960-H959)/H959</f>
        <v>-0.000142470437384243</v>
      </c>
    </row>
    <row r="961" ht="13.65" customHeight="1">
      <c r="A961" s="18">
        <v>45653</v>
      </c>
      <c r="B961" t="s" s="13">
        <v>22</v>
      </c>
      <c r="C961" s="15">
        <v>140.7</v>
      </c>
      <c r="D961" s="15">
        <v>141.75</v>
      </c>
      <c r="E961" s="15">
        <v>138.61</v>
      </c>
      <c r="F961" s="15">
        <v>140.36</v>
      </c>
      <c r="G961" s="15">
        <v>138.97</v>
      </c>
      <c r="H961" s="15">
        <v>138.91</v>
      </c>
      <c r="I961" s="15">
        <v>139.95</v>
      </c>
      <c r="J961" s="15">
        <v>184.6</v>
      </c>
      <c r="K961" s="15">
        <v>128.2</v>
      </c>
      <c r="L961" s="15">
        <v>19562177</v>
      </c>
      <c r="M961" t="s" s="13">
        <v>8497</v>
      </c>
      <c r="N961" s="15">
        <v>167507</v>
      </c>
      <c r="O961" s="17" cm="1">
        <f t="array" ref="O961">(H961-H960)/H960</f>
        <v>-0.0103305785123967</v>
      </c>
    </row>
    <row r="962" ht="13.65" customHeight="1">
      <c r="A962" s="18">
        <v>45656</v>
      </c>
      <c r="B962" t="s" s="13">
        <v>22</v>
      </c>
      <c r="C962" s="15">
        <v>138.91</v>
      </c>
      <c r="D962" s="15">
        <v>139.25</v>
      </c>
      <c r="E962" s="15">
        <v>136.09</v>
      </c>
      <c r="F962" s="15">
        <v>138.91</v>
      </c>
      <c r="G962" s="15">
        <v>137.5</v>
      </c>
      <c r="H962" s="15">
        <v>136.88</v>
      </c>
      <c r="I962" s="15">
        <v>137.76</v>
      </c>
      <c r="J962" s="15">
        <v>184.6</v>
      </c>
      <c r="K962" s="15">
        <v>128.2</v>
      </c>
      <c r="L962" s="15">
        <v>32555723</v>
      </c>
      <c r="M962" t="s" s="13">
        <v>8498</v>
      </c>
      <c r="N962" s="15">
        <v>208126</v>
      </c>
      <c r="O962" s="17" cm="1">
        <f t="array" ref="O962">(H962-H961)/H961</f>
        <v>-0.0146137787056367</v>
      </c>
    </row>
    <row r="963" ht="13.65" customHeight="1">
      <c r="A963" s="18">
        <v>45657</v>
      </c>
      <c r="B963" t="s" s="13">
        <v>22</v>
      </c>
      <c r="C963" s="15">
        <v>136.87</v>
      </c>
      <c r="D963" s="15">
        <v>138.68</v>
      </c>
      <c r="E963" s="15">
        <v>136.56</v>
      </c>
      <c r="F963" s="15">
        <v>136.88</v>
      </c>
      <c r="G963" s="15">
        <v>138.1</v>
      </c>
      <c r="H963" s="15">
        <v>138.05</v>
      </c>
      <c r="I963" s="15">
        <v>137.63</v>
      </c>
      <c r="J963" s="15">
        <v>184.6</v>
      </c>
      <c r="K963" s="15">
        <v>128.2</v>
      </c>
      <c r="L963" s="15">
        <v>20080291</v>
      </c>
      <c r="M963" t="s" s="13">
        <v>8499</v>
      </c>
      <c r="N963" s="15">
        <v>184867</v>
      </c>
      <c r="O963" s="17" cm="1">
        <f t="array" ref="O963">(H963-H962)/H962</f>
        <v>0.00854763296317943</v>
      </c>
    </row>
    <row r="964" ht="13.65" customHeight="1">
      <c r="A964" s="12">
        <v>45658</v>
      </c>
      <c r="B964" t="s" s="13">
        <v>22</v>
      </c>
      <c r="C964" s="15">
        <v>138.1</v>
      </c>
      <c r="D964" s="15">
        <v>138.45</v>
      </c>
      <c r="E964" s="15">
        <v>136.58</v>
      </c>
      <c r="F964" s="15">
        <v>138.05</v>
      </c>
      <c r="G964" s="15">
        <v>136.87</v>
      </c>
      <c r="H964" s="15">
        <v>136.74</v>
      </c>
      <c r="I964" s="15">
        <v>137.06</v>
      </c>
      <c r="J964" s="15">
        <v>184.6</v>
      </c>
      <c r="K964" s="15">
        <v>128.2</v>
      </c>
      <c r="L964" s="15">
        <v>18169498</v>
      </c>
      <c r="M964" t="s" s="13">
        <v>8500</v>
      </c>
      <c r="N964" s="15">
        <v>167193</v>
      </c>
      <c r="O964" s="17" cm="1">
        <f t="array" ref="O964">(H964-H963)/H963</f>
        <v>-0.009489315465411079</v>
      </c>
    </row>
    <row r="965" ht="13.65" customHeight="1">
      <c r="A965" s="12">
        <v>45659</v>
      </c>
      <c r="B965" t="s" s="13">
        <v>22</v>
      </c>
      <c r="C965" s="15">
        <v>137</v>
      </c>
      <c r="D965" s="15">
        <v>138.45</v>
      </c>
      <c r="E965" s="15">
        <v>136.4</v>
      </c>
      <c r="F965" s="15">
        <v>136.74</v>
      </c>
      <c r="G965" s="15">
        <v>138</v>
      </c>
      <c r="H965" s="15">
        <v>138.18</v>
      </c>
      <c r="I965" s="15">
        <v>137.44</v>
      </c>
      <c r="J965" s="15">
        <v>184.6</v>
      </c>
      <c r="K965" s="15">
        <v>128.2</v>
      </c>
      <c r="L965" s="15">
        <v>23388424</v>
      </c>
      <c r="M965" t="s" s="13">
        <v>8501</v>
      </c>
      <c r="N965" s="15">
        <v>212832</v>
      </c>
      <c r="O965" s="17" cm="1">
        <f t="array" ref="O965">(H965-H964)/H964</f>
        <v>0.0105309346204476</v>
      </c>
    </row>
    <row r="966" ht="13.65" customHeight="1">
      <c r="A966" s="12">
        <v>45660</v>
      </c>
      <c r="B966" t="s" s="13">
        <v>22</v>
      </c>
      <c r="C966" s="15">
        <v>138.18</v>
      </c>
      <c r="D966" s="15">
        <v>139.73</v>
      </c>
      <c r="E966" s="15">
        <v>137.84</v>
      </c>
      <c r="F966" s="15">
        <v>138.18</v>
      </c>
      <c r="G966" s="15">
        <v>138.33</v>
      </c>
      <c r="H966" s="15">
        <v>138.36</v>
      </c>
      <c r="I966" s="15">
        <v>138.69</v>
      </c>
      <c r="J966" s="15">
        <v>184.6</v>
      </c>
      <c r="K966" s="15">
        <v>128.2</v>
      </c>
      <c r="L966" s="15">
        <v>23351832</v>
      </c>
      <c r="M966" t="s" s="13">
        <v>8502</v>
      </c>
      <c r="N966" s="15">
        <v>174962</v>
      </c>
      <c r="O966" s="17" cm="1">
        <f t="array" ref="O966">(H966-H965)/H965</f>
        <v>0.00130264871906209</v>
      </c>
    </row>
    <row r="967" ht="13.65" customHeight="1">
      <c r="A967" s="12">
        <v>45663</v>
      </c>
      <c r="B967" t="s" s="13">
        <v>22</v>
      </c>
      <c r="C967" s="15">
        <v>138.36</v>
      </c>
      <c r="D967" s="15">
        <v>138.39</v>
      </c>
      <c r="E967" s="15">
        <v>131.35</v>
      </c>
      <c r="F967" s="15">
        <v>138.36</v>
      </c>
      <c r="G967" s="15">
        <v>132</v>
      </c>
      <c r="H967" s="15">
        <v>132.18</v>
      </c>
      <c r="I967" s="15">
        <v>133.44</v>
      </c>
      <c r="J967" s="15">
        <v>184.6</v>
      </c>
      <c r="K967" s="15">
        <v>128.2</v>
      </c>
      <c r="L967" s="15">
        <v>44620509</v>
      </c>
      <c r="M967" t="s" s="13">
        <v>8503</v>
      </c>
      <c r="N967" s="15">
        <v>389702</v>
      </c>
      <c r="O967" s="17" cm="1">
        <f t="array" ref="O967">(H967-H966)/H966</f>
        <v>-0.0446660884648742</v>
      </c>
    </row>
    <row r="968" ht="13.65" customHeight="1">
      <c r="A968" s="12">
        <v>45664</v>
      </c>
      <c r="B968" t="s" s="13">
        <v>22</v>
      </c>
      <c r="C968" s="15">
        <v>132.78</v>
      </c>
      <c r="D968" s="15">
        <v>133.88</v>
      </c>
      <c r="E968" s="15">
        <v>132.01</v>
      </c>
      <c r="F968" s="15">
        <v>132.18</v>
      </c>
      <c r="G968" s="15">
        <v>133.18</v>
      </c>
      <c r="H968" s="15">
        <v>133.38</v>
      </c>
      <c r="I968" s="15">
        <v>133.05</v>
      </c>
      <c r="J968" s="15">
        <v>184.6</v>
      </c>
      <c r="K968" s="15">
        <v>128.2</v>
      </c>
      <c r="L968" s="15">
        <v>24239451</v>
      </c>
      <c r="M968" t="s" s="13">
        <v>8504</v>
      </c>
      <c r="N968" s="15">
        <v>193472</v>
      </c>
      <c r="O968" s="17" cm="1">
        <f t="array" ref="O968">(H968-H967)/H967</f>
        <v>0.009078529278256919</v>
      </c>
    </row>
    <row r="969" ht="13.65" customHeight="1">
      <c r="A969" s="12">
        <v>45665</v>
      </c>
      <c r="B969" t="s" s="13">
        <v>22</v>
      </c>
      <c r="C969" s="15">
        <v>133.93</v>
      </c>
      <c r="D969" s="15">
        <v>134.24</v>
      </c>
      <c r="E969" s="15">
        <v>131.77</v>
      </c>
      <c r="F969" s="15">
        <v>133.38</v>
      </c>
      <c r="G969" s="15">
        <v>132.55</v>
      </c>
      <c r="H969" s="15">
        <v>132.64</v>
      </c>
      <c r="I969" s="15">
        <v>132.65</v>
      </c>
      <c r="J969" s="15">
        <v>184.6</v>
      </c>
      <c r="K969" s="15">
        <v>128.2</v>
      </c>
      <c r="L969" s="15">
        <v>31570331</v>
      </c>
      <c r="M969" t="s" s="13">
        <v>8505</v>
      </c>
      <c r="N969" s="15">
        <v>262476</v>
      </c>
      <c r="O969" s="17" cm="1">
        <f t="array" ref="O969">(H969-H968)/H968</f>
        <v>-0.00554805817963713</v>
      </c>
    </row>
    <row r="970" ht="13.65" customHeight="1">
      <c r="A970" s="12">
        <v>45666</v>
      </c>
      <c r="B970" t="s" s="13">
        <v>22</v>
      </c>
      <c r="C970" s="15">
        <v>132</v>
      </c>
      <c r="D970" s="15">
        <v>132.4</v>
      </c>
      <c r="E970" s="15">
        <v>129.7</v>
      </c>
      <c r="F970" s="15">
        <v>132.64</v>
      </c>
      <c r="G970" s="15">
        <v>130.12</v>
      </c>
      <c r="H970" s="15">
        <v>129.93</v>
      </c>
      <c r="I970" s="15">
        <v>130.53</v>
      </c>
      <c r="J970" s="15">
        <v>184.6</v>
      </c>
      <c r="K970" s="15">
        <v>128.2</v>
      </c>
      <c r="L970" s="15">
        <v>31903107</v>
      </c>
      <c r="M970" t="s" s="13">
        <v>8506</v>
      </c>
      <c r="N970" s="15">
        <v>252233</v>
      </c>
      <c r="O970" s="17" cm="1">
        <f t="array" ref="O970">(H970-H969)/H969</f>
        <v>-0.0204312424607961</v>
      </c>
    </row>
    <row r="971" ht="13.65" customHeight="1">
      <c r="A971" s="18">
        <v>45667</v>
      </c>
      <c r="B971" t="s" s="13">
        <v>22</v>
      </c>
      <c r="C971" s="15">
        <v>129.93</v>
      </c>
      <c r="D971" s="15">
        <v>130.39</v>
      </c>
      <c r="E971" s="15">
        <v>126.7</v>
      </c>
      <c r="F971" s="15">
        <v>129.93</v>
      </c>
      <c r="G971" s="15">
        <v>127.78</v>
      </c>
      <c r="H971" s="15">
        <v>127.43</v>
      </c>
      <c r="I971" s="15">
        <v>128.02</v>
      </c>
      <c r="J971" s="15">
        <v>184.6</v>
      </c>
      <c r="K971" s="15">
        <v>126.7</v>
      </c>
      <c r="L971" s="15">
        <v>34855510</v>
      </c>
      <c r="M971" t="s" s="13">
        <v>8507</v>
      </c>
      <c r="N971" s="15">
        <v>261109</v>
      </c>
      <c r="O971" s="17" cm="1">
        <f t="array" ref="O971">(H971-H970)/H970</f>
        <v>-0.0192411298391442</v>
      </c>
    </row>
    <row r="972" ht="13.65" customHeight="1">
      <c r="A972" s="18">
        <v>45670</v>
      </c>
      <c r="B972" t="s" s="13">
        <v>22</v>
      </c>
      <c r="C972" s="15">
        <v>126</v>
      </c>
      <c r="D972" s="15">
        <v>126.5</v>
      </c>
      <c r="E972" s="15">
        <v>122.62</v>
      </c>
      <c r="F972" s="15">
        <v>127.43</v>
      </c>
      <c r="G972" s="15">
        <v>122.8</v>
      </c>
      <c r="H972" s="15">
        <v>122.93</v>
      </c>
      <c r="I972" s="15">
        <v>124.43</v>
      </c>
      <c r="J972" s="15">
        <v>184.6</v>
      </c>
      <c r="K972" s="15">
        <v>122.62</v>
      </c>
      <c r="L972" s="15">
        <v>38968332</v>
      </c>
      <c r="M972" t="s" s="13">
        <v>8508</v>
      </c>
      <c r="N972" s="15">
        <v>330215</v>
      </c>
      <c r="O972" s="17" cm="1">
        <f t="array" ref="O972">(H972-H971)/H971</f>
        <v>-0.0353135054539747</v>
      </c>
    </row>
    <row r="973" ht="13.65" customHeight="1">
      <c r="A973" s="18">
        <v>45671</v>
      </c>
      <c r="B973" t="s" s="13">
        <v>22</v>
      </c>
      <c r="C973" s="15">
        <v>122.94</v>
      </c>
      <c r="D973" s="15">
        <v>127.64</v>
      </c>
      <c r="E973" s="15">
        <v>122.94</v>
      </c>
      <c r="F973" s="15">
        <v>122.93</v>
      </c>
      <c r="G973" s="15">
        <v>127.22</v>
      </c>
      <c r="H973" s="15">
        <v>126.93</v>
      </c>
      <c r="I973" s="15">
        <v>126.13</v>
      </c>
      <c r="J973" s="15">
        <v>184.6</v>
      </c>
      <c r="K973" s="15">
        <v>122.62</v>
      </c>
      <c r="L973" s="15">
        <v>36877365</v>
      </c>
      <c r="M973" t="s" s="13">
        <v>8509</v>
      </c>
      <c r="N973" s="15">
        <v>253782</v>
      </c>
      <c r="O973" s="17" cm="1">
        <f t="array" ref="O973">(H973-H972)/H972</f>
        <v>0.0325388432441227</v>
      </c>
    </row>
    <row r="974" ht="13.65" customHeight="1">
      <c r="A974" s="18">
        <v>45672</v>
      </c>
      <c r="B974" t="s" s="13">
        <v>22</v>
      </c>
      <c r="C974" s="15">
        <v>128</v>
      </c>
      <c r="D974" s="15">
        <v>128.31</v>
      </c>
      <c r="E974" s="15">
        <v>125.78</v>
      </c>
      <c r="F974" s="15">
        <v>126.93</v>
      </c>
      <c r="G974" s="15">
        <v>126.6</v>
      </c>
      <c r="H974" s="15">
        <v>126.53</v>
      </c>
      <c r="I974" s="15">
        <v>127</v>
      </c>
      <c r="J974" s="15">
        <v>184.6</v>
      </c>
      <c r="K974" s="15">
        <v>122.62</v>
      </c>
      <c r="L974" s="15">
        <v>18773125</v>
      </c>
      <c r="M974" t="s" s="13">
        <v>8510</v>
      </c>
      <c r="N974" s="15">
        <v>196481</v>
      </c>
      <c r="O974" s="17" cm="1">
        <f t="array" ref="O974">(H974-H973)/H973</f>
        <v>-0.0031513432600646</v>
      </c>
    </row>
    <row r="975" ht="13.65" customHeight="1">
      <c r="A975" s="18">
        <v>45673</v>
      </c>
      <c r="B975" t="s" s="13">
        <v>22</v>
      </c>
      <c r="C975" s="15">
        <v>128</v>
      </c>
      <c r="D975" s="15">
        <v>128.47</v>
      </c>
      <c r="E975" s="15">
        <v>126.56</v>
      </c>
      <c r="F975" s="15">
        <v>126.53</v>
      </c>
      <c r="G975" s="15">
        <v>127.7</v>
      </c>
      <c r="H975" s="15">
        <v>127.81</v>
      </c>
      <c r="I975" s="15">
        <v>127.54</v>
      </c>
      <c r="J975" s="15">
        <v>184.6</v>
      </c>
      <c r="K975" s="15">
        <v>122.62</v>
      </c>
      <c r="L975" s="15">
        <v>22164393</v>
      </c>
      <c r="M975" t="s" s="13">
        <v>8511</v>
      </c>
      <c r="N975" s="15">
        <v>176428</v>
      </c>
      <c r="O975" s="17" cm="1">
        <f t="array" ref="O975">(H975-H974)/H974</f>
        <v>0.0101161779815064</v>
      </c>
    </row>
    <row r="976" ht="13.65" customHeight="1">
      <c r="A976" s="18">
        <v>45674</v>
      </c>
      <c r="B976" t="s" s="13">
        <v>22</v>
      </c>
      <c r="C976" s="15">
        <v>127.9</v>
      </c>
      <c r="D976" s="15">
        <v>131.16</v>
      </c>
      <c r="E976" s="15">
        <v>127.64</v>
      </c>
      <c r="F976" s="15">
        <v>127.81</v>
      </c>
      <c r="G976" s="15">
        <v>130.15</v>
      </c>
      <c r="H976" s="15">
        <v>130.28</v>
      </c>
      <c r="I976" s="15">
        <v>129.6</v>
      </c>
      <c r="J976" s="15">
        <v>184.6</v>
      </c>
      <c r="K976" s="15">
        <v>122.62</v>
      </c>
      <c r="L976" s="15">
        <v>27421959</v>
      </c>
      <c r="M976" t="s" s="13">
        <v>8512</v>
      </c>
      <c r="N976" s="15">
        <v>208791</v>
      </c>
      <c r="O976" s="17" cm="1">
        <f t="array" ref="O976">(H976-H975)/H975</f>
        <v>0.0193255613801737</v>
      </c>
    </row>
    <row r="977" ht="13.65" customHeight="1">
      <c r="A977" s="18">
        <v>45677</v>
      </c>
      <c r="B977" t="s" s="13">
        <v>22</v>
      </c>
      <c r="C977" s="15">
        <v>130.99</v>
      </c>
      <c r="D977" s="15">
        <v>132.1</v>
      </c>
      <c r="E977" s="15">
        <v>128.91</v>
      </c>
      <c r="F977" s="15">
        <v>130.28</v>
      </c>
      <c r="G977" s="15">
        <v>131.47</v>
      </c>
      <c r="H977" s="15">
        <v>131.66</v>
      </c>
      <c r="I977" s="15">
        <v>130.59</v>
      </c>
      <c r="J977" s="15">
        <v>184.6</v>
      </c>
      <c r="K977" s="15">
        <v>122.62</v>
      </c>
      <c r="L977" s="15">
        <v>20571916</v>
      </c>
      <c r="M977" t="s" s="13">
        <v>8513</v>
      </c>
      <c r="N977" s="15">
        <v>173350</v>
      </c>
      <c r="O977" s="17" cm="1">
        <f t="array" ref="O977">(H977-H976)/H976</f>
        <v>0.0105925698495548</v>
      </c>
    </row>
    <row r="978" ht="13.65" customHeight="1">
      <c r="A978" s="18">
        <v>45678</v>
      </c>
      <c r="B978" t="s" s="13">
        <v>22</v>
      </c>
      <c r="C978" s="15">
        <v>132.06</v>
      </c>
      <c r="D978" s="15">
        <v>132.4</v>
      </c>
      <c r="E978" s="15">
        <v>129.25</v>
      </c>
      <c r="F978" s="15">
        <v>131.66</v>
      </c>
      <c r="G978" s="15">
        <v>129.78</v>
      </c>
      <c r="H978" s="15">
        <v>129.7</v>
      </c>
      <c r="I978" s="15">
        <v>130.69</v>
      </c>
      <c r="J978" s="15">
        <v>184.6</v>
      </c>
      <c r="K978" s="15">
        <v>122.62</v>
      </c>
      <c r="L978" s="15">
        <v>32238213</v>
      </c>
      <c r="M978" t="s" s="13">
        <v>8514</v>
      </c>
      <c r="N978" s="15">
        <v>216078</v>
      </c>
      <c r="O978" s="17" cm="1">
        <f t="array" ref="O978">(H978-H977)/H977</f>
        <v>-0.0148868297128969</v>
      </c>
    </row>
    <row r="979" ht="13.65" customHeight="1">
      <c r="A979" s="18">
        <v>45679</v>
      </c>
      <c r="B979" t="s" s="13">
        <v>22</v>
      </c>
      <c r="C979" s="15">
        <v>130.25</v>
      </c>
      <c r="D979" s="15">
        <v>130.35</v>
      </c>
      <c r="E979" s="15">
        <v>127.12</v>
      </c>
      <c r="F979" s="15">
        <v>129.7</v>
      </c>
      <c r="G979" s="15">
        <v>128.85</v>
      </c>
      <c r="H979" s="15">
        <v>128.92</v>
      </c>
      <c r="I979" s="15">
        <v>128.45</v>
      </c>
      <c r="J979" s="15">
        <v>184.6</v>
      </c>
      <c r="K979" s="15">
        <v>122.62</v>
      </c>
      <c r="L979" s="15">
        <v>27505569</v>
      </c>
      <c r="M979" t="s" s="13">
        <v>8515</v>
      </c>
      <c r="N979" s="15">
        <v>196312</v>
      </c>
      <c r="O979" s="17" cm="1">
        <f t="array" ref="O979">(H979-H978)/H978</f>
        <v>-0.00601387818041635</v>
      </c>
    </row>
    <row r="980" ht="13.65" customHeight="1">
      <c r="A980" s="18">
        <v>45680</v>
      </c>
      <c r="B980" t="s" s="13">
        <v>22</v>
      </c>
      <c r="C980" s="15">
        <v>127.85</v>
      </c>
      <c r="D980" s="15">
        <v>130.75</v>
      </c>
      <c r="E980" s="15">
        <v>127.7</v>
      </c>
      <c r="F980" s="15">
        <v>128.92</v>
      </c>
      <c r="G980" s="15">
        <v>130.65</v>
      </c>
      <c r="H980" s="15">
        <v>130.37</v>
      </c>
      <c r="I980" s="15">
        <v>130.01</v>
      </c>
      <c r="J980" s="15">
        <v>184.6</v>
      </c>
      <c r="K980" s="15">
        <v>122.62</v>
      </c>
      <c r="L980" s="15">
        <v>20722538</v>
      </c>
      <c r="M980" t="s" s="13">
        <v>8516</v>
      </c>
      <c r="N980" s="15">
        <v>149396</v>
      </c>
      <c r="O980" s="17" cm="1">
        <f t="array" ref="O980">(H980-H979)/H979</f>
        <v>0.0112472851380701</v>
      </c>
    </row>
    <row r="981" ht="13.65" customHeight="1">
      <c r="A981" s="18">
        <v>45681</v>
      </c>
      <c r="B981" t="s" s="13">
        <v>22</v>
      </c>
      <c r="C981" s="15">
        <v>130.5</v>
      </c>
      <c r="D981" s="15">
        <v>133.2</v>
      </c>
      <c r="E981" s="15">
        <v>129.31</v>
      </c>
      <c r="F981" s="15">
        <v>130.37</v>
      </c>
      <c r="G981" s="15">
        <v>130.5</v>
      </c>
      <c r="H981" s="15">
        <v>129.74</v>
      </c>
      <c r="I981" s="15">
        <v>131.01</v>
      </c>
      <c r="J981" s="15">
        <v>184.6</v>
      </c>
      <c r="K981" s="15">
        <v>122.62</v>
      </c>
      <c r="L981" s="15">
        <v>37092106</v>
      </c>
      <c r="M981" t="s" s="13">
        <v>8517</v>
      </c>
      <c r="N981" s="15">
        <v>232578</v>
      </c>
      <c r="O981" s="17" cm="1">
        <f t="array" ref="O981">(H981-H980)/H980</f>
        <v>-0.00483240009204572</v>
      </c>
    </row>
    <row r="982" ht="13.65" customHeight="1">
      <c r="A982" s="18">
        <v>45684</v>
      </c>
      <c r="B982" t="s" s="13">
        <v>22</v>
      </c>
      <c r="C982" s="15">
        <v>129.02</v>
      </c>
      <c r="D982" s="15">
        <v>129.45</v>
      </c>
      <c r="E982" s="15">
        <v>125.74</v>
      </c>
      <c r="F982" s="15">
        <v>129.74</v>
      </c>
      <c r="G982" s="15">
        <v>126.55</v>
      </c>
      <c r="H982" s="15">
        <v>126.37</v>
      </c>
      <c r="I982" s="15">
        <v>127.93</v>
      </c>
      <c r="J982" s="15">
        <v>184.6</v>
      </c>
      <c r="K982" s="15">
        <v>122.62</v>
      </c>
      <c r="L982" s="15">
        <v>24650571</v>
      </c>
      <c r="M982" t="s" s="13">
        <v>8518</v>
      </c>
      <c r="N982" s="15">
        <v>192562</v>
      </c>
      <c r="O982" s="17" cm="1">
        <f t="array" ref="O982">(H982-H981)/H981</f>
        <v>-0.025975026977031</v>
      </c>
    </row>
    <row r="983" ht="13.65" customHeight="1">
      <c r="A983" s="18">
        <v>45685</v>
      </c>
      <c r="B983" t="s" s="13">
        <v>22</v>
      </c>
      <c r="C983" s="15">
        <v>126.37</v>
      </c>
      <c r="D983" s="15">
        <v>130.49</v>
      </c>
      <c r="E983" s="15">
        <v>124.74</v>
      </c>
      <c r="F983" s="15">
        <v>126.37</v>
      </c>
      <c r="G983" s="15">
        <v>128.95</v>
      </c>
      <c r="H983" s="15">
        <v>128.62</v>
      </c>
      <c r="I983" s="15">
        <v>128.42</v>
      </c>
      <c r="J983" s="15">
        <v>184.6</v>
      </c>
      <c r="K983" s="15">
        <v>122.62</v>
      </c>
      <c r="L983" s="15">
        <v>40373804</v>
      </c>
      <c r="M983" t="s" s="13">
        <v>8519</v>
      </c>
      <c r="N983" s="15">
        <v>280931</v>
      </c>
      <c r="O983" s="17" cm="1">
        <f t="array" ref="O983">(H983-H982)/H982</f>
        <v>0.0178048587481206</v>
      </c>
    </row>
    <row r="984" ht="13.65" customHeight="1">
      <c r="A984" s="18">
        <v>45686</v>
      </c>
      <c r="B984" t="s" s="13">
        <v>22</v>
      </c>
      <c r="C984" s="15">
        <v>129</v>
      </c>
      <c r="D984" s="15">
        <v>131.34</v>
      </c>
      <c r="E984" s="15">
        <v>128.55</v>
      </c>
      <c r="F984" s="15">
        <v>128.62</v>
      </c>
      <c r="G984" s="15">
        <v>131</v>
      </c>
      <c r="H984" s="15">
        <v>130.8</v>
      </c>
      <c r="I984" s="15">
        <v>130.49</v>
      </c>
      <c r="J984" s="15">
        <v>184.6</v>
      </c>
      <c r="K984" s="15">
        <v>122.62</v>
      </c>
      <c r="L984" s="15">
        <v>16674706</v>
      </c>
      <c r="M984" t="s" s="13">
        <v>8520</v>
      </c>
      <c r="N984" s="15">
        <v>151765</v>
      </c>
      <c r="O984" s="17" cm="1">
        <f t="array" ref="O984">(H984-H983)/H983</f>
        <v>0.0169491525423729</v>
      </c>
    </row>
    <row r="985" ht="13.65" customHeight="1">
      <c r="A985" s="18">
        <v>45687</v>
      </c>
      <c r="B985" t="s" s="13">
        <v>22</v>
      </c>
      <c r="C985" s="15">
        <v>130.8</v>
      </c>
      <c r="D985" s="15">
        <v>132.15</v>
      </c>
      <c r="E985" s="15">
        <v>130.1</v>
      </c>
      <c r="F985" s="15">
        <v>130.8</v>
      </c>
      <c r="G985" s="15">
        <v>131.8</v>
      </c>
      <c r="H985" s="15">
        <v>131.12</v>
      </c>
      <c r="I985" s="15">
        <v>131.3</v>
      </c>
      <c r="J985" s="15">
        <v>184.6</v>
      </c>
      <c r="K985" s="15">
        <v>122.62</v>
      </c>
      <c r="L985" s="15">
        <v>25256096</v>
      </c>
      <c r="M985" t="s" s="13">
        <v>8521</v>
      </c>
      <c r="N985" s="15">
        <v>152907</v>
      </c>
      <c r="O985" s="17" cm="1">
        <f t="array" ref="O985">(H985-H984)/H984</f>
        <v>0.00244648318042813</v>
      </c>
    </row>
    <row r="986" ht="13.65" customHeight="1">
      <c r="A986" s="18">
        <v>45688</v>
      </c>
      <c r="B986" t="s" s="13">
        <v>22</v>
      </c>
      <c r="C986" s="15">
        <v>131.12</v>
      </c>
      <c r="D986" s="15">
        <v>135</v>
      </c>
      <c r="E986" s="15">
        <v>129.93</v>
      </c>
      <c r="F986" s="15">
        <v>131.12</v>
      </c>
      <c r="G986" s="15">
        <v>134.9</v>
      </c>
      <c r="H986" s="15">
        <v>134.62</v>
      </c>
      <c r="I986" s="15">
        <v>133.62</v>
      </c>
      <c r="J986" s="15">
        <v>184.6</v>
      </c>
      <c r="K986" s="15">
        <v>122.62</v>
      </c>
      <c r="L986" s="15">
        <v>26689228</v>
      </c>
      <c r="M986" t="s" s="13">
        <v>8522</v>
      </c>
      <c r="N986" s="15">
        <v>170870</v>
      </c>
      <c r="O986" s="17" cm="1">
        <f t="array" ref="O986">(H986-H985)/H985</f>
        <v>0.026693105552166</v>
      </c>
    </row>
    <row r="987" ht="13.65" customHeight="1">
      <c r="A987" s="12">
        <v>45689</v>
      </c>
      <c r="B987" t="s" s="13">
        <v>22</v>
      </c>
      <c r="C987" s="15">
        <v>135</v>
      </c>
      <c r="D987" s="15">
        <v>135.5</v>
      </c>
      <c r="E987" s="15">
        <v>130.25</v>
      </c>
      <c r="F987" s="15">
        <v>134.62</v>
      </c>
      <c r="G987" s="15">
        <v>133</v>
      </c>
      <c r="H987" s="15">
        <v>132.97</v>
      </c>
      <c r="I987" s="15">
        <v>133.26</v>
      </c>
      <c r="J987" s="15">
        <v>184.6</v>
      </c>
      <c r="K987" s="15">
        <v>122.62</v>
      </c>
      <c r="L987" s="15">
        <v>21173846</v>
      </c>
      <c r="M987" t="s" s="13">
        <v>8523</v>
      </c>
      <c r="N987" s="15">
        <v>122582</v>
      </c>
      <c r="O987" s="17" cm="1">
        <f t="array" ref="O987">(H987-H986)/H986</f>
        <v>-0.0122567226266528</v>
      </c>
    </row>
    <row r="988" ht="13.65" customHeight="1">
      <c r="A988" s="12">
        <v>45691</v>
      </c>
      <c r="B988" t="s" s="13">
        <v>22</v>
      </c>
      <c r="C988" s="15">
        <v>131.29</v>
      </c>
      <c r="D988" s="15">
        <v>132.51</v>
      </c>
      <c r="E988" s="15">
        <v>127.81</v>
      </c>
      <c r="F988" s="15">
        <v>132.97</v>
      </c>
      <c r="G988" s="15">
        <v>131.52</v>
      </c>
      <c r="H988" s="15">
        <v>131.82</v>
      </c>
      <c r="I988" s="15">
        <v>130.02</v>
      </c>
      <c r="J988" s="15">
        <v>184.6</v>
      </c>
      <c r="K988" s="15">
        <v>122.62</v>
      </c>
      <c r="L988" s="15">
        <v>27765357</v>
      </c>
      <c r="M988" t="s" s="13">
        <v>8524</v>
      </c>
      <c r="N988" s="15">
        <v>217595</v>
      </c>
      <c r="O988" s="17" cm="1">
        <f t="array" ref="O988">(H988-H987)/H987</f>
        <v>-0.008648567346017899</v>
      </c>
    </row>
    <row r="989" ht="13.65" customHeight="1">
      <c r="A989" s="12">
        <v>45692</v>
      </c>
      <c r="B989" t="s" s="13">
        <v>22</v>
      </c>
      <c r="C989" s="15">
        <v>132.8</v>
      </c>
      <c r="D989" s="15">
        <v>134.34</v>
      </c>
      <c r="E989" s="15">
        <v>131.87</v>
      </c>
      <c r="F989" s="15">
        <v>131.82</v>
      </c>
      <c r="G989" s="15">
        <v>133.1</v>
      </c>
      <c r="H989" s="15">
        <v>133.42</v>
      </c>
      <c r="I989" s="15">
        <v>133.08</v>
      </c>
      <c r="J989" s="15">
        <v>184.6</v>
      </c>
      <c r="K989" s="15">
        <v>122.62</v>
      </c>
      <c r="L989" s="15">
        <v>25032519</v>
      </c>
      <c r="M989" t="s" s="13">
        <v>8525</v>
      </c>
      <c r="N989" s="15">
        <v>173008</v>
      </c>
      <c r="O989" s="17" cm="1">
        <f t="array" ref="O989">(H989-H988)/H988</f>
        <v>0.0121377636170536</v>
      </c>
    </row>
    <row r="990" ht="13.65" customHeight="1">
      <c r="A990" s="12">
        <v>45693</v>
      </c>
      <c r="B990" t="s" s="13">
        <v>22</v>
      </c>
      <c r="C990" s="15">
        <v>133.15</v>
      </c>
      <c r="D990" s="15">
        <v>135.39</v>
      </c>
      <c r="E990" s="15">
        <v>133.08</v>
      </c>
      <c r="F990" s="15">
        <v>133.42</v>
      </c>
      <c r="G990" s="15">
        <v>134.34</v>
      </c>
      <c r="H990" s="15">
        <v>134.4</v>
      </c>
      <c r="I990" s="15">
        <v>134.61</v>
      </c>
      <c r="J990" s="15">
        <v>184.6</v>
      </c>
      <c r="K990" s="15">
        <v>122.62</v>
      </c>
      <c r="L990" s="15">
        <v>16958362</v>
      </c>
      <c r="M990" t="s" s="13">
        <v>8526</v>
      </c>
      <c r="N990" s="15">
        <v>150442</v>
      </c>
      <c r="O990" s="17" cm="1">
        <f t="array" ref="O990">(H990-H989)/H989</f>
        <v>0.00734522560335782</v>
      </c>
    </row>
    <row r="991" ht="13.65" customHeight="1">
      <c r="A991" s="12">
        <v>45694</v>
      </c>
      <c r="B991" t="s" s="13">
        <v>22</v>
      </c>
      <c r="C991" s="15">
        <v>134.5</v>
      </c>
      <c r="D991" s="15">
        <v>134.87</v>
      </c>
      <c r="E991" s="15">
        <v>132.02</v>
      </c>
      <c r="F991" s="15">
        <v>134.4</v>
      </c>
      <c r="G991" s="15">
        <v>132.65</v>
      </c>
      <c r="H991" s="15">
        <v>132.54</v>
      </c>
      <c r="I991" s="15">
        <v>132.72</v>
      </c>
      <c r="J991" s="15">
        <v>184.6</v>
      </c>
      <c r="K991" s="15">
        <v>122.62</v>
      </c>
      <c r="L991" s="15">
        <v>22408168</v>
      </c>
      <c r="M991" t="s" s="13">
        <v>8527</v>
      </c>
      <c r="N991" s="15">
        <v>152707</v>
      </c>
      <c r="O991" s="17" cm="1">
        <f t="array" ref="O991">(H991-H990)/H990</f>
        <v>-0.0138392857142857</v>
      </c>
    </row>
    <row r="992" ht="13.65" customHeight="1">
      <c r="A992" s="12">
        <v>45695</v>
      </c>
      <c r="B992" t="s" s="13">
        <v>22</v>
      </c>
      <c r="C992" s="15">
        <v>133.3</v>
      </c>
      <c r="D992" s="15">
        <v>138.75</v>
      </c>
      <c r="E992" s="15">
        <v>132.56</v>
      </c>
      <c r="F992" s="15">
        <v>132.54</v>
      </c>
      <c r="G992" s="15">
        <v>138.16</v>
      </c>
      <c r="H992" s="15">
        <v>138.31</v>
      </c>
      <c r="I992" s="15">
        <v>136.76</v>
      </c>
      <c r="J992" s="15">
        <v>184.6</v>
      </c>
      <c r="K992" s="15">
        <v>122.62</v>
      </c>
      <c r="L992" s="15">
        <v>52950146</v>
      </c>
      <c r="M992" t="s" s="13">
        <v>8528</v>
      </c>
      <c r="N992" s="15">
        <v>278840</v>
      </c>
      <c r="O992" s="17" cm="1">
        <f t="array" ref="O992">(H992-H991)/H991</f>
        <v>0.0435340274634073</v>
      </c>
    </row>
    <row r="993" ht="13.65" customHeight="1">
      <c r="A993" s="18">
        <v>45698</v>
      </c>
      <c r="B993" t="s" s="13">
        <v>22</v>
      </c>
      <c r="C993" s="15">
        <v>138.1</v>
      </c>
      <c r="D993" s="15">
        <v>138.1</v>
      </c>
      <c r="E993" s="15">
        <v>133</v>
      </c>
      <c r="F993" s="15">
        <v>138.31</v>
      </c>
      <c r="G993" s="15">
        <v>133.91</v>
      </c>
      <c r="H993" s="15">
        <v>134.04</v>
      </c>
      <c r="I993" s="15">
        <v>134.12</v>
      </c>
      <c r="J993" s="15">
        <v>184.6</v>
      </c>
      <c r="K993" s="15">
        <v>122.62</v>
      </c>
      <c r="L993" s="15">
        <v>26120805</v>
      </c>
      <c r="M993" t="s" s="13">
        <v>8529</v>
      </c>
      <c r="N993" s="15">
        <v>188430</v>
      </c>
      <c r="O993" s="17" cm="1">
        <f t="array" ref="O993">(H993-H992)/H992</f>
        <v>-0.0308726773190659</v>
      </c>
    </row>
    <row r="994" ht="13.65" customHeight="1">
      <c r="A994" s="18">
        <v>45699</v>
      </c>
      <c r="B994" t="s" s="13">
        <v>22</v>
      </c>
      <c r="C994" s="15">
        <v>133</v>
      </c>
      <c r="D994" s="15">
        <v>134.34</v>
      </c>
      <c r="E994" s="15">
        <v>129.7</v>
      </c>
      <c r="F994" s="15">
        <v>134.04</v>
      </c>
      <c r="G994" s="15">
        <v>130.2</v>
      </c>
      <c r="H994" s="15">
        <v>130.11</v>
      </c>
      <c r="I994" s="15">
        <v>131.71</v>
      </c>
      <c r="J994" s="15">
        <v>184.6</v>
      </c>
      <c r="K994" s="15">
        <v>122.62</v>
      </c>
      <c r="L994" s="15">
        <v>23635428</v>
      </c>
      <c r="M994" t="s" s="13">
        <v>8530</v>
      </c>
      <c r="N994" s="15">
        <v>189150</v>
      </c>
      <c r="O994" s="17" cm="1">
        <f t="array" ref="O994">(H994-H993)/H993</f>
        <v>-0.029319606087735</v>
      </c>
    </row>
    <row r="995" ht="13.65" customHeight="1">
      <c r="A995" s="18">
        <v>45700</v>
      </c>
      <c r="B995" t="s" s="13">
        <v>22</v>
      </c>
      <c r="C995" s="15">
        <v>129.35</v>
      </c>
      <c r="D995" s="15">
        <v>133.29</v>
      </c>
      <c r="E995" s="15">
        <v>128.31</v>
      </c>
      <c r="F995" s="15">
        <v>130.11</v>
      </c>
      <c r="G995" s="15">
        <v>132.25</v>
      </c>
      <c r="H995" s="15">
        <v>132.28</v>
      </c>
      <c r="I995" s="15">
        <v>130.91</v>
      </c>
      <c r="J995" s="15">
        <v>184.6</v>
      </c>
      <c r="K995" s="15">
        <v>122.62</v>
      </c>
      <c r="L995" s="15">
        <v>37927696</v>
      </c>
      <c r="M995" t="s" s="13">
        <v>8531</v>
      </c>
      <c r="N995" s="15">
        <v>219471</v>
      </c>
      <c r="O995" s="17" cm="1">
        <f t="array" ref="O995">(H995-H994)/H994</f>
        <v>0.0166781953731458</v>
      </c>
    </row>
    <row r="996" ht="13.65" customHeight="1">
      <c r="A996" s="18">
        <v>45701</v>
      </c>
      <c r="B996" t="s" s="13">
        <v>22</v>
      </c>
      <c r="C996" s="15">
        <v>132.28</v>
      </c>
      <c r="D996" s="15">
        <v>137.69</v>
      </c>
      <c r="E996" s="15">
        <v>131.86</v>
      </c>
      <c r="F996" s="15">
        <v>132.28</v>
      </c>
      <c r="G996" s="15">
        <v>136.41</v>
      </c>
      <c r="H996" s="15">
        <v>136.25</v>
      </c>
      <c r="I996" s="15">
        <v>136.07</v>
      </c>
      <c r="J996" s="15">
        <v>184.6</v>
      </c>
      <c r="K996" s="15">
        <v>122.62</v>
      </c>
      <c r="L996" s="15">
        <v>52036196</v>
      </c>
      <c r="M996" t="s" s="13">
        <v>8532</v>
      </c>
      <c r="N996" s="15">
        <v>240088</v>
      </c>
      <c r="O996" s="17" cm="1">
        <f t="array" ref="O996">(H996-H995)/H995</f>
        <v>0.0300120955548836</v>
      </c>
    </row>
    <row r="997" ht="13.65" customHeight="1">
      <c r="A997" s="18">
        <v>45702</v>
      </c>
      <c r="B997" t="s" s="13">
        <v>22</v>
      </c>
      <c r="C997" s="15">
        <v>136.25</v>
      </c>
      <c r="D997" s="15">
        <v>139.25</v>
      </c>
      <c r="E997" s="15">
        <v>133.33</v>
      </c>
      <c r="F997" s="15">
        <v>136.25</v>
      </c>
      <c r="G997" s="15">
        <v>134.02</v>
      </c>
      <c r="H997" s="15">
        <v>134.47</v>
      </c>
      <c r="I997" s="15">
        <v>135.51</v>
      </c>
      <c r="J997" s="15">
        <v>184.6</v>
      </c>
      <c r="K997" s="15">
        <v>122.62</v>
      </c>
      <c r="L997" s="15">
        <v>41469242</v>
      </c>
      <c r="M997" t="s" s="13">
        <v>8533</v>
      </c>
      <c r="N997" s="15">
        <v>224745</v>
      </c>
      <c r="O997" s="17" cm="1">
        <f t="array" ref="O997">(H997-H996)/H996</f>
        <v>-0.0130642201834862</v>
      </c>
    </row>
    <row r="998" ht="13.65" customHeight="1">
      <c r="A998" s="18">
        <v>45705</v>
      </c>
      <c r="B998" t="s" s="13">
        <v>22</v>
      </c>
      <c r="C998" s="15">
        <v>132.91</v>
      </c>
      <c r="D998" s="15">
        <v>134.8</v>
      </c>
      <c r="E998" s="15">
        <v>130.73</v>
      </c>
      <c r="F998" s="15">
        <v>134.47</v>
      </c>
      <c r="G998" s="15">
        <v>134.31</v>
      </c>
      <c r="H998" s="15">
        <v>134.29</v>
      </c>
      <c r="I998" s="15">
        <v>133.28</v>
      </c>
      <c r="J998" s="15">
        <v>184.6</v>
      </c>
      <c r="K998" s="15">
        <v>122.62</v>
      </c>
      <c r="L998" s="15">
        <v>21189637</v>
      </c>
      <c r="M998" t="s" s="13">
        <v>8534</v>
      </c>
      <c r="N998" s="15">
        <v>194558</v>
      </c>
      <c r="O998" s="17" cm="1">
        <f t="array" ref="O998">(H998-H997)/H997</f>
        <v>-0.00133858853275824</v>
      </c>
    </row>
    <row r="999" ht="13.65" customHeight="1">
      <c r="A999" s="18">
        <v>45706</v>
      </c>
      <c r="B999" t="s" s="13">
        <v>22</v>
      </c>
      <c r="C999" s="15">
        <v>134.29</v>
      </c>
      <c r="D999" s="15">
        <v>134.9</v>
      </c>
      <c r="E999" s="15">
        <v>131.75</v>
      </c>
      <c r="F999" s="15">
        <v>134.29</v>
      </c>
      <c r="G999" s="15">
        <v>134.16</v>
      </c>
      <c r="H999" s="15">
        <v>134.54</v>
      </c>
      <c r="I999" s="15">
        <v>133.31</v>
      </c>
      <c r="J999" s="15">
        <v>184.6</v>
      </c>
      <c r="K999" s="15">
        <v>122.62</v>
      </c>
      <c r="L999" s="15">
        <v>23957576</v>
      </c>
      <c r="M999" t="s" s="13">
        <v>8535</v>
      </c>
      <c r="N999" s="15">
        <v>144444</v>
      </c>
      <c r="O999" s="17" cm="1">
        <f t="array" ref="O999">(H999-H998)/H998</f>
        <v>0.00186164271353042</v>
      </c>
    </row>
    <row r="1000" ht="13.65" customHeight="1">
      <c r="A1000" s="18">
        <v>45707</v>
      </c>
      <c r="B1000" t="s" s="13">
        <v>22</v>
      </c>
      <c r="C1000" s="15">
        <v>134.5</v>
      </c>
      <c r="D1000" s="15">
        <v>136.88</v>
      </c>
      <c r="E1000" s="15">
        <v>133.03</v>
      </c>
      <c r="F1000" s="15">
        <v>134.54</v>
      </c>
      <c r="G1000" s="15">
        <v>135.8</v>
      </c>
      <c r="H1000" s="15">
        <v>135.76</v>
      </c>
      <c r="I1000" s="15">
        <v>135.87</v>
      </c>
      <c r="J1000" s="15">
        <v>184.6</v>
      </c>
      <c r="K1000" s="15">
        <v>122.62</v>
      </c>
      <c r="L1000" s="15">
        <v>18447487</v>
      </c>
      <c r="M1000" t="s" s="13">
        <v>8536</v>
      </c>
      <c r="N1000" s="15">
        <v>142282</v>
      </c>
      <c r="O1000" s="17" cm="1">
        <f t="array" ref="O1000">(H1000-H999)/H999</f>
        <v>0.00906793518656162</v>
      </c>
    </row>
    <row r="1001" ht="13.65" customHeight="1">
      <c r="A1001" s="18">
        <v>45708</v>
      </c>
      <c r="B1001" t="s" s="13">
        <v>22</v>
      </c>
      <c r="C1001" s="15">
        <v>135.27</v>
      </c>
      <c r="D1001" s="15">
        <v>138.36</v>
      </c>
      <c r="E1001" s="15">
        <v>135</v>
      </c>
      <c r="F1001" s="15">
        <v>135.76</v>
      </c>
      <c r="G1001" s="15">
        <v>138</v>
      </c>
      <c r="H1001" s="15">
        <v>138.04</v>
      </c>
      <c r="I1001" s="15">
        <v>137.22</v>
      </c>
      <c r="J1001" s="15">
        <v>184.6</v>
      </c>
      <c r="K1001" s="15">
        <v>122.62</v>
      </c>
      <c r="L1001" s="15">
        <v>24139808</v>
      </c>
      <c r="M1001" t="s" s="13">
        <v>8537</v>
      </c>
      <c r="N1001" s="15">
        <v>175522</v>
      </c>
      <c r="O1001" s="17" cm="1">
        <f t="array" ref="O1001">(H1001-H1000)/H1000</f>
        <v>0.0167943429581615</v>
      </c>
    </row>
    <row r="1002" ht="13.65" customHeight="1">
      <c r="A1002" s="18">
        <v>45709</v>
      </c>
      <c r="B1002" t="s" s="13">
        <v>22</v>
      </c>
      <c r="C1002" s="15">
        <v>137.91</v>
      </c>
      <c r="D1002" s="15">
        <v>141.6</v>
      </c>
      <c r="E1002" s="15">
        <v>137.15</v>
      </c>
      <c r="F1002" s="15">
        <v>138.04</v>
      </c>
      <c r="G1002" s="15">
        <v>140.6</v>
      </c>
      <c r="H1002" s="15">
        <v>140.76</v>
      </c>
      <c r="I1002" s="15">
        <v>140.19</v>
      </c>
      <c r="J1002" s="15">
        <v>184.6</v>
      </c>
      <c r="K1002" s="15">
        <v>122.62</v>
      </c>
      <c r="L1002" s="15">
        <v>41987785</v>
      </c>
      <c r="M1002" t="s" s="13">
        <v>8538</v>
      </c>
      <c r="N1002" s="15">
        <v>258806</v>
      </c>
      <c r="O1002" s="17" cm="1">
        <f t="array" ref="O1002">(H1002-H1001)/H1001</f>
        <v>0.0197044334975369</v>
      </c>
    </row>
    <row r="1003" ht="13.65" customHeight="1">
      <c r="A1003" s="18">
        <v>45712</v>
      </c>
      <c r="B1003" t="s" s="13">
        <v>22</v>
      </c>
      <c r="C1003" s="15">
        <v>138.81</v>
      </c>
      <c r="D1003" s="15">
        <v>140.66</v>
      </c>
      <c r="E1003" s="15">
        <v>136.66</v>
      </c>
      <c r="F1003" s="15">
        <v>140.76</v>
      </c>
      <c r="G1003" s="15">
        <v>137.39</v>
      </c>
      <c r="H1003" s="15">
        <v>137.65</v>
      </c>
      <c r="I1003" s="15">
        <v>138.86</v>
      </c>
      <c r="J1003" s="15">
        <v>184.6</v>
      </c>
      <c r="K1003" s="15">
        <v>122.62</v>
      </c>
      <c r="L1003" s="15">
        <v>25193205</v>
      </c>
      <c r="M1003" t="s" s="13">
        <v>8539</v>
      </c>
      <c r="N1003" s="15">
        <v>194696</v>
      </c>
      <c r="O1003" s="17" cm="1">
        <f t="array" ref="O1003">(H1003-H1002)/H1002</f>
        <v>-0.0220943449843706</v>
      </c>
    </row>
    <row r="1004" ht="13.65" customHeight="1">
      <c r="A1004" s="18">
        <v>45713</v>
      </c>
      <c r="B1004" t="s" s="13">
        <v>22</v>
      </c>
      <c r="C1004" s="15">
        <v>138.49</v>
      </c>
      <c r="D1004" s="15">
        <v>139.35</v>
      </c>
      <c r="E1004" s="15">
        <v>136.7</v>
      </c>
      <c r="F1004" s="15">
        <v>137.65</v>
      </c>
      <c r="G1004" s="15">
        <v>137</v>
      </c>
      <c r="H1004" s="15">
        <v>137.07</v>
      </c>
      <c r="I1004" s="15">
        <v>137.56</v>
      </c>
      <c r="J1004" s="15">
        <v>184.6</v>
      </c>
      <c r="K1004" s="15">
        <v>122.62</v>
      </c>
      <c r="L1004" s="15">
        <v>23575603</v>
      </c>
      <c r="M1004" t="s" s="13">
        <v>8540</v>
      </c>
      <c r="N1004" s="15">
        <v>202741</v>
      </c>
      <c r="O1004" s="17" cm="1">
        <f t="array" ref="O1004">(H1004-H1003)/H1003</f>
        <v>-0.00421358517980385</v>
      </c>
    </row>
    <row r="1005" ht="13.65" customHeight="1">
      <c r="A1005" s="18">
        <v>45715</v>
      </c>
      <c r="B1005" t="s" s="13">
        <v>22</v>
      </c>
      <c r="C1005" s="15">
        <v>137.21</v>
      </c>
      <c r="D1005" s="15">
        <v>138.99</v>
      </c>
      <c r="E1005" s="15">
        <v>135.88</v>
      </c>
      <c r="F1005" s="15">
        <v>137.07</v>
      </c>
      <c r="G1005" s="15">
        <v>138.8</v>
      </c>
      <c r="H1005" s="15">
        <v>138.69</v>
      </c>
      <c r="I1005" s="15">
        <v>137.24</v>
      </c>
      <c r="J1005" s="15">
        <v>184.6</v>
      </c>
      <c r="K1005" s="15">
        <v>122.62</v>
      </c>
      <c r="L1005" s="15">
        <v>30747044</v>
      </c>
      <c r="M1005" t="s" s="13">
        <v>8541</v>
      </c>
      <c r="N1005" s="15">
        <v>177643</v>
      </c>
      <c r="O1005" s="17" cm="1">
        <f t="array" ref="O1005">(H1005-H1004)/H1004</f>
        <v>0.0118187787261983</v>
      </c>
    </row>
    <row r="1006" ht="13.65" customHeight="1">
      <c r="A1006" s="18">
        <v>45716</v>
      </c>
      <c r="B1006" t="s" s="13">
        <v>22</v>
      </c>
      <c r="C1006" s="15">
        <v>137.8</v>
      </c>
      <c r="D1006" s="15">
        <v>137.8</v>
      </c>
      <c r="E1006" s="15">
        <v>134.06</v>
      </c>
      <c r="F1006" s="15">
        <v>138.69</v>
      </c>
      <c r="G1006" s="15">
        <v>137.16</v>
      </c>
      <c r="H1006" s="15">
        <v>137.2</v>
      </c>
      <c r="I1006" s="15">
        <v>136.23</v>
      </c>
      <c r="J1006" s="15">
        <v>184.6</v>
      </c>
      <c r="K1006" s="15">
        <v>122.62</v>
      </c>
      <c r="L1006" s="15">
        <v>45540594</v>
      </c>
      <c r="M1006" t="s" s="13">
        <v>8542</v>
      </c>
      <c r="N1006" s="15">
        <v>270079</v>
      </c>
      <c r="O1006" s="17" cm="1">
        <f t="array" ref="O1006">(H1006-H1005)/H1005</f>
        <v>-0.0107433845266422</v>
      </c>
    </row>
    <row r="1007" ht="13.65" customHeight="1">
      <c r="A1007" s="12">
        <v>45719</v>
      </c>
      <c r="B1007" t="s" s="13">
        <v>22</v>
      </c>
      <c r="C1007" s="15">
        <v>137</v>
      </c>
      <c r="D1007" s="15">
        <v>139.05</v>
      </c>
      <c r="E1007" s="15">
        <v>134.31</v>
      </c>
      <c r="F1007" s="15">
        <v>137.2</v>
      </c>
      <c r="G1007" s="15">
        <v>138.32</v>
      </c>
      <c r="H1007" s="15">
        <v>138.57</v>
      </c>
      <c r="I1007" s="15">
        <v>137.02</v>
      </c>
      <c r="J1007" s="15">
        <v>184.6</v>
      </c>
      <c r="K1007" s="15">
        <v>122.62</v>
      </c>
      <c r="L1007" s="15">
        <v>31154401</v>
      </c>
      <c r="M1007" t="s" s="13">
        <v>8543</v>
      </c>
      <c r="N1007" s="15">
        <v>228959</v>
      </c>
      <c r="O1007" s="17" cm="1">
        <f t="array" ref="O1007">(H1007-H1006)/H1006</f>
        <v>0.009985422740524779</v>
      </c>
    </row>
    <row r="1008" ht="13.65" customHeight="1">
      <c r="A1008" s="12">
        <v>45720</v>
      </c>
      <c r="B1008" t="s" s="13">
        <v>22</v>
      </c>
      <c r="C1008" s="15">
        <v>136.15</v>
      </c>
      <c r="D1008" s="15">
        <v>140.94</v>
      </c>
      <c r="E1008" s="15">
        <v>135.81</v>
      </c>
      <c r="F1008" s="15">
        <v>138.57</v>
      </c>
      <c r="G1008" s="15">
        <v>139.29</v>
      </c>
      <c r="H1008" s="15">
        <v>139.34</v>
      </c>
      <c r="I1008" s="15">
        <v>139.13</v>
      </c>
      <c r="J1008" s="15">
        <v>184.6</v>
      </c>
      <c r="K1008" s="15">
        <v>122.62</v>
      </c>
      <c r="L1008" s="15">
        <v>28634645</v>
      </c>
      <c r="M1008" t="s" s="13">
        <v>8544</v>
      </c>
      <c r="N1008" s="15">
        <v>173877</v>
      </c>
      <c r="O1008" s="17" cm="1">
        <f t="array" ref="O1008">(H1008-H1007)/H1007</f>
        <v>0.00555675831709605</v>
      </c>
    </row>
    <row r="1009" ht="13.65" customHeight="1">
      <c r="A1009" s="12">
        <v>45721</v>
      </c>
      <c r="B1009" t="s" s="13">
        <v>22</v>
      </c>
      <c r="C1009" s="15">
        <v>139</v>
      </c>
      <c r="D1009" s="15">
        <v>146.49</v>
      </c>
      <c r="E1009" s="15">
        <v>139</v>
      </c>
      <c r="F1009" s="15">
        <v>139.34</v>
      </c>
      <c r="G1009" s="15">
        <v>145.68</v>
      </c>
      <c r="H1009" s="15">
        <v>146.1</v>
      </c>
      <c r="I1009" s="15">
        <v>144.05</v>
      </c>
      <c r="J1009" s="15">
        <v>184.6</v>
      </c>
      <c r="K1009" s="15">
        <v>122.62</v>
      </c>
      <c r="L1009" s="15">
        <v>62109377</v>
      </c>
      <c r="M1009" t="s" s="13">
        <v>8545</v>
      </c>
      <c r="N1009" s="15">
        <v>384142</v>
      </c>
      <c r="O1009" s="17" cm="1">
        <f t="array" ref="O1009">(H1009-H1008)/H1008</f>
        <v>0.0485144251471221</v>
      </c>
    </row>
    <row r="1010" ht="13.65" customHeight="1">
      <c r="A1010" s="12">
        <v>45722</v>
      </c>
      <c r="B1010" t="s" s="13">
        <v>22</v>
      </c>
      <c r="C1010" s="15">
        <v>146.79</v>
      </c>
      <c r="D1010" s="15">
        <v>152.2</v>
      </c>
      <c r="E1010" s="15">
        <v>146.2</v>
      </c>
      <c r="F1010" s="15">
        <v>146.1</v>
      </c>
      <c r="G1010" s="15">
        <v>149.74</v>
      </c>
      <c r="H1010" s="15">
        <v>150.44</v>
      </c>
      <c r="I1010" s="15">
        <v>149.77</v>
      </c>
      <c r="J1010" s="15">
        <v>184.6</v>
      </c>
      <c r="K1010" s="15">
        <v>122.62</v>
      </c>
      <c r="L1010" s="15">
        <v>79121467</v>
      </c>
      <c r="M1010" t="s" s="13">
        <v>8546</v>
      </c>
      <c r="N1010" s="15">
        <v>348979</v>
      </c>
      <c r="O1010" s="17" cm="1">
        <f t="array" ref="O1010">(H1010-H1009)/H1009</f>
        <v>0.0297056810403833</v>
      </c>
    </row>
    <row r="1011" ht="13.65" customHeight="1">
      <c r="A1011" s="12">
        <v>45723</v>
      </c>
      <c r="B1011" t="s" s="13">
        <v>22</v>
      </c>
      <c r="C1011" s="15">
        <v>149.74</v>
      </c>
      <c r="D1011" s="15">
        <v>152.45</v>
      </c>
      <c r="E1011" s="15">
        <v>149.27</v>
      </c>
      <c r="F1011" s="15">
        <v>150.44</v>
      </c>
      <c r="G1011" s="15">
        <v>151.5</v>
      </c>
      <c r="H1011" s="15">
        <v>151.56</v>
      </c>
      <c r="I1011" s="15">
        <v>151.57</v>
      </c>
      <c r="J1011" s="15">
        <v>184.6</v>
      </c>
      <c r="K1011" s="15">
        <v>122.62</v>
      </c>
      <c r="L1011" s="15">
        <v>81821791</v>
      </c>
      <c r="M1011" t="s" s="13">
        <v>8547</v>
      </c>
      <c r="N1011" s="15">
        <v>298325</v>
      </c>
      <c r="O1011" s="17" cm="1">
        <f t="array" ref="O1011">(H1011-H1010)/H1010</f>
        <v>0.0074448285030577</v>
      </c>
    </row>
    <row r="1012" ht="13.65" customHeight="1">
      <c r="A1012" s="18">
        <v>45726</v>
      </c>
      <c r="B1012" t="s" s="13">
        <v>22</v>
      </c>
      <c r="C1012" s="15">
        <v>151.56</v>
      </c>
      <c r="D1012" s="15">
        <v>154.24</v>
      </c>
      <c r="E1012" s="15">
        <v>150.41</v>
      </c>
      <c r="F1012" s="15">
        <v>151.56</v>
      </c>
      <c r="G1012" s="15">
        <v>150.65</v>
      </c>
      <c r="H1012" s="15">
        <v>151.05</v>
      </c>
      <c r="I1012" s="15">
        <v>152.25</v>
      </c>
      <c r="J1012" s="15">
        <v>184.6</v>
      </c>
      <c r="K1012" s="15">
        <v>122.62</v>
      </c>
      <c r="L1012" s="15">
        <v>54450331</v>
      </c>
      <c r="M1012" t="s" s="13">
        <v>8548</v>
      </c>
      <c r="N1012" s="15">
        <v>272383</v>
      </c>
      <c r="O1012" s="17" cm="1">
        <f t="array" ref="O1012">(H1012-H1011)/H1011</f>
        <v>-0.00336500395882819</v>
      </c>
    </row>
    <row r="1013" ht="13.65" customHeight="1">
      <c r="A1013" s="18">
        <v>45727</v>
      </c>
      <c r="B1013" t="s" s="13">
        <v>22</v>
      </c>
      <c r="C1013" s="15">
        <v>148.1</v>
      </c>
      <c r="D1013" s="15">
        <v>151.7</v>
      </c>
      <c r="E1013" s="15">
        <v>148</v>
      </c>
      <c r="F1013" s="15">
        <v>151.05</v>
      </c>
      <c r="G1013" s="15">
        <v>150.83</v>
      </c>
      <c r="H1013" s="15">
        <v>150.75</v>
      </c>
      <c r="I1013" s="15">
        <v>150.56</v>
      </c>
      <c r="J1013" s="15">
        <v>184.6</v>
      </c>
      <c r="K1013" s="15">
        <v>122.62</v>
      </c>
      <c r="L1013" s="15">
        <v>35916900</v>
      </c>
      <c r="M1013" t="s" s="13">
        <v>8549</v>
      </c>
      <c r="N1013" s="15">
        <v>182888</v>
      </c>
      <c r="O1013" s="17" cm="1">
        <f t="array" ref="O1013">(H1013-H1012)/H1012</f>
        <v>-0.00198609731876862</v>
      </c>
    </row>
    <row r="1014" ht="13.65" customHeight="1">
      <c r="A1014" s="18">
        <v>45728</v>
      </c>
      <c r="B1014" t="s" s="13">
        <v>22</v>
      </c>
      <c r="C1014" s="15">
        <v>151</v>
      </c>
      <c r="D1014" s="15">
        <v>152.28</v>
      </c>
      <c r="E1014" s="15">
        <v>147.7</v>
      </c>
      <c r="F1014" s="15">
        <v>150.75</v>
      </c>
      <c r="G1014" s="15">
        <v>150.28</v>
      </c>
      <c r="H1014" s="15">
        <v>150.3</v>
      </c>
      <c r="I1014" s="15">
        <v>149.75</v>
      </c>
      <c r="J1014" s="15">
        <v>184.6</v>
      </c>
      <c r="K1014" s="15">
        <v>122.62</v>
      </c>
      <c r="L1014" s="15">
        <v>26377549</v>
      </c>
      <c r="M1014" t="s" s="13">
        <v>8550</v>
      </c>
      <c r="N1014" s="15">
        <v>152112</v>
      </c>
      <c r="O1014" s="17" cm="1">
        <f t="array" ref="O1014">(H1014-H1013)/H1013</f>
        <v>-0.00298507462686567</v>
      </c>
    </row>
    <row r="1015" ht="13.65" customHeight="1">
      <c r="A1015" s="18">
        <v>45729</v>
      </c>
      <c r="B1015" t="s" s="13">
        <v>22</v>
      </c>
      <c r="C1015" s="15">
        <v>152</v>
      </c>
      <c r="D1015" s="15">
        <v>153.56</v>
      </c>
      <c r="E1015" s="15">
        <v>150.02</v>
      </c>
      <c r="F1015" s="15">
        <v>150.3</v>
      </c>
      <c r="G1015" s="15">
        <v>150.7</v>
      </c>
      <c r="H1015" s="15">
        <v>150.88</v>
      </c>
      <c r="I1015" s="15">
        <v>151.47</v>
      </c>
      <c r="J1015" s="15">
        <v>184.6</v>
      </c>
      <c r="K1015" s="15">
        <v>122.62</v>
      </c>
      <c r="L1015" s="15">
        <v>48286431</v>
      </c>
      <c r="M1015" t="s" s="13">
        <v>8551</v>
      </c>
      <c r="N1015" s="15">
        <v>206875</v>
      </c>
      <c r="O1015" s="17" cm="1">
        <f t="array" ref="O1015">(H1015-H1014)/H1014</f>
        <v>0.00385894876912841</v>
      </c>
    </row>
    <row r="1016" ht="13.65" customHeight="1">
      <c r="A1016" s="18">
        <v>45733</v>
      </c>
      <c r="B1016" t="s" s="13">
        <v>22</v>
      </c>
      <c r="C1016" s="15">
        <v>151.99</v>
      </c>
      <c r="D1016" s="15">
        <v>152.64</v>
      </c>
      <c r="E1016" s="15">
        <v>150.9</v>
      </c>
      <c r="F1016" s="15">
        <v>150.88</v>
      </c>
      <c r="G1016" s="15">
        <v>152.01</v>
      </c>
      <c r="H1016" s="15">
        <v>151.81</v>
      </c>
      <c r="I1016" s="15">
        <v>151.74</v>
      </c>
      <c r="J1016" s="15">
        <v>184.6</v>
      </c>
      <c r="K1016" s="15">
        <v>122.62</v>
      </c>
      <c r="L1016" s="15">
        <v>35879781</v>
      </c>
      <c r="M1016" t="s" s="13">
        <v>8552</v>
      </c>
      <c r="N1016" s="15">
        <v>191938</v>
      </c>
      <c r="O1016" s="17" cm="1">
        <f t="array" ref="O1016">(H1016-H1015)/H1015</f>
        <v>0.00616383881230117</v>
      </c>
    </row>
    <row r="1017" ht="13.65" customHeight="1">
      <c r="A1017" s="18">
        <v>45734</v>
      </c>
      <c r="B1017" t="s" s="13">
        <v>22</v>
      </c>
      <c r="C1017" s="15">
        <v>153</v>
      </c>
      <c r="D1017" s="15">
        <v>154.83</v>
      </c>
      <c r="E1017" s="15">
        <v>152.22</v>
      </c>
      <c r="F1017" s="15">
        <v>151.81</v>
      </c>
      <c r="G1017" s="15">
        <v>154.6</v>
      </c>
      <c r="H1017" s="15">
        <v>154.66</v>
      </c>
      <c r="I1017" s="15">
        <v>153.68</v>
      </c>
      <c r="J1017" s="15">
        <v>184.6</v>
      </c>
      <c r="K1017" s="15">
        <v>122.62</v>
      </c>
      <c r="L1017" s="15">
        <v>38125586</v>
      </c>
      <c r="M1017" t="s" s="13">
        <v>8553</v>
      </c>
      <c r="N1017" s="15">
        <v>277281</v>
      </c>
      <c r="O1017" s="17" cm="1">
        <f t="array" ref="O1017">(H1017-H1016)/H1016</f>
        <v>0.0187734668335419</v>
      </c>
    </row>
    <row r="1018" ht="13.65" customHeight="1">
      <c r="A1018" s="18">
        <v>45735</v>
      </c>
      <c r="B1018" t="s" s="13">
        <v>22</v>
      </c>
      <c r="C1018" s="15">
        <v>156.8</v>
      </c>
      <c r="D1018" s="15">
        <v>159.2</v>
      </c>
      <c r="E1018" s="15">
        <v>156.5</v>
      </c>
      <c r="F1018" s="15">
        <v>154.66</v>
      </c>
      <c r="G1018" s="15">
        <v>158.54</v>
      </c>
      <c r="H1018" s="15">
        <v>158.6</v>
      </c>
      <c r="I1018" s="15">
        <v>158.11</v>
      </c>
      <c r="J1018" s="15">
        <v>184.6</v>
      </c>
      <c r="K1018" s="15">
        <v>122.62</v>
      </c>
      <c r="L1018" s="15">
        <v>66161413</v>
      </c>
      <c r="M1018" t="s" s="13">
        <v>8554</v>
      </c>
      <c r="N1018" s="15">
        <v>362436</v>
      </c>
      <c r="O1018" s="17" cm="1">
        <f t="array" ref="O1018">(H1018-H1017)/H1017</f>
        <v>0.0254752360015518</v>
      </c>
    </row>
    <row r="1019" ht="13.65" customHeight="1">
      <c r="A1019" s="18">
        <v>45736</v>
      </c>
      <c r="B1019" t="s" s="13">
        <v>22</v>
      </c>
      <c r="C1019" s="15">
        <v>160</v>
      </c>
      <c r="D1019" s="15">
        <v>160.1</v>
      </c>
      <c r="E1019" s="15">
        <v>156.65</v>
      </c>
      <c r="F1019" s="15">
        <v>158.6</v>
      </c>
      <c r="G1019" s="15">
        <v>159.03</v>
      </c>
      <c r="H1019" s="15">
        <v>159.04</v>
      </c>
      <c r="I1019" s="15">
        <v>158.64</v>
      </c>
      <c r="J1019" s="15">
        <v>184.6</v>
      </c>
      <c r="K1019" s="15">
        <v>122.62</v>
      </c>
      <c r="L1019" s="15">
        <v>39889517</v>
      </c>
      <c r="M1019" t="s" s="13">
        <v>8555</v>
      </c>
      <c r="N1019" s="15">
        <v>193466</v>
      </c>
      <c r="O1019" s="17" cm="1">
        <f t="array" ref="O1019">(H1019-H1018)/H1018</f>
        <v>0.00277427490542245</v>
      </c>
    </row>
    <row r="1020" ht="13.65" customHeight="1">
      <c r="A1020" s="18">
        <v>45737</v>
      </c>
      <c r="B1020" t="s" s="13">
        <v>22</v>
      </c>
      <c r="C1020" s="15">
        <v>159.03</v>
      </c>
      <c r="D1020" s="15">
        <v>159.75</v>
      </c>
      <c r="E1020" s="15">
        <v>156.82</v>
      </c>
      <c r="F1020" s="15">
        <v>159.04</v>
      </c>
      <c r="G1020" s="15">
        <v>157.08</v>
      </c>
      <c r="H1020" s="15">
        <v>157.28</v>
      </c>
      <c r="I1020" s="15">
        <v>157.96</v>
      </c>
      <c r="J1020" s="15">
        <v>184.6</v>
      </c>
      <c r="K1020" s="15">
        <v>122.62</v>
      </c>
      <c r="L1020" s="15">
        <v>49184821</v>
      </c>
      <c r="M1020" t="s" s="13">
        <v>8556</v>
      </c>
      <c r="N1020" s="15">
        <v>154615</v>
      </c>
      <c r="O1020" s="17" cm="1">
        <f t="array" ref="O1020">(H1020-H1019)/H1019</f>
        <v>-0.0110663983903421</v>
      </c>
    </row>
    <row r="1021" ht="13.65" customHeight="1">
      <c r="A1021" s="18">
        <v>45740</v>
      </c>
      <c r="B1021" t="s" s="13">
        <v>22</v>
      </c>
      <c r="C1021" s="15">
        <v>158</v>
      </c>
      <c r="D1021" s="15">
        <v>159</v>
      </c>
      <c r="E1021" s="15">
        <v>157.11</v>
      </c>
      <c r="F1021" s="15">
        <v>157.28</v>
      </c>
      <c r="G1021" s="15">
        <v>158.29</v>
      </c>
      <c r="H1021" s="15">
        <v>158.42</v>
      </c>
      <c r="I1021" s="15">
        <v>158.42</v>
      </c>
      <c r="J1021" s="15">
        <v>184.6</v>
      </c>
      <c r="K1021" s="15">
        <v>122.62</v>
      </c>
      <c r="L1021" s="15">
        <v>30905773</v>
      </c>
      <c r="M1021" t="s" s="13">
        <v>8557</v>
      </c>
      <c r="N1021" s="15">
        <v>154989</v>
      </c>
      <c r="O1021" s="17" cm="1">
        <f t="array" ref="O1021">(H1021-H1020)/H1020</f>
        <v>0.00724821973550356</v>
      </c>
    </row>
    <row r="1022" ht="13.65" customHeight="1">
      <c r="A1022" s="18">
        <v>45741</v>
      </c>
      <c r="B1022" t="s" s="13">
        <v>22</v>
      </c>
      <c r="C1022" s="15">
        <v>159</v>
      </c>
      <c r="D1022" s="15">
        <v>159</v>
      </c>
      <c r="E1022" s="15">
        <v>156.05</v>
      </c>
      <c r="F1022" s="15">
        <v>158.42</v>
      </c>
      <c r="G1022" s="15">
        <v>156.27</v>
      </c>
      <c r="H1022" s="15">
        <v>156.73</v>
      </c>
      <c r="I1022" s="15">
        <v>157.22</v>
      </c>
      <c r="J1022" s="15">
        <v>184.6</v>
      </c>
      <c r="K1022" s="15">
        <v>122.62</v>
      </c>
      <c r="L1022" s="15">
        <v>28467187</v>
      </c>
      <c r="M1022" t="s" s="13">
        <v>8558</v>
      </c>
      <c r="N1022" s="15">
        <v>182282</v>
      </c>
      <c r="O1022" s="17" cm="1">
        <f t="array" ref="O1022">(H1022-H1021)/H1021</f>
        <v>-0.0106678449690696</v>
      </c>
    </row>
    <row r="1023" ht="13.65" customHeight="1">
      <c r="A1023" s="18">
        <v>45742</v>
      </c>
      <c r="B1023" t="s" s="13">
        <v>22</v>
      </c>
      <c r="C1023" s="15">
        <v>156.2</v>
      </c>
      <c r="D1023" s="15">
        <v>157.54</v>
      </c>
      <c r="E1023" s="15">
        <v>155.01</v>
      </c>
      <c r="F1023" s="15">
        <v>156.73</v>
      </c>
      <c r="G1023" s="15">
        <v>155.07</v>
      </c>
      <c r="H1023" s="15">
        <v>155.81</v>
      </c>
      <c r="I1023" s="15">
        <v>156.44</v>
      </c>
      <c r="J1023" s="15">
        <v>184.6</v>
      </c>
      <c r="K1023" s="15">
        <v>122.62</v>
      </c>
      <c r="L1023" s="15">
        <v>23182869</v>
      </c>
      <c r="M1023" t="s" s="13">
        <v>8559</v>
      </c>
      <c r="N1023" s="15">
        <v>142138</v>
      </c>
      <c r="O1023" s="17" cm="1">
        <f t="array" ref="O1023">(H1023-H1022)/H1022</f>
        <v>-0.00586996745996299</v>
      </c>
    </row>
    <row r="1024" ht="13.65" customHeight="1">
      <c r="A1024" s="18">
        <v>45743</v>
      </c>
      <c r="B1024" t="s" s="13">
        <v>22</v>
      </c>
      <c r="C1024" s="15">
        <v>154.8</v>
      </c>
      <c r="D1024" s="15">
        <v>156.1</v>
      </c>
      <c r="E1024" s="15">
        <v>154.2</v>
      </c>
      <c r="F1024" s="15">
        <v>155.81</v>
      </c>
      <c r="G1024" s="15">
        <v>155.36</v>
      </c>
      <c r="H1024" s="15">
        <v>155.42</v>
      </c>
      <c r="I1024" s="15">
        <v>155.47</v>
      </c>
      <c r="J1024" s="15">
        <v>184.6</v>
      </c>
      <c r="K1024" s="15">
        <v>122.62</v>
      </c>
      <c r="L1024" s="15">
        <v>25909068</v>
      </c>
      <c r="M1024" t="s" s="13">
        <v>8560</v>
      </c>
      <c r="N1024" s="15">
        <v>136794</v>
      </c>
      <c r="O1024" s="17" cm="1">
        <f t="array" ref="O1024">(H1024-H1023)/H1023</f>
        <v>-0.00250304858481484</v>
      </c>
    </row>
    <row r="1025" ht="13.65" customHeight="1">
      <c r="A1025" s="18">
        <v>45744</v>
      </c>
      <c r="B1025" t="s" s="13">
        <v>22</v>
      </c>
      <c r="C1025" s="15">
        <v>155.38</v>
      </c>
      <c r="D1025" s="15">
        <v>156.91</v>
      </c>
      <c r="E1025" s="15">
        <v>153.37</v>
      </c>
      <c r="F1025" s="15">
        <v>155.42</v>
      </c>
      <c r="G1025" s="15">
        <v>153.98</v>
      </c>
      <c r="H1025" s="15">
        <v>154.24</v>
      </c>
      <c r="I1025" s="15">
        <v>154.5</v>
      </c>
      <c r="J1025" s="15">
        <v>184.6</v>
      </c>
      <c r="K1025" s="15">
        <v>122.62</v>
      </c>
      <c r="L1025" s="15">
        <v>24589315</v>
      </c>
      <c r="M1025" t="s" s="13">
        <v>8561</v>
      </c>
      <c r="N1025" s="15">
        <v>105656</v>
      </c>
      <c r="O1025" s="17" cm="1">
        <f t="array" ref="O1025">(H1025-H1024)/H1024</f>
        <v>-0.00759233045940033</v>
      </c>
    </row>
    <row r="1026" ht="13.65" customHeight="1">
      <c r="A1026" s="12">
        <v>45748</v>
      </c>
      <c r="B1026" t="s" s="13">
        <v>22</v>
      </c>
      <c r="C1026" s="15">
        <v>152.07</v>
      </c>
      <c r="D1026" s="15">
        <v>155.34</v>
      </c>
      <c r="E1026" s="15">
        <v>152.07</v>
      </c>
      <c r="F1026" s="15">
        <v>154.24</v>
      </c>
      <c r="G1026" s="15">
        <v>153.25</v>
      </c>
      <c r="H1026" s="15">
        <v>153.12</v>
      </c>
      <c r="I1026" s="15">
        <v>153.41</v>
      </c>
      <c r="J1026" s="15">
        <v>184.6</v>
      </c>
      <c r="K1026" s="15">
        <v>122.62</v>
      </c>
      <c r="L1026" s="15">
        <v>29142122</v>
      </c>
      <c r="M1026" t="s" s="13">
        <v>8562</v>
      </c>
      <c r="N1026" s="15">
        <v>151632</v>
      </c>
      <c r="O1026" s="17" cm="1">
        <f t="array" ref="O1026">(H1026-H1025)/H1025</f>
        <v>-0.00726141078838174</v>
      </c>
    </row>
    <row r="1027" ht="13.65" customHeight="1">
      <c r="A1027" s="21"/>
      <c r="B1027" s="21"/>
      <c r="C1027" s="21"/>
      <c r="D1027" s="21"/>
      <c r="E1027" s="21"/>
      <c r="F1027" s="21"/>
      <c r="G1027" s="21"/>
      <c r="H1027" s="21"/>
      <c r="I1027" s="21"/>
      <c r="J1027" s="21"/>
      <c r="K1027" s="21"/>
      <c r="L1027" s="21"/>
      <c r="M1027" s="21"/>
      <c r="N1027" s="21"/>
      <c r="O1027" s="8"/>
    </row>
    <row r="1028" ht="13.65" customHeight="1">
      <c r="A1028" s="8"/>
      <c r="B1028" s="8"/>
      <c r="C1028" s="8"/>
      <c r="D1028" s="8"/>
      <c r="E1028" s="8"/>
      <c r="F1028" s="8"/>
      <c r="G1028" s="8"/>
      <c r="H1028" s="8"/>
      <c r="I1028" s="8"/>
      <c r="J1028" s="8"/>
      <c r="K1028" s="8"/>
      <c r="L1028" s="8"/>
      <c r="M1028" s="8"/>
      <c r="N1028" t="s" s="7">
        <v>1028</v>
      </c>
      <c r="O1028" s="22" cm="1">
        <f t="array" ref="O1028">AVERAGE(O778:O1026)</f>
        <v>-0.000100486921441722</v>
      </c>
    </row>
    <row r="1029" ht="13.65" customHeight="1">
      <c r="A1029" s="8"/>
      <c r="B1029" s="8"/>
      <c r="C1029" s="8"/>
      <c r="D1029" s="8"/>
      <c r="E1029" s="8"/>
      <c r="F1029" s="8"/>
      <c r="G1029" s="8"/>
      <c r="H1029" s="8"/>
      <c r="I1029" s="8"/>
      <c r="J1029" s="8"/>
      <c r="K1029" s="8"/>
      <c r="L1029" s="8"/>
      <c r="M1029" s="8"/>
      <c r="N1029" t="s" s="7">
        <v>527</v>
      </c>
      <c r="O1029" s="22" cm="1">
        <f t="array" ref="O1029">STDEV(O778:O1026)</f>
        <v>0.0175552096072506</v>
      </c>
    </row>
    <row r="1030" ht="13.65" customHeight="1">
      <c r="A1030" s="8"/>
      <c r="B1030" s="8"/>
      <c r="C1030" s="8"/>
      <c r="D1030" s="8"/>
      <c r="E1030" s="8"/>
      <c r="F1030" s="8"/>
      <c r="G1030" s="8"/>
      <c r="H1030" s="8"/>
      <c r="I1030" s="8"/>
      <c r="J1030" s="8"/>
      <c r="K1030" s="8"/>
      <c r="L1030" s="8"/>
      <c r="M1030" s="8"/>
      <c r="N1030" t="s" s="7">
        <v>274</v>
      </c>
      <c r="O1030" s="23" cm="1">
        <f t="array" ref="O1030">AVERAGE(L777:L1026)</f>
        <v>41781050.448</v>
      </c>
    </row>
    <row r="1031" ht="13.65" customHeight="1">
      <c r="A1031" s="8"/>
      <c r="B1031" s="8"/>
      <c r="C1031" s="8"/>
      <c r="D1031" s="8"/>
      <c r="E1031" s="8"/>
      <c r="F1031" s="8"/>
      <c r="G1031" s="8"/>
      <c r="H1031" s="8"/>
      <c r="I1031" s="8"/>
      <c r="J1031" s="8"/>
      <c r="K1031" s="8"/>
      <c r="L1031" s="8"/>
      <c r="M1031" s="8"/>
      <c r="N1031" t="s" s="7">
        <v>275</v>
      </c>
      <c r="O1031" s="23" cm="1">
        <f t="array" ref="O1031">IF(H1026&gt;H777,1,IF(H1026&lt;H777,-1,0))</f>
        <v>-1</v>
      </c>
    </row>
    <row r="1032" ht="13.65" customHeight="1">
      <c r="A1032" s="8"/>
      <c r="B1032" s="8"/>
      <c r="C1032" s="8"/>
      <c r="D1032" s="8"/>
      <c r="E1032" s="8"/>
      <c r="F1032" s="8"/>
      <c r="G1032" s="8"/>
      <c r="H1032" s="8"/>
      <c r="I1032" s="8"/>
      <c r="J1032" s="8"/>
      <c r="K1032" s="8"/>
      <c r="L1032" s="8"/>
      <c r="M1032" s="8"/>
      <c r="N1032" t="s" s="7">
        <v>528</v>
      </c>
      <c r="O1032" s="22" cm="1">
        <f t="array" ref="O1032">(H1026-H777)/H777</f>
        <v>-0.0614771682500766</v>
      </c>
    </row>
    <row r="1033" ht="13.65" customHeight="1">
      <c r="A1033" s="8"/>
      <c r="B1033" s="8"/>
      <c r="C1033" s="8"/>
      <c r="D1033" s="8"/>
      <c r="E1033" s="8"/>
      <c r="F1033" s="8"/>
      <c r="G1033" s="8"/>
      <c r="H1033" s="8"/>
      <c r="I1033" s="8"/>
      <c r="J1033" s="8"/>
      <c r="K1033" s="8"/>
      <c r="L1033" s="8"/>
      <c r="M1033" s="8"/>
      <c r="N1033" s="8"/>
      <c r="O1033" s="8"/>
    </row>
    <row r="1034" ht="13.65" customHeight="1">
      <c r="A1034" t="s" s="7">
        <v>1029</v>
      </c>
      <c r="B1034" s="8"/>
      <c r="C1034" s="8"/>
      <c r="D1034" s="8"/>
      <c r="E1034" s="8"/>
      <c r="F1034" s="8"/>
      <c r="G1034" s="8"/>
      <c r="H1034" s="8"/>
      <c r="I1034" s="8"/>
      <c r="J1034" s="8"/>
      <c r="K1034" s="8"/>
      <c r="L1034" s="8"/>
      <c r="M1034" s="8"/>
      <c r="N1034" s="8"/>
      <c r="O1034" s="8"/>
    </row>
    <row r="1035" ht="13.65" customHeight="1">
      <c r="A1035" s="9"/>
      <c r="B1035" s="9"/>
      <c r="C1035" s="9"/>
      <c r="D1035" s="9"/>
      <c r="E1035" s="9"/>
      <c r="F1035" s="9"/>
      <c r="G1035" s="9"/>
      <c r="H1035" s="9"/>
      <c r="I1035" s="9"/>
      <c r="J1035" s="9"/>
      <c r="K1035" s="9"/>
      <c r="L1035" s="9"/>
      <c r="M1035" s="9"/>
      <c r="N1035" s="9"/>
      <c r="O1035" s="8"/>
    </row>
    <row r="1036" ht="13.65" customHeight="1">
      <c r="A1036" t="s" s="10">
        <v>7</v>
      </c>
      <c r="B1036" t="s" s="10">
        <v>8</v>
      </c>
      <c r="C1036" t="s" s="10">
        <v>9</v>
      </c>
      <c r="D1036" t="s" s="10">
        <v>10</v>
      </c>
      <c r="E1036" t="s" s="10">
        <v>11</v>
      </c>
      <c r="F1036" t="s" s="10">
        <v>12</v>
      </c>
      <c r="G1036" t="s" s="10">
        <v>13</v>
      </c>
      <c r="H1036" t="s" s="10">
        <v>14</v>
      </c>
      <c r="I1036" t="s" s="10">
        <v>15</v>
      </c>
      <c r="J1036" t="s" s="10">
        <v>16</v>
      </c>
      <c r="K1036" t="s" s="10">
        <v>17</v>
      </c>
      <c r="L1036" t="s" s="10">
        <v>18</v>
      </c>
      <c r="M1036" t="s" s="10">
        <v>19</v>
      </c>
      <c r="N1036" t="s" s="10">
        <v>20</v>
      </c>
      <c r="O1036" t="s" s="11">
        <v>278</v>
      </c>
    </row>
    <row r="1037" ht="13.65" customHeight="1">
      <c r="A1037" s="12">
        <v>45748</v>
      </c>
      <c r="B1037" t="s" s="13">
        <v>22</v>
      </c>
      <c r="C1037" s="15">
        <v>152.07</v>
      </c>
      <c r="D1037" s="15">
        <v>155.34</v>
      </c>
      <c r="E1037" s="15">
        <v>152.07</v>
      </c>
      <c r="F1037" s="15">
        <v>154.24</v>
      </c>
      <c r="G1037" s="15">
        <v>153.25</v>
      </c>
      <c r="H1037" s="15">
        <v>153.12</v>
      </c>
      <c r="I1037" s="15">
        <v>153.41</v>
      </c>
      <c r="J1037" s="15">
        <v>184.6</v>
      </c>
      <c r="K1037" s="15">
        <v>122.62</v>
      </c>
      <c r="L1037" s="15">
        <v>29142122</v>
      </c>
      <c r="M1037" t="s" s="13">
        <v>8562</v>
      </c>
      <c r="N1037" s="15">
        <v>151632</v>
      </c>
      <c r="O1037" s="17"/>
    </row>
    <row r="1038" ht="13.65" customHeight="1">
      <c r="A1038" s="12">
        <v>45749</v>
      </c>
      <c r="B1038" t="s" s="13">
        <v>22</v>
      </c>
      <c r="C1038" s="15">
        <v>154</v>
      </c>
      <c r="D1038" s="15">
        <v>156.25</v>
      </c>
      <c r="E1038" s="15">
        <v>152.27</v>
      </c>
      <c r="F1038" s="15">
        <v>153.12</v>
      </c>
      <c r="G1038" s="15">
        <v>154.84</v>
      </c>
      <c r="H1038" s="15">
        <v>154.69</v>
      </c>
      <c r="I1038" s="15">
        <v>154.35</v>
      </c>
      <c r="J1038" s="15">
        <v>184.6</v>
      </c>
      <c r="K1038" s="15">
        <v>122.62</v>
      </c>
      <c r="L1038" s="15">
        <v>24977582</v>
      </c>
      <c r="M1038" t="s" s="13">
        <v>8563</v>
      </c>
      <c r="N1038" s="15">
        <v>122844</v>
      </c>
      <c r="O1038" s="17" cm="1">
        <f t="array" ref="O1038">(H1038-H1037)/H1037</f>
        <v>0.0102533960292581</v>
      </c>
    </row>
    <row r="1039" ht="13.65" customHeight="1">
      <c r="A1039" s="12">
        <v>45750</v>
      </c>
      <c r="B1039" t="s" s="13">
        <v>22</v>
      </c>
      <c r="C1039" s="15">
        <v>153</v>
      </c>
      <c r="D1039" s="15">
        <v>155.97</v>
      </c>
      <c r="E1039" s="15">
        <v>152.6</v>
      </c>
      <c r="F1039" s="15">
        <v>154.69</v>
      </c>
      <c r="G1039" s="15">
        <v>153.85</v>
      </c>
      <c r="H1039" s="15">
        <v>153.62</v>
      </c>
      <c r="I1039" s="15">
        <v>154.44</v>
      </c>
      <c r="J1039" s="15">
        <v>184.6</v>
      </c>
      <c r="K1039" s="15">
        <v>122.62</v>
      </c>
      <c r="L1039" s="15">
        <v>15117526</v>
      </c>
      <c r="M1039" t="s" s="13">
        <v>8564</v>
      </c>
      <c r="N1039" s="15">
        <v>110552</v>
      </c>
      <c r="O1039" s="17" cm="1">
        <f t="array" ref="O1039">(H1039-H1038)/H1038</f>
        <v>-0.00691705992630422</v>
      </c>
    </row>
    <row r="1040" ht="13.65" customHeight="1">
      <c r="A1040" s="12">
        <v>45751</v>
      </c>
      <c r="B1040" t="s" s="13">
        <v>22</v>
      </c>
      <c r="C1040" s="15">
        <v>152.62</v>
      </c>
      <c r="D1040" s="15">
        <v>152.99</v>
      </c>
      <c r="E1040" s="15">
        <v>140</v>
      </c>
      <c r="F1040" s="15">
        <v>153.62</v>
      </c>
      <c r="G1040" s="15">
        <v>140.67</v>
      </c>
      <c r="H1040" s="15">
        <v>140.39</v>
      </c>
      <c r="I1040" s="15">
        <v>143.35</v>
      </c>
      <c r="J1040" s="15">
        <v>184.6</v>
      </c>
      <c r="K1040" s="15">
        <v>122.62</v>
      </c>
      <c r="L1040" s="15">
        <v>80846143</v>
      </c>
      <c r="M1040" t="s" s="13">
        <v>8565</v>
      </c>
      <c r="N1040" s="15">
        <v>439854</v>
      </c>
      <c r="O1040" s="17" cm="1">
        <f t="array" ref="O1040">(H1040-H1039)/H1039</f>
        <v>-0.0861215987501627</v>
      </c>
    </row>
    <row r="1041" ht="13.65" customHeight="1">
      <c r="A1041" s="12">
        <v>45754</v>
      </c>
      <c r="B1041" t="s" s="13">
        <v>22</v>
      </c>
      <c r="C1041" s="15">
        <v>128</v>
      </c>
      <c r="D1041" s="15">
        <v>130.35</v>
      </c>
      <c r="E1041" s="15">
        <v>125.33</v>
      </c>
      <c r="F1041" s="15">
        <v>140.39</v>
      </c>
      <c r="G1041" s="15">
        <v>130.2</v>
      </c>
      <c r="H1041" s="15">
        <v>129.48</v>
      </c>
      <c r="I1041" s="15">
        <v>127.62</v>
      </c>
      <c r="J1041" s="15">
        <v>184.6</v>
      </c>
      <c r="K1041" s="15">
        <v>122.62</v>
      </c>
      <c r="L1041" s="15">
        <v>121806340</v>
      </c>
      <c r="M1041" t="s" s="13">
        <v>8566</v>
      </c>
      <c r="N1041" s="15">
        <v>607208</v>
      </c>
      <c r="O1041" s="17" cm="1">
        <f t="array" ref="O1041">(H1041-H1040)/H1040</f>
        <v>-0.0777120877555381</v>
      </c>
    </row>
    <row r="1042" ht="13.65" customHeight="1">
      <c r="A1042" s="12">
        <v>45755</v>
      </c>
      <c r="B1042" t="s" s="13">
        <v>22</v>
      </c>
      <c r="C1042" s="15">
        <v>134.89</v>
      </c>
      <c r="D1042" s="15">
        <v>136.2</v>
      </c>
      <c r="E1042" s="15">
        <v>128.02</v>
      </c>
      <c r="F1042" s="15">
        <v>129.48</v>
      </c>
      <c r="G1042" s="15">
        <v>130.05</v>
      </c>
      <c r="H1042" s="15">
        <v>130.28</v>
      </c>
      <c r="I1042" s="15">
        <v>131.06</v>
      </c>
      <c r="J1042" s="15">
        <v>184.6</v>
      </c>
      <c r="K1042" s="15">
        <v>122.62</v>
      </c>
      <c r="L1042" s="15">
        <v>68999181</v>
      </c>
      <c r="M1042" t="s" s="13">
        <v>8567</v>
      </c>
      <c r="N1042" s="15">
        <v>360513</v>
      </c>
      <c r="O1042" s="17" cm="1">
        <f t="array" ref="O1042">(H1042-H1041)/H1041</f>
        <v>0.00617856039542787</v>
      </c>
    </row>
    <row r="1043" ht="13.65" customHeight="1">
      <c r="A1043" s="12">
        <v>45756</v>
      </c>
      <c r="B1043" t="s" s="13">
        <v>22</v>
      </c>
      <c r="C1043" s="15">
        <v>130</v>
      </c>
      <c r="D1043" s="15">
        <v>130</v>
      </c>
      <c r="E1043" s="15">
        <v>125.3</v>
      </c>
      <c r="F1043" s="15">
        <v>130.28</v>
      </c>
      <c r="G1043" s="15">
        <v>127.35</v>
      </c>
      <c r="H1043" s="15">
        <v>127.18</v>
      </c>
      <c r="I1043" s="15">
        <v>127.06</v>
      </c>
      <c r="J1043" s="15">
        <v>184.6</v>
      </c>
      <c r="K1043" s="15">
        <v>122.62</v>
      </c>
      <c r="L1043" s="15">
        <v>73399980</v>
      </c>
      <c r="M1043" t="s" s="13">
        <v>8568</v>
      </c>
      <c r="N1043" s="15">
        <v>426871</v>
      </c>
      <c r="O1043" s="17" cm="1">
        <f t="array" ref="O1043">(H1043-H1042)/H1042</f>
        <v>-0.0237949032852318</v>
      </c>
    </row>
    <row r="1044" ht="13.65" customHeight="1">
      <c r="A1044" s="18">
        <v>45758</v>
      </c>
      <c r="B1044" t="s" s="13">
        <v>22</v>
      </c>
      <c r="C1044" s="15">
        <v>134.67</v>
      </c>
      <c r="D1044" s="15">
        <v>134.7</v>
      </c>
      <c r="E1044" s="15">
        <v>130.49</v>
      </c>
      <c r="F1044" s="15">
        <v>127.18</v>
      </c>
      <c r="G1044" s="15">
        <v>133.47</v>
      </c>
      <c r="H1044" s="15">
        <v>133.42</v>
      </c>
      <c r="I1044" s="15">
        <v>133</v>
      </c>
      <c r="J1044" s="15">
        <v>184.6</v>
      </c>
      <c r="K1044" s="15">
        <v>122.62</v>
      </c>
      <c r="L1044" s="15">
        <v>73706472</v>
      </c>
      <c r="M1044" t="s" s="13">
        <v>8569</v>
      </c>
      <c r="N1044" s="15">
        <v>349444</v>
      </c>
      <c r="O1044" s="17" cm="1">
        <f t="array" ref="O1044">(H1044-H1043)/H1043</f>
        <v>0.0490643182890392</v>
      </c>
    </row>
    <row r="1045" ht="13.65" customHeight="1">
      <c r="A1045" s="18">
        <v>45762</v>
      </c>
      <c r="B1045" t="s" s="13">
        <v>22</v>
      </c>
      <c r="C1045" s="15">
        <v>135.6</v>
      </c>
      <c r="D1045" s="15">
        <v>137</v>
      </c>
      <c r="E1045" s="15">
        <v>134.84</v>
      </c>
      <c r="F1045" s="15">
        <v>133.42</v>
      </c>
      <c r="G1045" s="15">
        <v>136.7</v>
      </c>
      <c r="H1045" s="15">
        <v>136.41</v>
      </c>
      <c r="I1045" s="15">
        <v>135.97</v>
      </c>
      <c r="J1045" s="15">
        <v>184.6</v>
      </c>
      <c r="K1045" s="15">
        <v>122.62</v>
      </c>
      <c r="L1045" s="15">
        <v>38967608</v>
      </c>
      <c r="M1045" t="s" s="13">
        <v>8570</v>
      </c>
      <c r="N1045" s="15">
        <v>236436</v>
      </c>
      <c r="O1045" s="17" cm="1">
        <f t="array" ref="O1045">(H1045-H1044)/H1044</f>
        <v>0.022410433218408</v>
      </c>
    </row>
    <row r="1046" ht="13.65" customHeight="1">
      <c r="A1046" s="18">
        <v>45763</v>
      </c>
      <c r="B1046" t="s" s="13">
        <v>22</v>
      </c>
      <c r="C1046" s="15">
        <v>136.41</v>
      </c>
      <c r="D1046" s="15">
        <v>137.6</v>
      </c>
      <c r="E1046" s="15">
        <v>134.62</v>
      </c>
      <c r="F1046" s="15">
        <v>136.41</v>
      </c>
      <c r="G1046" s="15">
        <v>137.1</v>
      </c>
      <c r="H1046" s="15">
        <v>136.97</v>
      </c>
      <c r="I1046" s="15">
        <v>135.86</v>
      </c>
      <c r="J1046" s="15">
        <v>184.6</v>
      </c>
      <c r="K1046" s="15">
        <v>122.62</v>
      </c>
      <c r="L1046" s="15">
        <v>42684087</v>
      </c>
      <c r="M1046" t="s" s="13">
        <v>8571</v>
      </c>
      <c r="N1046" s="15">
        <v>196883</v>
      </c>
      <c r="O1046" s="17" cm="1">
        <f t="array" ref="O1046">(H1046-H1045)/H1045</f>
        <v>0.00410527087456931</v>
      </c>
    </row>
    <row r="1047" ht="13.65" customHeight="1">
      <c r="A1047" s="18">
        <v>45764</v>
      </c>
      <c r="B1047" t="s" s="13">
        <v>22</v>
      </c>
      <c r="C1047" s="15">
        <v>134.4</v>
      </c>
      <c r="D1047" s="15">
        <v>137.96</v>
      </c>
      <c r="E1047" s="15">
        <v>133.7</v>
      </c>
      <c r="F1047" s="15">
        <v>136.97</v>
      </c>
      <c r="G1047" s="15">
        <v>137.24</v>
      </c>
      <c r="H1047" s="15">
        <v>137.14</v>
      </c>
      <c r="I1047" s="15">
        <v>135.99</v>
      </c>
      <c r="J1047" s="15">
        <v>184.6</v>
      </c>
      <c r="K1047" s="15">
        <v>122.62</v>
      </c>
      <c r="L1047" s="15">
        <v>62282856</v>
      </c>
      <c r="M1047" t="s" s="13">
        <v>8572</v>
      </c>
      <c r="N1047" s="15">
        <v>362747</v>
      </c>
      <c r="O1047" s="17" cm="1">
        <f t="array" ref="O1047">(H1047-H1046)/H1046</f>
        <v>0.00124114769657589</v>
      </c>
    </row>
    <row r="1048" ht="13.65" customHeight="1">
      <c r="A1048" s="18">
        <v>45768</v>
      </c>
      <c r="B1048" t="s" s="13">
        <v>22</v>
      </c>
      <c r="C1048" s="15">
        <v>137.65</v>
      </c>
      <c r="D1048" s="15">
        <v>140.3</v>
      </c>
      <c r="E1048" s="15">
        <v>137.05</v>
      </c>
      <c r="F1048" s="15">
        <v>137.14</v>
      </c>
      <c r="G1048" s="15">
        <v>139.5</v>
      </c>
      <c r="H1048" s="15">
        <v>139.18</v>
      </c>
      <c r="I1048" s="15">
        <v>139.08</v>
      </c>
      <c r="J1048" s="15">
        <v>184.6</v>
      </c>
      <c r="K1048" s="15">
        <v>122.62</v>
      </c>
      <c r="L1048" s="15">
        <v>26503486</v>
      </c>
      <c r="M1048" t="s" s="13">
        <v>8573</v>
      </c>
      <c r="N1048" s="15">
        <v>207964</v>
      </c>
      <c r="O1048" s="17" cm="1">
        <f t="array" ref="O1048">(H1048-H1047)/H1047</f>
        <v>0.0148753099022896</v>
      </c>
    </row>
    <row r="1049" ht="13.65" customHeight="1">
      <c r="A1049" s="18">
        <v>45769</v>
      </c>
      <c r="B1049" t="s" s="13">
        <v>22</v>
      </c>
      <c r="C1049" s="15">
        <v>142</v>
      </c>
      <c r="D1049" s="15">
        <v>142.84</v>
      </c>
      <c r="E1049" s="15">
        <v>137.7</v>
      </c>
      <c r="F1049" s="15">
        <v>139.18</v>
      </c>
      <c r="G1049" s="15">
        <v>137.97</v>
      </c>
      <c r="H1049" s="15">
        <v>138.16</v>
      </c>
      <c r="I1049" s="15">
        <v>139.74</v>
      </c>
      <c r="J1049" s="15">
        <v>184.6</v>
      </c>
      <c r="K1049" s="15">
        <v>122.62</v>
      </c>
      <c r="L1049" s="15">
        <v>58429662</v>
      </c>
      <c r="M1049" t="s" s="13">
        <v>8574</v>
      </c>
      <c r="N1049" s="15">
        <v>230625</v>
      </c>
      <c r="O1049" s="17" cm="1">
        <f t="array" ref="O1049">(H1049-H1048)/H1048</f>
        <v>-0.00732863917229487</v>
      </c>
    </row>
    <row r="1050" ht="13.65" customHeight="1">
      <c r="A1050" s="18">
        <v>45770</v>
      </c>
      <c r="B1050" t="s" s="13">
        <v>22</v>
      </c>
      <c r="C1050" s="15">
        <v>139.39</v>
      </c>
      <c r="D1050" s="15">
        <v>141.5</v>
      </c>
      <c r="E1050" s="15">
        <v>137.32</v>
      </c>
      <c r="F1050" s="15">
        <v>138.16</v>
      </c>
      <c r="G1050" s="15">
        <v>140.7</v>
      </c>
      <c r="H1050" s="15">
        <v>141.16</v>
      </c>
      <c r="I1050" s="15">
        <v>139.59</v>
      </c>
      <c r="J1050" s="15">
        <v>184.6</v>
      </c>
      <c r="K1050" s="15">
        <v>122.62</v>
      </c>
      <c r="L1050" s="15">
        <v>37851304</v>
      </c>
      <c r="M1050" t="s" s="13">
        <v>8575</v>
      </c>
      <c r="N1050" s="15">
        <v>200342</v>
      </c>
      <c r="O1050" s="17" cm="1">
        <f t="array" ref="O1050">(H1050-H1049)/H1049</f>
        <v>0.0217139548349739</v>
      </c>
    </row>
    <row r="1051" ht="13.65" customHeight="1">
      <c r="A1051" s="18">
        <v>45771</v>
      </c>
      <c r="B1051" t="s" s="13">
        <v>22</v>
      </c>
      <c r="C1051" s="15">
        <v>140.7</v>
      </c>
      <c r="D1051" s="15">
        <v>141.88</v>
      </c>
      <c r="E1051" s="15">
        <v>140.28</v>
      </c>
      <c r="F1051" s="15">
        <v>141.16</v>
      </c>
      <c r="G1051" s="15">
        <v>141.44</v>
      </c>
      <c r="H1051" s="15">
        <v>141.52</v>
      </c>
      <c r="I1051" s="15">
        <v>141.36</v>
      </c>
      <c r="J1051" s="15">
        <v>184.6</v>
      </c>
      <c r="K1051" s="15">
        <v>122.62</v>
      </c>
      <c r="L1051" s="15">
        <v>23061444</v>
      </c>
      <c r="M1051" t="s" s="13">
        <v>8576</v>
      </c>
      <c r="N1051" s="15">
        <v>126453</v>
      </c>
      <c r="O1051" s="17" cm="1">
        <f t="array" ref="O1051">(H1051-H1050)/H1050</f>
        <v>0.00255029753471238</v>
      </c>
    </row>
    <row r="1052" ht="13.65" customHeight="1">
      <c r="A1052" s="18">
        <v>45772</v>
      </c>
      <c r="B1052" t="s" s="13">
        <v>22</v>
      </c>
      <c r="C1052" s="15">
        <v>142</v>
      </c>
      <c r="D1052" s="15">
        <v>143.45</v>
      </c>
      <c r="E1052" s="15">
        <v>138.02</v>
      </c>
      <c r="F1052" s="15">
        <v>141.52</v>
      </c>
      <c r="G1052" s="15">
        <v>138.54</v>
      </c>
      <c r="H1052" s="15">
        <v>138.85</v>
      </c>
      <c r="I1052" s="15">
        <v>139.96</v>
      </c>
      <c r="J1052" s="15">
        <v>184.6</v>
      </c>
      <c r="K1052" s="15">
        <v>122.62</v>
      </c>
      <c r="L1052" s="15">
        <v>37764696</v>
      </c>
      <c r="M1052" t="s" s="13">
        <v>8577</v>
      </c>
      <c r="N1052" s="15">
        <v>198899</v>
      </c>
      <c r="O1052" s="17" cm="1">
        <f t="array" ref="O1052">(H1052-H1051)/H1051</f>
        <v>-0.0188665912945167</v>
      </c>
    </row>
    <row r="1053" ht="13.65" customHeight="1">
      <c r="A1053" s="18">
        <v>45775</v>
      </c>
      <c r="B1053" t="s" s="13">
        <v>22</v>
      </c>
      <c r="C1053" s="15">
        <v>138.54</v>
      </c>
      <c r="D1053" s="15">
        <v>142.6</v>
      </c>
      <c r="E1053" s="15">
        <v>138.38</v>
      </c>
      <c r="F1053" s="15">
        <v>138.85</v>
      </c>
      <c r="G1053" s="15">
        <v>141.99</v>
      </c>
      <c r="H1053" s="15">
        <v>142.07</v>
      </c>
      <c r="I1053" s="15">
        <v>141.25</v>
      </c>
      <c r="J1053" s="15">
        <v>184.6</v>
      </c>
      <c r="K1053" s="15">
        <v>122.62</v>
      </c>
      <c r="L1053" s="15">
        <v>26971589</v>
      </c>
      <c r="M1053" t="s" s="13">
        <v>8578</v>
      </c>
      <c r="N1053" s="15">
        <v>160043</v>
      </c>
      <c r="O1053" s="17" cm="1">
        <f t="array" ref="O1053">(H1053-H1052)/H1052</f>
        <v>0.0231904933381347</v>
      </c>
    </row>
    <row r="1054" ht="13.65" customHeight="1">
      <c r="A1054" s="18">
        <v>45776</v>
      </c>
      <c r="B1054" t="s" s="13">
        <v>22</v>
      </c>
      <c r="C1054" s="15">
        <v>142.07</v>
      </c>
      <c r="D1054" s="15">
        <v>143.3</v>
      </c>
      <c r="E1054" s="15">
        <v>140.92</v>
      </c>
      <c r="F1054" s="15">
        <v>142.07</v>
      </c>
      <c r="G1054" s="15">
        <v>141.56</v>
      </c>
      <c r="H1054" s="15">
        <v>141.5</v>
      </c>
      <c r="I1054" s="15">
        <v>141.93</v>
      </c>
      <c r="J1054" s="15">
        <v>184.6</v>
      </c>
      <c r="K1054" s="15">
        <v>122.62</v>
      </c>
      <c r="L1054" s="15">
        <v>25758449</v>
      </c>
      <c r="M1054" t="s" s="13">
        <v>8579</v>
      </c>
      <c r="N1054" s="15">
        <v>162820</v>
      </c>
      <c r="O1054" s="17" cm="1">
        <f t="array" ref="O1054">(H1054-H1053)/H1053</f>
        <v>-0.00401210670796086</v>
      </c>
    </row>
    <row r="1055" ht="13.65" customHeight="1">
      <c r="A1055" s="18">
        <v>45777</v>
      </c>
      <c r="B1055" t="s" s="13">
        <v>22</v>
      </c>
      <c r="C1055" s="15">
        <v>141.45</v>
      </c>
      <c r="D1055" s="15">
        <v>141.56</v>
      </c>
      <c r="E1055" s="15">
        <v>138</v>
      </c>
      <c r="F1055" s="15">
        <v>141.5</v>
      </c>
      <c r="G1055" s="15">
        <v>139.56</v>
      </c>
      <c r="H1055" s="15">
        <v>140.08</v>
      </c>
      <c r="I1055" s="15">
        <v>140.63</v>
      </c>
      <c r="J1055" s="15">
        <v>184.6</v>
      </c>
      <c r="K1055" s="15">
        <v>122.62</v>
      </c>
      <c r="L1055" s="15">
        <v>29205042</v>
      </c>
      <c r="M1055" t="s" s="13">
        <v>8580</v>
      </c>
      <c r="N1055" s="15">
        <v>149767</v>
      </c>
      <c r="O1055" s="17" cm="1">
        <f t="array" ref="O1055">(H1055-H1054)/H1054</f>
        <v>-0.0100353356890459</v>
      </c>
    </row>
    <row r="1056" ht="13.65" customHeight="1">
      <c r="A1056" s="19">
        <v>45779</v>
      </c>
      <c r="B1056" t="s" s="13">
        <v>22</v>
      </c>
      <c r="C1056" s="15">
        <v>140</v>
      </c>
      <c r="D1056" s="15">
        <v>143.1</v>
      </c>
      <c r="E1056" s="15">
        <v>139.45</v>
      </c>
      <c r="F1056" s="15">
        <v>140.08</v>
      </c>
      <c r="G1056" s="15">
        <v>141.01</v>
      </c>
      <c r="H1056" s="15">
        <v>141.18</v>
      </c>
      <c r="I1056" s="15">
        <v>141.52</v>
      </c>
      <c r="J1056" s="15">
        <v>184.6</v>
      </c>
      <c r="K1056" s="15">
        <v>122.62</v>
      </c>
      <c r="L1056" s="15">
        <v>34852288</v>
      </c>
      <c r="M1056" t="s" s="13">
        <v>8581</v>
      </c>
      <c r="N1056" s="15">
        <v>213141</v>
      </c>
      <c r="O1056" s="17" cm="1">
        <f t="array" ref="O1056">(H1056-H1055)/H1055</f>
        <v>0.00785265562535694</v>
      </c>
    </row>
    <row r="1057" ht="13.65" customHeight="1">
      <c r="A1057" s="19">
        <v>45782</v>
      </c>
      <c r="B1057" t="s" s="13">
        <v>22</v>
      </c>
      <c r="C1057" s="15">
        <v>141.57</v>
      </c>
      <c r="D1057" s="15">
        <v>142.7</v>
      </c>
      <c r="E1057" s="15">
        <v>141.2</v>
      </c>
      <c r="F1057" s="15">
        <v>141.18</v>
      </c>
      <c r="G1057" s="15">
        <v>142.1</v>
      </c>
      <c r="H1057" s="15">
        <v>142.08</v>
      </c>
      <c r="I1057" s="15">
        <v>142.08</v>
      </c>
      <c r="J1057" s="15">
        <v>184.6</v>
      </c>
      <c r="K1057" s="15">
        <v>122.62</v>
      </c>
      <c r="L1057" s="15">
        <v>17213477</v>
      </c>
      <c r="M1057" t="s" s="13">
        <v>8582</v>
      </c>
      <c r="N1057" s="15">
        <v>110720</v>
      </c>
      <c r="O1057" s="17" cm="1">
        <f t="array" ref="O1057">(H1057-H1056)/H1056</f>
        <v>0.00637484062898428</v>
      </c>
    </row>
    <row r="1058" ht="13.65" customHeight="1">
      <c r="A1058" s="19">
        <v>45783</v>
      </c>
      <c r="B1058" t="s" s="13">
        <v>22</v>
      </c>
      <c r="C1058" s="15">
        <v>142.08</v>
      </c>
      <c r="D1058" s="15">
        <v>145.4</v>
      </c>
      <c r="E1058" s="15">
        <v>141.54</v>
      </c>
      <c r="F1058" s="15">
        <v>142.08</v>
      </c>
      <c r="G1058" s="15">
        <v>144.03</v>
      </c>
      <c r="H1058" s="15">
        <v>144.44</v>
      </c>
      <c r="I1058" s="15">
        <v>143.99</v>
      </c>
      <c r="J1058" s="15">
        <v>184.6</v>
      </c>
      <c r="K1058" s="15">
        <v>122.62</v>
      </c>
      <c r="L1058" s="15">
        <v>42658262</v>
      </c>
      <c r="M1058" t="s" s="13">
        <v>8583</v>
      </c>
      <c r="N1058" s="15">
        <v>230798</v>
      </c>
      <c r="O1058" s="17" cm="1">
        <f t="array" ref="O1058">(H1058-H1057)/H1057</f>
        <v>0.0166103603603604</v>
      </c>
    </row>
    <row r="1059" ht="13.65" customHeight="1">
      <c r="A1059" s="19">
        <v>45784</v>
      </c>
      <c r="B1059" t="s" s="13">
        <v>22</v>
      </c>
      <c r="C1059" s="15">
        <v>142.2</v>
      </c>
      <c r="D1059" s="15">
        <v>146.95</v>
      </c>
      <c r="E1059" s="15">
        <v>142.2</v>
      </c>
      <c r="F1059" s="15">
        <v>144.44</v>
      </c>
      <c r="G1059" s="15">
        <v>145.7</v>
      </c>
      <c r="H1059" s="15">
        <v>146</v>
      </c>
      <c r="I1059" s="15">
        <v>145.11</v>
      </c>
      <c r="J1059" s="15">
        <v>184.6</v>
      </c>
      <c r="K1059" s="15">
        <v>122.62</v>
      </c>
      <c r="L1059" s="15">
        <v>34674594</v>
      </c>
      <c r="M1059" t="s" s="13">
        <v>8584</v>
      </c>
      <c r="N1059" s="15">
        <v>192575</v>
      </c>
      <c r="O1059" s="17" cm="1">
        <f t="array" ref="O1059">(H1059-H1058)/H1058</f>
        <v>0.0108003323179175</v>
      </c>
    </row>
    <row r="1060" ht="13.65" customHeight="1">
      <c r="A1060" s="19">
        <v>45785</v>
      </c>
      <c r="B1060" t="s" s="13">
        <v>22</v>
      </c>
      <c r="C1060" s="15">
        <v>146</v>
      </c>
      <c r="D1060" s="15">
        <v>146.66</v>
      </c>
      <c r="E1060" s="15">
        <v>142.85</v>
      </c>
      <c r="F1060" s="15">
        <v>146</v>
      </c>
      <c r="G1060" s="15">
        <v>143.28</v>
      </c>
      <c r="H1060" s="15">
        <v>143.67</v>
      </c>
      <c r="I1060" s="15">
        <v>144.24</v>
      </c>
      <c r="J1060" s="15">
        <v>184.6</v>
      </c>
      <c r="K1060" s="15">
        <v>122.62</v>
      </c>
      <c r="L1060" s="15">
        <v>29687927</v>
      </c>
      <c r="M1060" t="s" s="13">
        <v>8585</v>
      </c>
      <c r="N1060" s="15">
        <v>154433</v>
      </c>
      <c r="O1060" s="17" cm="1">
        <f t="array" ref="O1060">(H1060-H1059)/H1059</f>
        <v>-0.015958904109589</v>
      </c>
    </row>
    <row r="1061" ht="13.65" customHeight="1">
      <c r="A1061" s="19">
        <v>45786</v>
      </c>
      <c r="B1061" t="s" s="13">
        <v>22</v>
      </c>
      <c r="C1061" s="15">
        <v>140.99</v>
      </c>
      <c r="D1061" s="15">
        <v>143.27</v>
      </c>
      <c r="E1061" s="15">
        <v>140.51</v>
      </c>
      <c r="F1061" s="15">
        <v>143.67</v>
      </c>
      <c r="G1061" s="15">
        <v>142.8</v>
      </c>
      <c r="H1061" s="15">
        <v>142.78</v>
      </c>
      <c r="I1061" s="15">
        <v>142.22</v>
      </c>
      <c r="J1061" s="15">
        <v>184.6</v>
      </c>
      <c r="K1061" s="15">
        <v>122.62</v>
      </c>
      <c r="L1061" s="15">
        <v>21875453</v>
      </c>
      <c r="M1061" t="s" s="13">
        <v>8586</v>
      </c>
      <c r="N1061" s="15">
        <v>145961</v>
      </c>
      <c r="O1061" s="17" cm="1">
        <f t="array" ref="O1061">(H1061-H1060)/H1060</f>
        <v>-0.00619475186190576</v>
      </c>
    </row>
    <row r="1062" ht="13.65" customHeight="1">
      <c r="A1062" s="20">
        <v>45789</v>
      </c>
      <c r="B1062" t="s" s="13">
        <v>22</v>
      </c>
      <c r="C1062" s="15">
        <v>145.61</v>
      </c>
      <c r="D1062" s="15">
        <v>151.95</v>
      </c>
      <c r="E1062" s="15">
        <v>144.5</v>
      </c>
      <c r="F1062" s="15">
        <v>142.78</v>
      </c>
      <c r="G1062" s="15">
        <v>150.95</v>
      </c>
      <c r="H1062" s="15">
        <v>151.63</v>
      </c>
      <c r="I1062" s="15">
        <v>149.79</v>
      </c>
      <c r="J1062" s="15">
        <v>184.6</v>
      </c>
      <c r="K1062" s="15">
        <v>122.62</v>
      </c>
      <c r="L1062" s="15">
        <v>47087413</v>
      </c>
      <c r="M1062" t="s" s="13">
        <v>8587</v>
      </c>
      <c r="N1062" s="15">
        <v>233295</v>
      </c>
      <c r="O1062" s="17" cm="1">
        <f t="array" ref="O1062">(H1062-H1061)/H1061</f>
        <v>0.0619834710743802</v>
      </c>
    </row>
    <row r="1063" ht="13.65" customHeight="1">
      <c r="A1063" s="20">
        <v>45790</v>
      </c>
      <c r="B1063" t="s" s="13">
        <v>22</v>
      </c>
      <c r="C1063" s="15">
        <v>152</v>
      </c>
      <c r="D1063" s="15">
        <v>152.99</v>
      </c>
      <c r="E1063" s="15">
        <v>149.01</v>
      </c>
      <c r="F1063" s="15">
        <v>151.63</v>
      </c>
      <c r="G1063" s="15">
        <v>149.6</v>
      </c>
      <c r="H1063" s="15">
        <v>149.43</v>
      </c>
      <c r="I1063" s="15">
        <v>150.33</v>
      </c>
      <c r="J1063" s="15">
        <v>184.6</v>
      </c>
      <c r="K1063" s="15">
        <v>122.62</v>
      </c>
      <c r="L1063" s="15">
        <v>54389876</v>
      </c>
      <c r="M1063" t="s" s="13">
        <v>8588</v>
      </c>
      <c r="N1063" s="15">
        <v>266505</v>
      </c>
      <c r="O1063" s="17" cm="1">
        <f t="array" ref="O1063">(H1063-H1062)/H1062</f>
        <v>-0.0145090021763503</v>
      </c>
    </row>
    <row r="1064" ht="13.65" customHeight="1">
      <c r="A1064" s="20">
        <v>45791</v>
      </c>
      <c r="B1064" t="s" s="13">
        <v>22</v>
      </c>
      <c r="C1064" s="15">
        <v>151</v>
      </c>
      <c r="D1064" s="15">
        <v>157.15</v>
      </c>
      <c r="E1064" s="15">
        <v>151</v>
      </c>
      <c r="F1064" s="15">
        <v>149.43</v>
      </c>
      <c r="G1064" s="15">
        <v>155.3</v>
      </c>
      <c r="H1064" s="15">
        <v>155.31</v>
      </c>
      <c r="I1064" s="15">
        <v>155.49</v>
      </c>
      <c r="J1064" s="15">
        <v>184.6</v>
      </c>
      <c r="K1064" s="15">
        <v>122.62</v>
      </c>
      <c r="L1064" s="15">
        <v>60002060</v>
      </c>
      <c r="M1064" t="s" s="13">
        <v>8589</v>
      </c>
      <c r="N1064" s="15">
        <v>290806</v>
      </c>
      <c r="O1064" s="17" cm="1">
        <f t="array" ref="O1064">(H1064-H1063)/H1063</f>
        <v>0.0393495282071873</v>
      </c>
    </row>
    <row r="1065" ht="13.65" customHeight="1">
      <c r="A1065" s="20">
        <v>45792</v>
      </c>
      <c r="B1065" t="s" s="13">
        <v>22</v>
      </c>
      <c r="C1065" s="15">
        <v>155.5</v>
      </c>
      <c r="D1065" s="15">
        <v>157.84</v>
      </c>
      <c r="E1065" s="15">
        <v>154.3</v>
      </c>
      <c r="F1065" s="15">
        <v>155.31</v>
      </c>
      <c r="G1065" s="15">
        <v>157.19</v>
      </c>
      <c r="H1065" s="15">
        <v>157.35</v>
      </c>
      <c r="I1065" s="15">
        <v>156.79</v>
      </c>
      <c r="J1065" s="15">
        <v>184.6</v>
      </c>
      <c r="K1065" s="15">
        <v>122.62</v>
      </c>
      <c r="L1065" s="15">
        <v>57066105</v>
      </c>
      <c r="M1065" t="s" s="13">
        <v>8590</v>
      </c>
      <c r="N1065" s="15">
        <v>273956</v>
      </c>
      <c r="O1065" s="17" cm="1">
        <f t="array" ref="O1065">(H1065-H1064)/H1064</f>
        <v>0.0131350202820166</v>
      </c>
    </row>
    <row r="1066" ht="13.65" customHeight="1">
      <c r="A1066" s="20">
        <v>45793</v>
      </c>
      <c r="B1066" t="s" s="13">
        <v>22</v>
      </c>
      <c r="C1066" s="15">
        <v>157.35</v>
      </c>
      <c r="D1066" s="15">
        <v>158.15</v>
      </c>
      <c r="E1066" s="15">
        <v>157</v>
      </c>
      <c r="F1066" s="15">
        <v>157.35</v>
      </c>
      <c r="G1066" s="15">
        <v>157.4</v>
      </c>
      <c r="H1066" s="15">
        <v>157.55</v>
      </c>
      <c r="I1066" s="15">
        <v>157.53</v>
      </c>
      <c r="J1066" s="15">
        <v>184.6</v>
      </c>
      <c r="K1066" s="15">
        <v>122.62</v>
      </c>
      <c r="L1066" s="15">
        <v>22884754</v>
      </c>
      <c r="M1066" t="s" s="13">
        <v>8591</v>
      </c>
      <c r="N1066" s="15">
        <v>162033</v>
      </c>
      <c r="O1066" s="17" cm="1">
        <f t="array" ref="O1066">(H1066-H1065)/H1065</f>
        <v>0.00127105179536066</v>
      </c>
    </row>
    <row r="1067" ht="13.65" customHeight="1">
      <c r="A1067" s="20">
        <v>45796</v>
      </c>
      <c r="B1067" t="s" s="13">
        <v>22</v>
      </c>
      <c r="C1067" s="15">
        <v>158</v>
      </c>
      <c r="D1067" s="15">
        <v>158.14</v>
      </c>
      <c r="E1067" s="15">
        <v>156.13</v>
      </c>
      <c r="F1067" s="15">
        <v>157.55</v>
      </c>
      <c r="G1067" s="15">
        <v>157.25</v>
      </c>
      <c r="H1067" s="15">
        <v>157.57</v>
      </c>
      <c r="I1067" s="15">
        <v>157.15</v>
      </c>
      <c r="J1067" s="15">
        <v>184.6</v>
      </c>
      <c r="K1067" s="15">
        <v>122.62</v>
      </c>
      <c r="L1067" s="15">
        <v>21839582</v>
      </c>
      <c r="M1067" t="s" s="13">
        <v>8592</v>
      </c>
      <c r="N1067" s="15">
        <v>138964</v>
      </c>
      <c r="O1067" s="17" cm="1">
        <f t="array" ref="O1067">(H1067-H1066)/H1066</f>
        <v>0.000126943827356395</v>
      </c>
    </row>
    <row r="1068" ht="13.65" customHeight="1">
      <c r="A1068" s="20">
        <v>45797</v>
      </c>
      <c r="B1068" t="s" s="13">
        <v>22</v>
      </c>
      <c r="C1068" s="15">
        <v>158.35</v>
      </c>
      <c r="D1068" s="15">
        <v>162.1</v>
      </c>
      <c r="E1068" s="15">
        <v>158</v>
      </c>
      <c r="F1068" s="15">
        <v>157.57</v>
      </c>
      <c r="G1068" s="15">
        <v>159.59</v>
      </c>
      <c r="H1068" s="15">
        <v>158.69</v>
      </c>
      <c r="I1068" s="15">
        <v>159.87</v>
      </c>
      <c r="J1068" s="15">
        <v>184.6</v>
      </c>
      <c r="K1068" s="15">
        <v>122.62</v>
      </c>
      <c r="L1068" s="15">
        <v>58061639</v>
      </c>
      <c r="M1068" t="s" s="13">
        <v>8593</v>
      </c>
      <c r="N1068" s="15">
        <v>271597</v>
      </c>
      <c r="O1068" s="17" cm="1">
        <f t="array" ref="O1068">(H1068-H1067)/H1067</f>
        <v>0.00710795202132386</v>
      </c>
    </row>
    <row r="1069" ht="13.65" customHeight="1">
      <c r="A1069" s="20">
        <v>45798</v>
      </c>
      <c r="B1069" t="s" s="13">
        <v>22</v>
      </c>
      <c r="C1069" s="15">
        <v>159.45</v>
      </c>
      <c r="D1069" s="15">
        <v>161.85</v>
      </c>
      <c r="E1069" s="15">
        <v>158.53</v>
      </c>
      <c r="F1069" s="15">
        <v>158.69</v>
      </c>
      <c r="G1069" s="15">
        <v>161.75</v>
      </c>
      <c r="H1069" s="15">
        <v>161.64</v>
      </c>
      <c r="I1069" s="15">
        <v>160.74</v>
      </c>
      <c r="J1069" s="15">
        <v>184.6</v>
      </c>
      <c r="K1069" s="15">
        <v>122.62</v>
      </c>
      <c r="L1069" s="15">
        <v>36044599</v>
      </c>
      <c r="M1069" t="s" s="13">
        <v>8594</v>
      </c>
      <c r="N1069" s="15">
        <v>221401</v>
      </c>
      <c r="O1069" s="17" cm="1">
        <f t="array" ref="O1069">(H1069-H1068)/H1068</f>
        <v>0.0185897031949083</v>
      </c>
    </row>
    <row r="1070" ht="13.65" customHeight="1">
      <c r="A1070" s="20">
        <v>45799</v>
      </c>
      <c r="B1070" t="s" s="13">
        <v>22</v>
      </c>
      <c r="C1070" s="15">
        <v>160.98</v>
      </c>
      <c r="D1070" s="15">
        <v>163.6</v>
      </c>
      <c r="E1070" s="15">
        <v>160.36</v>
      </c>
      <c r="F1070" s="15">
        <v>161.64</v>
      </c>
      <c r="G1070" s="15">
        <v>161.5</v>
      </c>
      <c r="H1070" s="15">
        <v>161.29</v>
      </c>
      <c r="I1070" s="15">
        <v>162.03</v>
      </c>
      <c r="J1070" s="15">
        <v>184.6</v>
      </c>
      <c r="K1070" s="15">
        <v>122.62</v>
      </c>
      <c r="L1070" s="15">
        <v>60715453</v>
      </c>
      <c r="M1070" t="s" s="13">
        <v>8595</v>
      </c>
      <c r="N1070" s="15">
        <v>262828</v>
      </c>
      <c r="O1070" s="17" cm="1">
        <f t="array" ref="O1070">(H1070-H1069)/H1069</f>
        <v>-0.00216530561742143</v>
      </c>
    </row>
    <row r="1071" ht="13.65" customHeight="1">
      <c r="A1071" s="20">
        <v>45800</v>
      </c>
      <c r="B1071" t="s" s="13">
        <v>22</v>
      </c>
      <c r="C1071" s="15">
        <v>161.6</v>
      </c>
      <c r="D1071" s="15">
        <v>163.53</v>
      </c>
      <c r="E1071" s="15">
        <v>161.5</v>
      </c>
      <c r="F1071" s="15">
        <v>161.29</v>
      </c>
      <c r="G1071" s="15">
        <v>163.1</v>
      </c>
      <c r="H1071" s="15">
        <v>162.97</v>
      </c>
      <c r="I1071" s="15">
        <v>162.62</v>
      </c>
      <c r="J1071" s="15">
        <v>184.6</v>
      </c>
      <c r="K1071" s="15">
        <v>122.62</v>
      </c>
      <c r="L1071" s="15">
        <v>29483665</v>
      </c>
      <c r="M1071" t="s" s="13">
        <v>8596</v>
      </c>
      <c r="N1071" s="15">
        <v>183753</v>
      </c>
      <c r="O1071" s="17" cm="1">
        <f t="array" ref="O1071">(H1071-H1070)/H1070</f>
        <v>0.0104160208320417</v>
      </c>
    </row>
    <row r="1072" ht="13.65" customHeight="1">
      <c r="A1072" s="20">
        <v>45803</v>
      </c>
      <c r="B1072" t="s" s="13">
        <v>22</v>
      </c>
      <c r="C1072" s="15">
        <v>163.1</v>
      </c>
      <c r="D1072" s="15">
        <v>165.55</v>
      </c>
      <c r="E1072" s="15">
        <v>162.05</v>
      </c>
      <c r="F1072" s="15">
        <v>162.97</v>
      </c>
      <c r="G1072" s="15">
        <v>162.37</v>
      </c>
      <c r="H1072" s="15">
        <v>162.51</v>
      </c>
      <c r="I1072" s="15">
        <v>163.34</v>
      </c>
      <c r="J1072" s="15">
        <v>184.6</v>
      </c>
      <c r="K1072" s="15">
        <v>122.62</v>
      </c>
      <c r="L1072" s="15">
        <v>25581584</v>
      </c>
      <c r="M1072" t="s" s="13">
        <v>8597</v>
      </c>
      <c r="N1072" s="15">
        <v>164313</v>
      </c>
      <c r="O1072" s="17" cm="1">
        <f t="array" ref="O1072">(H1072-H1071)/H1071</f>
        <v>-0.00282260538749463</v>
      </c>
    </row>
    <row r="1073" ht="13.65" customHeight="1">
      <c r="A1073" s="20">
        <v>45804</v>
      </c>
      <c r="B1073" t="s" s="13">
        <v>22</v>
      </c>
      <c r="C1073" s="15">
        <v>162.51</v>
      </c>
      <c r="D1073" s="15">
        <v>163.9</v>
      </c>
      <c r="E1073" s="15">
        <v>160.62</v>
      </c>
      <c r="F1073" s="15">
        <v>162.51</v>
      </c>
      <c r="G1073" s="15">
        <v>161.76</v>
      </c>
      <c r="H1073" s="15">
        <v>161.66</v>
      </c>
      <c r="I1073" s="15">
        <v>162.06</v>
      </c>
      <c r="J1073" s="15">
        <v>184.6</v>
      </c>
      <c r="K1073" s="15">
        <v>122.62</v>
      </c>
      <c r="L1073" s="15">
        <v>23296776</v>
      </c>
      <c r="M1073" t="s" s="13">
        <v>8598</v>
      </c>
      <c r="N1073" s="15">
        <v>177933</v>
      </c>
      <c r="O1073" s="17" cm="1">
        <f t="array" ref="O1073">(H1073-H1072)/H1072</f>
        <v>-0.00523044735708572</v>
      </c>
    </row>
    <row r="1074" ht="13.65" customHeight="1">
      <c r="A1074" s="20">
        <v>45805</v>
      </c>
      <c r="B1074" t="s" s="13">
        <v>22</v>
      </c>
      <c r="C1074" s="15">
        <v>162.4</v>
      </c>
      <c r="D1074" s="15">
        <v>162.69</v>
      </c>
      <c r="E1074" s="15">
        <v>160.65</v>
      </c>
      <c r="F1074" s="15">
        <v>161.66</v>
      </c>
      <c r="G1074" s="15">
        <v>161.06</v>
      </c>
      <c r="H1074" s="15">
        <v>161.24</v>
      </c>
      <c r="I1074" s="15">
        <v>161.3</v>
      </c>
      <c r="J1074" s="15">
        <v>184.6</v>
      </c>
      <c r="K1074" s="15">
        <v>122.62</v>
      </c>
      <c r="L1074" s="15">
        <v>13044476</v>
      </c>
      <c r="M1074" t="s" s="13">
        <v>8599</v>
      </c>
      <c r="N1074" s="15">
        <v>91891</v>
      </c>
      <c r="O1074" s="17" cm="1">
        <f t="array" ref="O1074">(H1074-H1073)/H1073</f>
        <v>-0.00259804528021774</v>
      </c>
    </row>
    <row r="1075" ht="13.65" customHeight="1">
      <c r="A1075" s="20">
        <v>45806</v>
      </c>
      <c r="B1075" t="s" s="13">
        <v>22</v>
      </c>
      <c r="C1075" s="15">
        <v>162.19</v>
      </c>
      <c r="D1075" s="15">
        <v>163.95</v>
      </c>
      <c r="E1075" s="15">
        <v>161.5</v>
      </c>
      <c r="F1075" s="15">
        <v>161.24</v>
      </c>
      <c r="G1075" s="15">
        <v>163.15</v>
      </c>
      <c r="H1075" s="15">
        <v>163.12</v>
      </c>
      <c r="I1075" s="15">
        <v>162.87</v>
      </c>
      <c r="J1075" s="15">
        <v>184.6</v>
      </c>
      <c r="K1075" s="15">
        <v>122.62</v>
      </c>
      <c r="L1075" s="15">
        <v>26455081</v>
      </c>
      <c r="M1075" t="s" s="13">
        <v>8600</v>
      </c>
      <c r="N1075" s="15">
        <v>192455</v>
      </c>
      <c r="O1075" s="17" cm="1">
        <f t="array" ref="O1075">(H1075-H1074)/H1074</f>
        <v>0.0116596378069958</v>
      </c>
    </row>
    <row r="1076" ht="13.65" customHeight="1">
      <c r="A1076" s="20">
        <v>45807</v>
      </c>
      <c r="B1076" t="s" s="13">
        <v>22</v>
      </c>
      <c r="C1076" s="15">
        <v>163.11</v>
      </c>
      <c r="D1076" s="15">
        <v>163.89</v>
      </c>
      <c r="E1076" s="15">
        <v>160.51</v>
      </c>
      <c r="F1076" s="15">
        <v>163.12</v>
      </c>
      <c r="G1076" s="15">
        <v>161</v>
      </c>
      <c r="H1076" s="15">
        <v>161.02</v>
      </c>
      <c r="I1076" s="15">
        <v>161.3</v>
      </c>
      <c r="J1076" s="15">
        <v>184.6</v>
      </c>
      <c r="K1076" s="15">
        <v>122.62</v>
      </c>
      <c r="L1076" s="15">
        <v>32739340</v>
      </c>
      <c r="M1076" t="s" s="13">
        <v>8601</v>
      </c>
      <c r="N1076" s="15">
        <v>151091</v>
      </c>
      <c r="O1076" s="17" cm="1">
        <f t="array" ref="O1076">(H1076-H1075)/H1075</f>
        <v>-0.012873957822462</v>
      </c>
    </row>
    <row r="1077" ht="13.65" customHeight="1">
      <c r="A1077" s="12">
        <v>45810</v>
      </c>
      <c r="B1077" t="s" s="13">
        <v>22</v>
      </c>
      <c r="C1077" s="15">
        <v>159</v>
      </c>
      <c r="D1077" s="15">
        <v>160.12</v>
      </c>
      <c r="E1077" s="15">
        <v>157.3</v>
      </c>
      <c r="F1077" s="15">
        <v>161.02</v>
      </c>
      <c r="G1077" s="15">
        <v>159.12</v>
      </c>
      <c r="H1077" s="15">
        <v>159.04</v>
      </c>
      <c r="I1077" s="15">
        <v>158.87</v>
      </c>
      <c r="J1077" s="15">
        <v>184.6</v>
      </c>
      <c r="K1077" s="15">
        <v>122.62</v>
      </c>
      <c r="L1077" s="15">
        <v>31365564</v>
      </c>
      <c r="M1077" t="s" s="13">
        <v>8602</v>
      </c>
      <c r="N1077" s="15">
        <v>169213</v>
      </c>
      <c r="O1077" s="17" cm="1">
        <f t="array" ref="O1077">(H1077-H1076)/H1076</f>
        <v>-0.0122966091168799</v>
      </c>
    </row>
    <row r="1078" ht="13.65" customHeight="1">
      <c r="A1078" s="12">
        <v>45811</v>
      </c>
      <c r="B1078" t="s" s="13">
        <v>22</v>
      </c>
      <c r="C1078" s="15">
        <v>159.04</v>
      </c>
      <c r="D1078" s="15">
        <v>160.65</v>
      </c>
      <c r="E1078" s="15">
        <v>157.17</v>
      </c>
      <c r="F1078" s="15">
        <v>159.04</v>
      </c>
      <c r="G1078" s="15">
        <v>157.39</v>
      </c>
      <c r="H1078" s="15">
        <v>157.35</v>
      </c>
      <c r="I1078" s="15">
        <v>158.36</v>
      </c>
      <c r="J1078" s="15">
        <v>184.6</v>
      </c>
      <c r="K1078" s="15">
        <v>122.62</v>
      </c>
      <c r="L1078" s="15">
        <v>28398746</v>
      </c>
      <c r="M1078" t="s" s="13">
        <v>8603</v>
      </c>
      <c r="N1078" s="15">
        <v>156056</v>
      </c>
      <c r="O1078" s="17" cm="1">
        <f t="array" ref="O1078">(H1078-H1077)/H1077</f>
        <v>-0.0106262575452716</v>
      </c>
    </row>
    <row r="1079" ht="13.65" customHeight="1">
      <c r="A1079" s="12">
        <v>45812</v>
      </c>
      <c r="B1079" t="s" s="13">
        <v>22</v>
      </c>
      <c r="C1079" s="15">
        <v>157.5</v>
      </c>
      <c r="D1079" s="15">
        <v>158.98</v>
      </c>
      <c r="E1079" s="15">
        <v>156.81</v>
      </c>
      <c r="F1079" s="15">
        <v>157.35</v>
      </c>
      <c r="G1079" s="15">
        <v>158.4</v>
      </c>
      <c r="H1079" s="15">
        <v>158.18</v>
      </c>
      <c r="I1079" s="15">
        <v>158.01</v>
      </c>
      <c r="J1079" s="15">
        <v>184.6</v>
      </c>
      <c r="K1079" s="15">
        <v>122.62</v>
      </c>
      <c r="L1079" s="15">
        <v>16660138</v>
      </c>
      <c r="M1079" t="s" s="13">
        <v>8604</v>
      </c>
      <c r="N1079" s="15">
        <v>129263</v>
      </c>
      <c r="O1079" s="17" cm="1">
        <f t="array" ref="O1079">(H1079-H1078)/H1078</f>
        <v>0.00527486495074674</v>
      </c>
    </row>
    <row r="1080" ht="13.65" customHeight="1">
      <c r="A1080" s="12">
        <v>45813</v>
      </c>
      <c r="B1080" t="s" s="13">
        <v>22</v>
      </c>
      <c r="C1080" s="15">
        <v>158.86</v>
      </c>
      <c r="D1080" s="15">
        <v>159.09</v>
      </c>
      <c r="E1080" s="15">
        <v>157.05</v>
      </c>
      <c r="F1080" s="15">
        <v>158.18</v>
      </c>
      <c r="G1080" s="15">
        <v>158.05</v>
      </c>
      <c r="H1080" s="15">
        <v>157.97</v>
      </c>
      <c r="I1080" s="15">
        <v>157.93</v>
      </c>
      <c r="J1080" s="15">
        <v>184.6</v>
      </c>
      <c r="K1080" s="15">
        <v>122.62</v>
      </c>
      <c r="L1080" s="15">
        <v>23708504</v>
      </c>
      <c r="M1080" t="s" s="13">
        <v>8605</v>
      </c>
      <c r="N1080" s="15">
        <v>122241</v>
      </c>
      <c r="O1080" s="17" cm="1">
        <f t="array" ref="O1080">(H1080-H1079)/H1079</f>
        <v>-0.00132760146668353</v>
      </c>
    </row>
    <row r="1081" ht="13.65" customHeight="1">
      <c r="A1081" s="12">
        <v>45814</v>
      </c>
      <c r="B1081" t="s" s="13">
        <v>22</v>
      </c>
      <c r="C1081" s="15">
        <v>155.7</v>
      </c>
      <c r="D1081" s="15">
        <v>157.88</v>
      </c>
      <c r="E1081" s="15">
        <v>154.25</v>
      </c>
      <c r="F1081" s="15">
        <v>157.97</v>
      </c>
      <c r="G1081" s="15">
        <v>157.55</v>
      </c>
      <c r="H1081" s="15">
        <v>157.49</v>
      </c>
      <c r="I1081" s="15">
        <v>156.38</v>
      </c>
      <c r="J1081" s="15">
        <v>184.6</v>
      </c>
      <c r="K1081" s="15">
        <v>122.62</v>
      </c>
      <c r="L1081" s="15">
        <v>25804151</v>
      </c>
      <c r="M1081" t="s" s="13">
        <v>8606</v>
      </c>
      <c r="N1081" s="15">
        <v>133400</v>
      </c>
      <c r="O1081" s="17" cm="1">
        <f t="array" ref="O1081">(H1081-H1080)/H1080</f>
        <v>-0.00303855162372602</v>
      </c>
    </row>
    <row r="1082" ht="13.65" customHeight="1">
      <c r="A1082" s="12">
        <v>45817</v>
      </c>
      <c r="B1082" t="s" s="13">
        <v>22</v>
      </c>
      <c r="C1082" s="15">
        <v>157.69</v>
      </c>
      <c r="D1082" s="15">
        <v>158.2</v>
      </c>
      <c r="E1082" s="15">
        <v>156.82</v>
      </c>
      <c r="F1082" s="15">
        <v>157.49</v>
      </c>
      <c r="G1082" s="15">
        <v>157.3</v>
      </c>
      <c r="H1082" s="15">
        <v>157.32</v>
      </c>
      <c r="I1082" s="15">
        <v>157.52</v>
      </c>
      <c r="J1082" s="15">
        <v>184.6</v>
      </c>
      <c r="K1082" s="15">
        <v>122.62</v>
      </c>
      <c r="L1082" s="15">
        <v>15315437</v>
      </c>
      <c r="M1082" t="s" s="13">
        <v>8607</v>
      </c>
      <c r="N1082" s="15">
        <v>127577</v>
      </c>
      <c r="O1082" s="17" cm="1">
        <f t="array" ref="O1082">(H1082-H1081)/H1081</f>
        <v>-0.00107943361483269</v>
      </c>
    </row>
    <row r="1083" ht="13.65" customHeight="1">
      <c r="A1083" s="18">
        <v>45818</v>
      </c>
      <c r="B1083" t="s" s="13">
        <v>22</v>
      </c>
      <c r="C1083" s="15">
        <v>158</v>
      </c>
      <c r="D1083" s="15">
        <v>159.3</v>
      </c>
      <c r="E1083" s="15">
        <v>155.5</v>
      </c>
      <c r="F1083" s="15">
        <v>157.32</v>
      </c>
      <c r="G1083" s="15">
        <v>155.65</v>
      </c>
      <c r="H1083" s="15">
        <v>155.68</v>
      </c>
      <c r="I1083" s="15">
        <v>156.87</v>
      </c>
      <c r="J1083" s="15">
        <v>184.6</v>
      </c>
      <c r="K1083" s="15">
        <v>122.62</v>
      </c>
      <c r="L1083" s="15">
        <v>22764080</v>
      </c>
      <c r="M1083" t="s" s="13">
        <v>8608</v>
      </c>
      <c r="N1083" s="15">
        <v>132605</v>
      </c>
      <c r="O1083" s="17" cm="1">
        <f t="array" ref="O1083">(H1083-H1082)/H1082</f>
        <v>-0.0104246122552759</v>
      </c>
    </row>
    <row r="1084" ht="13.65" customHeight="1">
      <c r="A1084" s="18">
        <v>45819</v>
      </c>
      <c r="B1084" t="s" s="13">
        <v>22</v>
      </c>
      <c r="C1084" s="15">
        <v>156.45</v>
      </c>
      <c r="D1084" s="15">
        <v>157.53</v>
      </c>
      <c r="E1084" s="15">
        <v>155.31</v>
      </c>
      <c r="F1084" s="15">
        <v>155.68</v>
      </c>
      <c r="G1084" s="15">
        <v>156.09</v>
      </c>
      <c r="H1084" s="15">
        <v>156.41</v>
      </c>
      <c r="I1084" s="15">
        <v>156.54</v>
      </c>
      <c r="J1084" s="15">
        <v>184.6</v>
      </c>
      <c r="K1084" s="15">
        <v>122.62</v>
      </c>
      <c r="L1084" s="15">
        <v>17605668</v>
      </c>
      <c r="M1084" t="s" s="13">
        <v>8609</v>
      </c>
      <c r="N1084" s="15">
        <v>107872</v>
      </c>
      <c r="O1084" s="17" cm="1">
        <f t="array" ref="O1084">(H1084-H1083)/H1083</f>
        <v>0.00468910585817061</v>
      </c>
    </row>
    <row r="1085" ht="13.65" customHeight="1">
      <c r="A1085" s="18">
        <v>45820</v>
      </c>
      <c r="B1085" t="s" s="13">
        <v>22</v>
      </c>
      <c r="C1085" s="15">
        <v>156</v>
      </c>
      <c r="D1085" s="15">
        <v>156.26</v>
      </c>
      <c r="E1085" s="15">
        <v>151.85</v>
      </c>
      <c r="F1085" s="15">
        <v>156.41</v>
      </c>
      <c r="G1085" s="15">
        <v>152.6</v>
      </c>
      <c r="H1085" s="15">
        <v>152.89</v>
      </c>
      <c r="I1085" s="15">
        <v>153.46</v>
      </c>
      <c r="J1085" s="15">
        <v>184.6</v>
      </c>
      <c r="K1085" s="15">
        <v>122.62</v>
      </c>
      <c r="L1085" s="15">
        <v>27846151</v>
      </c>
      <c r="M1085" t="s" s="13">
        <v>8610</v>
      </c>
      <c r="N1085" s="15">
        <v>165106</v>
      </c>
      <c r="O1085" s="17" cm="1">
        <f t="array" ref="O1085">(H1085-H1084)/H1084</f>
        <v>-0.0225049549261556</v>
      </c>
    </row>
    <row r="1086" ht="13.65" customHeight="1">
      <c r="A1086" s="18">
        <v>45821</v>
      </c>
      <c r="B1086" t="s" s="13">
        <v>22</v>
      </c>
      <c r="C1086" s="15">
        <v>149.8</v>
      </c>
      <c r="D1086" s="15">
        <v>152.5</v>
      </c>
      <c r="E1086" s="15">
        <v>149.8</v>
      </c>
      <c r="F1086" s="15">
        <v>152.89</v>
      </c>
      <c r="G1086" s="15">
        <v>152.34</v>
      </c>
      <c r="H1086" s="15">
        <v>152.13</v>
      </c>
      <c r="I1086" s="15">
        <v>151.71</v>
      </c>
      <c r="J1086" s="15">
        <v>184.6</v>
      </c>
      <c r="K1086" s="15">
        <v>122.62</v>
      </c>
      <c r="L1086" s="15">
        <v>24277592</v>
      </c>
      <c r="M1086" t="s" s="13">
        <v>8611</v>
      </c>
      <c r="N1086" s="15">
        <v>131667</v>
      </c>
      <c r="O1086" s="17" cm="1">
        <f t="array" ref="O1086">(H1086-H1085)/H1085</f>
        <v>-0.00497089410687422</v>
      </c>
    </row>
    <row r="1087" ht="13.65" customHeight="1">
      <c r="A1087" s="18">
        <v>45824</v>
      </c>
      <c r="B1087" t="s" s="13">
        <v>22</v>
      </c>
      <c r="C1087" s="15">
        <v>152.01</v>
      </c>
      <c r="D1087" s="15">
        <v>154.5</v>
      </c>
      <c r="E1087" s="15">
        <v>150.84</v>
      </c>
      <c r="F1087" s="15">
        <v>152.13</v>
      </c>
      <c r="G1087" s="15">
        <v>154.1</v>
      </c>
      <c r="H1087" s="15">
        <v>154.17</v>
      </c>
      <c r="I1087" s="15">
        <v>153.22</v>
      </c>
      <c r="J1087" s="15">
        <v>184.6</v>
      </c>
      <c r="K1087" s="15">
        <v>122.62</v>
      </c>
      <c r="L1087" s="15">
        <v>16188193</v>
      </c>
      <c r="M1087" t="s" s="13">
        <v>8612</v>
      </c>
      <c r="N1087" s="15">
        <v>119308</v>
      </c>
      <c r="O1087" s="17" cm="1">
        <f t="array" ref="O1087">(H1087-H1086)/H1086</f>
        <v>0.0134095839084993</v>
      </c>
    </row>
    <row r="1088" ht="13.65" customHeight="1">
      <c r="A1088" s="18">
        <v>45825</v>
      </c>
      <c r="B1088" t="s" s="13">
        <v>22</v>
      </c>
      <c r="C1088" s="15">
        <v>153.81</v>
      </c>
      <c r="D1088" s="15">
        <v>154.89</v>
      </c>
      <c r="E1088" s="15">
        <v>152.35</v>
      </c>
      <c r="F1088" s="15">
        <v>154.17</v>
      </c>
      <c r="G1088" s="15">
        <v>152.58</v>
      </c>
      <c r="H1088" s="15">
        <v>152.6</v>
      </c>
      <c r="I1088" s="15">
        <v>153.42</v>
      </c>
      <c r="J1088" s="15">
        <v>184.6</v>
      </c>
      <c r="K1088" s="15">
        <v>122.62</v>
      </c>
      <c r="L1088" s="15">
        <v>16740382</v>
      </c>
      <c r="M1088" t="s" s="13">
        <v>8613</v>
      </c>
      <c r="N1088" s="15">
        <v>112427</v>
      </c>
      <c r="O1088" s="17" cm="1">
        <f t="array" ref="O1088">(H1088-H1087)/H1087</f>
        <v>-0.0101835635986249</v>
      </c>
    </row>
    <row r="1089" ht="13.65" customHeight="1">
      <c r="A1089" s="18">
        <v>45826</v>
      </c>
      <c r="B1089" t="s" s="13">
        <v>22</v>
      </c>
      <c r="C1089" s="15">
        <v>152.2</v>
      </c>
      <c r="D1089" s="15">
        <v>153.2</v>
      </c>
      <c r="E1089" s="15">
        <v>150.8</v>
      </c>
      <c r="F1089" s="15">
        <v>152.6</v>
      </c>
      <c r="G1089" s="15">
        <v>152</v>
      </c>
      <c r="H1089" s="15">
        <v>152.11</v>
      </c>
      <c r="I1089" s="15">
        <v>151.99</v>
      </c>
      <c r="J1089" s="15">
        <v>184.6</v>
      </c>
      <c r="K1089" s="15">
        <v>122.62</v>
      </c>
      <c r="L1089" s="15">
        <v>14860746</v>
      </c>
      <c r="M1089" t="s" s="13">
        <v>8614</v>
      </c>
      <c r="N1089" s="15">
        <v>91669</v>
      </c>
      <c r="O1089" s="17" cm="1">
        <f t="array" ref="O1089">(H1089-H1088)/H1088</f>
        <v>-0.00321100917431193</v>
      </c>
    </row>
    <row r="1090" ht="13.65" customHeight="1">
      <c r="A1090" s="18">
        <v>45827</v>
      </c>
      <c r="B1090" t="s" s="13">
        <v>22</v>
      </c>
      <c r="C1090" s="15">
        <v>152</v>
      </c>
      <c r="D1090" s="15">
        <v>152.45</v>
      </c>
      <c r="E1090" s="15">
        <v>150.5</v>
      </c>
      <c r="F1090" s="15">
        <v>152.11</v>
      </c>
      <c r="G1090" s="15">
        <v>150.51</v>
      </c>
      <c r="H1090" s="15">
        <v>151</v>
      </c>
      <c r="I1090" s="15">
        <v>151.16</v>
      </c>
      <c r="J1090" s="15">
        <v>184.6</v>
      </c>
      <c r="K1090" s="15">
        <v>122.62</v>
      </c>
      <c r="L1090" s="15">
        <v>20145922</v>
      </c>
      <c r="M1090" t="s" s="13">
        <v>8615</v>
      </c>
      <c r="N1090" s="15">
        <v>162901</v>
      </c>
      <c r="O1090" s="17" cm="1">
        <f t="array" ref="O1090">(H1090-H1089)/H1089</f>
        <v>-0.00729735060153836</v>
      </c>
    </row>
    <row r="1091" ht="13.65" customHeight="1">
      <c r="A1091" s="18">
        <v>45828</v>
      </c>
      <c r="B1091" t="s" s="13">
        <v>22</v>
      </c>
      <c r="C1091" s="15">
        <v>150.75</v>
      </c>
      <c r="D1091" s="15">
        <v>153.17</v>
      </c>
      <c r="E1091" s="15">
        <v>150.63</v>
      </c>
      <c r="F1091" s="15">
        <v>151</v>
      </c>
      <c r="G1091" s="15">
        <v>151.7</v>
      </c>
      <c r="H1091" s="15">
        <v>151.97</v>
      </c>
      <c r="I1091" s="15">
        <v>152.01</v>
      </c>
      <c r="J1091" s="15">
        <v>184.6</v>
      </c>
      <c r="K1091" s="15">
        <v>122.62</v>
      </c>
      <c r="L1091" s="15">
        <v>29944714</v>
      </c>
      <c r="M1091" t="s" s="13">
        <v>8616</v>
      </c>
      <c r="N1091" s="15">
        <v>118765</v>
      </c>
      <c r="O1091" s="17" cm="1">
        <f t="array" ref="O1091">(H1091-H1090)/H1090</f>
        <v>0.00642384105960265</v>
      </c>
    </row>
    <row r="1092" ht="13.65" customHeight="1">
      <c r="A1092" s="18">
        <v>45831</v>
      </c>
      <c r="B1092" t="s" s="13">
        <v>22</v>
      </c>
      <c r="C1092" s="15">
        <v>150.5</v>
      </c>
      <c r="D1092" s="15">
        <v>153.3</v>
      </c>
      <c r="E1092" s="15">
        <v>150.48</v>
      </c>
      <c r="F1092" s="15">
        <v>151.97</v>
      </c>
      <c r="G1092" s="15">
        <v>152.35</v>
      </c>
      <c r="H1092" s="15">
        <v>152.43</v>
      </c>
      <c r="I1092" s="15">
        <v>151.85</v>
      </c>
      <c r="J1092" s="15">
        <v>179</v>
      </c>
      <c r="K1092" s="15">
        <v>122.62</v>
      </c>
      <c r="L1092" s="15">
        <v>17096676</v>
      </c>
      <c r="M1092" t="s" s="13">
        <v>8617</v>
      </c>
      <c r="N1092" s="15">
        <v>107530</v>
      </c>
      <c r="O1092" s="17" cm="1">
        <f t="array" ref="O1092">(H1092-H1091)/H1091</f>
        <v>0.00302691320655393</v>
      </c>
    </row>
    <row r="1093" ht="13.65" customHeight="1">
      <c r="A1093" s="18">
        <v>45832</v>
      </c>
      <c r="B1093" t="s" s="13">
        <v>22</v>
      </c>
      <c r="C1093" s="15">
        <v>153.8</v>
      </c>
      <c r="D1093" s="15">
        <v>156.97</v>
      </c>
      <c r="E1093" s="15">
        <v>153.64</v>
      </c>
      <c r="F1093" s="15">
        <v>152.43</v>
      </c>
      <c r="G1093" s="15">
        <v>155.03</v>
      </c>
      <c r="H1093" s="15">
        <v>154.79</v>
      </c>
      <c r="I1093" s="15">
        <v>155.29</v>
      </c>
      <c r="J1093" s="15">
        <v>179</v>
      </c>
      <c r="K1093" s="15">
        <v>122.62</v>
      </c>
      <c r="L1093" s="15">
        <v>25403324</v>
      </c>
      <c r="M1093" t="s" s="13">
        <v>8618</v>
      </c>
      <c r="N1093" s="15">
        <v>168818</v>
      </c>
      <c r="O1093" s="17" cm="1">
        <f t="array" ref="O1093">(H1093-H1092)/H1092</f>
        <v>0.0154825165649806</v>
      </c>
    </row>
    <row r="1094" ht="13.65" customHeight="1">
      <c r="A1094" s="18">
        <v>45833</v>
      </c>
      <c r="B1094" t="s" s="13">
        <v>22</v>
      </c>
      <c r="C1094" s="15">
        <v>155.9</v>
      </c>
      <c r="D1094" s="15">
        <v>156.9</v>
      </c>
      <c r="E1094" s="15">
        <v>155.51</v>
      </c>
      <c r="F1094" s="15">
        <v>154.79</v>
      </c>
      <c r="G1094" s="15">
        <v>156.33</v>
      </c>
      <c r="H1094" s="15">
        <v>156.39</v>
      </c>
      <c r="I1094" s="15">
        <v>156.25</v>
      </c>
      <c r="J1094" s="15">
        <v>179</v>
      </c>
      <c r="K1094" s="15">
        <v>122.62</v>
      </c>
      <c r="L1094" s="15">
        <v>18240433</v>
      </c>
      <c r="M1094" t="s" s="13">
        <v>8619</v>
      </c>
      <c r="N1094" s="15">
        <v>115858</v>
      </c>
      <c r="O1094" s="17" cm="1">
        <f t="array" ref="O1094">(H1094-H1093)/H1093</f>
        <v>0.0103365850507139</v>
      </c>
    </row>
    <row r="1095" ht="13.65" customHeight="1">
      <c r="A1095" s="18">
        <v>45834</v>
      </c>
      <c r="B1095" t="s" s="13">
        <v>22</v>
      </c>
      <c r="C1095" s="15">
        <v>156.87</v>
      </c>
      <c r="D1095" s="15">
        <v>161.1</v>
      </c>
      <c r="E1095" s="15">
        <v>156.45</v>
      </c>
      <c r="F1095" s="15">
        <v>156.39</v>
      </c>
      <c r="G1095" s="15">
        <v>160.4</v>
      </c>
      <c r="H1095" s="15">
        <v>160.54</v>
      </c>
      <c r="I1095" s="15">
        <v>158.9</v>
      </c>
      <c r="J1095" s="15">
        <v>179</v>
      </c>
      <c r="K1095" s="15">
        <v>122.62</v>
      </c>
      <c r="L1095" s="15">
        <v>40650557</v>
      </c>
      <c r="M1095" t="s" s="13">
        <v>8620</v>
      </c>
      <c r="N1095" s="15">
        <v>200746</v>
      </c>
      <c r="O1095" s="17" cm="1">
        <f t="array" ref="O1095">(H1095-H1094)/H1094</f>
        <v>0.0265362235437048</v>
      </c>
    </row>
    <row r="1096" ht="13.65" customHeight="1">
      <c r="A1096" s="18">
        <v>45835</v>
      </c>
      <c r="B1096" t="s" s="13">
        <v>22</v>
      </c>
      <c r="C1096" s="15">
        <v>161</v>
      </c>
      <c r="D1096" s="15">
        <v>163.3</v>
      </c>
      <c r="E1096" s="15">
        <v>160.7</v>
      </c>
      <c r="F1096" s="15">
        <v>160.54</v>
      </c>
      <c r="G1096" s="15">
        <v>161.29</v>
      </c>
      <c r="H1096" s="15">
        <v>161.45</v>
      </c>
      <c r="I1096" s="15">
        <v>162.18</v>
      </c>
      <c r="J1096" s="15">
        <v>179</v>
      </c>
      <c r="K1096" s="15">
        <v>122.62</v>
      </c>
      <c r="L1096" s="15">
        <v>31989509</v>
      </c>
      <c r="M1096" t="s" s="13">
        <v>8621</v>
      </c>
      <c r="N1096" s="15">
        <v>179054</v>
      </c>
      <c r="O1096" s="17" cm="1">
        <f t="array" ref="O1096">(H1096-H1095)/H1095</f>
        <v>0.00566836925376853</v>
      </c>
    </row>
    <row r="1097" ht="13.65" customHeight="1">
      <c r="A1097" s="18">
        <v>45838</v>
      </c>
      <c r="B1097" t="s" s="13">
        <v>22</v>
      </c>
      <c r="C1097" s="15">
        <v>160.99</v>
      </c>
      <c r="D1097" s="15">
        <v>162.2</v>
      </c>
      <c r="E1097" s="15">
        <v>159.5</v>
      </c>
      <c r="F1097" s="15">
        <v>161.45</v>
      </c>
      <c r="G1097" s="15">
        <v>159.8</v>
      </c>
      <c r="H1097" s="15">
        <v>159.76</v>
      </c>
      <c r="I1097" s="15">
        <v>160.62</v>
      </c>
      <c r="J1097" s="15">
        <v>178.19</v>
      </c>
      <c r="K1097" s="15">
        <v>122.62</v>
      </c>
      <c r="L1097" s="15">
        <v>15842285</v>
      </c>
      <c r="M1097" t="s" s="13">
        <v>8622</v>
      </c>
      <c r="N1097" s="15">
        <v>143198</v>
      </c>
      <c r="O1097" s="17" cm="1">
        <f t="array" ref="O1097">(H1097-H1096)/H1096</f>
        <v>-0.0104676370393311</v>
      </c>
    </row>
    <row r="1098" ht="13.65" customHeight="1">
      <c r="A1098" s="12">
        <v>45839</v>
      </c>
      <c r="B1098" t="s" s="13">
        <v>22</v>
      </c>
      <c r="C1098" s="15">
        <v>160.01</v>
      </c>
      <c r="D1098" s="15">
        <v>160.44</v>
      </c>
      <c r="E1098" s="15">
        <v>157.73</v>
      </c>
      <c r="F1098" s="15">
        <v>159.76</v>
      </c>
      <c r="G1098" s="15">
        <v>159.8</v>
      </c>
      <c r="H1098" s="15">
        <v>160.06</v>
      </c>
      <c r="I1098" s="15">
        <v>159.3</v>
      </c>
      <c r="J1098" s="15">
        <v>178.19</v>
      </c>
      <c r="K1098" s="15">
        <v>122.62</v>
      </c>
      <c r="L1098" s="15">
        <v>17823415</v>
      </c>
      <c r="M1098" t="s" s="13">
        <v>8623</v>
      </c>
      <c r="N1098" s="15">
        <v>138779</v>
      </c>
      <c r="O1098" s="17" cm="1">
        <f t="array" ref="O1098">(H1098-H1097)/H1097</f>
        <v>0.00187781672508763</v>
      </c>
    </row>
    <row r="1099" ht="13.65" customHeight="1">
      <c r="A1099" s="12">
        <v>45840</v>
      </c>
      <c r="B1099" t="s" s="13">
        <v>22</v>
      </c>
      <c r="C1099" s="15">
        <v>160.06</v>
      </c>
      <c r="D1099" s="15">
        <v>166.15</v>
      </c>
      <c r="E1099" s="15">
        <v>159.83</v>
      </c>
      <c r="F1099" s="15">
        <v>160.06</v>
      </c>
      <c r="G1099" s="15">
        <v>165.95</v>
      </c>
      <c r="H1099" s="15">
        <v>165.88</v>
      </c>
      <c r="I1099" s="15">
        <v>164.17</v>
      </c>
      <c r="J1099" s="15">
        <v>178.19</v>
      </c>
      <c r="K1099" s="15">
        <v>122.62</v>
      </c>
      <c r="L1099" s="15">
        <v>63315210</v>
      </c>
      <c r="M1099" t="s" s="13">
        <v>8624</v>
      </c>
      <c r="N1099" s="15">
        <v>258609</v>
      </c>
      <c r="O1099" s="17" cm="1">
        <f t="array" ref="O1099">(H1099-H1098)/H1098</f>
        <v>0.0363613644883169</v>
      </c>
    </row>
    <row r="1100" ht="13.65" customHeight="1">
      <c r="A1100" s="12">
        <v>45841</v>
      </c>
      <c r="B1100" t="s" s="13">
        <v>22</v>
      </c>
      <c r="C1100" s="15">
        <v>166</v>
      </c>
      <c r="D1100" s="15">
        <v>168.78</v>
      </c>
      <c r="E1100" s="15">
        <v>165.21</v>
      </c>
      <c r="F1100" s="15">
        <v>165.88</v>
      </c>
      <c r="G1100" s="15">
        <v>165.55</v>
      </c>
      <c r="H1100" s="15">
        <v>165.91</v>
      </c>
      <c r="I1100" s="15">
        <v>166.97</v>
      </c>
      <c r="J1100" s="15">
        <v>178.19</v>
      </c>
      <c r="K1100" s="15">
        <v>122.62</v>
      </c>
      <c r="L1100" s="15">
        <v>60571824</v>
      </c>
      <c r="M1100" t="s" s="13">
        <v>8625</v>
      </c>
      <c r="N1100" s="15">
        <v>247576</v>
      </c>
      <c r="O1100" s="17" cm="1">
        <f t="array" ref="O1100">(H1100-H1099)/H1099</f>
        <v>0.000180853629129491</v>
      </c>
    </row>
    <row r="1101" ht="13.65" customHeight="1">
      <c r="A1101" s="12">
        <v>45842</v>
      </c>
      <c r="B1101" t="s" s="13">
        <v>22</v>
      </c>
      <c r="C1101" s="15">
        <v>165.91</v>
      </c>
      <c r="D1101" s="15">
        <v>166.49</v>
      </c>
      <c r="E1101" s="15">
        <v>162</v>
      </c>
      <c r="F1101" s="15">
        <v>165.91</v>
      </c>
      <c r="G1101" s="15">
        <v>163.1</v>
      </c>
      <c r="H1101" s="15">
        <v>163.01</v>
      </c>
      <c r="I1101" s="15">
        <v>163.37</v>
      </c>
      <c r="J1101" s="15">
        <v>178.19</v>
      </c>
      <c r="K1101" s="15">
        <v>122.62</v>
      </c>
      <c r="L1101" s="15">
        <v>22938753</v>
      </c>
      <c r="M1101" t="s" s="13">
        <v>8626</v>
      </c>
      <c r="N1101" s="15">
        <v>167118</v>
      </c>
      <c r="O1101" s="17" cm="1">
        <f t="array" ref="O1101">(H1101-H1100)/H1100</f>
        <v>-0.0174793562774998</v>
      </c>
    </row>
    <row r="1102" ht="13.65" customHeight="1">
      <c r="A1102" s="12">
        <v>45845</v>
      </c>
      <c r="B1102" t="s" s="13">
        <v>22</v>
      </c>
      <c r="C1102" s="15">
        <v>163</v>
      </c>
      <c r="D1102" s="15">
        <v>163.35</v>
      </c>
      <c r="E1102" s="15">
        <v>160.05</v>
      </c>
      <c r="F1102" s="15">
        <v>163.01</v>
      </c>
      <c r="G1102" s="15">
        <v>162.52</v>
      </c>
      <c r="H1102" s="15">
        <v>162.4</v>
      </c>
      <c r="I1102" s="15">
        <v>162.47</v>
      </c>
      <c r="J1102" s="15">
        <v>175.47</v>
      </c>
      <c r="K1102" s="15">
        <v>122.62</v>
      </c>
      <c r="L1102" s="15">
        <v>17469909</v>
      </c>
      <c r="M1102" t="s" s="13">
        <v>8627</v>
      </c>
      <c r="N1102" s="15">
        <v>123250</v>
      </c>
      <c r="O1102" s="17" cm="1">
        <f t="array" ref="O1102">(H1102-H1101)/H1101</f>
        <v>-0.00374210171155144</v>
      </c>
    </row>
    <row r="1103" ht="13.65" customHeight="1">
      <c r="A1103" s="12">
        <v>45846</v>
      </c>
      <c r="B1103" t="s" s="13">
        <v>22</v>
      </c>
      <c r="C1103" s="15">
        <v>162.45</v>
      </c>
      <c r="D1103" s="15">
        <v>162.9</v>
      </c>
      <c r="E1103" s="15">
        <v>161.6</v>
      </c>
      <c r="F1103" s="15">
        <v>162.4</v>
      </c>
      <c r="G1103" s="15">
        <v>161.9</v>
      </c>
      <c r="H1103" s="15">
        <v>161.97</v>
      </c>
      <c r="I1103" s="15">
        <v>162.03</v>
      </c>
      <c r="J1103" s="15">
        <v>175.47</v>
      </c>
      <c r="K1103" s="15">
        <v>122.62</v>
      </c>
      <c r="L1103" s="15">
        <v>11398248</v>
      </c>
      <c r="M1103" t="s" s="13">
        <v>8628</v>
      </c>
      <c r="N1103" s="15">
        <v>81709</v>
      </c>
      <c r="O1103" s="17" cm="1">
        <f t="array" ref="O1103">(H1103-H1102)/H1102</f>
        <v>-0.00264778325123153</v>
      </c>
    </row>
    <row r="1104" ht="13.65" customHeight="1">
      <c r="A1104" s="12">
        <v>45847</v>
      </c>
      <c r="B1104" t="s" s="13">
        <v>22</v>
      </c>
      <c r="C1104" s="15">
        <v>161.95</v>
      </c>
      <c r="D1104" s="15">
        <v>161.95</v>
      </c>
      <c r="E1104" s="15">
        <v>157.51</v>
      </c>
      <c r="F1104" s="15">
        <v>161.97</v>
      </c>
      <c r="G1104" s="15">
        <v>159.2</v>
      </c>
      <c r="H1104" s="15">
        <v>159</v>
      </c>
      <c r="I1104" s="15">
        <v>159.15</v>
      </c>
      <c r="J1104" s="15">
        <v>175.47</v>
      </c>
      <c r="K1104" s="15">
        <v>122.62</v>
      </c>
      <c r="L1104" s="15">
        <v>29839077</v>
      </c>
      <c r="M1104" t="s" s="13">
        <v>8629</v>
      </c>
      <c r="N1104" s="15">
        <v>216941</v>
      </c>
      <c r="O1104" s="17" cm="1">
        <f t="array" ref="O1104">(H1104-H1103)/H1103</f>
        <v>-0.0183367290238933</v>
      </c>
    </row>
    <row r="1105" ht="13.65" customHeight="1">
      <c r="A1105" s="18">
        <v>45848</v>
      </c>
      <c r="B1105" t="s" s="13">
        <v>22</v>
      </c>
      <c r="C1105" s="15">
        <v>160</v>
      </c>
      <c r="D1105" s="15">
        <v>161.55</v>
      </c>
      <c r="E1105" s="15">
        <v>159.28</v>
      </c>
      <c r="F1105" s="15">
        <v>159</v>
      </c>
      <c r="G1105" s="15">
        <v>160.63</v>
      </c>
      <c r="H1105" s="15">
        <v>160.66</v>
      </c>
      <c r="I1105" s="15">
        <v>160.44</v>
      </c>
      <c r="J1105" s="15">
        <v>175.47</v>
      </c>
      <c r="K1105" s="15">
        <v>122.62</v>
      </c>
      <c r="L1105" s="15">
        <v>17566887</v>
      </c>
      <c r="M1105" t="s" s="13">
        <v>8630</v>
      </c>
      <c r="N1105" s="15">
        <v>134347</v>
      </c>
      <c r="O1105" s="17" cm="1">
        <f t="array" ref="O1105">(H1105-H1104)/H1104</f>
        <v>0.010440251572327</v>
      </c>
    </row>
    <row r="1106" ht="13.65" customHeight="1">
      <c r="A1106" s="18">
        <v>45849</v>
      </c>
      <c r="B1106" t="s" s="13">
        <v>22</v>
      </c>
      <c r="C1106" s="15">
        <v>160.64</v>
      </c>
      <c r="D1106" s="15">
        <v>161.62</v>
      </c>
      <c r="E1106" s="15">
        <v>159.32</v>
      </c>
      <c r="F1106" s="15">
        <v>160.66</v>
      </c>
      <c r="G1106" s="15">
        <v>159.99</v>
      </c>
      <c r="H1106" s="15">
        <v>159.84</v>
      </c>
      <c r="I1106" s="15">
        <v>160.12</v>
      </c>
      <c r="J1106" s="15">
        <v>175.47</v>
      </c>
      <c r="K1106" s="15">
        <v>122.62</v>
      </c>
      <c r="L1106" s="15">
        <v>20689511</v>
      </c>
      <c r="M1106" t="s" s="13">
        <v>8631</v>
      </c>
      <c r="N1106" s="15">
        <v>146555</v>
      </c>
      <c r="O1106" s="17" cm="1">
        <f t="array" ref="O1106">(H1106-H1105)/H1105</f>
        <v>-0.00510394622183493</v>
      </c>
    </row>
    <row r="1107" ht="13.65" customHeight="1">
      <c r="A1107" s="18">
        <v>45852</v>
      </c>
      <c r="B1107" t="s" s="13">
        <v>22</v>
      </c>
      <c r="C1107" s="15">
        <v>159.84</v>
      </c>
      <c r="D1107" s="15">
        <v>161.12</v>
      </c>
      <c r="E1107" s="15">
        <v>159.3</v>
      </c>
      <c r="F1107" s="15">
        <v>159.84</v>
      </c>
      <c r="G1107" s="15">
        <v>160.25</v>
      </c>
      <c r="H1107" s="15">
        <v>160.44</v>
      </c>
      <c r="I1107" s="15">
        <v>160.23</v>
      </c>
      <c r="J1107" s="15">
        <v>170.18</v>
      </c>
      <c r="K1107" s="15">
        <v>122.62</v>
      </c>
      <c r="L1107" s="15">
        <v>15152964</v>
      </c>
      <c r="M1107" t="s" s="13">
        <v>8632</v>
      </c>
      <c r="N1107" s="15">
        <v>146442</v>
      </c>
      <c r="O1107" s="17" cm="1">
        <f t="array" ref="O1107">(H1107-H1106)/H1106</f>
        <v>0.00375375375375375</v>
      </c>
    </row>
    <row r="1108" ht="13.65" customHeight="1">
      <c r="A1108" s="18">
        <v>45853</v>
      </c>
      <c r="B1108" t="s" s="13">
        <v>22</v>
      </c>
      <c r="C1108" s="15">
        <v>160.26</v>
      </c>
      <c r="D1108" s="15">
        <v>160.85</v>
      </c>
      <c r="E1108" s="15">
        <v>157.95</v>
      </c>
      <c r="F1108" s="15">
        <v>160.44</v>
      </c>
      <c r="G1108" s="15">
        <v>159.3</v>
      </c>
      <c r="H1108" s="15">
        <v>159</v>
      </c>
      <c r="I1108" s="15">
        <v>159.12</v>
      </c>
      <c r="J1108" s="15">
        <v>170.18</v>
      </c>
      <c r="K1108" s="15">
        <v>122.62</v>
      </c>
      <c r="L1108" s="15">
        <v>17993051</v>
      </c>
      <c r="M1108" t="s" s="13">
        <v>8633</v>
      </c>
      <c r="N1108" s="15">
        <v>110529</v>
      </c>
      <c r="O1108" s="17" cm="1">
        <f t="array" ref="O1108">(H1108-H1107)/H1107</f>
        <v>-0.008975317875841439</v>
      </c>
    </row>
    <row r="1109" ht="13.65" customHeight="1">
      <c r="A1109" s="18">
        <v>45854</v>
      </c>
      <c r="B1109" t="s" s="13">
        <v>22</v>
      </c>
      <c r="C1109" s="15">
        <v>159</v>
      </c>
      <c r="D1109" s="15">
        <v>159.27</v>
      </c>
      <c r="E1109" s="15">
        <v>157</v>
      </c>
      <c r="F1109" s="15">
        <v>159</v>
      </c>
      <c r="G1109" s="15">
        <v>157.3</v>
      </c>
      <c r="H1109" s="15">
        <v>157.33</v>
      </c>
      <c r="I1109" s="15">
        <v>157.49</v>
      </c>
      <c r="J1109" s="15">
        <v>170.18</v>
      </c>
      <c r="K1109" s="15">
        <v>122.62</v>
      </c>
      <c r="L1109" s="15">
        <v>14591157</v>
      </c>
      <c r="M1109" t="s" s="13">
        <v>8634</v>
      </c>
      <c r="N1109" s="15">
        <v>126421</v>
      </c>
      <c r="O1109" s="17" cm="1">
        <f t="array" ref="O1109">(H1109-H1108)/H1108</f>
        <v>-0.0105031446540881</v>
      </c>
    </row>
    <row r="1110" ht="13.65" customHeight="1">
      <c r="A1110" s="18">
        <v>45855</v>
      </c>
      <c r="B1110" t="s" s="13">
        <v>22</v>
      </c>
      <c r="C1110" s="15">
        <v>157.5</v>
      </c>
      <c r="D1110" s="15">
        <v>160.7</v>
      </c>
      <c r="E1110" s="15">
        <v>157.12</v>
      </c>
      <c r="F1110" s="15">
        <v>157.33</v>
      </c>
      <c r="G1110" s="15">
        <v>159.97</v>
      </c>
      <c r="H1110" s="15">
        <v>159.9</v>
      </c>
      <c r="I1110" s="15">
        <v>159.06</v>
      </c>
      <c r="J1110" s="15">
        <v>170.18</v>
      </c>
      <c r="K1110" s="15">
        <v>122.62</v>
      </c>
      <c r="L1110" s="15">
        <v>21733241</v>
      </c>
      <c r="M1110" t="s" s="13">
        <v>8635</v>
      </c>
      <c r="N1110" s="15">
        <v>138067</v>
      </c>
      <c r="O1110" s="17" cm="1">
        <f t="array" ref="O1110">(H1110-H1109)/H1109</f>
        <v>0.0163350918451662</v>
      </c>
    </row>
    <row r="1111" ht="13.65" customHeight="1">
      <c r="A1111" s="18">
        <v>45856</v>
      </c>
      <c r="B1111" t="s" s="13">
        <v>22</v>
      </c>
      <c r="C1111" s="15">
        <v>160.1</v>
      </c>
      <c r="D1111" s="15">
        <v>162.75</v>
      </c>
      <c r="E1111" s="15">
        <v>160.1</v>
      </c>
      <c r="F1111" s="15">
        <v>159.9</v>
      </c>
      <c r="G1111" s="15">
        <v>162.5</v>
      </c>
      <c r="H1111" s="15">
        <v>162.37</v>
      </c>
      <c r="I1111" s="15">
        <v>161.77</v>
      </c>
      <c r="J1111" s="15">
        <v>170.18</v>
      </c>
      <c r="K1111" s="15">
        <v>122.62</v>
      </c>
      <c r="L1111" s="15">
        <v>30728478</v>
      </c>
      <c r="M1111" t="s" s="13">
        <v>8636</v>
      </c>
      <c r="N1111" s="15">
        <v>173316</v>
      </c>
      <c r="O1111" s="17" cm="1">
        <f t="array" ref="O1111">(H1111-H1110)/H1110</f>
        <v>0.0154471544715447</v>
      </c>
    </row>
    <row r="1112" ht="13.65" customHeight="1">
      <c r="A1112" s="18">
        <v>45859</v>
      </c>
      <c r="B1112" t="s" s="13">
        <v>22</v>
      </c>
      <c r="C1112" s="15">
        <v>162.5</v>
      </c>
      <c r="D1112" s="15">
        <v>165.6</v>
      </c>
      <c r="E1112" s="15">
        <v>162.49</v>
      </c>
      <c r="F1112" s="15">
        <v>162.37</v>
      </c>
      <c r="G1112" s="15">
        <v>163.18</v>
      </c>
      <c r="H1112" s="15">
        <v>163.02</v>
      </c>
      <c r="I1112" s="15">
        <v>163.66</v>
      </c>
      <c r="J1112" s="15">
        <v>170.18</v>
      </c>
      <c r="K1112" s="15">
        <v>122.62</v>
      </c>
      <c r="L1112" s="15">
        <v>29812899</v>
      </c>
      <c r="M1112" t="s" s="13">
        <v>8637</v>
      </c>
      <c r="N1112" s="15">
        <v>174007</v>
      </c>
      <c r="O1112" s="17" cm="1">
        <f t="array" ref="O1112">(H1112-H1111)/H1111</f>
        <v>0.00400320256204964</v>
      </c>
    </row>
    <row r="1113" ht="13.65" customHeight="1">
      <c r="A1113" s="18">
        <v>45860</v>
      </c>
      <c r="B1113" t="s" s="13">
        <v>22</v>
      </c>
      <c r="C1113" s="15">
        <v>163.3</v>
      </c>
      <c r="D1113" s="15">
        <v>164.41</v>
      </c>
      <c r="E1113" s="15">
        <v>162.73</v>
      </c>
      <c r="F1113" s="15">
        <v>163.02</v>
      </c>
      <c r="G1113" s="15">
        <v>162.97</v>
      </c>
      <c r="H1113" s="15">
        <v>163.04</v>
      </c>
      <c r="I1113" s="15">
        <v>163.59</v>
      </c>
      <c r="J1113" s="15">
        <v>170.18</v>
      </c>
      <c r="K1113" s="15">
        <v>122.62</v>
      </c>
      <c r="L1113" s="15">
        <v>13615524</v>
      </c>
      <c r="M1113" t="s" s="13">
        <v>8638</v>
      </c>
      <c r="N1113" s="15">
        <v>135609</v>
      </c>
      <c r="O1113" s="17" cm="1">
        <f t="array" ref="O1113">(H1113-H1112)/H1112</f>
        <v>0.000122684333210649</v>
      </c>
    </row>
    <row r="1114" ht="13.65" customHeight="1">
      <c r="A1114" s="18">
        <v>45861</v>
      </c>
      <c r="B1114" t="s" s="13">
        <v>22</v>
      </c>
      <c r="C1114" s="15">
        <v>163.25</v>
      </c>
      <c r="D1114" s="15">
        <v>164.14</v>
      </c>
      <c r="E1114" s="15">
        <v>161.88</v>
      </c>
      <c r="F1114" s="15">
        <v>163.04</v>
      </c>
      <c r="G1114" s="15">
        <v>162.51</v>
      </c>
      <c r="H1114" s="15">
        <v>162.77</v>
      </c>
      <c r="I1114" s="15">
        <v>163.02</v>
      </c>
      <c r="J1114" s="15">
        <v>170.18</v>
      </c>
      <c r="K1114" s="15">
        <v>122.62</v>
      </c>
      <c r="L1114" s="15">
        <v>14287149</v>
      </c>
      <c r="M1114" t="s" s="13">
        <v>8639</v>
      </c>
      <c r="N1114" s="15">
        <v>122780</v>
      </c>
      <c r="O1114" s="17" cm="1">
        <f t="array" ref="O1114">(H1114-H1113)/H1113</f>
        <v>-0.00165603532875368</v>
      </c>
    </row>
    <row r="1115" ht="13.65" customHeight="1">
      <c r="A1115" s="18">
        <v>45862</v>
      </c>
      <c r="B1115" t="s" s="13">
        <v>22</v>
      </c>
      <c r="C1115" s="15">
        <v>163</v>
      </c>
      <c r="D1115" s="15">
        <v>164.75</v>
      </c>
      <c r="E1115" s="15">
        <v>162.81</v>
      </c>
      <c r="F1115" s="15">
        <v>162.77</v>
      </c>
      <c r="G1115" s="15">
        <v>163.6</v>
      </c>
      <c r="H1115" s="15">
        <v>163.48</v>
      </c>
      <c r="I1115" s="15">
        <v>163.7</v>
      </c>
      <c r="J1115" s="15">
        <v>170.18</v>
      </c>
      <c r="K1115" s="15">
        <v>122.62</v>
      </c>
      <c r="L1115" s="15">
        <v>14377270</v>
      </c>
      <c r="M1115" t="s" s="13">
        <v>8640</v>
      </c>
      <c r="N1115" s="15">
        <v>117000</v>
      </c>
      <c r="O1115" s="17" cm="1">
        <f t="array" ref="O1115">(H1115-H1114)/H1114</f>
        <v>0.00436198316643116</v>
      </c>
    </row>
    <row r="1116" ht="13.65" customHeight="1">
      <c r="A1116" s="18">
        <v>45863</v>
      </c>
      <c r="B1116" t="s" s="13">
        <v>22</v>
      </c>
      <c r="C1116" s="15">
        <v>163.5</v>
      </c>
      <c r="D1116" s="15">
        <v>163.59</v>
      </c>
      <c r="E1116" s="15">
        <v>161.05</v>
      </c>
      <c r="F1116" s="15">
        <v>163.48</v>
      </c>
      <c r="G1116" s="15">
        <v>161.51</v>
      </c>
      <c r="H1116" s="15">
        <v>161.43</v>
      </c>
      <c r="I1116" s="15">
        <v>161.79</v>
      </c>
      <c r="J1116" s="15">
        <v>170.18</v>
      </c>
      <c r="K1116" s="15">
        <v>122.62</v>
      </c>
      <c r="L1116" s="15">
        <v>12443495</v>
      </c>
      <c r="M1116" t="s" s="13">
        <v>8641</v>
      </c>
      <c r="N1116" s="15">
        <v>140857</v>
      </c>
      <c r="O1116" s="17" cm="1">
        <f t="array" ref="O1116">(H1116-H1115)/H1115</f>
        <v>-0.0125397602153169</v>
      </c>
    </row>
    <row r="1117" ht="13.65" customHeight="1">
      <c r="A1117" s="18">
        <v>45866</v>
      </c>
      <c r="B1117" t="s" s="13">
        <v>22</v>
      </c>
      <c r="C1117" s="15">
        <v>161.23</v>
      </c>
      <c r="D1117" s="15">
        <v>162.29</v>
      </c>
      <c r="E1117" s="15">
        <v>159.09</v>
      </c>
      <c r="F1117" s="15">
        <v>161.43</v>
      </c>
      <c r="G1117" s="15">
        <v>159.34</v>
      </c>
      <c r="H1117" s="15">
        <v>159.68</v>
      </c>
      <c r="I1117" s="15">
        <v>160.51</v>
      </c>
      <c r="J1117" s="15">
        <v>170.18</v>
      </c>
      <c r="K1117" s="15">
        <v>122.62</v>
      </c>
      <c r="L1117" s="15">
        <v>19296285</v>
      </c>
      <c r="M1117" t="s" s="13">
        <v>8642</v>
      </c>
      <c r="N1117" s="15">
        <v>220177</v>
      </c>
      <c r="O1117" s="17" cm="1">
        <f t="array" ref="O1117">(H1117-H1116)/H1116</f>
        <v>-0.010840612029982</v>
      </c>
    </row>
    <row r="1118" ht="13.65" customHeight="1">
      <c r="A1118" s="18">
        <v>45867</v>
      </c>
      <c r="B1118" t="s" s="13">
        <v>22</v>
      </c>
      <c r="C1118" s="15">
        <v>158.2</v>
      </c>
      <c r="D1118" s="15">
        <v>162.45</v>
      </c>
      <c r="E1118" s="15">
        <v>158.2</v>
      </c>
      <c r="F1118" s="15">
        <v>159.68</v>
      </c>
      <c r="G1118" s="15">
        <v>162.22</v>
      </c>
      <c r="H1118" s="15">
        <v>161.69</v>
      </c>
      <c r="I1118" s="15">
        <v>160.78</v>
      </c>
      <c r="J1118" s="15">
        <v>170.18</v>
      </c>
      <c r="K1118" s="15">
        <v>122.62</v>
      </c>
      <c r="L1118" s="15">
        <v>15262937</v>
      </c>
      <c r="M1118" t="s" s="13">
        <v>8643</v>
      </c>
      <c r="N1118" s="15">
        <v>95240</v>
      </c>
      <c r="O1118" s="17" cm="1">
        <f t="array" ref="O1118">(H1118-H1117)/H1117</f>
        <v>0.0125876753507014</v>
      </c>
    </row>
    <row r="1119" ht="13.65" customHeight="1">
      <c r="A1119" s="18">
        <v>45868</v>
      </c>
      <c r="B1119" t="s" s="13">
        <v>22</v>
      </c>
      <c r="C1119" s="15">
        <v>161.69</v>
      </c>
      <c r="D1119" s="15">
        <v>162.79</v>
      </c>
      <c r="E1119" s="15">
        <v>161.05</v>
      </c>
      <c r="F1119" s="15">
        <v>161.69</v>
      </c>
      <c r="G1119" s="15">
        <v>161.3</v>
      </c>
      <c r="H1119" s="15">
        <v>161.36</v>
      </c>
      <c r="I1119" s="15">
        <v>161.74</v>
      </c>
      <c r="J1119" s="15">
        <v>170.18</v>
      </c>
      <c r="K1119" s="15">
        <v>122.62</v>
      </c>
      <c r="L1119" s="15">
        <v>16083106</v>
      </c>
      <c r="M1119" t="s" s="13">
        <v>8644</v>
      </c>
      <c r="N1119" s="15">
        <v>90693</v>
      </c>
      <c r="O1119" s="17" cm="1">
        <f t="array" ref="O1119">(H1119-H1118)/H1118</f>
        <v>-0.00204094254437504</v>
      </c>
    </row>
    <row r="1120" ht="13.65" customHeight="1">
      <c r="A1120" s="18">
        <v>45869</v>
      </c>
      <c r="B1120" t="s" s="13">
        <v>22</v>
      </c>
      <c r="C1120" s="15">
        <v>161</v>
      </c>
      <c r="D1120" s="15">
        <v>162.13</v>
      </c>
      <c r="E1120" s="15">
        <v>156.56</v>
      </c>
      <c r="F1120" s="15">
        <v>161.36</v>
      </c>
      <c r="G1120" s="15">
        <v>157.3</v>
      </c>
      <c r="H1120" s="15">
        <v>157.94</v>
      </c>
      <c r="I1120" s="15">
        <v>160.15</v>
      </c>
      <c r="J1120" s="15">
        <v>170.18</v>
      </c>
      <c r="K1120" s="15">
        <v>122.62</v>
      </c>
      <c r="L1120" s="15">
        <v>26213891</v>
      </c>
      <c r="M1120" t="s" s="13">
        <v>8645</v>
      </c>
      <c r="N1120" s="15">
        <v>155822</v>
      </c>
      <c r="O1120" s="17" cm="1">
        <f t="array" ref="O1120">(H1120-H1119)/H1119</f>
        <v>-0.0211948438274665</v>
      </c>
    </row>
    <row r="1121" ht="13.65" customHeight="1">
      <c r="A1121" s="12">
        <v>45870</v>
      </c>
      <c r="B1121" t="s" s="13">
        <v>22</v>
      </c>
      <c r="C1121" s="15">
        <v>157.93</v>
      </c>
      <c r="D1121" s="15">
        <v>157.93</v>
      </c>
      <c r="E1121" s="15">
        <v>152.51</v>
      </c>
      <c r="F1121" s="15">
        <v>157.94</v>
      </c>
      <c r="G1121" s="15">
        <v>153</v>
      </c>
      <c r="H1121" s="15">
        <v>153.01</v>
      </c>
      <c r="I1121" s="15">
        <v>154.24</v>
      </c>
      <c r="J1121" s="15">
        <v>170.18</v>
      </c>
      <c r="K1121" s="15">
        <v>122.62</v>
      </c>
      <c r="L1121" s="15">
        <v>23927359</v>
      </c>
      <c r="M1121" t="s" s="13">
        <v>8646</v>
      </c>
      <c r="N1121" s="15">
        <v>183972</v>
      </c>
      <c r="O1121" s="17" cm="1">
        <f t="array" ref="O1121">(H1121-H1120)/H1120</f>
        <v>-0.0312143852095733</v>
      </c>
    </row>
    <row r="1122" ht="13.65" customHeight="1">
      <c r="A1122" s="12">
        <v>45873</v>
      </c>
      <c r="B1122" t="s" s="13">
        <v>22</v>
      </c>
      <c r="C1122" s="15">
        <v>153.5</v>
      </c>
      <c r="D1122" s="15">
        <v>159.92</v>
      </c>
      <c r="E1122" s="15">
        <v>153.5</v>
      </c>
      <c r="F1122" s="15">
        <v>153.01</v>
      </c>
      <c r="G1122" s="15">
        <v>159.25</v>
      </c>
      <c r="H1122" s="15">
        <v>159.56</v>
      </c>
      <c r="I1122" s="15">
        <v>158.06</v>
      </c>
      <c r="J1122" s="15">
        <v>170.18</v>
      </c>
      <c r="K1122" s="15">
        <v>122.62</v>
      </c>
      <c r="L1122" s="15">
        <v>30064719</v>
      </c>
      <c r="M1122" t="s" s="13">
        <v>8647</v>
      </c>
      <c r="N1122" s="15">
        <v>200990</v>
      </c>
      <c r="O1122" s="17" cm="1">
        <f t="array" ref="O1122">(H1122-H1121)/H1121</f>
        <v>0.0428076596300895</v>
      </c>
    </row>
    <row r="1123" ht="13.65" customHeight="1">
      <c r="A1123" s="12">
        <v>45874</v>
      </c>
      <c r="B1123" t="s" s="13">
        <v>22</v>
      </c>
      <c r="C1123" s="15">
        <v>159.56</v>
      </c>
      <c r="D1123" s="15">
        <v>160.14</v>
      </c>
      <c r="E1123" s="15">
        <v>158.28</v>
      </c>
      <c r="F1123" s="15">
        <v>159.56</v>
      </c>
      <c r="G1123" s="15">
        <v>159.45</v>
      </c>
      <c r="H1123" s="15">
        <v>159.62</v>
      </c>
      <c r="I1123" s="15">
        <v>159.39</v>
      </c>
      <c r="J1123" s="15">
        <v>170.18</v>
      </c>
      <c r="K1123" s="15">
        <v>122.62</v>
      </c>
      <c r="L1123" s="15">
        <v>14441034</v>
      </c>
      <c r="M1123" t="s" s="13">
        <v>8648</v>
      </c>
      <c r="N1123" s="15">
        <v>165331</v>
      </c>
      <c r="O1123" s="17" cm="1">
        <f t="array" ref="O1123">(H1123-H1122)/H1122</f>
        <v>0.000376034093757834</v>
      </c>
    </row>
    <row r="1124" ht="13.65" customHeight="1">
      <c r="A1124" s="12">
        <v>45875</v>
      </c>
      <c r="B1124" t="s" s="13">
        <v>22</v>
      </c>
      <c r="C1124" s="15">
        <v>159.62</v>
      </c>
      <c r="D1124" s="15">
        <v>159.8</v>
      </c>
      <c r="E1124" s="15">
        <v>157.8</v>
      </c>
      <c r="F1124" s="15">
        <v>159.62</v>
      </c>
      <c r="G1124" s="15">
        <v>158.7</v>
      </c>
      <c r="H1124" s="15">
        <v>158.66</v>
      </c>
      <c r="I1124" s="15">
        <v>158.59</v>
      </c>
      <c r="J1124" s="15">
        <v>170.18</v>
      </c>
      <c r="K1124" s="15">
        <v>122.62</v>
      </c>
      <c r="L1124" s="15">
        <v>13438851</v>
      </c>
      <c r="M1124" t="s" s="13">
        <v>8649</v>
      </c>
      <c r="N1124" s="15">
        <v>219272</v>
      </c>
      <c r="O1124" s="17" cm="1">
        <f t="array" ref="O1124">(H1124-H1123)/H1123</f>
        <v>-0.00601428392432026</v>
      </c>
    </row>
    <row r="1125" ht="13.65" customHeight="1">
      <c r="A1125" s="12">
        <v>45876</v>
      </c>
      <c r="B1125" t="s" s="13">
        <v>22</v>
      </c>
      <c r="C1125" s="15">
        <v>157.15</v>
      </c>
      <c r="D1125" s="15">
        <v>160</v>
      </c>
      <c r="E1125" s="15">
        <v>156.26</v>
      </c>
      <c r="F1125" s="15">
        <v>158.66</v>
      </c>
      <c r="G1125" s="15">
        <v>159.83</v>
      </c>
      <c r="H1125" s="15">
        <v>159.67</v>
      </c>
      <c r="I1125" s="15">
        <v>157.92</v>
      </c>
      <c r="J1125" s="15">
        <v>170.18</v>
      </c>
      <c r="K1125" s="15">
        <v>122.62</v>
      </c>
      <c r="L1125" s="15">
        <v>23159540</v>
      </c>
      <c r="M1125" t="s" s="13">
        <v>8650</v>
      </c>
      <c r="N1125" s="15">
        <v>190119</v>
      </c>
      <c r="O1125" s="17" cm="1">
        <f t="array" ref="O1125">(H1125-H1124)/H1124</f>
        <v>0.00636581368965083</v>
      </c>
    </row>
    <row r="1126" ht="13.65" customHeight="1">
      <c r="A1126" s="12">
        <v>45877</v>
      </c>
      <c r="B1126" t="s" s="13">
        <v>22</v>
      </c>
      <c r="C1126" s="15">
        <v>159.5</v>
      </c>
      <c r="D1126" s="15">
        <v>159.95</v>
      </c>
      <c r="E1126" s="15">
        <v>157.01</v>
      </c>
      <c r="F1126" s="15">
        <v>159.67</v>
      </c>
      <c r="G1126" s="15">
        <v>158.25</v>
      </c>
      <c r="H1126" s="15">
        <v>157.95</v>
      </c>
      <c r="I1126" s="15">
        <v>158.22</v>
      </c>
      <c r="J1126" s="15">
        <v>170.18</v>
      </c>
      <c r="K1126" s="15">
        <v>122.62</v>
      </c>
      <c r="L1126" s="15">
        <v>11951173</v>
      </c>
      <c r="M1126" t="s" s="13">
        <v>8651</v>
      </c>
      <c r="N1126" s="15">
        <v>104268</v>
      </c>
      <c r="O1126" s="17" cm="1">
        <f t="array" ref="O1126">(H1126-H1125)/H1125</f>
        <v>-0.0107722176990042</v>
      </c>
    </row>
    <row r="1127" ht="13.65" customHeight="1">
      <c r="A1127" s="18">
        <v>45880</v>
      </c>
      <c r="B1127" t="s" s="13">
        <v>22</v>
      </c>
      <c r="C1127" s="15">
        <v>157.95</v>
      </c>
      <c r="D1127" s="15">
        <v>160</v>
      </c>
      <c r="E1127" s="15">
        <v>157.15</v>
      </c>
      <c r="F1127" s="15">
        <v>157.95</v>
      </c>
      <c r="G1127" s="15">
        <v>158.5</v>
      </c>
      <c r="H1127" s="15">
        <v>158.52</v>
      </c>
      <c r="I1127" s="15">
        <v>158.16</v>
      </c>
      <c r="J1127" s="15">
        <v>170.18</v>
      </c>
      <c r="K1127" s="15">
        <v>122.62</v>
      </c>
      <c r="L1127" s="15">
        <v>14325736</v>
      </c>
      <c r="M1127" t="s" s="13">
        <v>8652</v>
      </c>
      <c r="N1127" s="15">
        <v>116920</v>
      </c>
      <c r="O1127" s="17" cm="1">
        <f t="array" ref="O1127">(H1127-H1126)/H1126</f>
        <v>0.00360873694207028</v>
      </c>
    </row>
    <row r="1128" ht="13.65" customHeight="1">
      <c r="A1128" s="18">
        <v>45881</v>
      </c>
      <c r="B1128" t="s" s="13">
        <v>22</v>
      </c>
      <c r="C1128" s="15">
        <v>158.52</v>
      </c>
      <c r="D1128" s="15">
        <v>161.65</v>
      </c>
      <c r="E1128" s="15">
        <v>158.5</v>
      </c>
      <c r="F1128" s="15">
        <v>158.52</v>
      </c>
      <c r="G1128" s="15">
        <v>160.13</v>
      </c>
      <c r="H1128" s="15">
        <v>160.16</v>
      </c>
      <c r="I1128" s="15">
        <v>160.62</v>
      </c>
      <c r="J1128" s="15">
        <v>170.18</v>
      </c>
      <c r="K1128" s="15">
        <v>122.62</v>
      </c>
      <c r="L1128" s="15">
        <v>20056598</v>
      </c>
      <c r="M1128" t="s" s="13">
        <v>8653</v>
      </c>
      <c r="N1128" s="15">
        <v>133490</v>
      </c>
      <c r="O1128" s="17" cm="1">
        <f t="array" ref="O1128">(H1128-H1127)/H1127</f>
        <v>0.0103456977037598</v>
      </c>
    </row>
    <row r="1129" ht="13.65" customHeight="1">
      <c r="A1129" s="18">
        <v>45882</v>
      </c>
      <c r="B1129" t="s" s="13">
        <v>22</v>
      </c>
      <c r="C1129" s="15">
        <v>160.96</v>
      </c>
      <c r="D1129" s="15">
        <v>162.4</v>
      </c>
      <c r="E1129" s="15">
        <v>159.9</v>
      </c>
      <c r="F1129" s="15">
        <v>160.16</v>
      </c>
      <c r="G1129" s="15">
        <v>160.35</v>
      </c>
      <c r="H1129" s="15">
        <v>160.18</v>
      </c>
      <c r="I1129" s="15">
        <v>161.07</v>
      </c>
      <c r="J1129" s="15">
        <v>170.18</v>
      </c>
      <c r="K1129" s="15">
        <v>122.62</v>
      </c>
      <c r="L1129" s="15">
        <v>18079396</v>
      </c>
      <c r="M1129" t="s" s="13">
        <v>8654</v>
      </c>
      <c r="N1129" s="15">
        <v>117633</v>
      </c>
      <c r="O1129" s="17" cm="1">
        <f t="array" ref="O1129">(H1129-H1128)/H1128</f>
        <v>0.000124875124875125</v>
      </c>
    </row>
    <row r="1130" ht="13.65" customHeight="1">
      <c r="A1130" s="18">
        <v>45883</v>
      </c>
      <c r="B1130" t="s" s="13">
        <v>22</v>
      </c>
      <c r="C1130" s="15">
        <v>160.02</v>
      </c>
      <c r="D1130" s="15">
        <v>160.6</v>
      </c>
      <c r="E1130" s="15">
        <v>154.83</v>
      </c>
      <c r="F1130" s="15">
        <v>160.18</v>
      </c>
      <c r="G1130" s="15">
        <v>155.68</v>
      </c>
      <c r="H1130" s="15">
        <v>155.3</v>
      </c>
      <c r="I1130" s="15">
        <v>156.57</v>
      </c>
      <c r="J1130" s="15">
        <v>170.18</v>
      </c>
      <c r="K1130" s="15">
        <v>122.62</v>
      </c>
      <c r="L1130" s="15">
        <v>47256126</v>
      </c>
      <c r="M1130" t="s" s="13">
        <v>8655</v>
      </c>
      <c r="N1130" s="15">
        <v>183512</v>
      </c>
      <c r="O1130" s="17" cm="1">
        <f t="array" ref="O1130">(H1130-H1129)/H1129</f>
        <v>-0.0304657260581845</v>
      </c>
    </row>
    <row r="1131" ht="13.65" customHeight="1">
      <c r="A1131" s="18">
        <v>45887</v>
      </c>
      <c r="B1131" t="s" s="13">
        <v>22</v>
      </c>
      <c r="C1131" s="15">
        <v>158</v>
      </c>
      <c r="D1131" s="15">
        <v>159</v>
      </c>
      <c r="E1131" s="15">
        <v>156</v>
      </c>
      <c r="F1131" s="15">
        <v>155.3</v>
      </c>
      <c r="G1131" s="15">
        <v>157.97</v>
      </c>
      <c r="H1131" s="15">
        <v>157.96</v>
      </c>
      <c r="I1131" s="15">
        <v>157.44</v>
      </c>
      <c r="J1131" s="15">
        <v>170.18</v>
      </c>
      <c r="K1131" s="15">
        <v>122.62</v>
      </c>
      <c r="L1131" s="15">
        <v>61022494</v>
      </c>
      <c r="M1131" t="s" s="13">
        <v>8656</v>
      </c>
      <c r="N1131" s="15">
        <v>141423</v>
      </c>
      <c r="O1131" s="17" cm="1">
        <f t="array" ref="O1131">(H1131-H1130)/H1130</f>
        <v>0.0171281390856407</v>
      </c>
    </row>
    <row r="1132" ht="13.65" customHeight="1">
      <c r="A1132" s="18">
        <v>45888</v>
      </c>
      <c r="B1132" t="s" s="13">
        <v>22</v>
      </c>
      <c r="C1132" s="15">
        <v>158.5</v>
      </c>
      <c r="D1132" s="15">
        <v>159.46</v>
      </c>
      <c r="E1132" s="15">
        <v>156.76</v>
      </c>
      <c r="F1132" s="15">
        <v>157.96</v>
      </c>
      <c r="G1132" s="15">
        <v>159.2</v>
      </c>
      <c r="H1132" s="15">
        <v>159.23</v>
      </c>
      <c r="I1132" s="15">
        <v>158.52</v>
      </c>
      <c r="J1132" s="15">
        <v>170.18</v>
      </c>
      <c r="K1132" s="15">
        <v>122.62</v>
      </c>
      <c r="L1132" s="15">
        <v>21224239</v>
      </c>
      <c r="M1132" t="s" s="13">
        <v>8657</v>
      </c>
      <c r="N1132" s="15">
        <v>128791</v>
      </c>
      <c r="O1132" s="17" cm="1">
        <f t="array" ref="O1132">(H1132-H1131)/H1131</f>
        <v>0.008040010129146621</v>
      </c>
    </row>
    <row r="1133" ht="13.65" customHeight="1">
      <c r="A1133" s="18">
        <v>45889</v>
      </c>
      <c r="B1133" t="s" s="13">
        <v>22</v>
      </c>
      <c r="C1133" s="15">
        <v>158.2</v>
      </c>
      <c r="D1133" s="15">
        <v>162.76</v>
      </c>
      <c r="E1133" s="15">
        <v>158.03</v>
      </c>
      <c r="F1133" s="15">
        <v>159.23</v>
      </c>
      <c r="G1133" s="15">
        <v>161.77</v>
      </c>
      <c r="H1133" s="15">
        <v>161.92</v>
      </c>
      <c r="I1133" s="15">
        <v>161.13</v>
      </c>
      <c r="J1133" s="15">
        <v>170.18</v>
      </c>
      <c r="K1133" s="15">
        <v>122.62</v>
      </c>
      <c r="L1133" s="15">
        <v>28520245</v>
      </c>
      <c r="M1133" t="s" s="13">
        <v>8658</v>
      </c>
      <c r="N1133" s="15">
        <v>175151</v>
      </c>
      <c r="O1133" s="17" cm="1">
        <f t="array" ref="O1133">(H1133-H1132)/H1132</f>
        <v>0.0168938014193305</v>
      </c>
    </row>
    <row r="1134" ht="13.65" customHeight="1">
      <c r="A1134" s="18">
        <v>45890</v>
      </c>
      <c r="B1134" t="s" s="13">
        <v>22</v>
      </c>
      <c r="C1134" s="15">
        <v>161.92</v>
      </c>
      <c r="D1134" s="15">
        <v>162.54</v>
      </c>
      <c r="E1134" s="15">
        <v>161.19</v>
      </c>
      <c r="F1134" s="15">
        <v>161.92</v>
      </c>
      <c r="G1134" s="15">
        <v>161.29</v>
      </c>
      <c r="H1134" s="15">
        <v>161.51</v>
      </c>
      <c r="I1134" s="15">
        <v>161.86</v>
      </c>
      <c r="J1134" s="15">
        <v>170.18</v>
      </c>
      <c r="K1134" s="15">
        <v>122.62</v>
      </c>
      <c r="L1134" s="15">
        <v>17282594</v>
      </c>
      <c r="M1134" t="s" s="13">
        <v>8659</v>
      </c>
      <c r="N1134" s="15">
        <v>188647</v>
      </c>
      <c r="O1134" s="17" cm="1">
        <f t="array" ref="O1134">(H1134-H1133)/H1133</f>
        <v>-0.00253211462450593</v>
      </c>
    </row>
    <row r="1135" ht="13.65" customHeight="1">
      <c r="A1135" s="18">
        <v>45891</v>
      </c>
      <c r="B1135" t="s" s="13">
        <v>22</v>
      </c>
      <c r="C1135" s="15">
        <v>161.25</v>
      </c>
      <c r="D1135" s="15">
        <v>161.28</v>
      </c>
      <c r="E1135" s="15">
        <v>158.1</v>
      </c>
      <c r="F1135" s="15">
        <v>161.51</v>
      </c>
      <c r="G1135" s="15">
        <v>158.3</v>
      </c>
      <c r="H1135" s="15">
        <v>158.55</v>
      </c>
      <c r="I1135" s="15">
        <v>159.76</v>
      </c>
      <c r="J1135" s="15">
        <v>170.18</v>
      </c>
      <c r="K1135" s="15">
        <v>122.62</v>
      </c>
      <c r="L1135" s="15">
        <v>16063984</v>
      </c>
      <c r="M1135" t="s" s="13">
        <v>8660</v>
      </c>
      <c r="N1135" s="15">
        <v>118594</v>
      </c>
      <c r="O1135" s="17" cm="1">
        <f t="array" ref="O1135">(H1135-H1134)/H1134</f>
        <v>-0.0183270385734629</v>
      </c>
    </row>
    <row r="1136" ht="13.65" customHeight="1">
      <c r="A1136" s="18">
        <v>45894</v>
      </c>
      <c r="B1136" t="s" s="13">
        <v>22</v>
      </c>
      <c r="C1136" s="15">
        <v>159.2</v>
      </c>
      <c r="D1136" s="15">
        <v>160.33</v>
      </c>
      <c r="E1136" s="15">
        <v>158.64</v>
      </c>
      <c r="F1136" s="15">
        <v>158.55</v>
      </c>
      <c r="G1136" s="15">
        <v>159.65</v>
      </c>
      <c r="H1136" s="15">
        <v>159.63</v>
      </c>
      <c r="I1136" s="15">
        <v>159.62</v>
      </c>
      <c r="J1136" s="15">
        <v>170.18</v>
      </c>
      <c r="K1136" s="15">
        <v>122.62</v>
      </c>
      <c r="L1136" s="15">
        <v>16376542</v>
      </c>
      <c r="M1136" t="s" s="13">
        <v>8661</v>
      </c>
      <c r="N1136" s="15">
        <v>104963</v>
      </c>
      <c r="O1136" s="17" cm="1">
        <f t="array" ref="O1136">(H1136-H1135)/H1135</f>
        <v>0.00681173131504257</v>
      </c>
    </row>
    <row r="1137" ht="13.65" customHeight="1">
      <c r="A1137" s="18">
        <v>45895</v>
      </c>
      <c r="B1137" t="s" s="13">
        <v>22</v>
      </c>
      <c r="C1137" s="15">
        <v>159.16</v>
      </c>
      <c r="D1137" s="15">
        <v>159.16</v>
      </c>
      <c r="E1137" s="15">
        <v>154.64</v>
      </c>
      <c r="F1137" s="15">
        <v>159.63</v>
      </c>
      <c r="G1137" s="15">
        <v>155.05</v>
      </c>
      <c r="H1137" s="15">
        <v>155.03</v>
      </c>
      <c r="I1137" s="15">
        <v>156.04</v>
      </c>
      <c r="J1137" s="15">
        <v>170.18</v>
      </c>
      <c r="K1137" s="15">
        <v>122.62</v>
      </c>
      <c r="L1137" s="15">
        <v>19621100</v>
      </c>
      <c r="M1137" t="s" s="13">
        <v>8662</v>
      </c>
      <c r="N1137" s="15">
        <v>114429</v>
      </c>
      <c r="O1137" s="17" cm="1">
        <f t="array" ref="O1137">(H1137-H1136)/H1136</f>
        <v>-0.0288166384764769</v>
      </c>
    </row>
    <row r="1138" ht="13.65" customHeight="1">
      <c r="A1138" s="18">
        <v>45897</v>
      </c>
      <c r="B1138" t="s" s="13">
        <v>22</v>
      </c>
      <c r="C1138" s="15">
        <v>155.78</v>
      </c>
      <c r="D1138" s="15">
        <v>155.87</v>
      </c>
      <c r="E1138" s="15">
        <v>153.16</v>
      </c>
      <c r="F1138" s="15">
        <v>155.03</v>
      </c>
      <c r="G1138" s="15">
        <v>154.17</v>
      </c>
      <c r="H1138" s="15">
        <v>153.63</v>
      </c>
      <c r="I1138" s="15">
        <v>154.13</v>
      </c>
      <c r="J1138" s="15">
        <v>170.18</v>
      </c>
      <c r="K1138" s="15">
        <v>122.62</v>
      </c>
      <c r="L1138" s="15">
        <v>22269875</v>
      </c>
      <c r="M1138" t="s" s="13">
        <v>8663</v>
      </c>
      <c r="N1138" s="15">
        <v>122402</v>
      </c>
      <c r="O1138" s="17" cm="1">
        <f t="array" ref="O1138">(H1138-H1137)/H1137</f>
        <v>-0.009030510223827649</v>
      </c>
    </row>
    <row r="1139" ht="13.65" customHeight="1">
      <c r="A1139" s="18">
        <v>45898</v>
      </c>
      <c r="B1139" t="s" s="13">
        <v>22</v>
      </c>
      <c r="C1139" s="15">
        <v>154.5</v>
      </c>
      <c r="D1139" s="15">
        <v>155.1</v>
      </c>
      <c r="E1139" s="15">
        <v>153.05</v>
      </c>
      <c r="F1139" s="15">
        <v>153.63</v>
      </c>
      <c r="G1139" s="15">
        <v>154.5</v>
      </c>
      <c r="H1139" s="15">
        <v>154.48</v>
      </c>
      <c r="I1139" s="15">
        <v>154.39</v>
      </c>
      <c r="J1139" s="15">
        <v>170.18</v>
      </c>
      <c r="K1139" s="15">
        <v>122.62</v>
      </c>
      <c r="L1139" s="15">
        <v>16971859</v>
      </c>
      <c r="M1139" t="s" s="13">
        <v>8664</v>
      </c>
      <c r="N1139" s="15">
        <v>134583</v>
      </c>
      <c r="O1139" s="17" cm="1">
        <f t="array" ref="O1139">(H1139-H1138)/H1138</f>
        <v>0.0055327735468333</v>
      </c>
    </row>
    <row r="1140" ht="13.65" customHeight="1">
      <c r="A1140" s="12">
        <v>45901</v>
      </c>
      <c r="B1140" t="s" s="13">
        <v>22</v>
      </c>
      <c r="C1140" s="15">
        <v>154.48</v>
      </c>
      <c r="D1140" s="15">
        <v>156.36</v>
      </c>
      <c r="E1140" s="15">
        <v>153.7</v>
      </c>
      <c r="F1140" s="15">
        <v>154.48</v>
      </c>
      <c r="G1140" s="15">
        <v>156.17</v>
      </c>
      <c r="H1140" s="15">
        <v>156.17</v>
      </c>
      <c r="I1140" s="15">
        <v>155.56</v>
      </c>
      <c r="J1140" s="15">
        <v>170.18</v>
      </c>
      <c r="K1140" s="15">
        <v>122.62</v>
      </c>
      <c r="L1140" s="15">
        <v>10798622</v>
      </c>
      <c r="M1140" t="s" s="13">
        <v>8665</v>
      </c>
      <c r="N1140" s="15">
        <v>119778</v>
      </c>
      <c r="O1140" s="17" cm="1">
        <f t="array" ref="O1140">(H1140-H1139)/H1139</f>
        <v>0.0109399274987053</v>
      </c>
    </row>
    <row r="1141" ht="13.65" customHeight="1">
      <c r="A1141" s="12">
        <v>45902</v>
      </c>
      <c r="B1141" t="s" s="13">
        <v>22</v>
      </c>
      <c r="C1141" s="15">
        <v>156.17</v>
      </c>
      <c r="D1141" s="15">
        <v>159.07</v>
      </c>
      <c r="E1141" s="15">
        <v>155.5</v>
      </c>
      <c r="F1141" s="15">
        <v>156.17</v>
      </c>
      <c r="G1141" s="15">
        <v>158.45</v>
      </c>
      <c r="H1141" s="15">
        <v>158.39</v>
      </c>
      <c r="I1141" s="15">
        <v>157.92</v>
      </c>
      <c r="J1141" s="15">
        <v>170.18</v>
      </c>
      <c r="K1141" s="15">
        <v>122.62</v>
      </c>
      <c r="L1141" s="15">
        <v>21202113</v>
      </c>
      <c r="M1141" t="s" s="13">
        <v>8666</v>
      </c>
      <c r="N1141" s="15">
        <v>153167</v>
      </c>
      <c r="O1141" s="17" cm="1">
        <f t="array" ref="O1141">(H1141-H1140)/H1140</f>
        <v>0.0142152782224499</v>
      </c>
    </row>
    <row r="1142" ht="13.65" customHeight="1">
      <c r="A1142" s="12">
        <v>45903</v>
      </c>
      <c r="B1142" t="s" s="13">
        <v>22</v>
      </c>
      <c r="C1142" s="15">
        <v>158.4</v>
      </c>
      <c r="D1142" s="15">
        <v>168</v>
      </c>
      <c r="E1142" s="15">
        <v>158.4</v>
      </c>
      <c r="F1142" s="15">
        <v>158.39</v>
      </c>
      <c r="G1142" s="15">
        <v>167.83</v>
      </c>
      <c r="H1142" s="15">
        <v>167.85</v>
      </c>
      <c r="I1142" s="15">
        <v>165.43</v>
      </c>
      <c r="J1142" s="15">
        <v>170.18</v>
      </c>
      <c r="K1142" s="15">
        <v>122.62</v>
      </c>
      <c r="L1142" s="15">
        <v>82352014</v>
      </c>
      <c r="M1142" t="s" s="13">
        <v>8667</v>
      </c>
      <c r="N1142" s="15">
        <v>422282</v>
      </c>
      <c r="O1142" s="17" cm="1">
        <f t="array" ref="O1142">(H1142-H1141)/H1141</f>
        <v>0.0597259928025759</v>
      </c>
    </row>
    <row r="1143" ht="13.65" customHeight="1">
      <c r="A1143" s="12">
        <v>45904</v>
      </c>
      <c r="B1143" t="s" s="13">
        <v>22</v>
      </c>
      <c r="C1143" s="15">
        <v>169</v>
      </c>
      <c r="D1143" s="15">
        <v>169.3</v>
      </c>
      <c r="E1143" s="15">
        <v>166.62</v>
      </c>
      <c r="F1143" s="15">
        <v>167.85</v>
      </c>
      <c r="G1143" s="15">
        <v>166.7</v>
      </c>
      <c r="H1143" s="15">
        <v>166.81</v>
      </c>
      <c r="I1143" s="15">
        <v>167.24</v>
      </c>
      <c r="J1143" s="15">
        <v>170.18</v>
      </c>
      <c r="K1143" s="15">
        <v>122.62</v>
      </c>
      <c r="L1143" s="15">
        <v>26316842</v>
      </c>
      <c r="M1143" t="s" s="13">
        <v>8668</v>
      </c>
      <c r="N1143" s="15">
        <v>199237</v>
      </c>
      <c r="O1143" s="17" cm="1">
        <f t="array" ref="O1143">(H1143-H1142)/H1142</f>
        <v>-0.00619600834078046</v>
      </c>
    </row>
    <row r="1144" ht="13.65" customHeight="1">
      <c r="A1144" s="12">
        <v>45905</v>
      </c>
      <c r="B1144" t="s" s="13">
        <v>22</v>
      </c>
      <c r="C1144" s="15">
        <v>167</v>
      </c>
      <c r="D1144" s="15">
        <v>168</v>
      </c>
      <c r="E1144" s="15">
        <v>165.94</v>
      </c>
      <c r="F1144" s="15">
        <v>166.81</v>
      </c>
      <c r="G1144" s="15">
        <v>167.8</v>
      </c>
      <c r="H1144" s="15">
        <v>167.68</v>
      </c>
      <c r="I1144" s="15">
        <v>167.03</v>
      </c>
      <c r="J1144" s="15">
        <v>170.18</v>
      </c>
      <c r="K1144" s="15">
        <v>122.62</v>
      </c>
      <c r="L1144" s="15">
        <v>16798170</v>
      </c>
      <c r="M1144" t="s" s="13">
        <v>8669</v>
      </c>
      <c r="N1144" s="15">
        <v>160936</v>
      </c>
      <c r="O1144" s="17" cm="1">
        <f t="array" ref="O1144">(H1144-H1143)/H1143</f>
        <v>0.00521551465739464</v>
      </c>
    </row>
    <row r="1145" ht="13.65" customHeight="1">
      <c r="A1145" s="12">
        <v>45908</v>
      </c>
      <c r="B1145" t="s" s="13">
        <v>22</v>
      </c>
      <c r="C1145" s="15">
        <v>170</v>
      </c>
      <c r="D1145" s="15">
        <v>172.5</v>
      </c>
      <c r="E1145" s="15">
        <v>168.46</v>
      </c>
      <c r="F1145" s="15">
        <v>167.68</v>
      </c>
      <c r="G1145" s="15">
        <v>168.85</v>
      </c>
      <c r="H1145" s="15">
        <v>168.82</v>
      </c>
      <c r="I1145" s="15">
        <v>170.9</v>
      </c>
      <c r="J1145" s="15">
        <v>172.5</v>
      </c>
      <c r="K1145" s="15">
        <v>122.62</v>
      </c>
      <c r="L1145" s="15">
        <v>36402317</v>
      </c>
      <c r="M1145" t="s" s="13">
        <v>8670</v>
      </c>
      <c r="N1145" s="15">
        <v>254251</v>
      </c>
      <c r="O1145" s="17" cm="1">
        <f t="array" ref="O1145">(H1145-H1144)/H1144</f>
        <v>0.0067986641221374</v>
      </c>
    </row>
    <row r="1146" ht="13.65" customHeight="1">
      <c r="A1146" s="12">
        <v>45909</v>
      </c>
      <c r="B1146" t="s" s="13">
        <v>22</v>
      </c>
      <c r="C1146" s="15">
        <v>169.3</v>
      </c>
      <c r="D1146" s="15">
        <v>169.72</v>
      </c>
      <c r="E1146" s="15">
        <v>167.99</v>
      </c>
      <c r="F1146" s="15">
        <v>168.82</v>
      </c>
      <c r="G1146" s="15">
        <v>169.45</v>
      </c>
      <c r="H1146" s="15">
        <v>169.15</v>
      </c>
      <c r="I1146" s="15">
        <v>168.83</v>
      </c>
      <c r="J1146" s="15">
        <v>172.5</v>
      </c>
      <c r="K1146" s="15">
        <v>122.62</v>
      </c>
      <c r="L1146" s="15">
        <v>14028910</v>
      </c>
      <c r="M1146" t="s" s="13">
        <v>8671</v>
      </c>
      <c r="N1146" s="15">
        <v>112356</v>
      </c>
      <c r="O1146" s="17" cm="1">
        <f t="array" ref="O1146">(H1146-H1145)/H1145</f>
        <v>0.00195474469849544</v>
      </c>
    </row>
    <row r="1147" ht="13.65" customHeight="1">
      <c r="A1147" s="18">
        <v>45910</v>
      </c>
      <c r="B1147" t="s" s="13">
        <v>22</v>
      </c>
      <c r="C1147" s="15">
        <v>169.19</v>
      </c>
      <c r="D1147" s="15">
        <v>170.73</v>
      </c>
      <c r="E1147" s="15">
        <v>168.75</v>
      </c>
      <c r="F1147" s="15">
        <v>169.15</v>
      </c>
      <c r="G1147" s="15">
        <v>169.35</v>
      </c>
      <c r="H1147" s="15">
        <v>169.43</v>
      </c>
      <c r="I1147" s="15">
        <v>169.65</v>
      </c>
      <c r="J1147" s="15">
        <v>172.5</v>
      </c>
      <c r="K1147" s="15">
        <v>122.62</v>
      </c>
      <c r="L1147" s="15">
        <v>13128306</v>
      </c>
      <c r="M1147" t="s" s="13">
        <v>8672</v>
      </c>
      <c r="N1147" s="15">
        <v>127830</v>
      </c>
      <c r="O1147" s="17" cm="1">
        <f t="array" ref="O1147">(H1147-H1146)/H1146</f>
        <v>0.00165533550103458</v>
      </c>
    </row>
    <row r="1148" ht="13.65" customHeight="1">
      <c r="A1148" s="18">
        <v>45911</v>
      </c>
      <c r="B1148" t="s" s="13">
        <v>22</v>
      </c>
      <c r="C1148" s="15">
        <v>169.35</v>
      </c>
      <c r="D1148" s="15">
        <v>170.9</v>
      </c>
      <c r="E1148" s="15">
        <v>168.46</v>
      </c>
      <c r="F1148" s="15">
        <v>169.43</v>
      </c>
      <c r="G1148" s="15">
        <v>169.4</v>
      </c>
      <c r="H1148" s="15">
        <v>169.41</v>
      </c>
      <c r="I1148" s="15">
        <v>169.45</v>
      </c>
      <c r="J1148" s="15">
        <v>172.5</v>
      </c>
      <c r="K1148" s="15">
        <v>122.62</v>
      </c>
      <c r="L1148" s="15">
        <v>13829526</v>
      </c>
      <c r="M1148" t="s" s="13">
        <v>8673</v>
      </c>
      <c r="N1148" s="15">
        <v>107091</v>
      </c>
      <c r="O1148" s="17" cm="1">
        <f t="array" ref="O1148">(H1148-H1147)/H1147</f>
        <v>-0.000118042849554388</v>
      </c>
    </row>
    <row r="1149" ht="13.65" customHeight="1">
      <c r="A1149" s="18">
        <v>45912</v>
      </c>
      <c r="B1149" t="s" s="13">
        <v>22</v>
      </c>
      <c r="C1149" s="15">
        <v>169.6</v>
      </c>
      <c r="D1149" s="15">
        <v>171</v>
      </c>
      <c r="E1149" s="15">
        <v>168.63</v>
      </c>
      <c r="F1149" s="15">
        <v>169.41</v>
      </c>
      <c r="G1149" s="15">
        <v>169.58</v>
      </c>
      <c r="H1149" s="15">
        <v>169.78</v>
      </c>
      <c r="I1149" s="15">
        <v>169.67</v>
      </c>
      <c r="J1149" s="15">
        <v>172.5</v>
      </c>
      <c r="K1149" s="15">
        <v>122.62</v>
      </c>
      <c r="L1149" s="15">
        <v>12119036</v>
      </c>
      <c r="M1149" t="s" s="13">
        <v>8674</v>
      </c>
      <c r="N1149" s="15">
        <v>92691</v>
      </c>
      <c r="O1149" s="17" cm="1">
        <f t="array" ref="O1149">(H1149-H1148)/H1148</f>
        <v>0.00218405052830411</v>
      </c>
    </row>
    <row r="1150" ht="13.65" customHeight="1">
      <c r="A1150" s="18">
        <v>45915</v>
      </c>
      <c r="B1150" t="s" s="13">
        <v>22</v>
      </c>
      <c r="C1150" s="15">
        <v>169.77</v>
      </c>
      <c r="D1150" s="15">
        <v>170.2</v>
      </c>
      <c r="E1150" s="15">
        <v>168.63</v>
      </c>
      <c r="F1150" s="15">
        <v>169.78</v>
      </c>
      <c r="G1150" s="15">
        <v>169.3</v>
      </c>
      <c r="H1150" s="15">
        <v>169.23</v>
      </c>
      <c r="I1150" s="15">
        <v>169.38</v>
      </c>
      <c r="J1150" s="15">
        <v>172.5</v>
      </c>
      <c r="K1150" s="15">
        <v>122.62</v>
      </c>
      <c r="L1150" s="15">
        <v>10611401</v>
      </c>
      <c r="M1150" t="s" s="13">
        <v>8675</v>
      </c>
      <c r="N1150" s="15">
        <v>112903</v>
      </c>
      <c r="O1150" s="17" cm="1">
        <f t="array" ref="O1150">(H1150-H1149)/H1149</f>
        <v>-0.00323948639415714</v>
      </c>
    </row>
    <row r="1151" ht="13.65" customHeight="1">
      <c r="A1151" s="18">
        <v>45916</v>
      </c>
      <c r="B1151" t="s" s="13">
        <v>22</v>
      </c>
      <c r="C1151" s="15">
        <v>169.39</v>
      </c>
      <c r="D1151" s="15">
        <v>172.27</v>
      </c>
      <c r="E1151" s="15">
        <v>169.02</v>
      </c>
      <c r="F1151" s="15">
        <v>169.23</v>
      </c>
      <c r="G1151" s="15">
        <v>172</v>
      </c>
      <c r="H1151" s="15">
        <v>172.02</v>
      </c>
      <c r="I1151" s="15">
        <v>171.3</v>
      </c>
      <c r="J1151" s="15">
        <v>172.5</v>
      </c>
      <c r="K1151" s="15">
        <v>122.62</v>
      </c>
      <c r="L1151" s="15">
        <v>26629438</v>
      </c>
      <c r="M1151" t="s" s="13">
        <v>8676</v>
      </c>
      <c r="N1151" s="15">
        <v>194179</v>
      </c>
      <c r="O1151" s="17" cm="1">
        <f t="array" ref="O1151">(H1151-H1150)/H1150</f>
        <v>0.0164864385747208</v>
      </c>
    </row>
    <row r="1152" ht="13.65" customHeight="1">
      <c r="A1152" s="18">
        <v>45917</v>
      </c>
      <c r="B1152" t="s" s="13">
        <v>22</v>
      </c>
      <c r="C1152" s="15">
        <v>172.5</v>
      </c>
      <c r="D1152" s="15">
        <v>172.9</v>
      </c>
      <c r="E1152" s="15">
        <v>169.35</v>
      </c>
      <c r="F1152" s="15">
        <v>172.02</v>
      </c>
      <c r="G1152" s="15">
        <v>171</v>
      </c>
      <c r="H1152" s="15">
        <v>171.36</v>
      </c>
      <c r="I1152" s="15">
        <v>171.06</v>
      </c>
      <c r="J1152" s="15">
        <v>172.9</v>
      </c>
      <c r="K1152" s="15">
        <v>122.62</v>
      </c>
      <c r="L1152" s="15">
        <v>21381306</v>
      </c>
      <c r="M1152" t="s" s="13">
        <v>8677</v>
      </c>
      <c r="N1152" s="15">
        <v>134365</v>
      </c>
      <c r="O1152" s="17" cm="1">
        <f t="array" ref="O1152">(H1152-H1151)/H1151</f>
        <v>-0.0038367631670736</v>
      </c>
    </row>
    <row r="1153" ht="13.65" customHeight="1">
      <c r="A1153" s="18">
        <v>45918</v>
      </c>
      <c r="B1153" t="s" s="13">
        <v>22</v>
      </c>
      <c r="C1153" s="15">
        <v>171.46</v>
      </c>
      <c r="D1153" s="15">
        <v>172.2</v>
      </c>
      <c r="E1153" s="15">
        <v>169.81</v>
      </c>
      <c r="F1153" s="15">
        <v>171.36</v>
      </c>
      <c r="G1153" s="15">
        <v>172.09</v>
      </c>
      <c r="H1153" s="15">
        <v>172.03</v>
      </c>
      <c r="I1153" s="15">
        <v>171.4</v>
      </c>
      <c r="J1153" s="15">
        <v>172.9</v>
      </c>
      <c r="K1153" s="15">
        <v>122.62</v>
      </c>
      <c r="L1153" s="15">
        <v>16413388</v>
      </c>
      <c r="M1153" t="s" s="13">
        <v>8678</v>
      </c>
      <c r="N1153" s="15">
        <v>113551</v>
      </c>
      <c r="O1153" s="17" cm="1">
        <f t="array" ref="O1153">(H1153-H1152)/H1152</f>
        <v>0.00390989729225023</v>
      </c>
    </row>
    <row r="1154" ht="13.65" customHeight="1">
      <c r="A1154" s="18">
        <v>45919</v>
      </c>
      <c r="B1154" t="s" s="13">
        <v>22</v>
      </c>
      <c r="C1154" s="15">
        <v>172.1</v>
      </c>
      <c r="D1154" s="15">
        <v>172.67</v>
      </c>
      <c r="E1154" s="15">
        <v>170.6</v>
      </c>
      <c r="F1154" s="15">
        <v>172.03</v>
      </c>
      <c r="G1154" s="15">
        <v>171.98</v>
      </c>
      <c r="H1154" s="15">
        <v>171.48</v>
      </c>
      <c r="I1154" s="15">
        <v>171.54</v>
      </c>
      <c r="J1154" s="15">
        <v>172.9</v>
      </c>
      <c r="K1154" s="15">
        <v>122.62</v>
      </c>
      <c r="L1154" s="15">
        <v>25406461</v>
      </c>
      <c r="M1154" t="s" s="13">
        <v>8679</v>
      </c>
      <c r="N1154" s="15">
        <v>107824</v>
      </c>
      <c r="O1154" s="17" cm="1">
        <f t="array" ref="O1154">(H1154-H1153)/H1153</f>
        <v>-0.00319711678195664</v>
      </c>
    </row>
    <row r="1155" ht="13.65" customHeight="1">
      <c r="A1155" s="18">
        <v>45922</v>
      </c>
      <c r="B1155" t="s" s="13">
        <v>22</v>
      </c>
      <c r="C1155" s="15">
        <v>170.8</v>
      </c>
      <c r="D1155" s="15">
        <v>172.21</v>
      </c>
      <c r="E1155" s="15">
        <v>170.51</v>
      </c>
      <c r="F1155" s="15">
        <v>171.48</v>
      </c>
      <c r="G1155" s="15">
        <v>171.4</v>
      </c>
      <c r="H1155" s="15">
        <v>171.39</v>
      </c>
      <c r="I1155" s="15">
        <v>171.4</v>
      </c>
      <c r="J1155" s="15">
        <v>172.9</v>
      </c>
      <c r="K1155" s="15">
        <v>122.62</v>
      </c>
      <c r="L1155" s="15">
        <v>20970704</v>
      </c>
      <c r="M1155" t="s" s="13">
        <v>8680</v>
      </c>
      <c r="N1155" s="15">
        <v>113244</v>
      </c>
      <c r="O1155" s="17" cm="1">
        <f t="array" ref="O1155">(H1155-H1154)/H1154</f>
        <v>-0.000524842547235829</v>
      </c>
    </row>
    <row r="1156" ht="13.65" customHeight="1">
      <c r="A1156" s="18">
        <v>45923</v>
      </c>
      <c r="B1156" t="s" s="13">
        <v>22</v>
      </c>
      <c r="C1156" s="15">
        <v>171.45</v>
      </c>
      <c r="D1156" s="15">
        <v>173.81</v>
      </c>
      <c r="E1156" s="15">
        <v>171.2</v>
      </c>
      <c r="F1156" s="15">
        <v>171.39</v>
      </c>
      <c r="G1156" s="15">
        <v>173.21</v>
      </c>
      <c r="H1156" s="15">
        <v>173.29</v>
      </c>
      <c r="I1156" s="15">
        <v>172.77</v>
      </c>
      <c r="J1156" s="15">
        <v>173.81</v>
      </c>
      <c r="K1156" s="15">
        <v>122.62</v>
      </c>
      <c r="L1156" s="15">
        <v>24533561</v>
      </c>
      <c r="M1156" t="s" s="13">
        <v>8681</v>
      </c>
      <c r="N1156" s="15">
        <v>157753</v>
      </c>
      <c r="O1156" s="17" cm="1">
        <f t="array" ref="O1156">(H1156-H1155)/H1155</f>
        <v>0.0110858276445534</v>
      </c>
    </row>
    <row r="1157" ht="13.65" customHeight="1">
      <c r="A1157" s="18">
        <v>45924</v>
      </c>
      <c r="B1157" t="s" s="13">
        <v>22</v>
      </c>
      <c r="C1157" s="15">
        <v>173.16</v>
      </c>
      <c r="D1157" s="15">
        <v>174.44</v>
      </c>
      <c r="E1157" s="15">
        <v>172.38</v>
      </c>
      <c r="F1157" s="15">
        <v>173.29</v>
      </c>
      <c r="G1157" s="15">
        <v>172.7</v>
      </c>
      <c r="H1157" s="15">
        <v>172.66</v>
      </c>
      <c r="I1157" s="15">
        <v>173.43</v>
      </c>
      <c r="J1157" s="15">
        <v>174.44</v>
      </c>
      <c r="K1157" s="15">
        <v>122.62</v>
      </c>
      <c r="L1157" s="15">
        <v>20168891</v>
      </c>
      <c r="M1157" t="s" s="13">
        <v>8682</v>
      </c>
      <c r="N1157" s="15">
        <v>169069</v>
      </c>
      <c r="O1157" s="17" cm="1">
        <f t="array" ref="O1157">(H1157-H1156)/H1156</f>
        <v>-0.00363552426568181</v>
      </c>
    </row>
    <row r="1158" ht="13.65" customHeight="1">
      <c r="A1158" s="18">
        <v>45925</v>
      </c>
      <c r="B1158" t="s" s="13">
        <v>22</v>
      </c>
      <c r="C1158" s="15">
        <v>172.9</v>
      </c>
      <c r="D1158" s="15">
        <v>173.85</v>
      </c>
      <c r="E1158" s="15">
        <v>171.86</v>
      </c>
      <c r="F1158" s="15">
        <v>172.66</v>
      </c>
      <c r="G1158" s="15">
        <v>172.35</v>
      </c>
      <c r="H1158" s="15">
        <v>172.38</v>
      </c>
      <c r="I1158" s="15">
        <v>172.75</v>
      </c>
      <c r="J1158" s="15">
        <v>174.44</v>
      </c>
      <c r="K1158" s="15">
        <v>122.62</v>
      </c>
      <c r="L1158" s="15">
        <v>17026549</v>
      </c>
      <c r="M1158" t="s" s="13">
        <v>8683</v>
      </c>
      <c r="N1158" s="15">
        <v>132269</v>
      </c>
      <c r="O1158" s="17" cm="1">
        <f t="array" ref="O1158">(H1158-H1157)/H1157</f>
        <v>-0.00162168423491254</v>
      </c>
    </row>
    <row r="1159" ht="13.65" customHeight="1">
      <c r="A1159" s="18">
        <v>45926</v>
      </c>
      <c r="B1159" t="s" s="13">
        <v>22</v>
      </c>
      <c r="C1159" s="15">
        <v>172.22</v>
      </c>
      <c r="D1159" s="15">
        <v>173.37</v>
      </c>
      <c r="E1159" s="15">
        <v>167.2</v>
      </c>
      <c r="F1159" s="15">
        <v>172.38</v>
      </c>
      <c r="G1159" s="15">
        <v>167.35</v>
      </c>
      <c r="H1159" s="15">
        <v>167.4</v>
      </c>
      <c r="I1159" s="15">
        <v>169.01</v>
      </c>
      <c r="J1159" s="15">
        <v>174.44</v>
      </c>
      <c r="K1159" s="15">
        <v>122.62</v>
      </c>
      <c r="L1159" s="15">
        <v>20157657</v>
      </c>
      <c r="M1159" t="s" s="13">
        <v>8684</v>
      </c>
      <c r="N1159" s="15">
        <v>155844</v>
      </c>
      <c r="O1159" s="17" cm="1">
        <f t="array" ref="O1159">(H1159-H1158)/H1158</f>
        <v>-0.0288896623738253</v>
      </c>
    </row>
    <row r="1160" ht="13.65" customHeight="1">
      <c r="A1160" s="18">
        <v>45929</v>
      </c>
      <c r="B1160" t="s" s="13">
        <v>22</v>
      </c>
      <c r="C1160" s="15">
        <v>167.6</v>
      </c>
      <c r="D1160" s="15">
        <v>170.28</v>
      </c>
      <c r="E1160" s="15">
        <v>167.56</v>
      </c>
      <c r="F1160" s="15">
        <v>167.4</v>
      </c>
      <c r="G1160" s="15">
        <v>169.3</v>
      </c>
      <c r="H1160" s="15">
        <v>168.98</v>
      </c>
      <c r="I1160" s="15">
        <v>169.2</v>
      </c>
      <c r="J1160" s="15">
        <v>174.44</v>
      </c>
      <c r="K1160" s="15">
        <v>122.62</v>
      </c>
      <c r="L1160" s="15">
        <v>16832342</v>
      </c>
      <c r="M1160" t="s" s="13">
        <v>8685</v>
      </c>
      <c r="N1160" s="15">
        <v>117890</v>
      </c>
      <c r="O1160" s="17" cm="1">
        <f t="array" ref="O1160">(H1160-H1159)/H1159</f>
        <v>0.00943847072879331</v>
      </c>
    </row>
    <row r="1161" ht="13.65" customHeight="1">
      <c r="A1161" s="18">
        <v>45930</v>
      </c>
      <c r="B1161" t="s" s="13">
        <v>22</v>
      </c>
      <c r="C1161" s="15">
        <v>169.5</v>
      </c>
      <c r="D1161" s="15">
        <v>170.15</v>
      </c>
      <c r="E1161" s="15">
        <v>168.41</v>
      </c>
      <c r="F1161" s="15">
        <v>168.98</v>
      </c>
      <c r="G1161" s="15">
        <v>169.05</v>
      </c>
      <c r="H1161" s="15">
        <v>168.77</v>
      </c>
      <c r="I1161" s="15">
        <v>169.03</v>
      </c>
      <c r="J1161" s="15">
        <v>174.44</v>
      </c>
      <c r="K1161" s="15">
        <v>122.62</v>
      </c>
      <c r="L1161" s="15">
        <v>24553596</v>
      </c>
      <c r="M1161" t="s" s="13">
        <v>8686</v>
      </c>
      <c r="N1161" s="15">
        <v>136022</v>
      </c>
      <c r="O1161" s="17" cm="1">
        <f t="array" ref="O1161">(H1161-H1160)/H1160</f>
        <v>-0.00124275062137531</v>
      </c>
    </row>
    <row r="1162" ht="13.65" customHeight="1">
      <c r="A1162" s="12">
        <v>45931</v>
      </c>
      <c r="B1162" t="s" s="13">
        <v>22</v>
      </c>
      <c r="C1162" s="15">
        <v>169</v>
      </c>
      <c r="D1162" s="15">
        <v>169.74</v>
      </c>
      <c r="E1162" s="15">
        <v>166.13</v>
      </c>
      <c r="F1162" s="15">
        <v>168.77</v>
      </c>
      <c r="G1162" s="15">
        <v>167.56</v>
      </c>
      <c r="H1162" s="15">
        <v>167.51</v>
      </c>
      <c r="I1162" s="15">
        <v>167.55</v>
      </c>
      <c r="J1162" s="15">
        <v>174.44</v>
      </c>
      <c r="K1162" s="15">
        <v>122.62</v>
      </c>
      <c r="L1162" s="15">
        <v>17542776</v>
      </c>
      <c r="M1162" t="s" s="13">
        <v>8687</v>
      </c>
      <c r="N1162" s="15">
        <v>155235</v>
      </c>
      <c r="O1162" s="17" cm="1">
        <f t="array" ref="O1162">(H1162-H1161)/H1161</f>
        <v>-0.00746578183326421</v>
      </c>
    </row>
    <row r="1163" ht="13.65" customHeight="1">
      <c r="A1163" s="12">
        <v>45933</v>
      </c>
      <c r="B1163" t="s" s="13">
        <v>22</v>
      </c>
      <c r="C1163" s="15">
        <v>168.12</v>
      </c>
      <c r="D1163" s="15">
        <v>174.74</v>
      </c>
      <c r="E1163" s="15">
        <v>168.12</v>
      </c>
      <c r="F1163" s="15">
        <v>167.51</v>
      </c>
      <c r="G1163" s="15">
        <v>173.29</v>
      </c>
      <c r="H1163" s="15">
        <v>173.21</v>
      </c>
      <c r="I1163" s="15">
        <v>173.25</v>
      </c>
      <c r="J1163" s="15">
        <v>174.74</v>
      </c>
      <c r="K1163" s="15">
        <v>122.62</v>
      </c>
      <c r="L1163" s="15">
        <v>55172705</v>
      </c>
      <c r="M1163" t="s" s="13">
        <v>8688</v>
      </c>
      <c r="N1163" s="15">
        <v>231073</v>
      </c>
      <c r="O1163" s="17" cm="1">
        <f t="array" ref="O1163">(H1163-H1162)/H1162</f>
        <v>0.0340278192346726</v>
      </c>
    </row>
    <row r="1164" ht="13.65" customHeight="1">
      <c r="A1164" s="12">
        <v>45936</v>
      </c>
      <c r="B1164" t="s" s="13">
        <v>22</v>
      </c>
      <c r="C1164" s="15">
        <v>173.3</v>
      </c>
      <c r="D1164" s="15">
        <v>173.48</v>
      </c>
      <c r="E1164" s="15">
        <v>169.3</v>
      </c>
      <c r="F1164" s="15">
        <v>173.21</v>
      </c>
      <c r="G1164" s="15">
        <v>170.35</v>
      </c>
      <c r="H1164" s="15">
        <v>170.06</v>
      </c>
      <c r="I1164" s="15">
        <v>170.45</v>
      </c>
      <c r="J1164" s="15">
        <v>174.74</v>
      </c>
      <c r="K1164" s="15">
        <v>122.62</v>
      </c>
      <c r="L1164" s="15">
        <v>21474004</v>
      </c>
      <c r="M1164" t="s" s="13">
        <v>8689</v>
      </c>
      <c r="N1164" s="15">
        <v>144676</v>
      </c>
      <c r="O1164" s="17" cm="1">
        <f t="array" ref="O1164">(H1164-H1163)/H1163</f>
        <v>-0.0181860169736158</v>
      </c>
    </row>
    <row r="1165" ht="13.65" customHeight="1">
      <c r="A1165" s="12">
        <v>45937</v>
      </c>
      <c r="B1165" t="s" s="13">
        <v>22</v>
      </c>
      <c r="C1165" s="15">
        <v>170.4</v>
      </c>
      <c r="D1165" s="15">
        <v>172.2</v>
      </c>
      <c r="E1165" s="15">
        <v>170.4</v>
      </c>
      <c r="F1165" s="15">
        <v>170.06</v>
      </c>
      <c r="G1165" s="15">
        <v>171.5</v>
      </c>
      <c r="H1165" s="15">
        <v>171.43</v>
      </c>
      <c r="I1165" s="15">
        <v>171.36</v>
      </c>
      <c r="J1165" s="15">
        <v>174.74</v>
      </c>
      <c r="K1165" s="15">
        <v>122.62</v>
      </c>
      <c r="L1165" s="15">
        <v>19189843</v>
      </c>
      <c r="M1165" t="s" s="13">
        <v>8690</v>
      </c>
      <c r="N1165" s="15">
        <v>101492</v>
      </c>
      <c r="O1165" s="17" cm="1">
        <f t="array" ref="O1165">(H1165-H1164)/H1164</f>
        <v>0.00805598024226744</v>
      </c>
    </row>
    <row r="1166" ht="13.65" customHeight="1">
      <c r="A1166" s="12">
        <v>45938</v>
      </c>
      <c r="B1166" t="s" s="13">
        <v>22</v>
      </c>
      <c r="C1166" s="15">
        <v>172</v>
      </c>
      <c r="D1166" s="15">
        <v>173.63</v>
      </c>
      <c r="E1166" s="15">
        <v>170.06</v>
      </c>
      <c r="F1166" s="15">
        <v>171.43</v>
      </c>
      <c r="G1166" s="15">
        <v>172.2</v>
      </c>
      <c r="H1166" s="15">
        <v>171.94</v>
      </c>
      <c r="I1166" s="15">
        <v>172.15</v>
      </c>
      <c r="J1166" s="15">
        <v>174.74</v>
      </c>
      <c r="K1166" s="15">
        <v>122.62</v>
      </c>
      <c r="L1166" s="15">
        <v>22662699</v>
      </c>
      <c r="M1166" t="s" s="13">
        <v>8691</v>
      </c>
      <c r="N1166" s="15">
        <v>119943</v>
      </c>
      <c r="O1166" s="17" cm="1">
        <f t="array" ref="O1166">(H1166-H1165)/H1165</f>
        <v>0.00297497520853993</v>
      </c>
    </row>
    <row r="1167" ht="13.65" customHeight="1">
      <c r="A1167" s="12">
        <v>45939</v>
      </c>
      <c r="B1167" t="s" s="13">
        <v>22</v>
      </c>
      <c r="C1167" s="15">
        <v>172.79</v>
      </c>
      <c r="D1167" s="15">
        <v>177.82</v>
      </c>
      <c r="E1167" s="15">
        <v>172.78</v>
      </c>
      <c r="F1167" s="15">
        <v>171.94</v>
      </c>
      <c r="G1167" s="15">
        <v>176.21</v>
      </c>
      <c r="H1167" s="15">
        <v>176.42</v>
      </c>
      <c r="I1167" s="15">
        <v>176.24</v>
      </c>
      <c r="J1167" s="15">
        <v>177.82</v>
      </c>
      <c r="K1167" s="15">
        <v>122.62</v>
      </c>
      <c r="L1167" s="15">
        <v>68504717</v>
      </c>
      <c r="M1167" t="s" s="13">
        <v>8692</v>
      </c>
      <c r="N1167" s="15">
        <v>324604</v>
      </c>
      <c r="O1167" s="17" cm="1">
        <f t="array" ref="O1167">(H1167-H1166)/H1166</f>
        <v>0.0260556007909736</v>
      </c>
    </row>
    <row r="1168" ht="13.65" customHeight="1">
      <c r="A1168" s="18">
        <v>45940</v>
      </c>
      <c r="B1168" t="s" s="13">
        <v>22</v>
      </c>
      <c r="C1168" s="15">
        <v>176</v>
      </c>
      <c r="D1168" s="15">
        <v>176.14</v>
      </c>
      <c r="E1168" s="15">
        <v>172.9</v>
      </c>
      <c r="F1168" s="15">
        <v>176.42</v>
      </c>
      <c r="G1168" s="15">
        <v>173.85</v>
      </c>
      <c r="H1168" s="15">
        <v>173.86</v>
      </c>
      <c r="I1168" s="15">
        <v>173.77</v>
      </c>
      <c r="J1168" s="15">
        <v>177.82</v>
      </c>
      <c r="K1168" s="15">
        <v>122.62</v>
      </c>
      <c r="L1168" s="15">
        <v>18085975</v>
      </c>
      <c r="M1168" t="s" s="13">
        <v>8693</v>
      </c>
      <c r="N1168" s="15">
        <v>121139</v>
      </c>
      <c r="O1168" s="17" cm="1">
        <f t="array" ref="O1168">(H1168-H1167)/H1167</f>
        <v>-0.0145108264369119</v>
      </c>
    </row>
    <row r="1169" ht="13.65" customHeight="1">
      <c r="A1169" s="18">
        <v>45943</v>
      </c>
      <c r="B1169" t="s" s="13">
        <v>22</v>
      </c>
      <c r="C1169" s="15">
        <v>173</v>
      </c>
      <c r="D1169" s="15">
        <v>173.8</v>
      </c>
      <c r="E1169" s="15">
        <v>170.91</v>
      </c>
      <c r="F1169" s="15">
        <v>173.86</v>
      </c>
      <c r="G1169" s="15">
        <v>173.4</v>
      </c>
      <c r="H1169" s="15">
        <v>173.03</v>
      </c>
      <c r="I1169" s="15">
        <v>172.37</v>
      </c>
      <c r="J1169" s="15">
        <v>177.82</v>
      </c>
      <c r="K1169" s="15">
        <v>122.62</v>
      </c>
      <c r="L1169" s="15">
        <v>19386219</v>
      </c>
      <c r="M1169" t="s" s="13">
        <v>8694</v>
      </c>
      <c r="N1169" s="15">
        <v>128139</v>
      </c>
      <c r="O1169" s="17" cm="1">
        <f t="array" ref="O1169">(H1169-H1168)/H1168</f>
        <v>-0.00477395605659726</v>
      </c>
    </row>
    <row r="1170" ht="13.65" customHeight="1">
      <c r="A1170" s="18">
        <v>45944</v>
      </c>
      <c r="B1170" t="s" s="13">
        <v>22</v>
      </c>
      <c r="C1170" s="15">
        <v>174.91</v>
      </c>
      <c r="D1170" s="15">
        <v>176.45</v>
      </c>
      <c r="E1170" s="15">
        <v>169.25</v>
      </c>
      <c r="F1170" s="15">
        <v>173.03</v>
      </c>
      <c r="G1170" s="15">
        <v>169.32</v>
      </c>
      <c r="H1170" s="15">
        <v>170.51</v>
      </c>
      <c r="I1170" s="15">
        <v>171.78</v>
      </c>
      <c r="J1170" s="15">
        <v>177.82</v>
      </c>
      <c r="K1170" s="15">
        <v>122.62</v>
      </c>
      <c r="L1170" s="15">
        <v>22082970</v>
      </c>
      <c r="M1170" t="s" s="13">
        <v>8695</v>
      </c>
      <c r="N1170" s="15">
        <v>148175</v>
      </c>
      <c r="O1170" s="17" cm="1">
        <f t="array" ref="O1170">(H1170-H1169)/H1169</f>
        <v>-0.014563948448246</v>
      </c>
    </row>
    <row r="1171" ht="13.65" customHeight="1">
      <c r="A1171" s="18">
        <v>45945</v>
      </c>
      <c r="B1171" t="s" s="13">
        <v>22</v>
      </c>
      <c r="C1171" s="15">
        <v>170.83</v>
      </c>
      <c r="D1171" s="15">
        <v>174</v>
      </c>
      <c r="E1171" s="15">
        <v>170.11</v>
      </c>
      <c r="F1171" s="15">
        <v>170.51</v>
      </c>
      <c r="G1171" s="15">
        <v>173</v>
      </c>
      <c r="H1171" s="15">
        <v>173.24</v>
      </c>
      <c r="I1171" s="15">
        <v>172.92</v>
      </c>
      <c r="J1171" s="15">
        <v>177.82</v>
      </c>
      <c r="K1171" s="15">
        <v>122.62</v>
      </c>
      <c r="L1171" s="15">
        <v>15031989</v>
      </c>
      <c r="M1171" t="s" s="13">
        <v>8696</v>
      </c>
      <c r="N1171" s="15">
        <v>112418</v>
      </c>
      <c r="O1171" s="17" cm="1">
        <f t="array" ref="O1171">(H1171-H1170)/H1170</f>
        <v>0.0160107911559439</v>
      </c>
    </row>
    <row r="1172" ht="13.65" customHeight="1">
      <c r="A1172" s="18">
        <v>45946</v>
      </c>
      <c r="B1172" t="s" s="13">
        <v>22</v>
      </c>
      <c r="C1172" s="15">
        <v>173</v>
      </c>
      <c r="D1172" s="15">
        <v>174.49</v>
      </c>
      <c r="E1172" s="15">
        <v>172.22</v>
      </c>
      <c r="F1172" s="15">
        <v>173.24</v>
      </c>
      <c r="G1172" s="15">
        <v>173.6</v>
      </c>
      <c r="H1172" s="15">
        <v>174</v>
      </c>
      <c r="I1172" s="15">
        <v>173.52</v>
      </c>
      <c r="J1172" s="15">
        <v>177.82</v>
      </c>
      <c r="K1172" s="15">
        <v>122.62</v>
      </c>
      <c r="L1172" s="15">
        <v>12205250</v>
      </c>
      <c r="M1172" t="s" s="13">
        <v>8697</v>
      </c>
      <c r="N1172" s="15">
        <v>110540</v>
      </c>
      <c r="O1172" s="17" cm="1">
        <f t="array" ref="O1172">(H1172-H1171)/H1171</f>
        <v>0.00438697760332487</v>
      </c>
    </row>
    <row r="1173" ht="13.65" customHeight="1">
      <c r="A1173" s="18">
        <v>45947</v>
      </c>
      <c r="B1173" t="s" s="13">
        <v>22</v>
      </c>
      <c r="C1173" s="15">
        <v>173.6</v>
      </c>
      <c r="D1173" s="15">
        <v>174.31</v>
      </c>
      <c r="E1173" s="15">
        <v>170.99</v>
      </c>
      <c r="F1173" s="15">
        <v>174</v>
      </c>
      <c r="G1173" s="15">
        <v>171.5</v>
      </c>
      <c r="H1173" s="15">
        <v>172.22</v>
      </c>
      <c r="I1173" s="15">
        <v>172.4</v>
      </c>
      <c r="J1173" s="15">
        <v>177.82</v>
      </c>
      <c r="K1173" s="15">
        <v>122.62</v>
      </c>
      <c r="L1173" s="15">
        <v>21659007</v>
      </c>
      <c r="M1173" t="s" s="13">
        <v>8698</v>
      </c>
      <c r="N1173" s="15">
        <v>115444</v>
      </c>
      <c r="O1173" s="17" cm="1">
        <f t="array" ref="O1173">(H1173-H1172)/H1172</f>
        <v>-0.0102298850574713</v>
      </c>
    </row>
    <row r="1174" ht="13.65" customHeight="1">
      <c r="A1174" s="18">
        <v>45950</v>
      </c>
      <c r="B1174" t="s" s="13">
        <v>22</v>
      </c>
      <c r="C1174" s="15">
        <v>173.3</v>
      </c>
      <c r="D1174" s="15">
        <v>173.3</v>
      </c>
      <c r="E1174" s="15">
        <v>170.82</v>
      </c>
      <c r="F1174" s="15">
        <v>172.22</v>
      </c>
      <c r="G1174" s="15">
        <v>172.1</v>
      </c>
      <c r="H1174" s="15">
        <v>171.95</v>
      </c>
      <c r="I1174" s="15">
        <v>171.89</v>
      </c>
      <c r="J1174" s="15">
        <v>177.82</v>
      </c>
      <c r="K1174" s="15">
        <v>122.62</v>
      </c>
      <c r="L1174" s="15">
        <v>18049579</v>
      </c>
      <c r="M1174" t="s" s="13">
        <v>8699</v>
      </c>
      <c r="N1174" s="15">
        <v>123559</v>
      </c>
      <c r="O1174" s="17" cm="1">
        <f t="array" ref="O1174">(H1174-H1173)/H1173</f>
        <v>-0.00156776216467309</v>
      </c>
    </row>
    <row r="1175" ht="13.65" customHeight="1">
      <c r="A1175" s="18">
        <v>45951</v>
      </c>
      <c r="B1175" t="s" s="13">
        <v>22</v>
      </c>
      <c r="C1175" s="15">
        <v>172.4</v>
      </c>
      <c r="D1175" s="15">
        <v>173.25</v>
      </c>
      <c r="E1175" s="15">
        <v>172.1</v>
      </c>
      <c r="F1175" s="15">
        <v>171.95</v>
      </c>
      <c r="G1175" s="15">
        <v>172.68</v>
      </c>
      <c r="H1175" s="15">
        <v>172.78</v>
      </c>
      <c r="I1175" s="15">
        <v>172.75</v>
      </c>
      <c r="J1175" s="15">
        <v>177.82</v>
      </c>
      <c r="K1175" s="15">
        <v>122.62</v>
      </c>
      <c r="L1175" s="15">
        <v>2471987</v>
      </c>
      <c r="M1175" t="s" s="13">
        <v>8700</v>
      </c>
      <c r="N1175" s="15">
        <v>34539</v>
      </c>
      <c r="O1175" s="17" cm="1">
        <f t="array" ref="O1175">(H1175-H1174)/H1174</f>
        <v>0.00482698458854318</v>
      </c>
    </row>
    <row r="1176" ht="13.65" customHeight="1">
      <c r="A1176" s="18">
        <v>45953</v>
      </c>
      <c r="B1176" t="s" s="13">
        <v>22</v>
      </c>
      <c r="C1176" s="15">
        <v>173.9</v>
      </c>
      <c r="D1176" s="15">
        <v>176.08</v>
      </c>
      <c r="E1176" s="15">
        <v>173.64</v>
      </c>
      <c r="F1176" s="15">
        <v>172.78</v>
      </c>
      <c r="G1176" s="15">
        <v>174</v>
      </c>
      <c r="H1176" s="15">
        <v>174.16</v>
      </c>
      <c r="I1176" s="15">
        <v>174.74</v>
      </c>
      <c r="J1176" s="15">
        <v>177.82</v>
      </c>
      <c r="K1176" s="15">
        <v>122.62</v>
      </c>
      <c r="L1176" s="15">
        <v>31472510</v>
      </c>
      <c r="M1176" t="s" s="13">
        <v>8701</v>
      </c>
      <c r="N1176" s="15">
        <v>171010</v>
      </c>
      <c r="O1176" s="17" cm="1">
        <f t="array" ref="O1176">(H1176-H1175)/H1175</f>
        <v>0.00798703553652043</v>
      </c>
    </row>
    <row r="1177" ht="13.65" customHeight="1">
      <c r="A1177" s="18">
        <v>45954</v>
      </c>
      <c r="B1177" t="s" s="13">
        <v>22</v>
      </c>
      <c r="C1177" s="15">
        <v>174.6</v>
      </c>
      <c r="D1177" s="15">
        <v>177.35</v>
      </c>
      <c r="E1177" s="15">
        <v>173.72</v>
      </c>
      <c r="F1177" s="15">
        <v>174.16</v>
      </c>
      <c r="G1177" s="15">
        <v>174.42</v>
      </c>
      <c r="H1177" s="15">
        <v>174.44</v>
      </c>
      <c r="I1177" s="15">
        <v>175.14</v>
      </c>
      <c r="J1177" s="15">
        <v>177.82</v>
      </c>
      <c r="K1177" s="15">
        <v>122.62</v>
      </c>
      <c r="L1177" s="15">
        <v>25226376</v>
      </c>
      <c r="M1177" t="s" s="13">
        <v>8702</v>
      </c>
      <c r="N1177" s="15">
        <v>131563</v>
      </c>
      <c r="O1177" s="17" cm="1">
        <f t="array" ref="O1177">(H1177-H1176)/H1176</f>
        <v>0.00160771704180064</v>
      </c>
    </row>
    <row r="1178" ht="13.65" customHeight="1">
      <c r="A1178" s="18">
        <v>45957</v>
      </c>
      <c r="B1178" t="s" s="13">
        <v>22</v>
      </c>
      <c r="C1178" s="15">
        <v>175.89</v>
      </c>
      <c r="D1178" s="15">
        <v>177.9</v>
      </c>
      <c r="E1178" s="15">
        <v>175.53</v>
      </c>
      <c r="F1178" s="15">
        <v>174.44</v>
      </c>
      <c r="G1178" s="15">
        <v>176.61</v>
      </c>
      <c r="H1178" s="15">
        <v>176.66</v>
      </c>
      <c r="I1178" s="15">
        <v>176.83</v>
      </c>
      <c r="J1178" s="15">
        <v>177.9</v>
      </c>
      <c r="K1178" s="15">
        <v>122.62</v>
      </c>
      <c r="L1178" s="15">
        <v>23832477</v>
      </c>
      <c r="M1178" t="s" s="13">
        <v>8703</v>
      </c>
      <c r="N1178" s="15">
        <v>145635</v>
      </c>
      <c r="O1178" s="17" cm="1">
        <f t="array" ref="O1178">(H1178-H1177)/H1177</f>
        <v>0.0127264388901628</v>
      </c>
    </row>
    <row r="1179" ht="13.65" customHeight="1">
      <c r="A1179" s="18">
        <v>45958</v>
      </c>
      <c r="B1179" t="s" s="13">
        <v>22</v>
      </c>
      <c r="C1179" s="15">
        <v>177.35</v>
      </c>
      <c r="D1179" s="15">
        <v>182.06</v>
      </c>
      <c r="E1179" s="15">
        <v>177.02</v>
      </c>
      <c r="F1179" s="15">
        <v>176.66</v>
      </c>
      <c r="G1179" s="15">
        <v>181.65</v>
      </c>
      <c r="H1179" s="15">
        <v>181.81</v>
      </c>
      <c r="I1179" s="15">
        <v>180.69</v>
      </c>
      <c r="J1179" s="15">
        <v>182.06</v>
      </c>
      <c r="K1179" s="15">
        <v>122.62</v>
      </c>
      <c r="L1179" s="15">
        <v>59511794</v>
      </c>
      <c r="M1179" t="s" s="13">
        <v>8704</v>
      </c>
      <c r="N1179" s="15">
        <v>300108</v>
      </c>
      <c r="O1179" s="17" cm="1">
        <f t="array" ref="O1179">(H1179-H1178)/H1178</f>
        <v>0.0291520434733386</v>
      </c>
    </row>
    <row r="1180" ht="13.65" customHeight="1">
      <c r="A1180" s="18">
        <v>45959</v>
      </c>
      <c r="B1180" t="s" s="13">
        <v>22</v>
      </c>
      <c r="C1180" s="15">
        <v>183.67</v>
      </c>
      <c r="D1180" s="15">
        <v>186.94</v>
      </c>
      <c r="E1180" s="15">
        <v>182.05</v>
      </c>
      <c r="F1180" s="15">
        <v>181.81</v>
      </c>
      <c r="G1180" s="15">
        <v>185</v>
      </c>
      <c r="H1180" s="15">
        <v>185.19</v>
      </c>
      <c r="I1180" s="15">
        <v>185.23</v>
      </c>
      <c r="J1180" s="15">
        <v>186.94</v>
      </c>
      <c r="K1180" s="15">
        <v>122.62</v>
      </c>
      <c r="L1180" s="15">
        <v>51610530</v>
      </c>
      <c r="M1180" t="s" s="13">
        <v>8705</v>
      </c>
      <c r="N1180" s="15">
        <v>276781</v>
      </c>
      <c r="O1180" s="17" cm="1">
        <f t="array" ref="O1180">(H1180-H1179)/H1179</f>
        <v>0.0185908365876464</v>
      </c>
    </row>
    <row r="1181" ht="13.65" customHeight="1">
      <c r="A1181" s="18">
        <v>45960</v>
      </c>
      <c r="B1181" t="s" s="13">
        <v>22</v>
      </c>
      <c r="C1181" s="15">
        <v>184.4</v>
      </c>
      <c r="D1181" s="15">
        <v>185.19</v>
      </c>
      <c r="E1181" s="15">
        <v>182.64</v>
      </c>
      <c r="F1181" s="15">
        <v>185.19</v>
      </c>
      <c r="G1181" s="15">
        <v>184.45</v>
      </c>
      <c r="H1181" s="15">
        <v>184.35</v>
      </c>
      <c r="I1181" s="15">
        <v>183.46</v>
      </c>
      <c r="J1181" s="15">
        <v>186.94</v>
      </c>
      <c r="K1181" s="15">
        <v>122.62</v>
      </c>
      <c r="L1181" s="15">
        <v>24270977</v>
      </c>
      <c r="M1181" t="s" s="13">
        <v>8706</v>
      </c>
      <c r="N1181" s="15">
        <v>174110</v>
      </c>
      <c r="O1181" s="17" cm="1">
        <f t="array" ref="O1181">(H1181-H1180)/H1180</f>
        <v>-0.00453588206706626</v>
      </c>
    </row>
    <row r="1182" ht="13.65" customHeight="1">
      <c r="A1182" s="18">
        <v>45961</v>
      </c>
      <c r="B1182" t="s" s="13">
        <v>22</v>
      </c>
      <c r="C1182" s="15">
        <v>184</v>
      </c>
      <c r="D1182" s="15">
        <v>184.3</v>
      </c>
      <c r="E1182" s="15">
        <v>182.12</v>
      </c>
      <c r="F1182" s="15">
        <v>184.35</v>
      </c>
      <c r="G1182" s="15">
        <v>182.9</v>
      </c>
      <c r="H1182" s="15">
        <v>182.84</v>
      </c>
      <c r="I1182" s="15">
        <v>183.02</v>
      </c>
      <c r="J1182" s="15">
        <v>186.94</v>
      </c>
      <c r="K1182" s="15">
        <v>122.62</v>
      </c>
      <c r="L1182" s="15">
        <v>16041321</v>
      </c>
      <c r="M1182" t="s" s="13">
        <v>8707</v>
      </c>
      <c r="N1182" s="15">
        <v>135184</v>
      </c>
      <c r="O1182" s="17" cm="1">
        <f t="array" ref="O1182">(H1182-H1181)/H1181</f>
        <v>-0.00819094114456197</v>
      </c>
    </row>
    <row r="1183" ht="13.65" customHeight="1">
      <c r="A1183" s="12">
        <v>45964</v>
      </c>
      <c r="B1183" t="s" s="13">
        <v>22</v>
      </c>
      <c r="C1183" s="15">
        <v>182.4</v>
      </c>
      <c r="D1183" s="15">
        <v>184.1</v>
      </c>
      <c r="E1183" s="15">
        <v>181.8</v>
      </c>
      <c r="F1183" s="15">
        <v>182.84</v>
      </c>
      <c r="G1183" s="15">
        <v>182.7</v>
      </c>
      <c r="H1183" s="15">
        <v>182.67</v>
      </c>
      <c r="I1183" s="15">
        <v>182.88</v>
      </c>
      <c r="J1183" s="15">
        <v>186.94</v>
      </c>
      <c r="K1183" s="15">
        <v>122.62</v>
      </c>
      <c r="L1183" s="15">
        <v>16652212</v>
      </c>
      <c r="M1183" t="s" s="13">
        <v>8708</v>
      </c>
      <c r="N1183" s="15">
        <v>130699</v>
      </c>
      <c r="O1183" s="17" cm="1">
        <f t="array" ref="O1183">(H1183-H1182)/H1182</f>
        <v>-0.000929774666374973</v>
      </c>
    </row>
    <row r="1184" ht="13.65" customHeight="1">
      <c r="A1184" s="12">
        <v>45965</v>
      </c>
      <c r="B1184" t="s" s="13">
        <v>22</v>
      </c>
      <c r="C1184" s="15">
        <v>183</v>
      </c>
      <c r="D1184" s="15">
        <v>183.09</v>
      </c>
      <c r="E1184" s="15">
        <v>178.9</v>
      </c>
      <c r="F1184" s="15">
        <v>182.67</v>
      </c>
      <c r="G1184" s="15">
        <v>179.35</v>
      </c>
      <c r="H1184" s="15">
        <v>179.29</v>
      </c>
      <c r="I1184" s="15">
        <v>180.22</v>
      </c>
      <c r="J1184" s="15">
        <v>186.94</v>
      </c>
      <c r="K1184" s="15">
        <v>122.62</v>
      </c>
      <c r="L1184" s="15">
        <v>18746387</v>
      </c>
      <c r="M1184" t="s" s="13">
        <v>8709</v>
      </c>
      <c r="N1184" s="15">
        <v>129742</v>
      </c>
      <c r="O1184" s="17" cm="1">
        <f t="array" ref="O1184">(H1184-H1183)/H1183</f>
        <v>-0.018503311983358</v>
      </c>
    </row>
    <row r="1185" ht="13.65" customHeight="1">
      <c r="A1185" s="12">
        <v>45967</v>
      </c>
      <c r="B1185" t="s" s="13">
        <v>22</v>
      </c>
      <c r="C1185" s="15">
        <v>179.29</v>
      </c>
      <c r="D1185" s="15">
        <v>180.67</v>
      </c>
      <c r="E1185" s="15">
        <v>176.52</v>
      </c>
      <c r="F1185" s="15">
        <v>179.29</v>
      </c>
      <c r="G1185" s="15">
        <v>177.35</v>
      </c>
      <c r="H1185" s="15">
        <v>177.27</v>
      </c>
      <c r="I1185" s="15">
        <v>177.84</v>
      </c>
      <c r="J1185" s="15">
        <v>186.94</v>
      </c>
      <c r="K1185" s="15">
        <v>122.62</v>
      </c>
      <c r="L1185" s="15">
        <v>23664538</v>
      </c>
      <c r="M1185" t="s" s="13">
        <v>8710</v>
      </c>
      <c r="N1185" s="15">
        <v>189659</v>
      </c>
      <c r="O1185" s="17" cm="1">
        <f t="array" ref="O1185">(H1185-H1184)/H1184</f>
        <v>-0.0112666629482961</v>
      </c>
    </row>
    <row r="1186" ht="13.65" customHeight="1">
      <c r="A1186" s="12">
        <v>45968</v>
      </c>
      <c r="B1186" t="s" s="13">
        <v>22</v>
      </c>
      <c r="C1186" s="15">
        <v>177</v>
      </c>
      <c r="D1186" s="15">
        <v>182.25</v>
      </c>
      <c r="E1186" s="15">
        <v>175.01</v>
      </c>
      <c r="F1186" s="15">
        <v>177.27</v>
      </c>
      <c r="G1186" s="15">
        <v>181.5</v>
      </c>
      <c r="H1186" s="15">
        <v>181.37</v>
      </c>
      <c r="I1186" s="15">
        <v>179.19</v>
      </c>
      <c r="J1186" s="15">
        <v>186.94</v>
      </c>
      <c r="K1186" s="15">
        <v>122.62</v>
      </c>
      <c r="L1186" s="15">
        <v>19165876</v>
      </c>
      <c r="M1186" t="s" s="13">
        <v>8711</v>
      </c>
      <c r="N1186" s="15">
        <v>123190</v>
      </c>
      <c r="O1186" s="17" cm="1">
        <f t="array" ref="O1186">(H1186-H1185)/H1185</f>
        <v>0.0231285609522198</v>
      </c>
    </row>
    <row r="1187" ht="13.65" customHeight="1">
      <c r="A1187" s="18">
        <v>45971</v>
      </c>
      <c r="B1187" t="s" s="13">
        <v>22</v>
      </c>
      <c r="C1187" s="15">
        <v>182.03</v>
      </c>
      <c r="D1187" s="15">
        <v>182.51</v>
      </c>
      <c r="E1187" s="15">
        <v>180.2</v>
      </c>
      <c r="F1187" s="15">
        <v>181.37</v>
      </c>
      <c r="G1187" s="15">
        <v>181.5</v>
      </c>
      <c r="H1187" s="15">
        <v>181.48</v>
      </c>
      <c r="I1187" s="15">
        <v>181.48</v>
      </c>
      <c r="J1187" s="15">
        <v>186.94</v>
      </c>
      <c r="K1187" s="15">
        <v>122.62</v>
      </c>
      <c r="L1187" s="15">
        <v>18376132</v>
      </c>
      <c r="M1187" t="s" s="13">
        <v>8712</v>
      </c>
      <c r="N1187" s="15">
        <v>148991</v>
      </c>
      <c r="O1187" s="17" cm="1">
        <f t="array" ref="O1187">(H1187-H1186)/H1186</f>
        <v>0.000606495010200143</v>
      </c>
    </row>
    <row r="1188" ht="13.65" customHeight="1">
      <c r="A1188" s="18">
        <v>45972</v>
      </c>
      <c r="B1188" t="s" s="13">
        <v>22</v>
      </c>
      <c r="C1188" s="15">
        <v>182.9</v>
      </c>
      <c r="D1188" s="15">
        <v>182.9</v>
      </c>
      <c r="E1188" s="15">
        <v>179.02</v>
      </c>
      <c r="F1188" s="15">
        <v>181.48</v>
      </c>
      <c r="G1188" s="15">
        <v>181.1</v>
      </c>
      <c r="H1188" s="15">
        <v>181.04</v>
      </c>
      <c r="I1188" s="15">
        <v>180.7</v>
      </c>
      <c r="J1188" s="15">
        <v>186.94</v>
      </c>
      <c r="K1188" s="15">
        <v>122.62</v>
      </c>
      <c r="L1188" s="15">
        <v>14109340</v>
      </c>
      <c r="M1188" t="s" s="13">
        <v>8713</v>
      </c>
      <c r="N1188" s="15">
        <v>121889</v>
      </c>
      <c r="O1188" s="17" cm="1">
        <f t="array" ref="O1188">(H1188-H1187)/H1187</f>
        <v>-0.00242450958783337</v>
      </c>
    </row>
    <row r="1189" ht="13.65" customHeight="1">
      <c r="A1189" s="18">
        <v>45973</v>
      </c>
      <c r="B1189" t="s" s="13">
        <v>22</v>
      </c>
      <c r="C1189" s="15">
        <v>181.44</v>
      </c>
      <c r="D1189" s="15">
        <v>182.15</v>
      </c>
      <c r="E1189" s="15">
        <v>178</v>
      </c>
      <c r="F1189" s="15">
        <v>181.04</v>
      </c>
      <c r="G1189" s="15">
        <v>178.7</v>
      </c>
      <c r="H1189" s="15">
        <v>178.61</v>
      </c>
      <c r="I1189" s="15">
        <v>179.57</v>
      </c>
      <c r="J1189" s="15">
        <v>186.94</v>
      </c>
      <c r="K1189" s="15">
        <v>122.62</v>
      </c>
      <c r="L1189" s="15">
        <v>19037263</v>
      </c>
      <c r="M1189" t="s" s="13">
        <v>8714</v>
      </c>
      <c r="N1189" s="15">
        <v>143638</v>
      </c>
      <c r="O1189" s="17" cm="1">
        <f t="array" ref="O1189">(H1189-H1188)/H1188</f>
        <v>-0.0134224480777729</v>
      </c>
    </row>
    <row r="1190" ht="13.65" customHeight="1">
      <c r="A1190" s="18">
        <v>45974</v>
      </c>
      <c r="B1190" t="s" s="13">
        <v>22</v>
      </c>
      <c r="C1190" s="15">
        <v>184</v>
      </c>
      <c r="D1190" s="15">
        <v>184</v>
      </c>
      <c r="E1190" s="15">
        <v>175.1</v>
      </c>
      <c r="F1190" s="15">
        <v>178.61</v>
      </c>
      <c r="G1190" s="15">
        <v>176.55</v>
      </c>
      <c r="H1190" s="15">
        <v>176.65</v>
      </c>
      <c r="I1190" s="15">
        <v>179.35</v>
      </c>
      <c r="J1190" s="15">
        <v>186.94</v>
      </c>
      <c r="K1190" s="15">
        <v>122.62</v>
      </c>
      <c r="L1190" s="15">
        <v>82083661</v>
      </c>
      <c r="M1190" t="s" s="13">
        <v>8715</v>
      </c>
      <c r="N1190" s="15">
        <v>302852</v>
      </c>
      <c r="O1190" s="17" cm="1">
        <f t="array" ref="O1190">(H1190-H1189)/H1189</f>
        <v>-0.0109736296959857</v>
      </c>
    </row>
    <row r="1191" ht="13.65" customHeight="1">
      <c r="A1191" s="18">
        <v>45975</v>
      </c>
      <c r="B1191" t="s" s="13">
        <v>22</v>
      </c>
      <c r="C1191" s="15">
        <v>177.52</v>
      </c>
      <c r="D1191" s="15">
        <v>177.7</v>
      </c>
      <c r="E1191" s="15">
        <v>172.12</v>
      </c>
      <c r="F1191" s="15">
        <v>176.65</v>
      </c>
      <c r="G1191" s="15">
        <v>174</v>
      </c>
      <c r="H1191" s="15">
        <v>174.26</v>
      </c>
      <c r="I1191" s="15">
        <v>173.94</v>
      </c>
      <c r="J1191" s="15">
        <v>186.94</v>
      </c>
      <c r="K1191" s="15">
        <v>122.62</v>
      </c>
      <c r="L1191" s="15">
        <v>38345500</v>
      </c>
      <c r="M1191" t="s" s="13">
        <v>8716</v>
      </c>
      <c r="N1191" s="15">
        <v>213625</v>
      </c>
      <c r="O1191" s="17" cm="1">
        <f t="array" ref="O1191">(H1191-H1190)/H1190</f>
        <v>-0.0135295782621002</v>
      </c>
    </row>
    <row r="1192" ht="13.65" customHeight="1">
      <c r="A1192" s="18">
        <v>45978</v>
      </c>
      <c r="B1192" t="s" s="13">
        <v>22</v>
      </c>
      <c r="C1192" s="15">
        <v>175.13</v>
      </c>
      <c r="D1192" s="15">
        <v>175.25</v>
      </c>
      <c r="E1192" s="15">
        <v>172.62</v>
      </c>
      <c r="F1192" s="15">
        <v>174.26</v>
      </c>
      <c r="G1192" s="15">
        <v>173.4</v>
      </c>
      <c r="H1192" s="15">
        <v>173.17</v>
      </c>
      <c r="I1192" s="15">
        <v>173.36</v>
      </c>
      <c r="J1192" s="15">
        <v>186.94</v>
      </c>
      <c r="K1192" s="15">
        <v>122.62</v>
      </c>
      <c r="L1192" s="15">
        <v>28204282</v>
      </c>
      <c r="M1192" t="s" s="13">
        <v>8717</v>
      </c>
      <c r="N1192" s="15">
        <v>151929</v>
      </c>
      <c r="O1192" s="17" cm="1">
        <f t="array" ref="O1192">(H1192-H1191)/H1191</f>
        <v>-0.00625502123264088</v>
      </c>
    </row>
    <row r="1193" ht="13.65" customHeight="1">
      <c r="A1193" s="18">
        <v>45979</v>
      </c>
      <c r="B1193" t="s" s="13">
        <v>22</v>
      </c>
      <c r="C1193" s="15">
        <v>172.4</v>
      </c>
      <c r="D1193" s="15">
        <v>173.12</v>
      </c>
      <c r="E1193" s="15">
        <v>170.55</v>
      </c>
      <c r="F1193" s="15">
        <v>173.17</v>
      </c>
      <c r="G1193" s="15">
        <v>172.44</v>
      </c>
      <c r="H1193" s="15">
        <v>172.45</v>
      </c>
      <c r="I1193" s="15">
        <v>171.82</v>
      </c>
      <c r="J1193" s="15">
        <v>186.94</v>
      </c>
      <c r="K1193" s="15">
        <v>122.62</v>
      </c>
      <c r="L1193" s="15">
        <v>34278387</v>
      </c>
      <c r="M1193" t="s" s="13">
        <v>8718</v>
      </c>
      <c r="N1193" s="15">
        <v>126450</v>
      </c>
      <c r="O1193" s="17" cm="1">
        <f t="array" ref="O1193">(H1193-H1192)/H1192</f>
        <v>-0.00415776404689034</v>
      </c>
    </row>
    <row r="1194" ht="13.65" customHeight="1">
      <c r="A1194" s="18">
        <v>45980</v>
      </c>
      <c r="B1194" t="s" s="13">
        <v>22</v>
      </c>
      <c r="C1194" s="15">
        <v>172.45</v>
      </c>
      <c r="D1194" s="15">
        <v>173.9</v>
      </c>
      <c r="E1194" s="15">
        <v>172.06</v>
      </c>
      <c r="F1194" s="15">
        <v>172.45</v>
      </c>
      <c r="G1194" s="15">
        <v>173.2</v>
      </c>
      <c r="H1194" s="15">
        <v>173.21</v>
      </c>
      <c r="I1194" s="15">
        <v>173</v>
      </c>
      <c r="J1194" s="15">
        <v>186.94</v>
      </c>
      <c r="K1194" s="15">
        <v>122.62</v>
      </c>
      <c r="L1194" s="15">
        <v>19621610</v>
      </c>
      <c r="M1194" t="s" s="13">
        <v>8719</v>
      </c>
      <c r="N1194" s="15">
        <v>114117</v>
      </c>
      <c r="O1194" s="17" cm="1">
        <f t="array" ref="O1194">(H1194-H1193)/H1193</f>
        <v>0.00440707451435199</v>
      </c>
    </row>
    <row r="1195" ht="13.65" customHeight="1">
      <c r="A1195" s="18">
        <v>45981</v>
      </c>
      <c r="B1195" t="s" s="13">
        <v>22</v>
      </c>
      <c r="C1195" s="15">
        <v>174.1</v>
      </c>
      <c r="D1195" s="15">
        <v>174.36</v>
      </c>
      <c r="E1195" s="15">
        <v>172.26</v>
      </c>
      <c r="F1195" s="15">
        <v>173.21</v>
      </c>
      <c r="G1195" s="15">
        <v>172.4</v>
      </c>
      <c r="H1195" s="15">
        <v>172.46</v>
      </c>
      <c r="I1195" s="15">
        <v>172.93</v>
      </c>
      <c r="J1195" s="15">
        <v>186.94</v>
      </c>
      <c r="K1195" s="15">
        <v>122.62</v>
      </c>
      <c r="L1195" s="15">
        <v>15968891</v>
      </c>
      <c r="M1195" t="s" s="13">
        <v>8720</v>
      </c>
      <c r="N1195" s="15">
        <v>120735</v>
      </c>
      <c r="O1195" s="17" cm="1">
        <f t="array" ref="O1195">(H1195-H1194)/H1194</f>
        <v>-0.00433000404133711</v>
      </c>
    </row>
    <row r="1196" ht="13.65" customHeight="1">
      <c r="A1196" s="18">
        <v>45982</v>
      </c>
      <c r="B1196" t="s" s="13">
        <v>22</v>
      </c>
      <c r="C1196" s="15">
        <v>171.8</v>
      </c>
      <c r="D1196" s="15">
        <v>171.9</v>
      </c>
      <c r="E1196" s="15">
        <v>167.7</v>
      </c>
      <c r="F1196" s="15">
        <v>172.46</v>
      </c>
      <c r="G1196" s="15">
        <v>168</v>
      </c>
      <c r="H1196" s="15">
        <v>168</v>
      </c>
      <c r="I1196" s="15">
        <v>169.39</v>
      </c>
      <c r="J1196" s="15">
        <v>186.94</v>
      </c>
      <c r="K1196" s="15">
        <v>122.62</v>
      </c>
      <c r="L1196" s="15">
        <v>28412865</v>
      </c>
      <c r="M1196" t="s" s="13">
        <v>8721</v>
      </c>
      <c r="N1196" s="15">
        <v>143970</v>
      </c>
      <c r="O1196" s="17" cm="1">
        <f t="array" ref="O1196">(H1196-H1195)/H1195</f>
        <v>-0.0258610692334454</v>
      </c>
    </row>
    <row r="1197" ht="13.65" customHeight="1">
      <c r="A1197" s="18">
        <v>45985</v>
      </c>
      <c r="B1197" t="s" s="13">
        <v>22</v>
      </c>
      <c r="C1197" s="15">
        <v>168</v>
      </c>
      <c r="D1197" s="15">
        <v>168.38</v>
      </c>
      <c r="E1197" s="15">
        <v>165.18</v>
      </c>
      <c r="F1197" s="15">
        <v>168</v>
      </c>
      <c r="G1197" s="15">
        <v>165.5</v>
      </c>
      <c r="H1197" s="15">
        <v>165.36</v>
      </c>
      <c r="I1197" s="15">
        <v>166.04</v>
      </c>
      <c r="J1197" s="15">
        <v>186.94</v>
      </c>
      <c r="K1197" s="15">
        <v>122.62</v>
      </c>
      <c r="L1197" s="15">
        <v>31202769</v>
      </c>
      <c r="M1197" t="s" s="13">
        <v>8722</v>
      </c>
      <c r="N1197" s="15">
        <v>133342</v>
      </c>
      <c r="O1197" s="17" cm="1">
        <f t="array" ref="O1197">(H1197-H1196)/H1196</f>
        <v>-0.0157142857142857</v>
      </c>
    </row>
    <row r="1198" ht="13.65" customHeight="1">
      <c r="A1198" s="18">
        <v>45986</v>
      </c>
      <c r="B1198" t="s" s="13">
        <v>22</v>
      </c>
      <c r="C1198" s="15">
        <v>166</v>
      </c>
      <c r="D1198" s="15">
        <v>167.27</v>
      </c>
      <c r="E1198" s="15">
        <v>165.08</v>
      </c>
      <c r="F1198" s="15">
        <v>165.36</v>
      </c>
      <c r="G1198" s="15">
        <v>166.16</v>
      </c>
      <c r="H1198" s="15">
        <v>166.33</v>
      </c>
      <c r="I1198" s="15">
        <v>166.29</v>
      </c>
      <c r="J1198" s="15">
        <v>186.94</v>
      </c>
      <c r="K1198" s="15">
        <v>122.62</v>
      </c>
      <c r="L1198" s="15">
        <v>19983310</v>
      </c>
      <c r="M1198" t="s" s="13">
        <v>8723</v>
      </c>
      <c r="N1198" s="15">
        <v>148206</v>
      </c>
      <c r="O1198" s="17" cm="1">
        <f t="array" ref="O1198">(H1198-H1197)/H1197</f>
        <v>0.00586598935655539</v>
      </c>
    </row>
    <row r="1199" ht="13.65" customHeight="1">
      <c r="A1199" s="18">
        <v>45987</v>
      </c>
      <c r="B1199" t="s" s="13">
        <v>22</v>
      </c>
      <c r="C1199" s="15">
        <v>167</v>
      </c>
      <c r="D1199" s="15">
        <v>169.95</v>
      </c>
      <c r="E1199" s="15">
        <v>166.9</v>
      </c>
      <c r="F1199" s="15">
        <v>166.33</v>
      </c>
      <c r="G1199" s="15">
        <v>169.59</v>
      </c>
      <c r="H1199" s="15">
        <v>169.67</v>
      </c>
      <c r="I1199" s="15">
        <v>169.26</v>
      </c>
      <c r="J1199" s="15">
        <v>186.94</v>
      </c>
      <c r="K1199" s="15">
        <v>122.62</v>
      </c>
      <c r="L1199" s="15">
        <v>15044796</v>
      </c>
      <c r="M1199" t="s" s="13">
        <v>8724</v>
      </c>
      <c r="N1199" s="15">
        <v>108996</v>
      </c>
      <c r="O1199" s="17" cm="1">
        <f t="array" ref="O1199">(H1199-H1198)/H1198</f>
        <v>0.0200805627367282</v>
      </c>
    </row>
    <row r="1200" ht="13.65" customHeight="1">
      <c r="A1200" s="18">
        <v>45988</v>
      </c>
      <c r="B1200" t="s" s="13">
        <v>22</v>
      </c>
      <c r="C1200" s="15">
        <v>170.45</v>
      </c>
      <c r="D1200" s="15">
        <v>171</v>
      </c>
      <c r="E1200" s="15">
        <v>167.18</v>
      </c>
      <c r="F1200" s="15">
        <v>169.67</v>
      </c>
      <c r="G1200" s="15">
        <v>168.1</v>
      </c>
      <c r="H1200" s="15">
        <v>168.13</v>
      </c>
      <c r="I1200" s="15">
        <v>168.71</v>
      </c>
      <c r="J1200" s="15">
        <v>186.94</v>
      </c>
      <c r="K1200" s="15">
        <v>122.62</v>
      </c>
      <c r="L1200" s="15">
        <v>17546627</v>
      </c>
      <c r="M1200" t="s" s="13">
        <v>8725</v>
      </c>
      <c r="N1200" s="15">
        <v>129556</v>
      </c>
      <c r="O1200" s="17" cm="1">
        <f t="array" ref="O1200">(H1200-H1199)/H1199</f>
        <v>-0.00907644250604114</v>
      </c>
    </row>
    <row r="1201" ht="13.65" customHeight="1">
      <c r="A1201" s="18">
        <v>45989</v>
      </c>
      <c r="B1201" t="s" s="13">
        <v>22</v>
      </c>
      <c r="C1201" s="15">
        <v>168.13</v>
      </c>
      <c r="D1201" s="15">
        <v>169</v>
      </c>
      <c r="E1201" s="15">
        <v>167.29</v>
      </c>
      <c r="F1201" s="15">
        <v>168.13</v>
      </c>
      <c r="G1201" s="15">
        <v>168.14</v>
      </c>
      <c r="H1201" s="15">
        <v>167.96</v>
      </c>
      <c r="I1201" s="15">
        <v>168.06</v>
      </c>
      <c r="J1201" s="15">
        <v>186.94</v>
      </c>
      <c r="K1201" s="15">
        <v>122.62</v>
      </c>
      <c r="L1201" s="15">
        <v>11975539</v>
      </c>
      <c r="M1201" t="s" s="13">
        <v>8726</v>
      </c>
      <c r="N1201" s="15">
        <v>107176</v>
      </c>
      <c r="O1201" s="17" cm="1">
        <f t="array" ref="O1201">(H1201-H1200)/H1200</f>
        <v>-0.00101112234580384</v>
      </c>
    </row>
    <row r="1202" ht="13.65" customHeight="1">
      <c r="A1202" s="12">
        <v>45992</v>
      </c>
      <c r="B1202" t="s" s="13">
        <v>22</v>
      </c>
      <c r="C1202" s="15">
        <v>169</v>
      </c>
      <c r="D1202" s="15">
        <v>169.65</v>
      </c>
      <c r="E1202" s="15">
        <v>167.7</v>
      </c>
      <c r="F1202" s="15">
        <v>167.96</v>
      </c>
      <c r="G1202" s="15">
        <v>168.6</v>
      </c>
      <c r="H1202" s="15">
        <v>168.63</v>
      </c>
      <c r="I1202" s="15">
        <v>168.56</v>
      </c>
      <c r="J1202" s="15">
        <v>186.94</v>
      </c>
      <c r="K1202" s="15">
        <v>122.62</v>
      </c>
      <c r="L1202" s="15">
        <v>11758473</v>
      </c>
      <c r="M1202" t="s" s="13">
        <v>8727</v>
      </c>
      <c r="N1202" s="15">
        <v>122675</v>
      </c>
      <c r="O1202" s="17" cm="1">
        <f t="array" ref="O1202">(H1202-H1201)/H1201</f>
        <v>0.00398904501071684</v>
      </c>
    </row>
    <row r="1203" ht="13.65" customHeight="1">
      <c r="A1203" s="12">
        <v>45993</v>
      </c>
      <c r="B1203" t="s" s="13">
        <v>22</v>
      </c>
      <c r="C1203" s="15">
        <v>168.43</v>
      </c>
      <c r="D1203" s="15">
        <v>168.85</v>
      </c>
      <c r="E1203" s="15">
        <v>167</v>
      </c>
      <c r="F1203" s="15">
        <v>168.63</v>
      </c>
      <c r="G1203" s="15">
        <v>167.89</v>
      </c>
      <c r="H1203" s="15">
        <v>167.78</v>
      </c>
      <c r="I1203" s="15">
        <v>167.8</v>
      </c>
      <c r="J1203" s="15">
        <v>186.94</v>
      </c>
      <c r="K1203" s="15">
        <v>122.62</v>
      </c>
      <c r="L1203" s="15">
        <v>15355023</v>
      </c>
      <c r="M1203" t="s" s="13">
        <v>8728</v>
      </c>
      <c r="N1203" s="15">
        <v>154239</v>
      </c>
      <c r="O1203" s="17" cm="1">
        <f t="array" ref="O1203">(H1203-H1202)/H1202</f>
        <v>-0.00504062147897764</v>
      </c>
    </row>
    <row r="1204" ht="13.65" customHeight="1">
      <c r="A1204" s="12">
        <v>45994</v>
      </c>
      <c r="B1204" t="s" s="13">
        <v>22</v>
      </c>
      <c r="C1204" s="15">
        <v>167.78</v>
      </c>
      <c r="D1204" s="15">
        <v>167.99</v>
      </c>
      <c r="E1204" s="15">
        <v>165</v>
      </c>
      <c r="F1204" s="15">
        <v>167.78</v>
      </c>
      <c r="G1204" s="15">
        <v>166.85</v>
      </c>
      <c r="H1204" s="15">
        <v>166.92</v>
      </c>
      <c r="I1204" s="15">
        <v>166.32</v>
      </c>
      <c r="J1204" s="15">
        <v>186.94</v>
      </c>
      <c r="K1204" s="15">
        <v>122.62</v>
      </c>
      <c r="L1204" s="15">
        <v>18873943</v>
      </c>
      <c r="M1204" t="s" s="13">
        <v>8729</v>
      </c>
      <c r="N1204" s="15">
        <v>144843</v>
      </c>
      <c r="O1204" s="17" cm="1">
        <f t="array" ref="O1204">(H1204-H1203)/H1203</f>
        <v>-0.00512575992370962</v>
      </c>
    </row>
    <row r="1205" ht="13.65" customHeight="1">
      <c r="A1205" s="12">
        <v>45995</v>
      </c>
      <c r="B1205" t="s" s="13">
        <v>22</v>
      </c>
      <c r="C1205" s="15">
        <v>167.8</v>
      </c>
      <c r="D1205" s="15">
        <v>167.97</v>
      </c>
      <c r="E1205" s="15">
        <v>166.2</v>
      </c>
      <c r="F1205" s="15">
        <v>166.92</v>
      </c>
      <c r="G1205" s="15">
        <v>166.9</v>
      </c>
      <c r="H1205" s="15">
        <v>166.77</v>
      </c>
      <c r="I1205" s="15">
        <v>166.93</v>
      </c>
      <c r="J1205" s="15">
        <v>186.94</v>
      </c>
      <c r="K1205" s="15">
        <v>122.62</v>
      </c>
      <c r="L1205" s="15">
        <v>11419966</v>
      </c>
      <c r="M1205" t="s" s="13">
        <v>8730</v>
      </c>
      <c r="N1205" s="15">
        <v>122230</v>
      </c>
      <c r="O1205" s="17" cm="1">
        <f t="array" ref="O1205">(H1205-H1204)/H1204</f>
        <v>-0.00089863407620417</v>
      </c>
    </row>
    <row r="1206" ht="13.65" customHeight="1">
      <c r="A1206" s="12">
        <v>45996</v>
      </c>
      <c r="B1206" t="s" s="13">
        <v>22</v>
      </c>
      <c r="C1206" s="15">
        <v>167</v>
      </c>
      <c r="D1206" s="15">
        <v>167.65</v>
      </c>
      <c r="E1206" s="15">
        <v>165</v>
      </c>
      <c r="F1206" s="15">
        <v>166.77</v>
      </c>
      <c r="G1206" s="15">
        <v>167.39</v>
      </c>
      <c r="H1206" s="15">
        <v>167.11</v>
      </c>
      <c r="I1206" s="15">
        <v>165.82</v>
      </c>
      <c r="J1206" s="15">
        <v>186.94</v>
      </c>
      <c r="K1206" s="15">
        <v>122.62</v>
      </c>
      <c r="L1206" s="15">
        <v>33500436</v>
      </c>
      <c r="M1206" t="s" s="13">
        <v>8731</v>
      </c>
      <c r="N1206" s="15">
        <v>119942</v>
      </c>
      <c r="O1206" s="17" cm="1">
        <f t="array" ref="O1206">(H1206-H1205)/H1205</f>
        <v>0.00203873598369011</v>
      </c>
    </row>
    <row r="1207" ht="13.65" customHeight="1">
      <c r="A1207" s="12">
        <v>45999</v>
      </c>
      <c r="B1207" t="s" s="13">
        <v>22</v>
      </c>
      <c r="C1207" s="15">
        <v>167.09</v>
      </c>
      <c r="D1207" s="15">
        <v>168.2</v>
      </c>
      <c r="E1207" s="15">
        <v>163</v>
      </c>
      <c r="F1207" s="15">
        <v>167.11</v>
      </c>
      <c r="G1207" s="15">
        <v>163.5</v>
      </c>
      <c r="H1207" s="15">
        <v>163.47</v>
      </c>
      <c r="I1207" s="15">
        <v>164.74</v>
      </c>
      <c r="J1207" s="15">
        <v>186.94</v>
      </c>
      <c r="K1207" s="15">
        <v>122.62</v>
      </c>
      <c r="L1207" s="15">
        <v>15772400</v>
      </c>
      <c r="M1207" t="s" s="13">
        <v>8732</v>
      </c>
      <c r="N1207" s="15">
        <v>143653</v>
      </c>
      <c r="O1207" s="17" cm="1">
        <f t="array" ref="O1207">(H1207-H1206)/H1206</f>
        <v>-0.0217820597211418</v>
      </c>
    </row>
    <row r="1208" ht="13.65" customHeight="1">
      <c r="A1208" s="12">
        <v>46000</v>
      </c>
      <c r="B1208" t="s" s="13">
        <v>22</v>
      </c>
      <c r="C1208" s="15">
        <v>163.39</v>
      </c>
      <c r="D1208" s="15">
        <v>163.39</v>
      </c>
      <c r="E1208" s="15">
        <v>160.06</v>
      </c>
      <c r="F1208" s="15">
        <v>163.47</v>
      </c>
      <c r="G1208" s="15">
        <v>160.99</v>
      </c>
      <c r="H1208" s="15">
        <v>160.67</v>
      </c>
      <c r="I1208" s="15">
        <v>161.41</v>
      </c>
      <c r="J1208" s="15">
        <v>186.94</v>
      </c>
      <c r="K1208" s="15">
        <v>122.62</v>
      </c>
      <c r="L1208" s="15">
        <v>25766371</v>
      </c>
      <c r="M1208" t="s" s="13">
        <v>8733</v>
      </c>
      <c r="N1208" s="15">
        <v>206014</v>
      </c>
      <c r="O1208" s="17" cm="1">
        <f t="array" ref="O1208">(H1208-H1207)/H1207</f>
        <v>-0.0171285251116413</v>
      </c>
    </row>
    <row r="1209" ht="13.65" customHeight="1">
      <c r="A1209" s="18">
        <v>46001</v>
      </c>
      <c r="B1209" t="s" s="13">
        <v>22</v>
      </c>
      <c r="C1209" s="15">
        <v>161</v>
      </c>
      <c r="D1209" s="15">
        <v>163.68</v>
      </c>
      <c r="E1209" s="15">
        <v>160.81</v>
      </c>
      <c r="F1209" s="15">
        <v>160.67</v>
      </c>
      <c r="G1209" s="15">
        <v>162</v>
      </c>
      <c r="H1209" s="15">
        <v>162.23</v>
      </c>
      <c r="I1209" s="15">
        <v>162.27</v>
      </c>
      <c r="J1209" s="15">
        <v>186.94</v>
      </c>
      <c r="K1209" s="15">
        <v>122.62</v>
      </c>
      <c r="L1209" s="15">
        <v>22537548</v>
      </c>
      <c r="M1209" t="s" s="13">
        <v>8734</v>
      </c>
      <c r="N1209" s="15">
        <v>199408</v>
      </c>
      <c r="O1209" s="17" cm="1">
        <f t="array" ref="O1209">(H1209-H1208)/H1208</f>
        <v>0.009709342129831331</v>
      </c>
    </row>
    <row r="1210" ht="13.65" customHeight="1">
      <c r="A1210" s="18">
        <v>46002</v>
      </c>
      <c r="B1210" t="s" s="13">
        <v>22</v>
      </c>
      <c r="C1210" s="15">
        <v>163.5</v>
      </c>
      <c r="D1210" s="15">
        <v>166.66</v>
      </c>
      <c r="E1210" s="15">
        <v>163.17</v>
      </c>
      <c r="F1210" s="15">
        <v>162.23</v>
      </c>
      <c r="G1210" s="15">
        <v>166.4</v>
      </c>
      <c r="H1210" s="15">
        <v>166.38</v>
      </c>
      <c r="I1210" s="15">
        <v>164.96</v>
      </c>
      <c r="J1210" s="15">
        <v>186.94</v>
      </c>
      <c r="K1210" s="15">
        <v>122.62</v>
      </c>
      <c r="L1210" s="15">
        <v>32603566</v>
      </c>
      <c r="M1210" t="s" s="13">
        <v>8735</v>
      </c>
      <c r="N1210" s="15">
        <v>175721</v>
      </c>
      <c r="O1210" s="17" cm="1">
        <f t="array" ref="O1210">(H1210-H1209)/H1209</f>
        <v>0.0255809652961844</v>
      </c>
    </row>
    <row r="1211" ht="13.65" customHeight="1">
      <c r="A1211" s="18">
        <v>46003</v>
      </c>
      <c r="B1211" t="s" s="13">
        <v>22</v>
      </c>
      <c r="C1211" s="15">
        <v>167.6</v>
      </c>
      <c r="D1211" s="15">
        <v>172.5</v>
      </c>
      <c r="E1211" s="15">
        <v>167.4</v>
      </c>
      <c r="F1211" s="15">
        <v>166.38</v>
      </c>
      <c r="G1211" s="15">
        <v>172</v>
      </c>
      <c r="H1211" s="15">
        <v>171.89</v>
      </c>
      <c r="I1211" s="15">
        <v>170.7</v>
      </c>
      <c r="J1211" s="15">
        <v>186.94</v>
      </c>
      <c r="K1211" s="15">
        <v>122.62</v>
      </c>
      <c r="L1211" s="15">
        <v>41130927</v>
      </c>
      <c r="M1211" t="s" s="13">
        <v>8736</v>
      </c>
      <c r="N1211" s="15">
        <v>331595</v>
      </c>
      <c r="O1211" s="17" cm="1">
        <f t="array" ref="O1211">(H1211-H1210)/H1210</f>
        <v>0.0331169611732179</v>
      </c>
    </row>
    <row r="1212" ht="13.65" customHeight="1">
      <c r="A1212" s="18">
        <v>46006</v>
      </c>
      <c r="B1212" t="s" s="13">
        <v>22</v>
      </c>
      <c r="C1212" s="15">
        <v>170.95</v>
      </c>
      <c r="D1212" s="15">
        <v>173.17</v>
      </c>
      <c r="E1212" s="15">
        <v>170.5</v>
      </c>
      <c r="F1212" s="15">
        <v>171.89</v>
      </c>
      <c r="G1212" s="15">
        <v>172.7</v>
      </c>
      <c r="H1212" s="15">
        <v>172.87</v>
      </c>
      <c r="I1212" s="15">
        <v>172.45</v>
      </c>
      <c r="J1212" s="15">
        <v>186.94</v>
      </c>
      <c r="K1212" s="15">
        <v>122.62</v>
      </c>
      <c r="L1212" s="15">
        <v>23254201</v>
      </c>
      <c r="M1212" t="s" s="13">
        <v>8737</v>
      </c>
      <c r="N1212" s="15">
        <v>250886</v>
      </c>
      <c r="O1212" s="17" cm="1">
        <f t="array" ref="O1212">(H1212-H1211)/H1211</f>
        <v>0.00570132061201931</v>
      </c>
    </row>
    <row r="1213" ht="13.65" customHeight="1">
      <c r="A1213" s="18">
        <v>46007</v>
      </c>
      <c r="B1213" t="s" s="13">
        <v>22</v>
      </c>
      <c r="C1213" s="15">
        <v>172.7</v>
      </c>
      <c r="D1213" s="15">
        <v>172.7</v>
      </c>
      <c r="E1213" s="15">
        <v>169.25</v>
      </c>
      <c r="F1213" s="15">
        <v>172.87</v>
      </c>
      <c r="G1213" s="15">
        <v>169.8</v>
      </c>
      <c r="H1213" s="15">
        <v>169.83</v>
      </c>
      <c r="I1213" s="15">
        <v>170.21</v>
      </c>
      <c r="J1213" s="15">
        <v>186.94</v>
      </c>
      <c r="K1213" s="15">
        <v>122.62</v>
      </c>
      <c r="L1213" s="15">
        <v>22981935</v>
      </c>
      <c r="M1213" t="s" s="13">
        <v>8738</v>
      </c>
      <c r="N1213" s="15">
        <v>203504</v>
      </c>
      <c r="O1213" s="17" cm="1">
        <f t="array" ref="O1213">(H1213-H1212)/H1212</f>
        <v>-0.0175854688494244</v>
      </c>
    </row>
    <row r="1214" ht="13.65" customHeight="1">
      <c r="A1214" s="18">
        <v>46008</v>
      </c>
      <c r="B1214" t="s" s="13">
        <v>22</v>
      </c>
      <c r="C1214" s="15">
        <v>170.09</v>
      </c>
      <c r="D1214" s="15">
        <v>171.3</v>
      </c>
      <c r="E1214" s="15">
        <v>169.66</v>
      </c>
      <c r="F1214" s="15">
        <v>169.83</v>
      </c>
      <c r="G1214" s="15">
        <v>170.29</v>
      </c>
      <c r="H1214" s="15">
        <v>170.34</v>
      </c>
      <c r="I1214" s="15">
        <v>170.28</v>
      </c>
      <c r="J1214" s="15">
        <v>186.94</v>
      </c>
      <c r="K1214" s="15">
        <v>122.62</v>
      </c>
      <c r="L1214" s="15">
        <v>11624504</v>
      </c>
      <c r="M1214" t="s" s="13">
        <v>8739</v>
      </c>
      <c r="N1214" s="15">
        <v>133540</v>
      </c>
      <c r="O1214" s="17" cm="1">
        <f t="array" ref="O1214">(H1214-H1213)/H1213</f>
        <v>0.003003003003003</v>
      </c>
    </row>
    <row r="1215" ht="13.65" customHeight="1">
      <c r="A1215" s="18">
        <v>46009</v>
      </c>
      <c r="B1215" t="s" s="13">
        <v>22</v>
      </c>
      <c r="C1215" s="15">
        <v>169.92</v>
      </c>
      <c r="D1215" s="15">
        <v>170.45</v>
      </c>
      <c r="E1215" s="15">
        <v>167.56</v>
      </c>
      <c r="F1215" s="15">
        <v>170.34</v>
      </c>
      <c r="G1215" s="15">
        <v>167.95</v>
      </c>
      <c r="H1215" s="15">
        <v>168.12</v>
      </c>
      <c r="I1215" s="15">
        <v>169.05</v>
      </c>
      <c r="J1215" s="15">
        <v>186.94</v>
      </c>
      <c r="K1215" s="15">
        <v>122.62</v>
      </c>
      <c r="L1215" s="15">
        <v>13152378</v>
      </c>
      <c r="M1215" t="s" s="13">
        <v>8740</v>
      </c>
      <c r="N1215" s="15">
        <v>129480</v>
      </c>
      <c r="O1215" s="17" cm="1">
        <f t="array" ref="O1215">(H1215-H1214)/H1214</f>
        <v>-0.013032758013385</v>
      </c>
    </row>
    <row r="1216" ht="13.65" customHeight="1">
      <c r="A1216" s="18">
        <v>46010</v>
      </c>
      <c r="B1216" t="s" s="13">
        <v>22</v>
      </c>
      <c r="C1216" s="15">
        <v>169.15</v>
      </c>
      <c r="D1216" s="15">
        <v>169.62</v>
      </c>
      <c r="E1216" s="15">
        <v>167.83</v>
      </c>
      <c r="F1216" s="15">
        <v>168.12</v>
      </c>
      <c r="G1216" s="15">
        <v>168.8</v>
      </c>
      <c r="H1216" s="15">
        <v>168.69</v>
      </c>
      <c r="I1216" s="15">
        <v>168.6</v>
      </c>
      <c r="J1216" s="15">
        <v>186.94</v>
      </c>
      <c r="K1216" s="15">
        <v>122.62</v>
      </c>
      <c r="L1216" s="15">
        <v>28448892</v>
      </c>
      <c r="M1216" t="s" s="13">
        <v>8741</v>
      </c>
      <c r="N1216" s="15">
        <v>145333</v>
      </c>
      <c r="O1216" s="17" cm="1">
        <f t="array" ref="O1216">(H1216-H1215)/H1215</f>
        <v>0.00339043540328337</v>
      </c>
    </row>
    <row r="1217" ht="13.65" customHeight="1">
      <c r="A1217" s="18">
        <v>46013</v>
      </c>
      <c r="B1217" t="s" s="13">
        <v>22</v>
      </c>
      <c r="C1217" s="15">
        <v>169.04</v>
      </c>
      <c r="D1217" s="15">
        <v>171.46</v>
      </c>
      <c r="E1217" s="15">
        <v>169</v>
      </c>
      <c r="F1217" s="15">
        <v>168.69</v>
      </c>
      <c r="G1217" s="15">
        <v>169.06</v>
      </c>
      <c r="H1217" s="15">
        <v>169.22</v>
      </c>
      <c r="I1217" s="15">
        <v>170</v>
      </c>
      <c r="J1217" s="15">
        <v>186.94</v>
      </c>
      <c r="K1217" s="15">
        <v>122.62</v>
      </c>
      <c r="L1217" s="15">
        <v>23729300</v>
      </c>
      <c r="M1217" t="s" s="13">
        <v>8742</v>
      </c>
      <c r="N1217" s="15">
        <v>168942</v>
      </c>
      <c r="O1217" s="17" cm="1">
        <f t="array" ref="O1217">(H1217-H1216)/H1216</f>
        <v>0.00314185784575256</v>
      </c>
    </row>
    <row r="1218" ht="13.65" customHeight="1">
      <c r="A1218" s="18">
        <v>46014</v>
      </c>
      <c r="B1218" t="s" s="13">
        <v>22</v>
      </c>
      <c r="C1218" s="15">
        <v>169.35</v>
      </c>
      <c r="D1218" s="15">
        <v>171.35</v>
      </c>
      <c r="E1218" s="15">
        <v>169.25</v>
      </c>
      <c r="F1218" s="15">
        <v>169.22</v>
      </c>
      <c r="G1218" s="15">
        <v>170.82</v>
      </c>
      <c r="H1218" s="15">
        <v>170.9</v>
      </c>
      <c r="I1218" s="15">
        <v>170.54</v>
      </c>
      <c r="J1218" s="15">
        <v>186.94</v>
      </c>
      <c r="K1218" s="15">
        <v>122.62</v>
      </c>
      <c r="L1218" s="15">
        <v>17348078</v>
      </c>
      <c r="M1218" t="s" s="13">
        <v>8743</v>
      </c>
      <c r="N1218" s="15">
        <v>129321</v>
      </c>
      <c r="O1218" s="17" cm="1">
        <f t="array" ref="O1218">(H1218-H1217)/H1217</f>
        <v>0.00992790450301383</v>
      </c>
    </row>
    <row r="1219" ht="13.65" customHeight="1">
      <c r="A1219" s="18">
        <v>46015</v>
      </c>
      <c r="B1219" t="s" s="13">
        <v>22</v>
      </c>
      <c r="C1219" s="15">
        <v>171.35</v>
      </c>
      <c r="D1219" s="15">
        <v>171.65</v>
      </c>
      <c r="E1219" s="15">
        <v>169.67</v>
      </c>
      <c r="F1219" s="15">
        <v>170.9</v>
      </c>
      <c r="G1219" s="15">
        <v>169.89</v>
      </c>
      <c r="H1219" s="15">
        <v>170.07</v>
      </c>
      <c r="I1219" s="15">
        <v>170.67</v>
      </c>
      <c r="J1219" s="15">
        <v>186.94</v>
      </c>
      <c r="K1219" s="15">
        <v>122.62</v>
      </c>
      <c r="L1219" s="15">
        <v>17430406</v>
      </c>
      <c r="M1219" t="s" s="13">
        <v>8744</v>
      </c>
      <c r="N1219" s="15">
        <v>100506</v>
      </c>
      <c r="O1219" s="17" cm="1">
        <f t="array" ref="O1219">(H1219-H1218)/H1218</f>
        <v>-0.00485664131070802</v>
      </c>
    </row>
    <row r="1220" ht="13.65" customHeight="1">
      <c r="A1220" s="18">
        <v>46017</v>
      </c>
      <c r="B1220" t="s" s="13">
        <v>22</v>
      </c>
      <c r="C1220" s="15">
        <v>169.89</v>
      </c>
      <c r="D1220" s="15">
        <v>169.9</v>
      </c>
      <c r="E1220" s="15">
        <v>167.82</v>
      </c>
      <c r="F1220" s="15">
        <v>170.07</v>
      </c>
      <c r="G1220" s="15">
        <v>169.05</v>
      </c>
      <c r="H1220" s="15">
        <v>169.12</v>
      </c>
      <c r="I1220" s="15">
        <v>168.71</v>
      </c>
      <c r="J1220" s="15">
        <v>186.94</v>
      </c>
      <c r="K1220" s="15">
        <v>122.62</v>
      </c>
      <c r="L1220" s="15">
        <v>16904834</v>
      </c>
      <c r="M1220" t="s" s="13">
        <v>8745</v>
      </c>
      <c r="N1220" s="15">
        <v>114915</v>
      </c>
      <c r="O1220" s="17" cm="1">
        <f t="array" ref="O1220">(H1220-H1219)/H1219</f>
        <v>-0.00558593520315164</v>
      </c>
    </row>
    <row r="1221" ht="13.65" customHeight="1">
      <c r="A1221" s="18">
        <v>46020</v>
      </c>
      <c r="B1221" t="s" s="13">
        <v>22</v>
      </c>
      <c r="C1221" s="15">
        <v>169.51</v>
      </c>
      <c r="D1221" s="15">
        <v>174.13</v>
      </c>
      <c r="E1221" s="15">
        <v>169.29</v>
      </c>
      <c r="F1221" s="15">
        <v>169.12</v>
      </c>
      <c r="G1221" s="15">
        <v>172.3</v>
      </c>
      <c r="H1221" s="15">
        <v>172.3</v>
      </c>
      <c r="I1221" s="15">
        <v>172.74</v>
      </c>
      <c r="J1221" s="15">
        <v>186.94</v>
      </c>
      <c r="K1221" s="15">
        <v>122.62</v>
      </c>
      <c r="L1221" s="15">
        <v>48001907</v>
      </c>
      <c r="M1221" t="s" s="13">
        <v>8746</v>
      </c>
      <c r="N1221" s="15">
        <v>201065</v>
      </c>
      <c r="O1221" s="17" cm="1">
        <f t="array" ref="O1221">(H1221-H1220)/H1220</f>
        <v>0.0188032166508988</v>
      </c>
    </row>
    <row r="1222" ht="13.65" customHeight="1">
      <c r="A1222" s="18">
        <v>46021</v>
      </c>
      <c r="B1222" t="s" s="13">
        <v>22</v>
      </c>
      <c r="C1222" s="15">
        <v>172.78</v>
      </c>
      <c r="D1222" s="15">
        <v>176.35</v>
      </c>
      <c r="E1222" s="15">
        <v>170.8</v>
      </c>
      <c r="F1222" s="15">
        <v>172.3</v>
      </c>
      <c r="G1222" s="15">
        <v>175.68</v>
      </c>
      <c r="H1222" s="15">
        <v>175.8</v>
      </c>
      <c r="I1222" s="15">
        <v>174.36</v>
      </c>
      <c r="J1222" s="15">
        <v>186.94</v>
      </c>
      <c r="K1222" s="15">
        <v>122.62</v>
      </c>
      <c r="L1222" s="15">
        <v>33741158</v>
      </c>
      <c r="M1222" t="s" s="13">
        <v>8747</v>
      </c>
      <c r="N1222" s="15">
        <v>211409</v>
      </c>
      <c r="O1222" s="17" cm="1">
        <f t="array" ref="O1222">(H1222-H1221)/H1221</f>
        <v>0.02031340684852</v>
      </c>
    </row>
    <row r="1223" ht="13.65" customHeight="1">
      <c r="A1223" s="18">
        <v>46022</v>
      </c>
      <c r="B1223" t="s" s="13">
        <v>22</v>
      </c>
      <c r="C1223" s="15">
        <v>180</v>
      </c>
      <c r="D1223" s="15">
        <v>181.4</v>
      </c>
      <c r="E1223" s="15">
        <v>178.5</v>
      </c>
      <c r="F1223" s="15">
        <v>175.8</v>
      </c>
      <c r="G1223" s="15">
        <v>179.93</v>
      </c>
      <c r="H1223" s="15">
        <v>180.08</v>
      </c>
      <c r="I1223" s="15">
        <v>180.1</v>
      </c>
      <c r="J1223" s="15">
        <v>186.94</v>
      </c>
      <c r="K1223" s="15">
        <v>122.62</v>
      </c>
      <c r="L1223" s="15">
        <v>50897201</v>
      </c>
      <c r="M1223" t="s" s="13">
        <v>8748</v>
      </c>
      <c r="N1223" s="15">
        <v>394423</v>
      </c>
      <c r="O1223" s="17" cm="1">
        <f t="array" ref="O1223">(H1223-H1222)/H1222</f>
        <v>0.0243458475540387</v>
      </c>
    </row>
    <row r="1224" ht="13.65" customHeight="1">
      <c r="A1224" s="12">
        <v>46023</v>
      </c>
      <c r="B1224" t="s" s="13">
        <v>22</v>
      </c>
      <c r="C1224" s="15">
        <v>180.6</v>
      </c>
      <c r="D1224" s="15">
        <v>182.2</v>
      </c>
      <c r="E1224" s="15">
        <v>180.2</v>
      </c>
      <c r="F1224" s="15">
        <v>180.08</v>
      </c>
      <c r="G1224" s="15">
        <v>181.74</v>
      </c>
      <c r="H1224" s="15">
        <v>181.89</v>
      </c>
      <c r="I1224" s="15">
        <v>181.32</v>
      </c>
      <c r="J1224" s="15">
        <v>186.94</v>
      </c>
      <c r="K1224" s="15">
        <v>122.62</v>
      </c>
      <c r="L1224" s="15">
        <v>21507757</v>
      </c>
      <c r="M1224" t="s" s="13">
        <v>8749</v>
      </c>
      <c r="N1224" s="15">
        <v>139910</v>
      </c>
      <c r="O1224" s="17" cm="1">
        <f t="array" ref="O1224">(H1224-H1223)/H1223</f>
        <v>0.0100510884051533</v>
      </c>
    </row>
    <row r="1225" ht="13.65" customHeight="1">
      <c r="A1225" s="12">
        <v>46024</v>
      </c>
      <c r="B1225" t="s" s="13">
        <v>22</v>
      </c>
      <c r="C1225" s="15">
        <v>182</v>
      </c>
      <c r="D1225" s="15">
        <v>183.85</v>
      </c>
      <c r="E1225" s="15">
        <v>181.6</v>
      </c>
      <c r="F1225" s="15">
        <v>181.89</v>
      </c>
      <c r="G1225" s="15">
        <v>182.8</v>
      </c>
      <c r="H1225" s="15">
        <v>182.88</v>
      </c>
      <c r="I1225" s="15">
        <v>182.93</v>
      </c>
      <c r="J1225" s="15">
        <v>186.94</v>
      </c>
      <c r="K1225" s="15">
        <v>122.62</v>
      </c>
      <c r="L1225" s="15">
        <v>23006840</v>
      </c>
      <c r="M1225" t="s" s="13">
        <v>8750</v>
      </c>
      <c r="N1225" s="15">
        <v>175683</v>
      </c>
      <c r="O1225" s="17" cm="1">
        <f t="array" ref="O1225">(H1225-H1224)/H1224</f>
        <v>0.00544285007422068</v>
      </c>
    </row>
    <row r="1226" ht="13.65" customHeight="1">
      <c r="A1226" s="12">
        <v>46027</v>
      </c>
      <c r="B1226" t="s" s="13">
        <v>22</v>
      </c>
      <c r="C1226" s="15">
        <v>182.88</v>
      </c>
      <c r="D1226" s="15">
        <v>186.89</v>
      </c>
      <c r="E1226" s="15">
        <v>182.87</v>
      </c>
      <c r="F1226" s="15">
        <v>182.88</v>
      </c>
      <c r="G1226" s="15">
        <v>185.73</v>
      </c>
      <c r="H1226" s="15">
        <v>185.72</v>
      </c>
      <c r="I1226" s="15">
        <v>185.36</v>
      </c>
      <c r="J1226" s="15">
        <v>186.94</v>
      </c>
      <c r="K1226" s="15">
        <v>122.62</v>
      </c>
      <c r="L1226" s="15">
        <v>30646009</v>
      </c>
      <c r="M1226" t="s" s="13">
        <v>8751</v>
      </c>
      <c r="N1226" s="15">
        <v>186230</v>
      </c>
      <c r="O1226" s="17" cm="1">
        <f t="array" ref="O1226">(H1226-H1225)/H1225</f>
        <v>0.0155293088363955</v>
      </c>
    </row>
    <row r="1227" ht="13.65" customHeight="1">
      <c r="A1227" s="12">
        <v>46028</v>
      </c>
      <c r="B1227" t="s" s="13">
        <v>22</v>
      </c>
      <c r="C1227" s="15">
        <v>186</v>
      </c>
      <c r="D1227" s="15">
        <v>187.85</v>
      </c>
      <c r="E1227" s="15">
        <v>184.47</v>
      </c>
      <c r="F1227" s="15">
        <v>185.72</v>
      </c>
      <c r="G1227" s="15">
        <v>186.32</v>
      </c>
      <c r="H1227" s="15">
        <v>186.2</v>
      </c>
      <c r="I1227" s="15">
        <v>186.48</v>
      </c>
      <c r="J1227" s="15">
        <v>187.85</v>
      </c>
      <c r="K1227" s="15">
        <v>122.62</v>
      </c>
      <c r="L1227" s="15">
        <v>28514282</v>
      </c>
      <c r="M1227" t="s" s="13">
        <v>8752</v>
      </c>
      <c r="N1227" s="15">
        <v>225277</v>
      </c>
      <c r="O1227" s="17" cm="1">
        <f t="array" ref="O1227">(H1227-H1226)/H1226</f>
        <v>0.00258453586043506</v>
      </c>
    </row>
    <row r="1228" ht="13.65" customHeight="1">
      <c r="A1228" s="12">
        <v>46029</v>
      </c>
      <c r="B1228" t="s" s="13">
        <v>22</v>
      </c>
      <c r="C1228" s="15">
        <v>186.2</v>
      </c>
      <c r="D1228" s="15">
        <v>186.65</v>
      </c>
      <c r="E1228" s="15">
        <v>182.9</v>
      </c>
      <c r="F1228" s="15">
        <v>186.2</v>
      </c>
      <c r="G1228" s="15">
        <v>183.55</v>
      </c>
      <c r="H1228" s="15">
        <v>183.8</v>
      </c>
      <c r="I1228" s="15">
        <v>184.27</v>
      </c>
      <c r="J1228" s="15">
        <v>187.85</v>
      </c>
      <c r="K1228" s="15">
        <v>122.62</v>
      </c>
      <c r="L1228" s="15">
        <v>18231588</v>
      </c>
      <c r="M1228" t="s" s="13">
        <v>8753</v>
      </c>
      <c r="N1228" s="15">
        <v>123638</v>
      </c>
      <c r="O1228" s="17" cm="1">
        <f t="array" ref="O1228">(H1228-H1227)/H1227</f>
        <v>-0.0128893662728249</v>
      </c>
    </row>
    <row r="1229" ht="13.65" customHeight="1">
      <c r="A1229" s="12">
        <v>46030</v>
      </c>
      <c r="B1229" t="s" s="13">
        <v>22</v>
      </c>
      <c r="C1229" s="15">
        <v>185.45</v>
      </c>
      <c r="D1229" s="15">
        <v>185.87</v>
      </c>
      <c r="E1229" s="15">
        <v>179.55</v>
      </c>
      <c r="F1229" s="15">
        <v>183.8</v>
      </c>
      <c r="G1229" s="15">
        <v>179.9</v>
      </c>
      <c r="H1229" s="15">
        <v>180.12</v>
      </c>
      <c r="I1229" s="15">
        <v>181.41</v>
      </c>
      <c r="J1229" s="15">
        <v>187.85</v>
      </c>
      <c r="K1229" s="15">
        <v>122.62</v>
      </c>
      <c r="L1229" s="15">
        <v>38454951</v>
      </c>
      <c r="M1229" t="s" s="13">
        <v>8754</v>
      </c>
      <c r="N1229" s="15">
        <v>200933</v>
      </c>
      <c r="O1229" s="17" cm="1">
        <f t="array" ref="O1229">(H1229-H1228)/H1228</f>
        <v>-0.0200217627856366</v>
      </c>
    </row>
    <row r="1230" ht="13.65" customHeight="1">
      <c r="A1230" s="12">
        <v>46031</v>
      </c>
      <c r="B1230" t="s" s="13">
        <v>22</v>
      </c>
      <c r="C1230" s="15">
        <v>179.05</v>
      </c>
      <c r="D1230" s="15">
        <v>181.5</v>
      </c>
      <c r="E1230" s="15">
        <v>177.33</v>
      </c>
      <c r="F1230" s="15">
        <v>180.12</v>
      </c>
      <c r="G1230" s="15">
        <v>178.5</v>
      </c>
      <c r="H1230" s="15">
        <v>178.4</v>
      </c>
      <c r="I1230" s="15">
        <v>179.22</v>
      </c>
      <c r="J1230" s="15">
        <v>187.85</v>
      </c>
      <c r="K1230" s="15">
        <v>122.62</v>
      </c>
      <c r="L1230" s="15">
        <v>25318701</v>
      </c>
      <c r="M1230" t="s" s="13">
        <v>8755</v>
      </c>
      <c r="N1230" s="15">
        <v>131450</v>
      </c>
      <c r="O1230" s="17" cm="1">
        <f t="array" ref="O1230">(H1230-H1229)/H1229</f>
        <v>-0.00954918942926938</v>
      </c>
    </row>
    <row r="1231" ht="13.65" customHeight="1">
      <c r="A1231" s="18">
        <v>46034</v>
      </c>
      <c r="B1231" t="s" s="13">
        <v>22</v>
      </c>
      <c r="C1231" s="15">
        <v>178.4</v>
      </c>
      <c r="D1231" s="15">
        <v>183.65</v>
      </c>
      <c r="E1231" s="15">
        <v>177.64</v>
      </c>
      <c r="F1231" s="15">
        <v>178.4</v>
      </c>
      <c r="G1231" s="15">
        <v>183.3</v>
      </c>
      <c r="H1231" s="15">
        <v>183.24</v>
      </c>
      <c r="I1231" s="15">
        <v>181</v>
      </c>
      <c r="J1231" s="15">
        <v>187.85</v>
      </c>
      <c r="K1231" s="15">
        <v>122.62</v>
      </c>
      <c r="L1231" s="15">
        <v>25782267</v>
      </c>
      <c r="M1231" t="s" s="13">
        <v>8756</v>
      </c>
      <c r="N1231" s="15">
        <v>207911</v>
      </c>
      <c r="O1231" s="17" cm="1">
        <f t="array" ref="O1231">(H1231-H1230)/H1230</f>
        <v>0.0271300448430493</v>
      </c>
    </row>
    <row r="1232" ht="13.65" customHeight="1">
      <c r="A1232" s="18">
        <v>46035</v>
      </c>
      <c r="B1232" t="s" s="13">
        <v>22</v>
      </c>
      <c r="C1232" s="15">
        <v>183.5</v>
      </c>
      <c r="D1232" s="15">
        <v>184.39</v>
      </c>
      <c r="E1232" s="15">
        <v>181.1</v>
      </c>
      <c r="F1232" s="15">
        <v>183.24</v>
      </c>
      <c r="G1232" s="15">
        <v>182.45</v>
      </c>
      <c r="H1232" s="15">
        <v>182.57</v>
      </c>
      <c r="I1232" s="15">
        <v>182.74</v>
      </c>
      <c r="J1232" s="15">
        <v>187.85</v>
      </c>
      <c r="K1232" s="15">
        <v>122.62</v>
      </c>
      <c r="L1232" s="15">
        <v>19155081</v>
      </c>
      <c r="M1232" t="s" s="13">
        <v>8757</v>
      </c>
      <c r="N1232" s="15">
        <v>128721</v>
      </c>
      <c r="O1232" s="17" cm="1">
        <f t="array" ref="O1232">(H1232-H1231)/H1231</f>
        <v>-0.00365640689805719</v>
      </c>
    </row>
    <row r="1233" ht="13.65" customHeight="1">
      <c r="A1233" s="18">
        <v>46036</v>
      </c>
      <c r="B1233" t="s" s="13">
        <v>22</v>
      </c>
      <c r="C1233" s="15">
        <v>182.57</v>
      </c>
      <c r="D1233" s="15">
        <v>190.65</v>
      </c>
      <c r="E1233" s="15">
        <v>181.66</v>
      </c>
      <c r="F1233" s="15">
        <v>182.57</v>
      </c>
      <c r="G1233" s="15">
        <v>189.35</v>
      </c>
      <c r="H1233" s="15">
        <v>189.25</v>
      </c>
      <c r="I1233" s="15">
        <v>188.13</v>
      </c>
      <c r="J1233" s="15">
        <v>190.65</v>
      </c>
      <c r="K1233" s="15">
        <v>122.62</v>
      </c>
      <c r="L1233" s="15">
        <v>55907778</v>
      </c>
      <c r="M1233" t="s" s="13">
        <v>8758</v>
      </c>
      <c r="N1233" s="15">
        <v>258123</v>
      </c>
      <c r="O1233" s="17" cm="1">
        <f t="array" ref="O1233">(H1233-H1232)/H1232</f>
        <v>0.0365887057019226</v>
      </c>
    </row>
    <row r="1234" ht="13.65" customHeight="1">
      <c r="A1234" s="18">
        <v>46038</v>
      </c>
      <c r="B1234" t="s" s="13">
        <v>22</v>
      </c>
      <c r="C1234" s="15">
        <v>190.05</v>
      </c>
      <c r="D1234" s="15">
        <v>191</v>
      </c>
      <c r="E1234" s="15">
        <v>187.31</v>
      </c>
      <c r="F1234" s="15">
        <v>189.25</v>
      </c>
      <c r="G1234" s="15">
        <v>188</v>
      </c>
      <c r="H1234" s="15">
        <v>188.21</v>
      </c>
      <c r="I1234" s="15">
        <v>189.04</v>
      </c>
      <c r="J1234" s="15">
        <v>191</v>
      </c>
      <c r="K1234" s="15">
        <v>122.62</v>
      </c>
      <c r="L1234" s="15">
        <v>26028519</v>
      </c>
      <c r="M1234" t="s" s="13">
        <v>8759</v>
      </c>
      <c r="N1234" s="15">
        <v>168803</v>
      </c>
      <c r="O1234" s="17" cm="1">
        <f t="array" ref="O1234">(H1234-H1233)/H1233</f>
        <v>-0.00549537648612946</v>
      </c>
    </row>
    <row r="1235" ht="13.65" customHeight="1">
      <c r="A1235" s="18">
        <v>46041</v>
      </c>
      <c r="B1235" t="s" s="13">
        <v>22</v>
      </c>
      <c r="C1235" s="15">
        <v>187.1</v>
      </c>
      <c r="D1235" s="15">
        <v>189.44</v>
      </c>
      <c r="E1235" s="15">
        <v>186.8</v>
      </c>
      <c r="F1235" s="15">
        <v>188.21</v>
      </c>
      <c r="G1235" s="15">
        <v>188</v>
      </c>
      <c r="H1235" s="15">
        <v>188.27</v>
      </c>
      <c r="I1235" s="15">
        <v>188.22</v>
      </c>
      <c r="J1235" s="15">
        <v>191</v>
      </c>
      <c r="K1235" s="15">
        <v>124.74</v>
      </c>
      <c r="L1235" s="15">
        <v>19709364</v>
      </c>
      <c r="M1235" t="s" s="13">
        <v>8760</v>
      </c>
      <c r="N1235" s="15">
        <v>189987</v>
      </c>
      <c r="O1235" s="17" cm="1">
        <f t="array" ref="O1235">(H1235-H1234)/H1234</f>
        <v>0.000318792837787578</v>
      </c>
    </row>
    <row r="1236" ht="13.65" customHeight="1">
      <c r="A1236" s="18">
        <v>46042</v>
      </c>
      <c r="B1236" t="s" s="13">
        <v>22</v>
      </c>
      <c r="C1236" s="15">
        <v>188.27</v>
      </c>
      <c r="D1236" s="15">
        <v>190</v>
      </c>
      <c r="E1236" s="15">
        <v>183.03</v>
      </c>
      <c r="F1236" s="15">
        <v>188.27</v>
      </c>
      <c r="G1236" s="15">
        <v>183.68</v>
      </c>
      <c r="H1236" s="15">
        <v>183.56</v>
      </c>
      <c r="I1236" s="15">
        <v>185.8</v>
      </c>
      <c r="J1236" s="15">
        <v>191</v>
      </c>
      <c r="K1236" s="15">
        <v>124.74</v>
      </c>
      <c r="L1236" s="15">
        <v>20094927</v>
      </c>
      <c r="M1236" t="s" s="13">
        <v>8761</v>
      </c>
      <c r="N1236" s="15">
        <v>176293</v>
      </c>
      <c r="O1236" s="17" cm="1">
        <f t="array" ref="O1236">(H1236-H1235)/H1235</f>
        <v>-0.0250172624422372</v>
      </c>
    </row>
    <row r="1237" ht="13.65" customHeight="1">
      <c r="A1237" s="18">
        <v>46043</v>
      </c>
      <c r="B1237" t="s" s="13">
        <v>22</v>
      </c>
      <c r="C1237" s="15">
        <v>183.56</v>
      </c>
      <c r="D1237" s="15">
        <v>185.71</v>
      </c>
      <c r="E1237" s="15">
        <v>180.88</v>
      </c>
      <c r="F1237" s="15">
        <v>183.56</v>
      </c>
      <c r="G1237" s="15">
        <v>184.5</v>
      </c>
      <c r="H1237" s="15">
        <v>184.41</v>
      </c>
      <c r="I1237" s="15">
        <v>183.43</v>
      </c>
      <c r="J1237" s="15">
        <v>191</v>
      </c>
      <c r="K1237" s="15">
        <v>124.74</v>
      </c>
      <c r="L1237" s="15">
        <v>35037961</v>
      </c>
      <c r="M1237" t="s" s="13">
        <v>8762</v>
      </c>
      <c r="N1237" s="15">
        <v>214852</v>
      </c>
      <c r="O1237" s="17" cm="1">
        <f t="array" ref="O1237">(H1237-H1236)/H1236</f>
        <v>0.0046306384833297</v>
      </c>
    </row>
    <row r="1238" ht="13.65" customHeight="1">
      <c r="A1238" s="18">
        <v>46044</v>
      </c>
      <c r="B1238" t="s" s="13">
        <v>22</v>
      </c>
      <c r="C1238" s="15">
        <v>185.89</v>
      </c>
      <c r="D1238" s="15">
        <v>189.99</v>
      </c>
      <c r="E1238" s="15">
        <v>185.79</v>
      </c>
      <c r="F1238" s="15">
        <v>184.41</v>
      </c>
      <c r="G1238" s="15">
        <v>189.4</v>
      </c>
      <c r="H1238" s="15">
        <v>189.1</v>
      </c>
      <c r="I1238" s="15">
        <v>188.41</v>
      </c>
      <c r="J1238" s="15">
        <v>191</v>
      </c>
      <c r="K1238" s="15">
        <v>124.74</v>
      </c>
      <c r="L1238" s="15">
        <v>35681682</v>
      </c>
      <c r="M1238" t="s" s="13">
        <v>8763</v>
      </c>
      <c r="N1238" s="15">
        <v>241558</v>
      </c>
      <c r="O1238" s="17" cm="1">
        <f t="array" ref="O1238">(H1238-H1237)/H1237</f>
        <v>0.0254324602787268</v>
      </c>
    </row>
    <row r="1239" ht="13.65" customHeight="1">
      <c r="A1239" s="18">
        <v>46045</v>
      </c>
      <c r="B1239" t="s" s="13">
        <v>22</v>
      </c>
      <c r="C1239" s="15">
        <v>190.5</v>
      </c>
      <c r="D1239" s="15">
        <v>192.4</v>
      </c>
      <c r="E1239" s="15">
        <v>187.27</v>
      </c>
      <c r="F1239" s="15">
        <v>189.1</v>
      </c>
      <c r="G1239" s="15">
        <v>187.6</v>
      </c>
      <c r="H1239" s="15">
        <v>187.61</v>
      </c>
      <c r="I1239" s="15">
        <v>189.81</v>
      </c>
      <c r="J1239" s="15">
        <v>192.4</v>
      </c>
      <c r="K1239" s="15">
        <v>124.74</v>
      </c>
      <c r="L1239" s="15">
        <v>28492706</v>
      </c>
      <c r="M1239" t="s" s="13">
        <v>8764</v>
      </c>
      <c r="N1239" s="15">
        <v>164985</v>
      </c>
      <c r="O1239" s="17" cm="1">
        <f t="array" ref="O1239">(H1239-H1238)/H1238</f>
        <v>-0.00787942887361185</v>
      </c>
    </row>
    <row r="1240" ht="13.65" customHeight="1">
      <c r="A1240" s="18">
        <v>46049</v>
      </c>
      <c r="B1240" t="s" s="13">
        <v>22</v>
      </c>
      <c r="C1240" s="15">
        <v>189.67</v>
      </c>
      <c r="D1240" s="15">
        <v>193.14</v>
      </c>
      <c r="E1240" s="15">
        <v>187.72</v>
      </c>
      <c r="F1240" s="15">
        <v>187.61</v>
      </c>
      <c r="G1240" s="15">
        <v>193.1</v>
      </c>
      <c r="H1240" s="15">
        <v>192.28</v>
      </c>
      <c r="I1240" s="15">
        <v>190.97</v>
      </c>
      <c r="J1240" s="15">
        <v>193.14</v>
      </c>
      <c r="K1240" s="15">
        <v>124.74</v>
      </c>
      <c r="L1240" s="15">
        <v>42314287</v>
      </c>
      <c r="M1240" t="s" s="13">
        <v>8765</v>
      </c>
      <c r="N1240" s="15">
        <v>261478</v>
      </c>
      <c r="O1240" s="17" cm="1">
        <f t="array" ref="O1240">(H1240-H1239)/H1239</f>
        <v>0.0248920633228506</v>
      </c>
    </row>
    <row r="1241" ht="13.65" customHeight="1">
      <c r="A1241" s="18">
        <v>46050</v>
      </c>
      <c r="B1241" t="s" s="13">
        <v>22</v>
      </c>
      <c r="C1241" s="15">
        <v>193.49</v>
      </c>
      <c r="D1241" s="15">
        <v>195.2</v>
      </c>
      <c r="E1241" s="15">
        <v>192.1</v>
      </c>
      <c r="F1241" s="15">
        <v>192.28</v>
      </c>
      <c r="G1241" s="15">
        <v>193.85</v>
      </c>
      <c r="H1241" s="15">
        <v>193.85</v>
      </c>
      <c r="I1241" s="15">
        <v>193.79</v>
      </c>
      <c r="J1241" s="15">
        <v>195.2</v>
      </c>
      <c r="K1241" s="15">
        <v>124.74</v>
      </c>
      <c r="L1241" s="15">
        <v>33310718</v>
      </c>
      <c r="M1241" t="s" s="13">
        <v>8766</v>
      </c>
      <c r="N1241" s="15">
        <v>193731</v>
      </c>
      <c r="O1241" s="17" cm="1">
        <f t="array" ref="O1241">(H1241-H1240)/H1240</f>
        <v>0.008165175785313091</v>
      </c>
    </row>
    <row r="1242" ht="13.65" customHeight="1">
      <c r="A1242" s="18">
        <v>46051</v>
      </c>
      <c r="B1242" t="s" s="13">
        <v>22</v>
      </c>
      <c r="C1242" s="15">
        <v>194.45</v>
      </c>
      <c r="D1242" s="15">
        <v>202.99</v>
      </c>
      <c r="E1242" s="15">
        <v>194.11</v>
      </c>
      <c r="F1242" s="15">
        <v>193.85</v>
      </c>
      <c r="G1242" s="15">
        <v>202.55</v>
      </c>
      <c r="H1242" s="15">
        <v>202.32</v>
      </c>
      <c r="I1242" s="15">
        <v>199.08</v>
      </c>
      <c r="J1242" s="15">
        <v>202.99</v>
      </c>
      <c r="K1242" s="15">
        <v>124.74</v>
      </c>
      <c r="L1242" s="15">
        <v>60610904</v>
      </c>
      <c r="M1242" t="s" s="13">
        <v>8767</v>
      </c>
      <c r="N1242" s="15">
        <v>316667</v>
      </c>
      <c r="O1242" s="17" cm="1">
        <f t="array" ref="O1242">(H1242-H1241)/H1241</f>
        <v>0.0436935775083828</v>
      </c>
    </row>
    <row r="1243" ht="13.65" customHeight="1">
      <c r="A1243" s="18">
        <v>46052</v>
      </c>
      <c r="B1243" t="s" s="13">
        <v>22</v>
      </c>
      <c r="C1243" s="15">
        <v>198.55</v>
      </c>
      <c r="D1243" s="15">
        <v>199</v>
      </c>
      <c r="E1243" s="15">
        <v>190.63</v>
      </c>
      <c r="F1243" s="15">
        <v>202.32</v>
      </c>
      <c r="G1243" s="15">
        <v>192.58</v>
      </c>
      <c r="H1243" s="15">
        <v>193.13</v>
      </c>
      <c r="I1243" s="15">
        <v>193.36</v>
      </c>
      <c r="J1243" s="15">
        <v>202.99</v>
      </c>
      <c r="K1243" s="15">
        <v>124.74</v>
      </c>
      <c r="L1243" s="15">
        <v>52262849</v>
      </c>
      <c r="M1243" t="s" s="13">
        <v>8768</v>
      </c>
      <c r="N1243" s="15">
        <v>345064</v>
      </c>
      <c r="O1243" s="17" cm="1">
        <f t="array" ref="O1243">(H1243-H1242)/H1242</f>
        <v>-0.0454230921312772</v>
      </c>
    </row>
    <row r="1244" ht="13.65" customHeight="1">
      <c r="A1244" s="12">
        <v>46054</v>
      </c>
      <c r="B1244" t="s" s="13">
        <v>22</v>
      </c>
      <c r="C1244" s="15">
        <v>188.81</v>
      </c>
      <c r="D1244" s="15">
        <v>193.76</v>
      </c>
      <c r="E1244" s="15">
        <v>184.26</v>
      </c>
      <c r="F1244" s="15">
        <v>193.13</v>
      </c>
      <c r="G1244" s="15">
        <v>185.9</v>
      </c>
      <c r="H1244" s="15">
        <v>185.38</v>
      </c>
      <c r="I1244" s="15">
        <v>188.92</v>
      </c>
      <c r="J1244" s="15">
        <v>202.99</v>
      </c>
      <c r="K1244" s="15">
        <v>124.74</v>
      </c>
      <c r="L1244" s="15">
        <v>26527491</v>
      </c>
      <c r="M1244" t="s" s="13">
        <v>8769</v>
      </c>
      <c r="N1244" s="15">
        <v>168621</v>
      </c>
      <c r="O1244" s="17" cm="1">
        <f t="array" ref="O1244">(H1244-H1243)/H1243</f>
        <v>-0.0401284109149278</v>
      </c>
    </row>
    <row r="1245" ht="13.65" customHeight="1">
      <c r="A1245" s="12">
        <v>46055</v>
      </c>
      <c r="B1245" t="s" s="13">
        <v>22</v>
      </c>
      <c r="C1245" s="15">
        <v>185.38</v>
      </c>
      <c r="D1245" s="15">
        <v>189</v>
      </c>
      <c r="E1245" s="15">
        <v>182.55</v>
      </c>
      <c r="F1245" s="15">
        <v>185.38</v>
      </c>
      <c r="G1245" s="15">
        <v>188.72</v>
      </c>
      <c r="H1245" s="15">
        <v>188.51</v>
      </c>
      <c r="I1245" s="15">
        <v>185.46</v>
      </c>
      <c r="J1245" s="15">
        <v>202.99</v>
      </c>
      <c r="K1245" s="15">
        <v>125.3</v>
      </c>
      <c r="L1245" s="15">
        <v>25601945</v>
      </c>
      <c r="M1245" t="s" s="13">
        <v>8770</v>
      </c>
      <c r="N1245" s="15">
        <v>198785</v>
      </c>
      <c r="O1245" s="17" cm="1">
        <f t="array" ref="O1245">(H1245-H1244)/H1244</f>
        <v>0.0168842377818535</v>
      </c>
    </row>
    <row r="1246" ht="13.65" customHeight="1">
      <c r="A1246" s="12">
        <v>46056</v>
      </c>
      <c r="B1246" t="s" s="13">
        <v>22</v>
      </c>
      <c r="C1246" s="15">
        <v>193.58</v>
      </c>
      <c r="D1246" s="15">
        <v>199</v>
      </c>
      <c r="E1246" s="15">
        <v>191.51</v>
      </c>
      <c r="F1246" s="15">
        <v>188.51</v>
      </c>
      <c r="G1246" s="15">
        <v>193.22</v>
      </c>
      <c r="H1246" s="15">
        <v>192.93</v>
      </c>
      <c r="I1246" s="15">
        <v>193.35</v>
      </c>
      <c r="J1246" s="15">
        <v>202.99</v>
      </c>
      <c r="K1246" s="15">
        <v>125.3</v>
      </c>
      <c r="L1246" s="15">
        <v>28467895</v>
      </c>
      <c r="M1246" t="s" s="13">
        <v>8771</v>
      </c>
      <c r="N1246" s="15">
        <v>224311</v>
      </c>
      <c r="O1246" s="17" cm="1">
        <f t="array" ref="O1246">(H1246-H1245)/H1245</f>
        <v>0.023447031987693</v>
      </c>
    </row>
    <row r="1247" ht="13.65" customHeight="1">
      <c r="A1247" s="12">
        <v>46057</v>
      </c>
      <c r="B1247" t="s" s="13">
        <v>22</v>
      </c>
      <c r="C1247" s="15">
        <v>193.99</v>
      </c>
      <c r="D1247" s="15">
        <v>196.14</v>
      </c>
      <c r="E1247" s="15">
        <v>193.45</v>
      </c>
      <c r="F1247" s="15">
        <v>192.93</v>
      </c>
      <c r="G1247" s="15">
        <v>195.2</v>
      </c>
      <c r="H1247" s="15">
        <v>195.4</v>
      </c>
      <c r="I1247" s="15">
        <v>195.32</v>
      </c>
      <c r="J1247" s="15">
        <v>202.99</v>
      </c>
      <c r="K1247" s="15">
        <v>125.3</v>
      </c>
      <c r="L1247" s="15">
        <v>13859145</v>
      </c>
      <c r="M1247" t="s" s="13">
        <v>8772</v>
      </c>
      <c r="N1247" s="15">
        <v>119088</v>
      </c>
      <c r="O1247" s="17" cm="1">
        <f t="array" ref="O1247">(H1247-H1246)/H1246</f>
        <v>0.0128025708806303</v>
      </c>
    </row>
    <row r="1248" ht="13.65" customHeight="1">
      <c r="A1248" s="12">
        <v>46058</v>
      </c>
      <c r="B1248" t="s" s="13">
        <v>22</v>
      </c>
      <c r="C1248" s="15">
        <v>193</v>
      </c>
      <c r="D1248" s="15">
        <v>198.41</v>
      </c>
      <c r="E1248" s="15">
        <v>191.52</v>
      </c>
      <c r="F1248" s="15">
        <v>195.4</v>
      </c>
      <c r="G1248" s="15">
        <v>197.6</v>
      </c>
      <c r="H1248" s="15">
        <v>197.76</v>
      </c>
      <c r="I1248" s="15">
        <v>196.07</v>
      </c>
      <c r="J1248" s="15">
        <v>202.99</v>
      </c>
      <c r="K1248" s="15">
        <v>125.3</v>
      </c>
      <c r="L1248" s="15">
        <v>31293689</v>
      </c>
      <c r="M1248" t="s" s="13">
        <v>8773</v>
      </c>
      <c r="N1248" s="15">
        <v>176478</v>
      </c>
      <c r="O1248" s="17" cm="1">
        <f t="array" ref="O1248">(H1248-H1247)/H1247</f>
        <v>0.0120777891504606</v>
      </c>
    </row>
    <row r="1249" ht="13.65" customHeight="1">
      <c r="A1249" s="12">
        <v>46059</v>
      </c>
      <c r="B1249" t="s" s="13">
        <v>22</v>
      </c>
      <c r="C1249" s="15">
        <v>197.6</v>
      </c>
      <c r="D1249" s="15">
        <v>197.6</v>
      </c>
      <c r="E1249" s="15">
        <v>194.37</v>
      </c>
      <c r="F1249" s="15">
        <v>197.76</v>
      </c>
      <c r="G1249" s="15">
        <v>196.51</v>
      </c>
      <c r="H1249" s="15">
        <v>197.06</v>
      </c>
      <c r="I1249" s="15">
        <v>196.14</v>
      </c>
      <c r="J1249" s="15">
        <v>202.99</v>
      </c>
      <c r="K1249" s="15">
        <v>125.3</v>
      </c>
      <c r="L1249" s="15">
        <v>18446912</v>
      </c>
      <c r="M1249" t="s" s="13">
        <v>8774</v>
      </c>
      <c r="N1249" s="15">
        <v>139018</v>
      </c>
      <c r="O1249" s="17" cm="1">
        <f t="array" ref="O1249">(H1249-H1248)/H1248</f>
        <v>-0.00353964401294498</v>
      </c>
    </row>
    <row r="1250" ht="13.65" customHeight="1">
      <c r="A1250" s="12">
        <v>46062</v>
      </c>
      <c r="B1250" t="s" s="13">
        <v>22</v>
      </c>
      <c r="C1250" s="15">
        <v>202</v>
      </c>
      <c r="D1250" s="15">
        <v>206.34</v>
      </c>
      <c r="E1250" s="15">
        <v>197.55</v>
      </c>
      <c r="F1250" s="15">
        <v>197.06</v>
      </c>
      <c r="G1250" s="15">
        <v>201.36</v>
      </c>
      <c r="H1250" s="15">
        <v>202</v>
      </c>
      <c r="I1250" s="15">
        <v>201.81</v>
      </c>
      <c r="J1250" s="15">
        <v>206.34</v>
      </c>
      <c r="K1250" s="15">
        <v>125.3</v>
      </c>
      <c r="L1250" s="15">
        <v>68967709</v>
      </c>
      <c r="M1250" t="s" s="13">
        <v>8775</v>
      </c>
      <c r="N1250" s="15">
        <v>316523</v>
      </c>
      <c r="O1250" s="17" cm="1">
        <f t="array" ref="O1250">(H1250-H1249)/H1249</f>
        <v>0.0250685070536892</v>
      </c>
    </row>
    <row r="1251" ht="13.65" customHeight="1">
      <c r="A1251" s="18">
        <v>46063</v>
      </c>
      <c r="B1251" t="s" s="13">
        <v>22</v>
      </c>
      <c r="C1251" s="15">
        <v>202.99</v>
      </c>
      <c r="D1251" s="15">
        <v>211.1</v>
      </c>
      <c r="E1251" s="15">
        <v>201.08</v>
      </c>
      <c r="F1251" s="15">
        <v>202</v>
      </c>
      <c r="G1251" s="15">
        <v>207.85</v>
      </c>
      <c r="H1251" s="15">
        <v>208.01</v>
      </c>
      <c r="I1251" s="15">
        <v>207.7</v>
      </c>
      <c r="J1251" s="15">
        <v>211.1</v>
      </c>
      <c r="K1251" s="15">
        <v>125.3</v>
      </c>
      <c r="L1251" s="15">
        <v>82443790</v>
      </c>
      <c r="M1251" t="s" s="13">
        <v>8776</v>
      </c>
      <c r="N1251" s="15">
        <v>358715</v>
      </c>
      <c r="O1251" s="17" cm="1">
        <f t="array" ref="O1251">(H1251-H1250)/H1250</f>
        <v>0.0297524752475248</v>
      </c>
    </row>
    <row r="1252" ht="13.65" customHeight="1">
      <c r="A1252" s="18">
        <v>46064</v>
      </c>
      <c r="B1252" t="s" s="13">
        <v>22</v>
      </c>
      <c r="C1252" s="15">
        <v>209.4</v>
      </c>
      <c r="D1252" s="15">
        <v>210.25</v>
      </c>
      <c r="E1252" s="15">
        <v>205.3</v>
      </c>
      <c r="F1252" s="15">
        <v>208.01</v>
      </c>
      <c r="G1252" s="15">
        <v>207.6</v>
      </c>
      <c r="H1252" s="15">
        <v>207.59</v>
      </c>
      <c r="I1252" s="15">
        <v>207.81</v>
      </c>
      <c r="J1252" s="15">
        <v>211.1</v>
      </c>
      <c r="K1252" s="15">
        <v>125.3</v>
      </c>
      <c r="L1252" s="15">
        <v>40897457</v>
      </c>
      <c r="M1252" t="s" s="13">
        <v>8777</v>
      </c>
      <c r="N1252" s="15">
        <v>240358</v>
      </c>
      <c r="O1252" s="17" cm="1">
        <f t="array" ref="O1252">(H1252-H1251)/H1251</f>
        <v>-0.00201913369549541</v>
      </c>
    </row>
    <row r="1253" ht="13.65" customHeight="1">
      <c r="A1253" s="18">
        <v>46065</v>
      </c>
      <c r="B1253" t="s" s="13">
        <v>22</v>
      </c>
      <c r="C1253" s="15">
        <v>208</v>
      </c>
      <c r="D1253" s="15">
        <v>210.39</v>
      </c>
      <c r="E1253" s="15">
        <v>206.2</v>
      </c>
      <c r="F1253" s="15">
        <v>207.59</v>
      </c>
      <c r="G1253" s="15">
        <v>207.98</v>
      </c>
      <c r="H1253" s="15">
        <v>208.11</v>
      </c>
      <c r="I1253" s="15">
        <v>208.7</v>
      </c>
      <c r="J1253" s="15">
        <v>211.1</v>
      </c>
      <c r="K1253" s="15">
        <v>125.3</v>
      </c>
      <c r="L1253" s="15">
        <v>24109860</v>
      </c>
      <c r="M1253" t="s" s="13">
        <v>8778</v>
      </c>
      <c r="N1253" s="15">
        <v>178105</v>
      </c>
      <c r="O1253" s="17" cm="1">
        <f t="array" ref="O1253">(H1253-H1252)/H1252</f>
        <v>0.00250493761741895</v>
      </c>
    </row>
    <row r="1254" ht="13.65" customHeight="1">
      <c r="A1254" s="18">
        <v>46066</v>
      </c>
      <c r="B1254" t="s" s="13">
        <v>22</v>
      </c>
      <c r="C1254" s="15">
        <v>206.59</v>
      </c>
      <c r="D1254" s="15">
        <v>206.85</v>
      </c>
      <c r="E1254" s="15">
        <v>202.56</v>
      </c>
      <c r="F1254" s="15">
        <v>208.11</v>
      </c>
      <c r="G1254" s="15">
        <v>202.98</v>
      </c>
      <c r="H1254" s="15">
        <v>203.18</v>
      </c>
      <c r="I1254" s="15">
        <v>204.55</v>
      </c>
      <c r="J1254" s="15">
        <v>211.1</v>
      </c>
      <c r="K1254" s="15">
        <v>125.3</v>
      </c>
      <c r="L1254" s="15">
        <v>25870923</v>
      </c>
      <c r="M1254" t="s" s="13">
        <v>8779</v>
      </c>
      <c r="N1254" s="15">
        <v>251120</v>
      </c>
      <c r="O1254" s="17" cm="1">
        <f t="array" ref="O1254">(H1254-H1253)/H1253</f>
        <v>-0.0236893950314737</v>
      </c>
    </row>
    <row r="1255" ht="13.65" customHeight="1">
      <c r="A1255" s="18">
        <v>46069</v>
      </c>
      <c r="B1255" t="s" s="13">
        <v>22</v>
      </c>
      <c r="C1255" s="15">
        <v>201</v>
      </c>
      <c r="D1255" s="15">
        <v>206.12</v>
      </c>
      <c r="E1255" s="15">
        <v>200.55</v>
      </c>
      <c r="F1255" s="15">
        <v>203.18</v>
      </c>
      <c r="G1255" s="15">
        <v>205.5</v>
      </c>
      <c r="H1255" s="15">
        <v>205.81</v>
      </c>
      <c r="I1255" s="15">
        <v>204.22</v>
      </c>
      <c r="J1255" s="15">
        <v>211.1</v>
      </c>
      <c r="K1255" s="15">
        <v>125.3</v>
      </c>
      <c r="L1255" s="15">
        <v>17932490</v>
      </c>
      <c r="M1255" t="s" s="13">
        <v>8780</v>
      </c>
      <c r="N1255" s="15">
        <v>143647</v>
      </c>
      <c r="O1255" s="17" cm="1">
        <f t="array" ref="O1255">(H1255-H1254)/H1254</f>
        <v>0.0129441874200217</v>
      </c>
    </row>
    <row r="1256" ht="13.65" customHeight="1">
      <c r="A1256" s="18">
        <v>46070</v>
      </c>
      <c r="B1256" t="s" s="13">
        <v>22</v>
      </c>
      <c r="C1256" s="15">
        <v>205.5</v>
      </c>
      <c r="D1256" s="15">
        <v>205.8</v>
      </c>
      <c r="E1256" s="15">
        <v>201.66</v>
      </c>
      <c r="F1256" s="15">
        <v>205.81</v>
      </c>
      <c r="G1256" s="15">
        <v>202.89</v>
      </c>
      <c r="H1256" s="15">
        <v>203.08</v>
      </c>
      <c r="I1256" s="15">
        <v>203.13</v>
      </c>
      <c r="J1256" s="15">
        <v>211.1</v>
      </c>
      <c r="K1256" s="15">
        <v>125.3</v>
      </c>
      <c r="L1256" s="15">
        <v>18506676</v>
      </c>
      <c r="M1256" t="s" s="13">
        <v>8781</v>
      </c>
      <c r="N1256" s="15">
        <v>169300</v>
      </c>
      <c r="O1256" s="17" cm="1">
        <f t="array" ref="O1256">(H1256-H1255)/H1255</f>
        <v>-0.0132646615810699</v>
      </c>
    </row>
    <row r="1257" ht="13.65" customHeight="1">
      <c r="A1257" s="18">
        <v>46071</v>
      </c>
      <c r="B1257" t="s" s="13">
        <v>22</v>
      </c>
      <c r="C1257" s="15">
        <v>203.55</v>
      </c>
      <c r="D1257" s="15">
        <v>209.7</v>
      </c>
      <c r="E1257" s="15">
        <v>203.55</v>
      </c>
      <c r="F1257" s="15">
        <v>203.08</v>
      </c>
      <c r="G1257" s="15">
        <v>208.85</v>
      </c>
      <c r="H1257" s="15">
        <v>209.03</v>
      </c>
      <c r="I1257" s="15">
        <v>208.27</v>
      </c>
      <c r="J1257" s="15">
        <v>211.1</v>
      </c>
      <c r="K1257" s="15">
        <v>125.3</v>
      </c>
      <c r="L1257" s="15">
        <v>48357001</v>
      </c>
      <c r="M1257" t="s" s="13">
        <v>8782</v>
      </c>
      <c r="N1257" s="15">
        <v>281431</v>
      </c>
      <c r="O1257" s="17" cm="1">
        <f t="array" ref="O1257">(H1257-H1256)/H1256</f>
        <v>0.029298798503053</v>
      </c>
    </row>
    <row r="1258" ht="13.65" customHeight="1">
      <c r="A1258" s="18">
        <v>46072</v>
      </c>
      <c r="B1258" t="s" s="13">
        <v>22</v>
      </c>
      <c r="C1258" s="15">
        <v>211</v>
      </c>
      <c r="D1258" s="15">
        <v>211.39</v>
      </c>
      <c r="E1258" s="15">
        <v>204.25</v>
      </c>
      <c r="F1258" s="15">
        <v>209.03</v>
      </c>
      <c r="G1258" s="15">
        <v>205.2</v>
      </c>
      <c r="H1258" s="15">
        <v>205.41</v>
      </c>
      <c r="I1258" s="15">
        <v>207.94</v>
      </c>
      <c r="J1258" s="15">
        <v>211.39</v>
      </c>
      <c r="K1258" s="15">
        <v>125.3</v>
      </c>
      <c r="L1258" s="15">
        <v>27749813</v>
      </c>
      <c r="M1258" t="s" s="13">
        <v>8783</v>
      </c>
      <c r="N1258" s="15">
        <v>167326</v>
      </c>
      <c r="O1258" s="17" cm="1">
        <f t="array" ref="O1258">(H1258-H1257)/H1257</f>
        <v>-0.0173180883126824</v>
      </c>
    </row>
    <row r="1259" ht="13.65" customHeight="1">
      <c r="A1259" s="18">
        <v>46073</v>
      </c>
      <c r="B1259" t="s" s="13">
        <v>22</v>
      </c>
      <c r="C1259" s="15">
        <v>206.41</v>
      </c>
      <c r="D1259" s="15">
        <v>209.3</v>
      </c>
      <c r="E1259" s="15">
        <v>204.73</v>
      </c>
      <c r="F1259" s="15">
        <v>205.41</v>
      </c>
      <c r="G1259" s="15">
        <v>208.21</v>
      </c>
      <c r="H1259" s="15">
        <v>208.36</v>
      </c>
      <c r="I1259" s="15">
        <v>207.84</v>
      </c>
      <c r="J1259" s="15">
        <v>211.39</v>
      </c>
      <c r="K1259" s="15">
        <v>125.3</v>
      </c>
      <c r="L1259" s="15">
        <v>26605844</v>
      </c>
      <c r="M1259" t="s" s="13">
        <v>8784</v>
      </c>
      <c r="N1259" s="15">
        <v>181893</v>
      </c>
      <c r="O1259" s="17" cm="1">
        <f t="array" ref="O1259">(H1259-H1258)/H1258</f>
        <v>0.0143615208607176</v>
      </c>
    </row>
    <row r="1260" ht="13.65" customHeight="1">
      <c r="A1260" s="18">
        <v>46076</v>
      </c>
      <c r="B1260" t="s" s="13">
        <v>22</v>
      </c>
      <c r="C1260" s="15">
        <v>210</v>
      </c>
      <c r="D1260" s="15">
        <v>210.1</v>
      </c>
      <c r="E1260" s="15">
        <v>205.5</v>
      </c>
      <c r="F1260" s="15">
        <v>208.36</v>
      </c>
      <c r="G1260" s="15">
        <v>208</v>
      </c>
      <c r="H1260" s="15">
        <v>208.14</v>
      </c>
      <c r="I1260" s="15">
        <v>207.8</v>
      </c>
      <c r="J1260" s="15">
        <v>211.39</v>
      </c>
      <c r="K1260" s="15">
        <v>125.3</v>
      </c>
      <c r="L1260" s="15">
        <v>23377191</v>
      </c>
      <c r="M1260" t="s" s="13">
        <v>8785</v>
      </c>
      <c r="N1260" s="15">
        <v>155021</v>
      </c>
      <c r="O1260" s="17" cm="1">
        <f t="array" ref="O1260">(H1260-H1259)/H1259</f>
        <v>-0.00105586484929929</v>
      </c>
    </row>
    <row r="1261" ht="13.65" customHeight="1">
      <c r="A1261" s="18">
        <v>46077</v>
      </c>
      <c r="B1261" t="s" s="13">
        <v>22</v>
      </c>
      <c r="C1261" s="15">
        <v>207.21</v>
      </c>
      <c r="D1261" s="15">
        <v>209.54</v>
      </c>
      <c r="E1261" s="15">
        <v>206.75</v>
      </c>
      <c r="F1261" s="15">
        <v>208.14</v>
      </c>
      <c r="G1261" s="15">
        <v>209</v>
      </c>
      <c r="H1261" s="15">
        <v>209.13</v>
      </c>
      <c r="I1261" s="15">
        <v>208.58</v>
      </c>
      <c r="J1261" s="15">
        <v>211.39</v>
      </c>
      <c r="K1261" s="15">
        <v>125.3</v>
      </c>
      <c r="L1261" s="15">
        <v>23413086</v>
      </c>
      <c r="M1261" t="s" s="13">
        <v>8786</v>
      </c>
      <c r="N1261" s="15">
        <v>191819</v>
      </c>
      <c r="O1261" s="17" cm="1">
        <f t="array" ref="O1261">(H1261-H1260)/H1260</f>
        <v>0.00475641395214759</v>
      </c>
    </row>
    <row r="1262" ht="13.65" customHeight="1">
      <c r="A1262" s="18">
        <v>46078</v>
      </c>
      <c r="B1262" t="s" s="13">
        <v>22</v>
      </c>
      <c r="C1262" s="15">
        <v>210.1</v>
      </c>
      <c r="D1262" s="15">
        <v>216.45</v>
      </c>
      <c r="E1262" s="15">
        <v>209.4</v>
      </c>
      <c r="F1262" s="15">
        <v>209.13</v>
      </c>
      <c r="G1262" s="15">
        <v>214.22</v>
      </c>
      <c r="H1262" s="15">
        <v>214.64</v>
      </c>
      <c r="I1262" s="15">
        <v>214.28</v>
      </c>
      <c r="J1262" s="15">
        <v>216.45</v>
      </c>
      <c r="K1262" s="15">
        <v>125.3</v>
      </c>
      <c r="L1262" s="15">
        <v>48873839</v>
      </c>
      <c r="M1262" t="s" s="13">
        <v>8787</v>
      </c>
      <c r="N1262" s="15">
        <v>267230</v>
      </c>
      <c r="O1262" s="17" cm="1">
        <f t="array" ref="O1262">(H1262-H1261)/H1261</f>
        <v>0.026347248123177</v>
      </c>
    </row>
    <row r="1263" ht="13.65" customHeight="1">
      <c r="A1263" s="18">
        <v>46079</v>
      </c>
      <c r="B1263" t="s" s="13">
        <v>22</v>
      </c>
      <c r="C1263" s="15">
        <v>215.95</v>
      </c>
      <c r="D1263" s="15">
        <v>215.95</v>
      </c>
      <c r="E1263" s="15">
        <v>213.01</v>
      </c>
      <c r="F1263" s="15">
        <v>214.64</v>
      </c>
      <c r="G1263" s="15">
        <v>215.15</v>
      </c>
      <c r="H1263" s="15">
        <v>215.52</v>
      </c>
      <c r="I1263" s="15">
        <v>214.48</v>
      </c>
      <c r="J1263" s="15">
        <v>216.45</v>
      </c>
      <c r="K1263" s="15">
        <v>125.3</v>
      </c>
      <c r="L1263" s="15">
        <v>25522669</v>
      </c>
      <c r="M1263" t="s" s="13">
        <v>8788</v>
      </c>
      <c r="N1263" s="15">
        <v>203582</v>
      </c>
      <c r="O1263" s="17" cm="1">
        <f t="array" ref="O1263">(H1263-H1262)/H1262</f>
        <v>0.00409988818486769</v>
      </c>
    </row>
    <row r="1264" ht="13.65" customHeight="1">
      <c r="A1264" s="18">
        <v>46080</v>
      </c>
      <c r="B1264" t="s" s="13">
        <v>22</v>
      </c>
      <c r="C1264" s="15">
        <v>215.5</v>
      </c>
      <c r="D1264" s="15">
        <v>215.9</v>
      </c>
      <c r="E1264" s="15">
        <v>211.66</v>
      </c>
      <c r="F1264" s="15">
        <v>215.52</v>
      </c>
      <c r="G1264" s="15">
        <v>212.59</v>
      </c>
      <c r="H1264" s="15">
        <v>212.33</v>
      </c>
      <c r="I1264" s="15">
        <v>213.55</v>
      </c>
      <c r="J1264" s="15">
        <v>216.45</v>
      </c>
      <c r="K1264" s="15">
        <v>125.3</v>
      </c>
      <c r="L1264" s="15">
        <v>25598534</v>
      </c>
      <c r="M1264" t="s" s="13">
        <v>8789</v>
      </c>
      <c r="N1264" s="15">
        <v>188481</v>
      </c>
      <c r="O1264" s="17" cm="1">
        <f t="array" ref="O1264">(H1264-H1263)/H1263</f>
        <v>-0.0148014105419451</v>
      </c>
    </row>
    <row r="1265" ht="13.65" customHeight="1">
      <c r="A1265" s="12">
        <v>46083</v>
      </c>
      <c r="B1265" t="s" s="13">
        <v>22</v>
      </c>
      <c r="C1265" s="15">
        <v>205</v>
      </c>
      <c r="D1265" s="15">
        <v>214.34</v>
      </c>
      <c r="E1265" s="15">
        <v>204.5</v>
      </c>
      <c r="F1265" s="15">
        <v>212.33</v>
      </c>
      <c r="G1265" s="15">
        <v>210.87</v>
      </c>
      <c r="H1265" s="15">
        <v>211.01</v>
      </c>
      <c r="I1265" s="15">
        <v>210.69</v>
      </c>
      <c r="J1265" s="15">
        <v>216.45</v>
      </c>
      <c r="K1265" s="15">
        <v>125.3</v>
      </c>
      <c r="L1265" s="15">
        <v>30523310</v>
      </c>
      <c r="M1265" t="s" s="13">
        <v>8790</v>
      </c>
      <c r="N1265" s="15">
        <v>283571</v>
      </c>
      <c r="O1265" s="17" cm="1">
        <f t="array" ref="O1265">(H1265-H1264)/H1264</f>
        <v>-0.00621673809635944</v>
      </c>
    </row>
    <row r="1266" ht="13.65" customHeight="1">
      <c r="A1266" s="12">
        <v>46085</v>
      </c>
      <c r="B1266" t="s" s="13">
        <v>22</v>
      </c>
      <c r="C1266" s="15">
        <v>207</v>
      </c>
      <c r="D1266" s="15">
        <v>207</v>
      </c>
      <c r="E1266" s="15">
        <v>194.43</v>
      </c>
      <c r="F1266" s="15">
        <v>211.01</v>
      </c>
      <c r="G1266" s="15">
        <v>196.06</v>
      </c>
      <c r="H1266" s="15">
        <v>196.73</v>
      </c>
      <c r="I1266" s="15">
        <v>197.78</v>
      </c>
      <c r="J1266" s="15">
        <v>216.45</v>
      </c>
      <c r="K1266" s="15">
        <v>125.3</v>
      </c>
      <c r="L1266" s="15">
        <v>72096617</v>
      </c>
      <c r="M1266" t="s" s="13">
        <v>8791</v>
      </c>
      <c r="N1266" s="15">
        <v>465969</v>
      </c>
      <c r="O1266" s="17" cm="1">
        <f t="array" ref="O1266">(H1266-H1265)/H1265</f>
        <v>-0.0676745177953651</v>
      </c>
    </row>
    <row r="1267" ht="13.65" customHeight="1">
      <c r="A1267" s="12">
        <v>46086</v>
      </c>
      <c r="B1267" t="s" s="13">
        <v>22</v>
      </c>
      <c r="C1267" s="15">
        <v>198.5</v>
      </c>
      <c r="D1267" s="15">
        <v>203.04</v>
      </c>
      <c r="E1267" s="15">
        <v>197.63</v>
      </c>
      <c r="F1267" s="15">
        <v>196.73</v>
      </c>
      <c r="G1267" s="15">
        <v>200.72</v>
      </c>
      <c r="H1267" s="15">
        <v>200.57</v>
      </c>
      <c r="I1267" s="15">
        <v>200.23</v>
      </c>
      <c r="J1267" s="15">
        <v>216.45</v>
      </c>
      <c r="K1267" s="15">
        <v>125.3</v>
      </c>
      <c r="L1267" s="15">
        <v>41033397</v>
      </c>
      <c r="M1267" t="s" s="13">
        <v>8792</v>
      </c>
      <c r="N1267" s="15">
        <v>299602</v>
      </c>
      <c r="O1267" s="17" cm="1">
        <f t="array" ref="O1267">(H1267-H1266)/H1266</f>
        <v>0.0195191379047425</v>
      </c>
    </row>
    <row r="1268" ht="13.65" customHeight="1">
      <c r="A1268" s="12">
        <v>46087</v>
      </c>
      <c r="B1268" t="s" s="13">
        <v>22</v>
      </c>
      <c r="C1268" s="15">
        <v>199.5</v>
      </c>
      <c r="D1268" s="15">
        <v>202.2</v>
      </c>
      <c r="E1268" s="15">
        <v>197.1</v>
      </c>
      <c r="F1268" s="15">
        <v>200.57</v>
      </c>
      <c r="G1268" s="15">
        <v>198.79</v>
      </c>
      <c r="H1268" s="15">
        <v>198.46</v>
      </c>
      <c r="I1268" s="15">
        <v>199.75</v>
      </c>
      <c r="J1268" s="15">
        <v>216.45</v>
      </c>
      <c r="K1268" s="15">
        <v>125.3</v>
      </c>
      <c r="L1268" s="15">
        <v>28551376</v>
      </c>
      <c r="M1268" t="s" s="13">
        <v>8793</v>
      </c>
      <c r="N1268" s="15">
        <v>289239</v>
      </c>
      <c r="O1268" s="17" cm="1">
        <f t="array" ref="O1268">(H1268-H1267)/H1267</f>
        <v>-0.0105200179488458</v>
      </c>
    </row>
    <row r="1269" ht="13.65" customHeight="1">
      <c r="A1269" s="12">
        <v>46090</v>
      </c>
      <c r="B1269" t="s" s="13">
        <v>22</v>
      </c>
      <c r="C1269" s="15">
        <v>193.45</v>
      </c>
      <c r="D1269" s="15">
        <v>193.7</v>
      </c>
      <c r="E1269" s="15">
        <v>187.03</v>
      </c>
      <c r="F1269" s="15">
        <v>198.46</v>
      </c>
      <c r="G1269" s="15">
        <v>191.13</v>
      </c>
      <c r="H1269" s="15">
        <v>191.01</v>
      </c>
      <c r="I1269" s="15">
        <v>189.78</v>
      </c>
      <c r="J1269" s="15">
        <v>216.45</v>
      </c>
      <c r="K1269" s="15">
        <v>125.3</v>
      </c>
      <c r="L1269" s="15">
        <v>43019965</v>
      </c>
      <c r="M1269" t="s" s="13">
        <v>8794</v>
      </c>
      <c r="N1269" s="15">
        <v>259036</v>
      </c>
      <c r="O1269" s="17" cm="1">
        <f t="array" ref="O1269">(H1269-H1268)/H1268</f>
        <v>-0.0375390506903154</v>
      </c>
    </row>
    <row r="1270" ht="13.65" customHeight="1">
      <c r="A1270" s="18">
        <v>46091</v>
      </c>
      <c r="B1270" t="s" s="13">
        <v>22</v>
      </c>
      <c r="C1270" s="15">
        <v>194.01</v>
      </c>
      <c r="D1270" s="15">
        <v>196.64</v>
      </c>
      <c r="E1270" s="15">
        <v>192</v>
      </c>
      <c r="F1270" s="15">
        <v>191.01</v>
      </c>
      <c r="G1270" s="15">
        <v>195.34</v>
      </c>
      <c r="H1270" s="15">
        <v>195</v>
      </c>
      <c r="I1270" s="15">
        <v>194.27</v>
      </c>
      <c r="J1270" s="15">
        <v>216.45</v>
      </c>
      <c r="K1270" s="15">
        <v>125.3</v>
      </c>
      <c r="L1270" s="15">
        <v>25783308</v>
      </c>
      <c r="M1270" t="s" s="13">
        <v>8795</v>
      </c>
      <c r="N1270" s="15">
        <v>181744</v>
      </c>
      <c r="O1270" s="17" cm="1">
        <f t="array" ref="O1270">(H1270-H1269)/H1269</f>
        <v>0.0208889586932621</v>
      </c>
    </row>
    <row r="1271" ht="13.65" customHeight="1">
      <c r="A1271" s="18">
        <v>46092</v>
      </c>
      <c r="B1271" t="s" s="13">
        <v>22</v>
      </c>
      <c r="C1271" s="15">
        <v>197.14</v>
      </c>
      <c r="D1271" s="15">
        <v>198.88</v>
      </c>
      <c r="E1271" s="15">
        <v>194</v>
      </c>
      <c r="F1271" s="15">
        <v>195</v>
      </c>
      <c r="G1271" s="15">
        <v>194.66</v>
      </c>
      <c r="H1271" s="15">
        <v>194.74</v>
      </c>
      <c r="I1271" s="15">
        <v>196.18</v>
      </c>
      <c r="J1271" s="15">
        <v>216.45</v>
      </c>
      <c r="K1271" s="15">
        <v>125.3</v>
      </c>
      <c r="L1271" s="15">
        <v>34207226</v>
      </c>
      <c r="M1271" t="s" s="13">
        <v>8796</v>
      </c>
      <c r="N1271" s="15">
        <v>194765</v>
      </c>
      <c r="O1271" s="17" cm="1">
        <f t="array" ref="O1271">(H1271-H1270)/H1270</f>
        <v>-0.00133333333333333</v>
      </c>
    </row>
    <row r="1272" ht="13.65" customHeight="1">
      <c r="A1272" s="18">
        <v>46093</v>
      </c>
      <c r="B1272" t="s" s="13">
        <v>22</v>
      </c>
      <c r="C1272" s="15">
        <v>193.99</v>
      </c>
      <c r="D1272" s="15">
        <v>194.66</v>
      </c>
      <c r="E1272" s="15">
        <v>190.1</v>
      </c>
      <c r="F1272" s="15">
        <v>194.74</v>
      </c>
      <c r="G1272" s="15">
        <v>193.5</v>
      </c>
      <c r="H1272" s="15">
        <v>193.47</v>
      </c>
      <c r="I1272" s="15">
        <v>192.47</v>
      </c>
      <c r="J1272" s="15">
        <v>216.45</v>
      </c>
      <c r="K1272" s="15">
        <v>125.3</v>
      </c>
      <c r="L1272" s="15">
        <v>24413736</v>
      </c>
      <c r="M1272" t="s" s="13">
        <v>8797</v>
      </c>
      <c r="N1272" s="15">
        <v>250847</v>
      </c>
      <c r="O1272" s="17" cm="1">
        <f t="array" ref="O1272">(H1272-H1271)/H1271</f>
        <v>-0.00652151586731026</v>
      </c>
    </row>
    <row r="1273" ht="13.65" customHeight="1">
      <c r="A1273" s="18">
        <v>46094</v>
      </c>
      <c r="B1273" t="s" s="13">
        <v>22</v>
      </c>
      <c r="C1273" s="15">
        <v>191.95</v>
      </c>
      <c r="D1273" s="15">
        <v>192.5</v>
      </c>
      <c r="E1273" s="15">
        <v>182.26</v>
      </c>
      <c r="F1273" s="15">
        <v>193.47</v>
      </c>
      <c r="G1273" s="15">
        <v>183.01</v>
      </c>
      <c r="H1273" s="15">
        <v>183.51</v>
      </c>
      <c r="I1273" s="15">
        <v>185.59</v>
      </c>
      <c r="J1273" s="15">
        <v>216.45</v>
      </c>
      <c r="K1273" s="15">
        <v>125.3</v>
      </c>
      <c r="L1273" s="15">
        <v>42683952</v>
      </c>
      <c r="M1273" t="s" s="13">
        <v>8798</v>
      </c>
      <c r="N1273" s="15">
        <v>347152</v>
      </c>
      <c r="O1273" s="17" cm="1">
        <f t="array" ref="O1273">(H1273-H1272)/H1272</f>
        <v>-0.0514808497441464</v>
      </c>
    </row>
    <row r="1274" ht="13.65" customHeight="1">
      <c r="A1274" s="18">
        <v>46097</v>
      </c>
      <c r="B1274" t="s" s="13">
        <v>22</v>
      </c>
      <c r="C1274" s="15">
        <v>183</v>
      </c>
      <c r="D1274" s="15">
        <v>187.65</v>
      </c>
      <c r="E1274" s="15">
        <v>181.25</v>
      </c>
      <c r="F1274" s="15">
        <v>183.51</v>
      </c>
      <c r="G1274" s="15">
        <v>186.25</v>
      </c>
      <c r="H1274" s="15">
        <v>186.94</v>
      </c>
      <c r="I1274" s="15">
        <v>185.65</v>
      </c>
      <c r="J1274" s="15">
        <v>216.45</v>
      </c>
      <c r="K1274" s="15">
        <v>125.3</v>
      </c>
      <c r="L1274" s="15">
        <v>44789516</v>
      </c>
      <c r="M1274" t="s" s="13">
        <v>8799</v>
      </c>
      <c r="N1274" s="15">
        <v>312555</v>
      </c>
      <c r="O1274" s="17" cm="1">
        <f t="array" ref="O1274">(H1274-H1273)/H1273</f>
        <v>0.0186910795052041</v>
      </c>
    </row>
    <row r="1275" ht="13.65" customHeight="1">
      <c r="A1275" s="18">
        <v>46098</v>
      </c>
      <c r="B1275" t="s" s="13">
        <v>22</v>
      </c>
      <c r="C1275" s="15">
        <v>187.8</v>
      </c>
      <c r="D1275" s="15">
        <v>196.31</v>
      </c>
      <c r="E1275" s="15">
        <v>186.85</v>
      </c>
      <c r="F1275" s="15">
        <v>186.94</v>
      </c>
      <c r="G1275" s="15">
        <v>195.2</v>
      </c>
      <c r="H1275" s="15">
        <v>195.43</v>
      </c>
      <c r="I1275" s="15">
        <v>192.95</v>
      </c>
      <c r="J1275" s="15">
        <v>216.45</v>
      </c>
      <c r="K1275" s="15">
        <v>125.3</v>
      </c>
      <c r="L1275" s="15">
        <v>45672442</v>
      </c>
      <c r="M1275" t="s" s="13">
        <v>8800</v>
      </c>
      <c r="N1275" s="15">
        <v>317263</v>
      </c>
      <c r="O1275" s="17" cm="1">
        <f t="array" ref="O1275">(H1275-H1274)/H1274</f>
        <v>0.0454156413822617</v>
      </c>
    </row>
    <row r="1276" ht="13.65" customHeight="1">
      <c r="A1276" s="18">
        <v>46099</v>
      </c>
      <c r="B1276" t="s" s="13">
        <v>22</v>
      </c>
      <c r="C1276" s="15">
        <v>196.4</v>
      </c>
      <c r="D1276" s="15">
        <v>196.43</v>
      </c>
      <c r="E1276" s="15">
        <v>193.17</v>
      </c>
      <c r="F1276" s="15">
        <v>195.43</v>
      </c>
      <c r="G1276" s="15">
        <v>195</v>
      </c>
      <c r="H1276" s="15">
        <v>195.41</v>
      </c>
      <c r="I1276" s="15">
        <v>194.86</v>
      </c>
      <c r="J1276" s="15">
        <v>216.45</v>
      </c>
      <c r="K1276" s="15">
        <v>125.3</v>
      </c>
      <c r="L1276" s="15">
        <v>26353743</v>
      </c>
      <c r="M1276" t="s" s="13">
        <v>8801</v>
      </c>
      <c r="N1276" s="15">
        <v>206161</v>
      </c>
      <c r="O1276" s="17" cm="1">
        <f t="array" ref="O1276">(H1276-H1275)/H1275</f>
        <v>-0.000102338433198588</v>
      </c>
    </row>
    <row r="1277" ht="13.65" customHeight="1">
      <c r="A1277" s="18">
        <v>46100</v>
      </c>
      <c r="B1277" t="s" s="13">
        <v>22</v>
      </c>
      <c r="C1277" s="15">
        <v>190.8</v>
      </c>
      <c r="D1277" s="15">
        <v>194.22</v>
      </c>
      <c r="E1277" s="15">
        <v>189.37</v>
      </c>
      <c r="F1277" s="15">
        <v>195.41</v>
      </c>
      <c r="G1277" s="15">
        <v>191.2</v>
      </c>
      <c r="H1277" s="15">
        <v>190.51</v>
      </c>
      <c r="I1277" s="15">
        <v>192.14</v>
      </c>
      <c r="J1277" s="15">
        <v>216.45</v>
      </c>
      <c r="K1277" s="15">
        <v>125.3</v>
      </c>
      <c r="L1277" s="15">
        <v>24146344</v>
      </c>
      <c r="M1277" t="s" s="13">
        <v>8802</v>
      </c>
      <c r="N1277" s="15">
        <v>201669</v>
      </c>
      <c r="O1277" s="17" cm="1">
        <f t="array" ref="O1277">(H1277-H1276)/H1276</f>
        <v>-0.0250754823192262</v>
      </c>
    </row>
    <row r="1278" ht="13.65" customHeight="1">
      <c r="A1278" s="18">
        <v>46101</v>
      </c>
      <c r="B1278" t="s" s="13">
        <v>22</v>
      </c>
      <c r="C1278" s="15">
        <v>193.4</v>
      </c>
      <c r="D1278" s="15">
        <v>199.44</v>
      </c>
      <c r="E1278" s="15">
        <v>193.34</v>
      </c>
      <c r="F1278" s="15">
        <v>190.51</v>
      </c>
      <c r="G1278" s="15">
        <v>196.38</v>
      </c>
      <c r="H1278" s="15">
        <v>196.77</v>
      </c>
      <c r="I1278" s="15">
        <v>197.15</v>
      </c>
      <c r="J1278" s="15">
        <v>216.45</v>
      </c>
      <c r="K1278" s="15">
        <v>125.3</v>
      </c>
      <c r="L1278" s="15">
        <v>46881257</v>
      </c>
      <c r="M1278" t="s" s="13">
        <v>8803</v>
      </c>
      <c r="N1278" s="15">
        <v>243559</v>
      </c>
      <c r="O1278" s="17" cm="1">
        <f t="array" ref="O1278">(H1278-H1277)/H1277</f>
        <v>0.0328591674977691</v>
      </c>
    </row>
    <row r="1279" ht="13.65" customHeight="1">
      <c r="A1279" s="18">
        <v>46104</v>
      </c>
      <c r="B1279" t="s" s="13">
        <v>22</v>
      </c>
      <c r="C1279" s="15">
        <v>193</v>
      </c>
      <c r="D1279" s="15">
        <v>193.95</v>
      </c>
      <c r="E1279" s="15">
        <v>186.51</v>
      </c>
      <c r="F1279" s="15">
        <v>196.77</v>
      </c>
      <c r="G1279" s="15">
        <v>187</v>
      </c>
      <c r="H1279" s="15">
        <v>187.17</v>
      </c>
      <c r="I1279" s="15">
        <v>188.11</v>
      </c>
      <c r="J1279" s="15">
        <v>216.45</v>
      </c>
      <c r="K1279" s="15">
        <v>125.3</v>
      </c>
      <c r="L1279" s="15">
        <v>44393392</v>
      </c>
      <c r="M1279" t="s" s="13">
        <v>8804</v>
      </c>
      <c r="N1279" s="15">
        <v>286506</v>
      </c>
      <c r="O1279" s="17" cm="1">
        <f t="array" ref="O1279">(H1279-H1278)/H1278</f>
        <v>-0.0487879249885653</v>
      </c>
    </row>
    <row r="1280" ht="13.65" customHeight="1">
      <c r="A1280" s="18">
        <v>46105</v>
      </c>
      <c r="B1280" t="s" s="13">
        <v>22</v>
      </c>
      <c r="C1280" s="15">
        <v>192</v>
      </c>
      <c r="D1280" s="15">
        <v>192.19</v>
      </c>
      <c r="E1280" s="15">
        <v>187.78</v>
      </c>
      <c r="F1280" s="15">
        <v>187.17</v>
      </c>
      <c r="G1280" s="15">
        <v>191.2</v>
      </c>
      <c r="H1280" s="15">
        <v>190.79</v>
      </c>
      <c r="I1280" s="15">
        <v>190.05</v>
      </c>
      <c r="J1280" s="15">
        <v>216.45</v>
      </c>
      <c r="K1280" s="15">
        <v>125.3</v>
      </c>
      <c r="L1280" s="15">
        <v>34321983</v>
      </c>
      <c r="M1280" t="s" s="13">
        <v>8805</v>
      </c>
      <c r="N1280" s="15">
        <v>244011</v>
      </c>
      <c r="O1280" s="17" cm="1">
        <f t="array" ref="O1280">(H1280-H1279)/H1279</f>
        <v>0.0193407063097719</v>
      </c>
    </row>
    <row r="1281" ht="13.65" customHeight="1">
      <c r="A1281" s="18">
        <v>46106</v>
      </c>
      <c r="B1281" t="s" s="13">
        <v>22</v>
      </c>
      <c r="C1281" s="15">
        <v>193.03</v>
      </c>
      <c r="D1281" s="15">
        <v>197.15</v>
      </c>
      <c r="E1281" s="15">
        <v>192.32</v>
      </c>
      <c r="F1281" s="15">
        <v>190.79</v>
      </c>
      <c r="G1281" s="15">
        <v>196.78</v>
      </c>
      <c r="H1281" s="15">
        <v>196.65</v>
      </c>
      <c r="I1281" s="15">
        <v>195.55</v>
      </c>
      <c r="J1281" s="15">
        <v>216.45</v>
      </c>
      <c r="K1281" s="15">
        <v>125.3</v>
      </c>
      <c r="L1281" s="15">
        <v>34767360</v>
      </c>
      <c r="M1281" t="s" s="13">
        <v>8806</v>
      </c>
      <c r="N1281" s="15">
        <v>289621</v>
      </c>
      <c r="O1281" s="17" cm="1">
        <f t="array" ref="O1281">(H1281-H1280)/H1280</f>
        <v>0.0307143980292468</v>
      </c>
    </row>
    <row r="1282" ht="13.65" customHeight="1">
      <c r="A1282" s="18">
        <v>46108</v>
      </c>
      <c r="B1282" t="s" s="13">
        <v>22</v>
      </c>
      <c r="C1282" s="15">
        <v>194.32</v>
      </c>
      <c r="D1282" s="15">
        <v>195.5</v>
      </c>
      <c r="E1282" s="15">
        <v>192.64</v>
      </c>
      <c r="F1282" s="15">
        <v>196.65</v>
      </c>
      <c r="G1282" s="15">
        <v>193.19</v>
      </c>
      <c r="H1282" s="15">
        <v>193.22</v>
      </c>
      <c r="I1282" s="15">
        <v>193.94</v>
      </c>
      <c r="J1282" s="15">
        <v>216.45</v>
      </c>
      <c r="K1282" s="15">
        <v>125.3</v>
      </c>
      <c r="L1282" s="15">
        <v>36938046</v>
      </c>
      <c r="M1282" t="s" s="13">
        <v>8807</v>
      </c>
      <c r="N1282" s="15">
        <v>262654</v>
      </c>
      <c r="O1282" s="17" cm="1">
        <f t="array" ref="O1282">(H1282-H1281)/H1281</f>
        <v>-0.017442156114925</v>
      </c>
    </row>
    <row r="1283" ht="13.65" customHeight="1">
      <c r="A1283" s="18">
        <v>46111</v>
      </c>
      <c r="B1283" t="s" s="13">
        <v>22</v>
      </c>
      <c r="C1283" s="15">
        <v>192</v>
      </c>
      <c r="D1283" s="15">
        <v>194.42</v>
      </c>
      <c r="E1283" s="15">
        <v>188.3</v>
      </c>
      <c r="F1283" s="15">
        <v>193.22</v>
      </c>
      <c r="G1283" s="15">
        <v>191.59</v>
      </c>
      <c r="H1283" s="15">
        <v>191.86</v>
      </c>
      <c r="I1283" s="15">
        <v>191.73</v>
      </c>
      <c r="J1283" s="15">
        <v>216.45</v>
      </c>
      <c r="K1283" s="15">
        <v>125.3</v>
      </c>
      <c r="L1283" s="15">
        <v>45914996</v>
      </c>
      <c r="M1283" t="s" s="13">
        <v>8808</v>
      </c>
      <c r="N1283" s="15">
        <v>234493</v>
      </c>
      <c r="O1283" s="17" cm="1">
        <f t="array" ref="O1283">(H1283-H1282)/H1282</f>
        <v>-0.00703860883966463</v>
      </c>
    </row>
    <row r="1284" ht="13.65" customHeight="1">
      <c r="A1284" s="12">
        <v>46113</v>
      </c>
      <c r="B1284" t="s" s="13">
        <v>22</v>
      </c>
      <c r="C1284" s="15">
        <v>200</v>
      </c>
      <c r="D1284" s="15">
        <v>200.2</v>
      </c>
      <c r="E1284" s="15">
        <v>194</v>
      </c>
      <c r="F1284" s="15">
        <v>191.86</v>
      </c>
      <c r="G1284" s="15">
        <v>194.85</v>
      </c>
      <c r="H1284" s="15">
        <v>194.6</v>
      </c>
      <c r="I1284" s="15">
        <v>196.46</v>
      </c>
      <c r="J1284" s="15">
        <v>216.45</v>
      </c>
      <c r="K1284" s="15">
        <v>125.3</v>
      </c>
      <c r="L1284" s="15">
        <v>35813622</v>
      </c>
      <c r="M1284" t="s" s="13">
        <v>8809</v>
      </c>
      <c r="N1284" s="15">
        <v>173738</v>
      </c>
      <c r="O1284" s="17" cm="1">
        <f t="array" ref="O1284">(H1284-H1283)/H1283</f>
        <v>0.0142812467424163</v>
      </c>
    </row>
    <row r="1285" ht="13.65" customHeight="1">
      <c r="A1285" s="21"/>
      <c r="B1285" s="21"/>
      <c r="C1285" s="21"/>
      <c r="D1285" s="21"/>
      <c r="E1285" s="21"/>
      <c r="F1285" s="21"/>
      <c r="G1285" s="21"/>
      <c r="H1285" s="21"/>
      <c r="I1285" s="21"/>
      <c r="J1285" s="21"/>
      <c r="K1285" s="21"/>
      <c r="L1285" s="21"/>
      <c r="M1285" s="21"/>
      <c r="N1285" s="21"/>
      <c r="O1285" s="8"/>
    </row>
    <row r="1286" ht="13.65" customHeight="1">
      <c r="A1286" s="8"/>
      <c r="B1286" s="8"/>
      <c r="C1286" s="8"/>
      <c r="D1286" s="8"/>
      <c r="E1286" s="8"/>
      <c r="F1286" s="8"/>
      <c r="G1286" s="8"/>
      <c r="H1286" s="8"/>
      <c r="I1286" s="8"/>
      <c r="J1286" s="8"/>
      <c r="K1286" s="8"/>
      <c r="L1286" s="8"/>
      <c r="M1286" s="8"/>
      <c r="N1286" t="s" s="7">
        <v>272</v>
      </c>
      <c r="O1286" s="22" cm="1">
        <f t="array" ref="O1286">AVERAGE(O1037:O1284)</f>
        <v>0.00115624217329239</v>
      </c>
    </row>
    <row r="1287" ht="13.65" customHeight="1">
      <c r="A1287" s="8"/>
      <c r="B1287" s="8"/>
      <c r="C1287" s="8"/>
      <c r="D1287" s="8"/>
      <c r="E1287" s="8"/>
      <c r="F1287" s="8"/>
      <c r="G1287" s="8"/>
      <c r="H1287" s="8"/>
      <c r="I1287" s="8"/>
      <c r="J1287" s="8"/>
      <c r="K1287" s="8"/>
      <c r="L1287" s="8"/>
      <c r="M1287" s="8"/>
      <c r="N1287" t="s" s="7">
        <v>527</v>
      </c>
      <c r="O1287" s="22" cm="1">
        <f t="array" ref="O1287">STDEV(O1038:O1284)</f>
        <v>0.01921883061213</v>
      </c>
    </row>
    <row r="1288" ht="13.65" customHeight="1">
      <c r="A1288" s="8"/>
      <c r="B1288" s="8"/>
      <c r="C1288" s="8"/>
      <c r="D1288" s="8"/>
      <c r="E1288" s="8"/>
      <c r="F1288" s="8"/>
      <c r="G1288" s="8"/>
      <c r="H1288" s="8"/>
      <c r="I1288" s="8"/>
      <c r="J1288" s="8"/>
      <c r="K1288" s="8"/>
      <c r="L1288" s="8"/>
      <c r="M1288" s="8"/>
      <c r="N1288" t="s" s="7">
        <v>7817</v>
      </c>
      <c r="O1288" s="23" cm="1">
        <f t="array" ref="O1288">AVERAGE(L1037:L1284)</f>
        <v>29144497.9637097</v>
      </c>
    </row>
    <row r="1289" ht="13.65" customHeight="1">
      <c r="A1289" s="8"/>
      <c r="B1289" s="8"/>
      <c r="C1289" s="8"/>
      <c r="D1289" s="8"/>
      <c r="E1289" s="8"/>
      <c r="F1289" s="8"/>
      <c r="G1289" s="8"/>
      <c r="H1289" s="8"/>
      <c r="I1289" s="8"/>
      <c r="J1289" s="8"/>
      <c r="K1289" s="8"/>
      <c r="L1289" s="8"/>
      <c r="M1289" s="8"/>
      <c r="N1289" t="s" s="7">
        <v>275</v>
      </c>
      <c r="O1289" s="23" cm="1">
        <f t="array" ref="O1289">IF(H1284&gt;H1037,1,IF(H1284&lt;H1037,-1,0))</f>
        <v>1</v>
      </c>
    </row>
    <row r="1290" ht="13.65" customHeight="1">
      <c r="A1290" s="8"/>
      <c r="B1290" s="8"/>
      <c r="C1290" s="8"/>
      <c r="D1290" s="8"/>
      <c r="E1290" s="8"/>
      <c r="F1290" s="8"/>
      <c r="G1290" s="8"/>
      <c r="H1290" s="8"/>
      <c r="I1290" s="8"/>
      <c r="J1290" s="8"/>
      <c r="K1290" s="8"/>
      <c r="L1290" s="8"/>
      <c r="M1290" s="8"/>
      <c r="N1290" t="s" s="7">
        <v>528</v>
      </c>
      <c r="O1290" s="22" cm="1">
        <f t="array" ref="O1290">(H1284-H1037)/H1037</f>
        <v>0.270898641588297</v>
      </c>
    </row>
    <row r="1291" ht="13.65" customHeight="1">
      <c r="A1291" s="8"/>
      <c r="B1291" s="8"/>
      <c r="C1291" s="8"/>
      <c r="D1291" s="8"/>
      <c r="E1291" s="8"/>
      <c r="F1291" s="8"/>
      <c r="G1291" s="8"/>
      <c r="H1291" s="8"/>
      <c r="I1291" s="8"/>
      <c r="J1291" s="8"/>
      <c r="K1291" s="8"/>
      <c r="L1291" s="8"/>
      <c r="M1291" s="8"/>
      <c r="N1291" s="8"/>
      <c r="O1291" s="8"/>
    </row>
    <row r="1292" ht="13.65" customHeight="1">
      <c r="A1292" s="8"/>
      <c r="B1292" s="8"/>
      <c r="C1292" s="8"/>
      <c r="D1292" s="8"/>
      <c r="E1292" s="8"/>
      <c r="F1292" s="8"/>
      <c r="G1292" s="8"/>
      <c r="H1292" s="8"/>
      <c r="I1292" s="8"/>
      <c r="J1292" s="8"/>
      <c r="K1292" s="8"/>
      <c r="L1292" s="8"/>
      <c r="M1292" s="8"/>
      <c r="N1292" s="8"/>
      <c r="O1292" s="8"/>
    </row>
    <row r="1293" ht="13.65" customHeight="1">
      <c r="A1293" s="8"/>
      <c r="B1293" s="8"/>
      <c r="C1293" s="8"/>
      <c r="D1293" s="8"/>
      <c r="E1293" s="8"/>
      <c r="F1293" s="8"/>
      <c r="G1293" s="8"/>
      <c r="H1293" s="8"/>
      <c r="I1293" s="8"/>
      <c r="J1293" s="8"/>
      <c r="K1293" s="8"/>
      <c r="L1293" s="8"/>
      <c r="M1293" s="8"/>
      <c r="N1293" s="8"/>
      <c r="O1293" s="8"/>
    </row>
    <row r="1294" ht="13.65" customHeight="1">
      <c r="A1294" s="8"/>
      <c r="B1294" s="8"/>
      <c r="C1294" s="8"/>
      <c r="D1294" s="8"/>
      <c r="E1294" s="8"/>
      <c r="F1294" s="8"/>
      <c r="G1294" s="8"/>
      <c r="H1294" s="8"/>
      <c r="I1294" s="8"/>
      <c r="J1294" s="8"/>
      <c r="K1294" s="8"/>
      <c r="L1294" s="8"/>
      <c r="M1294" s="8"/>
      <c r="N1294" s="8"/>
      <c r="O1294" s="8"/>
    </row>
    <row r="1295" ht="13.65" customHeight="1">
      <c r="A1295" s="8"/>
      <c r="B1295" s="8"/>
      <c r="C1295" s="8"/>
      <c r="D1295" s="8"/>
      <c r="E1295" s="8"/>
      <c r="F1295" s="8"/>
      <c r="G1295" s="8"/>
      <c r="H1295" s="8"/>
      <c r="I1295" s="8"/>
      <c r="J1295" s="8"/>
      <c r="K1295" s="8"/>
      <c r="L1295" s="8"/>
      <c r="M1295" s="8"/>
      <c r="N1295" s="8"/>
      <c r="O1295" s="8"/>
    </row>
    <row r="1296" ht="13.65" customHeight="1">
      <c r="A1296" s="8"/>
      <c r="B1296" s="8"/>
      <c r="C1296" s="8"/>
      <c r="D1296" s="8"/>
      <c r="E1296" s="8"/>
      <c r="F1296" s="8"/>
      <c r="G1296" s="8"/>
      <c r="H1296" s="8"/>
      <c r="I1296" s="8"/>
      <c r="J1296" s="8"/>
      <c r="K1296" s="8"/>
      <c r="L1296" s="8"/>
      <c r="M1296" s="8"/>
      <c r="N1296" s="8"/>
      <c r="O1296" s="8"/>
    </row>
    <row r="1297" ht="13.65" customHeight="1">
      <c r="A1297" s="8"/>
      <c r="B1297" s="8"/>
      <c r="C1297" s="8"/>
      <c r="D1297" s="8"/>
      <c r="E1297" s="8"/>
      <c r="F1297" s="8"/>
      <c r="G1297" s="8"/>
      <c r="H1297" s="8"/>
      <c r="I1297" s="8"/>
      <c r="J1297" s="8"/>
      <c r="K1297" s="8"/>
      <c r="L1297" s="8"/>
      <c r="M1297" s="8"/>
      <c r="N1297" s="8"/>
      <c r="O1297" s="8"/>
    </row>
    <row r="1298" ht="13.65" customHeight="1">
      <c r="A1298" s="8"/>
      <c r="B1298" s="8"/>
      <c r="C1298" s="8"/>
      <c r="D1298" s="8"/>
      <c r="E1298" s="8"/>
      <c r="F1298" s="8"/>
      <c r="G1298" s="8"/>
      <c r="H1298" s="8"/>
      <c r="I1298" s="8"/>
      <c r="J1298" s="8"/>
      <c r="K1298" s="8"/>
      <c r="L1298" s="8"/>
      <c r="M1298" s="8"/>
      <c r="N1298" s="8"/>
      <c r="O1298" s="8"/>
    </row>
    <row r="1299" ht="13.65" customHeight="1">
      <c r="A1299" s="8"/>
      <c r="B1299" s="8"/>
      <c r="C1299" s="8"/>
      <c r="D1299" s="8"/>
      <c r="E1299" s="8"/>
      <c r="F1299" s="8"/>
      <c r="G1299" s="8"/>
      <c r="H1299" s="8"/>
      <c r="I1299" s="8"/>
      <c r="J1299" s="8"/>
      <c r="K1299" s="8"/>
      <c r="L1299" s="8"/>
      <c r="M1299" s="8"/>
      <c r="N1299" s="8"/>
      <c r="O1299" s="8"/>
    </row>
    <row r="1300" ht="13.65" customHeight="1">
      <c r="A1300" s="8"/>
      <c r="B1300" s="8"/>
      <c r="C1300" s="8"/>
      <c r="D1300" s="8"/>
      <c r="E1300" s="8"/>
      <c r="F1300" s="8"/>
      <c r="G1300" s="8"/>
      <c r="H1300" s="8"/>
      <c r="I1300" s="8"/>
      <c r="J1300" s="8"/>
      <c r="K1300" s="8"/>
      <c r="L1300" s="8"/>
      <c r="M1300" s="8"/>
      <c r="N1300" s="8"/>
      <c r="O1300" s="8"/>
    </row>
    <row r="1301" ht="13.65" customHeight="1">
      <c r="A1301" s="8"/>
      <c r="B1301" s="8"/>
      <c r="C1301" s="8"/>
      <c r="D1301" s="8"/>
      <c r="E1301" s="8"/>
      <c r="F1301" s="8"/>
      <c r="G1301" s="8"/>
      <c r="H1301" s="8"/>
      <c r="I1301" s="8"/>
      <c r="J1301" s="8"/>
      <c r="K1301" s="8"/>
      <c r="L1301" s="8"/>
      <c r="M1301" s="8"/>
      <c r="N1301" s="8"/>
      <c r="O1301" s="8"/>
    </row>
    <row r="1302" ht="13.65" customHeight="1">
      <c r="A1302" s="8"/>
      <c r="B1302" s="8"/>
      <c r="C1302" s="8"/>
      <c r="D1302" s="8"/>
      <c r="E1302" s="8"/>
      <c r="F1302" s="8"/>
      <c r="G1302" s="8"/>
      <c r="H1302" s="8"/>
      <c r="I1302" s="8"/>
      <c r="J1302" s="8"/>
      <c r="K1302" s="8"/>
      <c r="L1302" s="8"/>
      <c r="M1302" s="8"/>
      <c r="N1302" s="8"/>
      <c r="O1302" s="8"/>
    </row>
    <row r="1303" ht="13.65" customHeight="1">
      <c r="A1303" s="8"/>
      <c r="B1303" s="8"/>
      <c r="C1303" s="8"/>
      <c r="D1303" s="8"/>
      <c r="E1303" s="8"/>
      <c r="F1303" s="8"/>
      <c r="G1303" s="8"/>
      <c r="H1303" s="8"/>
      <c r="I1303" s="8"/>
      <c r="J1303" s="8"/>
      <c r="K1303" s="8"/>
      <c r="L1303" s="8"/>
      <c r="M1303" s="8"/>
      <c r="N1303" s="8"/>
      <c r="O1303" s="8"/>
    </row>
    <row r="1304" ht="13.65" customHeight="1">
      <c r="A1304" s="8"/>
      <c r="B1304" s="8"/>
      <c r="C1304" s="8"/>
      <c r="D1304" s="8"/>
      <c r="E1304" s="8"/>
      <c r="F1304" s="8"/>
      <c r="G1304" s="8"/>
      <c r="H1304" s="8"/>
      <c r="I1304" s="8"/>
      <c r="J1304" s="8"/>
      <c r="K1304" s="8"/>
      <c r="L1304" s="8"/>
      <c r="M1304" s="8"/>
      <c r="N1304" s="8"/>
      <c r="O1304" s="8"/>
    </row>
    <row r="1305" ht="13.65" customHeight="1">
      <c r="A1305" s="8"/>
      <c r="B1305" s="8"/>
      <c r="C1305" s="8"/>
      <c r="D1305" s="8"/>
      <c r="E1305" s="8"/>
      <c r="F1305" s="8"/>
      <c r="G1305" s="8"/>
      <c r="H1305" s="8"/>
      <c r="I1305" s="8"/>
      <c r="J1305" s="8"/>
      <c r="K1305" s="8"/>
      <c r="L1305" s="8"/>
      <c r="M1305" s="8"/>
      <c r="N1305" s="8"/>
      <c r="O1305" s="8"/>
    </row>
    <row r="1306" ht="13.65" customHeight="1">
      <c r="A1306" s="8"/>
      <c r="B1306" s="8"/>
      <c r="C1306" s="8"/>
      <c r="D1306" s="8"/>
      <c r="E1306" s="8"/>
      <c r="F1306" s="8"/>
      <c r="G1306" s="8"/>
      <c r="H1306" s="8"/>
      <c r="I1306" s="8"/>
      <c r="J1306" s="8"/>
      <c r="K1306" s="8"/>
      <c r="L1306" s="8"/>
      <c r="M1306" s="8"/>
      <c r="N1306" s="8"/>
      <c r="O1306" s="8"/>
    </row>
    <row r="1307" ht="13.65" customHeight="1">
      <c r="A1307" s="8"/>
      <c r="B1307" s="8"/>
      <c r="C1307" s="8"/>
      <c r="D1307" s="8"/>
      <c r="E1307" s="8"/>
      <c r="F1307" s="8"/>
      <c r="G1307" s="8"/>
      <c r="H1307" s="8"/>
      <c r="I1307" s="8"/>
      <c r="J1307" s="8"/>
      <c r="K1307" s="8"/>
      <c r="L1307" s="8"/>
      <c r="M1307" s="8"/>
      <c r="N1307" s="8"/>
      <c r="O1307" s="8"/>
    </row>
    <row r="1308" ht="13.65" customHeight="1">
      <c r="A1308" s="8"/>
      <c r="B1308" s="8"/>
      <c r="C1308" s="8"/>
      <c r="D1308" s="8"/>
      <c r="E1308" s="8"/>
      <c r="F1308" s="8"/>
      <c r="G1308" s="8"/>
      <c r="H1308" s="8"/>
      <c r="I1308" s="8"/>
      <c r="J1308" s="8"/>
      <c r="K1308" s="8"/>
      <c r="L1308" s="8"/>
      <c r="M1308" s="8"/>
      <c r="N1308" s="8"/>
      <c r="O1308" s="8"/>
    </row>
    <row r="1309" ht="13.65" customHeight="1">
      <c r="A1309" s="8"/>
      <c r="B1309" s="8"/>
      <c r="C1309" s="8"/>
      <c r="D1309" s="8"/>
      <c r="E1309" s="8"/>
      <c r="F1309" s="8"/>
      <c r="G1309" s="8"/>
      <c r="H1309" s="8"/>
      <c r="I1309" s="8"/>
      <c r="J1309" s="8"/>
      <c r="K1309" s="8"/>
      <c r="L1309" s="8"/>
      <c r="M1309" s="8"/>
      <c r="N1309" s="8"/>
      <c r="O1309" s="8"/>
    </row>
    <row r="1310" ht="13.65" customHeight="1">
      <c r="A1310" s="8"/>
      <c r="B1310" s="8"/>
      <c r="C1310" s="8"/>
      <c r="D1310" s="8"/>
      <c r="E1310" s="8"/>
      <c r="F1310" s="8"/>
      <c r="G1310" s="8"/>
      <c r="H1310" s="8"/>
      <c r="I1310" s="8"/>
      <c r="J1310" s="8"/>
      <c r="K1310" s="8"/>
      <c r="L1310" s="8"/>
      <c r="M1310" s="8"/>
      <c r="N1310" s="8"/>
      <c r="O1310" s="8"/>
    </row>
    <row r="1311" ht="13.65" customHeight="1">
      <c r="A1311" s="8"/>
      <c r="B1311" s="8"/>
      <c r="C1311" s="8"/>
      <c r="D1311" s="8"/>
      <c r="E1311" s="8"/>
      <c r="F1311" s="8"/>
      <c r="G1311" s="8"/>
      <c r="H1311" s="8"/>
      <c r="I1311" s="8"/>
      <c r="J1311" s="8"/>
      <c r="K1311" s="8"/>
      <c r="L1311" s="8"/>
      <c r="M1311" s="8"/>
      <c r="N1311" s="8"/>
      <c r="O1311" s="8"/>
    </row>
    <row r="1312" ht="13.65" customHeight="1">
      <c r="A1312" s="8"/>
      <c r="B1312" s="8"/>
      <c r="C1312" s="8"/>
      <c r="D1312" s="8"/>
      <c r="E1312" s="8"/>
      <c r="F1312" s="8"/>
      <c r="G1312" s="8"/>
      <c r="H1312" s="8"/>
      <c r="I1312" s="8"/>
      <c r="J1312" s="8"/>
      <c r="K1312" s="8"/>
      <c r="L1312" s="8"/>
      <c r="M1312" s="8"/>
      <c r="N1312" s="8"/>
      <c r="O1312" s="8"/>
    </row>
    <row r="1313" ht="13.65" customHeight="1">
      <c r="A1313" s="8"/>
      <c r="B1313" s="8"/>
      <c r="C1313" s="8"/>
      <c r="D1313" s="8"/>
      <c r="E1313" s="8"/>
      <c r="F1313" s="8"/>
      <c r="G1313" s="8"/>
      <c r="H1313" s="8"/>
      <c r="I1313" s="8"/>
      <c r="J1313" s="8"/>
      <c r="K1313" s="8"/>
      <c r="L1313" s="8"/>
      <c r="M1313" s="8"/>
      <c r="N1313" s="8"/>
      <c r="O1313" s="8"/>
    </row>
    <row r="1314" ht="13.65" customHeight="1">
      <c r="A1314" s="8"/>
      <c r="B1314" s="8"/>
      <c r="C1314" s="8"/>
      <c r="D1314" s="8"/>
      <c r="E1314" s="8"/>
      <c r="F1314" s="8"/>
      <c r="G1314" s="8"/>
      <c r="H1314" s="8"/>
      <c r="I1314" s="8"/>
      <c r="J1314" s="8"/>
      <c r="K1314" s="8"/>
      <c r="L1314" s="8"/>
      <c r="M1314" s="8"/>
      <c r="N1314" s="8"/>
      <c r="O1314" s="8"/>
    </row>
    <row r="1315" ht="13.65" customHeight="1">
      <c r="A1315" s="8"/>
      <c r="B1315" s="8"/>
      <c r="C1315" s="8"/>
      <c r="D1315" s="8"/>
      <c r="E1315" s="8"/>
      <c r="F1315" s="8"/>
      <c r="G1315" s="8"/>
      <c r="H1315" s="8"/>
      <c r="I1315" s="8"/>
      <c r="J1315" s="8"/>
      <c r="K1315" s="8"/>
      <c r="L1315" s="8"/>
      <c r="M1315" s="8"/>
      <c r="N1315" s="8"/>
      <c r="O1315" s="8"/>
    </row>
    <row r="1316" ht="13.65" customHeight="1">
      <c r="A1316" s="8"/>
      <c r="B1316" s="8"/>
      <c r="C1316" s="8"/>
      <c r="D1316" s="8"/>
      <c r="E1316" s="8"/>
      <c r="F1316" s="8"/>
      <c r="G1316" s="8"/>
      <c r="H1316" s="8"/>
      <c r="I1316" s="8"/>
      <c r="J1316" s="8"/>
      <c r="K1316" s="8"/>
      <c r="L1316" s="8"/>
      <c r="M1316" s="8"/>
      <c r="N1316" s="8"/>
      <c r="O1316" s="8"/>
    </row>
    <row r="1317" ht="13.65" customHeight="1">
      <c r="A1317" s="8"/>
      <c r="B1317" s="8"/>
      <c r="C1317" s="8"/>
      <c r="D1317" s="8"/>
      <c r="E1317" s="8"/>
      <c r="F1317" s="8"/>
      <c r="G1317" s="8"/>
      <c r="H1317" s="8"/>
      <c r="I1317" s="8"/>
      <c r="J1317" s="8"/>
      <c r="K1317" s="8"/>
      <c r="L1317" s="8"/>
      <c r="M1317" s="8"/>
      <c r="N1317" s="8"/>
      <c r="O1317" s="8"/>
    </row>
    <row r="1318" ht="13.65" customHeight="1">
      <c r="A1318" s="8"/>
      <c r="B1318" s="8"/>
      <c r="C1318" s="8"/>
      <c r="D1318" s="8"/>
      <c r="E1318" s="8"/>
      <c r="F1318" s="8"/>
      <c r="G1318" s="8"/>
      <c r="H1318" s="8"/>
      <c r="I1318" s="8"/>
      <c r="J1318" s="8"/>
      <c r="K1318" s="8"/>
      <c r="L1318" s="8"/>
      <c r="M1318" s="8"/>
      <c r="N1318" s="8"/>
      <c r="O1318" s="8"/>
    </row>
    <row r="1319" ht="13.65" customHeight="1">
      <c r="A1319" s="8"/>
      <c r="B1319" s="8"/>
      <c r="C1319" s="8"/>
      <c r="D1319" s="8"/>
      <c r="E1319" s="8"/>
      <c r="F1319" s="8"/>
      <c r="G1319" s="8"/>
      <c r="H1319" s="8"/>
      <c r="I1319" s="8"/>
      <c r="J1319" s="8"/>
      <c r="K1319" s="8"/>
      <c r="L1319" s="8"/>
      <c r="M1319" s="8"/>
      <c r="N1319" s="8"/>
      <c r="O1319" s="8"/>
    </row>
    <row r="1320" ht="13.65" customHeight="1">
      <c r="A1320" s="8"/>
      <c r="B1320" s="8"/>
      <c r="C1320" s="8"/>
      <c r="D1320" s="8"/>
      <c r="E1320" s="8"/>
      <c r="F1320" s="8"/>
      <c r="G1320" s="8"/>
      <c r="H1320" s="8"/>
      <c r="I1320" s="8"/>
      <c r="J1320" s="8"/>
      <c r="K1320" s="8"/>
      <c r="L1320" s="8"/>
      <c r="M1320" s="8"/>
      <c r="N1320" s="8"/>
      <c r="O1320" s="8"/>
    </row>
    <row r="1321" ht="13.65" customHeight="1">
      <c r="A1321" s="8"/>
      <c r="B1321" s="8"/>
      <c r="C1321" s="8"/>
      <c r="D1321" s="8"/>
      <c r="E1321" s="8"/>
      <c r="F1321" s="8"/>
      <c r="G1321" s="8"/>
      <c r="H1321" s="8"/>
      <c r="I1321" s="8"/>
      <c r="J1321" s="8"/>
      <c r="K1321" s="8"/>
      <c r="L1321" s="8"/>
      <c r="M1321" s="8"/>
      <c r="N1321" s="8"/>
      <c r="O1321" s="8"/>
    </row>
    <row r="1322" ht="13.65" customHeight="1">
      <c r="A1322" s="8"/>
      <c r="B1322" s="8"/>
      <c r="C1322" s="8"/>
      <c r="D1322" s="8"/>
      <c r="E1322" s="8"/>
      <c r="F1322" s="8"/>
      <c r="G1322" s="8"/>
      <c r="H1322" s="8"/>
      <c r="I1322" s="8"/>
      <c r="J1322" s="8"/>
      <c r="K1322" s="8"/>
      <c r="L1322" s="8"/>
      <c r="M1322" s="8"/>
      <c r="N1322" s="8"/>
      <c r="O1322" s="8"/>
    </row>
    <row r="1323" ht="13.65" customHeight="1">
      <c r="A1323" s="8"/>
      <c r="B1323" s="8"/>
      <c r="C1323" s="8"/>
      <c r="D1323" s="8"/>
      <c r="E1323" s="8"/>
      <c r="F1323" s="8"/>
      <c r="G1323" s="8"/>
      <c r="H1323" s="8"/>
      <c r="I1323" s="8"/>
      <c r="J1323" s="8"/>
      <c r="K1323" s="8"/>
      <c r="L1323" s="8"/>
      <c r="M1323" s="8"/>
      <c r="N1323" s="8"/>
      <c r="O1323" s="8"/>
    </row>
    <row r="1324" ht="13.65" customHeight="1">
      <c r="A1324" s="8"/>
      <c r="B1324" s="8"/>
      <c r="C1324" s="8"/>
      <c r="D1324" s="8"/>
      <c r="E1324" s="8"/>
      <c r="F1324" s="8"/>
      <c r="G1324" s="8"/>
      <c r="H1324" s="8"/>
      <c r="I1324" s="8"/>
      <c r="J1324" s="8"/>
      <c r="K1324" s="8"/>
      <c r="L1324" s="8"/>
      <c r="M1324" s="8"/>
      <c r="N1324" s="8"/>
      <c r="O1324" s="8"/>
    </row>
    <row r="1325" ht="13.65" customHeight="1">
      <c r="A1325" s="8"/>
      <c r="B1325" s="8"/>
      <c r="C1325" s="8"/>
      <c r="D1325" s="8"/>
      <c r="E1325" s="8"/>
      <c r="F1325" s="8"/>
      <c r="G1325" s="8"/>
      <c r="H1325" s="8"/>
      <c r="I1325" s="8"/>
      <c r="J1325" s="8"/>
      <c r="K1325" s="8"/>
      <c r="L1325" s="8"/>
      <c r="M1325" s="8"/>
      <c r="N1325" s="8"/>
      <c r="O1325" s="8"/>
    </row>
    <row r="1326" ht="13.65" customHeight="1">
      <c r="A1326" s="8"/>
      <c r="B1326" s="8"/>
      <c r="C1326" s="8"/>
      <c r="D1326" s="8"/>
      <c r="E1326" s="8"/>
      <c r="F1326" s="8"/>
      <c r="G1326" s="8"/>
      <c r="H1326" s="8"/>
      <c r="I1326" s="8"/>
      <c r="J1326" s="8"/>
      <c r="K1326" s="8"/>
      <c r="L1326" s="8"/>
      <c r="M1326" s="8"/>
      <c r="N1326" s="8"/>
      <c r="O1326" s="8"/>
    </row>
    <row r="1327" ht="13.65" customHeight="1">
      <c r="A1327" s="8"/>
      <c r="B1327" s="8"/>
      <c r="C1327" s="8"/>
      <c r="D1327" s="8"/>
      <c r="E1327" s="8"/>
      <c r="F1327" s="8"/>
      <c r="G1327" s="8"/>
      <c r="H1327" s="8"/>
      <c r="I1327" s="8"/>
      <c r="J1327" s="8"/>
      <c r="K1327" s="8"/>
      <c r="L1327" s="8"/>
      <c r="M1327" s="8"/>
      <c r="N1327" s="8"/>
      <c r="O1327" s="8"/>
    </row>
    <row r="1328" ht="13.65" customHeight="1">
      <c r="A1328" s="8"/>
      <c r="B1328" s="8"/>
      <c r="C1328" s="8"/>
      <c r="D1328" s="8"/>
      <c r="E1328" s="8"/>
      <c r="F1328" s="8"/>
      <c r="G1328" s="8"/>
      <c r="H1328" s="8"/>
      <c r="I1328" s="8"/>
      <c r="J1328" s="8"/>
      <c r="K1328" s="8"/>
      <c r="L1328" s="8"/>
      <c r="M1328" s="8"/>
      <c r="N1328" s="8"/>
      <c r="O1328" s="8"/>
    </row>
    <row r="1329" ht="13.65" customHeight="1">
      <c r="A1329" s="8"/>
      <c r="B1329" s="8"/>
      <c r="C1329" s="8"/>
      <c r="D1329" s="8"/>
      <c r="E1329" s="8"/>
      <c r="F1329" s="8"/>
      <c r="G1329" s="8"/>
      <c r="H1329" s="8"/>
      <c r="I1329" s="8"/>
      <c r="J1329" s="8"/>
      <c r="K1329" s="8"/>
      <c r="L1329" s="8"/>
      <c r="M1329" s="8"/>
      <c r="N1329" s="8"/>
      <c r="O1329" s="8"/>
    </row>
    <row r="1330" ht="13.65" customHeight="1">
      <c r="A1330" s="8"/>
      <c r="B1330" s="8"/>
      <c r="C1330" s="8"/>
      <c r="D1330" s="8"/>
      <c r="E1330" s="8"/>
      <c r="F1330" s="8"/>
      <c r="G1330" s="8"/>
      <c r="H1330" s="8"/>
      <c r="I1330" s="8"/>
      <c r="J1330" s="8"/>
      <c r="K1330" s="8"/>
      <c r="L1330" s="8"/>
      <c r="M1330" s="8"/>
      <c r="N1330" s="8"/>
      <c r="O1330" s="8"/>
    </row>
    <row r="1331" ht="13.65" customHeight="1">
      <c r="A1331" s="8"/>
      <c r="B1331" s="8"/>
      <c r="C1331" s="8"/>
      <c r="D1331" s="8"/>
      <c r="E1331" s="8"/>
      <c r="F1331" s="8"/>
      <c r="G1331" s="8"/>
      <c r="H1331" s="8"/>
      <c r="I1331" s="8"/>
      <c r="J1331" s="8"/>
      <c r="K1331" s="8"/>
      <c r="L1331" s="8"/>
      <c r="M1331" s="8"/>
      <c r="N1331" s="8"/>
      <c r="O1331" s="8"/>
    </row>
    <row r="1332" ht="13.65" customHeight="1">
      <c r="A1332" s="8"/>
      <c r="B1332" s="8"/>
      <c r="C1332" s="8"/>
      <c r="D1332" s="8"/>
      <c r="E1332" s="8"/>
      <c r="F1332" s="8"/>
      <c r="G1332" s="8"/>
      <c r="H1332" s="8"/>
      <c r="I1332" s="8"/>
      <c r="J1332" s="8"/>
      <c r="K1332" s="8"/>
      <c r="L1332" s="8"/>
      <c r="M1332" s="8"/>
      <c r="N1332" s="8"/>
      <c r="O1332" s="8"/>
    </row>
    <row r="1333" ht="13.65" customHeight="1">
      <c r="A1333" s="8"/>
      <c r="B1333" s="8"/>
      <c r="C1333" s="8"/>
      <c r="D1333" s="8"/>
      <c r="E1333" s="8"/>
      <c r="F1333" s="8"/>
      <c r="G1333" s="8"/>
      <c r="H1333" s="8"/>
      <c r="I1333" s="8"/>
      <c r="J1333" s="8"/>
      <c r="K1333" s="8"/>
      <c r="L1333" s="8"/>
      <c r="M1333" s="8"/>
      <c r="N1333" s="8"/>
      <c r="O1333" s="8"/>
    </row>
    <row r="1334" ht="13.65" customHeight="1">
      <c r="A1334" s="8"/>
      <c r="B1334" s="8"/>
      <c r="C1334" s="8"/>
      <c r="D1334" s="8"/>
      <c r="E1334" s="8"/>
      <c r="F1334" s="8"/>
      <c r="G1334" s="8"/>
      <c r="H1334" s="8"/>
      <c r="I1334" s="8"/>
      <c r="J1334" s="8"/>
      <c r="K1334" s="8"/>
      <c r="L1334" s="8"/>
      <c r="M1334" s="8"/>
      <c r="N1334" s="8"/>
      <c r="O1334" s="8"/>
    </row>
    <row r="1335" ht="13.65" customHeight="1">
      <c r="A1335" s="8"/>
      <c r="B1335" s="8"/>
      <c r="C1335" s="8"/>
      <c r="D1335" s="8"/>
      <c r="E1335" s="8"/>
      <c r="F1335" s="8"/>
      <c r="G1335" s="8"/>
      <c r="H1335" s="8"/>
      <c r="I1335" s="8"/>
      <c r="J1335" s="8"/>
      <c r="K1335" s="8"/>
      <c r="L1335" s="8"/>
      <c r="M1335" s="8"/>
      <c r="N1335" s="8"/>
      <c r="O1335" s="8"/>
    </row>
    <row r="1336" ht="13.65" customHeight="1">
      <c r="A1336" s="8"/>
      <c r="B1336" s="8"/>
      <c r="C1336" s="8"/>
      <c r="D1336" s="8"/>
      <c r="E1336" s="8"/>
      <c r="F1336" s="8"/>
      <c r="G1336" s="8"/>
      <c r="H1336" s="8"/>
      <c r="I1336" s="8"/>
      <c r="J1336" s="8"/>
      <c r="K1336" s="8"/>
      <c r="L1336" s="8"/>
      <c r="M1336" s="8"/>
      <c r="N1336" s="8"/>
      <c r="O1336" s="8"/>
    </row>
    <row r="1337" ht="13.65" customHeight="1">
      <c r="A1337" s="8"/>
      <c r="B1337" s="8"/>
      <c r="C1337" s="8"/>
      <c r="D1337" s="8"/>
      <c r="E1337" s="8"/>
      <c r="F1337" s="8"/>
      <c r="G1337" s="8"/>
      <c r="H1337" s="8"/>
      <c r="I1337" s="8"/>
      <c r="J1337" s="8"/>
      <c r="K1337" s="8"/>
      <c r="L1337" s="8"/>
      <c r="M1337" s="8"/>
      <c r="N1337" s="8"/>
      <c r="O1337" s="8"/>
    </row>
    <row r="1338" ht="13.65" customHeight="1">
      <c r="A1338" s="8"/>
      <c r="B1338" s="8"/>
      <c r="C1338" s="8"/>
      <c r="D1338" s="8"/>
      <c r="E1338" s="8"/>
      <c r="F1338" s="8"/>
      <c r="G1338" s="8"/>
      <c r="H1338" s="8"/>
      <c r="I1338" s="8"/>
      <c r="J1338" s="8"/>
      <c r="K1338" s="8"/>
      <c r="L1338" s="8"/>
      <c r="M1338" s="8"/>
      <c r="N1338" s="8"/>
      <c r="O1338" s="8"/>
    </row>
    <row r="1339" ht="13.65" customHeight="1">
      <c r="A1339" s="8"/>
      <c r="B1339" s="8"/>
      <c r="C1339" s="8"/>
      <c r="D1339" s="8"/>
      <c r="E1339" s="8"/>
      <c r="F1339" s="8"/>
      <c r="G1339" s="8"/>
      <c r="H1339" s="8"/>
      <c r="I1339" s="8"/>
      <c r="J1339" s="8"/>
      <c r="K1339" s="8"/>
      <c r="L1339" s="8"/>
      <c r="M1339" s="8"/>
      <c r="N1339" s="8"/>
      <c r="O1339" s="8"/>
    </row>
    <row r="1340" ht="13.65" customHeight="1">
      <c r="A1340" s="8"/>
      <c r="B1340" s="8"/>
      <c r="C1340" s="8"/>
      <c r="D1340" s="8"/>
      <c r="E1340" s="8"/>
      <c r="F1340" s="8"/>
      <c r="G1340" s="8"/>
      <c r="H1340" s="8"/>
      <c r="I1340" s="8"/>
      <c r="J1340" s="8"/>
      <c r="K1340" s="8"/>
      <c r="L1340" s="8"/>
      <c r="M1340" s="8"/>
      <c r="N1340" s="8"/>
      <c r="O1340" s="8"/>
    </row>
    <row r="1341" ht="13.65" customHeight="1">
      <c r="A1341" s="8"/>
      <c r="B1341" s="8"/>
      <c r="C1341" s="8"/>
      <c r="D1341" s="8"/>
      <c r="E1341" s="8"/>
      <c r="F1341" s="8"/>
      <c r="G1341" s="8"/>
      <c r="H1341" s="8"/>
      <c r="I1341" s="8"/>
      <c r="J1341" s="8"/>
      <c r="K1341" s="8"/>
      <c r="L1341" s="8"/>
      <c r="M1341" s="8"/>
      <c r="N1341" s="8"/>
      <c r="O1341" s="8"/>
    </row>
    <row r="1342" ht="13.65" customHeight="1">
      <c r="A1342" s="8"/>
      <c r="B1342" s="8"/>
      <c r="C1342" s="8"/>
      <c r="D1342" s="8"/>
      <c r="E1342" s="8"/>
      <c r="F1342" s="8"/>
      <c r="G1342" s="8"/>
      <c r="H1342" s="8"/>
      <c r="I1342" s="8"/>
      <c r="J1342" s="8"/>
      <c r="K1342" s="8"/>
      <c r="L1342" s="8"/>
      <c r="M1342" s="8"/>
      <c r="N1342" s="8"/>
      <c r="O1342" s="8"/>
    </row>
    <row r="1343" ht="13.65" customHeight="1">
      <c r="A1343" s="8"/>
      <c r="B1343" s="8"/>
      <c r="C1343" s="8"/>
      <c r="D1343" s="8"/>
      <c r="E1343" s="8"/>
      <c r="F1343" s="8"/>
      <c r="G1343" s="8"/>
      <c r="H1343" s="8"/>
      <c r="I1343" s="8"/>
      <c r="J1343" s="8"/>
      <c r="K1343" s="8"/>
      <c r="L1343" s="8"/>
      <c r="M1343" s="8"/>
      <c r="N1343" s="8"/>
      <c r="O1343" s="8"/>
    </row>
    <row r="1344" ht="13.65" customHeight="1">
      <c r="A1344" s="8"/>
      <c r="B1344" s="8"/>
      <c r="C1344" s="8"/>
      <c r="D1344" s="8"/>
      <c r="E1344" s="8"/>
      <c r="F1344" s="8"/>
      <c r="G1344" s="8"/>
      <c r="H1344" s="8"/>
      <c r="I1344" s="8"/>
      <c r="J1344" s="8"/>
      <c r="K1344" s="8"/>
      <c r="L1344" s="8"/>
      <c r="M1344" s="8"/>
      <c r="N1344" s="8"/>
      <c r="O1344" s="8"/>
    </row>
    <row r="1345" ht="13.65" customHeight="1">
      <c r="A1345" s="8"/>
      <c r="B1345" s="8"/>
      <c r="C1345" s="8"/>
      <c r="D1345" s="8"/>
      <c r="E1345" s="8"/>
      <c r="F1345" s="8"/>
      <c r="G1345" s="8"/>
      <c r="H1345" s="8"/>
      <c r="I1345" s="8"/>
      <c r="J1345" s="8"/>
      <c r="K1345" s="8"/>
      <c r="L1345" s="8"/>
      <c r="M1345" s="8"/>
      <c r="N1345" s="8"/>
      <c r="O1345" s="8"/>
    </row>
    <row r="1346" ht="13.65" customHeight="1">
      <c r="A1346" s="8"/>
      <c r="B1346" s="8"/>
      <c r="C1346" s="8"/>
      <c r="D1346" s="8"/>
      <c r="E1346" s="8"/>
      <c r="F1346" s="8"/>
      <c r="G1346" s="8"/>
      <c r="H1346" s="8"/>
      <c r="I1346" s="8"/>
      <c r="J1346" s="8"/>
      <c r="K1346" s="8"/>
      <c r="L1346" s="8"/>
      <c r="M1346" s="8"/>
      <c r="N1346" s="8"/>
      <c r="O1346" s="8"/>
    </row>
    <row r="1347" ht="13.65" customHeight="1">
      <c r="A1347" s="8"/>
      <c r="B1347" s="8"/>
      <c r="C1347" s="8"/>
      <c r="D1347" s="8"/>
      <c r="E1347" s="8"/>
      <c r="F1347" s="8"/>
      <c r="G1347" s="8"/>
      <c r="H1347" s="8"/>
      <c r="I1347" s="8"/>
      <c r="J1347" s="8"/>
      <c r="K1347" s="8"/>
      <c r="L1347" s="8"/>
      <c r="M1347" s="8"/>
      <c r="N1347" s="8"/>
      <c r="O1347" s="8"/>
    </row>
    <row r="1348" ht="13.65" customHeight="1">
      <c r="A1348" s="8"/>
      <c r="B1348" s="8"/>
      <c r="C1348" s="8"/>
      <c r="D1348" s="8"/>
      <c r="E1348" s="8"/>
      <c r="F1348" s="8"/>
      <c r="G1348" s="8"/>
      <c r="H1348" s="8"/>
      <c r="I1348" s="8"/>
      <c r="J1348" s="8"/>
      <c r="K1348" s="8"/>
      <c r="L1348" s="8"/>
      <c r="M1348" s="8"/>
      <c r="N1348" s="8"/>
      <c r="O1348" s="8"/>
    </row>
    <row r="1349" ht="13.65" customHeight="1">
      <c r="A1349" s="8"/>
      <c r="B1349" s="8"/>
      <c r="C1349" s="8"/>
      <c r="D1349" s="8"/>
      <c r="E1349" s="8"/>
      <c r="F1349" s="8"/>
      <c r="G1349" s="8"/>
      <c r="H1349" s="8"/>
      <c r="I1349" s="8"/>
      <c r="J1349" s="8"/>
      <c r="K1349" s="8"/>
      <c r="L1349" s="8"/>
      <c r="M1349" s="8"/>
      <c r="N1349" s="8"/>
      <c r="O1349" s="8"/>
    </row>
    <row r="1350" ht="13.65" customHeight="1">
      <c r="A1350" s="8"/>
      <c r="B1350" s="8"/>
      <c r="C1350" s="8"/>
      <c r="D1350" s="8"/>
      <c r="E1350" s="8"/>
      <c r="F1350" s="8"/>
      <c r="G1350" s="8"/>
      <c r="H1350" s="8"/>
      <c r="I1350" s="8"/>
      <c r="J1350" s="8"/>
      <c r="K1350" s="8"/>
      <c r="L1350" s="8"/>
      <c r="M1350" s="8"/>
      <c r="N1350" s="8"/>
      <c r="O1350" s="8"/>
    </row>
    <row r="1351" ht="13.65" customHeight="1">
      <c r="A1351" s="8"/>
      <c r="B1351" s="8"/>
      <c r="C1351" s="8"/>
      <c r="D1351" s="8"/>
      <c r="E1351" s="8"/>
      <c r="F1351" s="8"/>
      <c r="G1351" s="8"/>
      <c r="H1351" s="8"/>
      <c r="I1351" s="8"/>
      <c r="J1351" s="8"/>
      <c r="K1351" s="8"/>
      <c r="L1351" s="8"/>
      <c r="M1351" s="8"/>
      <c r="N1351" s="8"/>
      <c r="O1351" s="8"/>
    </row>
    <row r="1352" ht="13.65" customHeight="1">
      <c r="A1352" s="8"/>
      <c r="B1352" s="8"/>
      <c r="C1352" s="8"/>
      <c r="D1352" s="8"/>
      <c r="E1352" s="8"/>
      <c r="F1352" s="8"/>
      <c r="G1352" s="8"/>
      <c r="H1352" s="8"/>
      <c r="I1352" s="8"/>
      <c r="J1352" s="8"/>
      <c r="K1352" s="8"/>
      <c r="L1352" s="8"/>
      <c r="M1352" s="8"/>
      <c r="N1352" s="8"/>
      <c r="O1352" s="8"/>
    </row>
    <row r="1353" ht="13.65" customHeight="1">
      <c r="A1353" s="8"/>
      <c r="B1353" s="8"/>
      <c r="C1353" s="8"/>
      <c r="D1353" s="8"/>
      <c r="E1353" s="8"/>
      <c r="F1353" s="8"/>
      <c r="G1353" s="8"/>
      <c r="H1353" s="8"/>
      <c r="I1353" s="8"/>
      <c r="J1353" s="8"/>
      <c r="K1353" s="8"/>
      <c r="L1353" s="8"/>
      <c r="M1353" s="8"/>
      <c r="N1353" s="8"/>
      <c r="O1353" s="8"/>
    </row>
    <row r="1354" ht="13.65" customHeight="1">
      <c r="A1354" s="8"/>
      <c r="B1354" s="8"/>
      <c r="C1354" s="8"/>
      <c r="D1354" s="8"/>
      <c r="E1354" s="8"/>
      <c r="F1354" s="8"/>
      <c r="G1354" s="8"/>
      <c r="H1354" s="8"/>
      <c r="I1354" s="8"/>
      <c r="J1354" s="8"/>
      <c r="K1354" s="8"/>
      <c r="L1354" s="8"/>
      <c r="M1354" s="8"/>
      <c r="N1354" s="8"/>
      <c r="O1354" s="8"/>
    </row>
    <row r="1355" ht="13.65" customHeight="1">
      <c r="A1355" s="8"/>
      <c r="B1355" s="8"/>
      <c r="C1355" s="8"/>
      <c r="D1355" s="8"/>
      <c r="E1355" s="8"/>
      <c r="F1355" s="8"/>
      <c r="G1355" s="8"/>
      <c r="H1355" s="8"/>
      <c r="I1355" s="8"/>
      <c r="J1355" s="8"/>
      <c r="K1355" s="8"/>
      <c r="L1355" s="8"/>
      <c r="M1355" s="8"/>
      <c r="N1355" s="8"/>
      <c r="O1355" s="8"/>
    </row>
    <row r="1356" ht="13.65" customHeight="1">
      <c r="A1356" s="8"/>
      <c r="B1356" s="8"/>
      <c r="C1356" s="8"/>
      <c r="D1356" s="8"/>
      <c r="E1356" s="8"/>
      <c r="F1356" s="8"/>
      <c r="G1356" s="8"/>
      <c r="H1356" s="8"/>
      <c r="I1356" s="8"/>
      <c r="J1356" s="8"/>
      <c r="K1356" s="8"/>
      <c r="L1356" s="8"/>
      <c r="M1356" s="8"/>
      <c r="N1356" s="8"/>
      <c r="O1356" s="8"/>
    </row>
    <row r="1357" ht="13.65" customHeight="1">
      <c r="A1357" s="8"/>
      <c r="B1357" s="8"/>
      <c r="C1357" s="8"/>
      <c r="D1357" s="8"/>
      <c r="E1357" s="8"/>
      <c r="F1357" s="8"/>
      <c r="G1357" s="8"/>
      <c r="H1357" s="8"/>
      <c r="I1357" s="8"/>
      <c r="J1357" s="8"/>
      <c r="K1357" s="8"/>
      <c r="L1357" s="8"/>
      <c r="M1357" s="8"/>
      <c r="N1357" s="8"/>
      <c r="O1357" s="8"/>
    </row>
    <row r="1358" ht="13.65" customHeight="1">
      <c r="A1358" s="8"/>
      <c r="B1358" s="8"/>
      <c r="C1358" s="8"/>
      <c r="D1358" s="8"/>
      <c r="E1358" s="8"/>
      <c r="F1358" s="8"/>
      <c r="G1358" s="8"/>
      <c r="H1358" s="8"/>
      <c r="I1358" s="8"/>
      <c r="J1358" s="8"/>
      <c r="K1358" s="8"/>
      <c r="L1358" s="8"/>
      <c r="M1358" s="8"/>
      <c r="N1358" s="8"/>
      <c r="O1358" s="8"/>
    </row>
    <row r="1359" ht="13.65" customHeight="1">
      <c r="A1359" s="8"/>
      <c r="B1359" s="8"/>
      <c r="C1359" s="8"/>
      <c r="D1359" s="8"/>
      <c r="E1359" s="8"/>
      <c r="F1359" s="8"/>
      <c r="G1359" s="8"/>
      <c r="H1359" s="8"/>
      <c r="I1359" s="8"/>
      <c r="J1359" s="8"/>
      <c r="K1359" s="8"/>
      <c r="L1359" s="8"/>
      <c r="M1359" s="8"/>
      <c r="N1359" s="8"/>
      <c r="O1359" s="8"/>
    </row>
    <row r="1360" ht="13.65" customHeight="1">
      <c r="A1360" s="8"/>
      <c r="B1360" s="8"/>
      <c r="C1360" s="8"/>
      <c r="D1360" s="8"/>
      <c r="E1360" s="8"/>
      <c r="F1360" s="8"/>
      <c r="G1360" s="8"/>
      <c r="H1360" s="8"/>
      <c r="I1360" s="8"/>
      <c r="J1360" s="8"/>
      <c r="K1360" s="8"/>
      <c r="L1360" s="8"/>
      <c r="M1360" s="8"/>
      <c r="N1360" s="8"/>
      <c r="O1360" s="8"/>
    </row>
    <row r="1361" ht="13.65" customHeight="1">
      <c r="A1361" s="8"/>
      <c r="B1361" s="8"/>
      <c r="C1361" s="8"/>
      <c r="D1361" s="8"/>
      <c r="E1361" s="8"/>
      <c r="F1361" s="8"/>
      <c r="G1361" s="8"/>
      <c r="H1361" s="8"/>
      <c r="I1361" s="8"/>
      <c r="J1361" s="8"/>
      <c r="K1361" s="8"/>
      <c r="L1361" s="8"/>
      <c r="M1361" s="8"/>
      <c r="N1361" s="8"/>
      <c r="O1361" s="8"/>
    </row>
    <row r="1362" ht="13.65" customHeight="1">
      <c r="A1362" s="8"/>
      <c r="B1362" s="8"/>
      <c r="C1362" s="8"/>
      <c r="D1362" s="8"/>
      <c r="E1362" s="8"/>
      <c r="F1362" s="8"/>
      <c r="G1362" s="8"/>
      <c r="H1362" s="8"/>
      <c r="I1362" s="8"/>
      <c r="J1362" s="8"/>
      <c r="K1362" s="8"/>
      <c r="L1362" s="8"/>
      <c r="M1362" s="8"/>
      <c r="N1362" s="8"/>
      <c r="O1362" s="8"/>
    </row>
    <row r="1363" ht="13.65" customHeight="1">
      <c r="A1363" s="8"/>
      <c r="B1363" s="8"/>
      <c r="C1363" s="8"/>
      <c r="D1363" s="8"/>
      <c r="E1363" s="8"/>
      <c r="F1363" s="8"/>
      <c r="G1363" s="8"/>
      <c r="H1363" s="8"/>
      <c r="I1363" s="8"/>
      <c r="J1363" s="8"/>
      <c r="K1363" s="8"/>
      <c r="L1363" s="8"/>
      <c r="M1363" s="8"/>
      <c r="N1363" s="8"/>
      <c r="O1363" s="8"/>
    </row>
    <row r="1364" ht="13.65" customHeight="1">
      <c r="A1364" s="8"/>
      <c r="B1364" s="8"/>
      <c r="C1364" s="8"/>
      <c r="D1364" s="8"/>
      <c r="E1364" s="8"/>
      <c r="F1364" s="8"/>
      <c r="G1364" s="8"/>
      <c r="H1364" s="8"/>
      <c r="I1364" s="8"/>
      <c r="J1364" s="8"/>
      <c r="K1364" s="8"/>
      <c r="L1364" s="8"/>
      <c r="M1364" s="8"/>
      <c r="N1364" s="8"/>
      <c r="O1364" s="8"/>
    </row>
    <row r="1365" ht="13.65" customHeight="1">
      <c r="A1365" s="8"/>
      <c r="B1365" s="8"/>
      <c r="C1365" s="8"/>
      <c r="D1365" s="8"/>
      <c r="E1365" s="8"/>
      <c r="F1365" s="8"/>
      <c r="G1365" s="8"/>
      <c r="H1365" s="8"/>
      <c r="I1365" s="8"/>
      <c r="J1365" s="8"/>
      <c r="K1365" s="8"/>
      <c r="L1365" s="8"/>
      <c r="M1365" s="8"/>
      <c r="N1365" s="8"/>
      <c r="O1365" s="8"/>
    </row>
    <row r="1366" ht="13.65" customHeight="1">
      <c r="A1366" s="8"/>
      <c r="B1366" s="8"/>
      <c r="C1366" s="8"/>
      <c r="D1366" s="8"/>
      <c r="E1366" s="8"/>
      <c r="F1366" s="8"/>
      <c r="G1366" s="8"/>
      <c r="H1366" s="8"/>
      <c r="I1366" s="8"/>
      <c r="J1366" s="8"/>
      <c r="K1366" s="8"/>
      <c r="L1366" s="8"/>
      <c r="M1366" s="8"/>
      <c r="N1366" s="8"/>
      <c r="O1366" s="8"/>
    </row>
    <row r="1367" ht="13.65" customHeight="1">
      <c r="A1367" s="8"/>
      <c r="B1367" s="8"/>
      <c r="C1367" s="8"/>
      <c r="D1367" s="8"/>
      <c r="E1367" s="8"/>
      <c r="F1367" s="8"/>
      <c r="G1367" s="8"/>
      <c r="H1367" s="8"/>
      <c r="I1367" s="8"/>
      <c r="J1367" s="8"/>
      <c r="K1367" s="8"/>
      <c r="L1367" s="8"/>
      <c r="M1367" s="8"/>
      <c r="N1367" s="8"/>
      <c r="O1367" s="8"/>
    </row>
    <row r="1368" ht="13.65" customHeight="1">
      <c r="A1368" s="8"/>
      <c r="B1368" s="8"/>
      <c r="C1368" s="8"/>
      <c r="D1368" s="8"/>
      <c r="E1368" s="8"/>
      <c r="F1368" s="8"/>
      <c r="G1368" s="8"/>
      <c r="H1368" s="8"/>
      <c r="I1368" s="8"/>
      <c r="J1368" s="8"/>
      <c r="K1368" s="8"/>
      <c r="L1368" s="8"/>
      <c r="M1368" s="8"/>
      <c r="N1368" s="8"/>
      <c r="O1368" s="8"/>
    </row>
    <row r="1369" ht="13.65" customHeight="1">
      <c r="A1369" s="8"/>
      <c r="B1369" s="8"/>
      <c r="C1369" s="8"/>
      <c r="D1369" s="8"/>
      <c r="E1369" s="8"/>
      <c r="F1369" s="8"/>
      <c r="G1369" s="8"/>
      <c r="H1369" s="8"/>
      <c r="I1369" s="8"/>
      <c r="J1369" s="8"/>
      <c r="K1369" s="8"/>
      <c r="L1369" s="8"/>
      <c r="M1369" s="8"/>
      <c r="N1369" s="8"/>
      <c r="O1369" s="8"/>
    </row>
    <row r="1370" ht="13.65" customHeight="1">
      <c r="A1370" s="8"/>
      <c r="B1370" s="8"/>
      <c r="C1370" s="8"/>
      <c r="D1370" s="8"/>
      <c r="E1370" s="8"/>
      <c r="F1370" s="8"/>
      <c r="G1370" s="8"/>
      <c r="H1370" s="8"/>
      <c r="I1370" s="8"/>
      <c r="J1370" s="8"/>
      <c r="K1370" s="8"/>
      <c r="L1370" s="8"/>
      <c r="M1370" s="8"/>
      <c r="N1370" s="8"/>
      <c r="O1370" s="8"/>
    </row>
    <row r="1371" ht="13.65" customHeight="1">
      <c r="A1371" s="8"/>
      <c r="B1371" s="8"/>
      <c r="C1371" s="8"/>
      <c r="D1371" s="8"/>
      <c r="E1371" s="8"/>
      <c r="F1371" s="8"/>
      <c r="G1371" s="8"/>
      <c r="H1371" s="8"/>
      <c r="I1371" s="8"/>
      <c r="J1371" s="8"/>
      <c r="K1371" s="8"/>
      <c r="L1371" s="8"/>
      <c r="M1371" s="8"/>
      <c r="N1371" s="8"/>
      <c r="O1371" s="8"/>
    </row>
    <row r="1372" ht="13.65" customHeight="1">
      <c r="A1372" s="8"/>
      <c r="B1372" s="8"/>
      <c r="C1372" s="8"/>
      <c r="D1372" s="8"/>
      <c r="E1372" s="8"/>
      <c r="F1372" s="8"/>
      <c r="G1372" s="8"/>
      <c r="H1372" s="8"/>
      <c r="I1372" s="8"/>
      <c r="J1372" s="8"/>
      <c r="K1372" s="8"/>
      <c r="L1372" s="8"/>
      <c r="M1372" s="8"/>
      <c r="N1372" s="8"/>
      <c r="O1372" s="8"/>
    </row>
    <row r="1373" ht="13.65" customHeight="1">
      <c r="A1373" s="8"/>
      <c r="B1373" s="8"/>
      <c r="C1373" s="8"/>
      <c r="D1373" s="8"/>
      <c r="E1373" s="8"/>
      <c r="F1373" s="8"/>
      <c r="G1373" s="8"/>
      <c r="H1373" s="8"/>
      <c r="I1373" s="8"/>
      <c r="J1373" s="8"/>
      <c r="K1373" s="8"/>
      <c r="L1373" s="8"/>
      <c r="M1373" s="8"/>
      <c r="N1373" s="8"/>
      <c r="O1373" s="8"/>
    </row>
    <row r="1374" ht="13.65" customHeight="1">
      <c r="A1374" s="8"/>
      <c r="B1374" s="8"/>
      <c r="C1374" s="8"/>
      <c r="D1374" s="8"/>
      <c r="E1374" s="8"/>
      <c r="F1374" s="8"/>
      <c r="G1374" s="8"/>
      <c r="H1374" s="8"/>
      <c r="I1374" s="8"/>
      <c r="J1374" s="8"/>
      <c r="K1374" s="8"/>
      <c r="L1374" s="8"/>
      <c r="M1374" s="8"/>
      <c r="N1374" s="8"/>
      <c r="O1374" s="8"/>
    </row>
    <row r="1375" ht="13.65" customHeight="1">
      <c r="A1375" s="8"/>
      <c r="B1375" s="8"/>
      <c r="C1375" s="8"/>
      <c r="D1375" s="8"/>
      <c r="E1375" s="8"/>
      <c r="F1375" s="8"/>
      <c r="G1375" s="8"/>
      <c r="H1375" s="8"/>
      <c r="I1375" s="8"/>
      <c r="J1375" s="8"/>
      <c r="K1375" s="8"/>
      <c r="L1375" s="8"/>
      <c r="M1375" s="8"/>
      <c r="N1375" s="8"/>
      <c r="O1375" s="8"/>
    </row>
    <row r="1376" ht="13.65" customHeight="1">
      <c r="A1376" s="8"/>
      <c r="B1376" s="8"/>
      <c r="C1376" s="8"/>
      <c r="D1376" s="8"/>
      <c r="E1376" s="8"/>
      <c r="F1376" s="8"/>
      <c r="G1376" s="8"/>
      <c r="H1376" s="8"/>
      <c r="I1376" s="8"/>
      <c r="J1376" s="8"/>
      <c r="K1376" s="8"/>
      <c r="L1376" s="8"/>
      <c r="M1376" s="8"/>
      <c r="N1376" s="8"/>
      <c r="O1376" s="8"/>
    </row>
    <row r="1377" ht="13.65" customHeight="1">
      <c r="A1377" s="8"/>
      <c r="B1377" s="8"/>
      <c r="C1377" s="8"/>
      <c r="D1377" s="8"/>
      <c r="E1377" s="8"/>
      <c r="F1377" s="8"/>
      <c r="G1377" s="8"/>
      <c r="H1377" s="8"/>
      <c r="I1377" s="8"/>
      <c r="J1377" s="8"/>
      <c r="K1377" s="8"/>
      <c r="L1377" s="8"/>
      <c r="M1377" s="8"/>
      <c r="N1377" s="8"/>
      <c r="O1377" s="8"/>
    </row>
    <row r="1378" ht="13.65" customHeight="1">
      <c r="A1378" s="8"/>
      <c r="B1378" s="8"/>
      <c r="C1378" s="8"/>
      <c r="D1378" s="8"/>
      <c r="E1378" s="8"/>
      <c r="F1378" s="8"/>
      <c r="G1378" s="8"/>
      <c r="H1378" s="8"/>
      <c r="I1378" s="8"/>
      <c r="J1378" s="8"/>
      <c r="K1378" s="8"/>
      <c r="L1378" s="8"/>
      <c r="M1378" s="8"/>
      <c r="N1378" s="8"/>
      <c r="O1378" s="8"/>
    </row>
    <row r="1379" ht="13.65" customHeight="1">
      <c r="A1379" s="8"/>
      <c r="B1379" s="8"/>
      <c r="C1379" s="8"/>
      <c r="D1379" s="8"/>
      <c r="E1379" s="8"/>
      <c r="F1379" s="8"/>
      <c r="G1379" s="8"/>
      <c r="H1379" s="8"/>
      <c r="I1379" s="8"/>
      <c r="J1379" s="8"/>
      <c r="K1379" s="8"/>
      <c r="L1379" s="8"/>
      <c r="M1379" s="8"/>
      <c r="N1379" s="8"/>
      <c r="O1379" s="8"/>
    </row>
    <row r="1380" ht="13.65" customHeight="1">
      <c r="A1380" s="8"/>
      <c r="B1380" s="8"/>
      <c r="C1380" s="8"/>
      <c r="D1380" s="8"/>
      <c r="E1380" s="8"/>
      <c r="F1380" s="8"/>
      <c r="G1380" s="8"/>
      <c r="H1380" s="8"/>
      <c r="I1380" s="8"/>
      <c r="J1380" s="8"/>
      <c r="K1380" s="8"/>
      <c r="L1380" s="8"/>
      <c r="M1380" s="8"/>
      <c r="N1380" s="8"/>
      <c r="O1380" s="8"/>
    </row>
    <row r="1381" ht="13.65" customHeight="1">
      <c r="A1381" s="8"/>
      <c r="B1381" s="8"/>
      <c r="C1381" s="8"/>
      <c r="D1381" s="8"/>
      <c r="E1381" s="8"/>
      <c r="F1381" s="8"/>
      <c r="G1381" s="8"/>
      <c r="H1381" s="8"/>
      <c r="I1381" s="8"/>
      <c r="J1381" s="8"/>
      <c r="K1381" s="8"/>
      <c r="L1381" s="8"/>
      <c r="M1381" s="8"/>
      <c r="N1381" s="8"/>
      <c r="O1381" s="8"/>
    </row>
    <row r="1382" ht="13.65" customHeight="1">
      <c r="A1382" s="8"/>
      <c r="B1382" s="8"/>
      <c r="C1382" s="8"/>
      <c r="D1382" s="8"/>
      <c r="E1382" s="8"/>
      <c r="F1382" s="8"/>
      <c r="G1382" s="8"/>
      <c r="H1382" s="8"/>
      <c r="I1382" s="8"/>
      <c r="J1382" s="8"/>
      <c r="K1382" s="8"/>
      <c r="L1382" s="8"/>
      <c r="M1382" s="8"/>
      <c r="N1382" s="8"/>
      <c r="O1382" s="8"/>
    </row>
    <row r="1383" ht="13.65" customHeight="1">
      <c r="A1383" s="8"/>
      <c r="B1383" s="8"/>
      <c r="C1383" s="8"/>
      <c r="D1383" s="8"/>
      <c r="E1383" s="8"/>
      <c r="F1383" s="8"/>
      <c r="G1383" s="8"/>
      <c r="H1383" s="8"/>
      <c r="I1383" s="8"/>
      <c r="J1383" s="8"/>
      <c r="K1383" s="8"/>
      <c r="L1383" s="8"/>
      <c r="M1383" s="8"/>
      <c r="N1383" s="8"/>
      <c r="O1383" s="8"/>
    </row>
    <row r="1384" ht="13.65" customHeight="1">
      <c r="A1384" s="8"/>
      <c r="B1384" s="8"/>
      <c r="C1384" s="8"/>
      <c r="D1384" s="8"/>
      <c r="E1384" s="8"/>
      <c r="F1384" s="8"/>
      <c r="G1384" s="8"/>
      <c r="H1384" s="8"/>
      <c r="I1384" s="8"/>
      <c r="J1384" s="8"/>
      <c r="K1384" s="8"/>
      <c r="L1384" s="8"/>
      <c r="M1384" s="8"/>
      <c r="N1384" s="8"/>
      <c r="O1384" s="8"/>
    </row>
    <row r="1385" ht="13.65" customHeight="1">
      <c r="A1385" s="8"/>
      <c r="B1385" s="8"/>
      <c r="C1385" s="8"/>
      <c r="D1385" s="8"/>
      <c r="E1385" s="8"/>
      <c r="F1385" s="8"/>
      <c r="G1385" s="8"/>
      <c r="H1385" s="8"/>
      <c r="I1385" s="8"/>
      <c r="J1385" s="8"/>
      <c r="K1385" s="8"/>
      <c r="L1385" s="8"/>
      <c r="M1385" s="8"/>
      <c r="N1385" s="8"/>
      <c r="O1385" s="8"/>
    </row>
    <row r="1386" ht="13.65" customHeight="1">
      <c r="A1386" s="8"/>
      <c r="B1386" s="8"/>
      <c r="C1386" s="8"/>
      <c r="D1386" s="8"/>
      <c r="E1386" s="8"/>
      <c r="F1386" s="8"/>
      <c r="G1386" s="8"/>
      <c r="H1386" s="8"/>
      <c r="I1386" s="8"/>
      <c r="J1386" s="8"/>
      <c r="K1386" s="8"/>
      <c r="L1386" s="8"/>
      <c r="M1386" s="8"/>
      <c r="N1386" s="8"/>
      <c r="O1386" s="8"/>
    </row>
    <row r="1387" ht="13.65" customHeight="1">
      <c r="A1387" s="8"/>
      <c r="B1387" s="8"/>
      <c r="C1387" s="8"/>
      <c r="D1387" s="8"/>
      <c r="E1387" s="8"/>
      <c r="F1387" s="8"/>
      <c r="G1387" s="8"/>
      <c r="H1387" s="8"/>
      <c r="I1387" s="8"/>
      <c r="J1387" s="8"/>
      <c r="K1387" s="8"/>
      <c r="L1387" s="8"/>
      <c r="M1387" s="8"/>
      <c r="N1387" s="8"/>
      <c r="O1387" s="8"/>
    </row>
    <row r="1388" ht="13.65" customHeight="1">
      <c r="A1388" s="8"/>
      <c r="B1388" s="8"/>
      <c r="C1388" s="8"/>
      <c r="D1388" s="8"/>
      <c r="E1388" s="8"/>
      <c r="F1388" s="8"/>
      <c r="G1388" s="8"/>
      <c r="H1388" s="8"/>
      <c r="I1388" s="8"/>
      <c r="J1388" s="8"/>
      <c r="K1388" s="8"/>
      <c r="L1388" s="8"/>
      <c r="M1388" s="8"/>
      <c r="N1388" s="8"/>
      <c r="O1388" s="8"/>
    </row>
    <row r="1389" ht="13.65" customHeight="1">
      <c r="A1389" s="8"/>
      <c r="B1389" s="8"/>
      <c r="C1389" s="8"/>
      <c r="D1389" s="8"/>
      <c r="E1389" s="8"/>
      <c r="F1389" s="8"/>
      <c r="G1389" s="8"/>
      <c r="H1389" s="8"/>
      <c r="I1389" s="8"/>
      <c r="J1389" s="8"/>
      <c r="K1389" s="8"/>
      <c r="L1389" s="8"/>
      <c r="M1389" s="8"/>
      <c r="N1389" s="8"/>
      <c r="O1389" s="8"/>
    </row>
    <row r="1390" ht="13.65" customHeight="1">
      <c r="A1390" s="8"/>
      <c r="B1390" s="8"/>
      <c r="C1390" s="8"/>
      <c r="D1390" s="8"/>
      <c r="E1390" s="8"/>
      <c r="F1390" s="8"/>
      <c r="G1390" s="8"/>
      <c r="H1390" s="8"/>
      <c r="I1390" s="8"/>
      <c r="J1390" s="8"/>
      <c r="K1390" s="8"/>
      <c r="L1390" s="8"/>
      <c r="M1390" s="8"/>
      <c r="N1390" s="8"/>
      <c r="O1390" s="8"/>
    </row>
    <row r="1391" ht="13.65" customHeight="1">
      <c r="A1391" s="8"/>
      <c r="B1391" s="8"/>
      <c r="C1391" s="8"/>
      <c r="D1391" s="8"/>
      <c r="E1391" s="8"/>
      <c r="F1391" s="8"/>
      <c r="G1391" s="8"/>
      <c r="H1391" s="8"/>
      <c r="I1391" s="8"/>
      <c r="J1391" s="8"/>
      <c r="K1391" s="8"/>
      <c r="L1391" s="8"/>
      <c r="M1391" s="8"/>
      <c r="N1391" s="8"/>
      <c r="O1391" s="8"/>
    </row>
    <row r="1392" ht="13.65" customHeight="1">
      <c r="A1392" s="8"/>
      <c r="B1392" s="8"/>
      <c r="C1392" s="8"/>
      <c r="D1392" s="8"/>
      <c r="E1392" s="8"/>
      <c r="F1392" s="8"/>
      <c r="G1392" s="8"/>
      <c r="H1392" s="8"/>
      <c r="I1392" s="8"/>
      <c r="J1392" s="8"/>
      <c r="K1392" s="8"/>
      <c r="L1392" s="8"/>
      <c r="M1392" s="8"/>
      <c r="N1392" s="8"/>
      <c r="O1392" s="8"/>
    </row>
    <row r="1393" ht="13.65" customHeight="1">
      <c r="A1393" s="8"/>
      <c r="B1393" s="8"/>
      <c r="C1393" s="8"/>
      <c r="D1393" s="8"/>
      <c r="E1393" s="8"/>
      <c r="F1393" s="8"/>
      <c r="G1393" s="8"/>
      <c r="H1393" s="8"/>
      <c r="I1393" s="8"/>
      <c r="J1393" s="8"/>
      <c r="K1393" s="8"/>
      <c r="L1393" s="8"/>
      <c r="M1393" s="8"/>
      <c r="N1393" s="8"/>
      <c r="O1393" s="8"/>
    </row>
    <row r="1394" ht="13.65" customHeight="1">
      <c r="A1394" s="8"/>
      <c r="B1394" s="8"/>
      <c r="C1394" s="8"/>
      <c r="D1394" s="8"/>
      <c r="E1394" s="8"/>
      <c r="F1394" s="8"/>
      <c r="G1394" s="8"/>
      <c r="H1394" s="8"/>
      <c r="I1394" s="8"/>
      <c r="J1394" s="8"/>
      <c r="K1394" s="8"/>
      <c r="L1394" s="8"/>
      <c r="M1394" s="8"/>
      <c r="N1394" s="8"/>
      <c r="O1394" s="8"/>
    </row>
    <row r="1395" ht="13.65" customHeight="1">
      <c r="A1395" s="8"/>
      <c r="B1395" s="8"/>
      <c r="C1395" s="8"/>
      <c r="D1395" s="8"/>
      <c r="E1395" s="8"/>
      <c r="F1395" s="8"/>
      <c r="G1395" s="8"/>
      <c r="H1395" s="8"/>
      <c r="I1395" s="8"/>
      <c r="J1395" s="8"/>
      <c r="K1395" s="8"/>
      <c r="L1395" s="8"/>
      <c r="M1395" s="8"/>
      <c r="N1395" s="8"/>
      <c r="O1395" s="8"/>
    </row>
    <row r="1396" ht="13.65" customHeight="1">
      <c r="A1396" s="8"/>
      <c r="B1396" s="8"/>
      <c r="C1396" s="8"/>
      <c r="D1396" s="8"/>
      <c r="E1396" s="8"/>
      <c r="F1396" s="8"/>
      <c r="G1396" s="8"/>
      <c r="H1396" s="8"/>
      <c r="I1396" s="8"/>
      <c r="J1396" s="8"/>
      <c r="K1396" s="8"/>
      <c r="L1396" s="8"/>
      <c r="M1396" s="8"/>
      <c r="N1396" s="8"/>
      <c r="O1396" s="8"/>
    </row>
    <row r="1397" ht="13.65" customHeight="1">
      <c r="A1397" s="8"/>
      <c r="B1397" s="8"/>
      <c r="C1397" s="8"/>
      <c r="D1397" s="8"/>
      <c r="E1397" s="8"/>
      <c r="F1397" s="8"/>
      <c r="G1397" s="8"/>
      <c r="H1397" s="8"/>
      <c r="I1397" s="8"/>
      <c r="J1397" s="8"/>
      <c r="K1397" s="8"/>
      <c r="L1397" s="8"/>
      <c r="M1397" s="8"/>
      <c r="N1397" s="8"/>
      <c r="O1397" s="8"/>
    </row>
    <row r="1398" ht="13.65" customHeight="1">
      <c r="A1398" s="8"/>
      <c r="B1398" s="8"/>
      <c r="C1398" s="8"/>
      <c r="D1398" s="8"/>
      <c r="E1398" s="8"/>
      <c r="F1398" s="8"/>
      <c r="G1398" s="8"/>
      <c r="H1398" s="8"/>
      <c r="I1398" s="8"/>
      <c r="J1398" s="8"/>
      <c r="K1398" s="8"/>
      <c r="L1398" s="8"/>
      <c r="M1398" s="8"/>
      <c r="N1398" s="8"/>
      <c r="O1398" s="8"/>
    </row>
    <row r="1399" ht="13.65" customHeight="1">
      <c r="A1399" s="8"/>
      <c r="B1399" s="8"/>
      <c r="C1399" s="8"/>
      <c r="D1399" s="8"/>
      <c r="E1399" s="8"/>
      <c r="F1399" s="8"/>
      <c r="G1399" s="8"/>
      <c r="H1399" s="8"/>
      <c r="I1399" s="8"/>
      <c r="J1399" s="8"/>
      <c r="K1399" s="8"/>
      <c r="L1399" s="8"/>
      <c r="M1399" s="8"/>
      <c r="N1399" s="8"/>
      <c r="O1399" s="8"/>
    </row>
    <row r="1400" ht="13.65" customHeight="1">
      <c r="A1400" s="8"/>
      <c r="B1400" s="8"/>
      <c r="C1400" s="8"/>
      <c r="D1400" s="8"/>
      <c r="E1400" s="8"/>
      <c r="F1400" s="8"/>
      <c r="G1400" s="8"/>
      <c r="H1400" s="8"/>
      <c r="I1400" s="8"/>
      <c r="J1400" s="8"/>
      <c r="K1400" s="8"/>
      <c r="L1400" s="8"/>
      <c r="M1400" s="8"/>
      <c r="N1400" s="8"/>
      <c r="O1400" s="8"/>
    </row>
    <row r="1401" ht="13.65" customHeight="1">
      <c r="A1401" s="8"/>
      <c r="B1401" s="8"/>
      <c r="C1401" s="8"/>
      <c r="D1401" s="8"/>
      <c r="E1401" s="8"/>
      <c r="F1401" s="8"/>
      <c r="G1401" s="8"/>
      <c r="H1401" s="8"/>
      <c r="I1401" s="8"/>
      <c r="J1401" s="8"/>
      <c r="K1401" s="8"/>
      <c r="L1401" s="8"/>
      <c r="M1401" s="8"/>
      <c r="N1401" s="8"/>
      <c r="O1401" s="8"/>
    </row>
    <row r="1402" ht="13.65" customHeight="1">
      <c r="A1402" s="8"/>
      <c r="B1402" s="8"/>
      <c r="C1402" s="8"/>
      <c r="D1402" s="8"/>
      <c r="E1402" s="8"/>
      <c r="F1402" s="8"/>
      <c r="G1402" s="8"/>
      <c r="H1402" s="8"/>
      <c r="I1402" s="8"/>
      <c r="J1402" s="8"/>
      <c r="K1402" s="8"/>
      <c r="L1402" s="8"/>
      <c r="M1402" s="8"/>
      <c r="N1402" s="8"/>
      <c r="O1402" s="8"/>
    </row>
    <row r="1403" ht="13.65" customHeight="1">
      <c r="A1403" s="8"/>
      <c r="B1403" s="8"/>
      <c r="C1403" s="8"/>
      <c r="D1403" s="8"/>
      <c r="E1403" s="8"/>
      <c r="F1403" s="8"/>
      <c r="G1403" s="8"/>
      <c r="H1403" s="8"/>
      <c r="I1403" s="8"/>
      <c r="J1403" s="8"/>
      <c r="K1403" s="8"/>
      <c r="L1403" s="8"/>
      <c r="M1403" s="8"/>
      <c r="N1403" s="8"/>
      <c r="O1403" s="8"/>
    </row>
    <row r="1404" ht="13.65" customHeight="1">
      <c r="A1404" s="8"/>
      <c r="B1404" s="8"/>
      <c r="C1404" s="8"/>
      <c r="D1404" s="8"/>
      <c r="E1404" s="8"/>
      <c r="F1404" s="8"/>
      <c r="G1404" s="8"/>
      <c r="H1404" s="8"/>
      <c r="I1404" s="8"/>
      <c r="J1404" s="8"/>
      <c r="K1404" s="8"/>
      <c r="L1404" s="8"/>
      <c r="M1404" s="8"/>
      <c r="N1404" s="8"/>
      <c r="O1404" s="8"/>
    </row>
    <row r="1405" ht="13.65" customHeight="1">
      <c r="A1405" s="8"/>
      <c r="B1405" s="8"/>
      <c r="C1405" s="8"/>
      <c r="D1405" s="8"/>
      <c r="E1405" s="8"/>
      <c r="F1405" s="8"/>
      <c r="G1405" s="8"/>
      <c r="H1405" s="8"/>
      <c r="I1405" s="8"/>
      <c r="J1405" s="8"/>
      <c r="K1405" s="8"/>
      <c r="L1405" s="8"/>
      <c r="M1405" s="8"/>
      <c r="N1405" s="8"/>
      <c r="O1405" s="8"/>
    </row>
    <row r="1406" ht="13.65" customHeight="1">
      <c r="A1406" s="8"/>
      <c r="B1406" s="8"/>
      <c r="C1406" s="8"/>
      <c r="D1406" s="8"/>
      <c r="E1406" s="8"/>
      <c r="F1406" s="8"/>
      <c r="G1406" s="8"/>
      <c r="H1406" s="8"/>
      <c r="I1406" s="8"/>
      <c r="J1406" s="8"/>
      <c r="K1406" s="8"/>
      <c r="L1406" s="8"/>
      <c r="M1406" s="8"/>
      <c r="N1406" s="8"/>
      <c r="O1406" s="8"/>
    </row>
    <row r="1407" ht="13.65" customHeight="1">
      <c r="A1407" s="8"/>
      <c r="B1407" s="8"/>
      <c r="C1407" s="8"/>
      <c r="D1407" s="8"/>
      <c r="E1407" s="8"/>
      <c r="F1407" s="8"/>
      <c r="G1407" s="8"/>
      <c r="H1407" s="8"/>
      <c r="I1407" s="8"/>
      <c r="J1407" s="8"/>
      <c r="K1407" s="8"/>
      <c r="L1407" s="8"/>
      <c r="M1407" s="8"/>
      <c r="N1407" s="8"/>
      <c r="O1407" s="8"/>
    </row>
    <row r="1408" ht="13.65" customHeight="1">
      <c r="A1408" s="8"/>
      <c r="B1408" s="8"/>
      <c r="C1408" s="8"/>
      <c r="D1408" s="8"/>
      <c r="E1408" s="8"/>
      <c r="F1408" s="8"/>
      <c r="G1408" s="8"/>
      <c r="H1408" s="8"/>
      <c r="I1408" s="8"/>
      <c r="J1408" s="8"/>
      <c r="K1408" s="8"/>
      <c r="L1408" s="8"/>
      <c r="M1408" s="8"/>
      <c r="N1408" s="8"/>
      <c r="O1408" s="8"/>
    </row>
    <row r="1409" ht="13.65" customHeight="1">
      <c r="A1409" s="8"/>
      <c r="B1409" s="8"/>
      <c r="C1409" s="8"/>
      <c r="D1409" s="8"/>
      <c r="E1409" s="8"/>
      <c r="F1409" s="8"/>
      <c r="G1409" s="8"/>
      <c r="H1409" s="8"/>
      <c r="I1409" s="8"/>
      <c r="J1409" s="8"/>
      <c r="K1409" s="8"/>
      <c r="L1409" s="8"/>
      <c r="M1409" s="8"/>
      <c r="N1409" s="8"/>
      <c r="O1409" s="8"/>
    </row>
    <row r="1410" ht="13.65" customHeight="1">
      <c r="A1410" s="8"/>
      <c r="B1410" s="8"/>
      <c r="C1410" s="8"/>
      <c r="D1410" s="8"/>
      <c r="E1410" s="8"/>
      <c r="F1410" s="8"/>
      <c r="G1410" s="8"/>
      <c r="H1410" s="8"/>
      <c r="I1410" s="8"/>
      <c r="J1410" s="8"/>
      <c r="K1410" s="8"/>
      <c r="L1410" s="8"/>
      <c r="M1410" s="8"/>
      <c r="N1410" s="8"/>
      <c r="O1410" s="8"/>
    </row>
    <row r="1411" ht="13.65" customHeight="1">
      <c r="A1411" s="8"/>
      <c r="B1411" s="8"/>
      <c r="C1411" s="8"/>
      <c r="D1411" s="8"/>
      <c r="E1411" s="8"/>
      <c r="F1411" s="8"/>
      <c r="G1411" s="8"/>
      <c r="H1411" s="8"/>
      <c r="I1411" s="8"/>
      <c r="J1411" s="8"/>
      <c r="K1411" s="8"/>
      <c r="L1411" s="8"/>
      <c r="M1411" s="8"/>
      <c r="N1411" s="8"/>
      <c r="O1411" s="8"/>
    </row>
    <row r="1412" ht="13.65" customHeight="1">
      <c r="A1412" s="8"/>
      <c r="B1412" s="8"/>
      <c r="C1412" s="8"/>
      <c r="D1412" s="8"/>
      <c r="E1412" s="8"/>
      <c r="F1412" s="8"/>
      <c r="G1412" s="8"/>
      <c r="H1412" s="8"/>
      <c r="I1412" s="8"/>
      <c r="J1412" s="8"/>
      <c r="K1412" s="8"/>
      <c r="L1412" s="8"/>
      <c r="M1412" s="8"/>
      <c r="N1412" s="8"/>
      <c r="O1412" s="8"/>
    </row>
    <row r="1413" ht="13.65" customHeight="1">
      <c r="A1413" s="8"/>
      <c r="B1413" s="8"/>
      <c r="C1413" s="8"/>
      <c r="D1413" s="8"/>
      <c r="E1413" s="8"/>
      <c r="F1413" s="8"/>
      <c r="G1413" s="8"/>
      <c r="H1413" s="8"/>
      <c r="I1413" s="8"/>
      <c r="J1413" s="8"/>
      <c r="K1413" s="8"/>
      <c r="L1413" s="8"/>
      <c r="M1413" s="8"/>
      <c r="N1413" s="8"/>
      <c r="O1413" s="8"/>
    </row>
    <row r="1414" ht="13.65" customHeight="1">
      <c r="A1414" s="8"/>
      <c r="B1414" s="8"/>
      <c r="C1414" s="8"/>
      <c r="D1414" s="8"/>
      <c r="E1414" s="8"/>
      <c r="F1414" s="8"/>
      <c r="G1414" s="8"/>
      <c r="H1414" s="8"/>
      <c r="I1414" s="8"/>
      <c r="J1414" s="8"/>
      <c r="K1414" s="8"/>
      <c r="L1414" s="8"/>
      <c r="M1414" s="8"/>
      <c r="N1414" s="8"/>
      <c r="O1414" s="8"/>
    </row>
    <row r="1415" ht="13.65" customHeight="1">
      <c r="A1415" s="8"/>
      <c r="B1415" s="8"/>
      <c r="C1415" s="8"/>
      <c r="D1415" s="8"/>
      <c r="E1415" s="8"/>
      <c r="F1415" s="8"/>
      <c r="G1415" s="8"/>
      <c r="H1415" s="8"/>
      <c r="I1415" s="8"/>
      <c r="J1415" s="8"/>
      <c r="K1415" s="8"/>
      <c r="L1415" s="8"/>
      <c r="M1415" s="8"/>
      <c r="N1415" s="8"/>
      <c r="O1415" s="8"/>
    </row>
    <row r="1416" ht="13.65" customHeight="1">
      <c r="A1416" s="8"/>
      <c r="B1416" s="8"/>
      <c r="C1416" s="8"/>
      <c r="D1416" s="8"/>
      <c r="E1416" s="8"/>
      <c r="F1416" s="8"/>
      <c r="G1416" s="8"/>
      <c r="H1416" s="8"/>
      <c r="I1416" s="8"/>
      <c r="J1416" s="8"/>
      <c r="K1416" s="8"/>
      <c r="L1416" s="8"/>
      <c r="M1416" s="8"/>
      <c r="N1416" s="8"/>
      <c r="O1416" s="8"/>
    </row>
    <row r="1417" ht="13.65" customHeight="1">
      <c r="A1417" s="8"/>
      <c r="B1417" s="8"/>
      <c r="C1417" s="8"/>
      <c r="D1417" s="8"/>
      <c r="E1417" s="8"/>
      <c r="F1417" s="8"/>
      <c r="G1417" s="8"/>
      <c r="H1417" s="8"/>
      <c r="I1417" s="8"/>
      <c r="J1417" s="8"/>
      <c r="K1417" s="8"/>
      <c r="L1417" s="8"/>
      <c r="M1417" s="8"/>
      <c r="N1417" s="8"/>
      <c r="O1417" s="8"/>
    </row>
    <row r="1418" ht="13.65" customHeight="1">
      <c r="A1418" s="8"/>
      <c r="B1418" s="8"/>
      <c r="C1418" s="8"/>
      <c r="D1418" s="8"/>
      <c r="E1418" s="8"/>
      <c r="F1418" s="8"/>
      <c r="G1418" s="8"/>
      <c r="H1418" s="8"/>
      <c r="I1418" s="8"/>
      <c r="J1418" s="8"/>
      <c r="K1418" s="8"/>
      <c r="L1418" s="8"/>
      <c r="M1418" s="8"/>
      <c r="N1418" s="8"/>
      <c r="O1418" s="8"/>
    </row>
    <row r="1419" ht="13.65" customHeight="1">
      <c r="A1419" s="8"/>
      <c r="B1419" s="8"/>
      <c r="C1419" s="8"/>
      <c r="D1419" s="8"/>
      <c r="E1419" s="8"/>
      <c r="F1419" s="8"/>
      <c r="G1419" s="8"/>
      <c r="H1419" s="8"/>
      <c r="I1419" s="8"/>
      <c r="J1419" s="8"/>
      <c r="K1419" s="8"/>
      <c r="L1419" s="8"/>
      <c r="M1419" s="8"/>
      <c r="N1419" s="8"/>
      <c r="O1419" s="8"/>
    </row>
    <row r="1420" ht="13.65" customHeight="1">
      <c r="A1420" s="8"/>
      <c r="B1420" s="8"/>
      <c r="C1420" s="8"/>
      <c r="D1420" s="8"/>
      <c r="E1420" s="8"/>
      <c r="F1420" s="8"/>
      <c r="G1420" s="8"/>
      <c r="H1420" s="8"/>
      <c r="I1420" s="8"/>
      <c r="J1420" s="8"/>
      <c r="K1420" s="8"/>
      <c r="L1420" s="8"/>
      <c r="M1420" s="8"/>
      <c r="N1420" s="8"/>
      <c r="O1420" s="8"/>
    </row>
    <row r="1421" ht="13.65" customHeight="1">
      <c r="A1421" s="8"/>
      <c r="B1421" s="8"/>
      <c r="C1421" s="8"/>
      <c r="D1421" s="8"/>
      <c r="E1421" s="8"/>
      <c r="F1421" s="8"/>
      <c r="G1421" s="8"/>
      <c r="H1421" s="8"/>
      <c r="I1421" s="8"/>
      <c r="J1421" s="8"/>
      <c r="K1421" s="8"/>
      <c r="L1421" s="8"/>
      <c r="M1421" s="8"/>
      <c r="N1421" s="8"/>
      <c r="O1421" s="8"/>
    </row>
    <row r="1422" ht="13.65" customHeight="1">
      <c r="A1422" s="8"/>
      <c r="B1422" s="8"/>
      <c r="C1422" s="8"/>
      <c r="D1422" s="8"/>
      <c r="E1422" s="8"/>
      <c r="F1422" s="8"/>
      <c r="G1422" s="8"/>
      <c r="H1422" s="8"/>
      <c r="I1422" s="8"/>
      <c r="J1422" s="8"/>
      <c r="K1422" s="8"/>
      <c r="L1422" s="8"/>
      <c r="M1422" s="8"/>
      <c r="N1422" s="8"/>
      <c r="O1422" s="8"/>
    </row>
    <row r="1423" ht="13.65" customHeight="1">
      <c r="A1423" s="8"/>
      <c r="B1423" s="8"/>
      <c r="C1423" s="8"/>
      <c r="D1423" s="8"/>
      <c r="E1423" s="8"/>
      <c r="F1423" s="8"/>
      <c r="G1423" s="8"/>
      <c r="H1423" s="8"/>
      <c r="I1423" s="8"/>
      <c r="J1423" s="8"/>
      <c r="K1423" s="8"/>
      <c r="L1423" s="8"/>
      <c r="M1423" s="8"/>
      <c r="N1423" s="8"/>
      <c r="O1423" s="8"/>
    </row>
    <row r="1424" ht="13.65" customHeight="1">
      <c r="A1424" s="8"/>
      <c r="B1424" s="8"/>
      <c r="C1424" s="8"/>
      <c r="D1424" s="8"/>
      <c r="E1424" s="8"/>
      <c r="F1424" s="8"/>
      <c r="G1424" s="8"/>
      <c r="H1424" s="8"/>
      <c r="I1424" s="8"/>
      <c r="J1424" s="8"/>
      <c r="K1424" s="8"/>
      <c r="L1424" s="8"/>
      <c r="M1424" s="8"/>
      <c r="N1424" s="8"/>
      <c r="O1424" s="8"/>
    </row>
    <row r="1425" ht="13.65" customHeight="1">
      <c r="A1425" s="8"/>
      <c r="B1425" s="8"/>
      <c r="C1425" s="8"/>
      <c r="D1425" s="8"/>
      <c r="E1425" s="8"/>
      <c r="F1425" s="8"/>
      <c r="G1425" s="8"/>
      <c r="H1425" s="8"/>
      <c r="I1425" s="8"/>
      <c r="J1425" s="8"/>
      <c r="K1425" s="8"/>
      <c r="L1425" s="8"/>
      <c r="M1425" s="8"/>
      <c r="N1425" s="8"/>
      <c r="O1425" s="8"/>
    </row>
    <row r="1426" ht="13.65" customHeight="1">
      <c r="A1426" s="8"/>
      <c r="B1426" s="8"/>
      <c r="C1426" s="8"/>
      <c r="D1426" s="8"/>
      <c r="E1426" s="8"/>
      <c r="F1426" s="8"/>
      <c r="G1426" s="8"/>
      <c r="H1426" s="8"/>
      <c r="I1426" s="8"/>
      <c r="J1426" s="8"/>
      <c r="K1426" s="8"/>
      <c r="L1426" s="8"/>
      <c r="M1426" s="8"/>
      <c r="N1426" s="8"/>
      <c r="O1426" s="8"/>
    </row>
    <row r="1427" ht="13.65" customHeight="1">
      <c r="A1427" s="8"/>
      <c r="B1427" s="8"/>
      <c r="C1427" s="8"/>
      <c r="D1427" s="8"/>
      <c r="E1427" s="8"/>
      <c r="F1427" s="8"/>
      <c r="G1427" s="8"/>
      <c r="H1427" s="8"/>
      <c r="I1427" s="8"/>
      <c r="J1427" s="8"/>
      <c r="K1427" s="8"/>
      <c r="L1427" s="8"/>
      <c r="M1427" s="8"/>
      <c r="N1427" s="8"/>
      <c r="O1427" s="8"/>
    </row>
    <row r="1428" ht="13.65" customHeight="1">
      <c r="A1428" s="8"/>
      <c r="B1428" s="8"/>
      <c r="C1428" s="8"/>
      <c r="D1428" s="8"/>
      <c r="E1428" s="8"/>
      <c r="F1428" s="8"/>
      <c r="G1428" s="8"/>
      <c r="H1428" s="8"/>
      <c r="I1428" s="8"/>
      <c r="J1428" s="8"/>
      <c r="K1428" s="8"/>
      <c r="L1428" s="8"/>
      <c r="M1428" s="8"/>
      <c r="N1428" s="8"/>
      <c r="O1428" s="8"/>
    </row>
    <row r="1429" ht="13.65" customHeight="1">
      <c r="A1429" s="8"/>
      <c r="B1429" s="8"/>
      <c r="C1429" s="8"/>
      <c r="D1429" s="8"/>
      <c r="E1429" s="8"/>
      <c r="F1429" s="8"/>
      <c r="G1429" s="8"/>
      <c r="H1429" s="8"/>
      <c r="I1429" s="8"/>
      <c r="J1429" s="8"/>
      <c r="K1429" s="8"/>
      <c r="L1429" s="8"/>
      <c r="M1429" s="8"/>
      <c r="N1429" s="8"/>
      <c r="O1429" s="8"/>
    </row>
    <row r="1430" ht="13.65" customHeight="1">
      <c r="A1430" s="8"/>
      <c r="B1430" s="8"/>
      <c r="C1430" s="8"/>
      <c r="D1430" s="8"/>
      <c r="E1430" s="8"/>
      <c r="F1430" s="8"/>
      <c r="G1430" s="8"/>
      <c r="H1430" s="8"/>
      <c r="I1430" s="8"/>
      <c r="J1430" s="8"/>
      <c r="K1430" s="8"/>
      <c r="L1430" s="8"/>
      <c r="M1430" s="8"/>
      <c r="N1430" s="8"/>
      <c r="O1430" s="8"/>
    </row>
    <row r="1431" ht="13.65" customHeight="1">
      <c r="A1431" s="8"/>
      <c r="B1431" s="8"/>
      <c r="C1431" s="8"/>
      <c r="D1431" s="8"/>
      <c r="E1431" s="8"/>
      <c r="F1431" s="8"/>
      <c r="G1431" s="8"/>
      <c r="H1431" s="8"/>
      <c r="I1431" s="8"/>
      <c r="J1431" s="8"/>
      <c r="K1431" s="8"/>
      <c r="L1431" s="8"/>
      <c r="M1431" s="8"/>
      <c r="N1431" s="8"/>
      <c r="O1431" s="8"/>
    </row>
    <row r="1432" ht="13.65" customHeight="1">
      <c r="A1432" s="8"/>
      <c r="B1432" s="8"/>
      <c r="C1432" s="8"/>
      <c r="D1432" s="8"/>
      <c r="E1432" s="8"/>
      <c r="F1432" s="8"/>
      <c r="G1432" s="8"/>
      <c r="H1432" s="8"/>
      <c r="I1432" s="8"/>
      <c r="J1432" s="8"/>
      <c r="K1432" s="8"/>
      <c r="L1432" s="8"/>
      <c r="M1432" s="8"/>
      <c r="N1432" s="8"/>
      <c r="O1432" s="8"/>
    </row>
    <row r="1433" ht="13.65" customHeight="1">
      <c r="A1433" s="8"/>
      <c r="B1433" s="8"/>
      <c r="C1433" s="8"/>
      <c r="D1433" s="8"/>
      <c r="E1433" s="8"/>
      <c r="F1433" s="8"/>
      <c r="G1433" s="8"/>
      <c r="H1433" s="8"/>
      <c r="I1433" s="8"/>
      <c r="J1433" s="8"/>
      <c r="K1433" s="8"/>
      <c r="L1433" s="8"/>
      <c r="M1433" s="8"/>
      <c r="N1433" s="8"/>
      <c r="O1433" s="8"/>
    </row>
    <row r="1434" ht="13.65" customHeight="1">
      <c r="A1434" s="8"/>
      <c r="B1434" s="8"/>
      <c r="C1434" s="8"/>
      <c r="D1434" s="8"/>
      <c r="E1434" s="8"/>
      <c r="F1434" s="8"/>
      <c r="G1434" s="8"/>
      <c r="H1434" s="8"/>
      <c r="I1434" s="8"/>
      <c r="J1434" s="8"/>
      <c r="K1434" s="8"/>
      <c r="L1434" s="8"/>
      <c r="M1434" s="8"/>
      <c r="N1434" s="8"/>
      <c r="O1434" s="8"/>
    </row>
    <row r="1435" ht="13.65" customHeight="1">
      <c r="A1435" s="8"/>
      <c r="B1435" s="8"/>
      <c r="C1435" s="8"/>
      <c r="D1435" s="8"/>
      <c r="E1435" s="8"/>
      <c r="F1435" s="8"/>
      <c r="G1435" s="8"/>
      <c r="H1435" s="8"/>
      <c r="I1435" s="8"/>
      <c r="J1435" s="8"/>
      <c r="K1435" s="8"/>
      <c r="L1435" s="8"/>
      <c r="M1435" s="8"/>
      <c r="N1435" s="8"/>
      <c r="O1435" s="8"/>
    </row>
    <row r="1436" ht="13.65" customHeight="1">
      <c r="A1436" s="8"/>
      <c r="B1436" s="8"/>
      <c r="C1436" s="8"/>
      <c r="D1436" s="8"/>
      <c r="E1436" s="8"/>
      <c r="F1436" s="8"/>
      <c r="G1436" s="8"/>
      <c r="H1436" s="8"/>
      <c r="I1436" s="8"/>
      <c r="J1436" s="8"/>
      <c r="K1436" s="8"/>
      <c r="L1436" s="8"/>
      <c r="M1436" s="8"/>
      <c r="N1436" s="8"/>
      <c r="O1436" s="8"/>
    </row>
    <row r="1437" ht="13.65" customHeight="1">
      <c r="A1437" s="8"/>
      <c r="B1437" s="8"/>
      <c r="C1437" s="8"/>
      <c r="D1437" s="8"/>
      <c r="E1437" s="8"/>
      <c r="F1437" s="8"/>
      <c r="G1437" s="8"/>
      <c r="H1437" s="8"/>
      <c r="I1437" s="8"/>
      <c r="J1437" s="8"/>
      <c r="K1437" s="8"/>
      <c r="L1437" s="8"/>
      <c r="M1437" s="8"/>
      <c r="N1437" s="8"/>
      <c r="O1437" s="8"/>
    </row>
    <row r="1438" ht="13.65" customHeight="1">
      <c r="A1438" s="8"/>
      <c r="B1438" s="8"/>
      <c r="C1438" s="8"/>
      <c r="D1438" s="8"/>
      <c r="E1438" s="8"/>
      <c r="F1438" s="8"/>
      <c r="G1438" s="8"/>
      <c r="H1438" s="8"/>
      <c r="I1438" s="8"/>
      <c r="J1438" s="8"/>
      <c r="K1438" s="8"/>
      <c r="L1438" s="8"/>
      <c r="M1438" s="8"/>
      <c r="N1438" s="8"/>
      <c r="O1438" s="8"/>
    </row>
    <row r="1439" ht="13.65" customHeight="1">
      <c r="A1439" s="8"/>
      <c r="B1439" s="8"/>
      <c r="C1439" s="8"/>
      <c r="D1439" s="8"/>
      <c r="E1439" s="8"/>
      <c r="F1439" s="8"/>
      <c r="G1439" s="8"/>
      <c r="H1439" s="8"/>
      <c r="I1439" s="8"/>
      <c r="J1439" s="8"/>
      <c r="K1439" s="8"/>
      <c r="L1439" s="8"/>
      <c r="M1439" s="8"/>
      <c r="N1439" s="8"/>
      <c r="O1439" s="8"/>
    </row>
    <row r="1440" ht="13.65" customHeight="1">
      <c r="A1440" s="8"/>
      <c r="B1440" s="8"/>
      <c r="C1440" s="8"/>
      <c r="D1440" s="8"/>
      <c r="E1440" s="8"/>
      <c r="F1440" s="8"/>
      <c r="G1440" s="8"/>
      <c r="H1440" s="8"/>
      <c r="I1440" s="8"/>
      <c r="J1440" s="8"/>
      <c r="K1440" s="8"/>
      <c r="L1440" s="8"/>
      <c r="M1440" s="8"/>
      <c r="N1440" s="8"/>
      <c r="O1440" s="8"/>
    </row>
    <row r="1441" ht="13.65" customHeight="1">
      <c r="A1441" s="8"/>
      <c r="B1441" s="8"/>
      <c r="C1441" s="8"/>
      <c r="D1441" s="8"/>
      <c r="E1441" s="8"/>
      <c r="F1441" s="8"/>
      <c r="G1441" s="8"/>
      <c r="H1441" s="8"/>
      <c r="I1441" s="8"/>
      <c r="J1441" s="8"/>
      <c r="K1441" s="8"/>
      <c r="L1441" s="8"/>
      <c r="M1441" s="8"/>
      <c r="N1441" s="8"/>
      <c r="O1441" s="8"/>
    </row>
    <row r="1442" ht="13.65" customHeight="1">
      <c r="A1442" s="8"/>
      <c r="B1442" s="8"/>
      <c r="C1442" s="8"/>
      <c r="D1442" s="8"/>
      <c r="E1442" s="8"/>
      <c r="F1442" s="8"/>
      <c r="G1442" s="8"/>
      <c r="H1442" s="8"/>
      <c r="I1442" s="8"/>
      <c r="J1442" s="8"/>
      <c r="K1442" s="8"/>
      <c r="L1442" s="8"/>
      <c r="M1442" s="8"/>
      <c r="N1442" s="8"/>
      <c r="O1442" s="8"/>
    </row>
    <row r="1443" ht="13.65" customHeight="1">
      <c r="A1443" s="8"/>
      <c r="B1443" s="8"/>
      <c r="C1443" s="8"/>
      <c r="D1443" s="8"/>
      <c r="E1443" s="8"/>
      <c r="F1443" s="8"/>
      <c r="G1443" s="8"/>
      <c r="H1443" s="8"/>
      <c r="I1443" s="8"/>
      <c r="J1443" s="8"/>
      <c r="K1443" s="8"/>
      <c r="L1443" s="8"/>
      <c r="M1443" s="8"/>
      <c r="N1443" s="8"/>
      <c r="O1443" s="8"/>
    </row>
    <row r="1444" ht="13.65" customHeight="1">
      <c r="A1444" s="8"/>
      <c r="B1444" s="8"/>
      <c r="C1444" s="8"/>
      <c r="D1444" s="8"/>
      <c r="E1444" s="8"/>
      <c r="F1444" s="8"/>
      <c r="G1444" s="8"/>
      <c r="H1444" s="8"/>
      <c r="I1444" s="8"/>
      <c r="J1444" s="8"/>
      <c r="K1444" s="8"/>
      <c r="L1444" s="8"/>
      <c r="M1444" s="8"/>
      <c r="N1444" s="8"/>
      <c r="O1444" s="8"/>
    </row>
    <row r="1445" ht="13.65" customHeight="1">
      <c r="A1445" s="8"/>
      <c r="B1445" s="8"/>
      <c r="C1445" s="8"/>
      <c r="D1445" s="8"/>
      <c r="E1445" s="8"/>
      <c r="F1445" s="8"/>
      <c r="G1445" s="8"/>
      <c r="H1445" s="8"/>
      <c r="I1445" s="8"/>
      <c r="J1445" s="8"/>
      <c r="K1445" s="8"/>
      <c r="L1445" s="8"/>
      <c r="M1445" s="8"/>
      <c r="N1445" s="8"/>
      <c r="O1445" s="8"/>
    </row>
    <row r="1446" ht="13.65" customHeight="1">
      <c r="A1446" s="8"/>
      <c r="B1446" s="8"/>
      <c r="C1446" s="8"/>
      <c r="D1446" s="8"/>
      <c r="E1446" s="8"/>
      <c r="F1446" s="8"/>
      <c r="G1446" s="8"/>
      <c r="H1446" s="8"/>
      <c r="I1446" s="8"/>
      <c r="J1446" s="8"/>
      <c r="K1446" s="8"/>
      <c r="L1446" s="8"/>
      <c r="M1446" s="8"/>
      <c r="N1446" s="8"/>
      <c r="O1446" s="8"/>
    </row>
    <row r="1447" ht="13.65" customHeight="1">
      <c r="A1447" s="8"/>
      <c r="B1447" s="8"/>
      <c r="C1447" s="8"/>
      <c r="D1447" s="8"/>
      <c r="E1447" s="8"/>
      <c r="F1447" s="8"/>
      <c r="G1447" s="8"/>
      <c r="H1447" s="8"/>
      <c r="I1447" s="8"/>
      <c r="J1447" s="8"/>
      <c r="K1447" s="8"/>
      <c r="L1447" s="8"/>
      <c r="M1447" s="8"/>
      <c r="N1447" s="8"/>
      <c r="O1447" s="8"/>
    </row>
    <row r="1448" ht="13.65" customHeight="1">
      <c r="A1448" s="8"/>
      <c r="B1448" s="8"/>
      <c r="C1448" s="8"/>
      <c r="D1448" s="8"/>
      <c r="E1448" s="8"/>
      <c r="F1448" s="8"/>
      <c r="G1448" s="8"/>
      <c r="H1448" s="8"/>
      <c r="I1448" s="8"/>
      <c r="J1448" s="8"/>
      <c r="K1448" s="8"/>
      <c r="L1448" s="8"/>
      <c r="M1448" s="8"/>
      <c r="N1448" s="8"/>
      <c r="O1448" s="8"/>
    </row>
    <row r="1449" ht="13.65" customHeight="1">
      <c r="A1449" s="8"/>
      <c r="B1449" s="8"/>
      <c r="C1449" s="8"/>
      <c r="D1449" s="8"/>
      <c r="E1449" s="8"/>
      <c r="F1449" s="8"/>
      <c r="G1449" s="8"/>
      <c r="H1449" s="8"/>
      <c r="I1449" s="8"/>
      <c r="J1449" s="8"/>
      <c r="K1449" s="8"/>
      <c r="L1449" s="8"/>
      <c r="M1449" s="8"/>
      <c r="N1449" s="8"/>
      <c r="O1449" s="8"/>
    </row>
    <row r="1450" ht="13.65" customHeight="1">
      <c r="A1450" s="8"/>
      <c r="B1450" s="8"/>
      <c r="C1450" s="8"/>
      <c r="D1450" s="8"/>
      <c r="E1450" s="8"/>
      <c r="F1450" s="8"/>
      <c r="G1450" s="8"/>
      <c r="H1450" s="8"/>
      <c r="I1450" s="8"/>
      <c r="J1450" s="8"/>
      <c r="K1450" s="8"/>
      <c r="L1450" s="8"/>
      <c r="M1450" s="8"/>
      <c r="N1450" s="8"/>
      <c r="O1450" s="8"/>
    </row>
    <row r="1451" ht="13.65" customHeight="1">
      <c r="A1451" s="8"/>
      <c r="B1451" s="8"/>
      <c r="C1451" s="8"/>
      <c r="D1451" s="8"/>
      <c r="E1451" s="8"/>
      <c r="F1451" s="8"/>
      <c r="G1451" s="8"/>
      <c r="H1451" s="8"/>
      <c r="I1451" s="8"/>
      <c r="J1451" s="8"/>
      <c r="K1451" s="8"/>
      <c r="L1451" s="8"/>
      <c r="M1451" s="8"/>
      <c r="N1451" s="8"/>
      <c r="O1451" s="8"/>
    </row>
    <row r="1452" ht="13.65" customHeight="1">
      <c r="A1452" s="8"/>
      <c r="B1452" s="8"/>
      <c r="C1452" s="8"/>
      <c r="D1452" s="8"/>
      <c r="E1452" s="8"/>
      <c r="F1452" s="8"/>
      <c r="G1452" s="8"/>
      <c r="H1452" s="8"/>
      <c r="I1452" s="8"/>
      <c r="J1452" s="8"/>
      <c r="K1452" s="8"/>
      <c r="L1452" s="8"/>
      <c r="M1452" s="8"/>
      <c r="N1452" s="8"/>
      <c r="O1452" s="8"/>
    </row>
    <row r="1453" ht="13.65" customHeight="1">
      <c r="A1453" s="8"/>
      <c r="B1453" s="8"/>
      <c r="C1453" s="8"/>
      <c r="D1453" s="8"/>
      <c r="E1453" s="8"/>
      <c r="F1453" s="8"/>
      <c r="G1453" s="8"/>
      <c r="H1453" s="8"/>
      <c r="I1453" s="8"/>
      <c r="J1453" s="8"/>
      <c r="K1453" s="8"/>
      <c r="L1453" s="8"/>
      <c r="M1453" s="8"/>
      <c r="N1453" s="8"/>
      <c r="O1453" s="8"/>
    </row>
    <row r="1454" ht="13.65" customHeight="1">
      <c r="A1454" s="8"/>
      <c r="B1454" s="8"/>
      <c r="C1454" s="8"/>
      <c r="D1454" s="8"/>
      <c r="E1454" s="8"/>
      <c r="F1454" s="8"/>
      <c r="G1454" s="8"/>
      <c r="H1454" s="8"/>
      <c r="I1454" s="8"/>
      <c r="J1454" s="8"/>
      <c r="K1454" s="8"/>
      <c r="L1454" s="8"/>
      <c r="M1454" s="8"/>
      <c r="N1454" s="8"/>
      <c r="O1454" s="8"/>
    </row>
    <row r="1455" ht="13.65" customHeight="1">
      <c r="A1455" s="8"/>
      <c r="B1455" s="8"/>
      <c r="C1455" s="8"/>
      <c r="D1455" s="8"/>
      <c r="E1455" s="8"/>
      <c r="F1455" s="8"/>
      <c r="G1455" s="8"/>
      <c r="H1455" s="8"/>
      <c r="I1455" s="8"/>
      <c r="J1455" s="8"/>
      <c r="K1455" s="8"/>
      <c r="L1455" s="8"/>
      <c r="M1455" s="8"/>
      <c r="N1455" s="8"/>
      <c r="O1455" s="8"/>
    </row>
    <row r="1456" ht="13.65" customHeight="1">
      <c r="A1456" s="8"/>
      <c r="B1456" s="8"/>
      <c r="C1456" s="8"/>
      <c r="D1456" s="8"/>
      <c r="E1456" s="8"/>
      <c r="F1456" s="8"/>
      <c r="G1456" s="8"/>
      <c r="H1456" s="8"/>
      <c r="I1456" s="8"/>
      <c r="J1456" s="8"/>
      <c r="K1456" s="8"/>
      <c r="L1456" s="8"/>
      <c r="M1456" s="8"/>
      <c r="N1456" s="8"/>
      <c r="O1456" s="8"/>
    </row>
    <row r="1457" ht="13.65" customHeight="1">
      <c r="A1457" s="8"/>
      <c r="B1457" s="8"/>
      <c r="C1457" s="8"/>
      <c r="D1457" s="8"/>
      <c r="E1457" s="8"/>
      <c r="F1457" s="8"/>
      <c r="G1457" s="8"/>
      <c r="H1457" s="8"/>
      <c r="I1457" s="8"/>
      <c r="J1457" s="8"/>
      <c r="K1457" s="8"/>
      <c r="L1457" s="8"/>
      <c r="M1457" s="8"/>
      <c r="N1457" s="8"/>
      <c r="O1457" s="8"/>
    </row>
    <row r="1458" ht="13.65" customHeight="1">
      <c r="A1458" s="8"/>
      <c r="B1458" s="8"/>
      <c r="C1458" s="8"/>
      <c r="D1458" s="8"/>
      <c r="E1458" s="8"/>
      <c r="F1458" s="8"/>
      <c r="G1458" s="8"/>
      <c r="H1458" s="8"/>
      <c r="I1458" s="8"/>
      <c r="J1458" s="8"/>
      <c r="K1458" s="8"/>
      <c r="L1458" s="8"/>
      <c r="M1458" s="8"/>
      <c r="N1458" s="8"/>
      <c r="O1458" s="8"/>
    </row>
    <row r="1459" ht="13.65" customHeight="1">
      <c r="A1459" s="8"/>
      <c r="B1459" s="8"/>
      <c r="C1459" s="8"/>
      <c r="D1459" s="8"/>
      <c r="E1459" s="8"/>
      <c r="F1459" s="8"/>
      <c r="G1459" s="8"/>
      <c r="H1459" s="8"/>
      <c r="I1459" s="8"/>
      <c r="J1459" s="8"/>
      <c r="K1459" s="8"/>
      <c r="L1459" s="8"/>
      <c r="M1459" s="8"/>
      <c r="N1459" s="8"/>
      <c r="O1459" s="8"/>
    </row>
    <row r="1460" ht="13.65" customHeight="1">
      <c r="A1460" s="8"/>
      <c r="B1460" s="8"/>
      <c r="C1460" s="8"/>
      <c r="D1460" s="8"/>
      <c r="E1460" s="8"/>
      <c r="F1460" s="8"/>
      <c r="G1460" s="8"/>
      <c r="H1460" s="8"/>
      <c r="I1460" s="8"/>
      <c r="J1460" s="8"/>
      <c r="K1460" s="8"/>
      <c r="L1460" s="8"/>
      <c r="M1460" s="8"/>
      <c r="N1460" s="8"/>
      <c r="O1460" s="8"/>
    </row>
    <row r="1461" ht="13.65" customHeight="1">
      <c r="A1461" s="8"/>
      <c r="B1461" s="8"/>
      <c r="C1461" s="8"/>
      <c r="D1461" s="8"/>
      <c r="E1461" s="8"/>
      <c r="F1461" s="8"/>
      <c r="G1461" s="8"/>
      <c r="H1461" s="8"/>
      <c r="I1461" s="8"/>
      <c r="J1461" s="8"/>
      <c r="K1461" s="8"/>
      <c r="L1461" s="8"/>
      <c r="M1461" s="8"/>
      <c r="N1461" s="8"/>
      <c r="O1461" s="8"/>
    </row>
    <row r="1462" ht="13.65" customHeight="1">
      <c r="A1462" s="8"/>
      <c r="B1462" s="8"/>
      <c r="C1462" s="8"/>
      <c r="D1462" s="8"/>
      <c r="E1462" s="8"/>
      <c r="F1462" s="8"/>
      <c r="G1462" s="8"/>
      <c r="H1462" s="8"/>
      <c r="I1462" s="8"/>
      <c r="J1462" s="8"/>
      <c r="K1462" s="8"/>
      <c r="L1462" s="8"/>
      <c r="M1462" s="8"/>
      <c r="N1462" s="8"/>
      <c r="O1462" s="8"/>
    </row>
    <row r="1463" ht="13.65" customHeight="1">
      <c r="A1463" s="8"/>
      <c r="B1463" s="8"/>
      <c r="C1463" s="8"/>
      <c r="D1463" s="8"/>
      <c r="E1463" s="8"/>
      <c r="F1463" s="8"/>
      <c r="G1463" s="8"/>
      <c r="H1463" s="8"/>
      <c r="I1463" s="8"/>
      <c r="J1463" s="8"/>
      <c r="K1463" s="8"/>
      <c r="L1463" s="8"/>
      <c r="M1463" s="8"/>
      <c r="N1463" s="8"/>
      <c r="O1463" s="8"/>
    </row>
    <row r="1464" ht="13.65" customHeight="1">
      <c r="A1464" s="8"/>
      <c r="B1464" s="8"/>
      <c r="C1464" s="8"/>
      <c r="D1464" s="8"/>
      <c r="E1464" s="8"/>
      <c r="F1464" s="8"/>
      <c r="G1464" s="8"/>
      <c r="H1464" s="8"/>
      <c r="I1464" s="8"/>
      <c r="J1464" s="8"/>
      <c r="K1464" s="8"/>
      <c r="L1464" s="8"/>
      <c r="M1464" s="8"/>
      <c r="N1464" s="8"/>
      <c r="O1464" s="8"/>
    </row>
    <row r="1465" ht="13.65" customHeight="1">
      <c r="A1465" s="8"/>
      <c r="B1465" s="8"/>
      <c r="C1465" s="8"/>
      <c r="D1465" s="8"/>
      <c r="E1465" s="8"/>
      <c r="F1465" s="8"/>
      <c r="G1465" s="8"/>
      <c r="H1465" s="8"/>
      <c r="I1465" s="8"/>
      <c r="J1465" s="8"/>
      <c r="K1465" s="8"/>
      <c r="L1465" s="8"/>
      <c r="M1465" s="8"/>
      <c r="N1465" s="8"/>
      <c r="O1465" s="8"/>
    </row>
    <row r="1466" ht="13.65" customHeight="1">
      <c r="A1466" s="8"/>
      <c r="B1466" s="8"/>
      <c r="C1466" s="8"/>
      <c r="D1466" s="8"/>
      <c r="E1466" s="8"/>
      <c r="F1466" s="8"/>
      <c r="G1466" s="8"/>
      <c r="H1466" s="8"/>
      <c r="I1466" s="8"/>
      <c r="J1466" s="8"/>
      <c r="K1466" s="8"/>
      <c r="L1466" s="8"/>
      <c r="M1466" s="8"/>
      <c r="N1466" s="8"/>
      <c r="O1466" s="8"/>
    </row>
    <row r="1467" ht="13.65" customHeight="1">
      <c r="A1467" s="8"/>
      <c r="B1467" s="8"/>
      <c r="C1467" s="8"/>
      <c r="D1467" s="8"/>
      <c r="E1467" s="8"/>
      <c r="F1467" s="8"/>
      <c r="G1467" s="8"/>
      <c r="H1467" s="8"/>
      <c r="I1467" s="8"/>
      <c r="J1467" s="8"/>
      <c r="K1467" s="8"/>
      <c r="L1467" s="8"/>
      <c r="M1467" s="8"/>
      <c r="N1467" s="8"/>
      <c r="O1467" s="8"/>
    </row>
    <row r="1468" ht="13.65" customHeight="1">
      <c r="A1468" s="8"/>
      <c r="B1468" s="8"/>
      <c r="C1468" s="8"/>
      <c r="D1468" s="8"/>
      <c r="E1468" s="8"/>
      <c r="F1468" s="8"/>
      <c r="G1468" s="8"/>
      <c r="H1468" s="8"/>
      <c r="I1468" s="8"/>
      <c r="J1468" s="8"/>
      <c r="K1468" s="8"/>
      <c r="L1468" s="8"/>
      <c r="M1468" s="8"/>
      <c r="N1468" s="8"/>
      <c r="O1468" s="8"/>
    </row>
    <row r="1469" ht="13.65" customHeight="1">
      <c r="A1469" s="8"/>
      <c r="B1469" s="8"/>
      <c r="C1469" s="8"/>
      <c r="D1469" s="8"/>
      <c r="E1469" s="8"/>
      <c r="F1469" s="8"/>
      <c r="G1469" s="8"/>
      <c r="H1469" s="8"/>
      <c r="I1469" s="8"/>
      <c r="J1469" s="8"/>
      <c r="K1469" s="8"/>
      <c r="L1469" s="8"/>
      <c r="M1469" s="8"/>
      <c r="N1469" s="8"/>
      <c r="O1469" s="8"/>
    </row>
    <row r="1470" ht="13.65" customHeight="1">
      <c r="A1470" s="8"/>
      <c r="B1470" s="8"/>
      <c r="C1470" s="8"/>
      <c r="D1470" s="8"/>
      <c r="E1470" s="8"/>
      <c r="F1470" s="8"/>
      <c r="G1470" s="8"/>
      <c r="H1470" s="8"/>
      <c r="I1470" s="8"/>
      <c r="J1470" s="8"/>
      <c r="K1470" s="8"/>
      <c r="L1470" s="8"/>
      <c r="M1470" s="8"/>
      <c r="N1470" s="8"/>
      <c r="O1470" s="8"/>
    </row>
    <row r="1471" ht="13.65" customHeight="1">
      <c r="A1471" s="8"/>
      <c r="B1471" s="8"/>
      <c r="C1471" s="8"/>
      <c r="D1471" s="8"/>
      <c r="E1471" s="8"/>
      <c r="F1471" s="8"/>
      <c r="G1471" s="8"/>
      <c r="H1471" s="8"/>
      <c r="I1471" s="8"/>
      <c r="J1471" s="8"/>
      <c r="K1471" s="8"/>
      <c r="L1471" s="8"/>
      <c r="M1471" s="8"/>
      <c r="N1471" s="8"/>
      <c r="O1471" s="8"/>
    </row>
    <row r="1472" ht="13.65" customHeight="1">
      <c r="A1472" s="8"/>
      <c r="B1472" s="8"/>
      <c r="C1472" s="8"/>
      <c r="D1472" s="8"/>
      <c r="E1472" s="8"/>
      <c r="F1472" s="8"/>
      <c r="G1472" s="8"/>
      <c r="H1472" s="8"/>
      <c r="I1472" s="8"/>
      <c r="J1472" s="8"/>
      <c r="K1472" s="8"/>
      <c r="L1472" s="8"/>
      <c r="M1472" s="8"/>
      <c r="N1472" s="8"/>
      <c r="O1472" s="8"/>
    </row>
    <row r="1473" ht="13.65" customHeight="1">
      <c r="A1473" s="8"/>
      <c r="B1473" s="8"/>
      <c r="C1473" s="8"/>
      <c r="D1473" s="8"/>
      <c r="E1473" s="8"/>
      <c r="F1473" s="8"/>
      <c r="G1473" s="8"/>
      <c r="H1473" s="8"/>
      <c r="I1473" s="8"/>
      <c r="J1473" s="8"/>
      <c r="K1473" s="8"/>
      <c r="L1473" s="8"/>
      <c r="M1473" s="8"/>
      <c r="N1473" s="8"/>
      <c r="O1473" s="8"/>
    </row>
    <row r="1474" ht="13.65" customHeight="1">
      <c r="A1474" s="8"/>
      <c r="B1474" s="8"/>
      <c r="C1474" s="8"/>
      <c r="D1474" s="8"/>
      <c r="E1474" s="8"/>
      <c r="F1474" s="8"/>
      <c r="G1474" s="8"/>
      <c r="H1474" s="8"/>
      <c r="I1474" s="8"/>
      <c r="J1474" s="8"/>
      <c r="K1474" s="8"/>
      <c r="L1474" s="8"/>
      <c r="M1474" s="8"/>
      <c r="N1474" s="8"/>
      <c r="O1474" s="8"/>
    </row>
    <row r="1475" ht="13.65" customHeight="1">
      <c r="A1475" s="8"/>
      <c r="B1475" s="8"/>
      <c r="C1475" s="8"/>
      <c r="D1475" s="8"/>
      <c r="E1475" s="8"/>
      <c r="F1475" s="8"/>
      <c r="G1475" s="8"/>
      <c r="H1475" s="8"/>
      <c r="I1475" s="8"/>
      <c r="J1475" s="8"/>
      <c r="K1475" s="8"/>
      <c r="L1475" s="8"/>
      <c r="M1475" s="8"/>
      <c r="N1475" s="8"/>
      <c r="O1475" s="8"/>
    </row>
    <row r="1476" ht="13.65" customHeight="1">
      <c r="A1476" s="8"/>
      <c r="B1476" s="8"/>
      <c r="C1476" s="8"/>
      <c r="D1476" s="8"/>
      <c r="E1476" s="8"/>
      <c r="F1476" s="8"/>
      <c r="G1476" s="8"/>
      <c r="H1476" s="8"/>
      <c r="I1476" s="8"/>
      <c r="J1476" s="8"/>
      <c r="K1476" s="8"/>
      <c r="L1476" s="8"/>
      <c r="M1476" s="8"/>
      <c r="N1476" s="8"/>
      <c r="O1476" s="8"/>
    </row>
    <row r="1477" ht="13.65" customHeight="1">
      <c r="A1477" s="8"/>
      <c r="B1477" s="8"/>
      <c r="C1477" s="8"/>
      <c r="D1477" s="8"/>
      <c r="E1477" s="8"/>
      <c r="F1477" s="8"/>
      <c r="G1477" s="8"/>
      <c r="H1477" s="8"/>
      <c r="I1477" s="8"/>
      <c r="J1477" s="8"/>
      <c r="K1477" s="8"/>
      <c r="L1477" s="8"/>
      <c r="M1477" s="8"/>
      <c r="N1477" s="8"/>
      <c r="O1477" s="8"/>
    </row>
    <row r="1478" ht="13.65" customHeight="1">
      <c r="A1478" s="8"/>
      <c r="B1478" s="8"/>
      <c r="C1478" s="8"/>
      <c r="D1478" s="8"/>
      <c r="E1478" s="8"/>
      <c r="F1478" s="8"/>
      <c r="G1478" s="8"/>
      <c r="H1478" s="8"/>
      <c r="I1478" s="8"/>
      <c r="J1478" s="8"/>
      <c r="K1478" s="8"/>
      <c r="L1478" s="8"/>
      <c r="M1478" s="8"/>
      <c r="N1478" s="8"/>
      <c r="O1478" s="8"/>
    </row>
    <row r="1479" ht="13.65" customHeight="1">
      <c r="A1479" s="8"/>
      <c r="B1479" s="8"/>
      <c r="C1479" s="8"/>
      <c r="D1479" s="8"/>
      <c r="E1479" s="8"/>
      <c r="F1479" s="8"/>
      <c r="G1479" s="8"/>
      <c r="H1479" s="8"/>
      <c r="I1479" s="8"/>
      <c r="J1479" s="8"/>
      <c r="K1479" s="8"/>
      <c r="L1479" s="8"/>
      <c r="M1479" s="8"/>
      <c r="N1479" s="8"/>
      <c r="O1479" s="8"/>
    </row>
    <row r="1480" ht="13.65" customHeight="1">
      <c r="A1480" s="8"/>
      <c r="B1480" s="8"/>
      <c r="C1480" s="8"/>
      <c r="D1480" s="8"/>
      <c r="E1480" s="8"/>
      <c r="F1480" s="8"/>
      <c r="G1480" s="8"/>
      <c r="H1480" s="8"/>
      <c r="I1480" s="8"/>
      <c r="J1480" s="8"/>
      <c r="K1480" s="8"/>
      <c r="L1480" s="8"/>
      <c r="M1480" s="8"/>
      <c r="N1480" s="8"/>
      <c r="O1480" s="8"/>
    </row>
    <row r="1481" ht="13.65" customHeight="1">
      <c r="A1481" s="8"/>
      <c r="B1481" s="8"/>
      <c r="C1481" s="8"/>
      <c r="D1481" s="8"/>
      <c r="E1481" s="8"/>
      <c r="F1481" s="8"/>
      <c r="G1481" s="8"/>
      <c r="H1481" s="8"/>
      <c r="I1481" s="8"/>
      <c r="J1481" s="8"/>
      <c r="K1481" s="8"/>
      <c r="L1481" s="8"/>
      <c r="M1481" s="8"/>
      <c r="N1481" s="8"/>
      <c r="O1481" s="8"/>
    </row>
    <row r="1482" ht="13.65" customHeight="1">
      <c r="A1482" s="8"/>
      <c r="B1482" s="8"/>
      <c r="C1482" s="8"/>
      <c r="D1482" s="8"/>
      <c r="E1482" s="8"/>
      <c r="F1482" s="8"/>
      <c r="G1482" s="8"/>
      <c r="H1482" s="8"/>
      <c r="I1482" s="8"/>
      <c r="J1482" s="8"/>
      <c r="K1482" s="8"/>
      <c r="L1482" s="8"/>
      <c r="M1482" s="8"/>
      <c r="N1482" s="8"/>
      <c r="O1482" s="8"/>
    </row>
    <row r="1483" ht="13.65" customHeight="1">
      <c r="A1483" s="8"/>
      <c r="B1483" s="8"/>
      <c r="C1483" s="8"/>
      <c r="D1483" s="8"/>
      <c r="E1483" s="8"/>
      <c r="F1483" s="8"/>
      <c r="G1483" s="8"/>
      <c r="H1483" s="8"/>
      <c r="I1483" s="8"/>
      <c r="J1483" s="8"/>
      <c r="K1483" s="8"/>
      <c r="L1483" s="8"/>
      <c r="M1483" s="8"/>
      <c r="N1483" s="8"/>
      <c r="O1483" s="8"/>
    </row>
    <row r="1484" ht="13.65" customHeight="1">
      <c r="A1484" s="8"/>
      <c r="B1484" s="8"/>
      <c r="C1484" s="8"/>
      <c r="D1484" s="8"/>
      <c r="E1484" s="8"/>
      <c r="F1484" s="8"/>
      <c r="G1484" s="8"/>
      <c r="H1484" s="8"/>
      <c r="I1484" s="8"/>
      <c r="J1484" s="8"/>
      <c r="K1484" s="8"/>
      <c r="L1484" s="8"/>
      <c r="M1484" s="8"/>
      <c r="N1484" s="8"/>
      <c r="O1484" s="8"/>
    </row>
    <row r="1485" ht="13.65" customHeight="1">
      <c r="A1485" s="8"/>
      <c r="B1485" s="8"/>
      <c r="C1485" s="8"/>
      <c r="D1485" s="8"/>
      <c r="E1485" s="8"/>
      <c r="F1485" s="8"/>
      <c r="G1485" s="8"/>
      <c r="H1485" s="8"/>
      <c r="I1485" s="8"/>
      <c r="J1485" s="8"/>
      <c r="K1485" s="8"/>
      <c r="L1485" s="8"/>
      <c r="M1485" s="8"/>
      <c r="N1485" s="8"/>
      <c r="O1485" s="8"/>
    </row>
    <row r="1486" ht="13.65" customHeight="1">
      <c r="A1486" s="8"/>
      <c r="B1486" s="8"/>
      <c r="C1486" s="8"/>
      <c r="D1486" s="8"/>
      <c r="E1486" s="8"/>
      <c r="F1486" s="8"/>
      <c r="G1486" s="8"/>
      <c r="H1486" s="8"/>
      <c r="I1486" s="8"/>
      <c r="J1486" s="8"/>
      <c r="K1486" s="8"/>
      <c r="L1486" s="8"/>
      <c r="M1486" s="8"/>
      <c r="N1486" s="8"/>
      <c r="O1486" s="8"/>
    </row>
    <row r="1487" ht="13.65" customHeight="1">
      <c r="A1487" s="8"/>
      <c r="B1487" s="8"/>
      <c r="C1487" s="8"/>
      <c r="D1487" s="8"/>
      <c r="E1487" s="8"/>
      <c r="F1487" s="8"/>
      <c r="G1487" s="8"/>
      <c r="H1487" s="8"/>
      <c r="I1487" s="8"/>
      <c r="J1487" s="8"/>
      <c r="K1487" s="8"/>
      <c r="L1487" s="8"/>
      <c r="M1487" s="8"/>
      <c r="N1487" s="8"/>
      <c r="O1487" s="8"/>
    </row>
    <row r="1488" ht="13.65" customHeight="1">
      <c r="A1488" s="8"/>
      <c r="B1488" s="8"/>
      <c r="C1488" s="8"/>
      <c r="D1488" s="8"/>
      <c r="E1488" s="8"/>
      <c r="F1488" s="8"/>
      <c r="G1488" s="8"/>
      <c r="H1488" s="8"/>
      <c r="I1488" s="8"/>
      <c r="J1488" s="8"/>
      <c r="K1488" s="8"/>
      <c r="L1488" s="8"/>
      <c r="M1488" s="8"/>
      <c r="N1488" s="8"/>
      <c r="O1488" s="8"/>
    </row>
    <row r="1489" ht="13.65" customHeight="1">
      <c r="A1489" s="8"/>
      <c r="B1489" s="8"/>
      <c r="C1489" s="8"/>
      <c r="D1489" s="8"/>
      <c r="E1489" s="8"/>
      <c r="F1489" s="8"/>
      <c r="G1489" s="8"/>
      <c r="H1489" s="8"/>
      <c r="I1489" s="8"/>
      <c r="J1489" s="8"/>
      <c r="K1489" s="8"/>
      <c r="L1489" s="8"/>
      <c r="M1489" s="8"/>
      <c r="N1489" s="8"/>
      <c r="O1489" s="8"/>
    </row>
    <row r="1490" ht="13.65" customHeight="1">
      <c r="A1490" s="8"/>
      <c r="B1490" s="8"/>
      <c r="C1490" s="8"/>
      <c r="D1490" s="8"/>
      <c r="E1490" s="8"/>
      <c r="F1490" s="8"/>
      <c r="G1490" s="8"/>
      <c r="H1490" s="8"/>
      <c r="I1490" s="8"/>
      <c r="J1490" s="8"/>
      <c r="K1490" s="8"/>
      <c r="L1490" s="8"/>
      <c r="M1490" s="8"/>
      <c r="N1490" s="8"/>
      <c r="O1490" s="8"/>
    </row>
    <row r="1491" ht="13.65" customHeight="1">
      <c r="A1491" s="8"/>
      <c r="B1491" s="8"/>
      <c r="C1491" s="8"/>
      <c r="D1491" s="8"/>
      <c r="E1491" s="8"/>
      <c r="F1491" s="8"/>
      <c r="G1491" s="8"/>
      <c r="H1491" s="8"/>
      <c r="I1491" s="8"/>
      <c r="J1491" s="8"/>
      <c r="K1491" s="8"/>
      <c r="L1491" s="8"/>
      <c r="M1491" s="8"/>
      <c r="N1491" s="8"/>
      <c r="O1491" s="8"/>
    </row>
    <row r="1492" ht="13.65" customHeight="1">
      <c r="A1492" s="8"/>
      <c r="B1492" s="8"/>
      <c r="C1492" s="8"/>
      <c r="D1492" s="8"/>
      <c r="E1492" s="8"/>
      <c r="F1492" s="8"/>
      <c r="G1492" s="8"/>
      <c r="H1492" s="8"/>
      <c r="I1492" s="8"/>
      <c r="J1492" s="8"/>
      <c r="K1492" s="8"/>
      <c r="L1492" s="8"/>
      <c r="M1492" s="8"/>
      <c r="N1492" s="8"/>
      <c r="O1492" s="8"/>
    </row>
    <row r="1493" ht="13.65" customHeight="1">
      <c r="A1493" s="8"/>
      <c r="B1493" s="8"/>
      <c r="C1493" s="8"/>
      <c r="D1493" s="8"/>
      <c r="E1493" s="8"/>
      <c r="F1493" s="8"/>
      <c r="G1493" s="8"/>
      <c r="H1493" s="8"/>
      <c r="I1493" s="8"/>
      <c r="J1493" s="8"/>
      <c r="K1493" s="8"/>
      <c r="L1493" s="8"/>
      <c r="M1493" s="8"/>
      <c r="N1493" s="8"/>
      <c r="O1493" s="8"/>
    </row>
    <row r="1494" ht="13.65" customHeight="1">
      <c r="A1494" s="8"/>
      <c r="B1494" s="8"/>
      <c r="C1494" s="8"/>
      <c r="D1494" s="8"/>
      <c r="E1494" s="8"/>
      <c r="F1494" s="8"/>
      <c r="G1494" s="8"/>
      <c r="H1494" s="8"/>
      <c r="I1494" s="8"/>
      <c r="J1494" s="8"/>
      <c r="K1494" s="8"/>
      <c r="L1494" s="8"/>
      <c r="M1494" s="8"/>
      <c r="N1494" s="8"/>
      <c r="O1494" s="8"/>
    </row>
    <row r="1495" ht="13.65" customHeight="1">
      <c r="A1495" s="8"/>
      <c r="B1495" s="8"/>
      <c r="C1495" s="8"/>
      <c r="D1495" s="8"/>
      <c r="E1495" s="8"/>
      <c r="F1495" s="8"/>
      <c r="G1495" s="8"/>
      <c r="H1495" s="8"/>
      <c r="I1495" s="8"/>
      <c r="J1495" s="8"/>
      <c r="K1495" s="8"/>
      <c r="L1495" s="8"/>
      <c r="M1495" s="8"/>
      <c r="N1495" s="8"/>
      <c r="O1495" s="8"/>
    </row>
    <row r="1496" ht="13.65" customHeight="1">
      <c r="A1496" s="8"/>
      <c r="B1496" s="8"/>
      <c r="C1496" s="8"/>
      <c r="D1496" s="8"/>
      <c r="E1496" s="8"/>
      <c r="F1496" s="8"/>
      <c r="G1496" s="8"/>
      <c r="H1496" s="8"/>
      <c r="I1496" s="8"/>
      <c r="J1496" s="8"/>
      <c r="K1496" s="8"/>
      <c r="L1496" s="8"/>
      <c r="M1496" s="8"/>
      <c r="N1496" s="8"/>
      <c r="O1496" s="8"/>
    </row>
    <row r="1497" ht="13.65" customHeight="1">
      <c r="A1497" s="8"/>
      <c r="B1497" s="8"/>
      <c r="C1497" s="8"/>
      <c r="D1497" s="8"/>
      <c r="E1497" s="8"/>
      <c r="F1497" s="8"/>
      <c r="G1497" s="8"/>
      <c r="H1497" s="8"/>
      <c r="I1497" s="8"/>
      <c r="J1497" s="8"/>
      <c r="K1497" s="8"/>
      <c r="L1497" s="8"/>
      <c r="M1497" s="8"/>
      <c r="N1497" s="8"/>
      <c r="O1497" s="8"/>
    </row>
    <row r="1498" ht="13.65" customHeight="1">
      <c r="A1498" s="8"/>
      <c r="B1498" s="8"/>
      <c r="C1498" s="8"/>
      <c r="D1498" s="8"/>
      <c r="E1498" s="8"/>
      <c r="F1498" s="8"/>
      <c r="G1498" s="8"/>
      <c r="H1498" s="8"/>
      <c r="I1498" s="8"/>
      <c r="J1498" s="8"/>
      <c r="K1498" s="8"/>
      <c r="L1498" s="8"/>
      <c r="M1498" s="8"/>
      <c r="N1498" s="8"/>
      <c r="O1498" s="8"/>
    </row>
    <row r="1499" ht="13.65" customHeight="1">
      <c r="A1499" s="8"/>
      <c r="B1499" s="8"/>
      <c r="C1499" s="8"/>
      <c r="D1499" s="8"/>
      <c r="E1499" s="8"/>
      <c r="F1499" s="8"/>
      <c r="G1499" s="8"/>
      <c r="H1499" s="8"/>
      <c r="I1499" s="8"/>
      <c r="J1499" s="8"/>
      <c r="K1499" s="8"/>
      <c r="L1499" s="8"/>
      <c r="M1499" s="8"/>
      <c r="N1499" s="8"/>
      <c r="O1499" s="8"/>
    </row>
    <row r="1500" ht="13.65" customHeight="1">
      <c r="A1500" s="8"/>
      <c r="B1500" s="8"/>
      <c r="C1500" s="8"/>
      <c r="D1500" s="8"/>
      <c r="E1500" s="8"/>
      <c r="F1500" s="8"/>
      <c r="G1500" s="8"/>
      <c r="H1500" s="8"/>
      <c r="I1500" s="8"/>
      <c r="J1500" s="8"/>
      <c r="K1500" s="8"/>
      <c r="L1500" s="8"/>
      <c r="M1500" s="8"/>
      <c r="N1500" s="8"/>
      <c r="O1500" s="8"/>
    </row>
    <row r="1501" ht="13.65" customHeight="1">
      <c r="A1501" s="8"/>
      <c r="B1501" s="8"/>
      <c r="C1501" s="8"/>
      <c r="D1501" s="8"/>
      <c r="E1501" s="8"/>
      <c r="F1501" s="8"/>
      <c r="G1501" s="8"/>
      <c r="H1501" s="8"/>
      <c r="I1501" s="8"/>
      <c r="J1501" s="8"/>
      <c r="K1501" s="8"/>
      <c r="L1501" s="8"/>
      <c r="M1501" s="8"/>
      <c r="N1501" s="8"/>
      <c r="O1501" s="8"/>
    </row>
    <row r="1502" ht="13.65" customHeight="1">
      <c r="A1502" s="8"/>
      <c r="B1502" s="8"/>
      <c r="C1502" s="8"/>
      <c r="D1502" s="8"/>
      <c r="E1502" s="8"/>
      <c r="F1502" s="8"/>
      <c r="G1502" s="8"/>
      <c r="H1502" s="8"/>
      <c r="I1502" s="8"/>
      <c r="J1502" s="8"/>
      <c r="K1502" s="8"/>
      <c r="L1502" s="8"/>
      <c r="M1502" s="8"/>
      <c r="N1502" s="8"/>
      <c r="O1502" s="8"/>
    </row>
    <row r="1503" ht="13.65" customHeight="1">
      <c r="A1503" s="8"/>
      <c r="B1503" s="8"/>
      <c r="C1503" s="8"/>
      <c r="D1503" s="8"/>
      <c r="E1503" s="8"/>
      <c r="F1503" s="8"/>
      <c r="G1503" s="8"/>
      <c r="H1503" s="8"/>
      <c r="I1503" s="8"/>
      <c r="J1503" s="8"/>
      <c r="K1503" s="8"/>
      <c r="L1503" s="8"/>
      <c r="M1503" s="8"/>
      <c r="N1503" s="8"/>
      <c r="O1503" s="8"/>
    </row>
    <row r="1504" ht="13.65" customHeight="1">
      <c r="A1504" s="8"/>
      <c r="B1504" s="8"/>
      <c r="C1504" s="8"/>
      <c r="D1504" s="8"/>
      <c r="E1504" s="8"/>
      <c r="F1504" s="8"/>
      <c r="G1504" s="8"/>
      <c r="H1504" s="8"/>
      <c r="I1504" s="8"/>
      <c r="J1504" s="8"/>
      <c r="K1504" s="8"/>
      <c r="L1504" s="8"/>
      <c r="M1504" s="8"/>
      <c r="N1504" s="8"/>
      <c r="O1504" s="8"/>
    </row>
    <row r="1505" ht="13.65" customHeight="1">
      <c r="A1505" s="8"/>
      <c r="B1505" s="8"/>
      <c r="C1505" s="8"/>
      <c r="D1505" s="8"/>
      <c r="E1505" s="8"/>
      <c r="F1505" s="8"/>
      <c r="G1505" s="8"/>
      <c r="H1505" s="8"/>
      <c r="I1505" s="8"/>
      <c r="J1505" s="8"/>
      <c r="K1505" s="8"/>
      <c r="L1505" s="8"/>
      <c r="M1505" s="8"/>
      <c r="N1505" s="8"/>
      <c r="O1505" s="8"/>
    </row>
    <row r="1506" ht="13.65" customHeight="1">
      <c r="A1506" s="8"/>
      <c r="B1506" s="8"/>
      <c r="C1506" s="8"/>
      <c r="D1506" s="8"/>
      <c r="E1506" s="8"/>
      <c r="F1506" s="8"/>
      <c r="G1506" s="8"/>
      <c r="H1506" s="8"/>
      <c r="I1506" s="8"/>
      <c r="J1506" s="8"/>
      <c r="K1506" s="8"/>
      <c r="L1506" s="8"/>
      <c r="M1506" s="8"/>
      <c r="N1506" s="8"/>
      <c r="O1506" s="8"/>
    </row>
    <row r="1507" ht="13.65" customHeight="1">
      <c r="A1507" s="8"/>
      <c r="B1507" s="8"/>
      <c r="C1507" s="8"/>
      <c r="D1507" s="8"/>
      <c r="E1507" s="8"/>
      <c r="F1507" s="8"/>
      <c r="G1507" s="8"/>
      <c r="H1507" s="8"/>
      <c r="I1507" s="8"/>
      <c r="J1507" s="8"/>
      <c r="K1507" s="8"/>
      <c r="L1507" s="8"/>
      <c r="M1507" s="8"/>
      <c r="N1507" s="8"/>
      <c r="O1507" s="8"/>
    </row>
    <row r="1508" ht="13.65" customHeight="1">
      <c r="A1508" s="8"/>
      <c r="B1508" s="8"/>
      <c r="C1508" s="8"/>
      <c r="D1508" s="8"/>
      <c r="E1508" s="8"/>
      <c r="F1508" s="8"/>
      <c r="G1508" s="8"/>
      <c r="H1508" s="8"/>
      <c r="I1508" s="8"/>
      <c r="J1508" s="8"/>
      <c r="K1508" s="8"/>
      <c r="L1508" s="8"/>
      <c r="M1508" s="8"/>
      <c r="N1508" s="8"/>
      <c r="O1508" s="8"/>
    </row>
    <row r="1509" ht="13.65" customHeight="1">
      <c r="A1509" s="8"/>
      <c r="B1509" s="8"/>
      <c r="C1509" s="8"/>
      <c r="D1509" s="8"/>
      <c r="E1509" s="8"/>
      <c r="F1509" s="8"/>
      <c r="G1509" s="8"/>
      <c r="H1509" s="8"/>
      <c r="I1509" s="8"/>
      <c r="J1509" s="8"/>
      <c r="K1509" s="8"/>
      <c r="L1509" s="8"/>
      <c r="M1509" s="8"/>
      <c r="N1509" s="8"/>
      <c r="O1509" s="8"/>
    </row>
    <row r="1510" ht="13.65" customHeight="1">
      <c r="A1510" s="8"/>
      <c r="B1510" s="8"/>
      <c r="C1510" s="8"/>
      <c r="D1510" s="8"/>
      <c r="E1510" s="8"/>
      <c r="F1510" s="8"/>
      <c r="G1510" s="8"/>
      <c r="H1510" s="8"/>
      <c r="I1510" s="8"/>
      <c r="J1510" s="8"/>
      <c r="K1510" s="8"/>
      <c r="L1510" s="8"/>
      <c r="M1510" s="8"/>
      <c r="N1510" s="8"/>
      <c r="O1510" s="8"/>
    </row>
    <row r="1511" ht="13.65" customHeight="1">
      <c r="A1511" s="8"/>
      <c r="B1511" s="8"/>
      <c r="C1511" s="8"/>
      <c r="D1511" s="8"/>
      <c r="E1511" s="8"/>
      <c r="F1511" s="8"/>
      <c r="G1511" s="8"/>
      <c r="H1511" s="8"/>
      <c r="I1511" s="8"/>
      <c r="J1511" s="8"/>
      <c r="K1511" s="8"/>
      <c r="L1511" s="8"/>
      <c r="M1511" s="8"/>
      <c r="N1511" s="8"/>
      <c r="O1511" s="8"/>
    </row>
    <row r="1512" ht="13.65" customHeight="1">
      <c r="A1512" s="8"/>
      <c r="B1512" s="8"/>
      <c r="C1512" s="8"/>
      <c r="D1512" s="8"/>
      <c r="E1512" s="8"/>
      <c r="F1512" s="8"/>
      <c r="G1512" s="8"/>
      <c r="H1512" s="8"/>
      <c r="I1512" s="8"/>
      <c r="J1512" s="8"/>
      <c r="K1512" s="8"/>
      <c r="L1512" s="8"/>
      <c r="M1512" s="8"/>
      <c r="N1512" s="8"/>
      <c r="O1512" s="8"/>
    </row>
    <row r="1513" ht="13.65" customHeight="1">
      <c r="A1513" s="8"/>
      <c r="B1513" s="8"/>
      <c r="C1513" s="8"/>
      <c r="D1513" s="8"/>
      <c r="E1513" s="8"/>
      <c r="F1513" s="8"/>
      <c r="G1513" s="8"/>
      <c r="H1513" s="8"/>
      <c r="I1513" s="8"/>
      <c r="J1513" s="8"/>
      <c r="K1513" s="8"/>
      <c r="L1513" s="8"/>
      <c r="M1513" s="8"/>
      <c r="N1513" s="8"/>
      <c r="O1513" s="8"/>
    </row>
    <row r="1514" ht="13.65" customHeight="1">
      <c r="A1514" s="8"/>
      <c r="B1514" s="8"/>
      <c r="C1514" s="8"/>
      <c r="D1514" s="8"/>
      <c r="E1514" s="8"/>
      <c r="F1514" s="8"/>
      <c r="G1514" s="8"/>
      <c r="H1514" s="8"/>
      <c r="I1514" s="8"/>
      <c r="J1514" s="8"/>
      <c r="K1514" s="8"/>
      <c r="L1514" s="8"/>
      <c r="M1514" s="8"/>
      <c r="N1514" s="8"/>
      <c r="O1514" s="8"/>
    </row>
    <row r="1515" ht="13.65" customHeight="1">
      <c r="A1515" s="8"/>
      <c r="B1515" s="8"/>
      <c r="C1515" s="8"/>
      <c r="D1515" s="8"/>
      <c r="E1515" s="8"/>
      <c r="F1515" s="8"/>
      <c r="G1515" s="8"/>
      <c r="H1515" s="8"/>
      <c r="I1515" s="8"/>
      <c r="J1515" s="8"/>
      <c r="K1515" s="8"/>
      <c r="L1515" s="8"/>
      <c r="M1515" s="8"/>
      <c r="N1515" s="8"/>
      <c r="O1515" s="8"/>
    </row>
    <row r="1516" ht="13.65" customHeight="1">
      <c r="A1516" s="8"/>
      <c r="B1516" s="8"/>
      <c r="C1516" s="8"/>
      <c r="D1516" s="8"/>
      <c r="E1516" s="8"/>
      <c r="F1516" s="8"/>
      <c r="G1516" s="8"/>
      <c r="H1516" s="8"/>
      <c r="I1516" s="8"/>
      <c r="J1516" s="8"/>
      <c r="K1516" s="8"/>
      <c r="L1516" s="8"/>
      <c r="M1516" s="8"/>
      <c r="N1516" s="8"/>
      <c r="O1516" s="8"/>
    </row>
    <row r="1517" ht="13.65" customHeight="1">
      <c r="A1517" s="8"/>
      <c r="B1517" s="8"/>
      <c r="C1517" s="8"/>
      <c r="D1517" s="8"/>
      <c r="E1517" s="8"/>
      <c r="F1517" s="8"/>
      <c r="G1517" s="8"/>
      <c r="H1517" s="8"/>
      <c r="I1517" s="8"/>
      <c r="J1517" s="8"/>
      <c r="K1517" s="8"/>
      <c r="L1517" s="8"/>
      <c r="M1517" s="8"/>
      <c r="N1517" s="8"/>
      <c r="O1517" s="8"/>
    </row>
    <row r="1518" ht="13.65" customHeight="1">
      <c r="A1518" s="8"/>
      <c r="B1518" s="8"/>
      <c r="C1518" s="8"/>
      <c r="D1518" s="8"/>
      <c r="E1518" s="8"/>
      <c r="F1518" s="8"/>
      <c r="G1518" s="8"/>
      <c r="H1518" s="8"/>
      <c r="I1518" s="8"/>
      <c r="J1518" s="8"/>
      <c r="K1518" s="8"/>
      <c r="L1518" s="8"/>
      <c r="M1518" s="8"/>
      <c r="N1518" s="8"/>
      <c r="O1518" s="8"/>
    </row>
    <row r="1519" ht="13.65" customHeight="1">
      <c r="A1519" s="8"/>
      <c r="B1519" s="8"/>
      <c r="C1519" s="8"/>
      <c r="D1519" s="8"/>
      <c r="E1519" s="8"/>
      <c r="F1519" s="8"/>
      <c r="G1519" s="8"/>
      <c r="H1519" s="8"/>
      <c r="I1519" s="8"/>
      <c r="J1519" s="8"/>
      <c r="K1519" s="8"/>
      <c r="L1519" s="8"/>
      <c r="M1519" s="8"/>
      <c r="N1519" s="8"/>
      <c r="O1519" s="8"/>
    </row>
    <row r="1520" ht="13.65" customHeight="1">
      <c r="A1520" s="8"/>
      <c r="B1520" s="8"/>
      <c r="C1520" s="8"/>
      <c r="D1520" s="8"/>
      <c r="E1520" s="8"/>
      <c r="F1520" s="8"/>
      <c r="G1520" s="8"/>
      <c r="H1520" s="8"/>
      <c r="I1520" s="8"/>
      <c r="J1520" s="8"/>
      <c r="K1520" s="8"/>
      <c r="L1520" s="8"/>
      <c r="M1520" s="8"/>
      <c r="N1520" s="8"/>
      <c r="O1520" s="8"/>
    </row>
    <row r="1521" ht="13.65" customHeight="1">
      <c r="A1521" s="8"/>
      <c r="B1521" s="8"/>
      <c r="C1521" s="8"/>
      <c r="D1521" s="8"/>
      <c r="E1521" s="8"/>
      <c r="F1521" s="8"/>
      <c r="G1521" s="8"/>
      <c r="H1521" s="8"/>
      <c r="I1521" s="8"/>
      <c r="J1521" s="8"/>
      <c r="K1521" s="8"/>
      <c r="L1521" s="8"/>
      <c r="M1521" s="8"/>
      <c r="N1521" s="8"/>
      <c r="O1521" s="8"/>
    </row>
    <row r="1522" ht="13.65" customHeight="1">
      <c r="A1522" s="8"/>
      <c r="B1522" s="8"/>
      <c r="C1522" s="8"/>
      <c r="D1522" s="8"/>
      <c r="E1522" s="8"/>
      <c r="F1522" s="8"/>
      <c r="G1522" s="8"/>
      <c r="H1522" s="8"/>
      <c r="I1522" s="8"/>
      <c r="J1522" s="8"/>
      <c r="K1522" s="8"/>
      <c r="L1522" s="8"/>
      <c r="M1522" s="8"/>
      <c r="N1522" s="8"/>
      <c r="O1522" s="8"/>
    </row>
    <row r="1523" ht="13.65" customHeight="1">
      <c r="A1523" s="8"/>
      <c r="B1523" s="8"/>
      <c r="C1523" s="8"/>
      <c r="D1523" s="8"/>
      <c r="E1523" s="8"/>
      <c r="F1523" s="8"/>
      <c r="G1523" s="8"/>
      <c r="H1523" s="8"/>
      <c r="I1523" s="8"/>
      <c r="J1523" s="8"/>
      <c r="K1523" s="8"/>
      <c r="L1523" s="8"/>
      <c r="M1523" s="8"/>
      <c r="N1523" s="8"/>
      <c r="O1523" s="8"/>
    </row>
    <row r="1524" ht="13.65" customHeight="1">
      <c r="A1524" s="8"/>
      <c r="B1524" s="8"/>
      <c r="C1524" s="8"/>
      <c r="D1524" s="8"/>
      <c r="E1524" s="8"/>
      <c r="F1524" s="8"/>
      <c r="G1524" s="8"/>
      <c r="H1524" s="8"/>
      <c r="I1524" s="8"/>
      <c r="J1524" s="8"/>
      <c r="K1524" s="8"/>
      <c r="L1524" s="8"/>
      <c r="M1524" s="8"/>
      <c r="N1524" s="8"/>
      <c r="O1524" s="8"/>
    </row>
    <row r="1525" ht="13.65" customHeight="1">
      <c r="A1525" s="8"/>
      <c r="B1525" s="8"/>
      <c r="C1525" s="8"/>
      <c r="D1525" s="8"/>
      <c r="E1525" s="8"/>
      <c r="F1525" s="8"/>
      <c r="G1525" s="8"/>
      <c r="H1525" s="8"/>
      <c r="I1525" s="8"/>
      <c r="J1525" s="8"/>
      <c r="K1525" s="8"/>
      <c r="L1525" s="8"/>
      <c r="M1525" s="8"/>
      <c r="N1525" s="8"/>
      <c r="O1525" s="8"/>
    </row>
    <row r="1526" ht="13.65" customHeight="1">
      <c r="A1526" s="8"/>
      <c r="B1526" s="8"/>
      <c r="C1526" s="8"/>
      <c r="D1526" s="8"/>
      <c r="E1526" s="8"/>
      <c r="F1526" s="8"/>
      <c r="G1526" s="8"/>
      <c r="H1526" s="8"/>
      <c r="I1526" s="8"/>
      <c r="J1526" s="8"/>
      <c r="K1526" s="8"/>
      <c r="L1526" s="8"/>
      <c r="M1526" s="8"/>
      <c r="N1526" s="8"/>
      <c r="O1526" s="8"/>
    </row>
    <row r="1527" ht="13.65" customHeight="1">
      <c r="A1527" s="8"/>
      <c r="B1527" s="8"/>
      <c r="C1527" s="8"/>
      <c r="D1527" s="8"/>
      <c r="E1527" s="8"/>
      <c r="F1527" s="8"/>
      <c r="G1527" s="8"/>
      <c r="H1527" s="8"/>
      <c r="I1527" s="8"/>
      <c r="J1527" s="8"/>
      <c r="K1527" s="8"/>
      <c r="L1527" s="8"/>
      <c r="M1527" s="8"/>
      <c r="N1527" s="8"/>
      <c r="O1527" s="8"/>
    </row>
    <row r="1528" ht="13.65" customHeight="1">
      <c r="A1528" s="8"/>
      <c r="B1528" s="8"/>
      <c r="C1528" s="8"/>
      <c r="D1528" s="8"/>
      <c r="E1528" s="8"/>
      <c r="F1528" s="8"/>
      <c r="G1528" s="8"/>
      <c r="H1528" s="8"/>
      <c r="I1528" s="8"/>
      <c r="J1528" s="8"/>
      <c r="K1528" s="8"/>
      <c r="L1528" s="8"/>
      <c r="M1528" s="8"/>
      <c r="N1528" s="8"/>
      <c r="O1528" s="8"/>
    </row>
    <row r="1529" ht="13.65" customHeight="1">
      <c r="A1529" s="8"/>
      <c r="B1529" s="8"/>
      <c r="C1529" s="8"/>
      <c r="D1529" s="8"/>
      <c r="E1529" s="8"/>
      <c r="F1529" s="8"/>
      <c r="G1529" s="8"/>
      <c r="H1529" s="8"/>
      <c r="I1529" s="8"/>
      <c r="J1529" s="8"/>
      <c r="K1529" s="8"/>
      <c r="L1529" s="8"/>
      <c r="M1529" s="8"/>
      <c r="N1529" s="8"/>
      <c r="O1529" s="8"/>
    </row>
    <row r="1530" ht="13.65" customHeight="1">
      <c r="A1530" s="8"/>
      <c r="B1530" s="8"/>
      <c r="C1530" s="8"/>
      <c r="D1530" s="8"/>
      <c r="E1530" s="8"/>
      <c r="F1530" s="8"/>
      <c r="G1530" s="8"/>
      <c r="H1530" s="8"/>
      <c r="I1530" s="8"/>
      <c r="J1530" s="8"/>
      <c r="K1530" s="8"/>
      <c r="L1530" s="8"/>
      <c r="M1530" s="8"/>
      <c r="N1530" s="8"/>
      <c r="O1530" s="8"/>
    </row>
    <row r="1531" ht="13.65" customHeight="1">
      <c r="A1531" s="8"/>
      <c r="B1531" s="8"/>
      <c r="C1531" s="8"/>
      <c r="D1531" s="8"/>
      <c r="E1531" s="8"/>
      <c r="F1531" s="8"/>
      <c r="G1531" s="8"/>
      <c r="H1531" s="8"/>
      <c r="I1531" s="8"/>
      <c r="J1531" s="8"/>
      <c r="K1531" s="8"/>
      <c r="L1531" s="8"/>
      <c r="M1531" s="8"/>
      <c r="N1531" s="8"/>
      <c r="O1531" s="8"/>
    </row>
    <row r="1532" ht="13.65" customHeight="1">
      <c r="A1532" s="8"/>
      <c r="B1532" s="8"/>
      <c r="C1532" s="8"/>
      <c r="D1532" s="8"/>
      <c r="E1532" s="8"/>
      <c r="F1532" s="8"/>
      <c r="G1532" s="8"/>
      <c r="H1532" s="8"/>
      <c r="I1532" s="8"/>
      <c r="J1532" s="8"/>
      <c r="K1532" s="8"/>
      <c r="L1532" s="8"/>
      <c r="M1532" s="8"/>
      <c r="N1532" s="8"/>
      <c r="O1532" s="8"/>
    </row>
    <row r="1533" ht="13.65" customHeight="1">
      <c r="A1533" s="8"/>
      <c r="B1533" s="8"/>
      <c r="C1533" s="8"/>
      <c r="D1533" s="8"/>
      <c r="E1533" s="8"/>
      <c r="F1533" s="8"/>
      <c r="G1533" s="8"/>
      <c r="H1533" s="8"/>
      <c r="I1533" s="8"/>
      <c r="J1533" s="8"/>
      <c r="K1533" s="8"/>
      <c r="L1533" s="8"/>
      <c r="M1533" s="8"/>
      <c r="N1533" s="8"/>
      <c r="O1533" s="8"/>
    </row>
    <row r="1534" ht="13.65" customHeight="1">
      <c r="A1534" s="8"/>
      <c r="B1534" s="8"/>
      <c r="C1534" s="8"/>
      <c r="D1534" s="8"/>
      <c r="E1534" s="8"/>
      <c r="F1534" s="8"/>
      <c r="G1534" s="8"/>
      <c r="H1534" s="8"/>
      <c r="I1534" s="8"/>
      <c r="J1534" s="8"/>
      <c r="K1534" s="8"/>
      <c r="L1534" s="8"/>
      <c r="M1534" s="8"/>
      <c r="N1534" s="8"/>
      <c r="O1534" s="8"/>
    </row>
    <row r="1535" ht="13.65" customHeight="1">
      <c r="A1535" s="8"/>
      <c r="B1535" s="8"/>
      <c r="C1535" s="8"/>
      <c r="D1535" s="8"/>
      <c r="E1535" s="8"/>
      <c r="F1535" s="8"/>
      <c r="G1535" s="8"/>
      <c r="H1535" s="8"/>
      <c r="I1535" s="8"/>
      <c r="J1535" s="8"/>
      <c r="K1535" s="8"/>
      <c r="L1535" s="8"/>
      <c r="M1535" s="8"/>
      <c r="N1535" s="8"/>
      <c r="O1535" s="8"/>
    </row>
    <row r="1536" ht="13.65" customHeight="1">
      <c r="A1536" s="8"/>
      <c r="B1536" s="8"/>
      <c r="C1536" s="8"/>
      <c r="D1536" s="8"/>
      <c r="E1536" s="8"/>
      <c r="F1536" s="8"/>
      <c r="G1536" s="8"/>
      <c r="H1536" s="8"/>
      <c r="I1536" s="8"/>
      <c r="J1536" s="8"/>
      <c r="K1536" s="8"/>
      <c r="L1536" s="8"/>
      <c r="M1536" s="8"/>
      <c r="N1536" s="8"/>
      <c r="O1536" s="8"/>
    </row>
    <row r="1537" ht="13.65" customHeight="1">
      <c r="A1537" s="8"/>
      <c r="B1537" s="8"/>
      <c r="C1537" s="8"/>
      <c r="D1537" s="8"/>
      <c r="E1537" s="8"/>
      <c r="F1537" s="8"/>
      <c r="G1537" s="8"/>
      <c r="H1537" s="8"/>
      <c r="I1537" s="8"/>
      <c r="J1537" s="8"/>
      <c r="K1537" s="8"/>
      <c r="L1537" s="8"/>
      <c r="M1537" s="8"/>
      <c r="N1537" s="8"/>
      <c r="O1537" s="8"/>
    </row>
    <row r="1538" ht="13.65" customHeight="1">
      <c r="A1538" s="8"/>
      <c r="B1538" s="8"/>
      <c r="C1538" s="8"/>
      <c r="D1538" s="8"/>
      <c r="E1538" s="8"/>
      <c r="F1538" s="8"/>
      <c r="G1538" s="8"/>
      <c r="H1538" s="8"/>
      <c r="I1538" s="8"/>
      <c r="J1538" s="8"/>
      <c r="K1538" s="8"/>
      <c r="L1538" s="8"/>
      <c r="M1538" s="8"/>
      <c r="N1538" s="8"/>
      <c r="O1538" s="8"/>
    </row>
    <row r="1539" ht="13.65" customHeight="1">
      <c r="A1539" s="8"/>
      <c r="B1539" s="8"/>
      <c r="C1539" s="8"/>
      <c r="D1539" s="8"/>
      <c r="E1539" s="8"/>
      <c r="F1539" s="8"/>
      <c r="G1539" s="8"/>
      <c r="H1539" s="8"/>
      <c r="I1539" s="8"/>
      <c r="J1539" s="8"/>
      <c r="K1539" s="8"/>
      <c r="L1539" s="8"/>
      <c r="M1539" s="8"/>
      <c r="N1539" s="8"/>
      <c r="O1539" s="8"/>
    </row>
    <row r="1540" ht="13.65" customHeight="1">
      <c r="A1540" s="8"/>
      <c r="B1540" s="8"/>
      <c r="C1540" s="8"/>
      <c r="D1540" s="8"/>
      <c r="E1540" s="8"/>
      <c r="F1540" s="8"/>
      <c r="G1540" s="8"/>
      <c r="H1540" s="8"/>
      <c r="I1540" s="8"/>
      <c r="J1540" s="8"/>
      <c r="K1540" s="8"/>
      <c r="L1540" s="8"/>
      <c r="M1540" s="8"/>
      <c r="N1540" s="8"/>
      <c r="O1540" s="8"/>
    </row>
    <row r="1541" ht="13.65" customHeight="1">
      <c r="A1541" s="8"/>
      <c r="B1541" s="8"/>
      <c r="C1541" s="8"/>
      <c r="D1541" s="8"/>
      <c r="E1541" s="8"/>
      <c r="F1541" s="8"/>
      <c r="G1541" s="8"/>
      <c r="H1541" s="8"/>
      <c r="I1541" s="8"/>
      <c r="J1541" s="8"/>
      <c r="K1541" s="8"/>
      <c r="L1541" s="8"/>
      <c r="M1541" s="8"/>
      <c r="N1541" s="8"/>
      <c r="O1541" s="8"/>
    </row>
    <row r="1542" ht="13.65" customHeight="1">
      <c r="A1542" s="8"/>
      <c r="B1542" s="8"/>
      <c r="C1542" s="8"/>
      <c r="D1542" s="8"/>
      <c r="E1542" s="8"/>
      <c r="F1542" s="8"/>
      <c r="G1542" s="8"/>
      <c r="H1542" s="8"/>
      <c r="I1542" s="8"/>
      <c r="J1542" s="8"/>
      <c r="K1542" s="8"/>
      <c r="L1542" s="8"/>
      <c r="M1542" s="8"/>
      <c r="N1542" s="8"/>
      <c r="O1542" s="8"/>
    </row>
    <row r="1543" ht="13.65" customHeight="1">
      <c r="A1543" s="8"/>
      <c r="B1543" s="8"/>
      <c r="C1543" s="8"/>
      <c r="D1543" s="8"/>
      <c r="E1543" s="8"/>
      <c r="F1543" s="8"/>
      <c r="G1543" s="8"/>
      <c r="H1543" s="8"/>
      <c r="I1543" s="8"/>
      <c r="J1543" s="8"/>
      <c r="K1543" s="8"/>
      <c r="L1543" s="8"/>
      <c r="M1543" s="8"/>
      <c r="N1543" s="8"/>
      <c r="O1543" s="8"/>
    </row>
    <row r="1544" ht="13.65" customHeight="1">
      <c r="A1544" s="8"/>
      <c r="B1544" s="8"/>
      <c r="C1544" s="8"/>
      <c r="D1544" s="8"/>
      <c r="E1544" s="8"/>
      <c r="F1544" s="8"/>
      <c r="G1544" s="8"/>
      <c r="H1544" s="8"/>
      <c r="I1544" s="8"/>
      <c r="J1544" s="8"/>
      <c r="K1544" s="8"/>
      <c r="L1544" s="8"/>
      <c r="M1544" s="8"/>
      <c r="N1544" s="8"/>
      <c r="O1544" s="8"/>
    </row>
    <row r="1545" ht="13.65" customHeight="1">
      <c r="A1545" s="8"/>
      <c r="B1545" s="8"/>
      <c r="C1545" s="8"/>
      <c r="D1545" s="8"/>
      <c r="E1545" s="8"/>
      <c r="F1545" s="8"/>
      <c r="G1545" s="8"/>
      <c r="H1545" s="8"/>
      <c r="I1545" s="8"/>
      <c r="J1545" s="8"/>
      <c r="K1545" s="8"/>
      <c r="L1545" s="8"/>
      <c r="M1545" s="8"/>
      <c r="N1545" s="8"/>
      <c r="O1545" s="8"/>
    </row>
    <row r="1546" ht="13.65" customHeight="1">
      <c r="A1546" s="8"/>
      <c r="B1546" s="8"/>
      <c r="C1546" s="8"/>
      <c r="D1546" s="8"/>
      <c r="E1546" s="8"/>
      <c r="F1546" s="8"/>
      <c r="G1546" s="8"/>
      <c r="H1546" s="8"/>
      <c r="I1546" s="8"/>
      <c r="J1546" s="8"/>
      <c r="K1546" s="8"/>
      <c r="L1546" s="8"/>
      <c r="M1546" s="8"/>
      <c r="N1546" s="8"/>
      <c r="O1546" s="8"/>
    </row>
    <row r="1547" ht="13.65" customHeight="1">
      <c r="A1547" s="8"/>
      <c r="B1547" s="8"/>
      <c r="C1547" s="8"/>
      <c r="D1547" s="8"/>
      <c r="E1547" s="8"/>
      <c r="F1547" s="8"/>
      <c r="G1547" s="8"/>
      <c r="H1547" s="8"/>
      <c r="I1547" s="8"/>
      <c r="J1547" s="8"/>
      <c r="K1547" s="8"/>
      <c r="L1547" s="8"/>
      <c r="M1547" s="8"/>
      <c r="N1547" s="8"/>
      <c r="O1547" s="8"/>
    </row>
    <row r="1548" ht="13.65" customHeight="1">
      <c r="A1548" s="8"/>
      <c r="B1548" s="8"/>
      <c r="C1548" s="8"/>
      <c r="D1548" s="8"/>
      <c r="E1548" s="8"/>
      <c r="F1548" s="8"/>
      <c r="G1548" s="8"/>
      <c r="H1548" s="8"/>
      <c r="I1548" s="8"/>
      <c r="J1548" s="8"/>
      <c r="K1548" s="8"/>
      <c r="L1548" s="8"/>
      <c r="M1548" s="8"/>
      <c r="N1548" s="8"/>
      <c r="O1548" s="8"/>
    </row>
    <row r="1549" ht="13.65" customHeight="1">
      <c r="A1549" s="8"/>
      <c r="B1549" s="8"/>
      <c r="C1549" s="8"/>
      <c r="D1549" s="8"/>
      <c r="E1549" s="8"/>
      <c r="F1549" s="8"/>
      <c r="G1549" s="8"/>
      <c r="H1549" s="8"/>
      <c r="I1549" s="8"/>
      <c r="J1549" s="8"/>
      <c r="K1549" s="8"/>
      <c r="L1549" s="8"/>
      <c r="M1549" s="8"/>
      <c r="N1549" s="8"/>
      <c r="O1549" s="8"/>
    </row>
    <row r="1550" ht="13.65" customHeight="1">
      <c r="A1550" s="8"/>
      <c r="B1550" s="8"/>
      <c r="C1550" s="8"/>
      <c r="D1550" s="8"/>
      <c r="E1550" s="8"/>
      <c r="F1550" s="8"/>
      <c r="G1550" s="8"/>
      <c r="H1550" s="8"/>
      <c r="I1550" s="8"/>
      <c r="J1550" s="8"/>
      <c r="K1550" s="8"/>
      <c r="L1550" s="8"/>
      <c r="M1550" s="8"/>
      <c r="N1550" s="8"/>
      <c r="O1550" s="8"/>
    </row>
    <row r="1551" ht="13.65" customHeight="1">
      <c r="A1551" s="8"/>
      <c r="B1551" s="8"/>
      <c r="C1551" s="8"/>
      <c r="D1551" s="8"/>
      <c r="E1551" s="8"/>
      <c r="F1551" s="8"/>
      <c r="G1551" s="8"/>
      <c r="H1551" s="8"/>
      <c r="I1551" s="8"/>
      <c r="J1551" s="8"/>
      <c r="K1551" s="8"/>
      <c r="L1551" s="8"/>
      <c r="M1551" s="8"/>
      <c r="N1551" s="8"/>
      <c r="O1551" s="8"/>
    </row>
    <row r="1552" ht="13.65" customHeight="1">
      <c r="A1552" s="8"/>
      <c r="B1552" s="8"/>
      <c r="C1552" s="8"/>
      <c r="D1552" s="8"/>
      <c r="E1552" s="8"/>
      <c r="F1552" s="8"/>
      <c r="G1552" s="8"/>
      <c r="H1552" s="8"/>
      <c r="I1552" s="8"/>
      <c r="J1552" s="8"/>
      <c r="K1552" s="8"/>
      <c r="L1552" s="8"/>
      <c r="M1552" s="8"/>
      <c r="N1552" s="8"/>
      <c r="O1552" s="8"/>
    </row>
    <row r="1553" ht="13.65" customHeight="1">
      <c r="A1553" s="8"/>
      <c r="B1553" s="8"/>
      <c r="C1553" s="8"/>
      <c r="D1553" s="8"/>
      <c r="E1553" s="8"/>
      <c r="F1553" s="8"/>
      <c r="G1553" s="8"/>
      <c r="H1553" s="8"/>
      <c r="I1553" s="8"/>
      <c r="J1553" s="8"/>
      <c r="K1553" s="8"/>
      <c r="L1553" s="8"/>
      <c r="M1553" s="8"/>
      <c r="N1553" s="8"/>
      <c r="O1553" s="8"/>
    </row>
    <row r="1554" ht="13.65" customHeight="1">
      <c r="A1554" s="8"/>
      <c r="B1554" s="8"/>
      <c r="C1554" s="8"/>
      <c r="D1554" s="8"/>
      <c r="E1554" s="8"/>
      <c r="F1554" s="8"/>
      <c r="G1554" s="8"/>
      <c r="H1554" s="8"/>
      <c r="I1554" s="8"/>
      <c r="J1554" s="8"/>
      <c r="K1554" s="8"/>
      <c r="L1554" s="8"/>
      <c r="M1554" s="8"/>
      <c r="N1554" s="8"/>
      <c r="O1554" s="8"/>
    </row>
    <row r="1555" ht="13.65" customHeight="1">
      <c r="A1555" s="8"/>
      <c r="B1555" s="8"/>
      <c r="C1555" s="8"/>
      <c r="D1555" s="8"/>
      <c r="E1555" s="8"/>
      <c r="F1555" s="8"/>
      <c r="G1555" s="8"/>
      <c r="H1555" s="8"/>
      <c r="I1555" s="8"/>
      <c r="J1555" s="8"/>
      <c r="K1555" s="8"/>
      <c r="L1555" s="8"/>
      <c r="M1555" s="8"/>
      <c r="N1555" s="8"/>
      <c r="O1555" s="8"/>
    </row>
    <row r="1556" ht="13.65" customHeight="1">
      <c r="A1556" s="8"/>
      <c r="B1556" s="8"/>
      <c r="C1556" s="8"/>
      <c r="D1556" s="8"/>
      <c r="E1556" s="8"/>
      <c r="F1556" s="8"/>
      <c r="G1556" s="8"/>
      <c r="H1556" s="8"/>
      <c r="I1556" s="8"/>
      <c r="J1556" s="8"/>
      <c r="K1556" s="8"/>
      <c r="L1556" s="8"/>
      <c r="M1556" s="8"/>
      <c r="N1556" s="8"/>
      <c r="O1556" s="8"/>
    </row>
    <row r="1557" ht="13.65" customHeight="1">
      <c r="A1557" s="8"/>
      <c r="B1557" s="8"/>
      <c r="C1557" s="8"/>
      <c r="D1557" s="8"/>
      <c r="E1557" s="8"/>
      <c r="F1557" s="8"/>
      <c r="G1557" s="8"/>
      <c r="H1557" s="8"/>
      <c r="I1557" s="8"/>
      <c r="J1557" s="8"/>
      <c r="K1557" s="8"/>
      <c r="L1557" s="8"/>
      <c r="M1557" s="8"/>
      <c r="N1557" s="8"/>
      <c r="O1557" s="8"/>
    </row>
    <row r="1558" ht="13.65" customHeight="1">
      <c r="A1558" s="8"/>
      <c r="B1558" s="8"/>
      <c r="C1558" s="8"/>
      <c r="D1558" s="8"/>
      <c r="E1558" s="8"/>
      <c r="F1558" s="8"/>
      <c r="G1558" s="8"/>
      <c r="H1558" s="8"/>
      <c r="I1558" s="8"/>
      <c r="J1558" s="8"/>
      <c r="K1558" s="8"/>
      <c r="L1558" s="8"/>
      <c r="M1558" s="8"/>
      <c r="N1558" s="8"/>
      <c r="O1558" s="8"/>
    </row>
    <row r="1559" ht="13.65" customHeight="1">
      <c r="A1559" s="8"/>
      <c r="B1559" s="8"/>
      <c r="C1559" s="8"/>
      <c r="D1559" s="8"/>
      <c r="E1559" s="8"/>
      <c r="F1559" s="8"/>
      <c r="G1559" s="8"/>
      <c r="H1559" s="8"/>
      <c r="I1559" s="8"/>
      <c r="J1559" s="8"/>
      <c r="K1559" s="8"/>
      <c r="L1559" s="8"/>
      <c r="M1559" s="8"/>
      <c r="N1559" s="8"/>
      <c r="O1559" s="8"/>
    </row>
    <row r="1560" ht="13.65" customHeight="1">
      <c r="A1560" s="8"/>
      <c r="B1560" s="8"/>
      <c r="C1560" s="8"/>
      <c r="D1560" s="8"/>
      <c r="E1560" s="8"/>
      <c r="F1560" s="8"/>
      <c r="G1560" s="8"/>
      <c r="H1560" s="8"/>
      <c r="I1560" s="8"/>
      <c r="J1560" s="8"/>
      <c r="K1560" s="8"/>
      <c r="L1560" s="8"/>
      <c r="M1560" s="8"/>
      <c r="N1560" s="8"/>
      <c r="O1560" s="8"/>
    </row>
    <row r="1561" ht="13.65" customHeight="1">
      <c r="A1561" s="8"/>
      <c r="B1561" s="8"/>
      <c r="C1561" s="8"/>
      <c r="D1561" s="8"/>
      <c r="E1561" s="8"/>
      <c r="F1561" s="8"/>
      <c r="G1561" s="8"/>
      <c r="H1561" s="8"/>
      <c r="I1561" s="8"/>
      <c r="J1561" s="8"/>
      <c r="K1561" s="8"/>
      <c r="L1561" s="8"/>
      <c r="M1561" s="8"/>
      <c r="N1561" s="8"/>
      <c r="O1561" s="8"/>
    </row>
    <row r="1562" ht="13.65" customHeight="1">
      <c r="A1562" s="8"/>
      <c r="B1562" s="8"/>
      <c r="C1562" s="8"/>
      <c r="D1562" s="8"/>
      <c r="E1562" s="8"/>
      <c r="F1562" s="8"/>
      <c r="G1562" s="8"/>
      <c r="H1562" s="8"/>
      <c r="I1562" s="8"/>
      <c r="J1562" s="8"/>
      <c r="K1562" s="8"/>
      <c r="L1562" s="8"/>
      <c r="M1562" s="8"/>
      <c r="N1562" s="8"/>
      <c r="O1562" s="8"/>
    </row>
    <row r="1563" ht="13.65" customHeight="1">
      <c r="A1563" s="8"/>
      <c r="B1563" s="8"/>
      <c r="C1563" s="8"/>
      <c r="D1563" s="8"/>
      <c r="E1563" s="8"/>
      <c r="F1563" s="8"/>
      <c r="G1563" s="8"/>
      <c r="H1563" s="8"/>
      <c r="I1563" s="8"/>
      <c r="J1563" s="8"/>
      <c r="K1563" s="8"/>
      <c r="L1563" s="8"/>
      <c r="M1563" s="8"/>
      <c r="N1563" s="8"/>
      <c r="O1563" s="8"/>
    </row>
    <row r="1564" ht="13.65" customHeight="1">
      <c r="A1564" s="8"/>
      <c r="B1564" s="8"/>
      <c r="C1564" s="8"/>
      <c r="D1564" s="8"/>
      <c r="E1564" s="8"/>
      <c r="F1564" s="8"/>
      <c r="G1564" s="8"/>
      <c r="H1564" s="8"/>
      <c r="I1564" s="8"/>
      <c r="J1564" s="8"/>
      <c r="K1564" s="8"/>
      <c r="L1564" s="8"/>
      <c r="M1564" s="8"/>
      <c r="N1564" s="8"/>
      <c r="O1564" s="8"/>
    </row>
    <row r="1565" ht="13.65" customHeight="1">
      <c r="A1565" s="8"/>
      <c r="B1565" s="8"/>
      <c r="C1565" s="8"/>
      <c r="D1565" s="8"/>
      <c r="E1565" s="8"/>
      <c r="F1565" s="8"/>
      <c r="G1565" s="8"/>
      <c r="H1565" s="8"/>
      <c r="I1565" s="8"/>
      <c r="J1565" s="8"/>
      <c r="K1565" s="8"/>
      <c r="L1565" s="8"/>
      <c r="M1565" s="8"/>
      <c r="N1565" s="8"/>
      <c r="O1565" s="8"/>
    </row>
    <row r="1566" ht="13.65" customHeight="1">
      <c r="A1566" s="8"/>
      <c r="B1566" s="8"/>
      <c r="C1566" s="8"/>
      <c r="D1566" s="8"/>
      <c r="E1566" s="8"/>
      <c r="F1566" s="8"/>
      <c r="G1566" s="8"/>
      <c r="H1566" s="8"/>
      <c r="I1566" s="8"/>
      <c r="J1566" s="8"/>
      <c r="K1566" s="8"/>
      <c r="L1566" s="8"/>
      <c r="M1566" s="8"/>
      <c r="N1566" s="8"/>
      <c r="O1566" s="8"/>
    </row>
    <row r="1567" ht="13.65" customHeight="1">
      <c r="A1567" s="8"/>
      <c r="B1567" s="8"/>
      <c r="C1567" s="8"/>
      <c r="D1567" s="8"/>
      <c r="E1567" s="8"/>
      <c r="F1567" s="8"/>
      <c r="G1567" s="8"/>
      <c r="H1567" s="8"/>
      <c r="I1567" s="8"/>
      <c r="J1567" s="8"/>
      <c r="K1567" s="8"/>
      <c r="L1567" s="8"/>
      <c r="M1567" s="8"/>
      <c r="N1567" s="8"/>
      <c r="O1567" s="8"/>
    </row>
    <row r="1568" ht="13.65" customHeight="1">
      <c r="A1568" s="8"/>
      <c r="B1568" s="8"/>
      <c r="C1568" s="8"/>
      <c r="D1568" s="8"/>
      <c r="E1568" s="8"/>
      <c r="F1568" s="8"/>
      <c r="G1568" s="8"/>
      <c r="H1568" s="8"/>
      <c r="I1568" s="8"/>
      <c r="J1568" s="8"/>
      <c r="K1568" s="8"/>
      <c r="L1568" s="8"/>
      <c r="M1568" s="8"/>
      <c r="N1568" s="8"/>
      <c r="O1568" s="8"/>
    </row>
    <row r="1569" ht="13.65" customHeight="1">
      <c r="A1569" s="8"/>
      <c r="B1569" s="8"/>
      <c r="C1569" s="8"/>
      <c r="D1569" s="8"/>
      <c r="E1569" s="8"/>
      <c r="F1569" s="8"/>
      <c r="G1569" s="8"/>
      <c r="H1569" s="8"/>
      <c r="I1569" s="8"/>
      <c r="J1569" s="8"/>
      <c r="K1569" s="8"/>
      <c r="L1569" s="8"/>
      <c r="M1569" s="8"/>
      <c r="N1569" s="8"/>
      <c r="O1569" s="8"/>
    </row>
    <row r="1570" ht="13.65" customHeight="1">
      <c r="A1570" s="8"/>
      <c r="B1570" s="8"/>
      <c r="C1570" s="8"/>
      <c r="D1570" s="8"/>
      <c r="E1570" s="8"/>
      <c r="F1570" s="8"/>
      <c r="G1570" s="8"/>
      <c r="H1570" s="8"/>
      <c r="I1570" s="8"/>
      <c r="J1570" s="8"/>
      <c r="K1570" s="8"/>
      <c r="L1570" s="8"/>
      <c r="M1570" s="8"/>
      <c r="N1570" s="8"/>
      <c r="O1570" s="8"/>
    </row>
    <row r="1571" ht="13.65" customHeight="1">
      <c r="A1571" s="8"/>
      <c r="B1571" s="8"/>
      <c r="C1571" s="8"/>
      <c r="D1571" s="8"/>
      <c r="E1571" s="8"/>
      <c r="F1571" s="8"/>
      <c r="G1571" s="8"/>
      <c r="H1571" s="8"/>
      <c r="I1571" s="8"/>
      <c r="J1571" s="8"/>
      <c r="K1571" s="8"/>
      <c r="L1571" s="8"/>
      <c r="M1571" s="8"/>
      <c r="N1571" s="8"/>
      <c r="O1571" s="8"/>
    </row>
    <row r="1572" ht="13.65" customHeight="1">
      <c r="A1572" s="8"/>
      <c r="B1572" s="8"/>
      <c r="C1572" s="8"/>
      <c r="D1572" s="8"/>
      <c r="E1572" s="8"/>
      <c r="F1572" s="8"/>
      <c r="G1572" s="8"/>
      <c r="H1572" s="8"/>
      <c r="I1572" s="8"/>
      <c r="J1572" s="8"/>
      <c r="K1572" s="8"/>
      <c r="L1572" s="8"/>
      <c r="M1572" s="8"/>
      <c r="N1572" s="8"/>
      <c r="O1572" s="8"/>
    </row>
    <row r="1573" ht="13.65" customHeight="1">
      <c r="A1573" s="8"/>
      <c r="B1573" s="8"/>
      <c r="C1573" s="8"/>
      <c r="D1573" s="8"/>
      <c r="E1573" s="8"/>
      <c r="F1573" s="8"/>
      <c r="G1573" s="8"/>
      <c r="H1573" s="8"/>
      <c r="I1573" s="8"/>
      <c r="J1573" s="8"/>
      <c r="K1573" s="8"/>
      <c r="L1573" s="8"/>
      <c r="M1573" s="8"/>
      <c r="N1573" s="8"/>
      <c r="O1573" s="8"/>
    </row>
    <row r="1574" ht="13.65" customHeight="1">
      <c r="A1574" s="8"/>
      <c r="B1574" s="8"/>
      <c r="C1574" s="8"/>
      <c r="D1574" s="8"/>
      <c r="E1574" s="8"/>
      <c r="F1574" s="8"/>
      <c r="G1574" s="8"/>
      <c r="H1574" s="8"/>
      <c r="I1574" s="8"/>
      <c r="J1574" s="8"/>
      <c r="K1574" s="8"/>
      <c r="L1574" s="8"/>
      <c r="M1574" s="8"/>
      <c r="N1574" s="8"/>
      <c r="O1574" s="8"/>
    </row>
    <row r="1575" ht="13.65" customHeight="1">
      <c r="A1575" s="8"/>
      <c r="B1575" s="8"/>
      <c r="C1575" s="8"/>
      <c r="D1575" s="8"/>
      <c r="E1575" s="8"/>
      <c r="F1575" s="8"/>
      <c r="G1575" s="8"/>
      <c r="H1575" s="8"/>
      <c r="I1575" s="8"/>
      <c r="J1575" s="8"/>
      <c r="K1575" s="8"/>
      <c r="L1575" s="8"/>
      <c r="M1575" s="8"/>
      <c r="N1575" s="8"/>
      <c r="O1575" s="8"/>
    </row>
    <row r="1576" ht="13.65" customHeight="1">
      <c r="A1576" s="8"/>
      <c r="B1576" s="8"/>
      <c r="C1576" s="8"/>
      <c r="D1576" s="8"/>
      <c r="E1576" s="8"/>
      <c r="F1576" s="8"/>
      <c r="G1576" s="8"/>
      <c r="H1576" s="8"/>
      <c r="I1576" s="8"/>
      <c r="J1576" s="8"/>
      <c r="K1576" s="8"/>
      <c r="L1576" s="8"/>
      <c r="M1576" s="8"/>
      <c r="N1576" s="8"/>
      <c r="O1576" s="8"/>
    </row>
    <row r="1577" ht="13.65" customHeight="1">
      <c r="A1577" s="8"/>
      <c r="B1577" s="8"/>
      <c r="C1577" s="8"/>
      <c r="D1577" s="8"/>
      <c r="E1577" s="8"/>
      <c r="F1577" s="8"/>
      <c r="G1577" s="8"/>
      <c r="H1577" s="8"/>
      <c r="I1577" s="8"/>
      <c r="J1577" s="8"/>
      <c r="K1577" s="8"/>
      <c r="L1577" s="8"/>
      <c r="M1577" s="8"/>
      <c r="N1577" s="8"/>
      <c r="O1577" s="8"/>
    </row>
    <row r="1578" ht="13.65" customHeight="1">
      <c r="A1578" s="8"/>
      <c r="B1578" s="8"/>
      <c r="C1578" s="8"/>
      <c r="D1578" s="8"/>
      <c r="E1578" s="8"/>
      <c r="F1578" s="8"/>
      <c r="G1578" s="8"/>
      <c r="H1578" s="8"/>
      <c r="I1578" s="8"/>
      <c r="J1578" s="8"/>
      <c r="K1578" s="8"/>
      <c r="L1578" s="8"/>
      <c r="M1578" s="8"/>
      <c r="N1578" s="8"/>
      <c r="O1578" s="8"/>
    </row>
    <row r="1579" ht="13.65" customHeight="1">
      <c r="A1579" s="8"/>
      <c r="B1579" s="8"/>
      <c r="C1579" s="8"/>
      <c r="D1579" s="8"/>
      <c r="E1579" s="8"/>
      <c r="F1579" s="8"/>
      <c r="G1579" s="8"/>
      <c r="H1579" s="8"/>
      <c r="I1579" s="8"/>
      <c r="J1579" s="8"/>
      <c r="K1579" s="8"/>
      <c r="L1579" s="8"/>
      <c r="M1579" s="8"/>
      <c r="N1579" s="8"/>
      <c r="O1579" s="8"/>
    </row>
    <row r="1580" ht="13.65" customHeight="1">
      <c r="A1580" s="8"/>
      <c r="B1580" s="8"/>
      <c r="C1580" s="8"/>
      <c r="D1580" s="8"/>
      <c r="E1580" s="8"/>
      <c r="F1580" s="8"/>
      <c r="G1580" s="8"/>
      <c r="H1580" s="8"/>
      <c r="I1580" s="8"/>
      <c r="J1580" s="8"/>
      <c r="K1580" s="8"/>
      <c r="L1580" s="8"/>
      <c r="M1580" s="8"/>
      <c r="N1580" s="8"/>
      <c r="O1580" s="8"/>
    </row>
    <row r="1581" ht="13.65" customHeight="1">
      <c r="A1581" s="8"/>
      <c r="B1581" s="8"/>
      <c r="C1581" s="8"/>
      <c r="D1581" s="8"/>
      <c r="E1581" s="8"/>
      <c r="F1581" s="8"/>
      <c r="G1581" s="8"/>
      <c r="H1581" s="8"/>
      <c r="I1581" s="8"/>
      <c r="J1581" s="8"/>
      <c r="K1581" s="8"/>
      <c r="L1581" s="8"/>
      <c r="M1581" s="8"/>
      <c r="N1581" s="8"/>
      <c r="O1581" s="8"/>
    </row>
    <row r="1582" ht="13.65" customHeight="1">
      <c r="A1582" s="8"/>
      <c r="B1582" s="8"/>
      <c r="C1582" s="8"/>
      <c r="D1582" s="8"/>
      <c r="E1582" s="8"/>
      <c r="F1582" s="8"/>
      <c r="G1582" s="8"/>
      <c r="H1582" s="8"/>
      <c r="I1582" s="8"/>
      <c r="J1582" s="8"/>
      <c r="K1582" s="8"/>
      <c r="L1582" s="8"/>
      <c r="M1582" s="8"/>
      <c r="N1582" s="8"/>
      <c r="O1582" s="8"/>
    </row>
    <row r="1583" ht="13.65" customHeight="1">
      <c r="A1583" s="8"/>
      <c r="B1583" s="8"/>
      <c r="C1583" s="8"/>
      <c r="D1583" s="8"/>
      <c r="E1583" s="8"/>
      <c r="F1583" s="8"/>
      <c r="G1583" s="8"/>
      <c r="H1583" s="8"/>
      <c r="I1583" s="8"/>
      <c r="J1583" s="8"/>
      <c r="K1583" s="8"/>
      <c r="L1583" s="8"/>
      <c r="M1583" s="8"/>
      <c r="N1583" s="8"/>
      <c r="O1583" s="8"/>
    </row>
    <row r="1584" ht="13.65" customHeight="1">
      <c r="A1584" s="8"/>
      <c r="B1584" s="8"/>
      <c r="C1584" s="8"/>
      <c r="D1584" s="8"/>
      <c r="E1584" s="8"/>
      <c r="F1584" s="8"/>
      <c r="G1584" s="8"/>
      <c r="H1584" s="8"/>
      <c r="I1584" s="8"/>
      <c r="J1584" s="8"/>
      <c r="K1584" s="8"/>
      <c r="L1584" s="8"/>
      <c r="M1584" s="8"/>
      <c r="N1584" s="8"/>
      <c r="O1584" s="8"/>
    </row>
    <row r="1585" ht="13.65" customHeight="1">
      <c r="A1585" s="8"/>
      <c r="B1585" s="8"/>
      <c r="C1585" s="8"/>
      <c r="D1585" s="8"/>
      <c r="E1585" s="8"/>
      <c r="F1585" s="8"/>
      <c r="G1585" s="8"/>
      <c r="H1585" s="8"/>
      <c r="I1585" s="8"/>
      <c r="J1585" s="8"/>
      <c r="K1585" s="8"/>
      <c r="L1585" s="8"/>
      <c r="M1585" s="8"/>
      <c r="N1585" s="8"/>
      <c r="O1585" s="8"/>
    </row>
    <row r="1586" ht="13.65" customHeight="1">
      <c r="A1586" s="8"/>
      <c r="B1586" s="8"/>
      <c r="C1586" s="8"/>
      <c r="D1586" s="8"/>
      <c r="E1586" s="8"/>
      <c r="F1586" s="8"/>
      <c r="G1586" s="8"/>
      <c r="H1586" s="8"/>
      <c r="I1586" s="8"/>
      <c r="J1586" s="8"/>
      <c r="K1586" s="8"/>
      <c r="L1586" s="8"/>
      <c r="M1586" s="8"/>
      <c r="N1586" s="8"/>
      <c r="O1586" s="8"/>
    </row>
    <row r="1587" ht="13.65" customHeight="1">
      <c r="A1587" s="8"/>
      <c r="B1587" s="8"/>
      <c r="C1587" s="8"/>
      <c r="D1587" s="8"/>
      <c r="E1587" s="8"/>
      <c r="F1587" s="8"/>
      <c r="G1587" s="8"/>
      <c r="H1587" s="8"/>
      <c r="I1587" s="8"/>
      <c r="J1587" s="8"/>
      <c r="K1587" s="8"/>
      <c r="L1587" s="8"/>
      <c r="M1587" s="8"/>
      <c r="N1587" s="8"/>
      <c r="O1587" s="8"/>
    </row>
    <row r="1588" ht="13.65" customHeight="1">
      <c r="A1588" s="8"/>
      <c r="B1588" s="8"/>
      <c r="C1588" s="8"/>
      <c r="D1588" s="8"/>
      <c r="E1588" s="8"/>
      <c r="F1588" s="8"/>
      <c r="G1588" s="8"/>
      <c r="H1588" s="8"/>
      <c r="I1588" s="8"/>
      <c r="J1588" s="8"/>
      <c r="K1588" s="8"/>
      <c r="L1588" s="8"/>
      <c r="M1588" s="8"/>
      <c r="N1588" s="8"/>
      <c r="O1588" s="8"/>
    </row>
    <row r="1589" ht="13.65" customHeight="1">
      <c r="A1589" s="8"/>
      <c r="B1589" s="8"/>
      <c r="C1589" s="8"/>
      <c r="D1589" s="8"/>
      <c r="E1589" s="8"/>
      <c r="F1589" s="8"/>
      <c r="G1589" s="8"/>
      <c r="H1589" s="8"/>
      <c r="I1589" s="8"/>
      <c r="J1589" s="8"/>
      <c r="K1589" s="8"/>
      <c r="L1589" s="8"/>
      <c r="M1589" s="8"/>
      <c r="N1589" s="8"/>
      <c r="O1589" s="8"/>
    </row>
    <row r="1590" ht="13.65" customHeight="1">
      <c r="A1590" s="8"/>
      <c r="B1590" s="8"/>
      <c r="C1590" s="8"/>
      <c r="D1590" s="8"/>
      <c r="E1590" s="8"/>
      <c r="F1590" s="8"/>
      <c r="G1590" s="8"/>
      <c r="H1590" s="8"/>
      <c r="I1590" s="8"/>
      <c r="J1590" s="8"/>
      <c r="K1590" s="8"/>
      <c r="L1590" s="8"/>
      <c r="M1590" s="8"/>
      <c r="N1590" s="8"/>
      <c r="O1590" s="8"/>
    </row>
    <row r="1591" ht="13.65" customHeight="1">
      <c r="A1591" s="8"/>
      <c r="B1591" s="8"/>
      <c r="C1591" s="8"/>
      <c r="D1591" s="8"/>
      <c r="E1591" s="8"/>
      <c r="F1591" s="8"/>
      <c r="G1591" s="8"/>
      <c r="H1591" s="8"/>
      <c r="I1591" s="8"/>
      <c r="J1591" s="8"/>
      <c r="K1591" s="8"/>
      <c r="L1591" s="8"/>
      <c r="M1591" s="8"/>
      <c r="N1591" s="8"/>
      <c r="O1591" s="8"/>
    </row>
    <row r="1592" ht="13.65" customHeight="1">
      <c r="A1592" s="8"/>
      <c r="B1592" s="8"/>
      <c r="C1592" s="8"/>
      <c r="D1592" s="8"/>
      <c r="E1592" s="8"/>
      <c r="F1592" s="8"/>
      <c r="G1592" s="8"/>
      <c r="H1592" s="8"/>
      <c r="I1592" s="8"/>
      <c r="J1592" s="8"/>
      <c r="K1592" s="8"/>
      <c r="L1592" s="8"/>
      <c r="M1592" s="8"/>
      <c r="N1592" s="8"/>
      <c r="O1592" s="8"/>
    </row>
    <row r="1593" ht="13.65" customHeight="1">
      <c r="A1593" s="8"/>
      <c r="B1593" s="8"/>
      <c r="C1593" s="8"/>
      <c r="D1593" s="8"/>
      <c r="E1593" s="8"/>
      <c r="F1593" s="8"/>
      <c r="G1593" s="8"/>
      <c r="H1593" s="8"/>
      <c r="I1593" s="8"/>
      <c r="J1593" s="8"/>
      <c r="K1593" s="8"/>
      <c r="L1593" s="8"/>
      <c r="M1593" s="8"/>
      <c r="N1593" s="8"/>
      <c r="O1593" s="8"/>
    </row>
    <row r="1594" ht="13.65" customHeight="1">
      <c r="A1594" s="8"/>
      <c r="B1594" s="8"/>
      <c r="C1594" s="8"/>
      <c r="D1594" s="8"/>
      <c r="E1594" s="8"/>
      <c r="F1594" s="8"/>
      <c r="G1594" s="8"/>
      <c r="H1594" s="8"/>
      <c r="I1594" s="8"/>
      <c r="J1594" s="8"/>
      <c r="K1594" s="8"/>
      <c r="L1594" s="8"/>
      <c r="M1594" s="8"/>
      <c r="N1594" s="8"/>
      <c r="O1594" s="8"/>
    </row>
    <row r="1595" ht="13.65" customHeight="1">
      <c r="A1595" s="8"/>
      <c r="B1595" s="8"/>
      <c r="C1595" s="8"/>
      <c r="D1595" s="8"/>
      <c r="E1595" s="8"/>
      <c r="F1595" s="8"/>
      <c r="G1595" s="8"/>
      <c r="H1595" s="8"/>
      <c r="I1595" s="8"/>
      <c r="J1595" s="8"/>
      <c r="K1595" s="8"/>
      <c r="L1595" s="8"/>
      <c r="M1595" s="8"/>
      <c r="N1595" s="8"/>
      <c r="O1595" s="8"/>
    </row>
    <row r="1596" ht="13.65" customHeight="1">
      <c r="A1596" s="8"/>
      <c r="B1596" s="8"/>
      <c r="C1596" s="8"/>
      <c r="D1596" s="8"/>
      <c r="E1596" s="8"/>
      <c r="F1596" s="8"/>
      <c r="G1596" s="8"/>
      <c r="H1596" s="8"/>
      <c r="I1596" s="8"/>
      <c r="J1596" s="8"/>
      <c r="K1596" s="8"/>
      <c r="L1596" s="8"/>
      <c r="M1596" s="8"/>
      <c r="N1596" s="8"/>
      <c r="O1596" s="8"/>
    </row>
    <row r="1597" ht="13.65" customHeight="1">
      <c r="A1597" s="8"/>
      <c r="B1597" s="8"/>
      <c r="C1597" s="8"/>
      <c r="D1597" s="8"/>
      <c r="E1597" s="8"/>
      <c r="F1597" s="8"/>
      <c r="G1597" s="8"/>
      <c r="H1597" s="8"/>
      <c r="I1597" s="8"/>
      <c r="J1597" s="8"/>
      <c r="K1597" s="8"/>
      <c r="L1597" s="8"/>
      <c r="M1597" s="8"/>
      <c r="N1597" s="8"/>
      <c r="O1597" s="8"/>
    </row>
    <row r="1598" ht="13.65" customHeight="1">
      <c r="A1598" s="8"/>
      <c r="B1598" s="8"/>
      <c r="C1598" s="8"/>
      <c r="D1598" s="8"/>
      <c r="E1598" s="8"/>
      <c r="F1598" s="8"/>
      <c r="G1598" s="8"/>
      <c r="H1598" s="8"/>
      <c r="I1598" s="8"/>
      <c r="J1598" s="8"/>
      <c r="K1598" s="8"/>
      <c r="L1598" s="8"/>
      <c r="M1598" s="8"/>
      <c r="N1598" s="8"/>
      <c r="O1598" s="8"/>
    </row>
    <row r="1599" ht="13.65" customHeight="1">
      <c r="A1599" s="8"/>
      <c r="B1599" s="8"/>
      <c r="C1599" s="8"/>
      <c r="D1599" s="8"/>
      <c r="E1599" s="8"/>
      <c r="F1599" s="8"/>
      <c r="G1599" s="8"/>
      <c r="H1599" s="8"/>
      <c r="I1599" s="8"/>
      <c r="J1599" s="8"/>
      <c r="K1599" s="8"/>
      <c r="L1599" s="8"/>
      <c r="M1599" s="8"/>
      <c r="N1599" s="8"/>
      <c r="O1599" s="8"/>
    </row>
    <row r="1600" ht="13.65" customHeight="1">
      <c r="A1600" s="8"/>
      <c r="B1600" s="8"/>
      <c r="C1600" s="8"/>
      <c r="D1600" s="8"/>
      <c r="E1600" s="8"/>
      <c r="F1600" s="8"/>
      <c r="G1600" s="8"/>
      <c r="H1600" s="8"/>
      <c r="I1600" s="8"/>
      <c r="J1600" s="8"/>
      <c r="K1600" s="8"/>
      <c r="L1600" s="8"/>
      <c r="M1600" s="8"/>
      <c r="N1600" s="8"/>
      <c r="O1600" s="8"/>
    </row>
    <row r="1601" ht="13.65" customHeight="1">
      <c r="A1601" s="8"/>
      <c r="B1601" s="8"/>
      <c r="C1601" s="8"/>
      <c r="D1601" s="8"/>
      <c r="E1601" s="8"/>
      <c r="F1601" s="8"/>
      <c r="G1601" s="8"/>
      <c r="H1601" s="8"/>
      <c r="I1601" s="8"/>
      <c r="J1601" s="8"/>
      <c r="K1601" s="8"/>
      <c r="L1601" s="8"/>
      <c r="M1601" s="8"/>
      <c r="N1601" s="8"/>
      <c r="O1601" s="8"/>
    </row>
    <row r="1602" ht="13.65" customHeight="1">
      <c r="A1602" s="8"/>
      <c r="B1602" s="8"/>
      <c r="C1602" s="8"/>
      <c r="D1602" s="8"/>
      <c r="E1602" s="8"/>
      <c r="F1602" s="8"/>
      <c r="G1602" s="8"/>
      <c r="H1602" s="8"/>
      <c r="I1602" s="8"/>
      <c r="J1602" s="8"/>
      <c r="K1602" s="8"/>
      <c r="L1602" s="8"/>
      <c r="M1602" s="8"/>
      <c r="N1602" s="8"/>
      <c r="O1602" s="8"/>
    </row>
    <row r="1603" ht="13.65" customHeight="1">
      <c r="A1603" s="8"/>
      <c r="B1603" s="8"/>
      <c r="C1603" s="8"/>
      <c r="D1603" s="8"/>
      <c r="E1603" s="8"/>
      <c r="F1603" s="8"/>
      <c r="G1603" s="8"/>
      <c r="H1603" s="8"/>
      <c r="I1603" s="8"/>
      <c r="J1603" s="8"/>
      <c r="K1603" s="8"/>
      <c r="L1603" s="8"/>
      <c r="M1603" s="8"/>
      <c r="N1603" s="8"/>
      <c r="O1603" s="8"/>
    </row>
    <row r="1604" ht="13.65" customHeight="1">
      <c r="A1604" s="8"/>
      <c r="B1604" s="8"/>
      <c r="C1604" s="8"/>
      <c r="D1604" s="8"/>
      <c r="E1604" s="8"/>
      <c r="F1604" s="8"/>
      <c r="G1604" s="8"/>
      <c r="H1604" s="8"/>
      <c r="I1604" s="8"/>
      <c r="J1604" s="8"/>
      <c r="K1604" s="8"/>
      <c r="L1604" s="8"/>
      <c r="M1604" s="8"/>
      <c r="N1604" s="8"/>
      <c r="O1604" s="8"/>
    </row>
    <row r="1605" ht="13.65" customHeight="1">
      <c r="A1605" s="8"/>
      <c r="B1605" s="8"/>
      <c r="C1605" s="8"/>
      <c r="D1605" s="8"/>
      <c r="E1605" s="8"/>
      <c r="F1605" s="8"/>
      <c r="G1605" s="8"/>
      <c r="H1605" s="8"/>
      <c r="I1605" s="8"/>
      <c r="J1605" s="8"/>
      <c r="K1605" s="8"/>
      <c r="L1605" s="8"/>
      <c r="M1605" s="8"/>
      <c r="N1605" s="8"/>
      <c r="O1605" s="8"/>
    </row>
    <row r="1606" ht="13.65" customHeight="1">
      <c r="A1606" s="8"/>
      <c r="B1606" s="8"/>
      <c r="C1606" s="8"/>
      <c r="D1606" s="8"/>
      <c r="E1606" s="8"/>
      <c r="F1606" s="8"/>
      <c r="G1606" s="8"/>
      <c r="H1606" s="8"/>
      <c r="I1606" s="8"/>
      <c r="J1606" s="8"/>
      <c r="K1606" s="8"/>
      <c r="L1606" s="8"/>
      <c r="M1606" s="8"/>
      <c r="N1606" s="8"/>
      <c r="O1606" s="8"/>
    </row>
    <row r="1607" ht="13.65" customHeight="1">
      <c r="A1607" s="8"/>
      <c r="B1607" s="8"/>
      <c r="C1607" s="8"/>
      <c r="D1607" s="8"/>
      <c r="E1607" s="8"/>
      <c r="F1607" s="8"/>
      <c r="G1607" s="8"/>
      <c r="H1607" s="8"/>
      <c r="I1607" s="8"/>
      <c r="J1607" s="8"/>
      <c r="K1607" s="8"/>
      <c r="L1607" s="8"/>
      <c r="M1607" s="8"/>
      <c r="N1607" s="8"/>
      <c r="O1607" s="8"/>
    </row>
    <row r="1608" ht="13.65" customHeight="1">
      <c r="A1608" s="8"/>
      <c r="B1608" s="8"/>
      <c r="C1608" s="8"/>
      <c r="D1608" s="8"/>
      <c r="E1608" s="8"/>
      <c r="F1608" s="8"/>
      <c r="G1608" s="8"/>
      <c r="H1608" s="8"/>
      <c r="I1608" s="8"/>
      <c r="J1608" s="8"/>
      <c r="K1608" s="8"/>
      <c r="L1608" s="8"/>
      <c r="M1608" s="8"/>
      <c r="N1608" s="8"/>
      <c r="O1608" s="8"/>
    </row>
    <row r="1609" ht="13.65" customHeight="1">
      <c r="A1609" s="8"/>
      <c r="B1609" s="8"/>
      <c r="C1609" s="8"/>
      <c r="D1609" s="8"/>
      <c r="E1609" s="8"/>
      <c r="F1609" s="8"/>
      <c r="G1609" s="8"/>
      <c r="H1609" s="8"/>
      <c r="I1609" s="8"/>
      <c r="J1609" s="8"/>
      <c r="K1609" s="8"/>
      <c r="L1609" s="8"/>
      <c r="M1609" s="8"/>
      <c r="N1609" s="8"/>
      <c r="O1609" s="8"/>
    </row>
    <row r="1610" ht="13.65" customHeight="1">
      <c r="A1610" s="8"/>
      <c r="B1610" s="8"/>
      <c r="C1610" s="8"/>
      <c r="D1610" s="8"/>
      <c r="E1610" s="8"/>
      <c r="F1610" s="8"/>
      <c r="G1610" s="8"/>
      <c r="H1610" s="8"/>
      <c r="I1610" s="8"/>
      <c r="J1610" s="8"/>
      <c r="K1610" s="8"/>
      <c r="L1610" s="8"/>
      <c r="M1610" s="8"/>
      <c r="N1610" s="8"/>
      <c r="O1610" s="8"/>
    </row>
    <row r="1611" ht="13.65" customHeight="1">
      <c r="A1611" s="8"/>
      <c r="B1611" s="8"/>
      <c r="C1611" s="8"/>
      <c r="D1611" s="8"/>
      <c r="E1611" s="8"/>
      <c r="F1611" s="8"/>
      <c r="G1611" s="8"/>
      <c r="H1611" s="8"/>
      <c r="I1611" s="8"/>
      <c r="J1611" s="8"/>
      <c r="K1611" s="8"/>
      <c r="L1611" s="8"/>
      <c r="M1611" s="8"/>
      <c r="N1611" s="8"/>
      <c r="O1611" s="8"/>
    </row>
    <row r="1612" ht="13.65" customHeight="1">
      <c r="A1612" s="8"/>
      <c r="B1612" s="8"/>
      <c r="C1612" s="8"/>
      <c r="D1612" s="8"/>
      <c r="E1612" s="8"/>
      <c r="F1612" s="8"/>
      <c r="G1612" s="8"/>
      <c r="H1612" s="8"/>
      <c r="I1612" s="8"/>
      <c r="J1612" s="8"/>
      <c r="K1612" s="8"/>
      <c r="L1612" s="8"/>
      <c r="M1612" s="8"/>
      <c r="N1612" s="8"/>
      <c r="O1612" s="8"/>
    </row>
    <row r="1613" ht="13.65" customHeight="1">
      <c r="A1613" s="8"/>
      <c r="B1613" s="8"/>
      <c r="C1613" s="8"/>
      <c r="D1613" s="8"/>
      <c r="E1613" s="8"/>
      <c r="F1613" s="8"/>
      <c r="G1613" s="8"/>
      <c r="H1613" s="8"/>
      <c r="I1613" s="8"/>
      <c r="J1613" s="8"/>
      <c r="K1613" s="8"/>
      <c r="L1613" s="8"/>
      <c r="M1613" s="8"/>
      <c r="N1613" s="8"/>
      <c r="O1613" s="8"/>
    </row>
    <row r="1614" ht="13.65" customHeight="1">
      <c r="A1614" s="8"/>
      <c r="B1614" s="8"/>
      <c r="C1614" s="8"/>
      <c r="D1614" s="8"/>
      <c r="E1614" s="8"/>
      <c r="F1614" s="8"/>
      <c r="G1614" s="8"/>
      <c r="H1614" s="8"/>
      <c r="I1614" s="8"/>
      <c r="J1614" s="8"/>
      <c r="K1614" s="8"/>
      <c r="L1614" s="8"/>
      <c r="M1614" s="8"/>
      <c r="N1614" s="8"/>
      <c r="O1614" s="8"/>
    </row>
    <row r="1615" ht="13.65" customHeight="1">
      <c r="A1615" s="8"/>
      <c r="B1615" s="8"/>
      <c r="C1615" s="8"/>
      <c r="D1615" s="8"/>
      <c r="E1615" s="8"/>
      <c r="F1615" s="8"/>
      <c r="G1615" s="8"/>
      <c r="H1615" s="8"/>
      <c r="I1615" s="8"/>
      <c r="J1615" s="8"/>
      <c r="K1615" s="8"/>
      <c r="L1615" s="8"/>
      <c r="M1615" s="8"/>
      <c r="N1615" s="8"/>
      <c r="O1615" s="8"/>
    </row>
    <row r="1616" ht="13.65" customHeight="1">
      <c r="A1616" s="8"/>
      <c r="B1616" s="8"/>
      <c r="C1616" s="8"/>
      <c r="D1616" s="8"/>
      <c r="E1616" s="8"/>
      <c r="F1616" s="8"/>
      <c r="G1616" s="8"/>
      <c r="H1616" s="8"/>
      <c r="I1616" s="8"/>
      <c r="J1616" s="8"/>
      <c r="K1616" s="8"/>
      <c r="L1616" s="8"/>
      <c r="M1616" s="8"/>
      <c r="N1616" s="8"/>
      <c r="O1616" s="8"/>
    </row>
    <row r="1617" ht="13.65" customHeight="1">
      <c r="A1617" s="8"/>
      <c r="B1617" s="8"/>
      <c r="C1617" s="8"/>
      <c r="D1617" s="8"/>
      <c r="E1617" s="8"/>
      <c r="F1617" s="8"/>
      <c r="G1617" s="8"/>
      <c r="H1617" s="8"/>
      <c r="I1617" s="8"/>
      <c r="J1617" s="8"/>
      <c r="K1617" s="8"/>
      <c r="L1617" s="8"/>
      <c r="M1617" s="8"/>
      <c r="N1617" s="8"/>
      <c r="O1617" s="8"/>
    </row>
    <row r="1618" ht="13.65" customHeight="1">
      <c r="A1618" s="8"/>
      <c r="B1618" s="8"/>
      <c r="C1618" s="8"/>
      <c r="D1618" s="8"/>
      <c r="E1618" s="8"/>
      <c r="F1618" s="8"/>
      <c r="G1618" s="8"/>
      <c r="H1618" s="8"/>
      <c r="I1618" s="8"/>
      <c r="J1618" s="8"/>
      <c r="K1618" s="8"/>
      <c r="L1618" s="8"/>
      <c r="M1618" s="8"/>
      <c r="N1618" s="8"/>
      <c r="O1618" s="8"/>
    </row>
    <row r="1619" ht="13.65" customHeight="1">
      <c r="A1619" s="8"/>
      <c r="B1619" s="8"/>
      <c r="C1619" s="8"/>
      <c r="D1619" s="8"/>
      <c r="E1619" s="8"/>
      <c r="F1619" s="8"/>
      <c r="G1619" s="8"/>
      <c r="H1619" s="8"/>
      <c r="I1619" s="8"/>
      <c r="J1619" s="8"/>
      <c r="K1619" s="8"/>
      <c r="L1619" s="8"/>
      <c r="M1619" s="8"/>
      <c r="N1619" s="8"/>
      <c r="O1619" s="8"/>
    </row>
    <row r="1620" ht="13.65" customHeight="1">
      <c r="A1620" s="8"/>
      <c r="B1620" s="8"/>
      <c r="C1620" s="8"/>
      <c r="D1620" s="8"/>
      <c r="E1620" s="8"/>
      <c r="F1620" s="8"/>
      <c r="G1620" s="8"/>
      <c r="H1620" s="8"/>
      <c r="I1620" s="8"/>
      <c r="J1620" s="8"/>
      <c r="K1620" s="8"/>
      <c r="L1620" s="8"/>
      <c r="M1620" s="8"/>
      <c r="N1620" s="8"/>
      <c r="O1620" s="8"/>
    </row>
    <row r="1621" ht="13.65" customHeight="1">
      <c r="A1621" s="8"/>
      <c r="B1621" s="8"/>
      <c r="C1621" s="8"/>
      <c r="D1621" s="8"/>
      <c r="E1621" s="8"/>
      <c r="F1621" s="8"/>
      <c r="G1621" s="8"/>
      <c r="H1621" s="8"/>
      <c r="I1621" s="8"/>
      <c r="J1621" s="8"/>
      <c r="K1621" s="8"/>
      <c r="L1621" s="8"/>
      <c r="M1621" s="8"/>
      <c r="N1621" s="8"/>
      <c r="O1621" s="8"/>
    </row>
    <row r="1622" ht="13.65" customHeight="1">
      <c r="A1622" s="8"/>
      <c r="B1622" s="8"/>
      <c r="C1622" s="8"/>
      <c r="D1622" s="8"/>
      <c r="E1622" s="8"/>
      <c r="F1622" s="8"/>
      <c r="G1622" s="8"/>
      <c r="H1622" s="8"/>
      <c r="I1622" s="8"/>
      <c r="J1622" s="8"/>
      <c r="K1622" s="8"/>
      <c r="L1622" s="8"/>
      <c r="M1622" s="8"/>
      <c r="N1622" s="8"/>
      <c r="O1622" s="8"/>
    </row>
    <row r="1623" ht="13.65" customHeight="1">
      <c r="A1623" s="8"/>
      <c r="B1623" s="8"/>
      <c r="C1623" s="8"/>
      <c r="D1623" s="8"/>
      <c r="E1623" s="8"/>
      <c r="F1623" s="8"/>
      <c r="G1623" s="8"/>
      <c r="H1623" s="8"/>
      <c r="I1623" s="8"/>
      <c r="J1623" s="8"/>
      <c r="K1623" s="8"/>
      <c r="L1623" s="8"/>
      <c r="M1623" s="8"/>
      <c r="N1623" s="8"/>
      <c r="O1623" s="8"/>
    </row>
    <row r="1624" ht="13.65" customHeight="1">
      <c r="A1624" s="8"/>
      <c r="B1624" s="8"/>
      <c r="C1624" s="8"/>
      <c r="D1624" s="8"/>
      <c r="E1624" s="8"/>
      <c r="F1624" s="8"/>
      <c r="G1624" s="8"/>
      <c r="H1624" s="8"/>
      <c r="I1624" s="8"/>
      <c r="J1624" s="8"/>
      <c r="K1624" s="8"/>
      <c r="L1624" s="8"/>
      <c r="M1624" s="8"/>
      <c r="N1624" s="8"/>
      <c r="O1624" s="8"/>
    </row>
    <row r="1625" ht="13.65" customHeight="1">
      <c r="A1625" s="8"/>
      <c r="B1625" s="8"/>
      <c r="C1625" s="8"/>
      <c r="D1625" s="8"/>
      <c r="E1625" s="8"/>
      <c r="F1625" s="8"/>
      <c r="G1625" s="8"/>
      <c r="H1625" s="8"/>
      <c r="I1625" s="8"/>
      <c r="J1625" s="8"/>
      <c r="K1625" s="8"/>
      <c r="L1625" s="8"/>
      <c r="M1625" s="8"/>
      <c r="N1625" s="8"/>
      <c r="O1625" s="8"/>
    </row>
    <row r="1626" ht="13.65" customHeight="1">
      <c r="A1626" s="8"/>
      <c r="B1626" s="8"/>
      <c r="C1626" s="8"/>
      <c r="D1626" s="8"/>
      <c r="E1626" s="8"/>
      <c r="F1626" s="8"/>
      <c r="G1626" s="8"/>
      <c r="H1626" s="8"/>
      <c r="I1626" s="8"/>
      <c r="J1626" s="8"/>
      <c r="K1626" s="8"/>
      <c r="L1626" s="8"/>
      <c r="M1626" s="8"/>
      <c r="N1626" s="8"/>
      <c r="O1626" s="8"/>
    </row>
    <row r="1627" ht="13.65" customHeight="1">
      <c r="A1627" s="8"/>
      <c r="B1627" s="8"/>
      <c r="C1627" s="8"/>
      <c r="D1627" s="8"/>
      <c r="E1627" s="8"/>
      <c r="F1627" s="8"/>
      <c r="G1627" s="8"/>
      <c r="H1627" s="8"/>
      <c r="I1627" s="8"/>
      <c r="J1627" s="8"/>
      <c r="K1627" s="8"/>
      <c r="L1627" s="8"/>
      <c r="M1627" s="8"/>
      <c r="N1627" s="8"/>
      <c r="O1627" s="8"/>
    </row>
    <row r="1628" ht="13.65" customHeight="1">
      <c r="A1628" s="8"/>
      <c r="B1628" s="8"/>
      <c r="C1628" s="8"/>
      <c r="D1628" s="8"/>
      <c r="E1628" s="8"/>
      <c r="F1628" s="8"/>
      <c r="G1628" s="8"/>
      <c r="H1628" s="8"/>
      <c r="I1628" s="8"/>
      <c r="J1628" s="8"/>
      <c r="K1628" s="8"/>
      <c r="L1628" s="8"/>
      <c r="M1628" s="8"/>
      <c r="N1628" s="8"/>
      <c r="O1628" s="8"/>
    </row>
    <row r="1629" ht="13.65" customHeight="1">
      <c r="A1629" s="8"/>
      <c r="B1629" s="8"/>
      <c r="C1629" s="8"/>
      <c r="D1629" s="8"/>
      <c r="E1629" s="8"/>
      <c r="F1629" s="8"/>
      <c r="G1629" s="8"/>
      <c r="H1629" s="8"/>
      <c r="I1629" s="8"/>
      <c r="J1629" s="8"/>
      <c r="K1629" s="8"/>
      <c r="L1629" s="8"/>
      <c r="M1629" s="8"/>
      <c r="N1629" s="8"/>
      <c r="O1629" s="8"/>
    </row>
    <row r="1630" ht="13.65" customHeight="1">
      <c r="A1630" s="8"/>
      <c r="B1630" s="8"/>
      <c r="C1630" s="8"/>
      <c r="D1630" s="8"/>
      <c r="E1630" s="8"/>
      <c r="F1630" s="8"/>
      <c r="G1630" s="8"/>
      <c r="H1630" s="8"/>
      <c r="I1630" s="8"/>
      <c r="J1630" s="8"/>
      <c r="K1630" s="8"/>
      <c r="L1630" s="8"/>
      <c r="M1630" s="8"/>
      <c r="N1630" s="8"/>
      <c r="O1630" s="8"/>
    </row>
    <row r="1631" ht="13.65" customHeight="1">
      <c r="A1631" s="8"/>
      <c r="B1631" s="8"/>
      <c r="C1631" s="8"/>
      <c r="D1631" s="8"/>
      <c r="E1631" s="8"/>
      <c r="F1631" s="8"/>
      <c r="G1631" s="8"/>
      <c r="H1631" s="8"/>
      <c r="I1631" s="8"/>
      <c r="J1631" s="8"/>
      <c r="K1631" s="8"/>
      <c r="L1631" s="8"/>
      <c r="M1631" s="8"/>
      <c r="N1631" s="8"/>
      <c r="O1631" s="8"/>
    </row>
    <row r="1632" ht="13.65" customHeight="1">
      <c r="A1632" s="8"/>
      <c r="B1632" s="8"/>
      <c r="C1632" s="8"/>
      <c r="D1632" s="8"/>
      <c r="E1632" s="8"/>
      <c r="F1632" s="8"/>
      <c r="G1632" s="8"/>
      <c r="H1632" s="8"/>
      <c r="I1632" s="8"/>
      <c r="J1632" s="8"/>
      <c r="K1632" s="8"/>
      <c r="L1632" s="8"/>
      <c r="M1632" s="8"/>
      <c r="N1632" s="8"/>
      <c r="O1632" s="8"/>
    </row>
    <row r="1633" ht="13.65" customHeight="1">
      <c r="A1633" s="8"/>
      <c r="B1633" s="8"/>
      <c r="C1633" s="8"/>
      <c r="D1633" s="8"/>
      <c r="E1633" s="8"/>
      <c r="F1633" s="8"/>
      <c r="G1633" s="8"/>
      <c r="H1633" s="8"/>
      <c r="I1633" s="8"/>
      <c r="J1633" s="8"/>
      <c r="K1633" s="8"/>
      <c r="L1633" s="8"/>
      <c r="M1633" s="8"/>
      <c r="N1633" s="8"/>
      <c r="O1633" s="8"/>
    </row>
    <row r="1634" ht="13.65" customHeight="1">
      <c r="A1634" s="8"/>
      <c r="B1634" s="8"/>
      <c r="C1634" s="8"/>
      <c r="D1634" s="8"/>
      <c r="E1634" s="8"/>
      <c r="F1634" s="8"/>
      <c r="G1634" s="8"/>
      <c r="H1634" s="8"/>
      <c r="I1634" s="8"/>
      <c r="J1634" s="8"/>
      <c r="K1634" s="8"/>
      <c r="L1634" s="8"/>
      <c r="M1634" s="8"/>
      <c r="N1634" s="8"/>
      <c r="O1634" s="8"/>
    </row>
    <row r="1635" ht="13.65" customHeight="1">
      <c r="A1635" s="8"/>
      <c r="B1635" s="8"/>
      <c r="C1635" s="8"/>
      <c r="D1635" s="8"/>
      <c r="E1635" s="8"/>
      <c r="F1635" s="8"/>
      <c r="G1635" s="8"/>
      <c r="H1635" s="8"/>
      <c r="I1635" s="8"/>
      <c r="J1635" s="8"/>
      <c r="K1635" s="8"/>
      <c r="L1635" s="8"/>
      <c r="M1635" s="8"/>
      <c r="N1635" s="8"/>
      <c r="O1635" s="8"/>
    </row>
    <row r="1636" ht="13.65" customHeight="1">
      <c r="A1636" s="8"/>
      <c r="B1636" s="8"/>
      <c r="C1636" s="8"/>
      <c r="D1636" s="8"/>
      <c r="E1636" s="8"/>
      <c r="F1636" s="8"/>
      <c r="G1636" s="8"/>
      <c r="H1636" s="8"/>
      <c r="I1636" s="8"/>
      <c r="J1636" s="8"/>
      <c r="K1636" s="8"/>
      <c r="L1636" s="8"/>
      <c r="M1636" s="8"/>
      <c r="N1636" s="8"/>
      <c r="O1636" s="8"/>
    </row>
    <row r="1637" ht="13.65" customHeight="1">
      <c r="A1637" s="8"/>
      <c r="B1637" s="8"/>
      <c r="C1637" s="8"/>
      <c r="D1637" s="8"/>
      <c r="E1637" s="8"/>
      <c r="F1637" s="8"/>
      <c r="G1637" s="8"/>
      <c r="H1637" s="8"/>
      <c r="I1637" s="8"/>
      <c r="J1637" s="8"/>
      <c r="K1637" s="8"/>
      <c r="L1637" s="8"/>
      <c r="M1637" s="8"/>
      <c r="N1637" s="8"/>
      <c r="O1637" s="8"/>
    </row>
    <row r="1638" ht="13.65" customHeight="1">
      <c r="A1638" s="8"/>
      <c r="B1638" s="8"/>
      <c r="C1638" s="8"/>
      <c r="D1638" s="8"/>
      <c r="E1638" s="8"/>
      <c r="F1638" s="8"/>
      <c r="G1638" s="8"/>
      <c r="H1638" s="8"/>
      <c r="I1638" s="8"/>
      <c r="J1638" s="8"/>
      <c r="K1638" s="8"/>
      <c r="L1638" s="8"/>
      <c r="M1638" s="8"/>
      <c r="N1638" s="8"/>
      <c r="O1638" s="8"/>
    </row>
    <row r="1639" ht="13.65" customHeight="1">
      <c r="A1639" s="8"/>
      <c r="B1639" s="8"/>
      <c r="C1639" s="8"/>
      <c r="D1639" s="8"/>
      <c r="E1639" s="8"/>
      <c r="F1639" s="8"/>
      <c r="G1639" s="8"/>
      <c r="H1639" s="8"/>
      <c r="I1639" s="8"/>
      <c r="J1639" s="8"/>
      <c r="K1639" s="8"/>
      <c r="L1639" s="8"/>
      <c r="M1639" s="8"/>
      <c r="N1639" s="8"/>
      <c r="O1639" s="8"/>
    </row>
    <row r="1640" ht="13.65" customHeight="1">
      <c r="A1640" s="8"/>
      <c r="B1640" s="8"/>
      <c r="C1640" s="8"/>
      <c r="D1640" s="8"/>
      <c r="E1640" s="8"/>
      <c r="F1640" s="8"/>
      <c r="G1640" s="8"/>
      <c r="H1640" s="8"/>
      <c r="I1640" s="8"/>
      <c r="J1640" s="8"/>
      <c r="K1640" s="8"/>
      <c r="L1640" s="8"/>
      <c r="M1640" s="8"/>
      <c r="N1640" s="8"/>
      <c r="O1640" s="8"/>
    </row>
    <row r="1641" ht="13.65" customHeight="1">
      <c r="A1641" s="8"/>
      <c r="B1641" s="8"/>
      <c r="C1641" s="8"/>
      <c r="D1641" s="8"/>
      <c r="E1641" s="8"/>
      <c r="F1641" s="8"/>
      <c r="G1641" s="8"/>
      <c r="H1641" s="8"/>
      <c r="I1641" s="8"/>
      <c r="J1641" s="8"/>
      <c r="K1641" s="8"/>
      <c r="L1641" s="8"/>
      <c r="M1641" s="8"/>
      <c r="N1641" s="8"/>
      <c r="O1641" s="8"/>
    </row>
    <row r="1642" ht="13.65" customHeight="1">
      <c r="A1642" s="8"/>
      <c r="B1642" s="8"/>
      <c r="C1642" s="8"/>
      <c r="D1642" s="8"/>
      <c r="E1642" s="8"/>
      <c r="F1642" s="8"/>
      <c r="G1642" s="8"/>
      <c r="H1642" s="8"/>
      <c r="I1642" s="8"/>
      <c r="J1642" s="8"/>
      <c r="K1642" s="8"/>
      <c r="L1642" s="8"/>
      <c r="M1642" s="8"/>
      <c r="N1642" s="8"/>
      <c r="O1642" s="8"/>
    </row>
    <row r="1643" ht="13.65" customHeight="1">
      <c r="A1643" s="8"/>
      <c r="B1643" s="8"/>
      <c r="C1643" s="8"/>
      <c r="D1643" s="8"/>
      <c r="E1643" s="8"/>
      <c r="F1643" s="8"/>
      <c r="G1643" s="8"/>
      <c r="H1643" s="8"/>
      <c r="I1643" s="8"/>
      <c r="J1643" s="8"/>
      <c r="K1643" s="8"/>
      <c r="L1643" s="8"/>
      <c r="M1643" s="8"/>
      <c r="N1643" s="8"/>
      <c r="O1643" s="8"/>
    </row>
    <row r="1644" ht="13.65" customHeight="1">
      <c r="A1644" s="8"/>
      <c r="B1644" s="8"/>
      <c r="C1644" s="8"/>
      <c r="D1644" s="8"/>
      <c r="E1644" s="8"/>
      <c r="F1644" s="8"/>
      <c r="G1644" s="8"/>
      <c r="H1644" s="8"/>
      <c r="I1644" s="8"/>
      <c r="J1644" s="8"/>
      <c r="K1644" s="8"/>
      <c r="L1644" s="8"/>
      <c r="M1644" s="8"/>
      <c r="N1644" s="8"/>
      <c r="O1644" s="8"/>
    </row>
    <row r="1645" ht="13.65" customHeight="1">
      <c r="A1645" s="8"/>
      <c r="B1645" s="8"/>
      <c r="C1645" s="8"/>
      <c r="D1645" s="8"/>
      <c r="E1645" s="8"/>
      <c r="F1645" s="8"/>
      <c r="G1645" s="8"/>
      <c r="H1645" s="8"/>
      <c r="I1645" s="8"/>
      <c r="J1645" s="8"/>
      <c r="K1645" s="8"/>
      <c r="L1645" s="8"/>
      <c r="M1645" s="8"/>
      <c r="N1645" s="8"/>
      <c r="O1645" s="8"/>
    </row>
    <row r="1646" ht="13.65" customHeight="1">
      <c r="A1646" s="8"/>
      <c r="B1646" s="8"/>
      <c r="C1646" s="8"/>
      <c r="D1646" s="8"/>
      <c r="E1646" s="8"/>
      <c r="F1646" s="8"/>
      <c r="G1646" s="8"/>
      <c r="H1646" s="8"/>
      <c r="I1646" s="8"/>
      <c r="J1646" s="8"/>
      <c r="K1646" s="8"/>
      <c r="L1646" s="8"/>
      <c r="M1646" s="8"/>
      <c r="N1646" s="8"/>
      <c r="O1646" s="8"/>
    </row>
    <row r="1647" ht="13.65" customHeight="1">
      <c r="A1647" s="8"/>
      <c r="B1647" s="8"/>
      <c r="C1647" s="8"/>
      <c r="D1647" s="8"/>
      <c r="E1647" s="8"/>
      <c r="F1647" s="8"/>
      <c r="G1647" s="8"/>
      <c r="H1647" s="8"/>
      <c r="I1647" s="8"/>
      <c r="J1647" s="8"/>
      <c r="K1647" s="8"/>
      <c r="L1647" s="8"/>
      <c r="M1647" s="8"/>
      <c r="N1647" s="8"/>
      <c r="O1647" s="8"/>
    </row>
    <row r="1648" ht="13.65" customHeight="1">
      <c r="A1648" s="8"/>
      <c r="B1648" s="8"/>
      <c r="C1648" s="8"/>
      <c r="D1648" s="8"/>
      <c r="E1648" s="8"/>
      <c r="F1648" s="8"/>
      <c r="G1648" s="8"/>
      <c r="H1648" s="8"/>
      <c r="I1648" s="8"/>
      <c r="J1648" s="8"/>
      <c r="K1648" s="8"/>
      <c r="L1648" s="8"/>
      <c r="M1648" s="8"/>
      <c r="N1648" s="8"/>
      <c r="O1648" s="8"/>
    </row>
    <row r="1649" ht="13.65" customHeight="1">
      <c r="A1649" s="8"/>
      <c r="B1649" s="8"/>
      <c r="C1649" s="8"/>
      <c r="D1649" s="8"/>
      <c r="E1649" s="8"/>
      <c r="F1649" s="8"/>
      <c r="G1649" s="8"/>
      <c r="H1649" s="8"/>
      <c r="I1649" s="8"/>
      <c r="J1649" s="8"/>
      <c r="K1649" s="8"/>
      <c r="L1649" s="8"/>
      <c r="M1649" s="8"/>
      <c r="N1649" s="8"/>
      <c r="O1649" s="8"/>
    </row>
    <row r="1650" ht="13.65" customHeight="1">
      <c r="A1650" s="8"/>
      <c r="B1650" s="8"/>
      <c r="C1650" s="8"/>
      <c r="D1650" s="8"/>
      <c r="E1650" s="8"/>
      <c r="F1650" s="8"/>
      <c r="G1650" s="8"/>
      <c r="H1650" s="8"/>
      <c r="I1650" s="8"/>
      <c r="J1650" s="8"/>
      <c r="K1650" s="8"/>
      <c r="L1650" s="8"/>
      <c r="M1650" s="8"/>
      <c r="N1650" s="8"/>
      <c r="O1650" s="8"/>
    </row>
    <row r="1651" ht="13.65" customHeight="1">
      <c r="A1651" s="8"/>
      <c r="B1651" s="8"/>
      <c r="C1651" s="8"/>
      <c r="D1651" s="8"/>
      <c r="E1651" s="8"/>
      <c r="F1651" s="8"/>
      <c r="G1651" s="8"/>
      <c r="H1651" s="8"/>
      <c r="I1651" s="8"/>
      <c r="J1651" s="8"/>
      <c r="K1651" s="8"/>
      <c r="L1651" s="8"/>
      <c r="M1651" s="8"/>
      <c r="N1651" s="8"/>
      <c r="O1651" s="8"/>
    </row>
    <row r="1652" ht="13.65" customHeight="1">
      <c r="A1652" s="8"/>
      <c r="B1652" s="8"/>
      <c r="C1652" s="8"/>
      <c r="D1652" s="8"/>
      <c r="E1652" s="8"/>
      <c r="F1652" s="8"/>
      <c r="G1652" s="8"/>
      <c r="H1652" s="8"/>
      <c r="I1652" s="8"/>
      <c r="J1652" s="8"/>
      <c r="K1652" s="8"/>
      <c r="L1652" s="8"/>
      <c r="M1652" s="8"/>
      <c r="N1652" s="8"/>
      <c r="O1652" s="8"/>
    </row>
    <row r="1653" ht="13.65" customHeight="1">
      <c r="A1653" s="8"/>
      <c r="B1653" s="8"/>
      <c r="C1653" s="8"/>
      <c r="D1653" s="8"/>
      <c r="E1653" s="8"/>
      <c r="F1653" s="8"/>
      <c r="G1653" s="8"/>
      <c r="H1653" s="8"/>
      <c r="I1653" s="8"/>
      <c r="J1653" s="8"/>
      <c r="K1653" s="8"/>
      <c r="L1653" s="8"/>
      <c r="M1653" s="8"/>
      <c r="N1653" s="8"/>
      <c r="O1653" s="8"/>
    </row>
    <row r="1654" ht="13.65" customHeight="1">
      <c r="A1654" s="8"/>
      <c r="B1654" s="8"/>
      <c r="C1654" s="8"/>
      <c r="D1654" s="8"/>
      <c r="E1654" s="8"/>
      <c r="F1654" s="8"/>
      <c r="G1654" s="8"/>
      <c r="H1654" s="8"/>
      <c r="I1654" s="8"/>
      <c r="J1654" s="8"/>
      <c r="K1654" s="8"/>
      <c r="L1654" s="8"/>
      <c r="M1654" s="8"/>
      <c r="N1654" s="8"/>
      <c r="O1654" s="8"/>
    </row>
    <row r="1655" ht="13.65" customHeight="1">
      <c r="A1655" s="8"/>
      <c r="B1655" s="8"/>
      <c r="C1655" s="8"/>
      <c r="D1655" s="8"/>
      <c r="E1655" s="8"/>
      <c r="F1655" s="8"/>
      <c r="G1655" s="8"/>
      <c r="H1655" s="8"/>
      <c r="I1655" s="8"/>
      <c r="J1655" s="8"/>
      <c r="K1655" s="8"/>
      <c r="L1655" s="8"/>
      <c r="M1655" s="8"/>
      <c r="N1655" s="8"/>
      <c r="O1655" s="8"/>
    </row>
    <row r="1656" ht="13.65" customHeight="1">
      <c r="A1656" s="8"/>
      <c r="B1656" s="8"/>
      <c r="C1656" s="8"/>
      <c r="D1656" s="8"/>
      <c r="E1656" s="8"/>
      <c r="F1656" s="8"/>
      <c r="G1656" s="8"/>
      <c r="H1656" s="8"/>
      <c r="I1656" s="8"/>
      <c r="J1656" s="8"/>
      <c r="K1656" s="8"/>
      <c r="L1656" s="8"/>
      <c r="M1656" s="8"/>
      <c r="N1656" s="8"/>
      <c r="O1656" s="8"/>
    </row>
    <row r="1657" ht="13.65" customHeight="1">
      <c r="A1657" s="8"/>
      <c r="B1657" s="8"/>
      <c r="C1657" s="8"/>
      <c r="D1657" s="8"/>
      <c r="E1657" s="8"/>
      <c r="F1657" s="8"/>
      <c r="G1657" s="8"/>
      <c r="H1657" s="8"/>
      <c r="I1657" s="8"/>
      <c r="J1657" s="8"/>
      <c r="K1657" s="8"/>
      <c r="L1657" s="8"/>
      <c r="M1657" s="8"/>
      <c r="N1657" s="8"/>
      <c r="O1657" s="8"/>
    </row>
    <row r="1658" ht="13.65" customHeight="1">
      <c r="A1658" s="8"/>
      <c r="B1658" s="8"/>
      <c r="C1658" s="8"/>
      <c r="D1658" s="8"/>
      <c r="E1658" s="8"/>
      <c r="F1658" s="8"/>
      <c r="G1658" s="8"/>
      <c r="H1658" s="8"/>
      <c r="I1658" s="8"/>
      <c r="J1658" s="8"/>
      <c r="K1658" s="8"/>
      <c r="L1658" s="8"/>
      <c r="M1658" s="8"/>
      <c r="N1658" s="8"/>
      <c r="O1658" s="8"/>
    </row>
    <row r="1659" ht="13.65" customHeight="1">
      <c r="A1659" s="8"/>
      <c r="B1659" s="8"/>
      <c r="C1659" s="8"/>
      <c r="D1659" s="8"/>
      <c r="E1659" s="8"/>
      <c r="F1659" s="8"/>
      <c r="G1659" s="8"/>
      <c r="H1659" s="8"/>
      <c r="I1659" s="8"/>
      <c r="J1659" s="8"/>
      <c r="K1659" s="8"/>
      <c r="L1659" s="8"/>
      <c r="M1659" s="8"/>
      <c r="N1659" s="8"/>
      <c r="O1659" s="8"/>
    </row>
    <row r="1660" ht="13.65" customHeight="1">
      <c r="A1660" s="8"/>
      <c r="B1660" s="8"/>
      <c r="C1660" s="8"/>
      <c r="D1660" s="8"/>
      <c r="E1660" s="8"/>
      <c r="F1660" s="8"/>
      <c r="G1660" s="8"/>
      <c r="H1660" s="8"/>
      <c r="I1660" s="8"/>
      <c r="J1660" s="8"/>
      <c r="K1660" s="8"/>
      <c r="L1660" s="8"/>
      <c r="M1660" s="8"/>
      <c r="N1660" s="8"/>
      <c r="O1660" s="8"/>
    </row>
    <row r="1661" ht="13.65" customHeight="1">
      <c r="A1661" s="8"/>
      <c r="B1661" s="8"/>
      <c r="C1661" s="8"/>
      <c r="D1661" s="8"/>
      <c r="E1661" s="8"/>
      <c r="F1661" s="8"/>
      <c r="G1661" s="8"/>
      <c r="H1661" s="8"/>
      <c r="I1661" s="8"/>
      <c r="J1661" s="8"/>
      <c r="K1661" s="8"/>
      <c r="L1661" s="8"/>
      <c r="M1661" s="8"/>
      <c r="N1661" s="8"/>
      <c r="O1661" s="8"/>
    </row>
    <row r="1662" ht="13.65" customHeight="1">
      <c r="A1662" s="8"/>
      <c r="B1662" s="8"/>
      <c r="C1662" s="8"/>
      <c r="D1662" s="8"/>
      <c r="E1662" s="8"/>
      <c r="F1662" s="8"/>
      <c r="G1662" s="8"/>
      <c r="H1662" s="8"/>
      <c r="I1662" s="8"/>
      <c r="J1662" s="8"/>
      <c r="K1662" s="8"/>
      <c r="L1662" s="8"/>
      <c r="M1662" s="8"/>
      <c r="N1662" s="8"/>
      <c r="O1662" s="8"/>
    </row>
    <row r="1663" ht="13.65" customHeight="1">
      <c r="A1663" s="8"/>
      <c r="B1663" s="8"/>
      <c r="C1663" s="8"/>
      <c r="D1663" s="8"/>
      <c r="E1663" s="8"/>
      <c r="F1663" s="8"/>
      <c r="G1663" s="8"/>
      <c r="H1663" s="8"/>
      <c r="I1663" s="8"/>
      <c r="J1663" s="8"/>
      <c r="K1663" s="8"/>
      <c r="L1663" s="8"/>
      <c r="M1663" s="8"/>
      <c r="N1663" s="8"/>
      <c r="O1663" s="8"/>
    </row>
    <row r="1664" ht="13.65" customHeight="1">
      <c r="A1664" s="8"/>
      <c r="B1664" s="8"/>
      <c r="C1664" s="8"/>
      <c r="D1664" s="8"/>
      <c r="E1664" s="8"/>
      <c r="F1664" s="8"/>
      <c r="G1664" s="8"/>
      <c r="H1664" s="8"/>
      <c r="I1664" s="8"/>
      <c r="J1664" s="8"/>
      <c r="K1664" s="8"/>
      <c r="L1664" s="8"/>
      <c r="M1664" s="8"/>
      <c r="N1664" s="8"/>
      <c r="O1664" s="8"/>
    </row>
    <row r="1665" ht="13.65" customHeight="1">
      <c r="A1665" s="8"/>
      <c r="B1665" s="8"/>
      <c r="C1665" s="8"/>
      <c r="D1665" s="8"/>
      <c r="E1665" s="8"/>
      <c r="F1665" s="8"/>
      <c r="G1665" s="8"/>
      <c r="H1665" s="8"/>
      <c r="I1665" s="8"/>
      <c r="J1665" s="8"/>
      <c r="K1665" s="8"/>
      <c r="L1665" s="8"/>
      <c r="M1665" s="8"/>
      <c r="N1665" s="8"/>
      <c r="O1665" s="8"/>
    </row>
    <row r="1666" ht="13.65" customHeight="1">
      <c r="A1666" s="8"/>
      <c r="B1666" s="8"/>
      <c r="C1666" s="8"/>
      <c r="D1666" s="8"/>
      <c r="E1666" s="8"/>
      <c r="F1666" s="8"/>
      <c r="G1666" s="8"/>
      <c r="H1666" s="8"/>
      <c r="I1666" s="8"/>
      <c r="J1666" s="8"/>
      <c r="K1666" s="8"/>
      <c r="L1666" s="8"/>
      <c r="M1666" s="8"/>
      <c r="N1666" s="8"/>
      <c r="O1666" s="8"/>
    </row>
    <row r="1667" ht="13.65" customHeight="1">
      <c r="A1667" s="8"/>
      <c r="B1667" s="8"/>
      <c r="C1667" s="8"/>
      <c r="D1667" s="8"/>
      <c r="E1667" s="8"/>
      <c r="F1667" s="8"/>
      <c r="G1667" s="8"/>
      <c r="H1667" s="8"/>
      <c r="I1667" s="8"/>
      <c r="J1667" s="8"/>
      <c r="K1667" s="8"/>
      <c r="L1667" s="8"/>
      <c r="M1667" s="8"/>
      <c r="N1667" s="8"/>
      <c r="O1667" s="8"/>
    </row>
    <row r="1668" ht="13.65" customHeight="1">
      <c r="A1668" s="8"/>
      <c r="B1668" s="8"/>
      <c r="C1668" s="8"/>
      <c r="D1668" s="8"/>
      <c r="E1668" s="8"/>
      <c r="F1668" s="8"/>
      <c r="G1668" s="8"/>
      <c r="H1668" s="8"/>
      <c r="I1668" s="8"/>
      <c r="J1668" s="8"/>
      <c r="K1668" s="8"/>
      <c r="L1668" s="8"/>
      <c r="M1668" s="8"/>
      <c r="N1668" s="8"/>
      <c r="O1668" s="8"/>
    </row>
    <row r="1669" ht="13.65" customHeight="1">
      <c r="A1669" s="8"/>
      <c r="B1669" s="8"/>
      <c r="C1669" s="8"/>
      <c r="D1669" s="8"/>
      <c r="E1669" s="8"/>
      <c r="F1669" s="8"/>
      <c r="G1669" s="8"/>
      <c r="H1669" s="8"/>
      <c r="I1669" s="8"/>
      <c r="J1669" s="8"/>
      <c r="K1669" s="8"/>
      <c r="L1669" s="8"/>
      <c r="M1669" s="8"/>
      <c r="N1669" s="8"/>
      <c r="O1669" s="8"/>
    </row>
    <row r="1670" ht="13.65" customHeight="1">
      <c r="A1670" s="8"/>
      <c r="B1670" s="8"/>
      <c r="C1670" s="8"/>
      <c r="D1670" s="8"/>
      <c r="E1670" s="8"/>
      <c r="F1670" s="8"/>
      <c r="G1670" s="8"/>
      <c r="H1670" s="8"/>
      <c r="I1670" s="8"/>
      <c r="J1670" s="8"/>
      <c r="K1670" s="8"/>
      <c r="L1670" s="8"/>
      <c r="M1670" s="8"/>
      <c r="N1670" s="8"/>
      <c r="O1670" s="8"/>
    </row>
    <row r="1671" ht="13.65" customHeight="1">
      <c r="A1671" s="8"/>
      <c r="B1671" s="8"/>
      <c r="C1671" s="8"/>
      <c r="D1671" s="8"/>
      <c r="E1671" s="8"/>
      <c r="F1671" s="8"/>
      <c r="G1671" s="8"/>
      <c r="H1671" s="8"/>
      <c r="I1671" s="8"/>
      <c r="J1671" s="8"/>
      <c r="K1671" s="8"/>
      <c r="L1671" s="8"/>
      <c r="M1671" s="8"/>
      <c r="N1671" s="8"/>
      <c r="O1671" s="8"/>
    </row>
    <row r="1672" ht="13.65" customHeight="1">
      <c r="A1672" s="8"/>
      <c r="B1672" s="8"/>
      <c r="C1672" s="8"/>
      <c r="D1672" s="8"/>
      <c r="E1672" s="8"/>
      <c r="F1672" s="8"/>
      <c r="G1672" s="8"/>
      <c r="H1672" s="8"/>
      <c r="I1672" s="8"/>
      <c r="J1672" s="8"/>
      <c r="K1672" s="8"/>
      <c r="L1672" s="8"/>
      <c r="M1672" s="8"/>
      <c r="N1672" s="8"/>
      <c r="O1672" s="8"/>
    </row>
    <row r="1673" ht="13.65" customHeight="1">
      <c r="A1673" s="8"/>
      <c r="B1673" s="8"/>
      <c r="C1673" s="8"/>
      <c r="D1673" s="8"/>
      <c r="E1673" s="8"/>
      <c r="F1673" s="8"/>
      <c r="G1673" s="8"/>
      <c r="H1673" s="8"/>
      <c r="I1673" s="8"/>
      <c r="J1673" s="8"/>
      <c r="K1673" s="8"/>
      <c r="L1673" s="8"/>
      <c r="M1673" s="8"/>
      <c r="N1673" s="8"/>
      <c r="O1673" s="8"/>
    </row>
    <row r="1674" ht="13.65" customHeight="1">
      <c r="A1674" s="8"/>
      <c r="B1674" s="8"/>
      <c r="C1674" s="8"/>
      <c r="D1674" s="8"/>
      <c r="E1674" s="8"/>
      <c r="F1674" s="8"/>
      <c r="G1674" s="8"/>
      <c r="H1674" s="8"/>
      <c r="I1674" s="8"/>
      <c r="J1674" s="8"/>
      <c r="K1674" s="8"/>
      <c r="L1674" s="8"/>
      <c r="M1674" s="8"/>
      <c r="N1674" s="8"/>
      <c r="O1674" s="8"/>
    </row>
    <row r="1675" ht="13.65" customHeight="1">
      <c r="A1675" s="8"/>
      <c r="B1675" s="8"/>
      <c r="C1675" s="8"/>
      <c r="D1675" s="8"/>
      <c r="E1675" s="8"/>
      <c r="F1675" s="8"/>
      <c r="G1675" s="8"/>
      <c r="H1675" s="8"/>
      <c r="I1675" s="8"/>
      <c r="J1675" s="8"/>
      <c r="K1675" s="8"/>
      <c r="L1675" s="8"/>
      <c r="M1675" s="8"/>
      <c r="N1675" s="8"/>
      <c r="O1675" s="8"/>
    </row>
    <row r="1676" ht="13.65" customHeight="1">
      <c r="A1676" s="8"/>
      <c r="B1676" s="8"/>
      <c r="C1676" s="8"/>
      <c r="D1676" s="8"/>
      <c r="E1676" s="8"/>
      <c r="F1676" s="8"/>
      <c r="G1676" s="8"/>
      <c r="H1676" s="8"/>
      <c r="I1676" s="8"/>
      <c r="J1676" s="8"/>
      <c r="K1676" s="8"/>
      <c r="L1676" s="8"/>
      <c r="M1676" s="8"/>
      <c r="N1676" s="8"/>
      <c r="O1676" s="8"/>
    </row>
    <row r="1677" ht="13.65" customHeight="1">
      <c r="A1677" s="8"/>
      <c r="B1677" s="8"/>
      <c r="C1677" s="8"/>
      <c r="D1677" s="8"/>
      <c r="E1677" s="8"/>
      <c r="F1677" s="8"/>
      <c r="G1677" s="8"/>
      <c r="H1677" s="8"/>
      <c r="I1677" s="8"/>
      <c r="J1677" s="8"/>
      <c r="K1677" s="8"/>
      <c r="L1677" s="8"/>
      <c r="M1677" s="8"/>
      <c r="N1677" s="8"/>
      <c r="O1677" s="8"/>
    </row>
    <row r="1678" ht="13.65" customHeight="1">
      <c r="A1678" s="8"/>
      <c r="B1678" s="8"/>
      <c r="C1678" s="8"/>
      <c r="D1678" s="8"/>
      <c r="E1678" s="8"/>
      <c r="F1678" s="8"/>
      <c r="G1678" s="8"/>
      <c r="H1678" s="8"/>
      <c r="I1678" s="8"/>
      <c r="J1678" s="8"/>
      <c r="K1678" s="8"/>
      <c r="L1678" s="8"/>
      <c r="M1678" s="8"/>
      <c r="N1678" s="8"/>
      <c r="O1678" s="8"/>
    </row>
    <row r="1679" ht="13.65" customHeight="1">
      <c r="A1679" s="8"/>
      <c r="B1679" s="8"/>
      <c r="C1679" s="8"/>
      <c r="D1679" s="8"/>
      <c r="E1679" s="8"/>
      <c r="F1679" s="8"/>
      <c r="G1679" s="8"/>
      <c r="H1679" s="8"/>
      <c r="I1679" s="8"/>
      <c r="J1679" s="8"/>
      <c r="K1679" s="8"/>
      <c r="L1679" s="8"/>
      <c r="M1679" s="8"/>
      <c r="N1679" s="8"/>
      <c r="O1679" s="8"/>
    </row>
    <row r="1680" ht="13.65" customHeight="1">
      <c r="A1680" s="8"/>
      <c r="B1680" s="8"/>
      <c r="C1680" s="8"/>
      <c r="D1680" s="8"/>
      <c r="E1680" s="8"/>
      <c r="F1680" s="8"/>
      <c r="G1680" s="8"/>
      <c r="H1680" s="8"/>
      <c r="I1680" s="8"/>
      <c r="J1680" s="8"/>
      <c r="K1680" s="8"/>
      <c r="L1680" s="8"/>
      <c r="M1680" s="8"/>
      <c r="N1680" s="8"/>
      <c r="O1680" s="8"/>
    </row>
    <row r="1681" ht="13.65" customHeight="1">
      <c r="A1681" s="8"/>
      <c r="B1681" s="8"/>
      <c r="C1681" s="8"/>
      <c r="D1681" s="8"/>
      <c r="E1681" s="8"/>
      <c r="F1681" s="8"/>
      <c r="G1681" s="8"/>
      <c r="H1681" s="8"/>
      <c r="I1681" s="8"/>
      <c r="J1681" s="8"/>
      <c r="K1681" s="8"/>
      <c r="L1681" s="8"/>
      <c r="M1681" s="8"/>
      <c r="N1681" s="8"/>
      <c r="O1681" s="8"/>
    </row>
    <row r="1682" ht="13.65" customHeight="1">
      <c r="A1682" s="8"/>
      <c r="B1682" s="8"/>
      <c r="C1682" s="8"/>
      <c r="D1682" s="8"/>
      <c r="E1682" s="8"/>
      <c r="F1682" s="8"/>
      <c r="G1682" s="8"/>
      <c r="H1682" s="8"/>
      <c r="I1682" s="8"/>
      <c r="J1682" s="8"/>
      <c r="K1682" s="8"/>
      <c r="L1682" s="8"/>
      <c r="M1682" s="8"/>
      <c r="N1682" s="8"/>
      <c r="O1682" s="8"/>
    </row>
    <row r="1683" ht="13.65" customHeight="1">
      <c r="A1683" s="8"/>
      <c r="B1683" s="8"/>
      <c r="C1683" s="8"/>
      <c r="D1683" s="8"/>
      <c r="E1683" s="8"/>
      <c r="F1683" s="8"/>
      <c r="G1683" s="8"/>
      <c r="H1683" s="8"/>
      <c r="I1683" s="8"/>
      <c r="J1683" s="8"/>
      <c r="K1683" s="8"/>
      <c r="L1683" s="8"/>
      <c r="M1683" s="8"/>
      <c r="N1683" s="8"/>
      <c r="O1683" s="8"/>
    </row>
    <row r="1684" ht="13.65" customHeight="1">
      <c r="A1684" s="8"/>
      <c r="B1684" s="8"/>
      <c r="C1684" s="8"/>
      <c r="D1684" s="8"/>
      <c r="E1684" s="8"/>
      <c r="F1684" s="8"/>
      <c r="G1684" s="8"/>
      <c r="H1684" s="8"/>
      <c r="I1684" s="8"/>
      <c r="J1684" s="8"/>
      <c r="K1684" s="8"/>
      <c r="L1684" s="8"/>
      <c r="M1684" s="8"/>
      <c r="N1684" s="8"/>
      <c r="O1684" s="8"/>
    </row>
    <row r="1685" ht="13.65" customHeight="1">
      <c r="A1685" s="8"/>
      <c r="B1685" s="8"/>
      <c r="C1685" s="8"/>
      <c r="D1685" s="8"/>
      <c r="E1685" s="8"/>
      <c r="F1685" s="8"/>
      <c r="G1685" s="8"/>
      <c r="H1685" s="8"/>
      <c r="I1685" s="8"/>
      <c r="J1685" s="8"/>
      <c r="K1685" s="8"/>
      <c r="L1685" s="8"/>
      <c r="M1685" s="8"/>
      <c r="N1685" s="8"/>
      <c r="O1685" s="8"/>
    </row>
    <row r="1686" ht="13.65" customHeight="1">
      <c r="A1686" s="8"/>
      <c r="B1686" s="8"/>
      <c r="C1686" s="8"/>
      <c r="D1686" s="8"/>
      <c r="E1686" s="8"/>
      <c r="F1686" s="8"/>
      <c r="G1686" s="8"/>
      <c r="H1686" s="8"/>
      <c r="I1686" s="8"/>
      <c r="J1686" s="8"/>
      <c r="K1686" s="8"/>
      <c r="L1686" s="8"/>
      <c r="M1686" s="8"/>
      <c r="N1686" s="8"/>
      <c r="O1686" s="8"/>
    </row>
    <row r="1687" ht="13.65" customHeight="1">
      <c r="A1687" s="8"/>
      <c r="B1687" s="8"/>
      <c r="C1687" s="8"/>
      <c r="D1687" s="8"/>
      <c r="E1687" s="8"/>
      <c r="F1687" s="8"/>
      <c r="G1687" s="8"/>
      <c r="H1687" s="8"/>
      <c r="I1687" s="8"/>
      <c r="J1687" s="8"/>
      <c r="K1687" s="8"/>
      <c r="L1687" s="8"/>
      <c r="M1687" s="8"/>
      <c r="N1687" s="8"/>
      <c r="O1687" s="8"/>
    </row>
    <row r="1688" ht="13.65" customHeight="1">
      <c r="A1688" s="8"/>
      <c r="B1688" s="8"/>
      <c r="C1688" s="8"/>
      <c r="D1688" s="8"/>
      <c r="E1688" s="8"/>
      <c r="F1688" s="8"/>
      <c r="G1688" s="8"/>
      <c r="H1688" s="8"/>
      <c r="I1688" s="8"/>
      <c r="J1688" s="8"/>
      <c r="K1688" s="8"/>
      <c r="L1688" s="8"/>
      <c r="M1688" s="8"/>
      <c r="N1688" s="8"/>
      <c r="O1688" s="8"/>
    </row>
    <row r="1689" ht="13.65" customHeight="1">
      <c r="A1689" s="8"/>
      <c r="B1689" s="8"/>
      <c r="C1689" s="8"/>
      <c r="D1689" s="8"/>
      <c r="E1689" s="8"/>
      <c r="F1689" s="8"/>
      <c r="G1689" s="8"/>
      <c r="H1689" s="8"/>
      <c r="I1689" s="8"/>
      <c r="J1689" s="8"/>
      <c r="K1689" s="8"/>
      <c r="L1689" s="8"/>
      <c r="M1689" s="8"/>
      <c r="N1689" s="8"/>
      <c r="O1689" s="8"/>
    </row>
    <row r="1690" ht="13.65" customHeight="1">
      <c r="A1690" s="8"/>
      <c r="B1690" s="8"/>
      <c r="C1690" s="8"/>
      <c r="D1690" s="8"/>
      <c r="E1690" s="8"/>
      <c r="F1690" s="8"/>
      <c r="G1690" s="8"/>
      <c r="H1690" s="8"/>
      <c r="I1690" s="8"/>
      <c r="J1690" s="8"/>
      <c r="K1690" s="8"/>
      <c r="L1690" s="8"/>
      <c r="M1690" s="8"/>
      <c r="N1690" s="8"/>
      <c r="O1690" s="8"/>
    </row>
    <row r="1691" ht="13.65" customHeight="1">
      <c r="A1691" s="8"/>
      <c r="B1691" s="8"/>
      <c r="C1691" s="8"/>
      <c r="D1691" s="8"/>
      <c r="E1691" s="8"/>
      <c r="F1691" s="8"/>
      <c r="G1691" s="8"/>
      <c r="H1691" s="8"/>
      <c r="I1691" s="8"/>
      <c r="J1691" s="8"/>
      <c r="K1691" s="8"/>
      <c r="L1691" s="8"/>
      <c r="M1691" s="8"/>
      <c r="N1691" s="8"/>
      <c r="O1691" s="8"/>
    </row>
    <row r="1692" ht="13.65" customHeight="1">
      <c r="A1692" s="8"/>
      <c r="B1692" s="8"/>
      <c r="C1692" s="8"/>
      <c r="D1692" s="8"/>
      <c r="E1692" s="8"/>
      <c r="F1692" s="8"/>
      <c r="G1692" s="8"/>
      <c r="H1692" s="8"/>
      <c r="I1692" s="8"/>
      <c r="J1692" s="8"/>
      <c r="K1692" s="8"/>
      <c r="L1692" s="8"/>
      <c r="M1692" s="8"/>
      <c r="N1692" s="8"/>
      <c r="O1692" s="8"/>
    </row>
    <row r="1693" ht="13.65" customHeight="1">
      <c r="A1693" s="8"/>
      <c r="B1693" s="8"/>
      <c r="C1693" s="8"/>
      <c r="D1693" s="8"/>
      <c r="E1693" s="8"/>
      <c r="F1693" s="8"/>
      <c r="G1693" s="8"/>
      <c r="H1693" s="8"/>
      <c r="I1693" s="8"/>
      <c r="J1693" s="8"/>
      <c r="K1693" s="8"/>
      <c r="L1693" s="8"/>
      <c r="M1693" s="8"/>
      <c r="N1693" s="8"/>
      <c r="O1693" s="8"/>
    </row>
    <row r="1694" ht="13.65" customHeight="1">
      <c r="A1694" s="8"/>
      <c r="B1694" s="8"/>
      <c r="C1694" s="8"/>
      <c r="D1694" s="8"/>
      <c r="E1694" s="8"/>
      <c r="F1694" s="8"/>
      <c r="G1694" s="8"/>
      <c r="H1694" s="8"/>
      <c r="I1694" s="8"/>
      <c r="J1694" s="8"/>
      <c r="K1694" s="8"/>
      <c r="L1694" s="8"/>
      <c r="M1694" s="8"/>
      <c r="N1694" s="8"/>
      <c r="O1694" s="8"/>
    </row>
    <row r="1695" ht="13.65" customHeight="1">
      <c r="A1695" s="8"/>
      <c r="B1695" s="8"/>
      <c r="C1695" s="8"/>
      <c r="D1695" s="8"/>
      <c r="E1695" s="8"/>
      <c r="F1695" s="8"/>
      <c r="G1695" s="8"/>
      <c r="H1695" s="8"/>
      <c r="I1695" s="8"/>
      <c r="J1695" s="8"/>
      <c r="K1695" s="8"/>
      <c r="L1695" s="8"/>
      <c r="M1695" s="8"/>
      <c r="N1695" s="8"/>
      <c r="O1695" s="8"/>
    </row>
    <row r="1696" ht="13.65" customHeight="1">
      <c r="A1696" s="8"/>
      <c r="B1696" s="8"/>
      <c r="C1696" s="8"/>
      <c r="D1696" s="8"/>
      <c r="E1696" s="8"/>
      <c r="F1696" s="8"/>
      <c r="G1696" s="8"/>
      <c r="H1696" s="8"/>
      <c r="I1696" s="8"/>
      <c r="J1696" s="8"/>
      <c r="K1696" s="8"/>
      <c r="L1696" s="8"/>
      <c r="M1696" s="8"/>
      <c r="N1696" s="8"/>
      <c r="O1696" s="8"/>
    </row>
    <row r="1697" ht="13.65" customHeight="1">
      <c r="A1697" s="8"/>
      <c r="B1697" s="8"/>
      <c r="C1697" s="8"/>
      <c r="D1697" s="8"/>
      <c r="E1697" s="8"/>
      <c r="F1697" s="8"/>
      <c r="G1697" s="8"/>
      <c r="H1697" s="8"/>
      <c r="I1697" s="8"/>
      <c r="J1697" s="8"/>
      <c r="K1697" s="8"/>
      <c r="L1697" s="8"/>
      <c r="M1697" s="8"/>
      <c r="N1697" s="8"/>
      <c r="O1697" s="8"/>
    </row>
    <row r="1698" ht="13.65" customHeight="1">
      <c r="A1698" s="8"/>
      <c r="B1698" s="8"/>
      <c r="C1698" s="8"/>
      <c r="D1698" s="8"/>
      <c r="E1698" s="8"/>
      <c r="F1698" s="8"/>
      <c r="G1698" s="8"/>
      <c r="H1698" s="8"/>
      <c r="I1698" s="8"/>
      <c r="J1698" s="8"/>
      <c r="K1698" s="8"/>
      <c r="L1698" s="8"/>
      <c r="M1698" s="8"/>
      <c r="N1698" s="8"/>
      <c r="O1698" s="8"/>
    </row>
    <row r="1699" ht="13.65" customHeight="1">
      <c r="A1699" s="8"/>
      <c r="B1699" s="8"/>
      <c r="C1699" s="8"/>
      <c r="D1699" s="8"/>
      <c r="E1699" s="8"/>
      <c r="F1699" s="8"/>
      <c r="G1699" s="8"/>
      <c r="H1699" s="8"/>
      <c r="I1699" s="8"/>
      <c r="J1699" s="8"/>
      <c r="K1699" s="8"/>
      <c r="L1699" s="8"/>
      <c r="M1699" s="8"/>
      <c r="N1699" s="8"/>
      <c r="O1699" s="8"/>
    </row>
    <row r="1700" ht="13.65" customHeight="1">
      <c r="A1700" s="8"/>
      <c r="B1700" s="8"/>
      <c r="C1700" s="8"/>
      <c r="D1700" s="8"/>
      <c r="E1700" s="8"/>
      <c r="F1700" s="8"/>
      <c r="G1700" s="8"/>
      <c r="H1700" s="8"/>
      <c r="I1700" s="8"/>
      <c r="J1700" s="8"/>
      <c r="K1700" s="8"/>
      <c r="L1700" s="8"/>
      <c r="M1700" s="8"/>
      <c r="N1700" s="8"/>
      <c r="O1700" s="8"/>
    </row>
    <row r="1701" ht="13.65" customHeight="1">
      <c r="A1701" s="8"/>
      <c r="B1701" s="8"/>
      <c r="C1701" s="8"/>
      <c r="D1701" s="8"/>
      <c r="E1701" s="8"/>
      <c r="F1701" s="8"/>
      <c r="G1701" s="8"/>
      <c r="H1701" s="8"/>
      <c r="I1701" s="8"/>
      <c r="J1701" s="8"/>
      <c r="K1701" s="8"/>
      <c r="L1701" s="8"/>
      <c r="M1701" s="8"/>
      <c r="N1701" s="8"/>
      <c r="O1701" s="8"/>
    </row>
    <row r="1702" ht="13.65" customHeight="1">
      <c r="A1702" s="8"/>
      <c r="B1702" s="8"/>
      <c r="C1702" s="8"/>
      <c r="D1702" s="8"/>
      <c r="E1702" s="8"/>
      <c r="F1702" s="8"/>
      <c r="G1702" s="8"/>
      <c r="H1702" s="8"/>
      <c r="I1702" s="8"/>
      <c r="J1702" s="8"/>
      <c r="K1702" s="8"/>
      <c r="L1702" s="8"/>
      <c r="M1702" s="8"/>
      <c r="N1702" s="8"/>
      <c r="O1702" s="8"/>
    </row>
    <row r="1703" ht="13.65" customHeight="1">
      <c r="A1703" s="8"/>
      <c r="B1703" s="8"/>
      <c r="C1703" s="8"/>
      <c r="D1703" s="8"/>
      <c r="E1703" s="8"/>
      <c r="F1703" s="8"/>
      <c r="G1703" s="8"/>
      <c r="H1703" s="8"/>
      <c r="I1703" s="8"/>
      <c r="J1703" s="8"/>
      <c r="K1703" s="8"/>
      <c r="L1703" s="8"/>
      <c r="M1703" s="8"/>
      <c r="N1703" s="8"/>
      <c r="O1703" s="8"/>
    </row>
    <row r="1704" ht="13.65" customHeight="1">
      <c r="A1704" s="8"/>
      <c r="B1704" s="8"/>
      <c r="C1704" s="8"/>
      <c r="D1704" s="8"/>
      <c r="E1704" s="8"/>
      <c r="F1704" s="8"/>
      <c r="G1704" s="8"/>
      <c r="H1704" s="8"/>
      <c r="I1704" s="8"/>
      <c r="J1704" s="8"/>
      <c r="K1704" s="8"/>
      <c r="L1704" s="8"/>
      <c r="M1704" s="8"/>
      <c r="N1704" s="8"/>
      <c r="O1704" s="8"/>
    </row>
    <row r="1705" ht="13.65" customHeight="1">
      <c r="A1705" s="8"/>
      <c r="B1705" s="8"/>
      <c r="C1705" s="8"/>
      <c r="D1705" s="8"/>
      <c r="E1705" s="8"/>
      <c r="F1705" s="8"/>
      <c r="G1705" s="8"/>
      <c r="H1705" s="8"/>
      <c r="I1705" s="8"/>
      <c r="J1705" s="8"/>
      <c r="K1705" s="8"/>
      <c r="L1705" s="8"/>
      <c r="M1705" s="8"/>
      <c r="N1705" s="8"/>
      <c r="O1705" s="8"/>
    </row>
    <row r="1706" ht="13.65" customHeight="1">
      <c r="A1706" s="8"/>
      <c r="B1706" s="8"/>
      <c r="C1706" s="8"/>
      <c r="D1706" s="8"/>
      <c r="E1706" s="8"/>
      <c r="F1706" s="8"/>
      <c r="G1706" s="8"/>
      <c r="H1706" s="8"/>
      <c r="I1706" s="8"/>
      <c r="J1706" s="8"/>
      <c r="K1706" s="8"/>
      <c r="L1706" s="8"/>
      <c r="M1706" s="8"/>
      <c r="N1706" s="8"/>
      <c r="O1706" s="8"/>
    </row>
    <row r="1707" ht="13.65" customHeight="1">
      <c r="A1707" s="8"/>
      <c r="B1707" s="8"/>
      <c r="C1707" s="8"/>
      <c r="D1707" s="8"/>
      <c r="E1707" s="8"/>
      <c r="F1707" s="8"/>
      <c r="G1707" s="8"/>
      <c r="H1707" s="8"/>
      <c r="I1707" s="8"/>
      <c r="J1707" s="8"/>
      <c r="K1707" s="8"/>
      <c r="L1707" s="8"/>
      <c r="M1707" s="8"/>
      <c r="N1707" s="8"/>
      <c r="O1707" s="8"/>
    </row>
    <row r="1708" ht="13.65" customHeight="1">
      <c r="A1708" s="8"/>
      <c r="B1708" s="8"/>
      <c r="C1708" s="8"/>
      <c r="D1708" s="8"/>
      <c r="E1708" s="8"/>
      <c r="F1708" s="8"/>
      <c r="G1708" s="8"/>
      <c r="H1708" s="8"/>
      <c r="I1708" s="8"/>
      <c r="J1708" s="8"/>
      <c r="K1708" s="8"/>
      <c r="L1708" s="8"/>
      <c r="M1708" s="8"/>
      <c r="N1708" s="8"/>
      <c r="O1708" s="8"/>
    </row>
    <row r="1709" ht="13.65" customHeight="1">
      <c r="A1709" s="8"/>
      <c r="B1709" s="8"/>
      <c r="C1709" s="8"/>
      <c r="D1709" s="8"/>
      <c r="E1709" s="8"/>
      <c r="F1709" s="8"/>
      <c r="G1709" s="8"/>
      <c r="H1709" s="8"/>
      <c r="I1709" s="8"/>
      <c r="J1709" s="8"/>
      <c r="K1709" s="8"/>
      <c r="L1709" s="8"/>
      <c r="M1709" s="8"/>
      <c r="N1709" s="8"/>
      <c r="O1709" s="8"/>
    </row>
    <row r="1710" ht="13.65" customHeight="1">
      <c r="A1710" s="8"/>
      <c r="B1710" s="8"/>
      <c r="C1710" s="8"/>
      <c r="D1710" s="8"/>
      <c r="E1710" s="8"/>
      <c r="F1710" s="8"/>
      <c r="G1710" s="8"/>
      <c r="H1710" s="8"/>
      <c r="I1710" s="8"/>
      <c r="J1710" s="8"/>
      <c r="K1710" s="8"/>
      <c r="L1710" s="8"/>
      <c r="M1710" s="8"/>
      <c r="N1710" s="8"/>
      <c r="O1710" s="8"/>
    </row>
    <row r="1711" ht="13.65" customHeight="1">
      <c r="A1711" s="8"/>
      <c r="B1711" s="8"/>
      <c r="C1711" s="8"/>
      <c r="D1711" s="8"/>
      <c r="E1711" s="8"/>
      <c r="F1711" s="8"/>
      <c r="G1711" s="8"/>
      <c r="H1711" s="8"/>
      <c r="I1711" s="8"/>
      <c r="J1711" s="8"/>
      <c r="K1711" s="8"/>
      <c r="L1711" s="8"/>
      <c r="M1711" s="8"/>
      <c r="N1711" s="8"/>
      <c r="O1711" s="8"/>
    </row>
    <row r="1712" ht="13.65" customHeight="1">
      <c r="A1712" s="8"/>
      <c r="B1712" s="8"/>
      <c r="C1712" s="8"/>
      <c r="D1712" s="8"/>
      <c r="E1712" s="8"/>
      <c r="F1712" s="8"/>
      <c r="G1712" s="8"/>
      <c r="H1712" s="8"/>
      <c r="I1712" s="8"/>
      <c r="J1712" s="8"/>
      <c r="K1712" s="8"/>
      <c r="L1712" s="8"/>
      <c r="M1712" s="8"/>
      <c r="N1712" s="8"/>
      <c r="O1712" s="8"/>
    </row>
    <row r="1713" ht="13.65" customHeight="1">
      <c r="A1713" s="8"/>
      <c r="B1713" s="8"/>
      <c r="C1713" s="8"/>
      <c r="D1713" s="8"/>
      <c r="E1713" s="8"/>
      <c r="F1713" s="8"/>
      <c r="G1713" s="8"/>
      <c r="H1713" s="8"/>
      <c r="I1713" s="8"/>
      <c r="J1713" s="8"/>
      <c r="K1713" s="8"/>
      <c r="L1713" s="8"/>
      <c r="M1713" s="8"/>
      <c r="N1713" s="8"/>
      <c r="O1713" s="8"/>
    </row>
    <row r="1714" ht="13.65" customHeight="1">
      <c r="A1714" s="8"/>
      <c r="B1714" s="8"/>
      <c r="C1714" s="8"/>
      <c r="D1714" s="8"/>
      <c r="E1714" s="8"/>
      <c r="F1714" s="8"/>
      <c r="G1714" s="8"/>
      <c r="H1714" s="8"/>
      <c r="I1714" s="8"/>
      <c r="J1714" s="8"/>
      <c r="K1714" s="8"/>
      <c r="L1714" s="8"/>
      <c r="M1714" s="8"/>
      <c r="N1714" s="8"/>
      <c r="O1714" s="8"/>
    </row>
    <row r="1715" ht="13.65" customHeight="1">
      <c r="A1715" s="8"/>
      <c r="B1715" s="8"/>
      <c r="C1715" s="8"/>
      <c r="D1715" s="8"/>
      <c r="E1715" s="8"/>
      <c r="F1715" s="8"/>
      <c r="G1715" s="8"/>
      <c r="H1715" s="8"/>
      <c r="I1715" s="8"/>
      <c r="J1715" s="8"/>
      <c r="K1715" s="8"/>
      <c r="L1715" s="8"/>
      <c r="M1715" s="8"/>
      <c r="N1715" s="8"/>
      <c r="O1715" s="8"/>
    </row>
    <row r="1716" ht="13.65" customHeight="1">
      <c r="A1716" s="8"/>
      <c r="B1716" s="8"/>
      <c r="C1716" s="8"/>
      <c r="D1716" s="8"/>
      <c r="E1716" s="8"/>
      <c r="F1716" s="8"/>
      <c r="G1716" s="8"/>
      <c r="H1716" s="8"/>
      <c r="I1716" s="8"/>
      <c r="J1716" s="8"/>
      <c r="K1716" s="8"/>
      <c r="L1716" s="8"/>
      <c r="M1716" s="8"/>
      <c r="N1716" s="8"/>
      <c r="O1716" s="8"/>
    </row>
    <row r="1717" ht="13.65" customHeight="1">
      <c r="A1717" s="8"/>
      <c r="B1717" s="8"/>
      <c r="C1717" s="8"/>
      <c r="D1717" s="8"/>
      <c r="E1717" s="8"/>
      <c r="F1717" s="8"/>
      <c r="G1717" s="8"/>
      <c r="H1717" s="8"/>
      <c r="I1717" s="8"/>
      <c r="J1717" s="8"/>
      <c r="K1717" s="8"/>
      <c r="L1717" s="8"/>
      <c r="M1717" s="8"/>
      <c r="N1717" s="8"/>
      <c r="O1717" s="8"/>
    </row>
    <row r="1718" ht="13.65" customHeight="1">
      <c r="A1718" s="8"/>
      <c r="B1718" s="8"/>
      <c r="C1718" s="8"/>
      <c r="D1718" s="8"/>
      <c r="E1718" s="8"/>
      <c r="F1718" s="8"/>
      <c r="G1718" s="8"/>
      <c r="H1718" s="8"/>
      <c r="I1718" s="8"/>
      <c r="J1718" s="8"/>
      <c r="K1718" s="8"/>
      <c r="L1718" s="8"/>
      <c r="M1718" s="8"/>
      <c r="N1718" s="8"/>
      <c r="O1718" s="8"/>
    </row>
    <row r="1719" ht="13.65" customHeight="1">
      <c r="A1719" s="8"/>
      <c r="B1719" s="8"/>
      <c r="C1719" s="8"/>
      <c r="D1719" s="8"/>
      <c r="E1719" s="8"/>
      <c r="F1719" s="8"/>
      <c r="G1719" s="8"/>
      <c r="H1719" s="8"/>
      <c r="I1719" s="8"/>
      <c r="J1719" s="8"/>
      <c r="K1719" s="8"/>
      <c r="L1719" s="8"/>
      <c r="M1719" s="8"/>
      <c r="N1719" s="8"/>
      <c r="O1719" s="8"/>
    </row>
    <row r="1720" ht="13.65" customHeight="1">
      <c r="A1720" s="8"/>
      <c r="B1720" s="8"/>
      <c r="C1720" s="8"/>
      <c r="D1720" s="8"/>
      <c r="E1720" s="8"/>
      <c r="F1720" s="8"/>
      <c r="G1720" s="8"/>
      <c r="H1720" s="8"/>
      <c r="I1720" s="8"/>
      <c r="J1720" s="8"/>
      <c r="K1720" s="8"/>
      <c r="L1720" s="8"/>
      <c r="M1720" s="8"/>
      <c r="N1720" s="8"/>
      <c r="O1720" s="8"/>
    </row>
    <row r="1721" ht="13.65" customHeight="1">
      <c r="A1721" s="8"/>
      <c r="B1721" s="8"/>
      <c r="C1721" s="8"/>
      <c r="D1721" s="8"/>
      <c r="E1721" s="8"/>
      <c r="F1721" s="8"/>
      <c r="G1721" s="8"/>
      <c r="H1721" s="8"/>
      <c r="I1721" s="8"/>
      <c r="J1721" s="8"/>
      <c r="K1721" s="8"/>
      <c r="L1721" s="8"/>
      <c r="M1721" s="8"/>
      <c r="N1721" s="8"/>
      <c r="O1721" s="8"/>
    </row>
    <row r="1722" ht="13.65" customHeight="1">
      <c r="A1722" s="8"/>
      <c r="B1722" s="8"/>
      <c r="C1722" s="8"/>
      <c r="D1722" s="8"/>
      <c r="E1722" s="8"/>
      <c r="F1722" s="8"/>
      <c r="G1722" s="8"/>
      <c r="H1722" s="8"/>
      <c r="I1722" s="8"/>
      <c r="J1722" s="8"/>
      <c r="K1722" s="8"/>
      <c r="L1722" s="8"/>
      <c r="M1722" s="8"/>
      <c r="N1722" s="8"/>
      <c r="O1722" s="8"/>
    </row>
    <row r="1723" ht="13.65" customHeight="1">
      <c r="A1723" s="8"/>
      <c r="B1723" s="8"/>
      <c r="C1723" s="8"/>
      <c r="D1723" s="8"/>
      <c r="E1723" s="8"/>
      <c r="F1723" s="8"/>
      <c r="G1723" s="8"/>
      <c r="H1723" s="8"/>
      <c r="I1723" s="8"/>
      <c r="J1723" s="8"/>
      <c r="K1723" s="8"/>
      <c r="L1723" s="8"/>
      <c r="M1723" s="8"/>
      <c r="N1723" s="8"/>
      <c r="O1723" s="8"/>
    </row>
    <row r="1724" ht="13.65" customHeight="1">
      <c r="A1724" s="8"/>
      <c r="B1724" s="8"/>
      <c r="C1724" s="8"/>
      <c r="D1724" s="8"/>
      <c r="E1724" s="8"/>
      <c r="F1724" s="8"/>
      <c r="G1724" s="8"/>
      <c r="H1724" s="8"/>
      <c r="I1724" s="8"/>
      <c r="J1724" s="8"/>
      <c r="K1724" s="8"/>
      <c r="L1724" s="8"/>
      <c r="M1724" s="8"/>
      <c r="N1724" s="8"/>
      <c r="O1724" s="8"/>
    </row>
    <row r="1725" ht="13.65" customHeight="1">
      <c r="A1725" s="8"/>
      <c r="B1725" s="8"/>
      <c r="C1725" s="8"/>
      <c r="D1725" s="8"/>
      <c r="E1725" s="8"/>
      <c r="F1725" s="8"/>
      <c r="G1725" s="8"/>
      <c r="H1725" s="8"/>
      <c r="I1725" s="8"/>
      <c r="J1725" s="8"/>
      <c r="K1725" s="8"/>
      <c r="L1725" s="8"/>
      <c r="M1725" s="8"/>
      <c r="N1725" s="8"/>
      <c r="O1725" s="8"/>
    </row>
    <row r="1726" ht="13.65" customHeight="1">
      <c r="A1726" s="8"/>
      <c r="B1726" s="8"/>
      <c r="C1726" s="8"/>
      <c r="D1726" s="8"/>
      <c r="E1726" s="8"/>
      <c r="F1726" s="8"/>
      <c r="G1726" s="8"/>
      <c r="H1726" s="8"/>
      <c r="I1726" s="8"/>
      <c r="J1726" s="8"/>
      <c r="K1726" s="8"/>
      <c r="L1726" s="8"/>
      <c r="M1726" s="8"/>
      <c r="N1726" s="8"/>
      <c r="O1726" s="8"/>
    </row>
    <row r="1727" ht="13.65" customHeight="1">
      <c r="A1727" s="8"/>
      <c r="B1727" s="8"/>
      <c r="C1727" s="8"/>
      <c r="D1727" s="8"/>
      <c r="E1727" s="8"/>
      <c r="F1727" s="8"/>
      <c r="G1727" s="8"/>
      <c r="H1727" s="8"/>
      <c r="I1727" s="8"/>
      <c r="J1727" s="8"/>
      <c r="K1727" s="8"/>
      <c r="L1727" s="8"/>
      <c r="M1727" s="8"/>
      <c r="N1727" s="8"/>
      <c r="O1727" s="8"/>
    </row>
    <row r="1728" ht="13.65" customHeight="1">
      <c r="A1728" s="8"/>
      <c r="B1728" s="8"/>
      <c r="C1728" s="8"/>
      <c r="D1728" s="8"/>
      <c r="E1728" s="8"/>
      <c r="F1728" s="8"/>
      <c r="G1728" s="8"/>
      <c r="H1728" s="8"/>
      <c r="I1728" s="8"/>
      <c r="J1728" s="8"/>
      <c r="K1728" s="8"/>
      <c r="L1728" s="8"/>
      <c r="M1728" s="8"/>
      <c r="N1728" s="8"/>
      <c r="O1728" s="8"/>
    </row>
    <row r="1729" ht="13.65" customHeight="1">
      <c r="A1729" s="8"/>
      <c r="B1729" s="8"/>
      <c r="C1729" s="8"/>
      <c r="D1729" s="8"/>
      <c r="E1729" s="8"/>
      <c r="F1729" s="8"/>
      <c r="G1729" s="8"/>
      <c r="H1729" s="8"/>
      <c r="I1729" s="8"/>
      <c r="J1729" s="8"/>
      <c r="K1729" s="8"/>
      <c r="L1729" s="8"/>
      <c r="M1729" s="8"/>
      <c r="N1729" s="8"/>
      <c r="O1729" s="8"/>
    </row>
    <row r="1730" ht="13.65" customHeight="1">
      <c r="A1730" s="8"/>
      <c r="B1730" s="8"/>
      <c r="C1730" s="8"/>
      <c r="D1730" s="8"/>
      <c r="E1730" s="8"/>
      <c r="F1730" s="8"/>
      <c r="G1730" s="8"/>
      <c r="H1730" s="8"/>
      <c r="I1730" s="8"/>
      <c r="J1730" s="8"/>
      <c r="K1730" s="8"/>
      <c r="L1730" s="8"/>
      <c r="M1730" s="8"/>
      <c r="N1730" s="8"/>
      <c r="O1730" s="8"/>
    </row>
    <row r="1731" ht="13.65" customHeight="1">
      <c r="A1731" s="8"/>
      <c r="B1731" s="8"/>
      <c r="C1731" s="8"/>
      <c r="D1731" s="8"/>
      <c r="E1731" s="8"/>
      <c r="F1731" s="8"/>
      <c r="G1731" s="8"/>
      <c r="H1731" s="8"/>
      <c r="I1731" s="8"/>
      <c r="J1731" s="8"/>
      <c r="K1731" s="8"/>
      <c r="L1731" s="8"/>
      <c r="M1731" s="8"/>
      <c r="N1731" s="8"/>
      <c r="O1731" s="8"/>
    </row>
    <row r="1732" ht="13.65" customHeight="1">
      <c r="A1732" s="8"/>
      <c r="B1732" s="8"/>
      <c r="C1732" s="8"/>
      <c r="D1732" s="8"/>
      <c r="E1732" s="8"/>
      <c r="F1732" s="8"/>
      <c r="G1732" s="8"/>
      <c r="H1732" s="8"/>
      <c r="I1732" s="8"/>
      <c r="J1732" s="8"/>
      <c r="K1732" s="8"/>
      <c r="L1732" s="8"/>
      <c r="M1732" s="8"/>
      <c r="N1732" s="8"/>
      <c r="O1732" s="8"/>
    </row>
    <row r="1733" ht="13.65" customHeight="1">
      <c r="A1733" s="8"/>
      <c r="B1733" s="8"/>
      <c r="C1733" s="8"/>
      <c r="D1733" s="8"/>
      <c r="E1733" s="8"/>
      <c r="F1733" s="8"/>
      <c r="G1733" s="8"/>
      <c r="H1733" s="8"/>
      <c r="I1733" s="8"/>
      <c r="J1733" s="8"/>
      <c r="K1733" s="8"/>
      <c r="L1733" s="8"/>
      <c r="M1733" s="8"/>
      <c r="N1733" s="8"/>
      <c r="O1733" s="8"/>
    </row>
    <row r="1734" ht="13.65" customHeight="1">
      <c r="A1734" s="8"/>
      <c r="B1734" s="8"/>
      <c r="C1734" s="8"/>
      <c r="D1734" s="8"/>
      <c r="E1734" s="8"/>
      <c r="F1734" s="8"/>
      <c r="G1734" s="8"/>
      <c r="H1734" s="8"/>
      <c r="I1734" s="8"/>
      <c r="J1734" s="8"/>
      <c r="K1734" s="8"/>
      <c r="L1734" s="8"/>
      <c r="M1734" s="8"/>
      <c r="N1734" s="8"/>
      <c r="O1734" s="8"/>
    </row>
    <row r="1735" ht="13.65" customHeight="1">
      <c r="A1735" s="8"/>
      <c r="B1735" s="8"/>
      <c r="C1735" s="8"/>
      <c r="D1735" s="8"/>
      <c r="E1735" s="8"/>
      <c r="F1735" s="8"/>
      <c r="G1735" s="8"/>
      <c r="H1735" s="8"/>
      <c r="I1735" s="8"/>
      <c r="J1735" s="8"/>
      <c r="K1735" s="8"/>
      <c r="L1735" s="8"/>
      <c r="M1735" s="8"/>
      <c r="N1735" s="8"/>
      <c r="O1735" s="8"/>
    </row>
    <row r="1736" ht="13.65" customHeight="1">
      <c r="A1736" s="8"/>
      <c r="B1736" s="8"/>
      <c r="C1736" s="8"/>
      <c r="D1736" s="8"/>
      <c r="E1736" s="8"/>
      <c r="F1736" s="8"/>
      <c r="G1736" s="8"/>
      <c r="H1736" s="8"/>
      <c r="I1736" s="8"/>
      <c r="J1736" s="8"/>
      <c r="K1736" s="8"/>
      <c r="L1736" s="8"/>
      <c r="M1736" s="8"/>
      <c r="N1736" s="8"/>
      <c r="O1736" s="8"/>
    </row>
    <row r="1737" ht="13.65" customHeight="1">
      <c r="A1737" s="8"/>
      <c r="B1737" s="8"/>
      <c r="C1737" s="8"/>
      <c r="D1737" s="8"/>
      <c r="E1737" s="8"/>
      <c r="F1737" s="8"/>
      <c r="G1737" s="8"/>
      <c r="H1737" s="8"/>
      <c r="I1737" s="8"/>
      <c r="J1737" s="8"/>
      <c r="K1737" s="8"/>
      <c r="L1737" s="8"/>
      <c r="M1737" s="8"/>
      <c r="N1737" s="8"/>
      <c r="O1737" s="8"/>
    </row>
    <row r="1738" ht="13.65" customHeight="1">
      <c r="A1738" s="8"/>
      <c r="B1738" s="8"/>
      <c r="C1738" s="8"/>
      <c r="D1738" s="8"/>
      <c r="E1738" s="8"/>
      <c r="F1738" s="8"/>
      <c r="G1738" s="8"/>
      <c r="H1738" s="8"/>
      <c r="I1738" s="8"/>
      <c r="J1738" s="8"/>
      <c r="K1738" s="8"/>
      <c r="L1738" s="8"/>
      <c r="M1738" s="8"/>
      <c r="N1738" s="8"/>
      <c r="O1738" s="8"/>
    </row>
    <row r="1739" ht="13.65" customHeight="1">
      <c r="A1739" s="8"/>
      <c r="B1739" s="8"/>
      <c r="C1739" s="8"/>
      <c r="D1739" s="8"/>
      <c r="E1739" s="8"/>
      <c r="F1739" s="8"/>
      <c r="G1739" s="8"/>
      <c r="H1739" s="8"/>
      <c r="I1739" s="8"/>
      <c r="J1739" s="8"/>
      <c r="K1739" s="8"/>
      <c r="L1739" s="8"/>
      <c r="M1739" s="8"/>
      <c r="N1739" s="8"/>
      <c r="O1739" s="8"/>
    </row>
    <row r="1740" ht="13.65" customHeight="1">
      <c r="A1740" s="8"/>
      <c r="B1740" s="8"/>
      <c r="C1740" s="8"/>
      <c r="D1740" s="8"/>
      <c r="E1740" s="8"/>
      <c r="F1740" s="8"/>
      <c r="G1740" s="8"/>
      <c r="H1740" s="8"/>
      <c r="I1740" s="8"/>
      <c r="J1740" s="8"/>
      <c r="K1740" s="8"/>
      <c r="L1740" s="8"/>
      <c r="M1740" s="8"/>
      <c r="N1740" s="8"/>
      <c r="O1740" s="8"/>
    </row>
    <row r="1741" ht="13.65" customHeight="1">
      <c r="A1741" s="8"/>
      <c r="B1741" s="8"/>
      <c r="C1741" s="8"/>
      <c r="D1741" s="8"/>
      <c r="E1741" s="8"/>
      <c r="F1741" s="8"/>
      <c r="G1741" s="8"/>
      <c r="H1741" s="8"/>
      <c r="I1741" s="8"/>
      <c r="J1741" s="8"/>
      <c r="K1741" s="8"/>
      <c r="L1741" s="8"/>
      <c r="M1741" s="8"/>
      <c r="N1741" s="8"/>
      <c r="O1741" s="8"/>
    </row>
    <row r="1742" ht="13.65" customHeight="1">
      <c r="A1742" s="8"/>
      <c r="B1742" s="8"/>
      <c r="C1742" s="8"/>
      <c r="D1742" s="8"/>
      <c r="E1742" s="8"/>
      <c r="F1742" s="8"/>
      <c r="G1742" s="8"/>
      <c r="H1742" s="8"/>
      <c r="I1742" s="8"/>
      <c r="J1742" s="8"/>
      <c r="K1742" s="8"/>
      <c r="L1742" s="8"/>
      <c r="M1742" s="8"/>
      <c r="N1742" s="8"/>
      <c r="O1742" s="8"/>
    </row>
    <row r="1743" ht="13.65" customHeight="1">
      <c r="A1743" s="8"/>
      <c r="B1743" s="8"/>
      <c r="C1743" s="8"/>
      <c r="D1743" s="8"/>
      <c r="E1743" s="8"/>
      <c r="F1743" s="8"/>
      <c r="G1743" s="8"/>
      <c r="H1743" s="8"/>
      <c r="I1743" s="8"/>
      <c r="J1743" s="8"/>
      <c r="K1743" s="8"/>
      <c r="L1743" s="8"/>
      <c r="M1743" s="8"/>
      <c r="N1743" s="8"/>
      <c r="O1743" s="8"/>
    </row>
    <row r="1744" ht="13.65" customHeight="1">
      <c r="A1744" s="8"/>
      <c r="B1744" s="8"/>
      <c r="C1744" s="8"/>
      <c r="D1744" s="8"/>
      <c r="E1744" s="8"/>
      <c r="F1744" s="8"/>
      <c r="G1744" s="8"/>
      <c r="H1744" s="8"/>
      <c r="I1744" s="8"/>
      <c r="J1744" s="8"/>
      <c r="K1744" s="8"/>
      <c r="L1744" s="8"/>
      <c r="M1744" s="8"/>
      <c r="N1744" s="8"/>
      <c r="O1744" s="8"/>
    </row>
    <row r="1745" ht="13.65" customHeight="1">
      <c r="A1745" s="8"/>
      <c r="B1745" s="8"/>
      <c r="C1745" s="8"/>
      <c r="D1745" s="8"/>
      <c r="E1745" s="8"/>
      <c r="F1745" s="8"/>
      <c r="G1745" s="8"/>
      <c r="H1745" s="8"/>
      <c r="I1745" s="8"/>
      <c r="J1745" s="8"/>
      <c r="K1745" s="8"/>
      <c r="L1745" s="8"/>
      <c r="M1745" s="8"/>
      <c r="N1745" s="8"/>
      <c r="O1745" s="8"/>
    </row>
    <row r="1746" ht="13.65" customHeight="1">
      <c r="A1746" s="8"/>
      <c r="B1746" s="8"/>
      <c r="C1746" s="8"/>
      <c r="D1746" s="8"/>
      <c r="E1746" s="8"/>
      <c r="F1746" s="8"/>
      <c r="G1746" s="8"/>
      <c r="H1746" s="8"/>
      <c r="I1746" s="8"/>
      <c r="J1746" s="8"/>
      <c r="K1746" s="8"/>
      <c r="L1746" s="8"/>
      <c r="M1746" s="8"/>
      <c r="N1746" s="8"/>
      <c r="O1746" s="8"/>
    </row>
    <row r="1747" ht="13.65" customHeight="1">
      <c r="A1747" s="8"/>
      <c r="B1747" s="8"/>
      <c r="C1747" s="8"/>
      <c r="D1747" s="8"/>
      <c r="E1747" s="8"/>
      <c r="F1747" s="8"/>
      <c r="G1747" s="8"/>
      <c r="H1747" s="8"/>
      <c r="I1747" s="8"/>
      <c r="J1747" s="8"/>
      <c r="K1747" s="8"/>
      <c r="L1747" s="8"/>
      <c r="M1747" s="8"/>
      <c r="N1747" s="8"/>
      <c r="O1747" s="8"/>
    </row>
    <row r="1748" ht="13.65" customHeight="1">
      <c r="A1748" s="8"/>
      <c r="B1748" s="8"/>
      <c r="C1748" s="8"/>
      <c r="D1748" s="8"/>
      <c r="E1748" s="8"/>
      <c r="F1748" s="8"/>
      <c r="G1748" s="8"/>
      <c r="H1748" s="8"/>
      <c r="I1748" s="8"/>
      <c r="J1748" s="8"/>
      <c r="K1748" s="8"/>
      <c r="L1748" s="8"/>
      <c r="M1748" s="8"/>
      <c r="N1748" s="8"/>
      <c r="O1748" s="8"/>
    </row>
    <row r="1749" ht="13.65" customHeight="1">
      <c r="A1749" s="8"/>
      <c r="B1749" s="8"/>
      <c r="C1749" s="8"/>
      <c r="D1749" s="8"/>
      <c r="E1749" s="8"/>
      <c r="F1749" s="8"/>
      <c r="G1749" s="8"/>
      <c r="H1749" s="8"/>
      <c r="I1749" s="8"/>
      <c r="J1749" s="8"/>
      <c r="K1749" s="8"/>
      <c r="L1749" s="8"/>
      <c r="M1749" s="8"/>
      <c r="N1749" s="8"/>
      <c r="O1749" s="8"/>
    </row>
    <row r="1750" ht="13.65" customHeight="1">
      <c r="A1750" s="8"/>
      <c r="B1750" s="8"/>
      <c r="C1750" s="8"/>
      <c r="D1750" s="8"/>
      <c r="E1750" s="8"/>
      <c r="F1750" s="8"/>
      <c r="G1750" s="8"/>
      <c r="H1750" s="8"/>
      <c r="I1750" s="8"/>
      <c r="J1750" s="8"/>
      <c r="K1750" s="8"/>
      <c r="L1750" s="8"/>
      <c r="M1750" s="8"/>
      <c r="N1750" s="8"/>
      <c r="O1750" s="8"/>
    </row>
    <row r="1751" ht="13.65" customHeight="1">
      <c r="A1751" s="8"/>
      <c r="B1751" s="8"/>
      <c r="C1751" s="8"/>
      <c r="D1751" s="8"/>
      <c r="E1751" s="8"/>
      <c r="F1751" s="8"/>
      <c r="G1751" s="8"/>
      <c r="H1751" s="8"/>
      <c r="I1751" s="8"/>
      <c r="J1751" s="8"/>
      <c r="K1751" s="8"/>
      <c r="L1751" s="8"/>
      <c r="M1751" s="8"/>
      <c r="N1751" s="8"/>
      <c r="O1751" s="8"/>
    </row>
    <row r="1752" ht="13.65" customHeight="1">
      <c r="A1752" s="8"/>
      <c r="B1752" s="8"/>
      <c r="C1752" s="8"/>
      <c r="D1752" s="8"/>
      <c r="E1752" s="8"/>
      <c r="F1752" s="8"/>
      <c r="G1752" s="8"/>
      <c r="H1752" s="8"/>
      <c r="I1752" s="8"/>
      <c r="J1752" s="8"/>
      <c r="K1752" s="8"/>
      <c r="L1752" s="8"/>
      <c r="M1752" s="8"/>
      <c r="N1752" s="8"/>
      <c r="O1752" s="8"/>
    </row>
    <row r="1753" ht="13.65" customHeight="1">
      <c r="A1753" s="8"/>
      <c r="B1753" s="8"/>
      <c r="C1753" s="8"/>
      <c r="D1753" s="8"/>
      <c r="E1753" s="8"/>
      <c r="F1753" s="8"/>
      <c r="G1753" s="8"/>
      <c r="H1753" s="8"/>
      <c r="I1753" s="8"/>
      <c r="J1753" s="8"/>
      <c r="K1753" s="8"/>
      <c r="L1753" s="8"/>
      <c r="M1753" s="8"/>
      <c r="N1753" s="8"/>
      <c r="O1753" s="8"/>
    </row>
    <row r="1754" ht="13.65" customHeight="1">
      <c r="A1754" s="8"/>
      <c r="B1754" s="8"/>
      <c r="C1754" s="8"/>
      <c r="D1754" s="8"/>
      <c r="E1754" s="8"/>
      <c r="F1754" s="8"/>
      <c r="G1754" s="8"/>
      <c r="H1754" s="8"/>
      <c r="I1754" s="8"/>
      <c r="J1754" s="8"/>
      <c r="K1754" s="8"/>
      <c r="L1754" s="8"/>
      <c r="M1754" s="8"/>
      <c r="N1754" s="8"/>
      <c r="O1754" s="8"/>
    </row>
    <row r="1755" ht="13.65" customHeight="1">
      <c r="A1755" s="8"/>
      <c r="B1755" s="8"/>
      <c r="C1755" s="8"/>
      <c r="D1755" s="8"/>
      <c r="E1755" s="8"/>
      <c r="F1755" s="8"/>
      <c r="G1755" s="8"/>
      <c r="H1755" s="8"/>
      <c r="I1755" s="8"/>
      <c r="J1755" s="8"/>
      <c r="K1755" s="8"/>
      <c r="L1755" s="8"/>
      <c r="M1755" s="8"/>
      <c r="N1755" s="8"/>
      <c r="O1755" s="8"/>
    </row>
    <row r="1756" ht="13.65" customHeight="1">
      <c r="A1756" s="8"/>
      <c r="B1756" s="8"/>
      <c r="C1756" s="8"/>
      <c r="D1756" s="8"/>
      <c r="E1756" s="8"/>
      <c r="F1756" s="8"/>
      <c r="G1756" s="8"/>
      <c r="H1756" s="8"/>
      <c r="I1756" s="8"/>
      <c r="J1756" s="8"/>
      <c r="K1756" s="8"/>
      <c r="L1756" s="8"/>
      <c r="M1756" s="8"/>
      <c r="N1756" s="8"/>
      <c r="O1756" s="8"/>
    </row>
    <row r="1757" ht="13.65" customHeight="1">
      <c r="A1757" s="8"/>
      <c r="B1757" s="8"/>
      <c r="C1757" s="8"/>
      <c r="D1757" s="8"/>
      <c r="E1757" s="8"/>
      <c r="F1757" s="8"/>
      <c r="G1757" s="8"/>
      <c r="H1757" s="8"/>
      <c r="I1757" s="8"/>
      <c r="J1757" s="8"/>
      <c r="K1757" s="8"/>
      <c r="L1757" s="8"/>
      <c r="M1757" s="8"/>
      <c r="N1757" s="8"/>
      <c r="O1757" s="8"/>
    </row>
    <row r="1758" ht="13.65" customHeight="1">
      <c r="A1758" s="8"/>
      <c r="B1758" s="8"/>
      <c r="C1758" s="8"/>
      <c r="D1758" s="8"/>
      <c r="E1758" s="8"/>
      <c r="F1758" s="8"/>
      <c r="G1758" s="8"/>
      <c r="H1758" s="8"/>
      <c r="I1758" s="8"/>
      <c r="J1758" s="8"/>
      <c r="K1758" s="8"/>
      <c r="L1758" s="8"/>
      <c r="M1758" s="8"/>
      <c r="N1758" s="8"/>
      <c r="O1758" s="8"/>
    </row>
    <row r="1759" ht="13.65" customHeight="1">
      <c r="A1759" s="8"/>
      <c r="B1759" s="8"/>
      <c r="C1759" s="8"/>
      <c r="D1759" s="8"/>
      <c r="E1759" s="8"/>
      <c r="F1759" s="8"/>
      <c r="G1759" s="8"/>
      <c r="H1759" s="8"/>
      <c r="I1759" s="8"/>
      <c r="J1759" s="8"/>
      <c r="K1759" s="8"/>
      <c r="L1759" s="8"/>
      <c r="M1759" s="8"/>
      <c r="N1759" s="8"/>
      <c r="O1759" s="8"/>
    </row>
    <row r="1760" ht="13.65" customHeight="1">
      <c r="A1760" s="8"/>
      <c r="B1760" s="8"/>
      <c r="C1760" s="8"/>
      <c r="D1760" s="8"/>
      <c r="E1760" s="8"/>
      <c r="F1760" s="8"/>
      <c r="G1760" s="8"/>
      <c r="H1760" s="8"/>
      <c r="I1760" s="8"/>
      <c r="J1760" s="8"/>
      <c r="K1760" s="8"/>
      <c r="L1760" s="8"/>
      <c r="M1760" s="8"/>
      <c r="N1760" s="8"/>
      <c r="O1760" s="8"/>
    </row>
    <row r="1761" ht="13.65" customHeight="1">
      <c r="A1761" s="8"/>
      <c r="B1761" s="8"/>
      <c r="C1761" s="8"/>
      <c r="D1761" s="8"/>
      <c r="E1761" s="8"/>
      <c r="F1761" s="8"/>
      <c r="G1761" s="8"/>
      <c r="H1761" s="8"/>
      <c r="I1761" s="8"/>
      <c r="J1761" s="8"/>
      <c r="K1761" s="8"/>
      <c r="L1761" s="8"/>
      <c r="M1761" s="8"/>
      <c r="N1761" s="8"/>
      <c r="O1761" s="8"/>
    </row>
    <row r="1762" ht="13.65" customHeight="1">
      <c r="A1762" s="8"/>
      <c r="B1762" s="8"/>
      <c r="C1762" s="8"/>
      <c r="D1762" s="8"/>
      <c r="E1762" s="8"/>
      <c r="F1762" s="8"/>
      <c r="G1762" s="8"/>
      <c r="H1762" s="8"/>
      <c r="I1762" s="8"/>
      <c r="J1762" s="8"/>
      <c r="K1762" s="8"/>
      <c r="L1762" s="8"/>
      <c r="M1762" s="8"/>
      <c r="N1762" s="8"/>
      <c r="O1762" s="8"/>
    </row>
    <row r="1763" ht="13.65" customHeight="1">
      <c r="A1763" s="8"/>
      <c r="B1763" s="8"/>
      <c r="C1763" s="8"/>
      <c r="D1763" s="8"/>
      <c r="E1763" s="8"/>
      <c r="F1763" s="8"/>
      <c r="G1763" s="8"/>
      <c r="H1763" s="8"/>
      <c r="I1763" s="8"/>
      <c r="J1763" s="8"/>
      <c r="K1763" s="8"/>
      <c r="L1763" s="8"/>
      <c r="M1763" s="8"/>
      <c r="N1763" s="8"/>
      <c r="O1763" s="8"/>
    </row>
    <row r="1764" ht="13.65" customHeight="1">
      <c r="A1764" s="8"/>
      <c r="B1764" s="8"/>
      <c r="C1764" s="8"/>
      <c r="D1764" s="8"/>
      <c r="E1764" s="8"/>
      <c r="F1764" s="8"/>
      <c r="G1764" s="8"/>
      <c r="H1764" s="8"/>
      <c r="I1764" s="8"/>
      <c r="J1764" s="8"/>
      <c r="K1764" s="8"/>
      <c r="L1764" s="8"/>
      <c r="M1764" s="8"/>
      <c r="N1764" s="8"/>
      <c r="O1764" s="8"/>
    </row>
    <row r="1765" ht="13.65" customHeight="1">
      <c r="A1765" s="8"/>
      <c r="B1765" s="8"/>
      <c r="C1765" s="8"/>
      <c r="D1765" s="8"/>
      <c r="E1765" s="8"/>
      <c r="F1765" s="8"/>
      <c r="G1765" s="8"/>
      <c r="H1765" s="8"/>
      <c r="I1765" s="8"/>
      <c r="J1765" s="8"/>
      <c r="K1765" s="8"/>
      <c r="L1765" s="8"/>
      <c r="M1765" s="8"/>
      <c r="N1765" s="8"/>
      <c r="O1765" s="8"/>
    </row>
    <row r="1766" ht="13.65" customHeight="1">
      <c r="A1766" s="8"/>
      <c r="B1766" s="8"/>
      <c r="C1766" s="8"/>
      <c r="D1766" s="8"/>
      <c r="E1766" s="8"/>
      <c r="F1766" s="8"/>
      <c r="G1766" s="8"/>
      <c r="H1766" s="8"/>
      <c r="I1766" s="8"/>
      <c r="J1766" s="8"/>
      <c r="K1766" s="8"/>
      <c r="L1766" s="8"/>
      <c r="M1766" s="8"/>
      <c r="N1766" s="8"/>
      <c r="O1766" s="8"/>
    </row>
    <row r="1767" ht="13.65" customHeight="1">
      <c r="A1767" s="8"/>
      <c r="B1767" s="8"/>
      <c r="C1767" s="8"/>
      <c r="D1767" s="8"/>
      <c r="E1767" s="8"/>
      <c r="F1767" s="8"/>
      <c r="G1767" s="8"/>
      <c r="H1767" s="8"/>
      <c r="I1767" s="8"/>
      <c r="J1767" s="8"/>
      <c r="K1767" s="8"/>
      <c r="L1767" s="8"/>
      <c r="M1767" s="8"/>
      <c r="N1767" s="8"/>
      <c r="O1767" s="8"/>
    </row>
    <row r="1768" ht="13.65" customHeight="1">
      <c r="A1768" s="8"/>
      <c r="B1768" s="8"/>
      <c r="C1768" s="8"/>
      <c r="D1768" s="8"/>
      <c r="E1768" s="8"/>
      <c r="F1768" s="8"/>
      <c r="G1768" s="8"/>
      <c r="H1768" s="8"/>
      <c r="I1768" s="8"/>
      <c r="J1768" s="8"/>
      <c r="K1768" s="8"/>
      <c r="L1768" s="8"/>
      <c r="M1768" s="8"/>
      <c r="N1768" s="8"/>
      <c r="O1768" s="8"/>
    </row>
    <row r="1769" ht="13.65" customHeight="1">
      <c r="A1769" s="8"/>
      <c r="B1769" s="8"/>
      <c r="C1769" s="8"/>
      <c r="D1769" s="8"/>
      <c r="E1769" s="8"/>
      <c r="F1769" s="8"/>
      <c r="G1769" s="8"/>
      <c r="H1769" s="8"/>
      <c r="I1769" s="8"/>
      <c r="J1769" s="8"/>
      <c r="K1769" s="8"/>
      <c r="L1769" s="8"/>
      <c r="M1769" s="8"/>
      <c r="N1769" s="8"/>
      <c r="O1769" s="8"/>
    </row>
    <row r="1770" ht="13.65" customHeight="1">
      <c r="A1770" s="8"/>
      <c r="B1770" s="8"/>
      <c r="C1770" s="8"/>
      <c r="D1770" s="8"/>
      <c r="E1770" s="8"/>
      <c r="F1770" s="8"/>
      <c r="G1770" s="8"/>
      <c r="H1770" s="8"/>
      <c r="I1770" s="8"/>
      <c r="J1770" s="8"/>
      <c r="K1770" s="8"/>
      <c r="L1770" s="8"/>
      <c r="M1770" s="8"/>
      <c r="N1770" s="8"/>
      <c r="O1770" s="8"/>
    </row>
    <row r="1771" ht="13.65" customHeight="1">
      <c r="A1771" s="8"/>
      <c r="B1771" s="8"/>
      <c r="C1771" s="8"/>
      <c r="D1771" s="8"/>
      <c r="E1771" s="8"/>
      <c r="F1771" s="8"/>
      <c r="G1771" s="8"/>
      <c r="H1771" s="8"/>
      <c r="I1771" s="8"/>
      <c r="J1771" s="8"/>
      <c r="K1771" s="8"/>
      <c r="L1771" s="8"/>
      <c r="M1771" s="8"/>
      <c r="N1771" s="8"/>
      <c r="O1771" s="8"/>
    </row>
    <row r="1772" ht="13.65" customHeight="1">
      <c r="A1772" s="8"/>
      <c r="B1772" s="8"/>
      <c r="C1772" s="8"/>
      <c r="D1772" s="8"/>
      <c r="E1772" s="8"/>
      <c r="F1772" s="8"/>
      <c r="G1772" s="8"/>
      <c r="H1772" s="8"/>
      <c r="I1772" s="8"/>
      <c r="J1772" s="8"/>
      <c r="K1772" s="8"/>
      <c r="L1772" s="8"/>
      <c r="M1772" s="8"/>
      <c r="N1772" s="8"/>
      <c r="O1772" s="8"/>
    </row>
    <row r="1773" ht="13.65" customHeight="1">
      <c r="A1773" s="8"/>
      <c r="B1773" s="8"/>
      <c r="C1773" s="8"/>
      <c r="D1773" s="8"/>
      <c r="E1773" s="8"/>
      <c r="F1773" s="8"/>
      <c r="G1773" s="8"/>
      <c r="H1773" s="8"/>
      <c r="I1773" s="8"/>
      <c r="J1773" s="8"/>
      <c r="K1773" s="8"/>
      <c r="L1773" s="8"/>
      <c r="M1773" s="8"/>
      <c r="N1773" s="8"/>
      <c r="O1773" s="8"/>
    </row>
    <row r="1774" ht="13.65" customHeight="1">
      <c r="A1774" s="8"/>
      <c r="B1774" s="8"/>
      <c r="C1774" s="8"/>
      <c r="D1774" s="8"/>
      <c r="E1774" s="8"/>
      <c r="F1774" s="8"/>
      <c r="G1774" s="8"/>
      <c r="H1774" s="8"/>
      <c r="I1774" s="8"/>
      <c r="J1774" s="8"/>
      <c r="K1774" s="8"/>
      <c r="L1774" s="8"/>
      <c r="M1774" s="8"/>
      <c r="N1774" s="8"/>
      <c r="O1774" s="8"/>
    </row>
    <row r="1775" ht="13.65" customHeight="1">
      <c r="A1775" s="8"/>
      <c r="B1775" s="8"/>
      <c r="C1775" s="8"/>
      <c r="D1775" s="8"/>
      <c r="E1775" s="8"/>
      <c r="F1775" s="8"/>
      <c r="G1775" s="8"/>
      <c r="H1775" s="8"/>
      <c r="I1775" s="8"/>
      <c r="J1775" s="8"/>
      <c r="K1775" s="8"/>
      <c r="L1775" s="8"/>
      <c r="M1775" s="8"/>
      <c r="N1775" s="8"/>
      <c r="O1775" s="8"/>
    </row>
    <row r="1776" ht="13.65" customHeight="1">
      <c r="A1776" s="8"/>
      <c r="B1776" s="8"/>
      <c r="C1776" s="8"/>
      <c r="D1776" s="8"/>
      <c r="E1776" s="8"/>
      <c r="F1776" s="8"/>
      <c r="G1776" s="8"/>
      <c r="H1776" s="8"/>
      <c r="I1776" s="8"/>
      <c r="J1776" s="8"/>
      <c r="K1776" s="8"/>
      <c r="L1776" s="8"/>
      <c r="M1776" s="8"/>
      <c r="N1776" s="8"/>
      <c r="O1776" s="8"/>
    </row>
    <row r="1777" ht="13.65" customHeight="1">
      <c r="A1777" s="8"/>
      <c r="B1777" s="8"/>
      <c r="C1777" s="8"/>
      <c r="D1777" s="8"/>
      <c r="E1777" s="8"/>
      <c r="F1777" s="8"/>
      <c r="G1777" s="8"/>
      <c r="H1777" s="8"/>
      <c r="I1777" s="8"/>
      <c r="J1777" s="8"/>
      <c r="K1777" s="8"/>
      <c r="L1777" s="8"/>
      <c r="M1777" s="8"/>
      <c r="N1777" s="8"/>
      <c r="O1777" s="8"/>
    </row>
    <row r="1778" ht="13.65" customHeight="1">
      <c r="A1778" s="8"/>
      <c r="B1778" s="8"/>
      <c r="C1778" s="8"/>
      <c r="D1778" s="8"/>
      <c r="E1778" s="8"/>
      <c r="F1778" s="8"/>
      <c r="G1778" s="8"/>
      <c r="H1778" s="8"/>
      <c r="I1778" s="8"/>
      <c r="J1778" s="8"/>
      <c r="K1778" s="8"/>
      <c r="L1778" s="8"/>
      <c r="M1778" s="8"/>
      <c r="N1778" s="8"/>
      <c r="O1778" s="8"/>
    </row>
    <row r="1779" ht="13.65" customHeight="1">
      <c r="A1779" s="8"/>
      <c r="B1779" s="8"/>
      <c r="C1779" s="8"/>
      <c r="D1779" s="8"/>
      <c r="E1779" s="8"/>
      <c r="F1779" s="8"/>
      <c r="G1779" s="8"/>
      <c r="H1779" s="8"/>
      <c r="I1779" s="8"/>
      <c r="J1779" s="8"/>
      <c r="K1779" s="8"/>
      <c r="L1779" s="8"/>
      <c r="M1779" s="8"/>
      <c r="N1779" s="8"/>
      <c r="O1779" s="8"/>
    </row>
    <row r="1780" ht="13.65" customHeight="1">
      <c r="A1780" s="8"/>
      <c r="B1780" s="8"/>
      <c r="C1780" s="8"/>
      <c r="D1780" s="8"/>
      <c r="E1780" s="8"/>
      <c r="F1780" s="8"/>
      <c r="G1780" s="8"/>
      <c r="H1780" s="8"/>
      <c r="I1780" s="8"/>
      <c r="J1780" s="8"/>
      <c r="K1780" s="8"/>
      <c r="L1780" s="8"/>
      <c r="M1780" s="8"/>
      <c r="N1780" s="8"/>
      <c r="O1780" s="8"/>
    </row>
    <row r="1781" ht="13.65" customHeight="1">
      <c r="A1781" s="8"/>
      <c r="B1781" s="8"/>
      <c r="C1781" s="8"/>
      <c r="D1781" s="8"/>
      <c r="E1781" s="8"/>
      <c r="F1781" s="8"/>
      <c r="G1781" s="8"/>
      <c r="H1781" s="8"/>
      <c r="I1781" s="8"/>
      <c r="J1781" s="8"/>
      <c r="K1781" s="8"/>
      <c r="L1781" s="8"/>
      <c r="M1781" s="8"/>
      <c r="N1781" s="8"/>
      <c r="O1781" s="8"/>
    </row>
    <row r="1782" ht="13.65" customHeight="1">
      <c r="A1782" s="8"/>
      <c r="B1782" s="8"/>
      <c r="C1782" s="8"/>
      <c r="D1782" s="8"/>
      <c r="E1782" s="8"/>
      <c r="F1782" s="8"/>
      <c r="G1782" s="8"/>
      <c r="H1782" s="8"/>
      <c r="I1782" s="8"/>
      <c r="J1782" s="8"/>
      <c r="K1782" s="8"/>
      <c r="L1782" s="8"/>
      <c r="M1782" s="8"/>
      <c r="N1782" s="8"/>
      <c r="O1782" s="8"/>
    </row>
    <row r="1783" ht="13.65" customHeight="1">
      <c r="A1783" s="8"/>
      <c r="B1783" s="8"/>
      <c r="C1783" s="8"/>
      <c r="D1783" s="8"/>
      <c r="E1783" s="8"/>
      <c r="F1783" s="8"/>
      <c r="G1783" s="8"/>
      <c r="H1783" s="8"/>
      <c r="I1783" s="8"/>
      <c r="J1783" s="8"/>
      <c r="K1783" s="8"/>
      <c r="L1783" s="8"/>
      <c r="M1783" s="8"/>
      <c r="N1783" s="8"/>
      <c r="O1783" s="8"/>
    </row>
    <row r="1784" ht="13.65" customHeight="1">
      <c r="A1784" s="8"/>
      <c r="B1784" s="8"/>
      <c r="C1784" s="8"/>
      <c r="D1784" s="8"/>
      <c r="E1784" s="8"/>
      <c r="F1784" s="8"/>
      <c r="G1784" s="8"/>
      <c r="H1784" s="8"/>
      <c r="I1784" s="8"/>
      <c r="J1784" s="8"/>
      <c r="K1784" s="8"/>
      <c r="L1784" s="8"/>
      <c r="M1784" s="8"/>
      <c r="N1784" s="8"/>
      <c r="O1784" s="8"/>
    </row>
    <row r="1785" ht="13.65" customHeight="1">
      <c r="A1785" s="8"/>
      <c r="B1785" s="8"/>
      <c r="C1785" s="8"/>
      <c r="D1785" s="8"/>
      <c r="E1785" s="8"/>
      <c r="F1785" s="8"/>
      <c r="G1785" s="8"/>
      <c r="H1785" s="8"/>
      <c r="I1785" s="8"/>
      <c r="J1785" s="8"/>
      <c r="K1785" s="8"/>
      <c r="L1785" s="8"/>
      <c r="M1785" s="8"/>
      <c r="N1785" s="8"/>
      <c r="O1785" s="8"/>
    </row>
    <row r="1786" ht="13.65" customHeight="1">
      <c r="A1786" s="8"/>
      <c r="B1786" s="8"/>
      <c r="C1786" s="8"/>
      <c r="D1786" s="8"/>
      <c r="E1786" s="8"/>
      <c r="F1786" s="8"/>
      <c r="G1786" s="8"/>
      <c r="H1786" s="8"/>
      <c r="I1786" s="8"/>
      <c r="J1786" s="8"/>
      <c r="K1786" s="8"/>
      <c r="L1786" s="8"/>
      <c r="M1786" s="8"/>
      <c r="N1786" s="8"/>
      <c r="O1786" s="8"/>
    </row>
    <row r="1787" ht="13.65" customHeight="1">
      <c r="A1787" s="8"/>
      <c r="B1787" s="8"/>
      <c r="C1787" s="8"/>
      <c r="D1787" s="8"/>
      <c r="E1787" s="8"/>
      <c r="F1787" s="8"/>
      <c r="G1787" s="8"/>
      <c r="H1787" s="8"/>
      <c r="I1787" s="8"/>
      <c r="J1787" s="8"/>
      <c r="K1787" s="8"/>
      <c r="L1787" s="8"/>
      <c r="M1787" s="8"/>
      <c r="N1787" s="8"/>
      <c r="O1787" s="8"/>
    </row>
    <row r="1788" ht="13.65" customHeight="1">
      <c r="A1788" s="8"/>
      <c r="B1788" s="8"/>
      <c r="C1788" s="8"/>
      <c r="D1788" s="8"/>
      <c r="E1788" s="8"/>
      <c r="F1788" s="8"/>
      <c r="G1788" s="8"/>
      <c r="H1788" s="8"/>
      <c r="I1788" s="8"/>
      <c r="J1788" s="8"/>
      <c r="K1788" s="8"/>
      <c r="L1788" s="8"/>
      <c r="M1788" s="8"/>
      <c r="N1788" s="8"/>
      <c r="O1788" s="8"/>
    </row>
    <row r="1789" ht="13.65" customHeight="1">
      <c r="A1789" s="8"/>
      <c r="B1789" s="8"/>
      <c r="C1789" s="8"/>
      <c r="D1789" s="8"/>
      <c r="E1789" s="8"/>
      <c r="F1789" s="8"/>
      <c r="G1789" s="8"/>
      <c r="H1789" s="8"/>
      <c r="I1789" s="8"/>
      <c r="J1789" s="8"/>
      <c r="K1789" s="8"/>
      <c r="L1789" s="8"/>
      <c r="M1789" s="8"/>
      <c r="N1789" s="8"/>
      <c r="O1789" s="8"/>
    </row>
    <row r="1790" ht="13.65" customHeight="1">
      <c r="A1790" s="8"/>
      <c r="B1790" s="8"/>
      <c r="C1790" s="8"/>
      <c r="D1790" s="8"/>
      <c r="E1790" s="8"/>
      <c r="F1790" s="8"/>
      <c r="G1790" s="8"/>
      <c r="H1790" s="8"/>
      <c r="I1790" s="8"/>
      <c r="J1790" s="8"/>
      <c r="K1790" s="8"/>
      <c r="L1790" s="8"/>
      <c r="M1790" s="8"/>
      <c r="N1790" s="8"/>
      <c r="O1790" s="8"/>
    </row>
    <row r="1791" ht="13.65" customHeight="1">
      <c r="A1791" s="8"/>
      <c r="B1791" s="8"/>
      <c r="C1791" s="8"/>
      <c r="D1791" s="8"/>
      <c r="E1791" s="8"/>
      <c r="F1791" s="8"/>
      <c r="G1791" s="8"/>
      <c r="H1791" s="8"/>
      <c r="I1791" s="8"/>
      <c r="J1791" s="8"/>
      <c r="K1791" s="8"/>
      <c r="L1791" s="8"/>
      <c r="M1791" s="8"/>
      <c r="N1791" s="8"/>
      <c r="O1791" s="8"/>
    </row>
    <row r="1792" ht="13.65" customHeight="1">
      <c r="A1792" s="8"/>
      <c r="B1792" s="8"/>
      <c r="C1792" s="8"/>
      <c r="D1792" s="8"/>
      <c r="E1792" s="8"/>
      <c r="F1792" s="8"/>
      <c r="G1792" s="8"/>
      <c r="H1792" s="8"/>
      <c r="I1792" s="8"/>
      <c r="J1792" s="8"/>
      <c r="K1792" s="8"/>
      <c r="L1792" s="8"/>
      <c r="M1792" s="8"/>
      <c r="N1792" s="8"/>
      <c r="O1792" s="8"/>
    </row>
    <row r="1793" ht="13.65" customHeight="1">
      <c r="A1793" s="8"/>
      <c r="B1793" s="8"/>
      <c r="C1793" s="8"/>
      <c r="D1793" s="8"/>
      <c r="E1793" s="8"/>
      <c r="F1793" s="8"/>
      <c r="G1793" s="8"/>
      <c r="H1793" s="8"/>
      <c r="I1793" s="8"/>
      <c r="J1793" s="8"/>
      <c r="K1793" s="8"/>
      <c r="L1793" s="8"/>
      <c r="M1793" s="8"/>
      <c r="N1793" s="8"/>
      <c r="O1793" s="8"/>
    </row>
    <row r="1794" ht="13.65" customHeight="1">
      <c r="A1794" s="8"/>
      <c r="B1794" s="8"/>
      <c r="C1794" s="8"/>
      <c r="D1794" s="8"/>
      <c r="E1794" s="8"/>
      <c r="F1794" s="8"/>
      <c r="G1794" s="8"/>
      <c r="H1794" s="8"/>
      <c r="I1794" s="8"/>
      <c r="J1794" s="8"/>
      <c r="K1794" s="8"/>
      <c r="L1794" s="8"/>
      <c r="M1794" s="8"/>
      <c r="N1794" s="8"/>
      <c r="O1794" s="8"/>
    </row>
    <row r="1795" ht="13.65" customHeight="1">
      <c r="A1795" s="8"/>
      <c r="B1795" s="8"/>
      <c r="C1795" s="8"/>
      <c r="D1795" s="8"/>
      <c r="E1795" s="8"/>
      <c r="F1795" s="8"/>
      <c r="G1795" s="8"/>
      <c r="H1795" s="8"/>
      <c r="I1795" s="8"/>
      <c r="J1795" s="8"/>
      <c r="K1795" s="8"/>
      <c r="L1795" s="8"/>
      <c r="M1795" s="8"/>
      <c r="N1795" s="8"/>
      <c r="O1795" s="8"/>
    </row>
    <row r="1796" ht="13.65" customHeight="1">
      <c r="A1796" s="8"/>
      <c r="B1796" s="8"/>
      <c r="C1796" s="8"/>
      <c r="D1796" s="8"/>
      <c r="E1796" s="8"/>
      <c r="F1796" s="8"/>
      <c r="G1796" s="8"/>
      <c r="H1796" s="8"/>
      <c r="I1796" s="8"/>
      <c r="J1796" s="8"/>
      <c r="K1796" s="8"/>
      <c r="L1796" s="8"/>
      <c r="M1796" s="8"/>
      <c r="N1796" s="8"/>
      <c r="O1796" s="8"/>
    </row>
    <row r="1797" ht="13.65" customHeight="1">
      <c r="A1797" s="8"/>
      <c r="B1797" s="8"/>
      <c r="C1797" s="8"/>
      <c r="D1797" s="8"/>
      <c r="E1797" s="8"/>
      <c r="F1797" s="8"/>
      <c r="G1797" s="8"/>
      <c r="H1797" s="8"/>
      <c r="I1797" s="8"/>
      <c r="J1797" s="8"/>
      <c r="K1797" s="8"/>
      <c r="L1797" s="8"/>
      <c r="M1797" s="8"/>
      <c r="N1797" s="8"/>
      <c r="O1797" s="8"/>
    </row>
    <row r="1798" ht="13.65" customHeight="1">
      <c r="A1798" s="8"/>
      <c r="B1798" s="8"/>
      <c r="C1798" s="8"/>
      <c r="D1798" s="8"/>
      <c r="E1798" s="8"/>
      <c r="F1798" s="8"/>
      <c r="G1798" s="8"/>
      <c r="H1798" s="8"/>
      <c r="I1798" s="8"/>
      <c r="J1798" s="8"/>
      <c r="K1798" s="8"/>
      <c r="L1798" s="8"/>
      <c r="M1798" s="8"/>
      <c r="N1798" s="8"/>
      <c r="O1798" s="8"/>
    </row>
    <row r="1799" ht="13.65" customHeight="1">
      <c r="A1799" s="8"/>
      <c r="B1799" s="8"/>
      <c r="C1799" s="8"/>
      <c r="D1799" s="8"/>
      <c r="E1799" s="8"/>
      <c r="F1799" s="8"/>
      <c r="G1799" s="8"/>
      <c r="H1799" s="8"/>
      <c r="I1799" s="8"/>
      <c r="J1799" s="8"/>
      <c r="K1799" s="8"/>
      <c r="L1799" s="8"/>
      <c r="M1799" s="8"/>
      <c r="N1799" s="8"/>
      <c r="O1799" s="8"/>
    </row>
    <row r="1800" ht="13.65" customHeight="1">
      <c r="A1800" s="8"/>
      <c r="B1800" s="8"/>
      <c r="C1800" s="8"/>
      <c r="D1800" s="8"/>
      <c r="E1800" s="8"/>
      <c r="F1800" s="8"/>
      <c r="G1800" s="8"/>
      <c r="H1800" s="8"/>
      <c r="I1800" s="8"/>
      <c r="J1800" s="8"/>
      <c r="K1800" s="8"/>
      <c r="L1800" s="8"/>
      <c r="M1800" s="8"/>
      <c r="N1800" s="8"/>
      <c r="O1800" s="8"/>
    </row>
    <row r="1801" ht="13.65" customHeight="1">
      <c r="A1801" s="8"/>
      <c r="B1801" s="8"/>
      <c r="C1801" s="8"/>
      <c r="D1801" s="8"/>
      <c r="E1801" s="8"/>
      <c r="F1801" s="8"/>
      <c r="G1801" s="8"/>
      <c r="H1801" s="8"/>
      <c r="I1801" s="8"/>
      <c r="J1801" s="8"/>
      <c r="K1801" s="8"/>
      <c r="L1801" s="8"/>
      <c r="M1801" s="8"/>
      <c r="N1801" s="8"/>
      <c r="O1801" s="8"/>
    </row>
    <row r="1802" ht="13.65" customHeight="1">
      <c r="A1802" s="8"/>
      <c r="B1802" s="8"/>
      <c r="C1802" s="8"/>
      <c r="D1802" s="8"/>
      <c r="E1802" s="8"/>
      <c r="F1802" s="8"/>
      <c r="G1802" s="8"/>
      <c r="H1802" s="8"/>
      <c r="I1802" s="8"/>
      <c r="J1802" s="8"/>
      <c r="K1802" s="8"/>
      <c r="L1802" s="8"/>
      <c r="M1802" s="8"/>
      <c r="N1802" s="8"/>
      <c r="O1802" s="8"/>
    </row>
    <row r="1803" ht="13.65" customHeight="1">
      <c r="A1803" s="8"/>
      <c r="B1803" s="8"/>
      <c r="C1803" s="8"/>
      <c r="D1803" s="8"/>
      <c r="E1803" s="8"/>
      <c r="F1803" s="8"/>
      <c r="G1803" s="8"/>
      <c r="H1803" s="8"/>
      <c r="I1803" s="8"/>
      <c r="J1803" s="8"/>
      <c r="K1803" s="8"/>
      <c r="L1803" s="8"/>
      <c r="M1803" s="8"/>
      <c r="N1803" s="8"/>
      <c r="O1803" s="8"/>
    </row>
    <row r="1804" ht="13.65" customHeight="1">
      <c r="A1804" s="8"/>
      <c r="B1804" s="8"/>
      <c r="C1804" s="8"/>
      <c r="D1804" s="8"/>
      <c r="E1804" s="8"/>
      <c r="F1804" s="8"/>
      <c r="G1804" s="8"/>
      <c r="H1804" s="8"/>
      <c r="I1804" s="8"/>
      <c r="J1804" s="8"/>
      <c r="K1804" s="8"/>
      <c r="L1804" s="8"/>
      <c r="M1804" s="8"/>
      <c r="N1804" s="8"/>
      <c r="O1804" s="8"/>
    </row>
    <row r="1805" ht="13.65" customHeight="1">
      <c r="A1805" s="8"/>
      <c r="B1805" s="8"/>
      <c r="C1805" s="8"/>
      <c r="D1805" s="8"/>
      <c r="E1805" s="8"/>
      <c r="F1805" s="8"/>
      <c r="G1805" s="8"/>
      <c r="H1805" s="8"/>
      <c r="I1805" s="8"/>
      <c r="J1805" s="8"/>
      <c r="K1805" s="8"/>
      <c r="L1805" s="8"/>
      <c r="M1805" s="8"/>
      <c r="N1805" s="8"/>
      <c r="O1805" s="8"/>
    </row>
    <row r="1806" ht="13.65" customHeight="1">
      <c r="A1806" s="8"/>
      <c r="B1806" s="8"/>
      <c r="C1806" s="8"/>
      <c r="D1806" s="8"/>
      <c r="E1806" s="8"/>
      <c r="F1806" s="8"/>
      <c r="G1806" s="8"/>
      <c r="H1806" s="8"/>
      <c r="I1806" s="8"/>
      <c r="J1806" s="8"/>
      <c r="K1806" s="8"/>
      <c r="L1806" s="8"/>
      <c r="M1806" s="8"/>
      <c r="N1806" s="8"/>
      <c r="O1806" s="8"/>
    </row>
    <row r="1807" ht="13.65" customHeight="1">
      <c r="A1807" s="8"/>
      <c r="B1807" s="8"/>
      <c r="C1807" s="8"/>
      <c r="D1807" s="8"/>
      <c r="E1807" s="8"/>
      <c r="F1807" s="8"/>
      <c r="G1807" s="8"/>
      <c r="H1807" s="8"/>
      <c r="I1807" s="8"/>
      <c r="J1807" s="8"/>
      <c r="K1807" s="8"/>
      <c r="L1807" s="8"/>
      <c r="M1807" s="8"/>
      <c r="N1807" s="8"/>
      <c r="O1807" s="8"/>
    </row>
    <row r="1808" ht="13.65" customHeight="1">
      <c r="A1808" s="8"/>
      <c r="B1808" s="8"/>
      <c r="C1808" s="8"/>
      <c r="D1808" s="8"/>
      <c r="E1808" s="8"/>
      <c r="F1808" s="8"/>
      <c r="G1808" s="8"/>
      <c r="H1808" s="8"/>
      <c r="I1808" s="8"/>
      <c r="J1808" s="8"/>
      <c r="K1808" s="8"/>
      <c r="L1808" s="8"/>
      <c r="M1808" s="8"/>
      <c r="N1808" s="8"/>
      <c r="O1808" s="8"/>
    </row>
    <row r="1809" ht="13.65" customHeight="1">
      <c r="A1809" s="8"/>
      <c r="B1809" s="8"/>
      <c r="C1809" s="8"/>
      <c r="D1809" s="8"/>
      <c r="E1809" s="8"/>
      <c r="F1809" s="8"/>
      <c r="G1809" s="8"/>
      <c r="H1809" s="8"/>
      <c r="I1809" s="8"/>
      <c r="J1809" s="8"/>
      <c r="K1809" s="8"/>
      <c r="L1809" s="8"/>
      <c r="M1809" s="8"/>
      <c r="N1809" s="8"/>
      <c r="O1809" s="8"/>
    </row>
    <row r="1810" ht="13.65" customHeight="1">
      <c r="A1810" s="8"/>
      <c r="B1810" s="8"/>
      <c r="C1810" s="8"/>
      <c r="D1810" s="8"/>
      <c r="E1810" s="8"/>
      <c r="F1810" s="8"/>
      <c r="G1810" s="8"/>
      <c r="H1810" s="8"/>
      <c r="I1810" s="8"/>
      <c r="J1810" s="8"/>
      <c r="K1810" s="8"/>
      <c r="L1810" s="8"/>
      <c r="M1810" s="8"/>
      <c r="N1810" s="8"/>
      <c r="O1810" s="8"/>
    </row>
    <row r="1811" ht="13.65" customHeight="1">
      <c r="A1811" s="8"/>
      <c r="B1811" s="8"/>
      <c r="C1811" s="8"/>
      <c r="D1811" s="8"/>
      <c r="E1811" s="8"/>
      <c r="F1811" s="8"/>
      <c r="G1811" s="8"/>
      <c r="H1811" s="8"/>
      <c r="I1811" s="8"/>
      <c r="J1811" s="8"/>
      <c r="K1811" s="8"/>
      <c r="L1811" s="8"/>
      <c r="M1811" s="8"/>
      <c r="N1811" s="8"/>
      <c r="O1811" s="8"/>
    </row>
    <row r="1812" ht="13.65" customHeight="1">
      <c r="A1812" s="8"/>
      <c r="B1812" s="8"/>
      <c r="C1812" s="8"/>
      <c r="D1812" s="8"/>
      <c r="E1812" s="8"/>
      <c r="F1812" s="8"/>
      <c r="G1812" s="8"/>
      <c r="H1812" s="8"/>
      <c r="I1812" s="8"/>
      <c r="J1812" s="8"/>
      <c r="K1812" s="8"/>
      <c r="L1812" s="8"/>
      <c r="M1812" s="8"/>
      <c r="N1812" s="8"/>
      <c r="O1812" s="8"/>
    </row>
    <row r="1813" ht="13.65" customHeight="1">
      <c r="A1813" s="8"/>
      <c r="B1813" s="8"/>
      <c r="C1813" s="8"/>
      <c r="D1813" s="8"/>
      <c r="E1813" s="8"/>
      <c r="F1813" s="8"/>
      <c r="G1813" s="8"/>
      <c r="H1813" s="8"/>
      <c r="I1813" s="8"/>
      <c r="J1813" s="8"/>
      <c r="K1813" s="8"/>
      <c r="L1813" s="8"/>
      <c r="M1813" s="8"/>
      <c r="N1813" s="8"/>
      <c r="O1813" s="8"/>
    </row>
    <row r="1814" ht="13.65" customHeight="1">
      <c r="A1814" s="8"/>
      <c r="B1814" s="8"/>
      <c r="C1814" s="8"/>
      <c r="D1814" s="8"/>
      <c r="E1814" s="8"/>
      <c r="F1814" s="8"/>
      <c r="G1814" s="8"/>
      <c r="H1814" s="8"/>
      <c r="I1814" s="8"/>
      <c r="J1814" s="8"/>
      <c r="K1814" s="8"/>
      <c r="L1814" s="8"/>
      <c r="M1814" s="8"/>
      <c r="N1814" s="8"/>
      <c r="O1814" s="8"/>
    </row>
    <row r="1815" ht="13.65" customHeight="1">
      <c r="A1815" s="8"/>
      <c r="B1815" s="8"/>
      <c r="C1815" s="8"/>
      <c r="D1815" s="8"/>
      <c r="E1815" s="8"/>
      <c r="F1815" s="8"/>
      <c r="G1815" s="8"/>
      <c r="H1815" s="8"/>
      <c r="I1815" s="8"/>
      <c r="J1815" s="8"/>
      <c r="K1815" s="8"/>
      <c r="L1815" s="8"/>
      <c r="M1815" s="8"/>
      <c r="N1815" s="8"/>
      <c r="O1815" s="8"/>
    </row>
    <row r="1816" ht="13.65" customHeight="1">
      <c r="A1816" s="8"/>
      <c r="B1816" s="8"/>
      <c r="C1816" s="8"/>
      <c r="D1816" s="8"/>
      <c r="E1816" s="8"/>
      <c r="F1816" s="8"/>
      <c r="G1816" s="8"/>
      <c r="H1816" s="8"/>
      <c r="I1816" s="8"/>
      <c r="J1816" s="8"/>
      <c r="K1816" s="8"/>
      <c r="L1816" s="8"/>
      <c r="M1816" s="8"/>
      <c r="N1816" s="8"/>
      <c r="O1816" s="8"/>
    </row>
    <row r="1817" ht="13.65" customHeight="1">
      <c r="A1817" s="8"/>
      <c r="B1817" s="8"/>
      <c r="C1817" s="8"/>
      <c r="D1817" s="8"/>
      <c r="E1817" s="8"/>
      <c r="F1817" s="8"/>
      <c r="G1817" s="8"/>
      <c r="H1817" s="8"/>
      <c r="I1817" s="8"/>
      <c r="J1817" s="8"/>
      <c r="K1817" s="8"/>
      <c r="L1817" s="8"/>
      <c r="M1817" s="8"/>
      <c r="N1817" s="8"/>
      <c r="O1817" s="8"/>
    </row>
    <row r="1818" ht="13.65" customHeight="1">
      <c r="A1818" s="8"/>
      <c r="B1818" s="8"/>
      <c r="C1818" s="8"/>
      <c r="D1818" s="8"/>
      <c r="E1818" s="8"/>
      <c r="F1818" s="8"/>
      <c r="G1818" s="8"/>
      <c r="H1818" s="8"/>
      <c r="I1818" s="8"/>
      <c r="J1818" s="8"/>
      <c r="K1818" s="8"/>
      <c r="L1818" s="8"/>
      <c r="M1818" s="8"/>
      <c r="N1818" s="8"/>
      <c r="O1818" s="8"/>
    </row>
    <row r="1819" ht="13.65" customHeight="1">
      <c r="A1819" s="8"/>
      <c r="B1819" s="8"/>
      <c r="C1819" s="8"/>
      <c r="D1819" s="8"/>
      <c r="E1819" s="8"/>
      <c r="F1819" s="8"/>
      <c r="G1819" s="8"/>
      <c r="H1819" s="8"/>
      <c r="I1819" s="8"/>
      <c r="J1819" s="8"/>
      <c r="K1819" s="8"/>
      <c r="L1819" s="8"/>
      <c r="M1819" s="8"/>
      <c r="N1819" s="8"/>
      <c r="O1819" s="8"/>
    </row>
    <row r="1820" ht="13.65" customHeight="1">
      <c r="A1820" s="8"/>
      <c r="B1820" s="8"/>
      <c r="C1820" s="8"/>
      <c r="D1820" s="8"/>
      <c r="E1820" s="8"/>
      <c r="F1820" s="8"/>
      <c r="G1820" s="8"/>
      <c r="H1820" s="8"/>
      <c r="I1820" s="8"/>
      <c r="J1820" s="8"/>
      <c r="K1820" s="8"/>
      <c r="L1820" s="8"/>
      <c r="M1820" s="8"/>
      <c r="N1820" s="8"/>
      <c r="O1820" s="8"/>
    </row>
    <row r="1821" ht="13.65" customHeight="1">
      <c r="A1821" s="8"/>
      <c r="B1821" s="8"/>
      <c r="C1821" s="8"/>
      <c r="D1821" s="8"/>
      <c r="E1821" s="8"/>
      <c r="F1821" s="8"/>
      <c r="G1821" s="8"/>
      <c r="H1821" s="8"/>
      <c r="I1821" s="8"/>
      <c r="J1821" s="8"/>
      <c r="K1821" s="8"/>
      <c r="L1821" s="8"/>
      <c r="M1821" s="8"/>
      <c r="N1821" s="8"/>
      <c r="O1821" s="8"/>
    </row>
    <row r="1822" ht="13.65" customHeight="1">
      <c r="A1822" s="8"/>
      <c r="B1822" s="8"/>
      <c r="C1822" s="8"/>
      <c r="D1822" s="8"/>
      <c r="E1822" s="8"/>
      <c r="F1822" s="8"/>
      <c r="G1822" s="8"/>
      <c r="H1822" s="8"/>
      <c r="I1822" s="8"/>
      <c r="J1822" s="8"/>
      <c r="K1822" s="8"/>
      <c r="L1822" s="8"/>
      <c r="M1822" s="8"/>
      <c r="N1822" s="8"/>
      <c r="O1822" s="8"/>
    </row>
    <row r="1823" ht="13.65" customHeight="1">
      <c r="A1823" s="8"/>
      <c r="B1823" s="8"/>
      <c r="C1823" s="8"/>
      <c r="D1823" s="8"/>
      <c r="E1823" s="8"/>
      <c r="F1823" s="8"/>
      <c r="G1823" s="8"/>
      <c r="H1823" s="8"/>
      <c r="I1823" s="8"/>
      <c r="J1823" s="8"/>
      <c r="K1823" s="8"/>
      <c r="L1823" s="8"/>
      <c r="M1823" s="8"/>
      <c r="N1823" s="8"/>
      <c r="O1823" s="8"/>
    </row>
    <row r="1824" ht="13.65" customHeight="1">
      <c r="A1824" s="8"/>
      <c r="B1824" s="8"/>
      <c r="C1824" s="8"/>
      <c r="D1824" s="8"/>
      <c r="E1824" s="8"/>
      <c r="F1824" s="8"/>
      <c r="G1824" s="8"/>
      <c r="H1824" s="8"/>
      <c r="I1824" s="8"/>
      <c r="J1824" s="8"/>
      <c r="K1824" s="8"/>
      <c r="L1824" s="8"/>
      <c r="M1824" s="8"/>
      <c r="N1824" s="8"/>
      <c r="O1824" s="8"/>
    </row>
    <row r="1825" ht="13.65" customHeight="1">
      <c r="A1825" s="8"/>
      <c r="B1825" s="8"/>
      <c r="C1825" s="8"/>
      <c r="D1825" s="8"/>
      <c r="E1825" s="8"/>
      <c r="F1825" s="8"/>
      <c r="G1825" s="8"/>
      <c r="H1825" s="8"/>
      <c r="I1825" s="8"/>
      <c r="J1825" s="8"/>
      <c r="K1825" s="8"/>
      <c r="L1825" s="8"/>
      <c r="M1825" s="8"/>
      <c r="N1825" s="8"/>
      <c r="O1825" s="8"/>
    </row>
    <row r="1826" ht="13.65" customHeight="1">
      <c r="A1826" s="8"/>
      <c r="B1826" s="8"/>
      <c r="C1826" s="8"/>
      <c r="D1826" s="8"/>
      <c r="E1826" s="8"/>
      <c r="F1826" s="8"/>
      <c r="G1826" s="8"/>
      <c r="H1826" s="8"/>
      <c r="I1826" s="8"/>
      <c r="J1826" s="8"/>
      <c r="K1826" s="8"/>
      <c r="L1826" s="8"/>
      <c r="M1826" s="8"/>
      <c r="N1826" s="8"/>
      <c r="O1826" s="8"/>
    </row>
    <row r="1827" ht="13.65" customHeight="1">
      <c r="A1827" s="8"/>
      <c r="B1827" s="8"/>
      <c r="C1827" s="8"/>
      <c r="D1827" s="8"/>
      <c r="E1827" s="8"/>
      <c r="F1827" s="8"/>
      <c r="G1827" s="8"/>
      <c r="H1827" s="8"/>
      <c r="I1827" s="8"/>
      <c r="J1827" s="8"/>
      <c r="K1827" s="8"/>
      <c r="L1827" s="8"/>
      <c r="M1827" s="8"/>
      <c r="N1827" s="8"/>
      <c r="O1827" s="8"/>
    </row>
    <row r="1828" ht="13.65" customHeight="1">
      <c r="A1828" s="8"/>
      <c r="B1828" s="8"/>
      <c r="C1828" s="8"/>
      <c r="D1828" s="8"/>
      <c r="E1828" s="8"/>
      <c r="F1828" s="8"/>
      <c r="G1828" s="8"/>
      <c r="H1828" s="8"/>
      <c r="I1828" s="8"/>
      <c r="J1828" s="8"/>
      <c r="K1828" s="8"/>
      <c r="L1828" s="8"/>
      <c r="M1828" s="8"/>
      <c r="N1828" s="8"/>
      <c r="O1828" s="8"/>
    </row>
    <row r="1829" ht="13.65" customHeight="1">
      <c r="A1829" s="8"/>
      <c r="B1829" s="8"/>
      <c r="C1829" s="8"/>
      <c r="D1829" s="8"/>
      <c r="E1829" s="8"/>
      <c r="F1829" s="8"/>
      <c r="G1829" s="8"/>
      <c r="H1829" s="8"/>
      <c r="I1829" s="8"/>
      <c r="J1829" s="8"/>
      <c r="K1829" s="8"/>
      <c r="L1829" s="8"/>
      <c r="M1829" s="8"/>
      <c r="N1829" s="8"/>
      <c r="O1829" s="8"/>
    </row>
    <row r="1830" ht="13.65" customHeight="1">
      <c r="A1830" s="8"/>
      <c r="B1830" s="8"/>
      <c r="C1830" s="8"/>
      <c r="D1830" s="8"/>
      <c r="E1830" s="8"/>
      <c r="F1830" s="8"/>
      <c r="G1830" s="8"/>
      <c r="H1830" s="8"/>
      <c r="I1830" s="8"/>
      <c r="J1830" s="8"/>
      <c r="K1830" s="8"/>
      <c r="L1830" s="8"/>
      <c r="M1830" s="8"/>
      <c r="N1830" s="8"/>
      <c r="O1830" s="8"/>
    </row>
    <row r="1831" ht="13.65" customHeight="1">
      <c r="A1831" s="8"/>
      <c r="B1831" s="8"/>
      <c r="C1831" s="8"/>
      <c r="D1831" s="8"/>
      <c r="E1831" s="8"/>
      <c r="F1831" s="8"/>
      <c r="G1831" s="8"/>
      <c r="H1831" s="8"/>
      <c r="I1831" s="8"/>
      <c r="J1831" s="8"/>
      <c r="K1831" s="8"/>
      <c r="L1831" s="8"/>
      <c r="M1831" s="8"/>
      <c r="N1831" s="8"/>
      <c r="O1831" s="8"/>
    </row>
    <row r="1832" ht="13.65" customHeight="1">
      <c r="A1832" s="8"/>
      <c r="B1832" s="8"/>
      <c r="C1832" s="8"/>
      <c r="D1832" s="8"/>
      <c r="E1832" s="8"/>
      <c r="F1832" s="8"/>
      <c r="G1832" s="8"/>
      <c r="H1832" s="8"/>
      <c r="I1832" s="8"/>
      <c r="J1832" s="8"/>
      <c r="K1832" s="8"/>
      <c r="L1832" s="8"/>
      <c r="M1832" s="8"/>
      <c r="N1832" s="8"/>
      <c r="O1832" s="8"/>
    </row>
    <row r="1833" ht="13.65" customHeight="1">
      <c r="A1833" s="8"/>
      <c r="B1833" s="8"/>
      <c r="C1833" s="8"/>
      <c r="D1833" s="8"/>
      <c r="E1833" s="8"/>
      <c r="F1833" s="8"/>
      <c r="G1833" s="8"/>
      <c r="H1833" s="8"/>
      <c r="I1833" s="8"/>
      <c r="J1833" s="8"/>
      <c r="K1833" s="8"/>
      <c r="L1833" s="8"/>
      <c r="M1833" s="8"/>
      <c r="N1833" s="8"/>
      <c r="O1833" s="8"/>
    </row>
    <row r="1834" ht="13.65" customHeight="1">
      <c r="A1834" s="8"/>
      <c r="B1834" s="8"/>
      <c r="C1834" s="8"/>
      <c r="D1834" s="8"/>
      <c r="E1834" s="8"/>
      <c r="F1834" s="8"/>
      <c r="G1834" s="8"/>
      <c r="H1834" s="8"/>
      <c r="I1834" s="8"/>
      <c r="J1834" s="8"/>
      <c r="K1834" s="8"/>
      <c r="L1834" s="8"/>
      <c r="M1834" s="8"/>
      <c r="N1834" s="8"/>
      <c r="O1834" s="8"/>
    </row>
    <row r="1835" ht="13.65" customHeight="1">
      <c r="A1835" s="8"/>
      <c r="B1835" s="8"/>
      <c r="C1835" s="8"/>
      <c r="D1835" s="8"/>
      <c r="E1835" s="8"/>
      <c r="F1835" s="8"/>
      <c r="G1835" s="8"/>
      <c r="H1835" s="8"/>
      <c r="I1835" s="8"/>
      <c r="J1835" s="8"/>
      <c r="K1835" s="8"/>
      <c r="L1835" s="8"/>
      <c r="M1835" s="8"/>
      <c r="N1835" s="8"/>
      <c r="O1835" s="8"/>
    </row>
    <row r="1836" ht="13.65" customHeight="1">
      <c r="A1836" s="8"/>
      <c r="B1836" s="8"/>
      <c r="C1836" s="8"/>
      <c r="D1836" s="8"/>
      <c r="E1836" s="8"/>
      <c r="F1836" s="8"/>
      <c r="G1836" s="8"/>
      <c r="H1836" s="8"/>
      <c r="I1836" s="8"/>
      <c r="J1836" s="8"/>
      <c r="K1836" s="8"/>
      <c r="L1836" s="8"/>
      <c r="M1836" s="8"/>
      <c r="N1836" s="8"/>
      <c r="O1836" s="8"/>
    </row>
    <row r="1837" ht="13.65" customHeight="1">
      <c r="A1837" s="8"/>
      <c r="B1837" s="8"/>
      <c r="C1837" s="8"/>
      <c r="D1837" s="8"/>
      <c r="E1837" s="8"/>
      <c r="F1837" s="8"/>
      <c r="G1837" s="8"/>
      <c r="H1837" s="8"/>
      <c r="I1837" s="8"/>
      <c r="J1837" s="8"/>
      <c r="K1837" s="8"/>
      <c r="L1837" s="8"/>
      <c r="M1837" s="8"/>
      <c r="N1837" s="8"/>
      <c r="O1837" s="8"/>
    </row>
    <row r="1838" ht="13.65" customHeight="1">
      <c r="A1838" s="8"/>
      <c r="B1838" s="8"/>
      <c r="C1838" s="8"/>
      <c r="D1838" s="8"/>
      <c r="E1838" s="8"/>
      <c r="F1838" s="8"/>
      <c r="G1838" s="8"/>
      <c r="H1838" s="8"/>
      <c r="I1838" s="8"/>
      <c r="J1838" s="8"/>
      <c r="K1838" s="8"/>
      <c r="L1838" s="8"/>
      <c r="M1838" s="8"/>
      <c r="N1838" s="8"/>
      <c r="O1838" s="8"/>
    </row>
    <row r="1839" ht="13.65" customHeight="1">
      <c r="A1839" s="8"/>
      <c r="B1839" s="8"/>
      <c r="C1839" s="8"/>
      <c r="D1839" s="8"/>
      <c r="E1839" s="8"/>
      <c r="F1839" s="8"/>
      <c r="G1839" s="8"/>
      <c r="H1839" s="8"/>
      <c r="I1839" s="8"/>
      <c r="J1839" s="8"/>
      <c r="K1839" s="8"/>
      <c r="L1839" s="8"/>
      <c r="M1839" s="8"/>
      <c r="N1839" s="8"/>
      <c r="O1839" s="8"/>
    </row>
    <row r="1840" ht="13.65" customHeight="1">
      <c r="A1840" s="8"/>
      <c r="B1840" s="8"/>
      <c r="C1840" s="8"/>
      <c r="D1840" s="8"/>
      <c r="E1840" s="8"/>
      <c r="F1840" s="8"/>
      <c r="G1840" s="8"/>
      <c r="H1840" s="8"/>
      <c r="I1840" s="8"/>
      <c r="J1840" s="8"/>
      <c r="K1840" s="8"/>
      <c r="L1840" s="8"/>
      <c r="M1840" s="8"/>
      <c r="N1840" s="8"/>
      <c r="O1840" s="8"/>
    </row>
    <row r="1841" ht="13.65" customHeight="1">
      <c r="A1841" s="8"/>
      <c r="B1841" s="8"/>
      <c r="C1841" s="8"/>
      <c r="D1841" s="8"/>
      <c r="E1841" s="8"/>
      <c r="F1841" s="8"/>
      <c r="G1841" s="8"/>
      <c r="H1841" s="8"/>
      <c r="I1841" s="8"/>
      <c r="J1841" s="8"/>
      <c r="K1841" s="8"/>
      <c r="L1841" s="8"/>
      <c r="M1841" s="8"/>
      <c r="N1841" s="8"/>
      <c r="O1841" s="8"/>
    </row>
    <row r="1842" ht="13.65" customHeight="1">
      <c r="A1842" s="8"/>
      <c r="B1842" s="8"/>
      <c r="C1842" s="8"/>
      <c r="D1842" s="8"/>
      <c r="E1842" s="8"/>
      <c r="F1842" s="8"/>
      <c r="G1842" s="8"/>
      <c r="H1842" s="8"/>
      <c r="I1842" s="8"/>
      <c r="J1842" s="8"/>
      <c r="K1842" s="8"/>
      <c r="L1842" s="8"/>
      <c r="M1842" s="8"/>
      <c r="N1842" s="8"/>
      <c r="O1842" s="8"/>
    </row>
    <row r="1843" ht="13.65" customHeight="1">
      <c r="A1843" s="8"/>
      <c r="B1843" s="8"/>
      <c r="C1843" s="8"/>
      <c r="D1843" s="8"/>
      <c r="E1843" s="8"/>
      <c r="F1843" s="8"/>
      <c r="G1843" s="8"/>
      <c r="H1843" s="8"/>
      <c r="I1843" s="8"/>
      <c r="J1843" s="8"/>
      <c r="K1843" s="8"/>
      <c r="L1843" s="8"/>
      <c r="M1843" s="8"/>
      <c r="N1843" s="8"/>
      <c r="O1843" s="8"/>
    </row>
    <row r="1844" ht="13.65" customHeight="1">
      <c r="A1844" s="8"/>
      <c r="B1844" s="8"/>
      <c r="C1844" s="8"/>
      <c r="D1844" s="8"/>
      <c r="E1844" s="8"/>
      <c r="F1844" s="8"/>
      <c r="G1844" s="8"/>
      <c r="H1844" s="8"/>
      <c r="I1844" s="8"/>
      <c r="J1844" s="8"/>
      <c r="K1844" s="8"/>
      <c r="L1844" s="8"/>
      <c r="M1844" s="8"/>
      <c r="N1844" s="8"/>
      <c r="O1844" s="8"/>
    </row>
    <row r="1845" ht="13.65" customHeight="1">
      <c r="A1845" s="8"/>
      <c r="B1845" s="8"/>
      <c r="C1845" s="8"/>
      <c r="D1845" s="8"/>
      <c r="E1845" s="8"/>
      <c r="F1845" s="8"/>
      <c r="G1845" s="8"/>
      <c r="H1845" s="8"/>
      <c r="I1845" s="8"/>
      <c r="J1845" s="8"/>
      <c r="K1845" s="8"/>
      <c r="L1845" s="8"/>
      <c r="M1845" s="8"/>
      <c r="N1845" s="8"/>
      <c r="O1845" s="8"/>
    </row>
    <row r="1846" ht="13.65" customHeight="1">
      <c r="A1846" s="8"/>
      <c r="B1846" s="8"/>
      <c r="C1846" s="8"/>
      <c r="D1846" s="8"/>
      <c r="E1846" s="8"/>
      <c r="F1846" s="8"/>
      <c r="G1846" s="8"/>
      <c r="H1846" s="8"/>
      <c r="I1846" s="8"/>
      <c r="J1846" s="8"/>
      <c r="K1846" s="8"/>
      <c r="L1846" s="8"/>
      <c r="M1846" s="8"/>
      <c r="N1846" s="8"/>
      <c r="O1846" s="8"/>
    </row>
    <row r="1847" ht="13.65" customHeight="1">
      <c r="A1847" s="8"/>
      <c r="B1847" s="8"/>
      <c r="C1847" s="8"/>
      <c r="D1847" s="8"/>
      <c r="E1847" s="8"/>
      <c r="F1847" s="8"/>
      <c r="G1847" s="8"/>
      <c r="H1847" s="8"/>
      <c r="I1847" s="8"/>
      <c r="J1847" s="8"/>
      <c r="K1847" s="8"/>
      <c r="L1847" s="8"/>
      <c r="M1847" s="8"/>
      <c r="N1847" s="8"/>
      <c r="O1847" s="8"/>
    </row>
    <row r="1848" ht="13.65" customHeight="1">
      <c r="A1848" s="8"/>
      <c r="B1848" s="8"/>
      <c r="C1848" s="8"/>
      <c r="D1848" s="8"/>
      <c r="E1848" s="8"/>
      <c r="F1848" s="8"/>
      <c r="G1848" s="8"/>
      <c r="H1848" s="8"/>
      <c r="I1848" s="8"/>
      <c r="J1848" s="8"/>
      <c r="K1848" s="8"/>
      <c r="L1848" s="8"/>
      <c r="M1848" s="8"/>
      <c r="N1848" s="8"/>
      <c r="O1848" s="8"/>
    </row>
    <row r="1849" ht="13.65" customHeight="1">
      <c r="A1849" s="8"/>
      <c r="B1849" s="8"/>
      <c r="C1849" s="8"/>
      <c r="D1849" s="8"/>
      <c r="E1849" s="8"/>
      <c r="F1849" s="8"/>
      <c r="G1849" s="8"/>
      <c r="H1849" s="8"/>
      <c r="I1849" s="8"/>
      <c r="J1849" s="8"/>
      <c r="K1849" s="8"/>
      <c r="L1849" s="8"/>
      <c r="M1849" s="8"/>
      <c r="N1849" s="8"/>
      <c r="O1849" s="8"/>
    </row>
    <row r="1850" ht="13.65" customHeight="1">
      <c r="A1850" s="8"/>
      <c r="B1850" s="8"/>
      <c r="C1850" s="8"/>
      <c r="D1850" s="8"/>
      <c r="E1850" s="8"/>
      <c r="F1850" s="8"/>
      <c r="G1850" s="8"/>
      <c r="H1850" s="8"/>
      <c r="I1850" s="8"/>
      <c r="J1850" s="8"/>
      <c r="K1850" s="8"/>
      <c r="L1850" s="8"/>
      <c r="M1850" s="8"/>
      <c r="N1850" s="8"/>
      <c r="O1850" s="8"/>
    </row>
    <row r="1851" ht="13.65" customHeight="1">
      <c r="A1851" s="8"/>
      <c r="B1851" s="8"/>
      <c r="C1851" s="8"/>
      <c r="D1851" s="8"/>
      <c r="E1851" s="8"/>
      <c r="F1851" s="8"/>
      <c r="G1851" s="8"/>
      <c r="H1851" s="8"/>
      <c r="I1851" s="8"/>
      <c r="J1851" s="8"/>
      <c r="K1851" s="8"/>
      <c r="L1851" s="8"/>
      <c r="M1851" s="8"/>
      <c r="N1851" s="8"/>
      <c r="O1851" s="8"/>
    </row>
    <row r="1852" ht="13.65" customHeight="1">
      <c r="A1852" s="8"/>
      <c r="B1852" s="8"/>
      <c r="C1852" s="8"/>
      <c r="D1852" s="8"/>
      <c r="E1852" s="8"/>
      <c r="F1852" s="8"/>
      <c r="G1852" s="8"/>
      <c r="H1852" s="8"/>
      <c r="I1852" s="8"/>
      <c r="J1852" s="8"/>
      <c r="K1852" s="8"/>
      <c r="L1852" s="8"/>
      <c r="M1852" s="8"/>
      <c r="N1852" s="8"/>
      <c r="O1852" s="8"/>
    </row>
    <row r="1853" ht="13.65" customHeight="1">
      <c r="A1853" s="8"/>
      <c r="B1853" s="8"/>
      <c r="C1853" s="8"/>
      <c r="D1853" s="8"/>
      <c r="E1853" s="8"/>
      <c r="F1853" s="8"/>
      <c r="G1853" s="8"/>
      <c r="H1853" s="8"/>
      <c r="I1853" s="8"/>
      <c r="J1853" s="8"/>
      <c r="K1853" s="8"/>
      <c r="L1853" s="8"/>
      <c r="M1853" s="8"/>
      <c r="N1853" s="8"/>
      <c r="O1853" s="8"/>
    </row>
    <row r="1854" ht="13.65" customHeight="1">
      <c r="A1854" s="8"/>
      <c r="B1854" s="8"/>
      <c r="C1854" s="8"/>
      <c r="D1854" s="8"/>
      <c r="E1854" s="8"/>
      <c r="F1854" s="8"/>
      <c r="G1854" s="8"/>
      <c r="H1854" s="8"/>
      <c r="I1854" s="8"/>
      <c r="J1854" s="8"/>
      <c r="K1854" s="8"/>
      <c r="L1854" s="8"/>
      <c r="M1854" s="8"/>
      <c r="N1854" s="8"/>
      <c r="O1854" s="8"/>
    </row>
    <row r="1855" ht="13.65" customHeight="1">
      <c r="A1855" s="8"/>
      <c r="B1855" s="8"/>
      <c r="C1855" s="8"/>
      <c r="D1855" s="8"/>
      <c r="E1855" s="8"/>
      <c r="F1855" s="8"/>
      <c r="G1855" s="8"/>
      <c r="H1855" s="8"/>
      <c r="I1855" s="8"/>
      <c r="J1855" s="8"/>
      <c r="K1855" s="8"/>
      <c r="L1855" s="8"/>
      <c r="M1855" s="8"/>
      <c r="N1855" s="8"/>
      <c r="O1855" s="8"/>
    </row>
    <row r="1856" ht="13.65" customHeight="1">
      <c r="A1856" s="8"/>
      <c r="B1856" s="8"/>
      <c r="C1856" s="8"/>
      <c r="D1856" s="8"/>
      <c r="E1856" s="8"/>
      <c r="F1856" s="8"/>
      <c r="G1856" s="8"/>
      <c r="H1856" s="8"/>
      <c r="I1856" s="8"/>
      <c r="J1856" s="8"/>
      <c r="K1856" s="8"/>
      <c r="L1856" s="8"/>
      <c r="M1856" s="8"/>
      <c r="N1856" s="8"/>
      <c r="O1856" s="8"/>
    </row>
    <row r="1857" ht="13.65" customHeight="1">
      <c r="A1857" s="8"/>
      <c r="B1857" s="8"/>
      <c r="C1857" s="8"/>
      <c r="D1857" s="8"/>
      <c r="E1857" s="8"/>
      <c r="F1857" s="8"/>
      <c r="G1857" s="8"/>
      <c r="H1857" s="8"/>
      <c r="I1857" s="8"/>
      <c r="J1857" s="8"/>
      <c r="K1857" s="8"/>
      <c r="L1857" s="8"/>
      <c r="M1857" s="8"/>
      <c r="N1857" s="8"/>
      <c r="O1857" s="8"/>
    </row>
    <row r="1858" ht="13.65" customHeight="1">
      <c r="A1858" s="8"/>
      <c r="B1858" s="8"/>
      <c r="C1858" s="8"/>
      <c r="D1858" s="8"/>
      <c r="E1858" s="8"/>
      <c r="F1858" s="8"/>
      <c r="G1858" s="8"/>
      <c r="H1858" s="8"/>
      <c r="I1858" s="8"/>
      <c r="J1858" s="8"/>
      <c r="K1858" s="8"/>
      <c r="L1858" s="8"/>
      <c r="M1858" s="8"/>
      <c r="N1858" s="8"/>
      <c r="O1858" s="8"/>
    </row>
    <row r="1859" ht="13.65" customHeight="1">
      <c r="A1859" s="8"/>
      <c r="B1859" s="8"/>
      <c r="C1859" s="8"/>
      <c r="D1859" s="8"/>
      <c r="E1859" s="8"/>
      <c r="F1859" s="8"/>
      <c r="G1859" s="8"/>
      <c r="H1859" s="8"/>
      <c r="I1859" s="8"/>
      <c r="J1859" s="8"/>
      <c r="K1859" s="8"/>
      <c r="L1859" s="8"/>
      <c r="M1859" s="8"/>
      <c r="N1859" s="8"/>
      <c r="O1859" s="8"/>
    </row>
    <row r="1860" ht="13.65" customHeight="1">
      <c r="A1860" s="8"/>
      <c r="B1860" s="8"/>
      <c r="C1860" s="8"/>
      <c r="D1860" s="8"/>
      <c r="E1860" s="8"/>
      <c r="F1860" s="8"/>
      <c r="G1860" s="8"/>
      <c r="H1860" s="8"/>
      <c r="I1860" s="8"/>
      <c r="J1860" s="8"/>
      <c r="K1860" s="8"/>
      <c r="L1860" s="8"/>
      <c r="M1860" s="8"/>
      <c r="N1860" s="8"/>
      <c r="O1860" s="8"/>
    </row>
    <row r="1861" ht="13.65" customHeight="1">
      <c r="A1861" s="8"/>
      <c r="B1861" s="8"/>
      <c r="C1861" s="8"/>
      <c r="D1861" s="8"/>
      <c r="E1861" s="8"/>
      <c r="F1861" s="8"/>
      <c r="G1861" s="8"/>
      <c r="H1861" s="8"/>
      <c r="I1861" s="8"/>
      <c r="J1861" s="8"/>
      <c r="K1861" s="8"/>
      <c r="L1861" s="8"/>
      <c r="M1861" s="8"/>
      <c r="N1861" s="8"/>
      <c r="O1861" s="8"/>
    </row>
    <row r="1862" ht="13.65" customHeight="1">
      <c r="A1862" s="8"/>
      <c r="B1862" s="8"/>
      <c r="C1862" s="8"/>
      <c r="D1862" s="8"/>
      <c r="E1862" s="8"/>
      <c r="F1862" s="8"/>
      <c r="G1862" s="8"/>
      <c r="H1862" s="8"/>
      <c r="I1862" s="8"/>
      <c r="J1862" s="8"/>
      <c r="K1862" s="8"/>
      <c r="L1862" s="8"/>
      <c r="M1862" s="8"/>
      <c r="N1862" s="8"/>
      <c r="O1862" s="8"/>
    </row>
    <row r="1863" ht="13.65" customHeight="1">
      <c r="A1863" s="8"/>
      <c r="B1863" s="8"/>
      <c r="C1863" s="8"/>
      <c r="D1863" s="8"/>
      <c r="E1863" s="8"/>
      <c r="F1863" s="8"/>
      <c r="G1863" s="8"/>
      <c r="H1863" s="8"/>
      <c r="I1863" s="8"/>
      <c r="J1863" s="8"/>
      <c r="K1863" s="8"/>
      <c r="L1863" s="8"/>
      <c r="M1863" s="8"/>
      <c r="N1863" s="8"/>
      <c r="O1863" s="8"/>
    </row>
    <row r="1864" ht="13.65" customHeight="1">
      <c r="A1864" s="8"/>
      <c r="B1864" s="8"/>
      <c r="C1864" s="8"/>
      <c r="D1864" s="8"/>
      <c r="E1864" s="8"/>
      <c r="F1864" s="8"/>
      <c r="G1864" s="8"/>
      <c r="H1864" s="8"/>
      <c r="I1864" s="8"/>
      <c r="J1864" s="8"/>
      <c r="K1864" s="8"/>
      <c r="L1864" s="8"/>
      <c r="M1864" s="8"/>
      <c r="N1864" s="8"/>
      <c r="O1864" s="8"/>
    </row>
    <row r="1865" ht="13.65" customHeight="1">
      <c r="A1865" s="8"/>
      <c r="B1865" s="8"/>
      <c r="C1865" s="8"/>
      <c r="D1865" s="8"/>
      <c r="E1865" s="8"/>
      <c r="F1865" s="8"/>
      <c r="G1865" s="8"/>
      <c r="H1865" s="8"/>
      <c r="I1865" s="8"/>
      <c r="J1865" s="8"/>
      <c r="K1865" s="8"/>
      <c r="L1865" s="8"/>
      <c r="M1865" s="8"/>
      <c r="N1865" s="8"/>
      <c r="O1865" s="8"/>
    </row>
    <row r="1866" ht="13.65" customHeight="1">
      <c r="A1866" s="8"/>
      <c r="B1866" s="8"/>
      <c r="C1866" s="8"/>
      <c r="D1866" s="8"/>
      <c r="E1866" s="8"/>
      <c r="F1866" s="8"/>
      <c r="G1866" s="8"/>
      <c r="H1866" s="8"/>
      <c r="I1866" s="8"/>
      <c r="J1866" s="8"/>
      <c r="K1866" s="8"/>
      <c r="L1866" s="8"/>
      <c r="M1866" s="8"/>
      <c r="N1866" s="8"/>
      <c r="O1866" s="8"/>
    </row>
    <row r="1867" ht="13.65" customHeight="1">
      <c r="A1867" s="8"/>
      <c r="B1867" s="8"/>
      <c r="C1867" s="8"/>
      <c r="D1867" s="8"/>
      <c r="E1867" s="8"/>
      <c r="F1867" s="8"/>
      <c r="G1867" s="8"/>
      <c r="H1867" s="8"/>
      <c r="I1867" s="8"/>
      <c r="J1867" s="8"/>
      <c r="K1867" s="8"/>
      <c r="L1867" s="8"/>
      <c r="M1867" s="8"/>
      <c r="N1867" s="8"/>
      <c r="O1867" s="8"/>
    </row>
    <row r="1868" ht="13.65" customHeight="1">
      <c r="A1868" s="8"/>
      <c r="B1868" s="8"/>
      <c r="C1868" s="8"/>
      <c r="D1868" s="8"/>
      <c r="E1868" s="8"/>
      <c r="F1868" s="8"/>
      <c r="G1868" s="8"/>
      <c r="H1868" s="8"/>
      <c r="I1868" s="8"/>
      <c r="J1868" s="8"/>
      <c r="K1868" s="8"/>
      <c r="L1868" s="8"/>
      <c r="M1868" s="8"/>
      <c r="N1868" s="8"/>
      <c r="O1868" s="8"/>
    </row>
    <row r="1869" ht="13.65" customHeight="1">
      <c r="A1869" s="8"/>
      <c r="B1869" s="8"/>
      <c r="C1869" s="8"/>
      <c r="D1869" s="8"/>
      <c r="E1869" s="8"/>
      <c r="F1869" s="8"/>
      <c r="G1869" s="8"/>
      <c r="H1869" s="8"/>
      <c r="I1869" s="8"/>
      <c r="J1869" s="8"/>
      <c r="K1869" s="8"/>
      <c r="L1869" s="8"/>
      <c r="M1869" s="8"/>
      <c r="N1869" s="8"/>
      <c r="O1869" s="8"/>
    </row>
    <row r="1870" ht="13.65" customHeight="1">
      <c r="A1870" s="8"/>
      <c r="B1870" s="8"/>
      <c r="C1870" s="8"/>
      <c r="D1870" s="8"/>
      <c r="E1870" s="8"/>
      <c r="F1870" s="8"/>
      <c r="G1870" s="8"/>
      <c r="H1870" s="8"/>
      <c r="I1870" s="8"/>
      <c r="J1870" s="8"/>
      <c r="K1870" s="8"/>
      <c r="L1870" s="8"/>
      <c r="M1870" s="8"/>
      <c r="N1870" s="8"/>
      <c r="O1870" s="8"/>
    </row>
    <row r="1871" ht="13.65" customHeight="1">
      <c r="A1871" s="8"/>
      <c r="B1871" s="8"/>
      <c r="C1871" s="8"/>
      <c r="D1871" s="8"/>
      <c r="E1871" s="8"/>
      <c r="F1871" s="8"/>
      <c r="G1871" s="8"/>
      <c r="H1871" s="8"/>
      <c r="I1871" s="8"/>
      <c r="J1871" s="8"/>
      <c r="K1871" s="8"/>
      <c r="L1871" s="8"/>
      <c r="M1871" s="8"/>
      <c r="N1871" s="8"/>
      <c r="O1871" s="8"/>
    </row>
    <row r="1872" ht="13.65" customHeight="1">
      <c r="A1872" s="8"/>
      <c r="B1872" s="8"/>
      <c r="C1872" s="8"/>
      <c r="D1872" s="8"/>
      <c r="E1872" s="8"/>
      <c r="F1872" s="8"/>
      <c r="G1872" s="8"/>
      <c r="H1872" s="8"/>
      <c r="I1872" s="8"/>
      <c r="J1872" s="8"/>
      <c r="K1872" s="8"/>
      <c r="L1872" s="8"/>
      <c r="M1872" s="8"/>
      <c r="N1872" s="8"/>
      <c r="O1872" s="8"/>
    </row>
    <row r="1873" ht="13.65" customHeight="1">
      <c r="A1873" s="8"/>
      <c r="B1873" s="8"/>
      <c r="C1873" s="8"/>
      <c r="D1873" s="8"/>
      <c r="E1873" s="8"/>
      <c r="F1873" s="8"/>
      <c r="G1873" s="8"/>
      <c r="H1873" s="8"/>
      <c r="I1873" s="8"/>
      <c r="J1873" s="8"/>
      <c r="K1873" s="8"/>
      <c r="L1873" s="8"/>
      <c r="M1873" s="8"/>
      <c r="N1873" s="8"/>
      <c r="O1873" s="8"/>
    </row>
    <row r="1874" ht="13.65" customHeight="1">
      <c r="A1874" s="8"/>
      <c r="B1874" s="8"/>
      <c r="C1874" s="8"/>
      <c r="D1874" s="8"/>
      <c r="E1874" s="8"/>
      <c r="F1874" s="8"/>
      <c r="G1874" s="8"/>
      <c r="H1874" s="8"/>
      <c r="I1874" s="8"/>
      <c r="J1874" s="8"/>
      <c r="K1874" s="8"/>
      <c r="L1874" s="8"/>
      <c r="M1874" s="8"/>
      <c r="N1874" s="8"/>
      <c r="O1874" s="8"/>
    </row>
    <row r="1875" ht="13.65" customHeight="1">
      <c r="A1875" s="8"/>
      <c r="B1875" s="8"/>
      <c r="C1875" s="8"/>
      <c r="D1875" s="8"/>
      <c r="E1875" s="8"/>
      <c r="F1875" s="8"/>
      <c r="G1875" s="8"/>
      <c r="H1875" s="8"/>
      <c r="I1875" s="8"/>
      <c r="J1875" s="8"/>
      <c r="K1875" s="8"/>
      <c r="L1875" s="8"/>
      <c r="M1875" s="8"/>
      <c r="N1875" s="8"/>
      <c r="O1875" s="8"/>
    </row>
    <row r="1876" ht="13.65" customHeight="1">
      <c r="A1876" s="8"/>
      <c r="B1876" s="8"/>
      <c r="C1876" s="8"/>
      <c r="D1876" s="8"/>
      <c r="E1876" s="8"/>
      <c r="F1876" s="8"/>
      <c r="G1876" s="8"/>
      <c r="H1876" s="8"/>
      <c r="I1876" s="8"/>
      <c r="J1876" s="8"/>
      <c r="K1876" s="8"/>
      <c r="L1876" s="8"/>
      <c r="M1876" s="8"/>
      <c r="N1876" s="8"/>
      <c r="O1876" s="8"/>
    </row>
    <row r="1877" ht="13.65" customHeight="1">
      <c r="A1877" s="8"/>
      <c r="B1877" s="8"/>
      <c r="C1877" s="8"/>
      <c r="D1877" s="8"/>
      <c r="E1877" s="8"/>
      <c r="F1877" s="8"/>
      <c r="G1877" s="8"/>
      <c r="H1877" s="8"/>
      <c r="I1877" s="8"/>
      <c r="J1877" s="8"/>
      <c r="K1877" s="8"/>
      <c r="L1877" s="8"/>
      <c r="M1877" s="8"/>
      <c r="N1877" s="8"/>
      <c r="O1877" s="8"/>
    </row>
    <row r="1878" ht="13.65" customHeight="1">
      <c r="A1878" s="8"/>
      <c r="B1878" s="8"/>
      <c r="C1878" s="8"/>
      <c r="D1878" s="8"/>
      <c r="E1878" s="8"/>
      <c r="F1878" s="8"/>
      <c r="G1878" s="8"/>
      <c r="H1878" s="8"/>
      <c r="I1878" s="8"/>
      <c r="J1878" s="8"/>
      <c r="K1878" s="8"/>
      <c r="L1878" s="8"/>
      <c r="M1878" s="8"/>
      <c r="N1878" s="8"/>
      <c r="O1878" s="8"/>
    </row>
    <row r="1879" ht="13.65" customHeight="1">
      <c r="A1879" s="8"/>
      <c r="B1879" s="8"/>
      <c r="C1879" s="8"/>
      <c r="D1879" s="8"/>
      <c r="E1879" s="8"/>
      <c r="F1879" s="8"/>
      <c r="G1879" s="8"/>
      <c r="H1879" s="8"/>
      <c r="I1879" s="8"/>
      <c r="J1879" s="8"/>
      <c r="K1879" s="8"/>
      <c r="L1879" s="8"/>
      <c r="M1879" s="8"/>
      <c r="N1879" s="8"/>
      <c r="O1879" s="8"/>
    </row>
    <row r="1880" ht="13.65" customHeight="1">
      <c r="A1880" s="8"/>
      <c r="B1880" s="8"/>
      <c r="C1880" s="8"/>
      <c r="D1880" s="8"/>
      <c r="E1880" s="8"/>
      <c r="F1880" s="8"/>
      <c r="G1880" s="8"/>
      <c r="H1880" s="8"/>
      <c r="I1880" s="8"/>
      <c r="J1880" s="8"/>
      <c r="K1880" s="8"/>
      <c r="L1880" s="8"/>
      <c r="M1880" s="8"/>
      <c r="N1880" s="8"/>
      <c r="O1880" s="8"/>
    </row>
    <row r="1881" ht="13.65" customHeight="1">
      <c r="A1881" s="8"/>
      <c r="B1881" s="8"/>
      <c r="C1881" s="8"/>
      <c r="D1881" s="8"/>
      <c r="E1881" s="8"/>
      <c r="F1881" s="8"/>
      <c r="G1881" s="8"/>
      <c r="H1881" s="8"/>
      <c r="I1881" s="8"/>
      <c r="J1881" s="8"/>
      <c r="K1881" s="8"/>
      <c r="L1881" s="8"/>
      <c r="M1881" s="8"/>
      <c r="N1881" s="8"/>
      <c r="O1881" s="8"/>
    </row>
    <row r="1882" ht="13.65" customHeight="1">
      <c r="A1882" s="8"/>
      <c r="B1882" s="8"/>
      <c r="C1882" s="8"/>
      <c r="D1882" s="8"/>
      <c r="E1882" s="8"/>
      <c r="F1882" s="8"/>
      <c r="G1882" s="8"/>
      <c r="H1882" s="8"/>
      <c r="I1882" s="8"/>
      <c r="J1882" s="8"/>
      <c r="K1882" s="8"/>
      <c r="L1882" s="8"/>
      <c r="M1882" s="8"/>
      <c r="N1882" s="8"/>
      <c r="O1882" s="8"/>
    </row>
    <row r="1883" ht="13.65" customHeight="1">
      <c r="A1883" s="8"/>
      <c r="B1883" s="8"/>
      <c r="C1883" s="8"/>
      <c r="D1883" s="8"/>
      <c r="E1883" s="8"/>
      <c r="F1883" s="8"/>
      <c r="G1883" s="8"/>
      <c r="H1883" s="8"/>
      <c r="I1883" s="8"/>
      <c r="J1883" s="8"/>
      <c r="K1883" s="8"/>
      <c r="L1883" s="8"/>
      <c r="M1883" s="8"/>
      <c r="N1883" s="8"/>
      <c r="O1883" s="8"/>
    </row>
    <row r="1884" ht="13.65" customHeight="1">
      <c r="A1884" s="8"/>
      <c r="B1884" s="8"/>
      <c r="C1884" s="8"/>
      <c r="D1884" s="8"/>
      <c r="E1884" s="8"/>
      <c r="F1884" s="8"/>
      <c r="G1884" s="8"/>
      <c r="H1884" s="8"/>
      <c r="I1884" s="8"/>
      <c r="J1884" s="8"/>
      <c r="K1884" s="8"/>
      <c r="L1884" s="8"/>
      <c r="M1884" s="8"/>
      <c r="N1884" s="8"/>
      <c r="O1884" s="8"/>
    </row>
    <row r="1885" ht="13.65" customHeight="1">
      <c r="A1885" s="8"/>
      <c r="B1885" s="8"/>
      <c r="C1885" s="8"/>
      <c r="D1885" s="8"/>
      <c r="E1885" s="8"/>
      <c r="F1885" s="8"/>
      <c r="G1885" s="8"/>
      <c r="H1885" s="8"/>
      <c r="I1885" s="8"/>
      <c r="J1885" s="8"/>
      <c r="K1885" s="8"/>
      <c r="L1885" s="8"/>
      <c r="M1885" s="8"/>
      <c r="N1885" s="8"/>
      <c r="O1885" s="8"/>
    </row>
    <row r="1886" ht="13.65" customHeight="1">
      <c r="A1886" s="8"/>
      <c r="B1886" s="8"/>
      <c r="C1886" s="8"/>
      <c r="D1886" s="8"/>
      <c r="E1886" s="8"/>
      <c r="F1886" s="8"/>
      <c r="G1886" s="8"/>
      <c r="H1886" s="8"/>
      <c r="I1886" s="8"/>
      <c r="J1886" s="8"/>
      <c r="K1886" s="8"/>
      <c r="L1886" s="8"/>
      <c r="M1886" s="8"/>
      <c r="N1886" s="8"/>
      <c r="O1886" s="8"/>
    </row>
    <row r="1887" ht="13.65" customHeight="1">
      <c r="A1887" s="8"/>
      <c r="B1887" s="8"/>
      <c r="C1887" s="8"/>
      <c r="D1887" s="8"/>
      <c r="E1887" s="8"/>
      <c r="F1887" s="8"/>
      <c r="G1887" s="8"/>
      <c r="H1887" s="8"/>
      <c r="I1887" s="8"/>
      <c r="J1887" s="8"/>
      <c r="K1887" s="8"/>
      <c r="L1887" s="8"/>
      <c r="M1887" s="8"/>
      <c r="N1887" s="8"/>
      <c r="O1887" s="8"/>
    </row>
    <row r="1888" ht="13.65" customHeight="1">
      <c r="A1888" s="8"/>
      <c r="B1888" s="8"/>
      <c r="C1888" s="8"/>
      <c r="D1888" s="8"/>
      <c r="E1888" s="8"/>
      <c r="F1888" s="8"/>
      <c r="G1888" s="8"/>
      <c r="H1888" s="8"/>
      <c r="I1888" s="8"/>
      <c r="J1888" s="8"/>
      <c r="K1888" s="8"/>
      <c r="L1888" s="8"/>
      <c r="M1888" s="8"/>
      <c r="N1888" s="8"/>
      <c r="O1888" s="8"/>
    </row>
    <row r="1889" ht="13.65" customHeight="1">
      <c r="A1889" s="8"/>
      <c r="B1889" s="8"/>
      <c r="C1889" s="8"/>
      <c r="D1889" s="8"/>
      <c r="E1889" s="8"/>
      <c r="F1889" s="8"/>
      <c r="G1889" s="8"/>
      <c r="H1889" s="8"/>
      <c r="I1889" s="8"/>
      <c r="J1889" s="8"/>
      <c r="K1889" s="8"/>
      <c r="L1889" s="8"/>
      <c r="M1889" s="8"/>
      <c r="N1889" s="8"/>
      <c r="O1889" s="8"/>
    </row>
    <row r="1890" ht="13.65" customHeight="1">
      <c r="A1890" s="8"/>
      <c r="B1890" s="8"/>
      <c r="C1890" s="8"/>
      <c r="D1890" s="8"/>
      <c r="E1890" s="8"/>
      <c r="F1890" s="8"/>
      <c r="G1890" s="8"/>
      <c r="H1890" s="8"/>
      <c r="I1890" s="8"/>
      <c r="J1890" s="8"/>
      <c r="K1890" s="8"/>
      <c r="L1890" s="8"/>
      <c r="M1890" s="8"/>
      <c r="N1890" s="8"/>
      <c r="O1890" s="8"/>
    </row>
    <row r="1891" ht="13.65" customHeight="1">
      <c r="A1891" s="8"/>
      <c r="B1891" s="8"/>
      <c r="C1891" s="8"/>
      <c r="D1891" s="8"/>
      <c r="E1891" s="8"/>
      <c r="F1891" s="8"/>
      <c r="G1891" s="8"/>
      <c r="H1891" s="8"/>
      <c r="I1891" s="8"/>
      <c r="J1891" s="8"/>
      <c r="K1891" s="8"/>
      <c r="L1891" s="8"/>
      <c r="M1891" s="8"/>
      <c r="N1891" s="8"/>
      <c r="O1891" s="8"/>
    </row>
    <row r="1892" ht="13.65" customHeight="1">
      <c r="A1892" s="8"/>
      <c r="B1892" s="8"/>
      <c r="C1892" s="8"/>
      <c r="D1892" s="8"/>
      <c r="E1892" s="8"/>
      <c r="F1892" s="8"/>
      <c r="G1892" s="8"/>
      <c r="H1892" s="8"/>
      <c r="I1892" s="8"/>
      <c r="J1892" s="8"/>
      <c r="K1892" s="8"/>
      <c r="L1892" s="8"/>
      <c r="M1892" s="8"/>
      <c r="N1892" s="8"/>
      <c r="O1892" s="8"/>
    </row>
    <row r="1893" ht="13.65" customHeight="1">
      <c r="A1893" s="8"/>
      <c r="B1893" s="8"/>
      <c r="C1893" s="8"/>
      <c r="D1893" s="8"/>
      <c r="E1893" s="8"/>
      <c r="F1893" s="8"/>
      <c r="G1893" s="8"/>
      <c r="H1893" s="8"/>
      <c r="I1893" s="8"/>
      <c r="J1893" s="8"/>
      <c r="K1893" s="8"/>
      <c r="L1893" s="8"/>
      <c r="M1893" s="8"/>
      <c r="N1893" s="8"/>
      <c r="O1893" s="8"/>
    </row>
    <row r="1894" ht="13.65" customHeight="1">
      <c r="A1894" s="8"/>
      <c r="B1894" s="8"/>
      <c r="C1894" s="8"/>
      <c r="D1894" s="8"/>
      <c r="E1894" s="8"/>
      <c r="F1894" s="8"/>
      <c r="G1894" s="8"/>
      <c r="H1894" s="8"/>
      <c r="I1894" s="8"/>
      <c r="J1894" s="8"/>
      <c r="K1894" s="8"/>
      <c r="L1894" s="8"/>
      <c r="M1894" s="8"/>
      <c r="N1894" s="8"/>
      <c r="O1894" s="8"/>
    </row>
    <row r="1895" ht="13.65" customHeight="1">
      <c r="A1895" s="8"/>
      <c r="B1895" s="8"/>
      <c r="C1895" s="8"/>
      <c r="D1895" s="8"/>
      <c r="E1895" s="8"/>
      <c r="F1895" s="8"/>
      <c r="G1895" s="8"/>
      <c r="H1895" s="8"/>
      <c r="I1895" s="8"/>
      <c r="J1895" s="8"/>
      <c r="K1895" s="8"/>
      <c r="L1895" s="8"/>
      <c r="M1895" s="8"/>
      <c r="N1895" s="8"/>
      <c r="O1895" s="8"/>
    </row>
    <row r="1896" ht="13.65" customHeight="1">
      <c r="A1896" s="8"/>
      <c r="B1896" s="8"/>
      <c r="C1896" s="8"/>
      <c r="D1896" s="8"/>
      <c r="E1896" s="8"/>
      <c r="F1896" s="8"/>
      <c r="G1896" s="8"/>
      <c r="H1896" s="8"/>
      <c r="I1896" s="8"/>
      <c r="J1896" s="8"/>
      <c r="K1896" s="8"/>
      <c r="L1896" s="8"/>
      <c r="M1896" s="8"/>
      <c r="N1896" s="8"/>
      <c r="O1896" s="8"/>
    </row>
    <row r="1897" ht="13.65" customHeight="1">
      <c r="A1897" s="8"/>
      <c r="B1897" s="8"/>
      <c r="C1897" s="8"/>
      <c r="D1897" s="8"/>
      <c r="E1897" s="8"/>
      <c r="F1897" s="8"/>
      <c r="G1897" s="8"/>
      <c r="H1897" s="8"/>
      <c r="I1897" s="8"/>
      <c r="J1897" s="8"/>
      <c r="K1897" s="8"/>
      <c r="L1897" s="8"/>
      <c r="M1897" s="8"/>
      <c r="N1897" s="8"/>
      <c r="O1897" s="8"/>
    </row>
    <row r="1898" ht="13.65" customHeight="1">
      <c r="A1898" s="8"/>
      <c r="B1898" s="8"/>
      <c r="C1898" s="8"/>
      <c r="D1898" s="8"/>
      <c r="E1898" s="8"/>
      <c r="F1898" s="8"/>
      <c r="G1898" s="8"/>
      <c r="H1898" s="8"/>
      <c r="I1898" s="8"/>
      <c r="J1898" s="8"/>
      <c r="K1898" s="8"/>
      <c r="L1898" s="8"/>
      <c r="M1898" s="8"/>
      <c r="N1898" s="8"/>
      <c r="O1898" s="8"/>
    </row>
    <row r="1899" ht="13.65" customHeight="1">
      <c r="A1899" s="8"/>
      <c r="B1899" s="8"/>
      <c r="C1899" s="8"/>
      <c r="D1899" s="8"/>
      <c r="E1899" s="8"/>
      <c r="F1899" s="8"/>
      <c r="G1899" s="8"/>
      <c r="H1899" s="8"/>
      <c r="I1899" s="8"/>
      <c r="J1899" s="8"/>
      <c r="K1899" s="8"/>
      <c r="L1899" s="8"/>
      <c r="M1899" s="8"/>
      <c r="N1899" s="8"/>
      <c r="O1899" s="8"/>
    </row>
    <row r="1900" ht="13.65" customHeight="1">
      <c r="A1900" s="8"/>
      <c r="B1900" s="8"/>
      <c r="C1900" s="8"/>
      <c r="D1900" s="8"/>
      <c r="E1900" s="8"/>
      <c r="F1900" s="8"/>
      <c r="G1900" s="8"/>
      <c r="H1900" s="8"/>
      <c r="I1900" s="8"/>
      <c r="J1900" s="8"/>
      <c r="K1900" s="8"/>
      <c r="L1900" s="8"/>
      <c r="M1900" s="8"/>
      <c r="N1900" s="8"/>
      <c r="O1900" s="8"/>
    </row>
    <row r="1901" ht="13.65" customHeight="1">
      <c r="A1901" s="8"/>
      <c r="B1901" s="8"/>
      <c r="C1901" s="8"/>
      <c r="D1901" s="8"/>
      <c r="E1901" s="8"/>
      <c r="F1901" s="8"/>
      <c r="G1901" s="8"/>
      <c r="H1901" s="8"/>
      <c r="I1901" s="8"/>
      <c r="J1901" s="8"/>
      <c r="K1901" s="8"/>
      <c r="L1901" s="8"/>
      <c r="M1901" s="8"/>
      <c r="N1901" s="8"/>
      <c r="O1901" s="8"/>
    </row>
    <row r="1902" ht="13.65" customHeight="1">
      <c r="A1902" s="8"/>
      <c r="B1902" s="8"/>
      <c r="C1902" s="8"/>
      <c r="D1902" s="8"/>
      <c r="E1902" s="8"/>
      <c r="F1902" s="8"/>
      <c r="G1902" s="8"/>
      <c r="H1902" s="8"/>
      <c r="I1902" s="8"/>
      <c r="J1902" s="8"/>
      <c r="K1902" s="8"/>
      <c r="L1902" s="8"/>
      <c r="M1902" s="8"/>
      <c r="N1902" s="8"/>
      <c r="O1902" s="8"/>
    </row>
    <row r="1903" ht="13.65" customHeight="1">
      <c r="A1903" s="8"/>
      <c r="B1903" s="8"/>
      <c r="C1903" s="8"/>
      <c r="D1903" s="8"/>
      <c r="E1903" s="8"/>
      <c r="F1903" s="8"/>
      <c r="G1903" s="8"/>
      <c r="H1903" s="8"/>
      <c r="I1903" s="8"/>
      <c r="J1903" s="8"/>
      <c r="K1903" s="8"/>
      <c r="L1903" s="8"/>
      <c r="M1903" s="8"/>
      <c r="N1903" s="8"/>
      <c r="O1903" s="8"/>
    </row>
    <row r="1904" ht="13.65" customHeight="1">
      <c r="A1904" s="8"/>
      <c r="B1904" s="8"/>
      <c r="C1904" s="8"/>
      <c r="D1904" s="8"/>
      <c r="E1904" s="8"/>
      <c r="F1904" s="8"/>
      <c r="G1904" s="8"/>
      <c r="H1904" s="8"/>
      <c r="I1904" s="8"/>
      <c r="J1904" s="8"/>
      <c r="K1904" s="8"/>
      <c r="L1904" s="8"/>
      <c r="M1904" s="8"/>
      <c r="N1904" s="8"/>
      <c r="O1904" s="8"/>
    </row>
    <row r="1905" ht="13.65" customHeight="1">
      <c r="A1905" s="8"/>
      <c r="B1905" s="8"/>
      <c r="C1905" s="8"/>
      <c r="D1905" s="8"/>
      <c r="E1905" s="8"/>
      <c r="F1905" s="8"/>
      <c r="G1905" s="8"/>
      <c r="H1905" s="8"/>
      <c r="I1905" s="8"/>
      <c r="J1905" s="8"/>
      <c r="K1905" s="8"/>
      <c r="L1905" s="8"/>
      <c r="M1905" s="8"/>
      <c r="N1905" s="8"/>
      <c r="O1905" s="8"/>
    </row>
    <row r="1906" ht="13.65" customHeight="1">
      <c r="A1906" s="8"/>
      <c r="B1906" s="8"/>
      <c r="C1906" s="8"/>
      <c r="D1906" s="8"/>
      <c r="E1906" s="8"/>
      <c r="F1906" s="8"/>
      <c r="G1906" s="8"/>
      <c r="H1906" s="8"/>
      <c r="I1906" s="8"/>
      <c r="J1906" s="8"/>
      <c r="K1906" s="8"/>
      <c r="L1906" s="8"/>
      <c r="M1906" s="8"/>
      <c r="N1906" s="8"/>
      <c r="O1906" s="8"/>
    </row>
    <row r="1907" ht="13.65" customHeight="1">
      <c r="A1907" s="8"/>
      <c r="B1907" s="8"/>
      <c r="C1907" s="8"/>
      <c r="D1907" s="8"/>
      <c r="E1907" s="8"/>
      <c r="F1907" s="8"/>
      <c r="G1907" s="8"/>
      <c r="H1907" s="8"/>
      <c r="I1907" s="8"/>
      <c r="J1907" s="8"/>
      <c r="K1907" s="8"/>
      <c r="L1907" s="8"/>
      <c r="M1907" s="8"/>
      <c r="N1907" s="8"/>
      <c r="O1907" s="8"/>
    </row>
    <row r="1908" ht="13.65" customHeight="1">
      <c r="A1908" s="8"/>
      <c r="B1908" s="8"/>
      <c r="C1908" s="8"/>
      <c r="D1908" s="8"/>
      <c r="E1908" s="8"/>
      <c r="F1908" s="8"/>
      <c r="G1908" s="8"/>
      <c r="H1908" s="8"/>
      <c r="I1908" s="8"/>
      <c r="J1908" s="8"/>
      <c r="K1908" s="8"/>
      <c r="L1908" s="8"/>
      <c r="M1908" s="8"/>
      <c r="N1908" s="8"/>
      <c r="O1908" s="8"/>
    </row>
    <row r="1909" ht="13.65" customHeight="1">
      <c r="A1909" s="8"/>
      <c r="B1909" s="8"/>
      <c r="C1909" s="8"/>
      <c r="D1909" s="8"/>
      <c r="E1909" s="8"/>
      <c r="F1909" s="8"/>
      <c r="G1909" s="8"/>
      <c r="H1909" s="8"/>
      <c r="I1909" s="8"/>
      <c r="J1909" s="8"/>
      <c r="K1909" s="8"/>
      <c r="L1909" s="8"/>
      <c r="M1909" s="8"/>
      <c r="N1909" s="8"/>
      <c r="O1909" s="8"/>
    </row>
    <row r="1910" ht="13.65" customHeight="1">
      <c r="A1910" s="8"/>
      <c r="B1910" s="8"/>
      <c r="C1910" s="8"/>
      <c r="D1910" s="8"/>
      <c r="E1910" s="8"/>
      <c r="F1910" s="8"/>
      <c r="G1910" s="8"/>
      <c r="H1910" s="8"/>
      <c r="I1910" s="8"/>
      <c r="J1910" s="8"/>
      <c r="K1910" s="8"/>
      <c r="L1910" s="8"/>
      <c r="M1910" s="8"/>
      <c r="N1910" s="8"/>
      <c r="O1910" s="8"/>
    </row>
    <row r="1911" ht="13.65" customHeight="1">
      <c r="A1911" s="8"/>
      <c r="B1911" s="8"/>
      <c r="C1911" s="8"/>
      <c r="D1911" s="8"/>
      <c r="E1911" s="8"/>
      <c r="F1911" s="8"/>
      <c r="G1911" s="8"/>
      <c r="H1911" s="8"/>
      <c r="I1911" s="8"/>
      <c r="J1911" s="8"/>
      <c r="K1911" s="8"/>
      <c r="L1911" s="8"/>
      <c r="M1911" s="8"/>
      <c r="N1911" s="8"/>
      <c r="O1911" s="8"/>
    </row>
    <row r="1912" ht="13.65" customHeight="1">
      <c r="A1912" s="8"/>
      <c r="B1912" s="8"/>
      <c r="C1912" s="8"/>
      <c r="D1912" s="8"/>
      <c r="E1912" s="8"/>
      <c r="F1912" s="8"/>
      <c r="G1912" s="8"/>
      <c r="H1912" s="8"/>
      <c r="I1912" s="8"/>
      <c r="J1912" s="8"/>
      <c r="K1912" s="8"/>
      <c r="L1912" s="8"/>
      <c r="M1912" s="8"/>
      <c r="N1912" s="8"/>
      <c r="O1912" s="8"/>
    </row>
    <row r="1913" ht="13.65" customHeight="1">
      <c r="A1913" s="8"/>
      <c r="B1913" s="8"/>
      <c r="C1913" s="8"/>
      <c r="D1913" s="8"/>
      <c r="E1913" s="8"/>
      <c r="F1913" s="8"/>
      <c r="G1913" s="8"/>
      <c r="H1913" s="8"/>
      <c r="I1913" s="8"/>
      <c r="J1913" s="8"/>
      <c r="K1913" s="8"/>
      <c r="L1913" s="8"/>
      <c r="M1913" s="8"/>
      <c r="N1913" s="8"/>
      <c r="O1913" s="8"/>
    </row>
    <row r="1914" ht="13.65" customHeight="1">
      <c r="A1914" s="8"/>
      <c r="B1914" s="8"/>
      <c r="C1914" s="8"/>
      <c r="D1914" s="8"/>
      <c r="E1914" s="8"/>
      <c r="F1914" s="8"/>
      <c r="G1914" s="8"/>
      <c r="H1914" s="8"/>
      <c r="I1914" s="8"/>
      <c r="J1914" s="8"/>
      <c r="K1914" s="8"/>
      <c r="L1914" s="8"/>
      <c r="M1914" s="8"/>
      <c r="N1914" s="8"/>
      <c r="O1914" s="8"/>
    </row>
    <row r="1915" ht="13.65" customHeight="1">
      <c r="A1915" s="8"/>
      <c r="B1915" s="8"/>
      <c r="C1915" s="8"/>
      <c r="D1915" s="8"/>
      <c r="E1915" s="8"/>
      <c r="F1915" s="8"/>
      <c r="G1915" s="8"/>
      <c r="H1915" s="8"/>
      <c r="I1915" s="8"/>
      <c r="J1915" s="8"/>
      <c r="K1915" s="8"/>
      <c r="L1915" s="8"/>
      <c r="M1915" s="8"/>
      <c r="N1915" s="8"/>
      <c r="O1915" s="8"/>
    </row>
    <row r="1916" ht="13.65" customHeight="1">
      <c r="A1916" s="8"/>
      <c r="B1916" s="8"/>
      <c r="C1916" s="8"/>
      <c r="D1916" s="8"/>
      <c r="E1916" s="8"/>
      <c r="F1916" s="8"/>
      <c r="G1916" s="8"/>
      <c r="H1916" s="8"/>
      <c r="I1916" s="8"/>
      <c r="J1916" s="8"/>
      <c r="K1916" s="8"/>
      <c r="L1916" s="8"/>
      <c r="M1916" s="8"/>
      <c r="N1916" s="8"/>
      <c r="O1916" s="8"/>
    </row>
    <row r="1917" ht="13.65" customHeight="1">
      <c r="A1917" s="8"/>
      <c r="B1917" s="8"/>
      <c r="C1917" s="8"/>
      <c r="D1917" s="8"/>
      <c r="E1917" s="8"/>
      <c r="F1917" s="8"/>
      <c r="G1917" s="8"/>
      <c r="H1917" s="8"/>
      <c r="I1917" s="8"/>
      <c r="J1917" s="8"/>
      <c r="K1917" s="8"/>
      <c r="L1917" s="8"/>
      <c r="M1917" s="8"/>
      <c r="N1917" s="8"/>
      <c r="O1917" s="8"/>
    </row>
    <row r="1918" ht="13.65" customHeight="1">
      <c r="A1918" s="8"/>
      <c r="B1918" s="8"/>
      <c r="C1918" s="8"/>
      <c r="D1918" s="8"/>
      <c r="E1918" s="8"/>
      <c r="F1918" s="8"/>
      <c r="G1918" s="8"/>
      <c r="H1918" s="8"/>
      <c r="I1918" s="8"/>
      <c r="J1918" s="8"/>
      <c r="K1918" s="8"/>
      <c r="L1918" s="8"/>
      <c r="M1918" s="8"/>
      <c r="N1918" s="8"/>
      <c r="O1918" s="8"/>
    </row>
    <row r="1919" ht="13.65" customHeight="1">
      <c r="A1919" s="8"/>
      <c r="B1919" s="8"/>
      <c r="C1919" s="8"/>
      <c r="D1919" s="8"/>
      <c r="E1919" s="8"/>
      <c r="F1919" s="8"/>
      <c r="G1919" s="8"/>
      <c r="H1919" s="8"/>
      <c r="I1919" s="8"/>
      <c r="J1919" s="8"/>
      <c r="K1919" s="8"/>
      <c r="L1919" s="8"/>
      <c r="M1919" s="8"/>
      <c r="N1919" s="8"/>
      <c r="O1919" s="8"/>
    </row>
    <row r="1920" ht="13.65" customHeight="1">
      <c r="A1920" s="8"/>
      <c r="B1920" s="8"/>
      <c r="C1920" s="8"/>
      <c r="D1920" s="8"/>
      <c r="E1920" s="8"/>
      <c r="F1920" s="8"/>
      <c r="G1920" s="8"/>
      <c r="H1920" s="8"/>
      <c r="I1920" s="8"/>
      <c r="J1920" s="8"/>
      <c r="K1920" s="8"/>
      <c r="L1920" s="8"/>
      <c r="M1920" s="8"/>
      <c r="N1920" s="8"/>
      <c r="O1920" s="8"/>
    </row>
    <row r="1921" ht="13.65" customHeight="1">
      <c r="A1921" s="8"/>
      <c r="B1921" s="8"/>
      <c r="C1921" s="8"/>
      <c r="D1921" s="8"/>
      <c r="E1921" s="8"/>
      <c r="F1921" s="8"/>
      <c r="G1921" s="8"/>
      <c r="H1921" s="8"/>
      <c r="I1921" s="8"/>
      <c r="J1921" s="8"/>
      <c r="K1921" s="8"/>
      <c r="L1921" s="8"/>
      <c r="M1921" s="8"/>
      <c r="N1921" s="8"/>
      <c r="O1921" s="8"/>
    </row>
    <row r="1922" ht="13.65" customHeight="1">
      <c r="A1922" s="8"/>
      <c r="B1922" s="8"/>
      <c r="C1922" s="8"/>
      <c r="D1922" s="8"/>
      <c r="E1922" s="8"/>
      <c r="F1922" s="8"/>
      <c r="G1922" s="8"/>
      <c r="H1922" s="8"/>
      <c r="I1922" s="8"/>
      <c r="J1922" s="8"/>
      <c r="K1922" s="8"/>
      <c r="L1922" s="8"/>
      <c r="M1922" s="8"/>
      <c r="N1922" s="8"/>
      <c r="O1922" s="8"/>
    </row>
    <row r="1923" ht="13.65" customHeight="1">
      <c r="A1923" s="8"/>
      <c r="B1923" s="8"/>
      <c r="C1923" s="8"/>
      <c r="D1923" s="8"/>
      <c r="E1923" s="8"/>
      <c r="F1923" s="8"/>
      <c r="G1923" s="8"/>
      <c r="H1923" s="8"/>
      <c r="I1923" s="8"/>
      <c r="J1923" s="8"/>
      <c r="K1923" s="8"/>
      <c r="L1923" s="8"/>
      <c r="M1923" s="8"/>
      <c r="N1923" s="8"/>
      <c r="O1923" s="8"/>
    </row>
    <row r="1924" ht="13.65" customHeight="1">
      <c r="A1924" s="8"/>
      <c r="B1924" s="8"/>
      <c r="C1924" s="8"/>
      <c r="D1924" s="8"/>
      <c r="E1924" s="8"/>
      <c r="F1924" s="8"/>
      <c r="G1924" s="8"/>
      <c r="H1924" s="8"/>
      <c r="I1924" s="8"/>
      <c r="J1924" s="8"/>
      <c r="K1924" s="8"/>
      <c r="L1924" s="8"/>
      <c r="M1924" s="8"/>
      <c r="N1924" s="8"/>
      <c r="O1924" s="8"/>
    </row>
    <row r="1925" ht="13.65" customHeight="1">
      <c r="A1925" s="8"/>
      <c r="B1925" s="8"/>
      <c r="C1925" s="8"/>
      <c r="D1925" s="8"/>
      <c r="E1925" s="8"/>
      <c r="F1925" s="8"/>
      <c r="G1925" s="8"/>
      <c r="H1925" s="8"/>
      <c r="I1925" s="8"/>
      <c r="J1925" s="8"/>
      <c r="K1925" s="8"/>
      <c r="L1925" s="8"/>
      <c r="M1925" s="8"/>
      <c r="N1925" s="8"/>
      <c r="O1925" s="8"/>
    </row>
    <row r="1926" ht="13.65" customHeight="1">
      <c r="A1926" s="8"/>
      <c r="B1926" s="8"/>
      <c r="C1926" s="8"/>
      <c r="D1926" s="8"/>
      <c r="E1926" s="8"/>
      <c r="F1926" s="8"/>
      <c r="G1926" s="8"/>
      <c r="H1926" s="8"/>
      <c r="I1926" s="8"/>
      <c r="J1926" s="8"/>
      <c r="K1926" s="8"/>
      <c r="L1926" s="8"/>
      <c r="M1926" s="8"/>
      <c r="N1926" s="8"/>
      <c r="O1926" s="8"/>
    </row>
    <row r="1927" ht="13.65" customHeight="1">
      <c r="A1927" s="8"/>
      <c r="B1927" s="8"/>
      <c r="C1927" s="8"/>
      <c r="D1927" s="8"/>
      <c r="E1927" s="8"/>
      <c r="F1927" s="8"/>
      <c r="G1927" s="8"/>
      <c r="H1927" s="8"/>
      <c r="I1927" s="8"/>
      <c r="J1927" s="8"/>
      <c r="K1927" s="8"/>
      <c r="L1927" s="8"/>
      <c r="M1927" s="8"/>
      <c r="N1927" s="8"/>
      <c r="O1927" s="8"/>
    </row>
    <row r="1928" ht="13.65" customHeight="1">
      <c r="A1928" s="8"/>
      <c r="B1928" s="8"/>
      <c r="C1928" s="8"/>
      <c r="D1928" s="8"/>
      <c r="E1928" s="8"/>
      <c r="F1928" s="8"/>
      <c r="G1928" s="8"/>
      <c r="H1928" s="8"/>
      <c r="I1928" s="8"/>
      <c r="J1928" s="8"/>
      <c r="K1928" s="8"/>
      <c r="L1928" s="8"/>
      <c r="M1928" s="8"/>
      <c r="N1928" s="8"/>
      <c r="O1928" s="8"/>
    </row>
    <row r="1929" ht="13.65" customHeight="1">
      <c r="A1929" s="8"/>
      <c r="B1929" s="8"/>
      <c r="C1929" s="8"/>
      <c r="D1929" s="8"/>
      <c r="E1929" s="8"/>
      <c r="F1929" s="8"/>
      <c r="G1929" s="8"/>
      <c r="H1929" s="8"/>
      <c r="I1929" s="8"/>
      <c r="J1929" s="8"/>
      <c r="K1929" s="8"/>
      <c r="L1929" s="8"/>
      <c r="M1929" s="8"/>
      <c r="N1929" s="8"/>
      <c r="O1929" s="8"/>
    </row>
    <row r="1930" ht="13.65" customHeight="1">
      <c r="A1930" s="8"/>
      <c r="B1930" s="8"/>
      <c r="C1930" s="8"/>
      <c r="D1930" s="8"/>
      <c r="E1930" s="8"/>
      <c r="F1930" s="8"/>
      <c r="G1930" s="8"/>
      <c r="H1930" s="8"/>
      <c r="I1930" s="8"/>
      <c r="J1930" s="8"/>
      <c r="K1930" s="8"/>
      <c r="L1930" s="8"/>
      <c r="M1930" s="8"/>
      <c r="N1930" s="8"/>
      <c r="O1930" s="8"/>
    </row>
    <row r="1931" ht="13.65" customHeight="1">
      <c r="A1931" s="8"/>
      <c r="B1931" s="8"/>
      <c r="C1931" s="8"/>
      <c r="D1931" s="8"/>
      <c r="E1931" s="8"/>
      <c r="F1931" s="8"/>
      <c r="G1931" s="8"/>
      <c r="H1931" s="8"/>
      <c r="I1931" s="8"/>
      <c r="J1931" s="8"/>
      <c r="K1931" s="8"/>
      <c r="L1931" s="8"/>
      <c r="M1931" s="8"/>
      <c r="N1931" s="8"/>
      <c r="O1931" s="8"/>
    </row>
    <row r="1932" ht="13.65" customHeight="1">
      <c r="A1932" s="8"/>
      <c r="B1932" s="8"/>
      <c r="C1932" s="8"/>
      <c r="D1932" s="8"/>
      <c r="E1932" s="8"/>
      <c r="F1932" s="8"/>
      <c r="G1932" s="8"/>
      <c r="H1932" s="8"/>
      <c r="I1932" s="8"/>
      <c r="J1932" s="8"/>
      <c r="K1932" s="8"/>
      <c r="L1932" s="8"/>
      <c r="M1932" s="8"/>
      <c r="N1932" s="8"/>
      <c r="O1932" s="8"/>
    </row>
    <row r="1933" ht="13.65" customHeight="1">
      <c r="A1933" s="8"/>
      <c r="B1933" s="8"/>
      <c r="C1933" s="8"/>
      <c r="D1933" s="8"/>
      <c r="E1933" s="8"/>
      <c r="F1933" s="8"/>
      <c r="G1933" s="8"/>
      <c r="H1933" s="8"/>
      <c r="I1933" s="8"/>
      <c r="J1933" s="8"/>
      <c r="K1933" s="8"/>
      <c r="L1933" s="8"/>
      <c r="M1933" s="8"/>
      <c r="N1933" s="8"/>
      <c r="O1933" s="8"/>
    </row>
    <row r="1934" ht="13.65" customHeight="1">
      <c r="A1934" s="8"/>
      <c r="B1934" s="8"/>
      <c r="C1934" s="8"/>
      <c r="D1934" s="8"/>
      <c r="E1934" s="8"/>
      <c r="F1934" s="8"/>
      <c r="G1934" s="8"/>
      <c r="H1934" s="8"/>
      <c r="I1934" s="8"/>
      <c r="J1934" s="8"/>
      <c r="K1934" s="8"/>
      <c r="L1934" s="8"/>
      <c r="M1934" s="8"/>
      <c r="N1934" s="8"/>
      <c r="O1934" s="8"/>
    </row>
    <row r="1935" ht="13.65" customHeight="1">
      <c r="A1935" s="8"/>
      <c r="B1935" s="8"/>
      <c r="C1935" s="8"/>
      <c r="D1935" s="8"/>
      <c r="E1935" s="8"/>
      <c r="F1935" s="8"/>
      <c r="G1935" s="8"/>
      <c r="H1935" s="8"/>
      <c r="I1935" s="8"/>
      <c r="J1935" s="8"/>
      <c r="K1935" s="8"/>
      <c r="L1935" s="8"/>
      <c r="M1935" s="8"/>
      <c r="N1935" s="8"/>
      <c r="O1935" s="8"/>
    </row>
    <row r="1936" ht="13.65" customHeight="1">
      <c r="A1936" s="8"/>
      <c r="B1936" s="8"/>
      <c r="C1936" s="8"/>
      <c r="D1936" s="8"/>
      <c r="E1936" s="8"/>
      <c r="F1936" s="8"/>
      <c r="G1936" s="8"/>
      <c r="H1936" s="8"/>
      <c r="I1936" s="8"/>
      <c r="J1936" s="8"/>
      <c r="K1936" s="8"/>
      <c r="L1936" s="8"/>
      <c r="M1936" s="8"/>
      <c r="N1936" s="8"/>
      <c r="O1936" s="8"/>
    </row>
    <row r="1937" ht="13.65" customHeight="1">
      <c r="A1937" s="8"/>
      <c r="B1937" s="8"/>
      <c r="C1937" s="8"/>
      <c r="D1937" s="8"/>
      <c r="E1937" s="8"/>
      <c r="F1937" s="8"/>
      <c r="G1937" s="8"/>
      <c r="H1937" s="8"/>
      <c r="I1937" s="8"/>
      <c r="J1937" s="8"/>
      <c r="K1937" s="8"/>
      <c r="L1937" s="8"/>
      <c r="M1937" s="8"/>
      <c r="N1937" s="8"/>
      <c r="O1937" s="8"/>
    </row>
    <row r="1938" ht="13.65" customHeight="1">
      <c r="A1938" s="8"/>
      <c r="B1938" s="8"/>
      <c r="C1938" s="8"/>
      <c r="D1938" s="8"/>
      <c r="E1938" s="8"/>
      <c r="F1938" s="8"/>
      <c r="G1938" s="8"/>
      <c r="H1938" s="8"/>
      <c r="I1938" s="8"/>
      <c r="J1938" s="8"/>
      <c r="K1938" s="8"/>
      <c r="L1938" s="8"/>
      <c r="M1938" s="8"/>
      <c r="N1938" s="8"/>
      <c r="O1938" s="8"/>
    </row>
    <row r="1939" ht="13.65" customHeight="1">
      <c r="A1939" s="8"/>
      <c r="B1939" s="8"/>
      <c r="C1939" s="8"/>
      <c r="D1939" s="8"/>
      <c r="E1939" s="8"/>
      <c r="F1939" s="8"/>
      <c r="G1939" s="8"/>
      <c r="H1939" s="8"/>
      <c r="I1939" s="8"/>
      <c r="J1939" s="8"/>
      <c r="K1939" s="8"/>
      <c r="L1939" s="8"/>
      <c r="M1939" s="8"/>
      <c r="N1939" s="8"/>
      <c r="O1939" s="8"/>
    </row>
    <row r="1940" ht="13.65" customHeight="1">
      <c r="A1940" s="8"/>
      <c r="B1940" s="8"/>
      <c r="C1940" s="8"/>
      <c r="D1940" s="8"/>
      <c r="E1940" s="8"/>
      <c r="F1940" s="8"/>
      <c r="G1940" s="8"/>
      <c r="H1940" s="8"/>
      <c r="I1940" s="8"/>
      <c r="J1940" s="8"/>
      <c r="K1940" s="8"/>
      <c r="L1940" s="8"/>
      <c r="M1940" s="8"/>
      <c r="N1940" s="8"/>
      <c r="O1940" s="8"/>
    </row>
    <row r="1941" ht="13.65" customHeight="1">
      <c r="A1941" s="8"/>
      <c r="B1941" s="8"/>
      <c r="C1941" s="8"/>
      <c r="D1941" s="8"/>
      <c r="E1941" s="8"/>
      <c r="F1941" s="8"/>
      <c r="G1941" s="8"/>
      <c r="H1941" s="8"/>
      <c r="I1941" s="8"/>
      <c r="J1941" s="8"/>
      <c r="K1941" s="8"/>
      <c r="L1941" s="8"/>
      <c r="M1941" s="8"/>
      <c r="N1941" s="8"/>
      <c r="O1941" s="8"/>
    </row>
    <row r="1942" ht="13.65" customHeight="1">
      <c r="A1942" s="8"/>
      <c r="B1942" s="8"/>
      <c r="C1942" s="8"/>
      <c r="D1942" s="8"/>
      <c r="E1942" s="8"/>
      <c r="F1942" s="8"/>
      <c r="G1942" s="8"/>
      <c r="H1942" s="8"/>
      <c r="I1942" s="8"/>
      <c r="J1942" s="8"/>
      <c r="K1942" s="8"/>
      <c r="L1942" s="8"/>
      <c r="M1942" s="8"/>
      <c r="N1942" s="8"/>
      <c r="O1942" s="8"/>
    </row>
    <row r="1943" ht="13.65" customHeight="1">
      <c r="A1943" s="8"/>
      <c r="B1943" s="8"/>
      <c r="C1943" s="8"/>
      <c r="D1943" s="8"/>
      <c r="E1943" s="8"/>
      <c r="F1943" s="8"/>
      <c r="G1943" s="8"/>
      <c r="H1943" s="8"/>
      <c r="I1943" s="8"/>
      <c r="J1943" s="8"/>
      <c r="K1943" s="8"/>
      <c r="L1943" s="8"/>
      <c r="M1943" s="8"/>
      <c r="N1943" s="8"/>
      <c r="O1943" s="8"/>
    </row>
    <row r="1944" ht="13.65" customHeight="1">
      <c r="A1944" s="8"/>
      <c r="B1944" s="8"/>
      <c r="C1944" s="8"/>
      <c r="D1944" s="8"/>
      <c r="E1944" s="8"/>
      <c r="F1944" s="8"/>
      <c r="G1944" s="8"/>
      <c r="H1944" s="8"/>
      <c r="I1944" s="8"/>
      <c r="J1944" s="8"/>
      <c r="K1944" s="8"/>
      <c r="L1944" s="8"/>
      <c r="M1944" s="8"/>
      <c r="N1944" s="8"/>
      <c r="O1944" s="8"/>
    </row>
    <row r="1945" ht="13.65" customHeight="1">
      <c r="A1945" s="8"/>
      <c r="B1945" s="8"/>
      <c r="C1945" s="8"/>
      <c r="D1945" s="8"/>
      <c r="E1945" s="8"/>
      <c r="F1945" s="8"/>
      <c r="G1945" s="8"/>
      <c r="H1945" s="8"/>
      <c r="I1945" s="8"/>
      <c r="J1945" s="8"/>
      <c r="K1945" s="8"/>
      <c r="L1945" s="8"/>
      <c r="M1945" s="8"/>
      <c r="N1945" s="8"/>
      <c r="O1945" s="8"/>
    </row>
    <row r="1946" ht="13.65" customHeight="1">
      <c r="A1946" s="8"/>
      <c r="B1946" s="8"/>
      <c r="C1946" s="8"/>
      <c r="D1946" s="8"/>
      <c r="E1946" s="8"/>
      <c r="F1946" s="8"/>
      <c r="G1946" s="8"/>
      <c r="H1946" s="8"/>
      <c r="I1946" s="8"/>
      <c r="J1946" s="8"/>
      <c r="K1946" s="8"/>
      <c r="L1946" s="8"/>
      <c r="M1946" s="8"/>
      <c r="N1946" s="8"/>
      <c r="O1946" s="8"/>
    </row>
    <row r="1947" ht="13.65" customHeight="1">
      <c r="A1947" s="8"/>
      <c r="B1947" s="8"/>
      <c r="C1947" s="8"/>
      <c r="D1947" s="8"/>
      <c r="E1947" s="8"/>
      <c r="F1947" s="8"/>
      <c r="G1947" s="8"/>
      <c r="H1947" s="8"/>
      <c r="I1947" s="8"/>
      <c r="J1947" s="8"/>
      <c r="K1947" s="8"/>
      <c r="L1947" s="8"/>
      <c r="M1947" s="8"/>
      <c r="N1947" s="8"/>
      <c r="O1947" s="8"/>
    </row>
    <row r="1948" ht="13.65" customHeight="1">
      <c r="A1948" s="8"/>
      <c r="B1948" s="8"/>
      <c r="C1948" s="8"/>
      <c r="D1948" s="8"/>
      <c r="E1948" s="8"/>
      <c r="F1948" s="8"/>
      <c r="G1948" s="8"/>
      <c r="H1948" s="8"/>
      <c r="I1948" s="8"/>
      <c r="J1948" s="8"/>
      <c r="K1948" s="8"/>
      <c r="L1948" s="8"/>
      <c r="M1948" s="8"/>
      <c r="N1948" s="8"/>
      <c r="O1948" s="8"/>
    </row>
    <row r="1949" ht="13.65" customHeight="1">
      <c r="A1949" s="8"/>
      <c r="B1949" s="8"/>
      <c r="C1949" s="8"/>
      <c r="D1949" s="8"/>
      <c r="E1949" s="8"/>
      <c r="F1949" s="8"/>
      <c r="G1949" s="8"/>
      <c r="H1949" s="8"/>
      <c r="I1949" s="8"/>
      <c r="J1949" s="8"/>
      <c r="K1949" s="8"/>
      <c r="L1949" s="8"/>
      <c r="M1949" s="8"/>
      <c r="N1949" s="8"/>
      <c r="O1949" s="8"/>
    </row>
    <row r="1950" ht="13.65" customHeight="1">
      <c r="A1950" s="8"/>
      <c r="B1950" s="8"/>
      <c r="C1950" s="8"/>
      <c r="D1950" s="8"/>
      <c r="E1950" s="8"/>
      <c r="F1950" s="8"/>
      <c r="G1950" s="8"/>
      <c r="H1950" s="8"/>
      <c r="I1950" s="8"/>
      <c r="J1950" s="8"/>
      <c r="K1950" s="8"/>
      <c r="L1950" s="8"/>
      <c r="M1950" s="8"/>
      <c r="N1950" s="8"/>
      <c r="O1950" s="8"/>
    </row>
    <row r="1951" ht="13.65" customHeight="1">
      <c r="A1951" s="8"/>
      <c r="B1951" s="8"/>
      <c r="C1951" s="8"/>
      <c r="D1951" s="8"/>
      <c r="E1951" s="8"/>
      <c r="F1951" s="8"/>
      <c r="G1951" s="8"/>
      <c r="H1951" s="8"/>
      <c r="I1951" s="8"/>
      <c r="J1951" s="8"/>
      <c r="K1951" s="8"/>
      <c r="L1951" s="8"/>
      <c r="M1951" s="8"/>
      <c r="N1951" s="8"/>
      <c r="O1951" s="8"/>
    </row>
    <row r="1952" ht="13.65" customHeight="1">
      <c r="A1952" s="8"/>
      <c r="B1952" s="8"/>
      <c r="C1952" s="8"/>
      <c r="D1952" s="8"/>
      <c r="E1952" s="8"/>
      <c r="F1952" s="8"/>
      <c r="G1952" s="8"/>
      <c r="H1952" s="8"/>
      <c r="I1952" s="8"/>
      <c r="J1952" s="8"/>
      <c r="K1952" s="8"/>
      <c r="L1952" s="8"/>
      <c r="M1952" s="8"/>
      <c r="N1952" s="8"/>
      <c r="O1952" s="8"/>
    </row>
    <row r="1953" ht="13.65" customHeight="1">
      <c r="A1953" s="8"/>
      <c r="B1953" s="8"/>
      <c r="C1953" s="8"/>
      <c r="D1953" s="8"/>
      <c r="E1953" s="8"/>
      <c r="F1953" s="8"/>
      <c r="G1953" s="8"/>
      <c r="H1953" s="8"/>
      <c r="I1953" s="8"/>
      <c r="J1953" s="8"/>
      <c r="K1953" s="8"/>
      <c r="L1953" s="8"/>
      <c r="M1953" s="8"/>
      <c r="N1953" s="8"/>
      <c r="O1953" s="8"/>
    </row>
    <row r="1954" ht="13.65" customHeight="1">
      <c r="A1954" s="8"/>
      <c r="B1954" s="8"/>
      <c r="C1954" s="8"/>
      <c r="D1954" s="8"/>
      <c r="E1954" s="8"/>
      <c r="F1954" s="8"/>
      <c r="G1954" s="8"/>
      <c r="H1954" s="8"/>
      <c r="I1954" s="8"/>
      <c r="J1954" s="8"/>
      <c r="K1954" s="8"/>
      <c r="L1954" s="8"/>
      <c r="M1954" s="8"/>
      <c r="N1954" s="8"/>
      <c r="O1954" s="8"/>
    </row>
    <row r="1955" ht="13.65" customHeight="1">
      <c r="A1955" s="8"/>
      <c r="B1955" s="8"/>
      <c r="C1955" s="8"/>
      <c r="D1955" s="8"/>
      <c r="E1955" s="8"/>
      <c r="F1955" s="8"/>
      <c r="G1955" s="8"/>
      <c r="H1955" s="8"/>
      <c r="I1955" s="8"/>
      <c r="J1955" s="8"/>
      <c r="K1955" s="8"/>
      <c r="L1955" s="8"/>
      <c r="M1955" s="8"/>
      <c r="N1955" s="8"/>
      <c r="O1955" s="8"/>
    </row>
    <row r="1956" ht="13.65" customHeight="1">
      <c r="A1956" s="8"/>
      <c r="B1956" s="8"/>
      <c r="C1956" s="8"/>
      <c r="D1956" s="8"/>
      <c r="E1956" s="8"/>
      <c r="F1956" s="8"/>
      <c r="G1956" s="8"/>
      <c r="H1956" s="8"/>
      <c r="I1956" s="8"/>
      <c r="J1956" s="8"/>
      <c r="K1956" s="8"/>
      <c r="L1956" s="8"/>
      <c r="M1956" s="8"/>
      <c r="N1956" s="8"/>
      <c r="O1956" s="8"/>
    </row>
    <row r="1957" ht="13.65" customHeight="1">
      <c r="A1957" s="8"/>
      <c r="B1957" s="8"/>
      <c r="C1957" s="8"/>
      <c r="D1957" s="8"/>
      <c r="E1957" s="8"/>
      <c r="F1957" s="8"/>
      <c r="G1957" s="8"/>
      <c r="H1957" s="8"/>
      <c r="I1957" s="8"/>
      <c r="J1957" s="8"/>
      <c r="K1957" s="8"/>
      <c r="L1957" s="8"/>
      <c r="M1957" s="8"/>
      <c r="N1957" s="8"/>
      <c r="O1957" s="8"/>
    </row>
    <row r="1958" ht="13.65" customHeight="1">
      <c r="A1958" s="8"/>
      <c r="B1958" s="8"/>
      <c r="C1958" s="8"/>
      <c r="D1958" s="8"/>
      <c r="E1958" s="8"/>
      <c r="F1958" s="8"/>
      <c r="G1958" s="8"/>
      <c r="H1958" s="8"/>
      <c r="I1958" s="8"/>
      <c r="J1958" s="8"/>
      <c r="K1958" s="8"/>
      <c r="L1958" s="8"/>
      <c r="M1958" s="8"/>
      <c r="N1958" s="8"/>
      <c r="O1958" s="8"/>
    </row>
    <row r="1959" ht="13.65" customHeight="1">
      <c r="A1959" s="8"/>
      <c r="B1959" s="8"/>
      <c r="C1959" s="8"/>
      <c r="D1959" s="8"/>
      <c r="E1959" s="8"/>
      <c r="F1959" s="8"/>
      <c r="G1959" s="8"/>
      <c r="H1959" s="8"/>
      <c r="I1959" s="8"/>
      <c r="J1959" s="8"/>
      <c r="K1959" s="8"/>
      <c r="L1959" s="8"/>
      <c r="M1959" s="8"/>
      <c r="N1959" s="8"/>
      <c r="O1959" s="8"/>
    </row>
    <row r="1960" ht="13.65" customHeight="1">
      <c r="A1960" s="8"/>
      <c r="B1960" s="8"/>
      <c r="C1960" s="8"/>
      <c r="D1960" s="8"/>
      <c r="E1960" s="8"/>
      <c r="F1960" s="8"/>
      <c r="G1960" s="8"/>
      <c r="H1960" s="8"/>
      <c r="I1960" s="8"/>
      <c r="J1960" s="8"/>
      <c r="K1960" s="8"/>
      <c r="L1960" s="8"/>
      <c r="M1960" s="8"/>
      <c r="N1960" s="8"/>
      <c r="O1960" s="8"/>
    </row>
    <row r="1961" ht="13.65" customHeight="1">
      <c r="A1961" s="8"/>
      <c r="B1961" s="8"/>
      <c r="C1961" s="8"/>
      <c r="D1961" s="8"/>
      <c r="E1961" s="8"/>
      <c r="F1961" s="8"/>
      <c r="G1961" s="8"/>
      <c r="H1961" s="8"/>
      <c r="I1961" s="8"/>
      <c r="J1961" s="8"/>
      <c r="K1961" s="8"/>
      <c r="L1961" s="8"/>
      <c r="M1961" s="8"/>
      <c r="N1961" s="8"/>
      <c r="O1961" s="8"/>
    </row>
    <row r="1962" ht="13.65" customHeight="1">
      <c r="A1962" s="8"/>
      <c r="B1962" s="8"/>
      <c r="C1962" s="8"/>
      <c r="D1962" s="8"/>
      <c r="E1962" s="8"/>
      <c r="F1962" s="8"/>
      <c r="G1962" s="8"/>
      <c r="H1962" s="8"/>
      <c r="I1962" s="8"/>
      <c r="J1962" s="8"/>
      <c r="K1962" s="8"/>
      <c r="L1962" s="8"/>
      <c r="M1962" s="8"/>
      <c r="N1962" s="8"/>
      <c r="O1962" s="8"/>
    </row>
    <row r="1963" ht="13.65" customHeight="1">
      <c r="A1963" s="8"/>
      <c r="B1963" s="8"/>
      <c r="C1963" s="8"/>
      <c r="D1963" s="8"/>
      <c r="E1963" s="8"/>
      <c r="F1963" s="8"/>
      <c r="G1963" s="8"/>
      <c r="H1963" s="8"/>
      <c r="I1963" s="8"/>
      <c r="J1963" s="8"/>
      <c r="K1963" s="8"/>
      <c r="L1963" s="8"/>
      <c r="M1963" s="8"/>
      <c r="N1963" s="8"/>
      <c r="O1963" s="8"/>
    </row>
    <row r="1964" ht="13.65" customHeight="1">
      <c r="A1964" s="8"/>
      <c r="B1964" s="8"/>
      <c r="C1964" s="8"/>
      <c r="D1964" s="8"/>
      <c r="E1964" s="8"/>
      <c r="F1964" s="8"/>
      <c r="G1964" s="8"/>
      <c r="H1964" s="8"/>
      <c r="I1964" s="8"/>
      <c r="J1964" s="8"/>
      <c r="K1964" s="8"/>
      <c r="L1964" s="8"/>
      <c r="M1964" s="8"/>
      <c r="N1964" s="8"/>
      <c r="O1964" s="8"/>
    </row>
    <row r="1965" ht="13.65" customHeight="1">
      <c r="A1965" s="8"/>
      <c r="B1965" s="8"/>
      <c r="C1965" s="8"/>
      <c r="D1965" s="8"/>
      <c r="E1965" s="8"/>
      <c r="F1965" s="8"/>
      <c r="G1965" s="8"/>
      <c r="H1965" s="8"/>
      <c r="I1965" s="8"/>
      <c r="J1965" s="8"/>
      <c r="K1965" s="8"/>
      <c r="L1965" s="8"/>
      <c r="M1965" s="8"/>
      <c r="N1965" s="8"/>
      <c r="O1965" s="8"/>
    </row>
    <row r="1966" ht="13.65" customHeight="1">
      <c r="A1966" s="8"/>
      <c r="B1966" s="8"/>
      <c r="C1966" s="8"/>
      <c r="D1966" s="8"/>
      <c r="E1966" s="8"/>
      <c r="F1966" s="8"/>
      <c r="G1966" s="8"/>
      <c r="H1966" s="8"/>
      <c r="I1966" s="8"/>
      <c r="J1966" s="8"/>
      <c r="K1966" s="8"/>
      <c r="L1966" s="8"/>
      <c r="M1966" s="8"/>
      <c r="N1966" s="8"/>
      <c r="O1966" s="8"/>
    </row>
    <row r="1967" ht="13.65" customHeight="1">
      <c r="A1967" s="8"/>
      <c r="B1967" s="8"/>
      <c r="C1967" s="8"/>
      <c r="D1967" s="8"/>
      <c r="E1967" s="8"/>
      <c r="F1967" s="8"/>
      <c r="G1967" s="8"/>
      <c r="H1967" s="8"/>
      <c r="I1967" s="8"/>
      <c r="J1967" s="8"/>
      <c r="K1967" s="8"/>
      <c r="L1967" s="8"/>
      <c r="M1967" s="8"/>
      <c r="N1967" s="8"/>
      <c r="O1967" s="8"/>
    </row>
    <row r="1968" ht="13.65" customHeight="1">
      <c r="A1968" s="8"/>
      <c r="B1968" s="8"/>
      <c r="C1968" s="8"/>
      <c r="D1968" s="8"/>
      <c r="E1968" s="8"/>
      <c r="F1968" s="8"/>
      <c r="G1968" s="8"/>
      <c r="H1968" s="8"/>
      <c r="I1968" s="8"/>
      <c r="J1968" s="8"/>
      <c r="K1968" s="8"/>
      <c r="L1968" s="8"/>
      <c r="M1968" s="8"/>
      <c r="N1968" s="8"/>
      <c r="O1968" s="8"/>
    </row>
    <row r="1969" ht="13.65" customHeight="1">
      <c r="A1969" s="8"/>
      <c r="B1969" s="8"/>
      <c r="C1969" s="8"/>
      <c r="D1969" s="8"/>
      <c r="E1969" s="8"/>
      <c r="F1969" s="8"/>
      <c r="G1969" s="8"/>
      <c r="H1969" s="8"/>
      <c r="I1969" s="8"/>
      <c r="J1969" s="8"/>
      <c r="K1969" s="8"/>
      <c r="L1969" s="8"/>
      <c r="M1969" s="8"/>
      <c r="N1969" s="8"/>
      <c r="O1969" s="8"/>
    </row>
    <row r="1970" ht="13.65" customHeight="1">
      <c r="A1970" s="8"/>
      <c r="B1970" s="8"/>
      <c r="C1970" s="8"/>
      <c r="D1970" s="8"/>
      <c r="E1970" s="8"/>
      <c r="F1970" s="8"/>
      <c r="G1970" s="8"/>
      <c r="H1970" s="8"/>
      <c r="I1970" s="8"/>
      <c r="J1970" s="8"/>
      <c r="K1970" s="8"/>
      <c r="L1970" s="8"/>
      <c r="M1970" s="8"/>
      <c r="N1970" s="8"/>
      <c r="O1970" s="8"/>
    </row>
    <row r="1971" ht="13.65" customHeight="1">
      <c r="A1971" s="8"/>
      <c r="B1971" s="8"/>
      <c r="C1971" s="8"/>
      <c r="D1971" s="8"/>
      <c r="E1971" s="8"/>
      <c r="F1971" s="8"/>
      <c r="G1971" s="8"/>
      <c r="H1971" s="8"/>
      <c r="I1971" s="8"/>
      <c r="J1971" s="8"/>
      <c r="K1971" s="8"/>
      <c r="L1971" s="8"/>
      <c r="M1971" s="8"/>
      <c r="N1971" s="8"/>
      <c r="O1971" s="8"/>
    </row>
    <row r="1972" ht="13.65" customHeight="1">
      <c r="A1972" s="8"/>
      <c r="B1972" s="8"/>
      <c r="C1972" s="8"/>
      <c r="D1972" s="8"/>
      <c r="E1972" s="8"/>
      <c r="F1972" s="8"/>
      <c r="G1972" s="8"/>
      <c r="H1972" s="8"/>
      <c r="I1972" s="8"/>
      <c r="J1972" s="8"/>
      <c r="K1972" s="8"/>
      <c r="L1972" s="8"/>
      <c r="M1972" s="8"/>
      <c r="N1972" s="8"/>
      <c r="O1972" s="8"/>
    </row>
    <row r="1973" ht="13.65" customHeight="1">
      <c r="A1973" s="8"/>
      <c r="B1973" s="8"/>
      <c r="C1973" s="8"/>
      <c r="D1973" s="8"/>
      <c r="E1973" s="8"/>
      <c r="F1973" s="8"/>
      <c r="G1973" s="8"/>
      <c r="H1973" s="8"/>
      <c r="I1973" s="8"/>
      <c r="J1973" s="8"/>
      <c r="K1973" s="8"/>
      <c r="L1973" s="8"/>
      <c r="M1973" s="8"/>
      <c r="N1973" s="8"/>
      <c r="O1973" s="8"/>
    </row>
    <row r="1974" ht="13.65" customHeight="1">
      <c r="A1974" s="8"/>
      <c r="B1974" s="8"/>
      <c r="C1974" s="8"/>
      <c r="D1974" s="8"/>
      <c r="E1974" s="8"/>
      <c r="F1974" s="8"/>
      <c r="G1974" s="8"/>
      <c r="H1974" s="8"/>
      <c r="I1974" s="8"/>
      <c r="J1974" s="8"/>
      <c r="K1974" s="8"/>
      <c r="L1974" s="8"/>
      <c r="M1974" s="8"/>
      <c r="N1974" s="8"/>
      <c r="O1974" s="8"/>
    </row>
    <row r="1975" ht="13.65" customHeight="1">
      <c r="A1975" s="8"/>
      <c r="B1975" s="8"/>
      <c r="C1975" s="8"/>
      <c r="D1975" s="8"/>
      <c r="E1975" s="8"/>
      <c r="F1975" s="8"/>
      <c r="G1975" s="8"/>
      <c r="H1975" s="8"/>
      <c r="I1975" s="8"/>
      <c r="J1975" s="8"/>
      <c r="K1975" s="8"/>
      <c r="L1975" s="8"/>
      <c r="M1975" s="8"/>
      <c r="N1975" s="8"/>
      <c r="O1975" s="8"/>
    </row>
    <row r="1976" ht="13.65" customHeight="1">
      <c r="A1976" s="8"/>
      <c r="B1976" s="8"/>
      <c r="C1976" s="8"/>
      <c r="D1976" s="8"/>
      <c r="E1976" s="8"/>
      <c r="F1976" s="8"/>
      <c r="G1976" s="8"/>
      <c r="H1976" s="8"/>
      <c r="I1976" s="8"/>
      <c r="J1976" s="8"/>
      <c r="K1976" s="8"/>
      <c r="L1976" s="8"/>
      <c r="M1976" s="8"/>
      <c r="N1976" s="8"/>
      <c r="O1976" s="8"/>
    </row>
    <row r="1977" ht="13.65" customHeight="1">
      <c r="A1977" s="8"/>
      <c r="B1977" s="8"/>
      <c r="C1977" s="8"/>
      <c r="D1977" s="8"/>
      <c r="E1977" s="8"/>
      <c r="F1977" s="8"/>
      <c r="G1977" s="8"/>
      <c r="H1977" s="8"/>
      <c r="I1977" s="8"/>
      <c r="J1977" s="8"/>
      <c r="K1977" s="8"/>
      <c r="L1977" s="8"/>
      <c r="M1977" s="8"/>
      <c r="N1977" s="8"/>
      <c r="O1977" s="8"/>
    </row>
    <row r="1978" ht="13.65" customHeight="1">
      <c r="A1978" s="8"/>
      <c r="B1978" s="8"/>
      <c r="C1978" s="8"/>
      <c r="D1978" s="8"/>
      <c r="E1978" s="8"/>
      <c r="F1978" s="8"/>
      <c r="G1978" s="8"/>
      <c r="H1978" s="8"/>
      <c r="I1978" s="8"/>
      <c r="J1978" s="8"/>
      <c r="K1978" s="8"/>
      <c r="L1978" s="8"/>
      <c r="M1978" s="8"/>
      <c r="N1978" s="8"/>
      <c r="O1978" s="8"/>
    </row>
    <row r="1979" ht="13.65" customHeight="1">
      <c r="A1979" s="8"/>
      <c r="B1979" s="8"/>
      <c r="C1979" s="8"/>
      <c r="D1979" s="8"/>
      <c r="E1979" s="8"/>
      <c r="F1979" s="8"/>
      <c r="G1979" s="8"/>
      <c r="H1979" s="8"/>
      <c r="I1979" s="8"/>
      <c r="J1979" s="8"/>
      <c r="K1979" s="8"/>
      <c r="L1979" s="8"/>
      <c r="M1979" s="8"/>
      <c r="N1979" s="8"/>
      <c r="O1979" s="8"/>
    </row>
    <row r="1980" ht="13.65" customHeight="1">
      <c r="A1980" s="8"/>
      <c r="B1980" s="8"/>
      <c r="C1980" s="8"/>
      <c r="D1980" s="8"/>
      <c r="E1980" s="8"/>
      <c r="F1980" s="8"/>
      <c r="G1980" s="8"/>
      <c r="H1980" s="8"/>
      <c r="I1980" s="8"/>
      <c r="J1980" s="8"/>
      <c r="K1980" s="8"/>
      <c r="L1980" s="8"/>
      <c r="M1980" s="8"/>
      <c r="N1980" s="8"/>
      <c r="O1980" s="8"/>
    </row>
    <row r="1981" ht="13.65" customHeight="1">
      <c r="A1981" s="8"/>
      <c r="B1981" s="8"/>
      <c r="C1981" s="8"/>
      <c r="D1981" s="8"/>
      <c r="E1981" s="8"/>
      <c r="F1981" s="8"/>
      <c r="G1981" s="8"/>
      <c r="H1981" s="8"/>
      <c r="I1981" s="8"/>
      <c r="J1981" s="8"/>
      <c r="K1981" s="8"/>
      <c r="L1981" s="8"/>
      <c r="M1981" s="8"/>
      <c r="N1981" s="8"/>
      <c r="O1981" s="8"/>
    </row>
    <row r="1982" ht="13.65" customHeight="1">
      <c r="A1982" s="8"/>
      <c r="B1982" s="8"/>
      <c r="C1982" s="8"/>
      <c r="D1982" s="8"/>
      <c r="E1982" s="8"/>
      <c r="F1982" s="8"/>
      <c r="G1982" s="8"/>
      <c r="H1982" s="8"/>
      <c r="I1982" s="8"/>
      <c r="J1982" s="8"/>
      <c r="K1982" s="8"/>
      <c r="L1982" s="8"/>
      <c r="M1982" s="8"/>
      <c r="N1982" s="8"/>
      <c r="O1982" s="8"/>
    </row>
    <row r="1983" ht="13.65" customHeight="1">
      <c r="A1983" s="8"/>
      <c r="B1983" s="8"/>
      <c r="C1983" s="8"/>
      <c r="D1983" s="8"/>
      <c r="E1983" s="8"/>
      <c r="F1983" s="8"/>
      <c r="G1983" s="8"/>
      <c r="H1983" s="8"/>
      <c r="I1983" s="8"/>
      <c r="J1983" s="8"/>
      <c r="K1983" s="8"/>
      <c r="L1983" s="8"/>
      <c r="M1983" s="8"/>
      <c r="N1983" s="8"/>
      <c r="O1983" s="8"/>
    </row>
    <row r="1984" ht="13.65" customHeight="1">
      <c r="A1984" s="8"/>
      <c r="B1984" s="8"/>
      <c r="C1984" s="8"/>
      <c r="D1984" s="8"/>
      <c r="E1984" s="8"/>
      <c r="F1984" s="8"/>
      <c r="G1984" s="8"/>
      <c r="H1984" s="8"/>
      <c r="I1984" s="8"/>
      <c r="J1984" s="8"/>
      <c r="K1984" s="8"/>
      <c r="L1984" s="8"/>
      <c r="M1984" s="8"/>
      <c r="N1984" s="8"/>
      <c r="O1984" s="8"/>
    </row>
    <row r="1985" ht="13.65" customHeight="1">
      <c r="A1985" s="8"/>
      <c r="B1985" s="8"/>
      <c r="C1985" s="8"/>
      <c r="D1985" s="8"/>
      <c r="E1985" s="8"/>
      <c r="F1985" s="8"/>
      <c r="G1985" s="8"/>
      <c r="H1985" s="8"/>
      <c r="I1985" s="8"/>
      <c r="J1985" s="8"/>
      <c r="K1985" s="8"/>
      <c r="L1985" s="8"/>
      <c r="M1985" s="8"/>
      <c r="N1985" s="8"/>
      <c r="O1985" s="8"/>
    </row>
    <row r="1986" ht="13.65" customHeight="1">
      <c r="A1986" s="8"/>
      <c r="B1986" s="8"/>
      <c r="C1986" s="8"/>
      <c r="D1986" s="8"/>
      <c r="E1986" s="8"/>
      <c r="F1986" s="8"/>
      <c r="G1986" s="8"/>
      <c r="H1986" s="8"/>
      <c r="I1986" s="8"/>
      <c r="J1986" s="8"/>
      <c r="K1986" s="8"/>
      <c r="L1986" s="8"/>
      <c r="M1986" s="8"/>
      <c r="N1986" s="8"/>
      <c r="O1986" s="8"/>
    </row>
    <row r="1987" ht="13.65" customHeight="1">
      <c r="A1987" s="8"/>
      <c r="B1987" s="8"/>
      <c r="C1987" s="8"/>
      <c r="D1987" s="8"/>
      <c r="E1987" s="8"/>
      <c r="F1987" s="8"/>
      <c r="G1987" s="8"/>
      <c r="H1987" s="8"/>
      <c r="I1987" s="8"/>
      <c r="J1987" s="8"/>
      <c r="K1987" s="8"/>
      <c r="L1987" s="8"/>
      <c r="M1987" s="8"/>
      <c r="N1987" s="8"/>
      <c r="O1987" s="8"/>
    </row>
    <row r="1988" ht="13.65" customHeight="1">
      <c r="A1988" s="8"/>
      <c r="B1988" s="8"/>
      <c r="C1988" s="8"/>
      <c r="D1988" s="8"/>
      <c r="E1988" s="8"/>
      <c r="F1988" s="8"/>
      <c r="G1988" s="8"/>
      <c r="H1988" s="8"/>
      <c r="I1988" s="8"/>
      <c r="J1988" s="8"/>
      <c r="K1988" s="8"/>
      <c r="L1988" s="8"/>
      <c r="M1988" s="8"/>
      <c r="N1988" s="8"/>
      <c r="O1988" s="8"/>
    </row>
    <row r="1989" ht="13.65" customHeight="1">
      <c r="A1989" s="8"/>
      <c r="B1989" s="8"/>
      <c r="C1989" s="8"/>
      <c r="D1989" s="8"/>
      <c r="E1989" s="8"/>
      <c r="F1989" s="8"/>
      <c r="G1989" s="8"/>
      <c r="H1989" s="8"/>
      <c r="I1989" s="8"/>
      <c r="J1989" s="8"/>
      <c r="K1989" s="8"/>
      <c r="L1989" s="8"/>
      <c r="M1989" s="8"/>
      <c r="N1989" s="8"/>
      <c r="O1989" s="8"/>
    </row>
    <row r="1990" ht="13.65" customHeight="1">
      <c r="A1990" s="8"/>
      <c r="B1990" s="8"/>
      <c r="C1990" s="8"/>
      <c r="D1990" s="8"/>
      <c r="E1990" s="8"/>
      <c r="F1990" s="8"/>
      <c r="G1990" s="8"/>
      <c r="H1990" s="8"/>
      <c r="I1990" s="8"/>
      <c r="J1990" s="8"/>
      <c r="K1990" s="8"/>
      <c r="L1990" s="8"/>
      <c r="M1990" s="8"/>
      <c r="N1990" s="8"/>
      <c r="O1990" s="8"/>
    </row>
    <row r="1991" ht="13.65" customHeight="1">
      <c r="A1991" s="8"/>
      <c r="B1991" s="8"/>
      <c r="C1991" s="8"/>
      <c r="D1991" s="8"/>
      <c r="E1991" s="8"/>
      <c r="F1991" s="8"/>
      <c r="G1991" s="8"/>
      <c r="H1991" s="8"/>
      <c r="I1991" s="8"/>
      <c r="J1991" s="8"/>
      <c r="K1991" s="8"/>
      <c r="L1991" s="8"/>
      <c r="M1991" s="8"/>
      <c r="N1991" s="8"/>
      <c r="O1991" s="8"/>
    </row>
    <row r="1992" ht="13.65" customHeight="1">
      <c r="A1992" s="8"/>
      <c r="B1992" s="8"/>
      <c r="C1992" s="8"/>
      <c r="D1992" s="8"/>
      <c r="E1992" s="8"/>
      <c r="F1992" s="8"/>
      <c r="G1992" s="8"/>
      <c r="H1992" s="8"/>
      <c r="I1992" s="8"/>
      <c r="J1992" s="8"/>
      <c r="K1992" s="8"/>
      <c r="L1992" s="8"/>
      <c r="M1992" s="8"/>
      <c r="N1992" s="8"/>
      <c r="O1992" s="8"/>
    </row>
    <row r="1993" ht="13.65" customHeight="1">
      <c r="A1993" s="8"/>
      <c r="B1993" s="8"/>
      <c r="C1993" s="8"/>
      <c r="D1993" s="8"/>
      <c r="E1993" s="8"/>
      <c r="F1993" s="8"/>
      <c r="G1993" s="8"/>
      <c r="H1993" s="8"/>
      <c r="I1993" s="8"/>
      <c r="J1993" s="8"/>
      <c r="K1993" s="8"/>
      <c r="L1993" s="8"/>
      <c r="M1993" s="8"/>
      <c r="N1993" s="8"/>
      <c r="O1993" s="8"/>
    </row>
    <row r="1994" ht="13.65" customHeight="1">
      <c r="A1994" s="8"/>
      <c r="B1994" s="8"/>
      <c r="C1994" s="8"/>
      <c r="D1994" s="8"/>
      <c r="E1994" s="8"/>
      <c r="F1994" s="8"/>
      <c r="G1994" s="8"/>
      <c r="H1994" s="8"/>
      <c r="I1994" s="8"/>
      <c r="J1994" s="8"/>
      <c r="K1994" s="8"/>
      <c r="L1994" s="8"/>
      <c r="M1994" s="8"/>
      <c r="N1994" s="8"/>
      <c r="O1994" s="8"/>
    </row>
    <row r="1995" ht="13.65" customHeight="1">
      <c r="A1995" s="8"/>
      <c r="B1995" s="8"/>
      <c r="C1995" s="8"/>
      <c r="D1995" s="8"/>
      <c r="E1995" s="8"/>
      <c r="F1995" s="8"/>
      <c r="G1995" s="8"/>
      <c r="H1995" s="8"/>
      <c r="I1995" s="8"/>
      <c r="J1995" s="8"/>
      <c r="K1995" s="8"/>
      <c r="L1995" s="8"/>
      <c r="M1995" s="8"/>
      <c r="N1995" s="8"/>
      <c r="O1995" s="8"/>
    </row>
    <row r="1996" ht="13.65" customHeight="1">
      <c r="A1996" s="8"/>
      <c r="B1996" s="8"/>
      <c r="C1996" s="8"/>
      <c r="D1996" s="8"/>
      <c r="E1996" s="8"/>
      <c r="F1996" s="8"/>
      <c r="G1996" s="8"/>
      <c r="H1996" s="8"/>
      <c r="I1996" s="8"/>
      <c r="J1996" s="8"/>
      <c r="K1996" s="8"/>
      <c r="L1996" s="8"/>
      <c r="M1996" s="8"/>
      <c r="N1996" s="8"/>
      <c r="O1996" s="8"/>
    </row>
    <row r="1997" ht="13.65" customHeight="1">
      <c r="A1997" s="8"/>
      <c r="B1997" s="8"/>
      <c r="C1997" s="8"/>
      <c r="D1997" s="8"/>
      <c r="E1997" s="8"/>
      <c r="F1997" s="8"/>
      <c r="G1997" s="8"/>
      <c r="H1997" s="8"/>
      <c r="I1997" s="8"/>
      <c r="J1997" s="8"/>
      <c r="K1997" s="8"/>
      <c r="L1997" s="8"/>
      <c r="M1997" s="8"/>
      <c r="N1997" s="8"/>
      <c r="O1997" s="8"/>
    </row>
    <row r="1998" ht="13.65" customHeight="1">
      <c r="A1998" s="8"/>
      <c r="B1998" s="8"/>
      <c r="C1998" s="8"/>
      <c r="D1998" s="8"/>
      <c r="E1998" s="8"/>
      <c r="F1998" s="8"/>
      <c r="G1998" s="8"/>
      <c r="H1998" s="8"/>
      <c r="I1998" s="8"/>
      <c r="J1998" s="8"/>
      <c r="K1998" s="8"/>
      <c r="L1998" s="8"/>
      <c r="M1998" s="8"/>
      <c r="N1998" s="8"/>
      <c r="O1998" s="8"/>
    </row>
    <row r="1999" ht="13.65" customHeight="1">
      <c r="A1999" s="8"/>
      <c r="B1999" s="8"/>
      <c r="C1999" s="8"/>
      <c r="D1999" s="8"/>
      <c r="E1999" s="8"/>
      <c r="F1999" s="8"/>
      <c r="G1999" s="8"/>
      <c r="H1999" s="8"/>
      <c r="I1999" s="8"/>
      <c r="J1999" s="8"/>
      <c r="K1999" s="8"/>
      <c r="L1999" s="8"/>
      <c r="M1999" s="8"/>
      <c r="N1999" s="8"/>
      <c r="O1999" s="8"/>
    </row>
    <row r="2000" ht="13.65" customHeight="1">
      <c r="A2000" s="8"/>
      <c r="B2000" s="8"/>
      <c r="C2000" s="8"/>
      <c r="D2000" s="8"/>
      <c r="E2000" s="8"/>
      <c r="F2000" s="8"/>
      <c r="G2000" s="8"/>
      <c r="H2000" s="8"/>
      <c r="I2000" s="8"/>
      <c r="J2000" s="8"/>
      <c r="K2000" s="8"/>
      <c r="L2000" s="8"/>
      <c r="M2000" s="8"/>
      <c r="N2000" s="8"/>
      <c r="O2000" s="8"/>
    </row>
    <row r="2001" ht="13.65" customHeight="1">
      <c r="A2001" s="8"/>
      <c r="B2001" s="8"/>
      <c r="C2001" s="8"/>
      <c r="D2001" s="8"/>
      <c r="E2001" s="8"/>
      <c r="F2001" s="8"/>
      <c r="G2001" s="8"/>
      <c r="H2001" s="8"/>
      <c r="I2001" s="8"/>
      <c r="J2001" s="8"/>
      <c r="K2001" s="8"/>
      <c r="L2001" s="8"/>
      <c r="M2001" s="8"/>
      <c r="N2001" s="8"/>
      <c r="O2001" s="8"/>
    </row>
    <row r="2002" ht="13.65" customHeight="1">
      <c r="A2002" s="8"/>
      <c r="B2002" s="8"/>
      <c r="C2002" s="8"/>
      <c r="D2002" s="8"/>
      <c r="E2002" s="8"/>
      <c r="F2002" s="8"/>
      <c r="G2002" s="8"/>
      <c r="H2002" s="8"/>
      <c r="I2002" s="8"/>
      <c r="J2002" s="8"/>
      <c r="K2002" s="8"/>
      <c r="L2002" s="8"/>
      <c r="M2002" s="8"/>
      <c r="N2002" s="8"/>
      <c r="O2002" s="8"/>
    </row>
    <row r="2003" ht="13.65" customHeight="1">
      <c r="A2003" s="8"/>
      <c r="B2003" s="8"/>
      <c r="C2003" s="8"/>
      <c r="D2003" s="8"/>
      <c r="E2003" s="8"/>
      <c r="F2003" s="8"/>
      <c r="G2003" s="8"/>
      <c r="H2003" s="8"/>
      <c r="I2003" s="8"/>
      <c r="J2003" s="8"/>
      <c r="K2003" s="8"/>
      <c r="L2003" s="8"/>
      <c r="M2003" s="8"/>
      <c r="N2003" s="8"/>
      <c r="O2003" s="8"/>
    </row>
    <row r="2004" ht="13.65" customHeight="1">
      <c r="A2004" s="8"/>
      <c r="B2004" s="8"/>
      <c r="C2004" s="8"/>
      <c r="D2004" s="8"/>
      <c r="E2004" s="8"/>
      <c r="F2004" s="8"/>
      <c r="G2004" s="8"/>
      <c r="H2004" s="8"/>
      <c r="I2004" s="8"/>
      <c r="J2004" s="8"/>
      <c r="K2004" s="8"/>
      <c r="L2004" s="8"/>
      <c r="M2004" s="8"/>
      <c r="N2004" s="8"/>
      <c r="O2004" s="8"/>
    </row>
    <row r="2005" ht="13.65" customHeight="1">
      <c r="A2005" s="8"/>
      <c r="B2005" s="8"/>
      <c r="C2005" s="8"/>
      <c r="D2005" s="8"/>
      <c r="E2005" s="8"/>
      <c r="F2005" s="8"/>
      <c r="G2005" s="8"/>
      <c r="H2005" s="8"/>
      <c r="I2005" s="8"/>
      <c r="J2005" s="8"/>
      <c r="K2005" s="8"/>
      <c r="L2005" s="8"/>
      <c r="M2005" s="8"/>
      <c r="N2005" s="8"/>
      <c r="O2005" s="8"/>
    </row>
    <row r="2006" ht="13.65" customHeight="1">
      <c r="A2006" s="8"/>
      <c r="B2006" s="8"/>
      <c r="C2006" s="8"/>
      <c r="D2006" s="8"/>
      <c r="E2006" s="8"/>
      <c r="F2006" s="8"/>
      <c r="G2006" s="8"/>
      <c r="H2006" s="8"/>
      <c r="I2006" s="8"/>
      <c r="J2006" s="8"/>
      <c r="K2006" s="8"/>
      <c r="L2006" s="8"/>
      <c r="M2006" s="8"/>
      <c r="N2006" s="8"/>
      <c r="O2006" s="8"/>
    </row>
    <row r="2007" ht="13.65" customHeight="1">
      <c r="A2007" s="8"/>
      <c r="B2007" s="8"/>
      <c r="C2007" s="8"/>
      <c r="D2007" s="8"/>
      <c r="E2007" s="8"/>
      <c r="F2007" s="8"/>
      <c r="G2007" s="8"/>
      <c r="H2007" s="8"/>
      <c r="I2007" s="8"/>
      <c r="J2007" s="8"/>
      <c r="K2007" s="8"/>
      <c r="L2007" s="8"/>
      <c r="M2007" s="8"/>
      <c r="N2007" s="8"/>
      <c r="O2007" s="8"/>
    </row>
    <row r="2008" ht="13.65" customHeight="1">
      <c r="A2008" s="8"/>
      <c r="B2008" s="8"/>
      <c r="C2008" s="8"/>
      <c r="D2008" s="8"/>
      <c r="E2008" s="8"/>
      <c r="F2008" s="8"/>
      <c r="G2008" s="8"/>
      <c r="H2008" s="8"/>
      <c r="I2008" s="8"/>
      <c r="J2008" s="8"/>
      <c r="K2008" s="8"/>
      <c r="L2008" s="8"/>
      <c r="M2008" s="8"/>
      <c r="N2008" s="8"/>
      <c r="O2008" s="8"/>
    </row>
    <row r="2009" ht="13.65" customHeight="1">
      <c r="A2009" s="8"/>
      <c r="B2009" s="8"/>
      <c r="C2009" s="8"/>
      <c r="D2009" s="8"/>
      <c r="E2009" s="8"/>
      <c r="F2009" s="8"/>
      <c r="G2009" s="8"/>
      <c r="H2009" s="8"/>
      <c r="I2009" s="8"/>
      <c r="J2009" s="8"/>
      <c r="K2009" s="8"/>
      <c r="L2009" s="8"/>
      <c r="M2009" s="8"/>
      <c r="N2009" s="8"/>
      <c r="O2009" s="8"/>
    </row>
    <row r="2010" ht="13.65" customHeight="1">
      <c r="A2010" s="8"/>
      <c r="B2010" s="8"/>
      <c r="C2010" s="8"/>
      <c r="D2010" s="8"/>
      <c r="E2010" s="8"/>
      <c r="F2010" s="8"/>
      <c r="G2010" s="8"/>
      <c r="H2010" s="8"/>
      <c r="I2010" s="8"/>
      <c r="J2010" s="8"/>
      <c r="K2010" s="8"/>
      <c r="L2010" s="8"/>
      <c r="M2010" s="8"/>
      <c r="N2010" s="8"/>
      <c r="O2010" s="8"/>
    </row>
    <row r="2011" ht="13.65" customHeight="1">
      <c r="A2011" s="8"/>
      <c r="B2011" s="8"/>
      <c r="C2011" s="8"/>
      <c r="D2011" s="8"/>
      <c r="E2011" s="8"/>
      <c r="F2011" s="8"/>
      <c r="G2011" s="8"/>
      <c r="H2011" s="8"/>
      <c r="I2011" s="8"/>
      <c r="J2011" s="8"/>
      <c r="K2011" s="8"/>
      <c r="L2011" s="8"/>
      <c r="M2011" s="8"/>
      <c r="N2011" s="8"/>
      <c r="O2011" s="8"/>
    </row>
    <row r="2012" ht="13.65" customHeight="1">
      <c r="A2012" s="8"/>
      <c r="B2012" s="8"/>
      <c r="C2012" s="8"/>
      <c r="D2012" s="8"/>
      <c r="E2012" s="8"/>
      <c r="F2012" s="8"/>
      <c r="G2012" s="8"/>
      <c r="H2012" s="8"/>
      <c r="I2012" s="8"/>
      <c r="J2012" s="8"/>
      <c r="K2012" s="8"/>
      <c r="L2012" s="8"/>
      <c r="M2012" s="8"/>
      <c r="N2012" s="8"/>
      <c r="O2012" s="8"/>
    </row>
    <row r="2013" ht="13.65" customHeight="1">
      <c r="A2013" s="8"/>
      <c r="B2013" s="8"/>
      <c r="C2013" s="8"/>
      <c r="D2013" s="8"/>
      <c r="E2013" s="8"/>
      <c r="F2013" s="8"/>
      <c r="G2013" s="8"/>
      <c r="H2013" s="8"/>
      <c r="I2013" s="8"/>
      <c r="J2013" s="8"/>
      <c r="K2013" s="8"/>
      <c r="L2013" s="8"/>
      <c r="M2013" s="8"/>
      <c r="N2013" s="8"/>
      <c r="O2013" s="8"/>
    </row>
    <row r="2014" ht="13.65" customHeight="1">
      <c r="A2014" s="8"/>
      <c r="B2014" s="8"/>
      <c r="C2014" s="8"/>
      <c r="D2014" s="8"/>
      <c r="E2014" s="8"/>
      <c r="F2014" s="8"/>
      <c r="G2014" s="8"/>
      <c r="H2014" s="8"/>
      <c r="I2014" s="8"/>
      <c r="J2014" s="8"/>
      <c r="K2014" s="8"/>
      <c r="L2014" s="8"/>
      <c r="M2014" s="8"/>
      <c r="N2014" s="8"/>
      <c r="O2014" s="8"/>
    </row>
    <row r="2015" ht="13.65" customHeight="1">
      <c r="A2015" s="8"/>
      <c r="B2015" s="8"/>
      <c r="C2015" s="8"/>
      <c r="D2015" s="8"/>
      <c r="E2015" s="8"/>
      <c r="F2015" s="8"/>
      <c r="G2015" s="8"/>
      <c r="H2015" s="8"/>
      <c r="I2015" s="8"/>
      <c r="J2015" s="8"/>
      <c r="K2015" s="8"/>
      <c r="L2015" s="8"/>
      <c r="M2015" s="8"/>
      <c r="N2015" s="8"/>
      <c r="O2015" s="8"/>
    </row>
    <row r="2016" ht="13.65" customHeight="1">
      <c r="A2016" s="8"/>
      <c r="B2016" s="8"/>
      <c r="C2016" s="8"/>
      <c r="D2016" s="8"/>
      <c r="E2016" s="8"/>
      <c r="F2016" s="8"/>
      <c r="G2016" s="8"/>
      <c r="H2016" s="8"/>
      <c r="I2016" s="8"/>
      <c r="J2016" s="8"/>
      <c r="K2016" s="8"/>
      <c r="L2016" s="8"/>
      <c r="M2016" s="8"/>
      <c r="N2016" s="8"/>
      <c r="O2016" s="8"/>
    </row>
    <row r="2017" ht="13.65" customHeight="1">
      <c r="A2017" s="8"/>
      <c r="B2017" s="8"/>
      <c r="C2017" s="8"/>
      <c r="D2017" s="8"/>
      <c r="E2017" s="8"/>
      <c r="F2017" s="8"/>
      <c r="G2017" s="8"/>
      <c r="H2017" s="8"/>
      <c r="I2017" s="8"/>
      <c r="J2017" s="8"/>
      <c r="K2017" s="8"/>
      <c r="L2017" s="8"/>
      <c r="M2017" s="8"/>
      <c r="N2017" s="8"/>
      <c r="O2017" s="8"/>
    </row>
    <row r="2018" ht="13.65" customHeight="1">
      <c r="A2018" s="8"/>
      <c r="B2018" s="8"/>
      <c r="C2018" s="8"/>
      <c r="D2018" s="8"/>
      <c r="E2018" s="8"/>
      <c r="F2018" s="8"/>
      <c r="G2018" s="8"/>
      <c r="H2018" s="8"/>
      <c r="I2018" s="8"/>
      <c r="J2018" s="8"/>
      <c r="K2018" s="8"/>
      <c r="L2018" s="8"/>
      <c r="M2018" s="8"/>
      <c r="N2018" s="8"/>
      <c r="O2018" s="8"/>
    </row>
    <row r="2019" ht="13.65" customHeight="1">
      <c r="A2019" s="8"/>
      <c r="B2019" s="8"/>
      <c r="C2019" s="8"/>
      <c r="D2019" s="8"/>
      <c r="E2019" s="8"/>
      <c r="F2019" s="8"/>
      <c r="G2019" s="8"/>
      <c r="H2019" s="8"/>
      <c r="I2019" s="8"/>
      <c r="J2019" s="8"/>
      <c r="K2019" s="8"/>
      <c r="L2019" s="8"/>
      <c r="M2019" s="8"/>
      <c r="N2019" s="8"/>
      <c r="O2019" s="8"/>
    </row>
    <row r="2020" ht="13.65" customHeight="1">
      <c r="A2020" s="8"/>
      <c r="B2020" s="8"/>
      <c r="C2020" s="8"/>
      <c r="D2020" s="8"/>
      <c r="E2020" s="8"/>
      <c r="F2020" s="8"/>
      <c r="G2020" s="8"/>
      <c r="H2020" s="8"/>
      <c r="I2020" s="8"/>
      <c r="J2020" s="8"/>
      <c r="K2020" s="8"/>
      <c r="L2020" s="8"/>
      <c r="M2020" s="8"/>
      <c r="N2020" s="8"/>
      <c r="O2020" s="8"/>
    </row>
    <row r="2021" ht="13.65" customHeight="1">
      <c r="A2021" s="8"/>
      <c r="B2021" s="8"/>
      <c r="C2021" s="8"/>
      <c r="D2021" s="8"/>
      <c r="E2021" s="8"/>
      <c r="F2021" s="8"/>
      <c r="G2021" s="8"/>
      <c r="H2021" s="8"/>
      <c r="I2021" s="8"/>
      <c r="J2021" s="8"/>
      <c r="K2021" s="8"/>
      <c r="L2021" s="8"/>
      <c r="M2021" s="8"/>
      <c r="N2021" s="8"/>
      <c r="O2021" s="8"/>
    </row>
    <row r="2022" ht="13.65" customHeight="1">
      <c r="A2022" s="8"/>
      <c r="B2022" s="8"/>
      <c r="C2022" s="8"/>
      <c r="D2022" s="8"/>
      <c r="E2022" s="8"/>
      <c r="F2022" s="8"/>
      <c r="G2022" s="8"/>
      <c r="H2022" s="8"/>
      <c r="I2022" s="8"/>
      <c r="J2022" s="8"/>
      <c r="K2022" s="8"/>
      <c r="L2022" s="8"/>
      <c r="M2022" s="8"/>
      <c r="N2022" s="8"/>
      <c r="O2022" s="8"/>
    </row>
    <row r="2023" ht="13.65" customHeight="1">
      <c r="A2023" s="8"/>
      <c r="B2023" s="8"/>
      <c r="C2023" s="8"/>
      <c r="D2023" s="8"/>
      <c r="E2023" s="8"/>
      <c r="F2023" s="8"/>
      <c r="G2023" s="8"/>
      <c r="H2023" s="8"/>
      <c r="I2023" s="8"/>
      <c r="J2023" s="8"/>
      <c r="K2023" s="8"/>
      <c r="L2023" s="8"/>
      <c r="M2023" s="8"/>
      <c r="N2023" s="8"/>
      <c r="O2023" s="8"/>
    </row>
    <row r="2024" ht="13.65" customHeight="1">
      <c r="A2024" s="8"/>
      <c r="B2024" s="8"/>
      <c r="C2024" s="8"/>
      <c r="D2024" s="8"/>
      <c r="E2024" s="8"/>
      <c r="F2024" s="8"/>
      <c r="G2024" s="8"/>
      <c r="H2024" s="8"/>
      <c r="I2024" s="8"/>
      <c r="J2024" s="8"/>
      <c r="K2024" s="8"/>
      <c r="L2024" s="8"/>
      <c r="M2024" s="8"/>
      <c r="N2024" s="8"/>
      <c r="O2024" s="8"/>
    </row>
    <row r="2025" ht="13.65" customHeight="1">
      <c r="A2025" s="8"/>
      <c r="B2025" s="8"/>
      <c r="C2025" s="8"/>
      <c r="D2025" s="8"/>
      <c r="E2025" s="8"/>
      <c r="F2025" s="8"/>
      <c r="G2025" s="8"/>
      <c r="H2025" s="8"/>
      <c r="I2025" s="8"/>
      <c r="J2025" s="8"/>
      <c r="K2025" s="8"/>
      <c r="L2025" s="8"/>
      <c r="M2025" s="8"/>
      <c r="N2025" s="8"/>
      <c r="O2025" s="8"/>
    </row>
    <row r="2026" ht="13.65" customHeight="1">
      <c r="A2026" s="8"/>
      <c r="B2026" s="8"/>
      <c r="C2026" s="8"/>
      <c r="D2026" s="8"/>
      <c r="E2026" s="8"/>
      <c r="F2026" s="8"/>
      <c r="G2026" s="8"/>
      <c r="H2026" s="8"/>
      <c r="I2026" s="8"/>
      <c r="J2026" s="8"/>
      <c r="K2026" s="8"/>
      <c r="L2026" s="8"/>
      <c r="M2026" s="8"/>
      <c r="N2026" s="8"/>
      <c r="O2026" s="8"/>
    </row>
    <row r="2027" ht="13.65" customHeight="1">
      <c r="A2027" s="8"/>
      <c r="B2027" s="8"/>
      <c r="C2027" s="8"/>
      <c r="D2027" s="8"/>
      <c r="E2027" s="8"/>
      <c r="F2027" s="8"/>
      <c r="G2027" s="8"/>
      <c r="H2027" s="8"/>
      <c r="I2027" s="8"/>
      <c r="J2027" s="8"/>
      <c r="K2027" s="8"/>
      <c r="L2027" s="8"/>
      <c r="M2027" s="8"/>
      <c r="N2027" s="8"/>
      <c r="O2027" s="8"/>
    </row>
    <row r="2028" ht="13.65" customHeight="1">
      <c r="A2028" s="8"/>
      <c r="B2028" s="8"/>
      <c r="C2028" s="8"/>
      <c r="D2028" s="8"/>
      <c r="E2028" s="8"/>
      <c r="F2028" s="8"/>
      <c r="G2028" s="8"/>
      <c r="H2028" s="8"/>
      <c r="I2028" s="8"/>
      <c r="J2028" s="8"/>
      <c r="K2028" s="8"/>
      <c r="L2028" s="8"/>
      <c r="M2028" s="8"/>
      <c r="N2028" s="8"/>
      <c r="O2028" s="8"/>
    </row>
    <row r="2029" ht="13.65" customHeight="1">
      <c r="A2029" s="8"/>
      <c r="B2029" s="8"/>
      <c r="C2029" s="8"/>
      <c r="D2029" s="8"/>
      <c r="E2029" s="8"/>
      <c r="F2029" s="8"/>
      <c r="G2029" s="8"/>
      <c r="H2029" s="8"/>
      <c r="I2029" s="8"/>
      <c r="J2029" s="8"/>
      <c r="K2029" s="8"/>
      <c r="L2029" s="8"/>
      <c r="M2029" s="8"/>
      <c r="N2029" s="8"/>
      <c r="O2029" s="8"/>
    </row>
    <row r="2030" ht="13.65" customHeight="1">
      <c r="A2030" s="8"/>
      <c r="B2030" s="8"/>
      <c r="C2030" s="8"/>
      <c r="D2030" s="8"/>
      <c r="E2030" s="8"/>
      <c r="F2030" s="8"/>
      <c r="G2030" s="8"/>
      <c r="H2030" s="8"/>
      <c r="I2030" s="8"/>
      <c r="J2030" s="8"/>
      <c r="K2030" s="8"/>
      <c r="L2030" s="8"/>
      <c r="M2030" s="8"/>
      <c r="N2030" s="8"/>
      <c r="O2030"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O2029"/>
  <sheetViews>
    <sheetView workbookViewId="0" showGridLines="0" defaultGridColor="1"/>
  </sheetViews>
  <sheetFormatPr defaultColWidth="12.6667" defaultRowHeight="15.75" customHeight="1" outlineLevelRow="0" outlineLevelCol="0"/>
  <cols>
    <col min="1" max="15" width="12.6719" style="49" customWidth="1"/>
    <col min="16" max="16384" width="12.6719" style="49" customWidth="1"/>
  </cols>
  <sheetData>
    <row r="1" ht="13.65" customHeight="1">
      <c r="A1" s="8"/>
      <c r="B1" s="8"/>
      <c r="C1" s="8"/>
      <c r="D1" s="8"/>
      <c r="E1" s="8"/>
      <c r="F1" s="8"/>
      <c r="G1" s="8"/>
      <c r="H1" s="8"/>
      <c r="I1" s="8"/>
      <c r="J1" s="8"/>
      <c r="K1" s="8"/>
      <c r="L1" s="8"/>
      <c r="M1" s="8"/>
      <c r="N1" s="8"/>
      <c r="O1" s="8"/>
    </row>
    <row r="2" ht="13.65" customHeight="1">
      <c r="A2" t="s" s="7">
        <v>6</v>
      </c>
      <c r="B2" s="8"/>
      <c r="C2" s="8"/>
      <c r="D2" s="8"/>
      <c r="E2" s="8"/>
      <c r="F2" s="8"/>
      <c r="G2" s="8"/>
      <c r="H2" s="8"/>
      <c r="I2" s="8"/>
      <c r="J2" s="8"/>
      <c r="K2" s="8"/>
      <c r="L2" s="8"/>
      <c r="M2" s="8"/>
      <c r="N2" s="8"/>
      <c r="O2" s="8"/>
    </row>
    <row r="3" ht="13.65" customHeight="1">
      <c r="A3" s="9"/>
      <c r="B3" s="9"/>
      <c r="C3" s="9"/>
      <c r="D3" s="9"/>
      <c r="E3" s="9"/>
      <c r="F3" s="9"/>
      <c r="G3" s="9"/>
      <c r="H3" s="9"/>
      <c r="I3" s="9"/>
      <c r="J3" s="9"/>
      <c r="K3" s="9"/>
      <c r="L3" s="9"/>
      <c r="M3" s="9"/>
      <c r="N3" s="9"/>
      <c r="O3" s="8"/>
    </row>
    <row r="4" ht="13.65" customHeight="1">
      <c r="A4" t="s" s="10">
        <v>7</v>
      </c>
      <c r="B4" t="s" s="10">
        <v>8</v>
      </c>
      <c r="C4" t="s" s="10">
        <v>9</v>
      </c>
      <c r="D4" t="s" s="10">
        <v>10</v>
      </c>
      <c r="E4" t="s" s="10">
        <v>11</v>
      </c>
      <c r="F4" t="s" s="10">
        <v>12</v>
      </c>
      <c r="G4" t="s" s="10">
        <v>13</v>
      </c>
      <c r="H4" t="s" s="10">
        <v>14</v>
      </c>
      <c r="I4" t="s" s="10">
        <v>15</v>
      </c>
      <c r="J4" t="s" s="10">
        <v>16</v>
      </c>
      <c r="K4" t="s" s="10">
        <v>17</v>
      </c>
      <c r="L4" t="s" s="10">
        <v>18</v>
      </c>
      <c r="M4" t="s" s="10">
        <v>19</v>
      </c>
      <c r="N4" t="s" s="10">
        <v>20</v>
      </c>
      <c r="O4" t="s" s="11">
        <v>278</v>
      </c>
    </row>
    <row r="5" ht="13.65" customHeight="1">
      <c r="A5" s="12">
        <v>44287</v>
      </c>
      <c r="B5" t="s" s="13">
        <v>22</v>
      </c>
      <c r="C5" s="15">
        <v>220</v>
      </c>
      <c r="D5" s="15">
        <v>220.6</v>
      </c>
      <c r="E5" s="15">
        <v>217.3</v>
      </c>
      <c r="F5" s="15">
        <v>218.5</v>
      </c>
      <c r="G5" s="15">
        <v>220.05</v>
      </c>
      <c r="H5" s="15">
        <v>220.05</v>
      </c>
      <c r="I5" s="15">
        <v>219.11</v>
      </c>
      <c r="J5" s="15">
        <v>239.2</v>
      </c>
      <c r="K5" s="15">
        <v>156.05</v>
      </c>
      <c r="L5" s="15">
        <v>29062762</v>
      </c>
      <c r="M5" t="s" s="13">
        <v>8811</v>
      </c>
      <c r="N5" s="15">
        <v>125473</v>
      </c>
      <c r="O5" s="16"/>
    </row>
    <row r="6" ht="13.65" customHeight="1">
      <c r="A6" s="12">
        <v>44291</v>
      </c>
      <c r="B6" t="s" s="13">
        <v>22</v>
      </c>
      <c r="C6" s="15">
        <v>217.6</v>
      </c>
      <c r="D6" s="15">
        <v>220</v>
      </c>
      <c r="E6" s="15">
        <v>210.5</v>
      </c>
      <c r="F6" s="15">
        <v>220.05</v>
      </c>
      <c r="G6" s="15">
        <v>211.95</v>
      </c>
      <c r="H6" s="15">
        <v>212.55</v>
      </c>
      <c r="I6" s="15">
        <v>213.47</v>
      </c>
      <c r="J6" s="15">
        <v>239.2</v>
      </c>
      <c r="K6" s="15">
        <v>157.1</v>
      </c>
      <c r="L6" s="15">
        <v>31378045</v>
      </c>
      <c r="M6" t="s" s="13">
        <v>8812</v>
      </c>
      <c r="N6" s="15">
        <v>220759</v>
      </c>
      <c r="O6" s="17" cm="1">
        <f t="array" ref="O6">(H6-H5)/H5</f>
        <v>-0.0340831629175187</v>
      </c>
    </row>
    <row r="7" ht="13.65" customHeight="1">
      <c r="A7" s="12">
        <v>44292</v>
      </c>
      <c r="B7" t="s" s="13">
        <v>22</v>
      </c>
      <c r="C7" s="15">
        <v>213.8</v>
      </c>
      <c r="D7" s="15">
        <v>214.95</v>
      </c>
      <c r="E7" s="15">
        <v>210.15</v>
      </c>
      <c r="F7" s="15">
        <v>212.55</v>
      </c>
      <c r="G7" s="15">
        <v>212.8</v>
      </c>
      <c r="H7" s="15">
        <v>212.65</v>
      </c>
      <c r="I7" s="15">
        <v>212.66</v>
      </c>
      <c r="J7" s="15">
        <v>239.2</v>
      </c>
      <c r="K7" s="15">
        <v>157.1</v>
      </c>
      <c r="L7" s="15">
        <v>25674227</v>
      </c>
      <c r="M7" t="s" s="13">
        <v>8813</v>
      </c>
      <c r="N7" s="15">
        <v>143881</v>
      </c>
      <c r="O7" s="17" cm="1">
        <f t="array" ref="O7">(H7-H6)/H6</f>
        <v>0.000470477534697718</v>
      </c>
    </row>
    <row r="8" ht="13.65" customHeight="1">
      <c r="A8" s="12">
        <v>44293</v>
      </c>
      <c r="B8" t="s" s="13">
        <v>22</v>
      </c>
      <c r="C8" s="15">
        <v>212.7</v>
      </c>
      <c r="D8" s="15">
        <v>215.2</v>
      </c>
      <c r="E8" s="15">
        <v>212.45</v>
      </c>
      <c r="F8" s="15">
        <v>212.65</v>
      </c>
      <c r="G8" s="15">
        <v>213.65</v>
      </c>
      <c r="H8" s="15">
        <v>213.8</v>
      </c>
      <c r="I8" s="15">
        <v>214.02</v>
      </c>
      <c r="J8" s="15">
        <v>239.2</v>
      </c>
      <c r="K8" s="15">
        <v>157.1</v>
      </c>
      <c r="L8" s="15">
        <v>15204883</v>
      </c>
      <c r="M8" t="s" s="13">
        <v>8814</v>
      </c>
      <c r="N8" s="15">
        <v>96741</v>
      </c>
      <c r="O8" s="17" cm="1">
        <f t="array" ref="O8">(H8-H7)/H7</f>
        <v>0.00540794733129556</v>
      </c>
    </row>
    <row r="9" ht="13.65" customHeight="1">
      <c r="A9" s="12">
        <v>44294</v>
      </c>
      <c r="B9" t="s" s="13">
        <v>22</v>
      </c>
      <c r="C9" s="15">
        <v>214.85</v>
      </c>
      <c r="D9" s="15">
        <v>216.1</v>
      </c>
      <c r="E9" s="15">
        <v>212.85</v>
      </c>
      <c r="F9" s="15">
        <v>213.8</v>
      </c>
      <c r="G9" s="15">
        <v>213.5</v>
      </c>
      <c r="H9" s="15">
        <v>213.25</v>
      </c>
      <c r="I9" s="15">
        <v>214.28</v>
      </c>
      <c r="J9" s="15">
        <v>239.2</v>
      </c>
      <c r="K9" s="15">
        <v>157.1</v>
      </c>
      <c r="L9" s="15">
        <v>14116874</v>
      </c>
      <c r="M9" t="s" s="13">
        <v>8815</v>
      </c>
      <c r="N9" s="15">
        <v>81632</v>
      </c>
      <c r="O9" s="17" cm="1">
        <f t="array" ref="O9">(H9-H8)/H8</f>
        <v>-0.00257249766136576</v>
      </c>
    </row>
    <row r="10" ht="13.65" customHeight="1">
      <c r="A10" s="12">
        <v>44295</v>
      </c>
      <c r="B10" t="s" s="13">
        <v>22</v>
      </c>
      <c r="C10" s="15">
        <v>213.75</v>
      </c>
      <c r="D10" s="15">
        <v>215.95</v>
      </c>
      <c r="E10" s="15">
        <v>212.55</v>
      </c>
      <c r="F10" s="15">
        <v>213.25</v>
      </c>
      <c r="G10" s="15">
        <v>213.25</v>
      </c>
      <c r="H10" s="15">
        <v>213.1</v>
      </c>
      <c r="I10" s="15">
        <v>213.94</v>
      </c>
      <c r="J10" s="15">
        <v>239.2</v>
      </c>
      <c r="K10" s="15">
        <v>157.1</v>
      </c>
      <c r="L10" s="15">
        <v>16364247</v>
      </c>
      <c r="M10" t="s" s="13">
        <v>8816</v>
      </c>
      <c r="N10" s="15">
        <v>110013</v>
      </c>
      <c r="O10" s="17" cm="1">
        <f t="array" ref="O10">(H10-H9)/H9</f>
        <v>-0.000703399765533411</v>
      </c>
    </row>
    <row r="11" ht="13.65" customHeight="1">
      <c r="A11" s="18">
        <v>44298</v>
      </c>
      <c r="B11" t="s" s="13">
        <v>22</v>
      </c>
      <c r="C11" s="15">
        <v>210</v>
      </c>
      <c r="D11" s="15">
        <v>211</v>
      </c>
      <c r="E11" s="15">
        <v>205</v>
      </c>
      <c r="F11" s="15">
        <v>213.1</v>
      </c>
      <c r="G11" s="15">
        <v>205.3</v>
      </c>
      <c r="H11" s="15">
        <v>205.3</v>
      </c>
      <c r="I11" s="15">
        <v>207.32</v>
      </c>
      <c r="J11" s="15">
        <v>239.2</v>
      </c>
      <c r="K11" s="15">
        <v>157.1</v>
      </c>
      <c r="L11" s="15">
        <v>34511670</v>
      </c>
      <c r="M11" t="s" s="13">
        <v>8817</v>
      </c>
      <c r="N11" s="15">
        <v>256517</v>
      </c>
      <c r="O11" s="17" cm="1">
        <f t="array" ref="O11">(H11-H10)/H10</f>
        <v>-0.0366025340215861</v>
      </c>
    </row>
    <row r="12" ht="13.65" customHeight="1">
      <c r="A12" s="18">
        <v>44299</v>
      </c>
      <c r="B12" t="s" s="13">
        <v>22</v>
      </c>
      <c r="C12" s="15">
        <v>207</v>
      </c>
      <c r="D12" s="15">
        <v>209.7</v>
      </c>
      <c r="E12" s="15">
        <v>206</v>
      </c>
      <c r="F12" s="15">
        <v>205.3</v>
      </c>
      <c r="G12" s="15">
        <v>208.65</v>
      </c>
      <c r="H12" s="15">
        <v>208.7</v>
      </c>
      <c r="I12" s="15">
        <v>207.75</v>
      </c>
      <c r="J12" s="15">
        <v>239.2</v>
      </c>
      <c r="K12" s="15">
        <v>157.1</v>
      </c>
      <c r="L12" s="15">
        <v>20247639</v>
      </c>
      <c r="M12" t="s" s="13">
        <v>8818</v>
      </c>
      <c r="N12" s="15">
        <v>133141</v>
      </c>
      <c r="O12" s="17" cm="1">
        <f t="array" ref="O12">(H12-H11)/H11</f>
        <v>0.0165611300535801</v>
      </c>
    </row>
    <row r="13" ht="13.65" customHeight="1">
      <c r="A13" s="18">
        <v>44301</v>
      </c>
      <c r="B13" t="s" s="13">
        <v>22</v>
      </c>
      <c r="C13" s="15">
        <v>209</v>
      </c>
      <c r="D13" s="15">
        <v>210.45</v>
      </c>
      <c r="E13" s="15">
        <v>206</v>
      </c>
      <c r="F13" s="15">
        <v>208.7</v>
      </c>
      <c r="G13" s="15">
        <v>207.1</v>
      </c>
      <c r="H13" s="15">
        <v>206.7</v>
      </c>
      <c r="I13" s="15">
        <v>207.4</v>
      </c>
      <c r="J13" s="15">
        <v>239.2</v>
      </c>
      <c r="K13" s="15">
        <v>157.1</v>
      </c>
      <c r="L13" s="15">
        <v>17530742</v>
      </c>
      <c r="M13" t="s" s="13">
        <v>8819</v>
      </c>
      <c r="N13" s="15">
        <v>126577</v>
      </c>
      <c r="O13" s="17" cm="1">
        <f t="array" ref="O13">(H13-H12)/H12</f>
        <v>-0.0095831336847149</v>
      </c>
    </row>
    <row r="14" ht="13.65" customHeight="1">
      <c r="A14" s="18">
        <v>44302</v>
      </c>
      <c r="B14" t="s" s="13">
        <v>22</v>
      </c>
      <c r="C14" s="15">
        <v>208</v>
      </c>
      <c r="D14" s="15">
        <v>209.25</v>
      </c>
      <c r="E14" s="15">
        <v>206.5</v>
      </c>
      <c r="F14" s="15">
        <v>206.7</v>
      </c>
      <c r="G14" s="15">
        <v>208</v>
      </c>
      <c r="H14" s="15">
        <v>207.95</v>
      </c>
      <c r="I14" s="15">
        <v>208.25</v>
      </c>
      <c r="J14" s="15">
        <v>239.2</v>
      </c>
      <c r="K14" s="15">
        <v>157.1</v>
      </c>
      <c r="L14" s="15">
        <v>13311926</v>
      </c>
      <c r="M14" t="s" s="13">
        <v>8820</v>
      </c>
      <c r="N14" s="15">
        <v>82765</v>
      </c>
      <c r="O14" s="17" cm="1">
        <f t="array" ref="O14">(H14-H13)/H13</f>
        <v>0.00604741170778907</v>
      </c>
    </row>
    <row r="15" ht="13.65" customHeight="1">
      <c r="A15" s="18">
        <v>44305</v>
      </c>
      <c r="B15" t="s" s="13">
        <v>22</v>
      </c>
      <c r="C15" s="15">
        <v>205</v>
      </c>
      <c r="D15" s="15">
        <v>206.1</v>
      </c>
      <c r="E15" s="15">
        <v>203.75</v>
      </c>
      <c r="F15" s="15">
        <v>207.95</v>
      </c>
      <c r="G15" s="15">
        <v>206</v>
      </c>
      <c r="H15" s="15">
        <v>205.6</v>
      </c>
      <c r="I15" s="15">
        <v>204.81</v>
      </c>
      <c r="J15" s="15">
        <v>239.2</v>
      </c>
      <c r="K15" s="15">
        <v>157.1</v>
      </c>
      <c r="L15" s="15">
        <v>15792299</v>
      </c>
      <c r="M15" t="s" s="13">
        <v>8821</v>
      </c>
      <c r="N15" s="15">
        <v>141500</v>
      </c>
      <c r="O15" s="17" cm="1">
        <f t="array" ref="O15">(H15-H14)/H14</f>
        <v>-0.0113007934599663</v>
      </c>
    </row>
    <row r="16" ht="13.65" customHeight="1">
      <c r="A16" s="18">
        <v>44306</v>
      </c>
      <c r="B16" t="s" s="13">
        <v>22</v>
      </c>
      <c r="C16" s="15">
        <v>206.2</v>
      </c>
      <c r="D16" s="15">
        <v>207</v>
      </c>
      <c r="E16" s="15">
        <v>202.5</v>
      </c>
      <c r="F16" s="15">
        <v>205.6</v>
      </c>
      <c r="G16" s="15">
        <v>203.15</v>
      </c>
      <c r="H16" s="15">
        <v>203.55</v>
      </c>
      <c r="I16" s="15">
        <v>204.65</v>
      </c>
      <c r="J16" s="15">
        <v>239.2</v>
      </c>
      <c r="K16" s="15">
        <v>157.1</v>
      </c>
      <c r="L16" s="15">
        <v>21364882</v>
      </c>
      <c r="M16" t="s" s="13">
        <v>8822</v>
      </c>
      <c r="N16" s="15">
        <v>158567</v>
      </c>
      <c r="O16" s="17" cm="1">
        <f t="array" ref="O16">(H16-H15)/H15</f>
        <v>-0.009970817120622571</v>
      </c>
    </row>
    <row r="17" ht="13.65" customHeight="1">
      <c r="A17" s="18">
        <v>44308</v>
      </c>
      <c r="B17" t="s" s="13">
        <v>22</v>
      </c>
      <c r="C17" s="15">
        <v>202</v>
      </c>
      <c r="D17" s="15">
        <v>206.3</v>
      </c>
      <c r="E17" s="15">
        <v>200.55</v>
      </c>
      <c r="F17" s="15">
        <v>203.55</v>
      </c>
      <c r="G17" s="15">
        <v>205.85</v>
      </c>
      <c r="H17" s="15">
        <v>205.9</v>
      </c>
      <c r="I17" s="15">
        <v>204.38</v>
      </c>
      <c r="J17" s="15">
        <v>239.2</v>
      </c>
      <c r="K17" s="15">
        <v>157.1</v>
      </c>
      <c r="L17" s="15">
        <v>23139735</v>
      </c>
      <c r="M17" t="s" s="13">
        <v>8823</v>
      </c>
      <c r="N17" s="15">
        <v>128190</v>
      </c>
      <c r="O17" s="17" cm="1">
        <f t="array" ref="O17">(H17-H16)/H16</f>
        <v>0.011545074920167</v>
      </c>
    </row>
    <row r="18" ht="13.65" customHeight="1">
      <c r="A18" s="18">
        <v>44309</v>
      </c>
      <c r="B18" t="s" s="13">
        <v>22</v>
      </c>
      <c r="C18" s="15">
        <v>204.25</v>
      </c>
      <c r="D18" s="15">
        <v>207</v>
      </c>
      <c r="E18" s="15">
        <v>204.25</v>
      </c>
      <c r="F18" s="15">
        <v>205.9</v>
      </c>
      <c r="G18" s="15">
        <v>205.05</v>
      </c>
      <c r="H18" s="15">
        <v>205.35</v>
      </c>
      <c r="I18" s="15">
        <v>206.06</v>
      </c>
      <c r="J18" s="15">
        <v>239.2</v>
      </c>
      <c r="K18" s="15">
        <v>157.1</v>
      </c>
      <c r="L18" s="15">
        <v>19625381</v>
      </c>
      <c r="M18" t="s" s="13">
        <v>8824</v>
      </c>
      <c r="N18" s="15">
        <v>92702</v>
      </c>
      <c r="O18" s="17" cm="1">
        <f t="array" ref="O18">(H18-H17)/H17</f>
        <v>-0.00267119961146187</v>
      </c>
    </row>
    <row r="19" ht="13.65" customHeight="1">
      <c r="A19" s="18">
        <v>44312</v>
      </c>
      <c r="B19" t="s" s="13">
        <v>22</v>
      </c>
      <c r="C19" s="15">
        <v>205.8</v>
      </c>
      <c r="D19" s="15">
        <v>206.75</v>
      </c>
      <c r="E19" s="15">
        <v>204.7</v>
      </c>
      <c r="F19" s="15">
        <v>205.35</v>
      </c>
      <c r="G19" s="15">
        <v>205.5</v>
      </c>
      <c r="H19" s="15">
        <v>205.3</v>
      </c>
      <c r="I19" s="15">
        <v>205.64</v>
      </c>
      <c r="J19" s="15">
        <v>239.2</v>
      </c>
      <c r="K19" s="15">
        <v>157.1</v>
      </c>
      <c r="L19" s="15">
        <v>19886214</v>
      </c>
      <c r="M19" t="s" s="13">
        <v>8825</v>
      </c>
      <c r="N19" s="15">
        <v>103777</v>
      </c>
      <c r="O19" s="17" cm="1">
        <f t="array" ref="O19">(H19-H18)/H18</f>
        <v>-0.000243486729973216</v>
      </c>
    </row>
    <row r="20" ht="13.65" customHeight="1">
      <c r="A20" s="18">
        <v>44313</v>
      </c>
      <c r="B20" t="s" s="13">
        <v>22</v>
      </c>
      <c r="C20" s="15">
        <v>205.3</v>
      </c>
      <c r="D20" s="15">
        <v>206.95</v>
      </c>
      <c r="E20" s="15">
        <v>205.05</v>
      </c>
      <c r="F20" s="15">
        <v>205.3</v>
      </c>
      <c r="G20" s="15">
        <v>205.5</v>
      </c>
      <c r="H20" s="15">
        <v>205.4</v>
      </c>
      <c r="I20" s="15">
        <v>205.85</v>
      </c>
      <c r="J20" s="15">
        <v>239.2</v>
      </c>
      <c r="K20" s="15">
        <v>157.1</v>
      </c>
      <c r="L20" s="15">
        <v>11444814</v>
      </c>
      <c r="M20" t="s" s="13">
        <v>8826</v>
      </c>
      <c r="N20" s="15">
        <v>94890</v>
      </c>
      <c r="O20" s="17" cm="1">
        <f t="array" ref="O20">(H20-H19)/H19</f>
        <v>0.000487092060399415</v>
      </c>
    </row>
    <row r="21" ht="13.65" customHeight="1">
      <c r="A21" s="18">
        <v>44314</v>
      </c>
      <c r="B21" t="s" s="13">
        <v>22</v>
      </c>
      <c r="C21" s="15">
        <v>206</v>
      </c>
      <c r="D21" s="15">
        <v>206.5</v>
      </c>
      <c r="E21" s="15">
        <v>205.3</v>
      </c>
      <c r="F21" s="15">
        <v>205.4</v>
      </c>
      <c r="G21" s="15">
        <v>205.65</v>
      </c>
      <c r="H21" s="15">
        <v>205.5</v>
      </c>
      <c r="I21" s="15">
        <v>205.96</v>
      </c>
      <c r="J21" s="15">
        <v>239.2</v>
      </c>
      <c r="K21" s="15">
        <v>157.1</v>
      </c>
      <c r="L21" s="15">
        <v>12708021</v>
      </c>
      <c r="M21" t="s" s="13">
        <v>8827</v>
      </c>
      <c r="N21" s="15">
        <v>69476</v>
      </c>
      <c r="O21" s="17" cm="1">
        <f t="array" ref="O21">(H21-H20)/H20</f>
        <v>0.000486854917234664</v>
      </c>
    </row>
    <row r="22" ht="13.65" customHeight="1">
      <c r="A22" s="18">
        <v>44315</v>
      </c>
      <c r="B22" t="s" s="13">
        <v>22</v>
      </c>
      <c r="C22" s="15">
        <v>207.1</v>
      </c>
      <c r="D22" s="15">
        <v>207.55</v>
      </c>
      <c r="E22" s="15">
        <v>204.05</v>
      </c>
      <c r="F22" s="15">
        <v>205.5</v>
      </c>
      <c r="G22" s="15">
        <v>204.4</v>
      </c>
      <c r="H22" s="15">
        <v>204.3</v>
      </c>
      <c r="I22" s="15">
        <v>205.37</v>
      </c>
      <c r="J22" s="15">
        <v>239.2</v>
      </c>
      <c r="K22" s="15">
        <v>157.1</v>
      </c>
      <c r="L22" s="15">
        <v>13096755</v>
      </c>
      <c r="M22" t="s" s="13">
        <v>8828</v>
      </c>
      <c r="N22" s="15">
        <v>95800</v>
      </c>
      <c r="O22" s="17" cm="1">
        <f t="array" ref="O22">(H22-H21)/H21</f>
        <v>-0.00583941605839416</v>
      </c>
    </row>
    <row r="23" ht="13.65" customHeight="1">
      <c r="A23" s="18">
        <v>44316</v>
      </c>
      <c r="B23" t="s" s="13">
        <v>22</v>
      </c>
      <c r="C23" s="15">
        <v>203.9</v>
      </c>
      <c r="D23" s="15">
        <v>205.7</v>
      </c>
      <c r="E23" s="15">
        <v>202</v>
      </c>
      <c r="F23" s="15">
        <v>204.3</v>
      </c>
      <c r="G23" s="15">
        <v>202.4</v>
      </c>
      <c r="H23" s="15">
        <v>202.6</v>
      </c>
      <c r="I23" s="15">
        <v>203.73</v>
      </c>
      <c r="J23" s="15">
        <v>239.2</v>
      </c>
      <c r="K23" s="15">
        <v>157.1</v>
      </c>
      <c r="L23" s="15">
        <v>16495657</v>
      </c>
      <c r="M23" t="s" s="13">
        <v>8829</v>
      </c>
      <c r="N23" s="15">
        <v>124300</v>
      </c>
      <c r="O23" s="17" cm="1">
        <f t="array" ref="O23">(H23-H22)/H22</f>
        <v>-0.008321096426823301</v>
      </c>
    </row>
    <row r="24" ht="13.65" customHeight="1">
      <c r="A24" s="19">
        <v>44319</v>
      </c>
      <c r="B24" t="s" s="13">
        <v>22</v>
      </c>
      <c r="C24" s="15">
        <v>201.2</v>
      </c>
      <c r="D24" s="15">
        <v>201.85</v>
      </c>
      <c r="E24" s="15">
        <v>200</v>
      </c>
      <c r="F24" s="15">
        <v>202.6</v>
      </c>
      <c r="G24" s="15">
        <v>201.1</v>
      </c>
      <c r="H24" s="15">
        <v>200.95</v>
      </c>
      <c r="I24" s="15">
        <v>200.87</v>
      </c>
      <c r="J24" s="15">
        <v>239.2</v>
      </c>
      <c r="K24" s="15">
        <v>157.1</v>
      </c>
      <c r="L24" s="15">
        <v>20611626</v>
      </c>
      <c r="M24" t="s" s="13">
        <v>8830</v>
      </c>
      <c r="N24" s="15">
        <v>189472</v>
      </c>
      <c r="O24" s="17" cm="1">
        <f t="array" ref="O24">(H24-H23)/H23</f>
        <v>-0.008144126357354391</v>
      </c>
    </row>
    <row r="25" ht="13.65" customHeight="1">
      <c r="A25" s="19">
        <v>44320</v>
      </c>
      <c r="B25" t="s" s="13">
        <v>22</v>
      </c>
      <c r="C25" s="15">
        <v>201.2</v>
      </c>
      <c r="D25" s="15">
        <v>202.35</v>
      </c>
      <c r="E25" s="15">
        <v>199.1</v>
      </c>
      <c r="F25" s="15">
        <v>200.95</v>
      </c>
      <c r="G25" s="15">
        <v>199.75</v>
      </c>
      <c r="H25" s="15">
        <v>199.6</v>
      </c>
      <c r="I25" s="15">
        <v>200.61</v>
      </c>
      <c r="J25" s="15">
        <v>239.2</v>
      </c>
      <c r="K25" s="15">
        <v>157.1</v>
      </c>
      <c r="L25" s="15">
        <v>18259282</v>
      </c>
      <c r="M25" t="s" s="13">
        <v>8831</v>
      </c>
      <c r="N25" s="15">
        <v>150994</v>
      </c>
      <c r="O25" s="17" cm="1">
        <f t="array" ref="O25">(H25-H24)/H24</f>
        <v>-0.0067180890768848</v>
      </c>
    </row>
    <row r="26" ht="13.65" customHeight="1">
      <c r="A26" s="19">
        <v>44321</v>
      </c>
      <c r="B26" t="s" s="13">
        <v>22</v>
      </c>
      <c r="C26" s="15">
        <v>201.45</v>
      </c>
      <c r="D26" s="15">
        <v>202</v>
      </c>
      <c r="E26" s="15">
        <v>199.5</v>
      </c>
      <c r="F26" s="15">
        <v>199.6</v>
      </c>
      <c r="G26" s="15">
        <v>202</v>
      </c>
      <c r="H26" s="15">
        <v>201.4</v>
      </c>
      <c r="I26" s="15">
        <v>200.5</v>
      </c>
      <c r="J26" s="15">
        <v>239.2</v>
      </c>
      <c r="K26" s="15">
        <v>157.1</v>
      </c>
      <c r="L26" s="15">
        <v>13862655</v>
      </c>
      <c r="M26" t="s" s="13">
        <v>8832</v>
      </c>
      <c r="N26" s="15">
        <v>108117</v>
      </c>
      <c r="O26" s="17" cm="1">
        <f t="array" ref="O26">(H26-H25)/H25</f>
        <v>0.009018036072144291</v>
      </c>
    </row>
    <row r="27" ht="13.65" customHeight="1">
      <c r="A27" s="19">
        <v>44322</v>
      </c>
      <c r="B27" t="s" s="13">
        <v>22</v>
      </c>
      <c r="C27" s="15">
        <v>202.3</v>
      </c>
      <c r="D27" s="15">
        <v>205.95</v>
      </c>
      <c r="E27" s="15">
        <v>202.1</v>
      </c>
      <c r="F27" s="15">
        <v>201.4</v>
      </c>
      <c r="G27" s="15">
        <v>203</v>
      </c>
      <c r="H27" s="15">
        <v>202.75</v>
      </c>
      <c r="I27" s="15">
        <v>203.61</v>
      </c>
      <c r="J27" s="15">
        <v>239.2</v>
      </c>
      <c r="K27" s="15">
        <v>157.1</v>
      </c>
      <c r="L27" s="15">
        <v>14320889</v>
      </c>
      <c r="M27" t="s" s="13">
        <v>8833</v>
      </c>
      <c r="N27" s="15">
        <v>95114</v>
      </c>
      <c r="O27" s="17" cm="1">
        <f t="array" ref="O27">(H27-H26)/H26</f>
        <v>0.00670307845084409</v>
      </c>
    </row>
    <row r="28" ht="13.65" customHeight="1">
      <c r="A28" s="19">
        <v>44323</v>
      </c>
      <c r="B28" t="s" s="13">
        <v>22</v>
      </c>
      <c r="C28" s="15">
        <v>202.95</v>
      </c>
      <c r="D28" s="15">
        <v>206.45</v>
      </c>
      <c r="E28" s="15">
        <v>202.95</v>
      </c>
      <c r="F28" s="15">
        <v>202.75</v>
      </c>
      <c r="G28" s="15">
        <v>205.5</v>
      </c>
      <c r="H28" s="15">
        <v>205.35</v>
      </c>
      <c r="I28" s="15">
        <v>205.43</v>
      </c>
      <c r="J28" s="15">
        <v>239.2</v>
      </c>
      <c r="K28" s="15">
        <v>157.1</v>
      </c>
      <c r="L28" s="15">
        <v>19463495</v>
      </c>
      <c r="M28" t="s" s="13">
        <v>8834</v>
      </c>
      <c r="N28" s="15">
        <v>104887</v>
      </c>
      <c r="O28" s="17" cm="1">
        <f t="array" ref="O28">(H28-H27)/H27</f>
        <v>0.0128236744759556</v>
      </c>
    </row>
    <row r="29" ht="13.65" customHeight="1">
      <c r="A29" s="20">
        <v>44326</v>
      </c>
      <c r="B29" t="s" s="13">
        <v>22</v>
      </c>
      <c r="C29" s="15">
        <v>207.15</v>
      </c>
      <c r="D29" s="15">
        <v>207.45</v>
      </c>
      <c r="E29" s="15">
        <v>205</v>
      </c>
      <c r="F29" s="15">
        <v>205.35</v>
      </c>
      <c r="G29" s="15">
        <v>205.8</v>
      </c>
      <c r="H29" s="15">
        <v>205.55</v>
      </c>
      <c r="I29" s="15">
        <v>205.8</v>
      </c>
      <c r="J29" s="15">
        <v>239.2</v>
      </c>
      <c r="K29" s="15">
        <v>157.5</v>
      </c>
      <c r="L29" s="15">
        <v>16295368</v>
      </c>
      <c r="M29" t="s" s="13">
        <v>8835</v>
      </c>
      <c r="N29" s="15">
        <v>113301</v>
      </c>
      <c r="O29" s="17" cm="1">
        <f t="array" ref="O29">(H29-H28)/H28</f>
        <v>0.000973946919892866</v>
      </c>
    </row>
    <row r="30" ht="13.65" customHeight="1">
      <c r="A30" s="20">
        <v>44327</v>
      </c>
      <c r="B30" t="s" s="13">
        <v>22</v>
      </c>
      <c r="C30" s="15">
        <v>203.9</v>
      </c>
      <c r="D30" s="15">
        <v>206.5</v>
      </c>
      <c r="E30" s="15">
        <v>203.75</v>
      </c>
      <c r="F30" s="15">
        <v>205.55</v>
      </c>
      <c r="G30" s="15">
        <v>204.1</v>
      </c>
      <c r="H30" s="15">
        <v>204</v>
      </c>
      <c r="I30" s="15">
        <v>204.73</v>
      </c>
      <c r="J30" s="15">
        <v>239.2</v>
      </c>
      <c r="K30" s="15">
        <v>157.5</v>
      </c>
      <c r="L30" s="15">
        <v>13747541</v>
      </c>
      <c r="M30" t="s" s="13">
        <v>8836</v>
      </c>
      <c r="N30" s="15">
        <v>96933</v>
      </c>
      <c r="O30" s="17" cm="1">
        <f t="array" ref="O30">(H30-H29)/H29</f>
        <v>-0.00754074434444174</v>
      </c>
    </row>
    <row r="31" ht="13.65" customHeight="1">
      <c r="A31" s="20">
        <v>44328</v>
      </c>
      <c r="B31" t="s" s="13">
        <v>22</v>
      </c>
      <c r="C31" s="15">
        <v>203.9</v>
      </c>
      <c r="D31" s="15">
        <v>205.25</v>
      </c>
      <c r="E31" s="15">
        <v>202.85</v>
      </c>
      <c r="F31" s="15">
        <v>204</v>
      </c>
      <c r="G31" s="15">
        <v>203.6</v>
      </c>
      <c r="H31" s="15">
        <v>203.25</v>
      </c>
      <c r="I31" s="15">
        <v>203.74</v>
      </c>
      <c r="J31" s="15">
        <v>239.2</v>
      </c>
      <c r="K31" s="15">
        <v>157.5</v>
      </c>
      <c r="L31" s="15">
        <v>16537612</v>
      </c>
      <c r="M31" t="s" s="13">
        <v>8837</v>
      </c>
      <c r="N31" s="15">
        <v>104661</v>
      </c>
      <c r="O31" s="17" cm="1">
        <f t="array" ref="O31">(H31-H30)/H30</f>
        <v>-0.00367647058823529</v>
      </c>
    </row>
    <row r="32" ht="13.65" customHeight="1">
      <c r="A32" s="20">
        <v>44330</v>
      </c>
      <c r="B32" t="s" s="13">
        <v>22</v>
      </c>
      <c r="C32" s="15">
        <v>205</v>
      </c>
      <c r="D32" s="15">
        <v>213.2</v>
      </c>
      <c r="E32" s="15">
        <v>204</v>
      </c>
      <c r="F32" s="15">
        <v>203.25</v>
      </c>
      <c r="G32" s="15">
        <v>213.05</v>
      </c>
      <c r="H32" s="15">
        <v>212.25</v>
      </c>
      <c r="I32" s="15">
        <v>210.46</v>
      </c>
      <c r="J32" s="15">
        <v>239.2</v>
      </c>
      <c r="K32" s="15">
        <v>157.5</v>
      </c>
      <c r="L32" s="15">
        <v>61647120</v>
      </c>
      <c r="M32" t="s" s="13">
        <v>8838</v>
      </c>
      <c r="N32" s="15">
        <v>316512</v>
      </c>
      <c r="O32" s="17" cm="1">
        <f t="array" ref="O32">(H32-H31)/H31</f>
        <v>0.044280442804428</v>
      </c>
    </row>
    <row r="33" ht="13.65" customHeight="1">
      <c r="A33" s="20">
        <v>44333</v>
      </c>
      <c r="B33" t="s" s="13">
        <v>22</v>
      </c>
      <c r="C33" s="15">
        <v>216.8</v>
      </c>
      <c r="D33" s="15">
        <v>217</v>
      </c>
      <c r="E33" s="15">
        <v>211.65</v>
      </c>
      <c r="F33" s="15">
        <v>212.25</v>
      </c>
      <c r="G33" s="15">
        <v>212.75</v>
      </c>
      <c r="H33" s="15">
        <v>212.6</v>
      </c>
      <c r="I33" s="15">
        <v>213.71</v>
      </c>
      <c r="J33" s="15">
        <v>239.2</v>
      </c>
      <c r="K33" s="15">
        <v>163.15</v>
      </c>
      <c r="L33" s="15">
        <v>38001828</v>
      </c>
      <c r="M33" t="s" s="13">
        <v>8839</v>
      </c>
      <c r="N33" s="15">
        <v>213490</v>
      </c>
      <c r="O33" s="17" cm="1">
        <f t="array" ref="O33">(H33-H32)/H32</f>
        <v>0.0016489988221437</v>
      </c>
    </row>
    <row r="34" ht="13.65" customHeight="1">
      <c r="A34" s="20">
        <v>44334</v>
      </c>
      <c r="B34" t="s" s="13">
        <v>22</v>
      </c>
      <c r="C34" s="15">
        <v>214.1</v>
      </c>
      <c r="D34" s="15">
        <v>214.6</v>
      </c>
      <c r="E34" s="15">
        <v>209.65</v>
      </c>
      <c r="F34" s="15">
        <v>212.6</v>
      </c>
      <c r="G34" s="15">
        <v>210.2</v>
      </c>
      <c r="H34" s="15">
        <v>210.05</v>
      </c>
      <c r="I34" s="15">
        <v>211.35</v>
      </c>
      <c r="J34" s="15">
        <v>239.2</v>
      </c>
      <c r="K34" s="15">
        <v>163.15</v>
      </c>
      <c r="L34" s="15">
        <v>30479551</v>
      </c>
      <c r="M34" t="s" s="13">
        <v>8840</v>
      </c>
      <c r="N34" s="15">
        <v>167993</v>
      </c>
      <c r="O34" s="17" cm="1">
        <f t="array" ref="O34">(H34-H33)/H33</f>
        <v>-0.0119943555973659</v>
      </c>
    </row>
    <row r="35" ht="13.65" customHeight="1">
      <c r="A35" s="20">
        <v>44335</v>
      </c>
      <c r="B35" t="s" s="13">
        <v>22</v>
      </c>
      <c r="C35" s="15">
        <v>210.05</v>
      </c>
      <c r="D35" s="15">
        <v>211.4</v>
      </c>
      <c r="E35" s="15">
        <v>207.55</v>
      </c>
      <c r="F35" s="15">
        <v>210.05</v>
      </c>
      <c r="G35" s="15">
        <v>207.85</v>
      </c>
      <c r="H35" s="15">
        <v>207.75</v>
      </c>
      <c r="I35" s="15">
        <v>208.6</v>
      </c>
      <c r="J35" s="15">
        <v>239.2</v>
      </c>
      <c r="K35" s="15">
        <v>163.15</v>
      </c>
      <c r="L35" s="15">
        <v>24405319</v>
      </c>
      <c r="M35" t="s" s="13">
        <v>8841</v>
      </c>
      <c r="N35" s="15">
        <v>155659</v>
      </c>
      <c r="O35" s="17" cm="1">
        <f t="array" ref="O35">(H35-H34)/H34</f>
        <v>-0.0109497738633659</v>
      </c>
    </row>
    <row r="36" ht="13.65" customHeight="1">
      <c r="A36" s="20">
        <v>44336</v>
      </c>
      <c r="B36" t="s" s="13">
        <v>22</v>
      </c>
      <c r="C36" s="15">
        <v>208.45</v>
      </c>
      <c r="D36" s="15">
        <v>209.3</v>
      </c>
      <c r="E36" s="15">
        <v>206.8</v>
      </c>
      <c r="F36" s="15">
        <v>207.75</v>
      </c>
      <c r="G36" s="15">
        <v>207.1</v>
      </c>
      <c r="H36" s="15">
        <v>207</v>
      </c>
      <c r="I36" s="15">
        <v>207.59</v>
      </c>
      <c r="J36" s="15">
        <v>239.2</v>
      </c>
      <c r="K36" s="15">
        <v>163.15</v>
      </c>
      <c r="L36" s="15">
        <v>20884367</v>
      </c>
      <c r="M36" t="s" s="13">
        <v>8842</v>
      </c>
      <c r="N36" s="15">
        <v>132564</v>
      </c>
      <c r="O36" s="17" cm="1">
        <f t="array" ref="O36">(H36-H35)/H35</f>
        <v>-0.0036101083032491</v>
      </c>
    </row>
    <row r="37" ht="13.65" customHeight="1">
      <c r="A37" s="20">
        <v>44337</v>
      </c>
      <c r="B37" t="s" s="13">
        <v>22</v>
      </c>
      <c r="C37" s="15">
        <v>207.6</v>
      </c>
      <c r="D37" s="15">
        <v>209.85</v>
      </c>
      <c r="E37" s="15">
        <v>207.4</v>
      </c>
      <c r="F37" s="15">
        <v>207</v>
      </c>
      <c r="G37" s="15">
        <v>209.05</v>
      </c>
      <c r="H37" s="15">
        <v>209.05</v>
      </c>
      <c r="I37" s="15">
        <v>208.92</v>
      </c>
      <c r="J37" s="15">
        <v>239.2</v>
      </c>
      <c r="K37" s="15">
        <v>163.15</v>
      </c>
      <c r="L37" s="15">
        <v>22638020</v>
      </c>
      <c r="M37" t="s" s="13">
        <v>8843</v>
      </c>
      <c r="N37" s="15">
        <v>132199</v>
      </c>
      <c r="O37" s="17" cm="1">
        <f t="array" ref="O37">(H37-H36)/H36</f>
        <v>0.009903381642512079</v>
      </c>
    </row>
    <row r="38" ht="13.65" customHeight="1">
      <c r="A38" s="20">
        <v>44340</v>
      </c>
      <c r="B38" t="s" s="13">
        <v>22</v>
      </c>
      <c r="C38" s="15">
        <v>209.5</v>
      </c>
      <c r="D38" s="15">
        <v>212.05</v>
      </c>
      <c r="E38" s="15">
        <v>207.75</v>
      </c>
      <c r="F38" s="15">
        <v>209.05</v>
      </c>
      <c r="G38" s="15">
        <v>211.55</v>
      </c>
      <c r="H38" s="15">
        <v>211.5</v>
      </c>
      <c r="I38" s="15">
        <v>209.99</v>
      </c>
      <c r="J38" s="15">
        <v>239.2</v>
      </c>
      <c r="K38" s="15">
        <v>163.35</v>
      </c>
      <c r="L38" s="15">
        <v>28865798</v>
      </c>
      <c r="M38" t="s" s="13">
        <v>8844</v>
      </c>
      <c r="N38" s="15">
        <v>155678</v>
      </c>
      <c r="O38" s="17" cm="1">
        <f t="array" ref="O38">(H38-H37)/H37</f>
        <v>0.011719684286056</v>
      </c>
    </row>
    <row r="39" ht="13.65" customHeight="1">
      <c r="A39" s="20">
        <v>44341</v>
      </c>
      <c r="B39" t="s" s="13">
        <v>22</v>
      </c>
      <c r="C39" s="15">
        <v>213</v>
      </c>
      <c r="D39" s="15">
        <v>213.4</v>
      </c>
      <c r="E39" s="15">
        <v>210.25</v>
      </c>
      <c r="F39" s="15">
        <v>211.5</v>
      </c>
      <c r="G39" s="15">
        <v>211.05</v>
      </c>
      <c r="H39" s="15">
        <v>210.9</v>
      </c>
      <c r="I39" s="15">
        <v>211.96</v>
      </c>
      <c r="J39" s="15">
        <v>239.2</v>
      </c>
      <c r="K39" s="15">
        <v>163.35</v>
      </c>
      <c r="L39" s="15">
        <v>25334878</v>
      </c>
      <c r="M39" t="s" s="13">
        <v>8845</v>
      </c>
      <c r="N39" s="15">
        <v>137177</v>
      </c>
      <c r="O39" s="17" cm="1">
        <f t="array" ref="O39">(H39-H38)/H38</f>
        <v>-0.00283687943262411</v>
      </c>
    </row>
    <row r="40" ht="13.65" customHeight="1">
      <c r="A40" s="20">
        <v>44342</v>
      </c>
      <c r="B40" t="s" s="13">
        <v>22</v>
      </c>
      <c r="C40" s="15">
        <v>211.8</v>
      </c>
      <c r="D40" s="15">
        <v>212.45</v>
      </c>
      <c r="E40" s="15">
        <v>210.3</v>
      </c>
      <c r="F40" s="15">
        <v>210.9</v>
      </c>
      <c r="G40" s="15">
        <v>210.9</v>
      </c>
      <c r="H40" s="15">
        <v>210.6</v>
      </c>
      <c r="I40" s="15">
        <v>211.33</v>
      </c>
      <c r="J40" s="15">
        <v>239.2</v>
      </c>
      <c r="K40" s="15">
        <v>163.35</v>
      </c>
      <c r="L40" s="15">
        <v>17576137</v>
      </c>
      <c r="M40" t="s" s="13">
        <v>8846</v>
      </c>
      <c r="N40" s="15">
        <v>88996</v>
      </c>
      <c r="O40" s="17" cm="1">
        <f t="array" ref="O40">(H40-H39)/H39</f>
        <v>-0.00142247510668563</v>
      </c>
    </row>
    <row r="41" ht="13.65" customHeight="1">
      <c r="A41" s="20">
        <v>44343</v>
      </c>
      <c r="B41" t="s" s="13">
        <v>22</v>
      </c>
      <c r="C41" s="15">
        <v>211</v>
      </c>
      <c r="D41" s="15">
        <v>214.15</v>
      </c>
      <c r="E41" s="15">
        <v>210.3</v>
      </c>
      <c r="F41" s="15">
        <v>210.6</v>
      </c>
      <c r="G41" s="15">
        <v>211.2</v>
      </c>
      <c r="H41" s="15">
        <v>211.15</v>
      </c>
      <c r="I41" s="15">
        <v>211.94</v>
      </c>
      <c r="J41" s="15">
        <v>239.2</v>
      </c>
      <c r="K41" s="15">
        <v>163.35</v>
      </c>
      <c r="L41" s="15">
        <v>47554219</v>
      </c>
      <c r="M41" t="s" s="13">
        <v>8847</v>
      </c>
      <c r="N41" s="15">
        <v>172315</v>
      </c>
      <c r="O41" s="17" cm="1">
        <f t="array" ref="O41">(H41-H40)/H40</f>
        <v>0.00261158594491928</v>
      </c>
    </row>
    <row r="42" ht="13.65" customHeight="1">
      <c r="A42" s="20">
        <v>44344</v>
      </c>
      <c r="B42" t="s" s="13">
        <v>22</v>
      </c>
      <c r="C42" s="15">
        <v>212.5</v>
      </c>
      <c r="D42" s="15">
        <v>213.5</v>
      </c>
      <c r="E42" s="15">
        <v>211.55</v>
      </c>
      <c r="F42" s="15">
        <v>211.15</v>
      </c>
      <c r="G42" s="15">
        <v>212.9</v>
      </c>
      <c r="H42" s="15">
        <v>212.9</v>
      </c>
      <c r="I42" s="15">
        <v>212.72</v>
      </c>
      <c r="J42" s="15">
        <v>239.2</v>
      </c>
      <c r="K42" s="15">
        <v>163.35</v>
      </c>
      <c r="L42" s="15">
        <v>25597550</v>
      </c>
      <c r="M42" t="s" s="13">
        <v>8848</v>
      </c>
      <c r="N42" s="15">
        <v>114742</v>
      </c>
      <c r="O42" s="17" cm="1">
        <f t="array" ref="O42">(H42-H41)/H41</f>
        <v>0.008287946957139469</v>
      </c>
    </row>
    <row r="43" ht="13.65" customHeight="1">
      <c r="A43" s="20">
        <v>44347</v>
      </c>
      <c r="B43" t="s" s="13">
        <v>22</v>
      </c>
      <c r="C43" s="15">
        <v>215</v>
      </c>
      <c r="D43" s="15">
        <v>217.9</v>
      </c>
      <c r="E43" s="15">
        <v>214.4</v>
      </c>
      <c r="F43" s="15">
        <v>212.9</v>
      </c>
      <c r="G43" s="15">
        <v>217</v>
      </c>
      <c r="H43" s="15">
        <v>216.6</v>
      </c>
      <c r="I43" s="15">
        <v>216.76</v>
      </c>
      <c r="J43" s="15">
        <v>239.2</v>
      </c>
      <c r="K43" s="15">
        <v>163.35</v>
      </c>
      <c r="L43" s="15">
        <v>73039531</v>
      </c>
      <c r="M43" t="s" s="13">
        <v>8849</v>
      </c>
      <c r="N43" s="15">
        <v>297258</v>
      </c>
      <c r="O43" s="17" cm="1">
        <f t="array" ref="O43">(H43-H42)/H42</f>
        <v>0.0173790511977454</v>
      </c>
    </row>
    <row r="44" ht="13.65" customHeight="1">
      <c r="A44" s="12">
        <v>44348</v>
      </c>
      <c r="B44" t="s" s="13">
        <v>22</v>
      </c>
      <c r="C44" s="15">
        <v>218</v>
      </c>
      <c r="D44" s="15">
        <v>219.4</v>
      </c>
      <c r="E44" s="15">
        <v>214.25</v>
      </c>
      <c r="F44" s="15">
        <v>216.6</v>
      </c>
      <c r="G44" s="15">
        <v>215.9</v>
      </c>
      <c r="H44" s="15">
        <v>215.25</v>
      </c>
      <c r="I44" s="15">
        <v>216.54</v>
      </c>
      <c r="J44" s="15">
        <v>239.2</v>
      </c>
      <c r="K44" s="15">
        <v>163.35</v>
      </c>
      <c r="L44" s="15">
        <v>38755111</v>
      </c>
      <c r="M44" t="s" s="13">
        <v>8850</v>
      </c>
      <c r="N44" s="15">
        <v>196487</v>
      </c>
      <c r="O44" s="17" cm="1">
        <f t="array" ref="O44">(H44-H43)/H43</f>
        <v>-0.00623268698060942</v>
      </c>
    </row>
    <row r="45" ht="13.65" customHeight="1">
      <c r="A45" s="12">
        <v>44349</v>
      </c>
      <c r="B45" t="s" s="13">
        <v>22</v>
      </c>
      <c r="C45" s="15">
        <v>210.5</v>
      </c>
      <c r="D45" s="15">
        <v>212.45</v>
      </c>
      <c r="E45" s="15">
        <v>208.6</v>
      </c>
      <c r="F45" s="15">
        <v>215.25</v>
      </c>
      <c r="G45" s="15">
        <v>209.05</v>
      </c>
      <c r="H45" s="15">
        <v>209</v>
      </c>
      <c r="I45" s="15">
        <v>210.07</v>
      </c>
      <c r="J45" s="15">
        <v>239.2</v>
      </c>
      <c r="K45" s="15">
        <v>163.35</v>
      </c>
      <c r="L45" s="15">
        <v>96654991</v>
      </c>
      <c r="M45" t="s" s="13">
        <v>8851</v>
      </c>
      <c r="N45" s="15">
        <v>397935</v>
      </c>
      <c r="O45" s="17" cm="1">
        <f t="array" ref="O45">(H45-H44)/H44</f>
        <v>-0.0290360046457607</v>
      </c>
    </row>
    <row r="46" ht="13.65" customHeight="1">
      <c r="A46" s="12">
        <v>44350</v>
      </c>
      <c r="B46" t="s" s="13">
        <v>22</v>
      </c>
      <c r="C46" s="15">
        <v>210.75</v>
      </c>
      <c r="D46" s="15">
        <v>210.75</v>
      </c>
      <c r="E46" s="15">
        <v>208.7</v>
      </c>
      <c r="F46" s="15">
        <v>209</v>
      </c>
      <c r="G46" s="15">
        <v>209.1</v>
      </c>
      <c r="H46" s="15">
        <v>209.05</v>
      </c>
      <c r="I46" s="15">
        <v>209.38</v>
      </c>
      <c r="J46" s="15">
        <v>239.2</v>
      </c>
      <c r="K46" s="15">
        <v>163.35</v>
      </c>
      <c r="L46" s="15">
        <v>46657520</v>
      </c>
      <c r="M46" t="s" s="13">
        <v>8852</v>
      </c>
      <c r="N46" s="15">
        <v>186083</v>
      </c>
      <c r="O46" s="17" cm="1">
        <f t="array" ref="O46">(H46-H45)/H45</f>
        <v>0.000239234449760766</v>
      </c>
    </row>
    <row r="47" ht="13.65" customHeight="1">
      <c r="A47" s="12">
        <v>44351</v>
      </c>
      <c r="B47" t="s" s="13">
        <v>22</v>
      </c>
      <c r="C47" s="15">
        <v>209.5</v>
      </c>
      <c r="D47" s="15">
        <v>209.7</v>
      </c>
      <c r="E47" s="15">
        <v>208</v>
      </c>
      <c r="F47" s="15">
        <v>209.05</v>
      </c>
      <c r="G47" s="15">
        <v>209.55</v>
      </c>
      <c r="H47" s="15">
        <v>208.75</v>
      </c>
      <c r="I47" s="15">
        <v>208.53</v>
      </c>
      <c r="J47" s="15">
        <v>239.2</v>
      </c>
      <c r="K47" s="15">
        <v>163.35</v>
      </c>
      <c r="L47" s="15">
        <v>30126021</v>
      </c>
      <c r="M47" t="s" s="13">
        <v>8853</v>
      </c>
      <c r="N47" s="15">
        <v>147023</v>
      </c>
      <c r="O47" s="17" cm="1">
        <f t="array" ref="O47">(H47-H46)/H46</f>
        <v>-0.00143506338196604</v>
      </c>
    </row>
    <row r="48" ht="13.65" customHeight="1">
      <c r="A48" s="12">
        <v>44354</v>
      </c>
      <c r="B48" t="s" s="13">
        <v>22</v>
      </c>
      <c r="C48" s="15">
        <v>210.4</v>
      </c>
      <c r="D48" s="15">
        <v>212.4</v>
      </c>
      <c r="E48" s="15">
        <v>210.2</v>
      </c>
      <c r="F48" s="15">
        <v>208.75</v>
      </c>
      <c r="G48" s="15">
        <v>211.75</v>
      </c>
      <c r="H48" s="15">
        <v>211.45</v>
      </c>
      <c r="I48" s="15">
        <v>211.52</v>
      </c>
      <c r="J48" s="15">
        <v>239.2</v>
      </c>
      <c r="K48" s="15">
        <v>163.35</v>
      </c>
      <c r="L48" s="15">
        <v>31433280</v>
      </c>
      <c r="M48" t="s" s="13">
        <v>8854</v>
      </c>
      <c r="N48" s="15">
        <v>156997</v>
      </c>
      <c r="O48" s="17" cm="1">
        <f t="array" ref="O48">(H48-H47)/H47</f>
        <v>0.0129341317365269</v>
      </c>
    </row>
    <row r="49" ht="13.65" customHeight="1">
      <c r="A49" s="12">
        <v>44355</v>
      </c>
      <c r="B49" t="s" s="13">
        <v>22</v>
      </c>
      <c r="C49" s="15">
        <v>212.2</v>
      </c>
      <c r="D49" s="15">
        <v>214.25</v>
      </c>
      <c r="E49" s="15">
        <v>211.2</v>
      </c>
      <c r="F49" s="15">
        <v>211.45</v>
      </c>
      <c r="G49" s="15">
        <v>213.8</v>
      </c>
      <c r="H49" s="15">
        <v>213.65</v>
      </c>
      <c r="I49" s="15">
        <v>212.77</v>
      </c>
      <c r="J49" s="15">
        <v>239.2</v>
      </c>
      <c r="K49" s="15">
        <v>163.35</v>
      </c>
      <c r="L49" s="15">
        <v>21261361</v>
      </c>
      <c r="M49" t="s" s="13">
        <v>8855</v>
      </c>
      <c r="N49" s="15">
        <v>126001</v>
      </c>
      <c r="O49" s="17" cm="1">
        <f t="array" ref="O49">(H49-H48)/H48</f>
        <v>0.0104043509103807</v>
      </c>
    </row>
    <row r="50" ht="13.65" customHeight="1">
      <c r="A50" s="12">
        <v>44356</v>
      </c>
      <c r="B50" t="s" s="13">
        <v>22</v>
      </c>
      <c r="C50" s="15">
        <v>214</v>
      </c>
      <c r="D50" s="15">
        <v>214.75</v>
      </c>
      <c r="E50" s="15">
        <v>211.5</v>
      </c>
      <c r="F50" s="15">
        <v>213.65</v>
      </c>
      <c r="G50" s="15">
        <v>212.55</v>
      </c>
      <c r="H50" s="15">
        <v>212.5</v>
      </c>
      <c r="I50" s="15">
        <v>213.34</v>
      </c>
      <c r="J50" s="15">
        <v>239.2</v>
      </c>
      <c r="K50" s="15">
        <v>163.35</v>
      </c>
      <c r="L50" s="15">
        <v>24887924</v>
      </c>
      <c r="M50" t="s" s="13">
        <v>8856</v>
      </c>
      <c r="N50" s="15">
        <v>119309</v>
      </c>
      <c r="O50" s="17" cm="1">
        <f t="array" ref="O50">(H50-H49)/H49</f>
        <v>-0.00538263515094781</v>
      </c>
    </row>
    <row r="51" ht="13.65" customHeight="1">
      <c r="A51" s="18">
        <v>44357</v>
      </c>
      <c r="B51" t="s" s="13">
        <v>22</v>
      </c>
      <c r="C51" s="15">
        <v>208.7</v>
      </c>
      <c r="D51" s="15">
        <v>211.4</v>
      </c>
      <c r="E51" s="15">
        <v>207.5</v>
      </c>
      <c r="F51" s="15">
        <v>212.5</v>
      </c>
      <c r="G51" s="15">
        <v>209.75</v>
      </c>
      <c r="H51" s="15">
        <v>209.3</v>
      </c>
      <c r="I51" s="15">
        <v>209.31</v>
      </c>
      <c r="J51" s="15">
        <v>239.2</v>
      </c>
      <c r="K51" s="15">
        <v>163.35</v>
      </c>
      <c r="L51" s="15">
        <v>30719587</v>
      </c>
      <c r="M51" t="s" s="13">
        <v>8857</v>
      </c>
      <c r="N51" s="15">
        <v>186336</v>
      </c>
      <c r="O51" s="17" cm="1">
        <f t="array" ref="O51">(H51-H50)/H50</f>
        <v>-0.0150588235294118</v>
      </c>
    </row>
    <row r="52" ht="13.65" customHeight="1">
      <c r="A52" s="18">
        <v>44358</v>
      </c>
      <c r="B52" t="s" s="13">
        <v>22</v>
      </c>
      <c r="C52" s="15">
        <v>210.3</v>
      </c>
      <c r="D52" s="15">
        <v>210.45</v>
      </c>
      <c r="E52" s="15">
        <v>207.75</v>
      </c>
      <c r="F52" s="15">
        <v>209.3</v>
      </c>
      <c r="G52" s="15">
        <v>208</v>
      </c>
      <c r="H52" s="15">
        <v>207.9</v>
      </c>
      <c r="I52" s="15">
        <v>208.6</v>
      </c>
      <c r="J52" s="15">
        <v>239.2</v>
      </c>
      <c r="K52" s="15">
        <v>163.35</v>
      </c>
      <c r="L52" s="15">
        <v>21424291</v>
      </c>
      <c r="M52" t="s" s="13">
        <v>8858</v>
      </c>
      <c r="N52" s="15">
        <v>138839</v>
      </c>
      <c r="O52" s="17" cm="1">
        <f t="array" ref="O52">(H52-H51)/H51</f>
        <v>-0.00668896321070234</v>
      </c>
    </row>
    <row r="53" ht="13.65" customHeight="1">
      <c r="A53" s="18">
        <v>44361</v>
      </c>
      <c r="B53" t="s" s="13">
        <v>22</v>
      </c>
      <c r="C53" s="15">
        <v>207.95</v>
      </c>
      <c r="D53" s="15">
        <v>208.45</v>
      </c>
      <c r="E53" s="15">
        <v>205.2</v>
      </c>
      <c r="F53" s="15">
        <v>207.9</v>
      </c>
      <c r="G53" s="15">
        <v>207.55</v>
      </c>
      <c r="H53" s="15">
        <v>207.3</v>
      </c>
      <c r="I53" s="15">
        <v>206.83</v>
      </c>
      <c r="J53" s="15">
        <v>239.2</v>
      </c>
      <c r="K53" s="15">
        <v>163.35</v>
      </c>
      <c r="L53" s="15">
        <v>17677889</v>
      </c>
      <c r="M53" t="s" s="13">
        <v>8859</v>
      </c>
      <c r="N53" s="15">
        <v>133072</v>
      </c>
      <c r="O53" s="17" cm="1">
        <f t="array" ref="O53">(H53-H52)/H52</f>
        <v>-0.00288600288600289</v>
      </c>
    </row>
    <row r="54" ht="13.65" customHeight="1">
      <c r="A54" s="18">
        <v>44362</v>
      </c>
      <c r="B54" t="s" s="13">
        <v>22</v>
      </c>
      <c r="C54" s="15">
        <v>207.55</v>
      </c>
      <c r="D54" s="15">
        <v>208.4</v>
      </c>
      <c r="E54" s="15">
        <v>207</v>
      </c>
      <c r="F54" s="15">
        <v>207.3</v>
      </c>
      <c r="G54" s="15">
        <v>207.1</v>
      </c>
      <c r="H54" s="15">
        <v>207.05</v>
      </c>
      <c r="I54" s="15">
        <v>207.54</v>
      </c>
      <c r="J54" s="15">
        <v>239.2</v>
      </c>
      <c r="K54" s="15">
        <v>163.35</v>
      </c>
      <c r="L54" s="15">
        <v>14854294</v>
      </c>
      <c r="M54" t="s" s="13">
        <v>8860</v>
      </c>
      <c r="N54" s="15">
        <v>110907</v>
      </c>
      <c r="O54" s="17" cm="1">
        <f t="array" ref="O54">(H54-H53)/H53</f>
        <v>-0.00120598166907863</v>
      </c>
    </row>
    <row r="55" ht="13.65" customHeight="1">
      <c r="A55" s="18">
        <v>44363</v>
      </c>
      <c r="B55" t="s" s="13">
        <v>22</v>
      </c>
      <c r="C55" s="15">
        <v>207.05</v>
      </c>
      <c r="D55" s="15">
        <v>209.35</v>
      </c>
      <c r="E55" s="15">
        <v>207.05</v>
      </c>
      <c r="F55" s="15">
        <v>207.05</v>
      </c>
      <c r="G55" s="15">
        <v>207.45</v>
      </c>
      <c r="H55" s="15">
        <v>207.85</v>
      </c>
      <c r="I55" s="15">
        <v>208.28</v>
      </c>
      <c r="J55" s="15">
        <v>239.2</v>
      </c>
      <c r="K55" s="15">
        <v>163.35</v>
      </c>
      <c r="L55" s="15">
        <v>20104244</v>
      </c>
      <c r="M55" t="s" s="13">
        <v>8861</v>
      </c>
      <c r="N55" s="15">
        <v>103261</v>
      </c>
      <c r="O55" s="17" cm="1">
        <f t="array" ref="O55">(H55-H54)/H54</f>
        <v>0.00386380101424777</v>
      </c>
    </row>
    <row r="56" ht="13.65" customHeight="1">
      <c r="A56" s="18">
        <v>44364</v>
      </c>
      <c r="B56" t="s" s="13">
        <v>22</v>
      </c>
      <c r="C56" s="15">
        <v>206.95</v>
      </c>
      <c r="D56" s="15">
        <v>208</v>
      </c>
      <c r="E56" s="15">
        <v>205</v>
      </c>
      <c r="F56" s="15">
        <v>207.85</v>
      </c>
      <c r="G56" s="15">
        <v>205.5</v>
      </c>
      <c r="H56" s="15">
        <v>205.65</v>
      </c>
      <c r="I56" s="15">
        <v>206.25</v>
      </c>
      <c r="J56" s="15">
        <v>239.2</v>
      </c>
      <c r="K56" s="15">
        <v>163.35</v>
      </c>
      <c r="L56" s="15">
        <v>21476893</v>
      </c>
      <c r="M56" t="s" s="13">
        <v>8862</v>
      </c>
      <c r="N56" s="15">
        <v>173639</v>
      </c>
      <c r="O56" s="17" cm="1">
        <f t="array" ref="O56">(H56-H55)/H55</f>
        <v>-0.0105845561703151</v>
      </c>
    </row>
    <row r="57" ht="13.65" customHeight="1">
      <c r="A57" s="18">
        <v>44365</v>
      </c>
      <c r="B57" t="s" s="13">
        <v>22</v>
      </c>
      <c r="C57" s="15">
        <v>206</v>
      </c>
      <c r="D57" s="15">
        <v>206.45</v>
      </c>
      <c r="E57" s="15">
        <v>202.5</v>
      </c>
      <c r="F57" s="15">
        <v>205.65</v>
      </c>
      <c r="G57" s="15">
        <v>204.85</v>
      </c>
      <c r="H57" s="15">
        <v>204.55</v>
      </c>
      <c r="I57" s="15">
        <v>204.27</v>
      </c>
      <c r="J57" s="15">
        <v>239.2</v>
      </c>
      <c r="K57" s="15">
        <v>163.35</v>
      </c>
      <c r="L57" s="15">
        <v>23567549</v>
      </c>
      <c r="M57" t="s" s="13">
        <v>8863</v>
      </c>
      <c r="N57" s="15">
        <v>179302</v>
      </c>
      <c r="O57" s="17" cm="1">
        <f t="array" ref="O57">(H57-H56)/H56</f>
        <v>-0.00534889375151957</v>
      </c>
    </row>
    <row r="58" ht="13.65" customHeight="1">
      <c r="A58" s="18">
        <v>44368</v>
      </c>
      <c r="B58" t="s" s="13">
        <v>22</v>
      </c>
      <c r="C58" s="15">
        <v>203.1</v>
      </c>
      <c r="D58" s="15">
        <v>206</v>
      </c>
      <c r="E58" s="15">
        <v>202.4</v>
      </c>
      <c r="F58" s="15">
        <v>204.55</v>
      </c>
      <c r="G58" s="15">
        <v>204.7</v>
      </c>
      <c r="H58" s="15">
        <v>204.45</v>
      </c>
      <c r="I58" s="15">
        <v>204.54</v>
      </c>
      <c r="J58" s="15">
        <v>239.2</v>
      </c>
      <c r="K58" s="15">
        <v>163.35</v>
      </c>
      <c r="L58" s="15">
        <v>19074685</v>
      </c>
      <c r="M58" t="s" s="13">
        <v>8864</v>
      </c>
      <c r="N58" s="15">
        <v>150105</v>
      </c>
      <c r="O58" s="17" cm="1">
        <f t="array" ref="O58">(H58-H57)/H57</f>
        <v>-0.000488878024932779</v>
      </c>
    </row>
    <row r="59" ht="13.65" customHeight="1">
      <c r="A59" s="18">
        <v>44369</v>
      </c>
      <c r="B59" t="s" s="13">
        <v>22</v>
      </c>
      <c r="C59" s="15">
        <v>206.1</v>
      </c>
      <c r="D59" s="15">
        <v>206.25</v>
      </c>
      <c r="E59" s="15">
        <v>204.35</v>
      </c>
      <c r="F59" s="15">
        <v>204.45</v>
      </c>
      <c r="G59" s="15">
        <v>205.2</v>
      </c>
      <c r="H59" s="15">
        <v>205.1</v>
      </c>
      <c r="I59" s="15">
        <v>205.11</v>
      </c>
      <c r="J59" s="15">
        <v>239.2</v>
      </c>
      <c r="K59" s="15">
        <v>163.35</v>
      </c>
      <c r="L59" s="15">
        <v>18042675</v>
      </c>
      <c r="M59" t="s" s="13">
        <v>8865</v>
      </c>
      <c r="N59" s="15">
        <v>113081</v>
      </c>
      <c r="O59" s="17" cm="1">
        <f t="array" ref="O59">(H59-H58)/H58</f>
        <v>0.00317926143311323</v>
      </c>
    </row>
    <row r="60" ht="13.65" customHeight="1">
      <c r="A60" s="18">
        <v>44370</v>
      </c>
      <c r="B60" t="s" s="13">
        <v>22</v>
      </c>
      <c r="C60" s="15">
        <v>205.65</v>
      </c>
      <c r="D60" s="15">
        <v>205.85</v>
      </c>
      <c r="E60" s="15">
        <v>203.6</v>
      </c>
      <c r="F60" s="15">
        <v>205.1</v>
      </c>
      <c r="G60" s="15">
        <v>204.05</v>
      </c>
      <c r="H60" s="15">
        <v>203.95</v>
      </c>
      <c r="I60" s="15">
        <v>204.47</v>
      </c>
      <c r="J60" s="15">
        <v>239.2</v>
      </c>
      <c r="K60" s="15">
        <v>163.35</v>
      </c>
      <c r="L60" s="15">
        <v>12575210</v>
      </c>
      <c r="M60" t="s" s="13">
        <v>8866</v>
      </c>
      <c r="N60" s="15">
        <v>132740</v>
      </c>
      <c r="O60" s="17" cm="1">
        <f t="array" ref="O60">(H60-H59)/H59</f>
        <v>-0.00560702096538274</v>
      </c>
    </row>
    <row r="61" ht="13.65" customHeight="1">
      <c r="A61" s="18">
        <v>44371</v>
      </c>
      <c r="B61" t="s" s="13">
        <v>22</v>
      </c>
      <c r="C61" s="15">
        <v>204.45</v>
      </c>
      <c r="D61" s="15">
        <v>204.65</v>
      </c>
      <c r="E61" s="15">
        <v>202.55</v>
      </c>
      <c r="F61" s="15">
        <v>203.95</v>
      </c>
      <c r="G61" s="15">
        <v>203.95</v>
      </c>
      <c r="H61" s="15">
        <v>203.25</v>
      </c>
      <c r="I61" s="15">
        <v>203.18</v>
      </c>
      <c r="J61" s="15">
        <v>239.2</v>
      </c>
      <c r="K61" s="15">
        <v>163.35</v>
      </c>
      <c r="L61" s="15">
        <v>22435272</v>
      </c>
      <c r="M61" t="s" s="13">
        <v>8867</v>
      </c>
      <c r="N61" s="15">
        <v>145424</v>
      </c>
      <c r="O61" s="17" cm="1">
        <f t="array" ref="O61">(H61-H60)/H60</f>
        <v>-0.00343221377788674</v>
      </c>
    </row>
    <row r="62" ht="13.65" customHeight="1">
      <c r="A62" s="18">
        <v>44372</v>
      </c>
      <c r="B62" t="s" s="13">
        <v>22</v>
      </c>
      <c r="C62" s="15">
        <v>204</v>
      </c>
      <c r="D62" s="15">
        <v>205.6</v>
      </c>
      <c r="E62" s="15">
        <v>203.75</v>
      </c>
      <c r="F62" s="15">
        <v>203.25</v>
      </c>
      <c r="G62" s="15">
        <v>205</v>
      </c>
      <c r="H62" s="15">
        <v>205.05</v>
      </c>
      <c r="I62" s="15">
        <v>204.79</v>
      </c>
      <c r="J62" s="15">
        <v>239.2</v>
      </c>
      <c r="K62" s="15">
        <v>163.35</v>
      </c>
      <c r="L62" s="15">
        <v>13877208</v>
      </c>
      <c r="M62" t="s" s="13">
        <v>8868</v>
      </c>
      <c r="N62" s="15">
        <v>140517</v>
      </c>
      <c r="O62" s="17" cm="1">
        <f t="array" ref="O62">(H62-H61)/H61</f>
        <v>0.00885608856088561</v>
      </c>
    </row>
    <row r="63" ht="13.65" customHeight="1">
      <c r="A63" s="18">
        <v>44375</v>
      </c>
      <c r="B63" t="s" s="13">
        <v>22</v>
      </c>
      <c r="C63" s="15">
        <v>205.9</v>
      </c>
      <c r="D63" s="15">
        <v>205.9</v>
      </c>
      <c r="E63" s="15">
        <v>203.35</v>
      </c>
      <c r="F63" s="15">
        <v>205.05</v>
      </c>
      <c r="G63" s="15">
        <v>203.7</v>
      </c>
      <c r="H63" s="15">
        <v>203.6</v>
      </c>
      <c r="I63" s="15">
        <v>203.99</v>
      </c>
      <c r="J63" s="15">
        <v>239.2</v>
      </c>
      <c r="K63" s="15">
        <v>163.35</v>
      </c>
      <c r="L63" s="15">
        <v>14627153</v>
      </c>
      <c r="M63" t="s" s="13">
        <v>8869</v>
      </c>
      <c r="N63" s="15">
        <v>117711</v>
      </c>
      <c r="O63" s="17" cm="1">
        <f t="array" ref="O63">(H63-H62)/H62</f>
        <v>-0.00707144598878322</v>
      </c>
    </row>
    <row r="64" ht="13.65" customHeight="1">
      <c r="A64" s="18">
        <v>44376</v>
      </c>
      <c r="B64" t="s" s="13">
        <v>22</v>
      </c>
      <c r="C64" s="15">
        <v>203.6</v>
      </c>
      <c r="D64" s="15">
        <v>205.3</v>
      </c>
      <c r="E64" s="15">
        <v>203.15</v>
      </c>
      <c r="F64" s="15">
        <v>203.6</v>
      </c>
      <c r="G64" s="15">
        <v>203.25</v>
      </c>
      <c r="H64" s="15">
        <v>203.3</v>
      </c>
      <c r="I64" s="15">
        <v>203.84</v>
      </c>
      <c r="J64" s="15">
        <v>239.2</v>
      </c>
      <c r="K64" s="15">
        <v>163.35</v>
      </c>
      <c r="L64" s="15">
        <v>13326068</v>
      </c>
      <c r="M64" t="s" s="13">
        <v>8870</v>
      </c>
      <c r="N64" s="15">
        <v>107509</v>
      </c>
      <c r="O64" s="17" cm="1">
        <f t="array" ref="O64">(H64-H63)/H63</f>
        <v>-0.00147347740667976</v>
      </c>
    </row>
    <row r="65" ht="13.65" customHeight="1">
      <c r="A65" s="18">
        <v>44377</v>
      </c>
      <c r="B65" t="s" s="13">
        <v>22</v>
      </c>
      <c r="C65" s="15">
        <v>204.3</v>
      </c>
      <c r="D65" s="15">
        <v>204.4</v>
      </c>
      <c r="E65" s="15">
        <v>202.55</v>
      </c>
      <c r="F65" s="15">
        <v>203.3</v>
      </c>
      <c r="G65" s="15">
        <v>202.7</v>
      </c>
      <c r="H65" s="15">
        <v>202.7</v>
      </c>
      <c r="I65" s="15">
        <v>203.25</v>
      </c>
      <c r="J65" s="15">
        <v>239.2</v>
      </c>
      <c r="K65" s="15">
        <v>163.35</v>
      </c>
      <c r="L65" s="15">
        <v>15942408</v>
      </c>
      <c r="M65" t="s" s="13">
        <v>8871</v>
      </c>
      <c r="N65" s="15">
        <v>122092</v>
      </c>
      <c r="O65" s="17" cm="1">
        <f t="array" ref="O65">(H65-H64)/H64</f>
        <v>-0.0029513034923758</v>
      </c>
    </row>
    <row r="66" ht="13.65" customHeight="1">
      <c r="A66" s="12">
        <v>44378</v>
      </c>
      <c r="B66" t="s" s="13">
        <v>22</v>
      </c>
      <c r="C66" s="15">
        <v>202.9</v>
      </c>
      <c r="D66" s="15">
        <v>203.8</v>
      </c>
      <c r="E66" s="15">
        <v>202.15</v>
      </c>
      <c r="F66" s="15">
        <v>202.7</v>
      </c>
      <c r="G66" s="15">
        <v>203.1</v>
      </c>
      <c r="H66" s="15">
        <v>203</v>
      </c>
      <c r="I66" s="15">
        <v>203.03</v>
      </c>
      <c r="J66" s="15">
        <v>239.2</v>
      </c>
      <c r="K66" s="15">
        <v>163.35</v>
      </c>
      <c r="L66" s="15">
        <v>10191296</v>
      </c>
      <c r="M66" t="s" s="13">
        <v>8872</v>
      </c>
      <c r="N66" s="15">
        <v>68663</v>
      </c>
      <c r="O66" s="17" cm="1">
        <f t="array" ref="O66">(H66-H65)/H65</f>
        <v>0.00148001973359645</v>
      </c>
    </row>
    <row r="67" ht="13.65" customHeight="1">
      <c r="A67" s="12">
        <v>44379</v>
      </c>
      <c r="B67" t="s" s="13">
        <v>22</v>
      </c>
      <c r="C67" s="15">
        <v>203.3</v>
      </c>
      <c r="D67" s="15">
        <v>203.7</v>
      </c>
      <c r="E67" s="15">
        <v>202.25</v>
      </c>
      <c r="F67" s="15">
        <v>203</v>
      </c>
      <c r="G67" s="15">
        <v>202.45</v>
      </c>
      <c r="H67" s="15">
        <v>202.4</v>
      </c>
      <c r="I67" s="15">
        <v>202.75</v>
      </c>
      <c r="J67" s="15">
        <v>239.2</v>
      </c>
      <c r="K67" s="15">
        <v>163.35</v>
      </c>
      <c r="L67" s="15">
        <v>12698779</v>
      </c>
      <c r="M67" t="s" s="13">
        <v>8873</v>
      </c>
      <c r="N67" s="15">
        <v>132029</v>
      </c>
      <c r="O67" s="17" cm="1">
        <f t="array" ref="O67">(H67-H66)/H66</f>
        <v>-0.00295566502463054</v>
      </c>
    </row>
    <row r="68" ht="13.65" customHeight="1">
      <c r="A68" s="12">
        <v>44382</v>
      </c>
      <c r="B68" t="s" s="13">
        <v>22</v>
      </c>
      <c r="C68" s="15">
        <v>203</v>
      </c>
      <c r="D68" s="15">
        <v>204.1</v>
      </c>
      <c r="E68" s="15">
        <v>202.7</v>
      </c>
      <c r="F68" s="15">
        <v>202.4</v>
      </c>
      <c r="G68" s="15">
        <v>203.65</v>
      </c>
      <c r="H68" s="15">
        <v>203.65</v>
      </c>
      <c r="I68" s="15">
        <v>203.38</v>
      </c>
      <c r="J68" s="15">
        <v>239.2</v>
      </c>
      <c r="K68" s="15">
        <v>163.35</v>
      </c>
      <c r="L68" s="15">
        <v>10248249</v>
      </c>
      <c r="M68" t="s" s="13">
        <v>8874</v>
      </c>
      <c r="N68" s="15">
        <v>75097</v>
      </c>
      <c r="O68" s="17" cm="1">
        <f t="array" ref="O68">(H68-H67)/H67</f>
        <v>0.00617588932806324</v>
      </c>
    </row>
    <row r="69" ht="13.65" customHeight="1">
      <c r="A69" s="12">
        <v>44383</v>
      </c>
      <c r="B69" t="s" s="13">
        <v>22</v>
      </c>
      <c r="C69" s="15">
        <v>203.25</v>
      </c>
      <c r="D69" s="15">
        <v>203.8</v>
      </c>
      <c r="E69" s="15">
        <v>202.25</v>
      </c>
      <c r="F69" s="15">
        <v>203.65</v>
      </c>
      <c r="G69" s="15">
        <v>202.6</v>
      </c>
      <c r="H69" s="15">
        <v>202.5</v>
      </c>
      <c r="I69" s="15">
        <v>203.1</v>
      </c>
      <c r="J69" s="15">
        <v>239.2</v>
      </c>
      <c r="K69" s="15">
        <v>163.35</v>
      </c>
      <c r="L69" s="15">
        <v>11088659</v>
      </c>
      <c r="M69" t="s" s="13">
        <v>8875</v>
      </c>
      <c r="N69" s="15">
        <v>95117</v>
      </c>
      <c r="O69" s="17" cm="1">
        <f t="array" ref="O69">(H69-H68)/H68</f>
        <v>-0.00564694328504788</v>
      </c>
    </row>
    <row r="70" ht="13.65" customHeight="1">
      <c r="A70" s="12">
        <v>44384</v>
      </c>
      <c r="B70" t="s" s="13">
        <v>22</v>
      </c>
      <c r="C70" s="15">
        <v>202.5</v>
      </c>
      <c r="D70" s="15">
        <v>205.2</v>
      </c>
      <c r="E70" s="15">
        <v>202.3</v>
      </c>
      <c r="F70" s="15">
        <v>202.5</v>
      </c>
      <c r="G70" s="15">
        <v>203.9</v>
      </c>
      <c r="H70" s="15">
        <v>203.75</v>
      </c>
      <c r="I70" s="15">
        <v>203.87</v>
      </c>
      <c r="J70" s="15">
        <v>239.2</v>
      </c>
      <c r="K70" s="15">
        <v>163.35</v>
      </c>
      <c r="L70" s="15">
        <v>17879443</v>
      </c>
      <c r="M70" t="s" s="13">
        <v>8876</v>
      </c>
      <c r="N70" s="15">
        <v>91964</v>
      </c>
      <c r="O70" s="17" cm="1">
        <f t="array" ref="O70">(H70-H69)/H69</f>
        <v>0.00617283950617284</v>
      </c>
    </row>
    <row r="71" ht="13.65" customHeight="1">
      <c r="A71" s="12">
        <v>44385</v>
      </c>
      <c r="B71" t="s" s="13">
        <v>22</v>
      </c>
      <c r="C71" s="15">
        <v>203.5</v>
      </c>
      <c r="D71" s="15">
        <v>204.5</v>
      </c>
      <c r="E71" s="15">
        <v>201.8</v>
      </c>
      <c r="F71" s="15">
        <v>203.75</v>
      </c>
      <c r="G71" s="15">
        <v>202.05</v>
      </c>
      <c r="H71" s="15">
        <v>202</v>
      </c>
      <c r="I71" s="15">
        <v>202.54</v>
      </c>
      <c r="J71" s="15">
        <v>239.2</v>
      </c>
      <c r="K71" s="15">
        <v>163.35</v>
      </c>
      <c r="L71" s="15">
        <v>20925008</v>
      </c>
      <c r="M71" t="s" s="13">
        <v>8877</v>
      </c>
      <c r="N71" s="15">
        <v>141373</v>
      </c>
      <c r="O71" s="17" cm="1">
        <f t="array" ref="O71">(H71-H70)/H70</f>
        <v>-0.008588957055214719</v>
      </c>
    </row>
    <row r="72" ht="13.65" customHeight="1">
      <c r="A72" s="12">
        <v>44386</v>
      </c>
      <c r="B72" t="s" s="13">
        <v>22</v>
      </c>
      <c r="C72" s="15">
        <v>202</v>
      </c>
      <c r="D72" s="15">
        <v>202.35</v>
      </c>
      <c r="E72" s="15">
        <v>200.9</v>
      </c>
      <c r="F72" s="15">
        <v>202</v>
      </c>
      <c r="G72" s="15">
        <v>201.45</v>
      </c>
      <c r="H72" s="15">
        <v>201.35</v>
      </c>
      <c r="I72" s="15">
        <v>201.63</v>
      </c>
      <c r="J72" s="15">
        <v>239.2</v>
      </c>
      <c r="K72" s="15">
        <v>163.35</v>
      </c>
      <c r="L72" s="15">
        <v>11834045</v>
      </c>
      <c r="M72" t="s" s="13">
        <v>8878</v>
      </c>
      <c r="N72" s="15">
        <v>95596</v>
      </c>
      <c r="O72" s="17" cm="1">
        <f t="array" ref="O72">(H72-H71)/H71</f>
        <v>-0.00321782178217822</v>
      </c>
    </row>
    <row r="73" ht="13.65" customHeight="1">
      <c r="A73" s="18">
        <v>44389</v>
      </c>
      <c r="B73" t="s" s="13">
        <v>22</v>
      </c>
      <c r="C73" s="15">
        <v>202</v>
      </c>
      <c r="D73" s="15">
        <v>202.55</v>
      </c>
      <c r="E73" s="15">
        <v>200.95</v>
      </c>
      <c r="F73" s="15">
        <v>201.35</v>
      </c>
      <c r="G73" s="15">
        <v>201.1</v>
      </c>
      <c r="H73" s="15">
        <v>201.1</v>
      </c>
      <c r="I73" s="15">
        <v>201.68</v>
      </c>
      <c r="J73" s="15">
        <v>239.2</v>
      </c>
      <c r="K73" s="15">
        <v>163.35</v>
      </c>
      <c r="L73" s="15">
        <v>13085323</v>
      </c>
      <c r="M73" t="s" s="13">
        <v>8879</v>
      </c>
      <c r="N73" s="15">
        <v>95000</v>
      </c>
      <c r="O73" s="17" cm="1">
        <f t="array" ref="O73">(H73-H72)/H72</f>
        <v>-0.00124161907126893</v>
      </c>
    </row>
    <row r="74" ht="13.65" customHeight="1">
      <c r="A74" s="18">
        <v>44390</v>
      </c>
      <c r="B74" t="s" s="13">
        <v>22</v>
      </c>
      <c r="C74" s="15">
        <v>202</v>
      </c>
      <c r="D74" s="15">
        <v>202.2</v>
      </c>
      <c r="E74" s="15">
        <v>201.35</v>
      </c>
      <c r="F74" s="15">
        <v>201.1</v>
      </c>
      <c r="G74" s="15">
        <v>202.05</v>
      </c>
      <c r="H74" s="15">
        <v>201.85</v>
      </c>
      <c r="I74" s="15">
        <v>201.75</v>
      </c>
      <c r="J74" s="15">
        <v>239.2</v>
      </c>
      <c r="K74" s="15">
        <v>163.35</v>
      </c>
      <c r="L74" s="15">
        <v>10830411</v>
      </c>
      <c r="M74" t="s" s="13">
        <v>8880</v>
      </c>
      <c r="N74" s="15">
        <v>66272</v>
      </c>
      <c r="O74" s="17" cm="1">
        <f t="array" ref="O74">(H74-H73)/H73</f>
        <v>0.00372948781700646</v>
      </c>
    </row>
    <row r="75" ht="13.65" customHeight="1">
      <c r="A75" s="18">
        <v>44391</v>
      </c>
      <c r="B75" t="s" s="13">
        <v>22</v>
      </c>
      <c r="C75" s="15">
        <v>201.85</v>
      </c>
      <c r="D75" s="15">
        <v>205.15</v>
      </c>
      <c r="E75" s="15">
        <v>201.7</v>
      </c>
      <c r="F75" s="15">
        <v>201.85</v>
      </c>
      <c r="G75" s="15">
        <v>203.95</v>
      </c>
      <c r="H75" s="15">
        <v>204.1</v>
      </c>
      <c r="I75" s="15">
        <v>203.56</v>
      </c>
      <c r="J75" s="15">
        <v>239.2</v>
      </c>
      <c r="K75" s="15">
        <v>163.35</v>
      </c>
      <c r="L75" s="15">
        <v>20480406</v>
      </c>
      <c r="M75" t="s" s="13">
        <v>8881</v>
      </c>
      <c r="N75" s="15">
        <v>106786</v>
      </c>
      <c r="O75" s="17" cm="1">
        <f t="array" ref="O75">(H75-H74)/H74</f>
        <v>0.0111468912558831</v>
      </c>
    </row>
    <row r="76" ht="13.65" customHeight="1">
      <c r="A76" s="18">
        <v>44392</v>
      </c>
      <c r="B76" t="s" s="13">
        <v>22</v>
      </c>
      <c r="C76" s="15">
        <v>204.4</v>
      </c>
      <c r="D76" s="15">
        <v>208.5</v>
      </c>
      <c r="E76" s="15">
        <v>202.9</v>
      </c>
      <c r="F76" s="15">
        <v>204.1</v>
      </c>
      <c r="G76" s="15">
        <v>206.4</v>
      </c>
      <c r="H76" s="15">
        <v>206.25</v>
      </c>
      <c r="I76" s="15">
        <v>205.96</v>
      </c>
      <c r="J76" s="15">
        <v>239.2</v>
      </c>
      <c r="K76" s="15">
        <v>163.35</v>
      </c>
      <c r="L76" s="15">
        <v>28852257</v>
      </c>
      <c r="M76" t="s" s="13">
        <v>8882</v>
      </c>
      <c r="N76" s="15">
        <v>148819</v>
      </c>
      <c r="O76" s="17" cm="1">
        <f t="array" ref="O76">(H76-H75)/H75</f>
        <v>0.0105340519353258</v>
      </c>
    </row>
    <row r="77" ht="13.65" customHeight="1">
      <c r="A77" s="18">
        <v>44393</v>
      </c>
      <c r="B77" t="s" s="13">
        <v>22</v>
      </c>
      <c r="C77" s="15">
        <v>207.7</v>
      </c>
      <c r="D77" s="15">
        <v>209.65</v>
      </c>
      <c r="E77" s="15">
        <v>207.2</v>
      </c>
      <c r="F77" s="15">
        <v>206.25</v>
      </c>
      <c r="G77" s="15">
        <v>207.85</v>
      </c>
      <c r="H77" s="15">
        <v>207.9</v>
      </c>
      <c r="I77" s="15">
        <v>208.43</v>
      </c>
      <c r="J77" s="15">
        <v>239.2</v>
      </c>
      <c r="K77" s="15">
        <v>163.35</v>
      </c>
      <c r="L77" s="15">
        <v>29019824</v>
      </c>
      <c r="M77" t="s" s="13">
        <v>8883</v>
      </c>
      <c r="N77" s="15">
        <v>163226</v>
      </c>
      <c r="O77" s="17" cm="1">
        <f t="array" ref="O77">(H77-H76)/H76</f>
        <v>0.008</v>
      </c>
    </row>
    <row r="78" ht="13.65" customHeight="1">
      <c r="A78" s="18">
        <v>44396</v>
      </c>
      <c r="B78" t="s" s="13">
        <v>22</v>
      </c>
      <c r="C78" s="15">
        <v>206.8</v>
      </c>
      <c r="D78" s="15">
        <v>209.5</v>
      </c>
      <c r="E78" s="15">
        <v>206.35</v>
      </c>
      <c r="F78" s="15">
        <v>207.9</v>
      </c>
      <c r="G78" s="15">
        <v>208</v>
      </c>
      <c r="H78" s="15">
        <v>207.75</v>
      </c>
      <c r="I78" s="15">
        <v>208.11</v>
      </c>
      <c r="J78" s="15">
        <v>239.2</v>
      </c>
      <c r="K78" s="15">
        <v>163.35</v>
      </c>
      <c r="L78" s="15">
        <v>16464973</v>
      </c>
      <c r="M78" t="s" s="13">
        <v>8884</v>
      </c>
      <c r="N78" s="15">
        <v>110856</v>
      </c>
      <c r="O78" s="17" cm="1">
        <f t="array" ref="O78">(H78-H77)/H77</f>
        <v>-0.000721500721500722</v>
      </c>
    </row>
    <row r="79" ht="13.65" customHeight="1">
      <c r="A79" s="18">
        <v>44397</v>
      </c>
      <c r="B79" t="s" s="13">
        <v>22</v>
      </c>
      <c r="C79" s="15">
        <v>208.2</v>
      </c>
      <c r="D79" s="15">
        <v>209.3</v>
      </c>
      <c r="E79" s="15">
        <v>206.4</v>
      </c>
      <c r="F79" s="15">
        <v>207.75</v>
      </c>
      <c r="G79" s="15">
        <v>206.6</v>
      </c>
      <c r="H79" s="15">
        <v>206.8</v>
      </c>
      <c r="I79" s="15">
        <v>207.8</v>
      </c>
      <c r="J79" s="15">
        <v>239.2</v>
      </c>
      <c r="K79" s="15">
        <v>163.35</v>
      </c>
      <c r="L79" s="15">
        <v>23656813</v>
      </c>
      <c r="M79" t="s" s="13">
        <v>8885</v>
      </c>
      <c r="N79" s="15">
        <v>161404</v>
      </c>
      <c r="O79" s="17" cm="1">
        <f t="array" ref="O79">(H79-H78)/H78</f>
        <v>-0.00457280385078219</v>
      </c>
    </row>
    <row r="80" ht="13.65" customHeight="1">
      <c r="A80" s="18">
        <v>44399</v>
      </c>
      <c r="B80" t="s" s="13">
        <v>22</v>
      </c>
      <c r="C80" s="15">
        <v>207</v>
      </c>
      <c r="D80" s="15">
        <v>208.25</v>
      </c>
      <c r="E80" s="15">
        <v>205.85</v>
      </c>
      <c r="F80" s="15">
        <v>206.8</v>
      </c>
      <c r="G80" s="15">
        <v>207</v>
      </c>
      <c r="H80" s="15">
        <v>207</v>
      </c>
      <c r="I80" s="15">
        <v>207.03</v>
      </c>
      <c r="J80" s="15">
        <v>239.2</v>
      </c>
      <c r="K80" s="15">
        <v>163.35</v>
      </c>
      <c r="L80" s="15">
        <v>18311537</v>
      </c>
      <c r="M80" t="s" s="13">
        <v>8886</v>
      </c>
      <c r="N80" s="15">
        <v>101678</v>
      </c>
      <c r="O80" s="17" cm="1">
        <f t="array" ref="O80">(H80-H79)/H79</f>
        <v>0.000967117988394584</v>
      </c>
    </row>
    <row r="81" ht="13.65" customHeight="1">
      <c r="A81" s="18">
        <v>44400</v>
      </c>
      <c r="B81" t="s" s="13">
        <v>22</v>
      </c>
      <c r="C81" s="15">
        <v>207</v>
      </c>
      <c r="D81" s="15">
        <v>213.6</v>
      </c>
      <c r="E81" s="15">
        <v>206.5</v>
      </c>
      <c r="F81" s="15">
        <v>207</v>
      </c>
      <c r="G81" s="15">
        <v>212.45</v>
      </c>
      <c r="H81" s="15">
        <v>212.4</v>
      </c>
      <c r="I81" s="15">
        <v>210.93</v>
      </c>
      <c r="J81" s="15">
        <v>239.2</v>
      </c>
      <c r="K81" s="15">
        <v>163.35</v>
      </c>
      <c r="L81" s="15">
        <v>44526781</v>
      </c>
      <c r="M81" t="s" s="13">
        <v>8887</v>
      </c>
      <c r="N81" s="15">
        <v>253121</v>
      </c>
      <c r="O81" s="17" cm="1">
        <f t="array" ref="O81">(H81-H80)/H80</f>
        <v>0.0260869565217391</v>
      </c>
    </row>
    <row r="82" ht="13.65" customHeight="1">
      <c r="A82" s="18">
        <v>44403</v>
      </c>
      <c r="B82" t="s" s="13">
        <v>22</v>
      </c>
      <c r="C82" s="15">
        <v>214</v>
      </c>
      <c r="D82" s="15">
        <v>215.35</v>
      </c>
      <c r="E82" s="15">
        <v>210.8</v>
      </c>
      <c r="F82" s="15">
        <v>212.4</v>
      </c>
      <c r="G82" s="15">
        <v>211.05</v>
      </c>
      <c r="H82" s="15">
        <v>211.15</v>
      </c>
      <c r="I82" s="15">
        <v>213.27</v>
      </c>
      <c r="J82" s="15">
        <v>239.2</v>
      </c>
      <c r="K82" s="15">
        <v>163.35</v>
      </c>
      <c r="L82" s="15">
        <v>47263771</v>
      </c>
      <c r="M82" t="s" s="13">
        <v>8888</v>
      </c>
      <c r="N82" s="15">
        <v>276749</v>
      </c>
      <c r="O82" s="17" cm="1">
        <f t="array" ref="O82">(H82-H81)/H81</f>
        <v>-0.00588512241054614</v>
      </c>
    </row>
    <row r="83" ht="13.65" customHeight="1">
      <c r="A83" s="18">
        <v>44404</v>
      </c>
      <c r="B83" t="s" s="13">
        <v>22</v>
      </c>
      <c r="C83" s="15">
        <v>212</v>
      </c>
      <c r="D83" s="15">
        <v>213</v>
      </c>
      <c r="E83" s="15">
        <v>207.95</v>
      </c>
      <c r="F83" s="15">
        <v>211.15</v>
      </c>
      <c r="G83" s="15">
        <v>208.8</v>
      </c>
      <c r="H83" s="15">
        <v>208.65</v>
      </c>
      <c r="I83" s="15">
        <v>210.31</v>
      </c>
      <c r="J83" s="15">
        <v>239.2</v>
      </c>
      <c r="K83" s="15">
        <v>163.35</v>
      </c>
      <c r="L83" s="15">
        <v>24436949</v>
      </c>
      <c r="M83" t="s" s="13">
        <v>8889</v>
      </c>
      <c r="N83" s="15">
        <v>131878</v>
      </c>
      <c r="O83" s="17" cm="1">
        <f t="array" ref="O83">(H83-H82)/H82</f>
        <v>-0.011839924224485</v>
      </c>
    </row>
    <row r="84" ht="13.65" customHeight="1">
      <c r="A84" s="18">
        <v>44405</v>
      </c>
      <c r="B84" t="s" s="13">
        <v>22</v>
      </c>
      <c r="C84" s="15">
        <v>208.3</v>
      </c>
      <c r="D84" s="15">
        <v>210</v>
      </c>
      <c r="E84" s="15">
        <v>207.45</v>
      </c>
      <c r="F84" s="15">
        <v>208.65</v>
      </c>
      <c r="G84" s="15">
        <v>209.2</v>
      </c>
      <c r="H84" s="15">
        <v>209.1</v>
      </c>
      <c r="I84" s="15">
        <v>208.88</v>
      </c>
      <c r="J84" s="15">
        <v>239.2</v>
      </c>
      <c r="K84" s="15">
        <v>163.35</v>
      </c>
      <c r="L84" s="15">
        <v>14736840</v>
      </c>
      <c r="M84" t="s" s="13">
        <v>8890</v>
      </c>
      <c r="N84" s="15">
        <v>140082</v>
      </c>
      <c r="O84" s="17" cm="1">
        <f t="array" ref="O84">(H84-H83)/H83</f>
        <v>0.00215672178289001</v>
      </c>
    </row>
    <row r="85" ht="13.65" customHeight="1">
      <c r="A85" s="18">
        <v>44406</v>
      </c>
      <c r="B85" t="s" s="13">
        <v>22</v>
      </c>
      <c r="C85" s="15">
        <v>209.1</v>
      </c>
      <c r="D85" s="15">
        <v>210.2</v>
      </c>
      <c r="E85" s="15">
        <v>205.65</v>
      </c>
      <c r="F85" s="15">
        <v>209.1</v>
      </c>
      <c r="G85" s="15">
        <v>206</v>
      </c>
      <c r="H85" s="15">
        <v>206.05</v>
      </c>
      <c r="I85" s="15">
        <v>207.81</v>
      </c>
      <c r="J85" s="15">
        <v>239.2</v>
      </c>
      <c r="K85" s="15">
        <v>163.35</v>
      </c>
      <c r="L85" s="15">
        <v>15603733</v>
      </c>
      <c r="M85" t="s" s="13">
        <v>8891</v>
      </c>
      <c r="N85" s="15">
        <v>119278</v>
      </c>
      <c r="O85" s="17" cm="1">
        <f t="array" ref="O85">(H85-H84)/H84</f>
        <v>-0.0145863223338116</v>
      </c>
    </row>
    <row r="86" ht="13.65" customHeight="1">
      <c r="A86" s="18">
        <v>44407</v>
      </c>
      <c r="B86" t="s" s="13">
        <v>22</v>
      </c>
      <c r="C86" s="15">
        <v>206.1</v>
      </c>
      <c r="D86" s="15">
        <v>207.1</v>
      </c>
      <c r="E86" s="15">
        <v>204.6</v>
      </c>
      <c r="F86" s="15">
        <v>206.05</v>
      </c>
      <c r="G86" s="15">
        <v>205.05</v>
      </c>
      <c r="H86" s="15">
        <v>204.95</v>
      </c>
      <c r="I86" s="15">
        <v>205.63</v>
      </c>
      <c r="J86" s="15">
        <v>239.2</v>
      </c>
      <c r="K86" s="15">
        <v>163.35</v>
      </c>
      <c r="L86" s="15">
        <v>14940336</v>
      </c>
      <c r="M86" t="s" s="13">
        <v>8892</v>
      </c>
      <c r="N86" s="15">
        <v>102568</v>
      </c>
      <c r="O86" s="17" cm="1">
        <f t="array" ref="O86">(H86-H85)/H85</f>
        <v>-0.00533851007037127</v>
      </c>
    </row>
    <row r="87" ht="13.65" customHeight="1">
      <c r="A87" s="12">
        <v>44410</v>
      </c>
      <c r="B87" t="s" s="13">
        <v>22</v>
      </c>
      <c r="C87" s="15">
        <v>206.45</v>
      </c>
      <c r="D87" s="15">
        <v>207.5</v>
      </c>
      <c r="E87" s="15">
        <v>205.45</v>
      </c>
      <c r="F87" s="15">
        <v>204.95</v>
      </c>
      <c r="G87" s="15">
        <v>207.2</v>
      </c>
      <c r="H87" s="15">
        <v>207.3</v>
      </c>
      <c r="I87" s="15">
        <v>206.59</v>
      </c>
      <c r="J87" s="15">
        <v>239.2</v>
      </c>
      <c r="K87" s="15">
        <v>163.35</v>
      </c>
      <c r="L87" s="15">
        <v>9674128</v>
      </c>
      <c r="M87" t="s" s="13">
        <v>8893</v>
      </c>
      <c r="N87" s="15">
        <v>73105</v>
      </c>
      <c r="O87" s="17" cm="1">
        <f t="array" ref="O87">(H87-H86)/H86</f>
        <v>0.0114662112710417</v>
      </c>
    </row>
    <row r="88" ht="13.65" customHeight="1">
      <c r="A88" s="12">
        <v>44411</v>
      </c>
      <c r="B88" t="s" s="13">
        <v>22</v>
      </c>
      <c r="C88" s="15">
        <v>207.5</v>
      </c>
      <c r="D88" s="15">
        <v>210.9</v>
      </c>
      <c r="E88" s="15">
        <v>206.45</v>
      </c>
      <c r="F88" s="15">
        <v>207.3</v>
      </c>
      <c r="G88" s="15">
        <v>209.75</v>
      </c>
      <c r="H88" s="15">
        <v>209.9</v>
      </c>
      <c r="I88" s="15">
        <v>209.37</v>
      </c>
      <c r="J88" s="15">
        <v>239.2</v>
      </c>
      <c r="K88" s="15">
        <v>163.35</v>
      </c>
      <c r="L88" s="15">
        <v>18468527</v>
      </c>
      <c r="M88" t="s" s="13">
        <v>8894</v>
      </c>
      <c r="N88" s="15">
        <v>114086</v>
      </c>
      <c r="O88" s="17" cm="1">
        <f t="array" ref="O88">(H88-H87)/H87</f>
        <v>0.0125422093584178</v>
      </c>
    </row>
    <row r="89" ht="13.65" customHeight="1">
      <c r="A89" s="12">
        <v>44412</v>
      </c>
      <c r="B89" t="s" s="13">
        <v>22</v>
      </c>
      <c r="C89" s="15">
        <v>210.9</v>
      </c>
      <c r="D89" s="15">
        <v>211.1</v>
      </c>
      <c r="E89" s="15">
        <v>208.1</v>
      </c>
      <c r="F89" s="15">
        <v>209.9</v>
      </c>
      <c r="G89" s="15">
        <v>208.65</v>
      </c>
      <c r="H89" s="15">
        <v>208.6</v>
      </c>
      <c r="I89" s="15">
        <v>209.38</v>
      </c>
      <c r="J89" s="15">
        <v>239.2</v>
      </c>
      <c r="K89" s="15">
        <v>163.35</v>
      </c>
      <c r="L89" s="15">
        <v>10998260</v>
      </c>
      <c r="M89" t="s" s="13">
        <v>8895</v>
      </c>
      <c r="N89" s="15">
        <v>80790</v>
      </c>
      <c r="O89" s="17" cm="1">
        <f t="array" ref="O89">(H89-H88)/H88</f>
        <v>-0.00619342544068604</v>
      </c>
    </row>
    <row r="90" ht="13.65" customHeight="1">
      <c r="A90" s="12">
        <v>44413</v>
      </c>
      <c r="B90" t="s" s="13">
        <v>22</v>
      </c>
      <c r="C90" s="15">
        <v>208.6</v>
      </c>
      <c r="D90" s="15">
        <v>216.75</v>
      </c>
      <c r="E90" s="15">
        <v>206.9</v>
      </c>
      <c r="F90" s="15">
        <v>208.6</v>
      </c>
      <c r="G90" s="15">
        <v>215</v>
      </c>
      <c r="H90" s="15">
        <v>215.25</v>
      </c>
      <c r="I90" s="15">
        <v>213.38</v>
      </c>
      <c r="J90" s="15">
        <v>239.2</v>
      </c>
      <c r="K90" s="15">
        <v>163.35</v>
      </c>
      <c r="L90" s="15">
        <v>47178466</v>
      </c>
      <c r="M90" t="s" s="13">
        <v>8896</v>
      </c>
      <c r="N90" s="15">
        <v>243882</v>
      </c>
      <c r="O90" s="17" cm="1">
        <f t="array" ref="O90">(H90-H89)/H89</f>
        <v>0.0318791946308725</v>
      </c>
    </row>
    <row r="91" ht="13.65" customHeight="1">
      <c r="A91" s="12">
        <v>44414</v>
      </c>
      <c r="B91" t="s" s="13">
        <v>22</v>
      </c>
      <c r="C91" s="15">
        <v>215.4</v>
      </c>
      <c r="D91" s="15">
        <v>216</v>
      </c>
      <c r="E91" s="15">
        <v>212.6</v>
      </c>
      <c r="F91" s="15">
        <v>215.25</v>
      </c>
      <c r="G91" s="15">
        <v>214.6</v>
      </c>
      <c r="H91" s="15">
        <v>214.25</v>
      </c>
      <c r="I91" s="15">
        <v>214.19</v>
      </c>
      <c r="J91" s="15">
        <v>239.2</v>
      </c>
      <c r="K91" s="15">
        <v>163.35</v>
      </c>
      <c r="L91" s="15">
        <v>23581637</v>
      </c>
      <c r="M91" t="s" s="13">
        <v>8897</v>
      </c>
      <c r="N91" s="15">
        <v>133898</v>
      </c>
      <c r="O91" s="17" cm="1">
        <f t="array" ref="O91">(H91-H90)/H90</f>
        <v>-0.00464576074332172</v>
      </c>
    </row>
    <row r="92" ht="13.65" customHeight="1">
      <c r="A92" s="12">
        <v>44417</v>
      </c>
      <c r="B92" t="s" s="13">
        <v>22</v>
      </c>
      <c r="C92" s="15">
        <v>215</v>
      </c>
      <c r="D92" s="15">
        <v>217.15</v>
      </c>
      <c r="E92" s="15">
        <v>212.7</v>
      </c>
      <c r="F92" s="15">
        <v>214.25</v>
      </c>
      <c r="G92" s="15">
        <v>213.7</v>
      </c>
      <c r="H92" s="15">
        <v>213.8</v>
      </c>
      <c r="I92" s="15">
        <v>214.89</v>
      </c>
      <c r="J92" s="15">
        <v>239.2</v>
      </c>
      <c r="K92" s="15">
        <v>163.35</v>
      </c>
      <c r="L92" s="15">
        <v>20358146</v>
      </c>
      <c r="M92" t="s" s="13">
        <v>8898</v>
      </c>
      <c r="N92" s="15">
        <v>140681</v>
      </c>
      <c r="O92" s="17" cm="1">
        <f t="array" ref="O92">(H92-H91)/H91</f>
        <v>-0.00210035005834306</v>
      </c>
    </row>
    <row r="93" ht="13.65" customHeight="1">
      <c r="A93" s="18">
        <v>44418</v>
      </c>
      <c r="B93" t="s" s="13">
        <v>22</v>
      </c>
      <c r="C93" s="15">
        <v>214</v>
      </c>
      <c r="D93" s="15">
        <v>214.45</v>
      </c>
      <c r="E93" s="15">
        <v>208.55</v>
      </c>
      <c r="F93" s="15">
        <v>213.8</v>
      </c>
      <c r="G93" s="15">
        <v>210</v>
      </c>
      <c r="H93" s="15">
        <v>209.85</v>
      </c>
      <c r="I93" s="15">
        <v>211.36</v>
      </c>
      <c r="J93" s="15">
        <v>239.2</v>
      </c>
      <c r="K93" s="15">
        <v>163.35</v>
      </c>
      <c r="L93" s="15">
        <v>18155926</v>
      </c>
      <c r="M93" t="s" s="13">
        <v>8899</v>
      </c>
      <c r="N93" s="15">
        <v>122060</v>
      </c>
      <c r="O93" s="17" cm="1">
        <f t="array" ref="O93">(H93-H92)/H92</f>
        <v>-0.0184752104770814</v>
      </c>
    </row>
    <row r="94" ht="13.65" customHeight="1">
      <c r="A94" s="18">
        <v>44419</v>
      </c>
      <c r="B94" t="s" s="13">
        <v>22</v>
      </c>
      <c r="C94" s="15">
        <v>209.85</v>
      </c>
      <c r="D94" s="15">
        <v>210.6</v>
      </c>
      <c r="E94" s="15">
        <v>207.45</v>
      </c>
      <c r="F94" s="15">
        <v>209.85</v>
      </c>
      <c r="G94" s="15">
        <v>208.7</v>
      </c>
      <c r="H94" s="15">
        <v>208.65</v>
      </c>
      <c r="I94" s="15">
        <v>208.61</v>
      </c>
      <c r="J94" s="15">
        <v>239.2</v>
      </c>
      <c r="K94" s="15">
        <v>163.35</v>
      </c>
      <c r="L94" s="15">
        <v>15418634</v>
      </c>
      <c r="M94" t="s" s="13">
        <v>8900</v>
      </c>
      <c r="N94" s="15">
        <v>112589</v>
      </c>
      <c r="O94" s="17" cm="1">
        <f t="array" ref="O94">(H94-H93)/H93</f>
        <v>-0.00571837026447462</v>
      </c>
    </row>
    <row r="95" ht="13.65" customHeight="1">
      <c r="A95" s="18">
        <v>44420</v>
      </c>
      <c r="B95" t="s" s="13">
        <v>22</v>
      </c>
      <c r="C95" s="15">
        <v>210.25</v>
      </c>
      <c r="D95" s="15">
        <v>214.2</v>
      </c>
      <c r="E95" s="15">
        <v>208.35</v>
      </c>
      <c r="F95" s="15">
        <v>208.65</v>
      </c>
      <c r="G95" s="15">
        <v>208.9</v>
      </c>
      <c r="H95" s="15">
        <v>208.9</v>
      </c>
      <c r="I95" s="15">
        <v>210.26</v>
      </c>
      <c r="J95" s="15">
        <v>239.2</v>
      </c>
      <c r="K95" s="15">
        <v>163.35</v>
      </c>
      <c r="L95" s="15">
        <v>27692208</v>
      </c>
      <c r="M95" t="s" s="13">
        <v>8901</v>
      </c>
      <c r="N95" s="15">
        <v>155350</v>
      </c>
      <c r="O95" s="17" cm="1">
        <f t="array" ref="O95">(H95-H94)/H94</f>
        <v>0.00119817876827223</v>
      </c>
    </row>
    <row r="96" ht="13.65" customHeight="1">
      <c r="A96" s="18">
        <v>44421</v>
      </c>
      <c r="B96" t="s" s="13">
        <v>22</v>
      </c>
      <c r="C96" s="15">
        <v>209.85</v>
      </c>
      <c r="D96" s="15">
        <v>212.3</v>
      </c>
      <c r="E96" s="15">
        <v>209.2</v>
      </c>
      <c r="F96" s="15">
        <v>208.9</v>
      </c>
      <c r="G96" s="15">
        <v>211.35</v>
      </c>
      <c r="H96" s="15">
        <v>211.45</v>
      </c>
      <c r="I96" s="15">
        <v>211.24</v>
      </c>
      <c r="J96" s="15">
        <v>239.2</v>
      </c>
      <c r="K96" s="15">
        <v>163.35</v>
      </c>
      <c r="L96" s="15">
        <v>18850939</v>
      </c>
      <c r="M96" t="s" s="13">
        <v>8902</v>
      </c>
      <c r="N96" s="15">
        <v>139319</v>
      </c>
      <c r="O96" s="17" cm="1">
        <f t="array" ref="O96">(H96-H95)/H95</f>
        <v>0.0122067975107707</v>
      </c>
    </row>
    <row r="97" ht="13.65" customHeight="1">
      <c r="A97" s="18">
        <v>44424</v>
      </c>
      <c r="B97" t="s" s="13">
        <v>22</v>
      </c>
      <c r="C97" s="15">
        <v>211.4</v>
      </c>
      <c r="D97" s="15">
        <v>213.25</v>
      </c>
      <c r="E97" s="15">
        <v>210.5</v>
      </c>
      <c r="F97" s="15">
        <v>211.45</v>
      </c>
      <c r="G97" s="15">
        <v>211</v>
      </c>
      <c r="H97" s="15">
        <v>210.9</v>
      </c>
      <c r="I97" s="15">
        <v>211.93</v>
      </c>
      <c r="J97" s="15">
        <v>239.2</v>
      </c>
      <c r="K97" s="15">
        <v>163.35</v>
      </c>
      <c r="L97" s="15">
        <v>11190075</v>
      </c>
      <c r="M97" t="s" s="13">
        <v>8903</v>
      </c>
      <c r="N97" s="15">
        <v>90617</v>
      </c>
      <c r="O97" s="17" cm="1">
        <f t="array" ref="O97">(H97-H96)/H96</f>
        <v>-0.00260108772759518</v>
      </c>
    </row>
    <row r="98" ht="13.65" customHeight="1">
      <c r="A98" s="18">
        <v>44425</v>
      </c>
      <c r="B98" t="s" s="13">
        <v>22</v>
      </c>
      <c r="C98" s="15">
        <v>210.8</v>
      </c>
      <c r="D98" s="15">
        <v>211.5</v>
      </c>
      <c r="E98" s="15">
        <v>208.8</v>
      </c>
      <c r="F98" s="15">
        <v>210.9</v>
      </c>
      <c r="G98" s="15">
        <v>208.95</v>
      </c>
      <c r="H98" s="15">
        <v>209.2</v>
      </c>
      <c r="I98" s="15">
        <v>209.63</v>
      </c>
      <c r="J98" s="15">
        <v>239.2</v>
      </c>
      <c r="K98" s="15">
        <v>163.35</v>
      </c>
      <c r="L98" s="15">
        <v>7858486</v>
      </c>
      <c r="M98" t="s" s="13">
        <v>8904</v>
      </c>
      <c r="N98" s="15">
        <v>77453</v>
      </c>
      <c r="O98" s="17" cm="1">
        <f t="array" ref="O98">(H98-H97)/H97</f>
        <v>-0.00806069227121859</v>
      </c>
    </row>
    <row r="99" ht="13.65" customHeight="1">
      <c r="A99" s="18">
        <v>44426</v>
      </c>
      <c r="B99" t="s" s="13">
        <v>22</v>
      </c>
      <c r="C99" s="15">
        <v>209.6</v>
      </c>
      <c r="D99" s="15">
        <v>211.5</v>
      </c>
      <c r="E99" s="15">
        <v>208.35</v>
      </c>
      <c r="F99" s="15">
        <v>209.2</v>
      </c>
      <c r="G99" s="15">
        <v>209.3</v>
      </c>
      <c r="H99" s="15">
        <v>208.95</v>
      </c>
      <c r="I99" s="15">
        <v>209.49</v>
      </c>
      <c r="J99" s="15">
        <v>239.2</v>
      </c>
      <c r="K99" s="15">
        <v>163.35</v>
      </c>
      <c r="L99" s="15">
        <v>10735658</v>
      </c>
      <c r="M99" t="s" s="13">
        <v>8905</v>
      </c>
      <c r="N99" s="15">
        <v>76896</v>
      </c>
      <c r="O99" s="17" cm="1">
        <f t="array" ref="O99">(H99-H98)/H98</f>
        <v>-0.00119502868068834</v>
      </c>
    </row>
    <row r="100" ht="13.65" customHeight="1">
      <c r="A100" s="18">
        <v>44428</v>
      </c>
      <c r="B100" t="s" s="13">
        <v>22</v>
      </c>
      <c r="C100" s="15">
        <v>207</v>
      </c>
      <c r="D100" s="15">
        <v>210.7</v>
      </c>
      <c r="E100" s="15">
        <v>206.7</v>
      </c>
      <c r="F100" s="15">
        <v>208.95</v>
      </c>
      <c r="G100" s="15">
        <v>208.4</v>
      </c>
      <c r="H100" s="15">
        <v>208.9</v>
      </c>
      <c r="I100" s="15">
        <v>208.46</v>
      </c>
      <c r="J100" s="15">
        <v>239.2</v>
      </c>
      <c r="K100" s="15">
        <v>163.35</v>
      </c>
      <c r="L100" s="15">
        <v>19421004</v>
      </c>
      <c r="M100" t="s" s="13">
        <v>8906</v>
      </c>
      <c r="N100" s="15">
        <v>119445</v>
      </c>
      <c r="O100" s="17" cm="1">
        <f t="array" ref="O100">(H100-H99)/H99</f>
        <v>-0.000239291696578129</v>
      </c>
    </row>
    <row r="101" ht="13.65" customHeight="1">
      <c r="A101" s="18">
        <v>44431</v>
      </c>
      <c r="B101" t="s" s="13">
        <v>22</v>
      </c>
      <c r="C101" s="15">
        <v>209.5</v>
      </c>
      <c r="D101" s="15">
        <v>210.2</v>
      </c>
      <c r="E101" s="15">
        <v>206</v>
      </c>
      <c r="F101" s="15">
        <v>208.9</v>
      </c>
      <c r="G101" s="15">
        <v>206.2</v>
      </c>
      <c r="H101" s="15">
        <v>206.3</v>
      </c>
      <c r="I101" s="15">
        <v>207.76</v>
      </c>
      <c r="J101" s="15">
        <v>239.2</v>
      </c>
      <c r="K101" s="15">
        <v>163.35</v>
      </c>
      <c r="L101" s="15">
        <v>9936365</v>
      </c>
      <c r="M101" t="s" s="13">
        <v>8907</v>
      </c>
      <c r="N101" s="15">
        <v>83271</v>
      </c>
      <c r="O101" s="17" cm="1">
        <f t="array" ref="O101">(H101-H100)/H100</f>
        <v>-0.0124461464815701</v>
      </c>
    </row>
    <row r="102" ht="13.65" customHeight="1">
      <c r="A102" s="18">
        <v>44432</v>
      </c>
      <c r="B102" t="s" s="13">
        <v>22</v>
      </c>
      <c r="C102" s="15">
        <v>207</v>
      </c>
      <c r="D102" s="15">
        <v>207</v>
      </c>
      <c r="E102" s="15">
        <v>204.7</v>
      </c>
      <c r="F102" s="15">
        <v>206.3</v>
      </c>
      <c r="G102" s="15">
        <v>205.75</v>
      </c>
      <c r="H102" s="15">
        <v>205.75</v>
      </c>
      <c r="I102" s="15">
        <v>205.71</v>
      </c>
      <c r="J102" s="15">
        <v>239.2</v>
      </c>
      <c r="K102" s="15">
        <v>163.35</v>
      </c>
      <c r="L102" s="15">
        <v>12490094</v>
      </c>
      <c r="M102" t="s" s="13">
        <v>8908</v>
      </c>
      <c r="N102" s="15">
        <v>90980</v>
      </c>
      <c r="O102" s="17" cm="1">
        <f t="array" ref="O102">(H102-H101)/H101</f>
        <v>-0.00266602035870092</v>
      </c>
    </row>
    <row r="103" ht="13.65" customHeight="1">
      <c r="A103" s="18">
        <v>44433</v>
      </c>
      <c r="B103" t="s" s="13">
        <v>22</v>
      </c>
      <c r="C103" s="15">
        <v>206.4</v>
      </c>
      <c r="D103" s="15">
        <v>207.9</v>
      </c>
      <c r="E103" s="15">
        <v>206</v>
      </c>
      <c r="F103" s="15">
        <v>205.75</v>
      </c>
      <c r="G103" s="15">
        <v>206.3</v>
      </c>
      <c r="H103" s="15">
        <v>206.4</v>
      </c>
      <c r="I103" s="15">
        <v>207.06</v>
      </c>
      <c r="J103" s="15">
        <v>239.2</v>
      </c>
      <c r="K103" s="15">
        <v>163.35</v>
      </c>
      <c r="L103" s="15">
        <v>10586894</v>
      </c>
      <c r="M103" t="s" s="13">
        <v>8909</v>
      </c>
      <c r="N103" s="15">
        <v>74105</v>
      </c>
      <c r="O103" s="17" cm="1">
        <f t="array" ref="O103">(H103-H102)/H102</f>
        <v>0.0031591737545565</v>
      </c>
    </row>
    <row r="104" ht="13.65" customHeight="1">
      <c r="A104" s="18">
        <v>44434</v>
      </c>
      <c r="B104" t="s" s="13">
        <v>22</v>
      </c>
      <c r="C104" s="15">
        <v>206.4</v>
      </c>
      <c r="D104" s="15">
        <v>206.85</v>
      </c>
      <c r="E104" s="15">
        <v>204.35</v>
      </c>
      <c r="F104" s="15">
        <v>206.4</v>
      </c>
      <c r="G104" s="15">
        <v>204.85</v>
      </c>
      <c r="H104" s="15">
        <v>204.6</v>
      </c>
      <c r="I104" s="15">
        <v>205.45</v>
      </c>
      <c r="J104" s="15">
        <v>239.2</v>
      </c>
      <c r="K104" s="15">
        <v>163.35</v>
      </c>
      <c r="L104" s="15">
        <v>14836173</v>
      </c>
      <c r="M104" t="s" s="13">
        <v>8910</v>
      </c>
      <c r="N104" s="15">
        <v>84248</v>
      </c>
      <c r="O104" s="17" cm="1">
        <f t="array" ref="O104">(H104-H103)/H103</f>
        <v>-0.008720930232558139</v>
      </c>
    </row>
    <row r="105" ht="13.65" customHeight="1">
      <c r="A105" s="18">
        <v>44435</v>
      </c>
      <c r="B105" t="s" s="13">
        <v>22</v>
      </c>
      <c r="C105" s="15">
        <v>205</v>
      </c>
      <c r="D105" s="15">
        <v>206.85</v>
      </c>
      <c r="E105" s="15">
        <v>204.9</v>
      </c>
      <c r="F105" s="15">
        <v>204.6</v>
      </c>
      <c r="G105" s="15">
        <v>206.05</v>
      </c>
      <c r="H105" s="15">
        <v>205.9</v>
      </c>
      <c r="I105" s="15">
        <v>205.99</v>
      </c>
      <c r="J105" s="15">
        <v>239.2</v>
      </c>
      <c r="K105" s="15">
        <v>163.35</v>
      </c>
      <c r="L105" s="15">
        <v>10476384</v>
      </c>
      <c r="M105" t="s" s="13">
        <v>8911</v>
      </c>
      <c r="N105" s="15">
        <v>60983</v>
      </c>
      <c r="O105" s="17" cm="1">
        <f t="array" ref="O105">(H105-H104)/H104</f>
        <v>0.00635386119257087</v>
      </c>
    </row>
    <row r="106" ht="13.65" customHeight="1">
      <c r="A106" s="18">
        <v>44438</v>
      </c>
      <c r="B106" t="s" s="13">
        <v>22</v>
      </c>
      <c r="C106" s="15">
        <v>206</v>
      </c>
      <c r="D106" s="15">
        <v>208.2</v>
      </c>
      <c r="E106" s="15">
        <v>206</v>
      </c>
      <c r="F106" s="15">
        <v>205.9</v>
      </c>
      <c r="G106" s="15">
        <v>208.05</v>
      </c>
      <c r="H106" s="15">
        <v>208</v>
      </c>
      <c r="I106" s="15">
        <v>207</v>
      </c>
      <c r="J106" s="15">
        <v>239.2</v>
      </c>
      <c r="K106" s="15">
        <v>163.35</v>
      </c>
      <c r="L106" s="15">
        <v>12084844</v>
      </c>
      <c r="M106" t="s" s="13">
        <v>8912</v>
      </c>
      <c r="N106" s="15">
        <v>76605</v>
      </c>
      <c r="O106" s="17" cm="1">
        <f t="array" ref="O106">(H106-H105)/H105</f>
        <v>0.0101991257892181</v>
      </c>
    </row>
    <row r="107" ht="13.65" customHeight="1">
      <c r="A107" s="18">
        <v>44439</v>
      </c>
      <c r="B107" t="s" s="13">
        <v>22</v>
      </c>
      <c r="C107" s="15">
        <v>208.05</v>
      </c>
      <c r="D107" s="15">
        <v>211.6</v>
      </c>
      <c r="E107" s="15">
        <v>207.25</v>
      </c>
      <c r="F107" s="15">
        <v>208</v>
      </c>
      <c r="G107" s="15">
        <v>211</v>
      </c>
      <c r="H107" s="15">
        <v>211.3</v>
      </c>
      <c r="I107" s="15">
        <v>210.24</v>
      </c>
      <c r="J107" s="15">
        <v>239.2</v>
      </c>
      <c r="K107" s="15">
        <v>163.35</v>
      </c>
      <c r="L107" s="15">
        <v>25808430</v>
      </c>
      <c r="M107" t="s" s="13">
        <v>8913</v>
      </c>
      <c r="N107" s="15">
        <v>123479</v>
      </c>
      <c r="O107" s="17" cm="1">
        <f t="array" ref="O107">(H107-H106)/H106</f>
        <v>0.0158653846153846</v>
      </c>
    </row>
    <row r="108" ht="13.65" customHeight="1">
      <c r="A108" s="12">
        <v>44440</v>
      </c>
      <c r="B108" t="s" s="13">
        <v>22</v>
      </c>
      <c r="C108" s="15">
        <v>211</v>
      </c>
      <c r="D108" s="15">
        <v>212.3</v>
      </c>
      <c r="E108" s="15">
        <v>209.3</v>
      </c>
      <c r="F108" s="15">
        <v>211.3</v>
      </c>
      <c r="G108" s="15">
        <v>209.55</v>
      </c>
      <c r="H108" s="15">
        <v>209.5</v>
      </c>
      <c r="I108" s="15">
        <v>210.09</v>
      </c>
      <c r="J108" s="15">
        <v>239.2</v>
      </c>
      <c r="K108" s="15">
        <v>163.35</v>
      </c>
      <c r="L108" s="15">
        <v>16241960</v>
      </c>
      <c r="M108" t="s" s="13">
        <v>8914</v>
      </c>
      <c r="N108" s="15">
        <v>76728</v>
      </c>
      <c r="O108" s="17" cm="1">
        <f t="array" ref="O108">(H108-H107)/H107</f>
        <v>-0.00851869380028396</v>
      </c>
    </row>
    <row r="109" ht="13.65" customHeight="1">
      <c r="A109" s="12">
        <v>44441</v>
      </c>
      <c r="B109" t="s" s="13">
        <v>22</v>
      </c>
      <c r="C109" s="15">
        <v>209</v>
      </c>
      <c r="D109" s="15">
        <v>211.5</v>
      </c>
      <c r="E109" s="15">
        <v>209</v>
      </c>
      <c r="F109" s="15">
        <v>209.5</v>
      </c>
      <c r="G109" s="15">
        <v>209.75</v>
      </c>
      <c r="H109" s="15">
        <v>209.75</v>
      </c>
      <c r="I109" s="15">
        <v>210.23</v>
      </c>
      <c r="J109" s="15">
        <v>239.2</v>
      </c>
      <c r="K109" s="15">
        <v>163.35</v>
      </c>
      <c r="L109" s="15">
        <v>14321164</v>
      </c>
      <c r="M109" t="s" s="13">
        <v>8915</v>
      </c>
      <c r="N109" s="15">
        <v>82922</v>
      </c>
      <c r="O109" s="17" cm="1">
        <f t="array" ref="O109">(H109-H108)/H108</f>
        <v>0.00119331742243437</v>
      </c>
    </row>
    <row r="110" ht="13.65" customHeight="1">
      <c r="A110" s="12">
        <v>44442</v>
      </c>
      <c r="B110" t="s" s="13">
        <v>22</v>
      </c>
      <c r="C110" s="15">
        <v>209.75</v>
      </c>
      <c r="D110" s="15">
        <v>211.25</v>
      </c>
      <c r="E110" s="15">
        <v>209.75</v>
      </c>
      <c r="F110" s="15">
        <v>209.75</v>
      </c>
      <c r="G110" s="15">
        <v>210.45</v>
      </c>
      <c r="H110" s="15">
        <v>210.6</v>
      </c>
      <c r="I110" s="15">
        <v>210.61</v>
      </c>
      <c r="J110" s="15">
        <v>239.2</v>
      </c>
      <c r="K110" s="15">
        <v>163.35</v>
      </c>
      <c r="L110" s="15">
        <v>10228853</v>
      </c>
      <c r="M110" t="s" s="13">
        <v>8916</v>
      </c>
      <c r="N110" s="15">
        <v>72526</v>
      </c>
      <c r="O110" s="17" cm="1">
        <f t="array" ref="O110">(H110-H109)/H109</f>
        <v>0.00405244338498212</v>
      </c>
    </row>
    <row r="111" ht="13.65" customHeight="1">
      <c r="A111" s="12">
        <v>44445</v>
      </c>
      <c r="B111" t="s" s="13">
        <v>22</v>
      </c>
      <c r="C111" s="15">
        <v>211</v>
      </c>
      <c r="D111" s="15">
        <v>211.2</v>
      </c>
      <c r="E111" s="15">
        <v>209.05</v>
      </c>
      <c r="F111" s="15">
        <v>210.6</v>
      </c>
      <c r="G111" s="15">
        <v>209.05</v>
      </c>
      <c r="H111" s="15">
        <v>209.3</v>
      </c>
      <c r="I111" s="15">
        <v>209.97</v>
      </c>
      <c r="J111" s="15">
        <v>239.2</v>
      </c>
      <c r="K111" s="15">
        <v>163.35</v>
      </c>
      <c r="L111" s="15">
        <v>10632156</v>
      </c>
      <c r="M111" t="s" s="13">
        <v>8917</v>
      </c>
      <c r="N111" s="15">
        <v>74738</v>
      </c>
      <c r="O111" s="17" cm="1">
        <f t="array" ref="O111">(H111-H110)/H110</f>
        <v>-0.00617283950617284</v>
      </c>
    </row>
    <row r="112" ht="13.65" customHeight="1">
      <c r="A112" s="12">
        <v>44446</v>
      </c>
      <c r="B112" t="s" s="13">
        <v>22</v>
      </c>
      <c r="C112" s="15">
        <v>210.9</v>
      </c>
      <c r="D112" s="15">
        <v>214.35</v>
      </c>
      <c r="E112" s="15">
        <v>210.15</v>
      </c>
      <c r="F112" s="15">
        <v>209.3</v>
      </c>
      <c r="G112" s="15">
        <v>211.85</v>
      </c>
      <c r="H112" s="15">
        <v>211.75</v>
      </c>
      <c r="I112" s="15">
        <v>212.45</v>
      </c>
      <c r="J112" s="15">
        <v>239.2</v>
      </c>
      <c r="K112" s="15">
        <v>163.35</v>
      </c>
      <c r="L112" s="15">
        <v>37489544</v>
      </c>
      <c r="M112" t="s" s="13">
        <v>8918</v>
      </c>
      <c r="N112" s="15">
        <v>197323</v>
      </c>
      <c r="O112" s="17" cm="1">
        <f t="array" ref="O112">(H112-H111)/H111</f>
        <v>0.0117056856187291</v>
      </c>
    </row>
    <row r="113" ht="13.65" customHeight="1">
      <c r="A113" s="12">
        <v>44447</v>
      </c>
      <c r="B113" t="s" s="13">
        <v>22</v>
      </c>
      <c r="C113" s="15">
        <v>212.25</v>
      </c>
      <c r="D113" s="15">
        <v>213</v>
      </c>
      <c r="E113" s="15">
        <v>209.7</v>
      </c>
      <c r="F113" s="15">
        <v>211.75</v>
      </c>
      <c r="G113" s="15">
        <v>211.05</v>
      </c>
      <c r="H113" s="15">
        <v>211.25</v>
      </c>
      <c r="I113" s="15">
        <v>211.42</v>
      </c>
      <c r="J113" s="15">
        <v>239.2</v>
      </c>
      <c r="K113" s="15">
        <v>163.35</v>
      </c>
      <c r="L113" s="15">
        <v>17233315</v>
      </c>
      <c r="M113" t="s" s="13">
        <v>8919</v>
      </c>
      <c r="N113" s="15">
        <v>100955</v>
      </c>
      <c r="O113" s="17" cm="1">
        <f t="array" ref="O113">(H113-H112)/H112</f>
        <v>-0.00236127508854782</v>
      </c>
    </row>
    <row r="114" ht="13.65" customHeight="1">
      <c r="A114" s="12">
        <v>44448</v>
      </c>
      <c r="B114" t="s" s="13">
        <v>22</v>
      </c>
      <c r="C114" s="15">
        <v>211.05</v>
      </c>
      <c r="D114" s="15">
        <v>213.9</v>
      </c>
      <c r="E114" s="15">
        <v>210.55</v>
      </c>
      <c r="F114" s="15">
        <v>211.25</v>
      </c>
      <c r="G114" s="15">
        <v>212.95</v>
      </c>
      <c r="H114" s="15">
        <v>212.65</v>
      </c>
      <c r="I114" s="15">
        <v>212.57</v>
      </c>
      <c r="J114" s="15">
        <v>239.2</v>
      </c>
      <c r="K114" s="15">
        <v>163.35</v>
      </c>
      <c r="L114" s="15">
        <v>19051252</v>
      </c>
      <c r="M114" t="s" s="13">
        <v>8920</v>
      </c>
      <c r="N114" s="15">
        <v>106146</v>
      </c>
      <c r="O114" s="17" cm="1">
        <f t="array" ref="O114">(H114-H113)/H113</f>
        <v>0.00662721893491124</v>
      </c>
    </row>
    <row r="115" ht="13.65" customHeight="1">
      <c r="A115" s="18">
        <v>44452</v>
      </c>
      <c r="B115" t="s" s="13">
        <v>22</v>
      </c>
      <c r="C115" s="15">
        <v>213.35</v>
      </c>
      <c r="D115" s="15">
        <v>215.15</v>
      </c>
      <c r="E115" s="15">
        <v>211.8</v>
      </c>
      <c r="F115" s="15">
        <v>212.65</v>
      </c>
      <c r="G115" s="15">
        <v>213.9</v>
      </c>
      <c r="H115" s="15">
        <v>214.15</v>
      </c>
      <c r="I115" s="15">
        <v>213.73</v>
      </c>
      <c r="J115" s="15">
        <v>239.2</v>
      </c>
      <c r="K115" s="15">
        <v>163.35</v>
      </c>
      <c r="L115" s="15">
        <v>16043896</v>
      </c>
      <c r="M115" t="s" s="13">
        <v>8921</v>
      </c>
      <c r="N115" s="15">
        <v>114592</v>
      </c>
      <c r="O115" s="17" cm="1">
        <f t="array" ref="O115">(H115-H114)/H114</f>
        <v>0.00705384434516812</v>
      </c>
    </row>
    <row r="116" ht="13.65" customHeight="1">
      <c r="A116" s="18">
        <v>44453</v>
      </c>
      <c r="B116" t="s" s="13">
        <v>22</v>
      </c>
      <c r="C116" s="15">
        <v>214.9</v>
      </c>
      <c r="D116" s="15">
        <v>217.25</v>
      </c>
      <c r="E116" s="15">
        <v>214.2</v>
      </c>
      <c r="F116" s="15">
        <v>214.15</v>
      </c>
      <c r="G116" s="15">
        <v>216.75</v>
      </c>
      <c r="H116" s="15">
        <v>216.1</v>
      </c>
      <c r="I116" s="15">
        <v>216.03</v>
      </c>
      <c r="J116" s="15">
        <v>239.2</v>
      </c>
      <c r="K116" s="15">
        <v>163.35</v>
      </c>
      <c r="L116" s="15">
        <v>19621849</v>
      </c>
      <c r="M116" t="s" s="13">
        <v>8922</v>
      </c>
      <c r="N116" s="15">
        <v>149992</v>
      </c>
      <c r="O116" s="17" cm="1">
        <f t="array" ref="O116">(H116-H115)/H115</f>
        <v>0.00910576698575765</v>
      </c>
    </row>
    <row r="117" ht="13.65" customHeight="1">
      <c r="A117" s="18">
        <v>44454</v>
      </c>
      <c r="B117" t="s" s="13">
        <v>22</v>
      </c>
      <c r="C117" s="15">
        <v>217.1</v>
      </c>
      <c r="D117" s="15">
        <v>217.2</v>
      </c>
      <c r="E117" s="15">
        <v>215.3</v>
      </c>
      <c r="F117" s="15">
        <v>216.1</v>
      </c>
      <c r="G117" s="15">
        <v>215.7</v>
      </c>
      <c r="H117" s="15">
        <v>216</v>
      </c>
      <c r="I117" s="15">
        <v>215.9</v>
      </c>
      <c r="J117" s="15">
        <v>239.2</v>
      </c>
      <c r="K117" s="15">
        <v>163.35</v>
      </c>
      <c r="L117" s="15">
        <v>20248758</v>
      </c>
      <c r="M117" t="s" s="13">
        <v>8923</v>
      </c>
      <c r="N117" s="15">
        <v>103557</v>
      </c>
      <c r="O117" s="17" cm="1">
        <f t="array" ref="O117">(H117-H116)/H116</f>
        <v>-0.000462748727441</v>
      </c>
    </row>
    <row r="118" ht="13.65" customHeight="1">
      <c r="A118" s="18">
        <v>44455</v>
      </c>
      <c r="B118" t="s" s="13">
        <v>22</v>
      </c>
      <c r="C118" s="15">
        <v>216.95</v>
      </c>
      <c r="D118" s="15">
        <v>233.65</v>
      </c>
      <c r="E118" s="15">
        <v>216.3</v>
      </c>
      <c r="F118" s="15">
        <v>216</v>
      </c>
      <c r="G118" s="15">
        <v>230.3</v>
      </c>
      <c r="H118" s="15">
        <v>230.75</v>
      </c>
      <c r="I118" s="15">
        <v>229.26</v>
      </c>
      <c r="J118" s="15">
        <v>239.2</v>
      </c>
      <c r="K118" s="15">
        <v>163.35</v>
      </c>
      <c r="L118" s="15">
        <v>149238901</v>
      </c>
      <c r="M118" t="s" s="13">
        <v>8924</v>
      </c>
      <c r="N118" s="15">
        <v>734612</v>
      </c>
      <c r="O118" s="17" cm="1">
        <f t="array" ref="O118">(H118-H117)/H117</f>
        <v>0.06828703703703699</v>
      </c>
    </row>
    <row r="119" ht="13.65" customHeight="1">
      <c r="A119" s="18">
        <v>44456</v>
      </c>
      <c r="B119" t="s" s="13">
        <v>22</v>
      </c>
      <c r="C119" s="15">
        <v>233</v>
      </c>
      <c r="D119" s="15">
        <v>237.3</v>
      </c>
      <c r="E119" s="15">
        <v>229.1</v>
      </c>
      <c r="F119" s="15">
        <v>230.75</v>
      </c>
      <c r="G119" s="15">
        <v>231.5</v>
      </c>
      <c r="H119" s="15">
        <v>231.15</v>
      </c>
      <c r="I119" s="15">
        <v>232.96</v>
      </c>
      <c r="J119" s="15">
        <v>239.2</v>
      </c>
      <c r="K119" s="15">
        <v>163.35</v>
      </c>
      <c r="L119" s="15">
        <v>79501805</v>
      </c>
      <c r="M119" t="s" s="13">
        <v>8925</v>
      </c>
      <c r="N119" s="15">
        <v>406400</v>
      </c>
      <c r="O119" s="17" cm="1">
        <f t="array" ref="O119">(H119-H118)/H118</f>
        <v>0.00173347778981582</v>
      </c>
    </row>
    <row r="120" ht="13.65" customHeight="1">
      <c r="A120" s="18">
        <v>44459</v>
      </c>
      <c r="B120" t="s" s="13">
        <v>22</v>
      </c>
      <c r="C120" s="15">
        <v>231</v>
      </c>
      <c r="D120" s="15">
        <v>239.35</v>
      </c>
      <c r="E120" s="15">
        <v>230.25</v>
      </c>
      <c r="F120" s="15">
        <v>231.15</v>
      </c>
      <c r="G120" s="15">
        <v>232.95</v>
      </c>
      <c r="H120" s="15">
        <v>233.75</v>
      </c>
      <c r="I120" s="15">
        <v>235.83</v>
      </c>
      <c r="J120" s="15">
        <v>239.35</v>
      </c>
      <c r="K120" s="15">
        <v>163.35</v>
      </c>
      <c r="L120" s="15">
        <v>70390969</v>
      </c>
      <c r="M120" t="s" s="13">
        <v>8926</v>
      </c>
      <c r="N120" s="15">
        <v>419200</v>
      </c>
      <c r="O120" s="17" cm="1">
        <f t="array" ref="O120">(H120-H119)/H119</f>
        <v>0.0112481072896388</v>
      </c>
    </row>
    <row r="121" ht="13.65" customHeight="1">
      <c r="A121" s="18">
        <v>44460</v>
      </c>
      <c r="B121" t="s" s="13">
        <v>22</v>
      </c>
      <c r="C121" s="15">
        <v>234.95</v>
      </c>
      <c r="D121" s="15">
        <v>242.45</v>
      </c>
      <c r="E121" s="15">
        <v>231.7</v>
      </c>
      <c r="F121" s="15">
        <v>233.75</v>
      </c>
      <c r="G121" s="15">
        <v>241.55</v>
      </c>
      <c r="H121" s="15">
        <v>241.5</v>
      </c>
      <c r="I121" s="15">
        <v>237.79</v>
      </c>
      <c r="J121" s="15">
        <v>242.45</v>
      </c>
      <c r="K121" s="15">
        <v>163.35</v>
      </c>
      <c r="L121" s="15">
        <v>56671832</v>
      </c>
      <c r="M121" t="s" s="13">
        <v>8927</v>
      </c>
      <c r="N121" s="15">
        <v>327928</v>
      </c>
      <c r="O121" s="17" cm="1">
        <f t="array" ref="O121">(H121-H120)/H120</f>
        <v>0.0331550802139037</v>
      </c>
    </row>
    <row r="122" ht="13.65" customHeight="1">
      <c r="A122" s="18">
        <v>44461</v>
      </c>
      <c r="B122" t="s" s="13">
        <v>22</v>
      </c>
      <c r="C122" s="15">
        <v>243.5</v>
      </c>
      <c r="D122" s="15">
        <v>245.8</v>
      </c>
      <c r="E122" s="15">
        <v>240.7</v>
      </c>
      <c r="F122" s="15">
        <v>241.5</v>
      </c>
      <c r="G122" s="15">
        <v>243</v>
      </c>
      <c r="H122" s="15">
        <v>243.5</v>
      </c>
      <c r="I122" s="15">
        <v>243.28</v>
      </c>
      <c r="J122" s="15">
        <v>245.8</v>
      </c>
      <c r="K122" s="15">
        <v>163.35</v>
      </c>
      <c r="L122" s="15">
        <v>52621868</v>
      </c>
      <c r="M122" t="s" s="13">
        <v>8928</v>
      </c>
      <c r="N122" s="15">
        <v>309101</v>
      </c>
      <c r="O122" s="17" cm="1">
        <f t="array" ref="O122">(H122-H121)/H121</f>
        <v>0.0082815734989648</v>
      </c>
    </row>
    <row r="123" ht="13.65" customHeight="1">
      <c r="A123" s="18">
        <v>44462</v>
      </c>
      <c r="B123" t="s" s="13">
        <v>22</v>
      </c>
      <c r="C123" s="15">
        <v>245</v>
      </c>
      <c r="D123" s="15">
        <v>245.6</v>
      </c>
      <c r="E123" s="15">
        <v>241.7</v>
      </c>
      <c r="F123" s="15">
        <v>243.5</v>
      </c>
      <c r="G123" s="15">
        <v>242.35</v>
      </c>
      <c r="H123" s="15">
        <v>242.5</v>
      </c>
      <c r="I123" s="15">
        <v>243.18</v>
      </c>
      <c r="J123" s="15">
        <v>245.8</v>
      </c>
      <c r="K123" s="15">
        <v>163.35</v>
      </c>
      <c r="L123" s="15">
        <v>21791090</v>
      </c>
      <c r="M123" t="s" s="13">
        <v>8929</v>
      </c>
      <c r="N123" s="15">
        <v>198020</v>
      </c>
      <c r="O123" s="17" cm="1">
        <f t="array" ref="O123">(H123-H122)/H122</f>
        <v>-0.00410677618069815</v>
      </c>
    </row>
    <row r="124" ht="13.65" customHeight="1">
      <c r="A124" s="18">
        <v>44463</v>
      </c>
      <c r="B124" t="s" s="13">
        <v>22</v>
      </c>
      <c r="C124" s="15">
        <v>244</v>
      </c>
      <c r="D124" s="15">
        <v>244</v>
      </c>
      <c r="E124" s="15">
        <v>237.7</v>
      </c>
      <c r="F124" s="15">
        <v>242.5</v>
      </c>
      <c r="G124" s="15">
        <v>238.2</v>
      </c>
      <c r="H124" s="15">
        <v>238.45</v>
      </c>
      <c r="I124" s="15">
        <v>240.27</v>
      </c>
      <c r="J124" s="15">
        <v>245.8</v>
      </c>
      <c r="K124" s="15">
        <v>163.35</v>
      </c>
      <c r="L124" s="15">
        <v>24823291</v>
      </c>
      <c r="M124" t="s" s="13">
        <v>8930</v>
      </c>
      <c r="N124" s="15">
        <v>210081</v>
      </c>
      <c r="O124" s="17" cm="1">
        <f t="array" ref="O124">(H124-H123)/H123</f>
        <v>-0.0167010309278351</v>
      </c>
    </row>
    <row r="125" ht="13.65" customHeight="1">
      <c r="A125" s="18">
        <v>44466</v>
      </c>
      <c r="B125" t="s" s="13">
        <v>22</v>
      </c>
      <c r="C125" s="15">
        <v>239.8</v>
      </c>
      <c r="D125" s="15">
        <v>241.85</v>
      </c>
      <c r="E125" s="15">
        <v>235.5</v>
      </c>
      <c r="F125" s="15">
        <v>238.45</v>
      </c>
      <c r="G125" s="15">
        <v>238.5</v>
      </c>
      <c r="H125" s="15">
        <v>238.7</v>
      </c>
      <c r="I125" s="15">
        <v>238.63</v>
      </c>
      <c r="J125" s="15">
        <v>245.8</v>
      </c>
      <c r="K125" s="15">
        <v>163.35</v>
      </c>
      <c r="L125" s="15">
        <v>22890540</v>
      </c>
      <c r="M125" t="s" s="13">
        <v>8931</v>
      </c>
      <c r="N125" s="15">
        <v>164828</v>
      </c>
      <c r="O125" s="17" cm="1">
        <f t="array" ref="O125">(H125-H124)/H124</f>
        <v>0.00104843782763682</v>
      </c>
    </row>
    <row r="126" ht="13.65" customHeight="1">
      <c r="A126" s="18">
        <v>44467</v>
      </c>
      <c r="B126" t="s" s="13">
        <v>22</v>
      </c>
      <c r="C126" s="15">
        <v>239.85</v>
      </c>
      <c r="D126" s="15">
        <v>241.6</v>
      </c>
      <c r="E126" s="15">
        <v>236.3</v>
      </c>
      <c r="F126" s="15">
        <v>238.7</v>
      </c>
      <c r="G126" s="15">
        <v>237.25</v>
      </c>
      <c r="H126" s="15">
        <v>237.75</v>
      </c>
      <c r="I126" s="15">
        <v>238.82</v>
      </c>
      <c r="J126" s="15">
        <v>245.8</v>
      </c>
      <c r="K126" s="15">
        <v>163.35</v>
      </c>
      <c r="L126" s="15">
        <v>15713947</v>
      </c>
      <c r="M126" t="s" s="13">
        <v>8932</v>
      </c>
      <c r="N126" s="15">
        <v>126931</v>
      </c>
      <c r="O126" s="17" cm="1">
        <f t="array" ref="O126">(H126-H125)/H125</f>
        <v>-0.00397989107666527</v>
      </c>
    </row>
    <row r="127" ht="13.65" customHeight="1">
      <c r="A127" s="18">
        <v>44468</v>
      </c>
      <c r="B127" t="s" s="13">
        <v>22</v>
      </c>
      <c r="C127" s="15">
        <v>236</v>
      </c>
      <c r="D127" s="15">
        <v>241.4</v>
      </c>
      <c r="E127" s="15">
        <v>235.7</v>
      </c>
      <c r="F127" s="15">
        <v>237.75</v>
      </c>
      <c r="G127" s="15">
        <v>237.85</v>
      </c>
      <c r="H127" s="15">
        <v>238.1</v>
      </c>
      <c r="I127" s="15">
        <v>238.18</v>
      </c>
      <c r="J127" s="15">
        <v>245.8</v>
      </c>
      <c r="K127" s="15">
        <v>163.35</v>
      </c>
      <c r="L127" s="15">
        <v>15450046</v>
      </c>
      <c r="M127" t="s" s="13">
        <v>8933</v>
      </c>
      <c r="N127" s="15">
        <v>125680</v>
      </c>
      <c r="O127" s="17" cm="1">
        <f t="array" ref="O127">(H127-H126)/H126</f>
        <v>0.00147213459516299</v>
      </c>
    </row>
    <row r="128" ht="13.65" customHeight="1">
      <c r="A128" s="18">
        <v>44469</v>
      </c>
      <c r="B128" t="s" s="13">
        <v>22</v>
      </c>
      <c r="C128" s="15">
        <v>239.9</v>
      </c>
      <c r="D128" s="15">
        <v>240.4</v>
      </c>
      <c r="E128" s="15">
        <v>235.25</v>
      </c>
      <c r="F128" s="15">
        <v>238.1</v>
      </c>
      <c r="G128" s="15">
        <v>235.8</v>
      </c>
      <c r="H128" s="15">
        <v>236.15</v>
      </c>
      <c r="I128" s="15">
        <v>237.68</v>
      </c>
      <c r="J128" s="15">
        <v>245.8</v>
      </c>
      <c r="K128" s="15">
        <v>163.35</v>
      </c>
      <c r="L128" s="15">
        <v>16357902</v>
      </c>
      <c r="M128" t="s" s="13">
        <v>8934</v>
      </c>
      <c r="N128" s="15">
        <v>120162</v>
      </c>
      <c r="O128" s="17" cm="1">
        <f t="array" ref="O128">(H128-H127)/H127</f>
        <v>-0.00818983620327593</v>
      </c>
    </row>
    <row r="129" ht="13.65" customHeight="1">
      <c r="A129" s="12">
        <v>44470</v>
      </c>
      <c r="B129" t="s" s="13">
        <v>22</v>
      </c>
      <c r="C129" s="15">
        <v>235.2</v>
      </c>
      <c r="D129" s="15">
        <v>237</v>
      </c>
      <c r="E129" s="15">
        <v>232.9</v>
      </c>
      <c r="F129" s="15">
        <v>236.15</v>
      </c>
      <c r="G129" s="15">
        <v>235.25</v>
      </c>
      <c r="H129" s="15">
        <v>235.35</v>
      </c>
      <c r="I129" s="15">
        <v>234.62</v>
      </c>
      <c r="J129" s="15">
        <v>245.8</v>
      </c>
      <c r="K129" s="15">
        <v>163.35</v>
      </c>
      <c r="L129" s="15">
        <v>15956143</v>
      </c>
      <c r="M129" t="s" s="13">
        <v>8935</v>
      </c>
      <c r="N129" s="15">
        <v>136058</v>
      </c>
      <c r="O129" s="17" cm="1">
        <f t="array" ref="O129">(H129-H128)/H128</f>
        <v>-0.00338767732373491</v>
      </c>
    </row>
    <row r="130" ht="13.65" customHeight="1">
      <c r="A130" s="12">
        <v>44473</v>
      </c>
      <c r="B130" t="s" s="13">
        <v>22</v>
      </c>
      <c r="C130" s="15">
        <v>236</v>
      </c>
      <c r="D130" s="15">
        <v>238.35</v>
      </c>
      <c r="E130" s="15">
        <v>235.4</v>
      </c>
      <c r="F130" s="15">
        <v>235.35</v>
      </c>
      <c r="G130" s="15">
        <v>236.6</v>
      </c>
      <c r="H130" s="15">
        <v>236.6</v>
      </c>
      <c r="I130" s="15">
        <v>236.93</v>
      </c>
      <c r="J130" s="15">
        <v>245.8</v>
      </c>
      <c r="K130" s="15">
        <v>163.35</v>
      </c>
      <c r="L130" s="15">
        <v>10686552</v>
      </c>
      <c r="M130" t="s" s="13">
        <v>8936</v>
      </c>
      <c r="N130" s="15">
        <v>105551</v>
      </c>
      <c r="O130" s="17" cm="1">
        <f t="array" ref="O130">(H130-H129)/H129</f>
        <v>0.00531123858083705</v>
      </c>
    </row>
    <row r="131" ht="13.65" customHeight="1">
      <c r="A131" s="12">
        <v>44474</v>
      </c>
      <c r="B131" t="s" s="13">
        <v>22</v>
      </c>
      <c r="C131" s="15">
        <v>236.4</v>
      </c>
      <c r="D131" s="15">
        <v>237.45</v>
      </c>
      <c r="E131" s="15">
        <v>234.5</v>
      </c>
      <c r="F131" s="15">
        <v>236.6</v>
      </c>
      <c r="G131" s="15">
        <v>234.6</v>
      </c>
      <c r="H131" s="15">
        <v>234.7</v>
      </c>
      <c r="I131" s="15">
        <v>235.35</v>
      </c>
      <c r="J131" s="15">
        <v>245.8</v>
      </c>
      <c r="K131" s="15">
        <v>163.35</v>
      </c>
      <c r="L131" s="15">
        <v>9223597</v>
      </c>
      <c r="M131" t="s" s="13">
        <v>8937</v>
      </c>
      <c r="N131" s="15">
        <v>94090</v>
      </c>
      <c r="O131" s="17" cm="1">
        <f t="array" ref="O131">(H131-H130)/H130</f>
        <v>-0.00803043110735418</v>
      </c>
    </row>
    <row r="132" ht="13.65" customHeight="1">
      <c r="A132" s="12">
        <v>44475</v>
      </c>
      <c r="B132" t="s" s="13">
        <v>22</v>
      </c>
      <c r="C132" s="15">
        <v>234.8</v>
      </c>
      <c r="D132" s="15">
        <v>236.4</v>
      </c>
      <c r="E132" s="15">
        <v>230.6</v>
      </c>
      <c r="F132" s="15">
        <v>234.7</v>
      </c>
      <c r="G132" s="15">
        <v>230.9</v>
      </c>
      <c r="H132" s="15">
        <v>231.25</v>
      </c>
      <c r="I132" s="15">
        <v>232.89</v>
      </c>
      <c r="J132" s="15">
        <v>245.8</v>
      </c>
      <c r="K132" s="15">
        <v>163.35</v>
      </c>
      <c r="L132" s="15">
        <v>17505160</v>
      </c>
      <c r="M132" t="s" s="13">
        <v>8938</v>
      </c>
      <c r="N132" s="15">
        <v>112565</v>
      </c>
      <c r="O132" s="17" cm="1">
        <f t="array" ref="O132">(H132-H131)/H131</f>
        <v>-0.0146996165317427</v>
      </c>
    </row>
    <row r="133" ht="13.65" customHeight="1">
      <c r="A133" s="12">
        <v>44476</v>
      </c>
      <c r="B133" t="s" s="13">
        <v>22</v>
      </c>
      <c r="C133" s="15">
        <v>233</v>
      </c>
      <c r="D133" s="15">
        <v>234.95</v>
      </c>
      <c r="E133" s="15">
        <v>232.3</v>
      </c>
      <c r="F133" s="15">
        <v>231.25</v>
      </c>
      <c r="G133" s="15">
        <v>232.95</v>
      </c>
      <c r="H133" s="15">
        <v>232.95</v>
      </c>
      <c r="I133" s="15">
        <v>233.59</v>
      </c>
      <c r="J133" s="15">
        <v>245.8</v>
      </c>
      <c r="K133" s="15">
        <v>163.35</v>
      </c>
      <c r="L133" s="15">
        <v>10371535</v>
      </c>
      <c r="M133" t="s" s="13">
        <v>8939</v>
      </c>
      <c r="N133" s="15">
        <v>85072</v>
      </c>
      <c r="O133" s="17" cm="1">
        <f t="array" ref="O133">(H133-H132)/H132</f>
        <v>0.00735135135135135</v>
      </c>
    </row>
    <row r="134" ht="13.65" customHeight="1">
      <c r="A134" s="12">
        <v>44477</v>
      </c>
      <c r="B134" t="s" s="13">
        <v>22</v>
      </c>
      <c r="C134" s="15">
        <v>234.75</v>
      </c>
      <c r="D134" s="15">
        <v>234.8</v>
      </c>
      <c r="E134" s="15">
        <v>231.2</v>
      </c>
      <c r="F134" s="15">
        <v>232.95</v>
      </c>
      <c r="G134" s="15">
        <v>231.9</v>
      </c>
      <c r="H134" s="15">
        <v>231.7</v>
      </c>
      <c r="I134" s="15">
        <v>232.63</v>
      </c>
      <c r="J134" s="15">
        <v>245.8</v>
      </c>
      <c r="K134" s="15">
        <v>163.35</v>
      </c>
      <c r="L134" s="15">
        <v>9739240</v>
      </c>
      <c r="M134" t="s" s="13">
        <v>8940</v>
      </c>
      <c r="N134" s="15">
        <v>89186</v>
      </c>
      <c r="O134" s="17" cm="1">
        <f t="array" ref="O134">(H134-H133)/H133</f>
        <v>-0.00536595836016313</v>
      </c>
    </row>
    <row r="135" ht="13.65" customHeight="1">
      <c r="A135" s="18">
        <v>44480</v>
      </c>
      <c r="B135" t="s" s="13">
        <v>22</v>
      </c>
      <c r="C135" s="15">
        <v>232</v>
      </c>
      <c r="D135" s="15">
        <v>239.5</v>
      </c>
      <c r="E135" s="15">
        <v>231.7</v>
      </c>
      <c r="F135" s="15">
        <v>231.7</v>
      </c>
      <c r="G135" s="15">
        <v>238.2</v>
      </c>
      <c r="H135" s="15">
        <v>238.05</v>
      </c>
      <c r="I135" s="15">
        <v>236.17</v>
      </c>
      <c r="J135" s="15">
        <v>245.8</v>
      </c>
      <c r="K135" s="15">
        <v>163.35</v>
      </c>
      <c r="L135" s="15">
        <v>21184428</v>
      </c>
      <c r="M135" t="s" s="13">
        <v>8941</v>
      </c>
      <c r="N135" s="15">
        <v>153853</v>
      </c>
      <c r="O135" s="17" cm="1">
        <f t="array" ref="O135">(H135-H134)/H134</f>
        <v>0.0274061286145878</v>
      </c>
    </row>
    <row r="136" ht="13.65" customHeight="1">
      <c r="A136" s="18">
        <v>44481</v>
      </c>
      <c r="B136" t="s" s="13">
        <v>22</v>
      </c>
      <c r="C136" s="15">
        <v>238.6</v>
      </c>
      <c r="D136" s="15">
        <v>243</v>
      </c>
      <c r="E136" s="15">
        <v>238</v>
      </c>
      <c r="F136" s="15">
        <v>238.05</v>
      </c>
      <c r="G136" s="15">
        <v>241.3</v>
      </c>
      <c r="H136" s="15">
        <v>241.3</v>
      </c>
      <c r="I136" s="15">
        <v>240.78</v>
      </c>
      <c r="J136" s="15">
        <v>245.8</v>
      </c>
      <c r="K136" s="15">
        <v>163.35</v>
      </c>
      <c r="L136" s="15">
        <v>29222028</v>
      </c>
      <c r="M136" t="s" s="13">
        <v>8942</v>
      </c>
      <c r="N136" s="15">
        <v>205242</v>
      </c>
      <c r="O136" s="17" cm="1">
        <f t="array" ref="O136">(H136-H135)/H135</f>
        <v>0.0136525939928586</v>
      </c>
    </row>
    <row r="137" ht="13.65" customHeight="1">
      <c r="A137" s="18">
        <v>44482</v>
      </c>
      <c r="B137" t="s" s="13">
        <v>22</v>
      </c>
      <c r="C137" s="15">
        <v>242.55</v>
      </c>
      <c r="D137" s="15">
        <v>250.9</v>
      </c>
      <c r="E137" s="15">
        <v>240.15</v>
      </c>
      <c r="F137" s="15">
        <v>241.3</v>
      </c>
      <c r="G137" s="15">
        <v>250.9</v>
      </c>
      <c r="H137" s="15">
        <v>249.2</v>
      </c>
      <c r="I137" s="15">
        <v>245.44</v>
      </c>
      <c r="J137" s="15">
        <v>250.9</v>
      </c>
      <c r="K137" s="15">
        <v>163.35</v>
      </c>
      <c r="L137" s="15">
        <v>50159625</v>
      </c>
      <c r="M137" t="s" s="13">
        <v>8943</v>
      </c>
      <c r="N137" s="15">
        <v>259485</v>
      </c>
      <c r="O137" s="17" cm="1">
        <f t="array" ref="O137">(H137-H136)/H136</f>
        <v>0.032739328636552</v>
      </c>
    </row>
    <row r="138" ht="13.65" customHeight="1">
      <c r="A138" s="18">
        <v>44483</v>
      </c>
      <c r="B138" t="s" s="13">
        <v>22</v>
      </c>
      <c r="C138" s="15">
        <v>253.25</v>
      </c>
      <c r="D138" s="15">
        <v>261.85</v>
      </c>
      <c r="E138" s="15">
        <v>250.35</v>
      </c>
      <c r="F138" s="15">
        <v>249.2</v>
      </c>
      <c r="G138" s="15">
        <v>256.3</v>
      </c>
      <c r="H138" s="15">
        <v>256.55</v>
      </c>
      <c r="I138" s="15">
        <v>256.08</v>
      </c>
      <c r="J138" s="15">
        <v>261.85</v>
      </c>
      <c r="K138" s="15">
        <v>163.35</v>
      </c>
      <c r="L138" s="15">
        <v>85406902</v>
      </c>
      <c r="M138" t="s" s="13">
        <v>8944</v>
      </c>
      <c r="N138" s="15">
        <v>447958</v>
      </c>
      <c r="O138" s="17" cm="1">
        <f t="array" ref="O138">(H138-H137)/H137</f>
        <v>0.0294943820224719</v>
      </c>
    </row>
    <row r="139" ht="13.65" customHeight="1">
      <c r="A139" s="18">
        <v>44487</v>
      </c>
      <c r="B139" t="s" s="13">
        <v>22</v>
      </c>
      <c r="C139" s="15">
        <v>261</v>
      </c>
      <c r="D139" s="15">
        <v>265.3</v>
      </c>
      <c r="E139" s="15">
        <v>257.35</v>
      </c>
      <c r="F139" s="15">
        <v>256.55</v>
      </c>
      <c r="G139" s="15">
        <v>261.8</v>
      </c>
      <c r="H139" s="15">
        <v>262.55</v>
      </c>
      <c r="I139" s="15">
        <v>261.24</v>
      </c>
      <c r="J139" s="15">
        <v>265.3</v>
      </c>
      <c r="K139" s="15">
        <v>163.35</v>
      </c>
      <c r="L139" s="15">
        <v>60292901</v>
      </c>
      <c r="M139" t="s" s="13">
        <v>8945</v>
      </c>
      <c r="N139" s="15">
        <v>318410</v>
      </c>
      <c r="O139" s="17" cm="1">
        <f t="array" ref="O139">(H139-H138)/H138</f>
        <v>0.0233872539465991</v>
      </c>
    </row>
    <row r="140" ht="13.65" customHeight="1">
      <c r="A140" s="18">
        <v>44488</v>
      </c>
      <c r="B140" t="s" s="13">
        <v>22</v>
      </c>
      <c r="C140" s="15">
        <v>261.4</v>
      </c>
      <c r="D140" s="15">
        <v>262.55</v>
      </c>
      <c r="E140" s="15">
        <v>245.05</v>
      </c>
      <c r="F140" s="15">
        <v>262.55</v>
      </c>
      <c r="G140" s="15">
        <v>246.1</v>
      </c>
      <c r="H140" s="15">
        <v>245.95</v>
      </c>
      <c r="I140" s="15">
        <v>251.38</v>
      </c>
      <c r="J140" s="15">
        <v>265.3</v>
      </c>
      <c r="K140" s="15">
        <v>163.35</v>
      </c>
      <c r="L140" s="15">
        <v>59061766</v>
      </c>
      <c r="M140" t="s" s="13">
        <v>8946</v>
      </c>
      <c r="N140" s="15">
        <v>445769</v>
      </c>
      <c r="O140" s="17" cm="1">
        <f t="array" ref="O140">(H140-H139)/H139</f>
        <v>-0.06322605218053701</v>
      </c>
    </row>
    <row r="141" ht="13.65" customHeight="1">
      <c r="A141" s="18">
        <v>44489</v>
      </c>
      <c r="B141" t="s" s="13">
        <v>22</v>
      </c>
      <c r="C141" s="15">
        <v>245.95</v>
      </c>
      <c r="D141" s="15">
        <v>248.5</v>
      </c>
      <c r="E141" s="15">
        <v>242.35</v>
      </c>
      <c r="F141" s="15">
        <v>245.95</v>
      </c>
      <c r="G141" s="15">
        <v>246.5</v>
      </c>
      <c r="H141" s="15">
        <v>246.6</v>
      </c>
      <c r="I141" s="15">
        <v>245.66</v>
      </c>
      <c r="J141" s="15">
        <v>265.3</v>
      </c>
      <c r="K141" s="15">
        <v>163.35</v>
      </c>
      <c r="L141" s="15">
        <v>47822165</v>
      </c>
      <c r="M141" t="s" s="13">
        <v>8947</v>
      </c>
      <c r="N141" s="15">
        <v>230234</v>
      </c>
      <c r="O141" s="17" cm="1">
        <f t="array" ref="O141">(H141-H140)/H140</f>
        <v>0.00264281357999593</v>
      </c>
    </row>
    <row r="142" ht="13.65" customHeight="1">
      <c r="A142" s="18">
        <v>44490</v>
      </c>
      <c r="B142" t="s" s="13">
        <v>22</v>
      </c>
      <c r="C142" s="15">
        <v>248</v>
      </c>
      <c r="D142" s="15">
        <v>248.35</v>
      </c>
      <c r="E142" s="15">
        <v>243.1</v>
      </c>
      <c r="F142" s="15">
        <v>246.6</v>
      </c>
      <c r="G142" s="15">
        <v>244.7</v>
      </c>
      <c r="H142" s="15">
        <v>244.7</v>
      </c>
      <c r="I142" s="15">
        <v>244.77</v>
      </c>
      <c r="J142" s="15">
        <v>265.3</v>
      </c>
      <c r="K142" s="15">
        <v>163.35</v>
      </c>
      <c r="L142" s="15">
        <v>22518727</v>
      </c>
      <c r="M142" t="s" s="13">
        <v>8948</v>
      </c>
      <c r="N142" s="15">
        <v>143909</v>
      </c>
      <c r="O142" s="17" cm="1">
        <f t="array" ref="O142">(H142-H141)/H141</f>
        <v>-0.00770478507704785</v>
      </c>
    </row>
    <row r="143" ht="13.65" customHeight="1">
      <c r="A143" s="18">
        <v>44491</v>
      </c>
      <c r="B143" t="s" s="13">
        <v>22</v>
      </c>
      <c r="C143" s="15">
        <v>244.7</v>
      </c>
      <c r="D143" s="15">
        <v>245.8</v>
      </c>
      <c r="E143" s="15">
        <v>233.7</v>
      </c>
      <c r="F143" s="15">
        <v>244.7</v>
      </c>
      <c r="G143" s="15">
        <v>236.5</v>
      </c>
      <c r="H143" s="15">
        <v>236.6</v>
      </c>
      <c r="I143" s="15">
        <v>238.65</v>
      </c>
      <c r="J143" s="15">
        <v>265.3</v>
      </c>
      <c r="K143" s="15">
        <v>163.35</v>
      </c>
      <c r="L143" s="15">
        <v>35537151</v>
      </c>
      <c r="M143" t="s" s="13">
        <v>8949</v>
      </c>
      <c r="N143" s="15">
        <v>236176</v>
      </c>
      <c r="O143" s="17" cm="1">
        <f t="array" ref="O143">(H143-H142)/H142</f>
        <v>-0.0331017572537801</v>
      </c>
    </row>
    <row r="144" ht="13.65" customHeight="1">
      <c r="A144" s="18">
        <v>44494</v>
      </c>
      <c r="B144" t="s" s="13">
        <v>22</v>
      </c>
      <c r="C144" s="15">
        <v>234.1</v>
      </c>
      <c r="D144" s="15">
        <v>236.65</v>
      </c>
      <c r="E144" s="15">
        <v>230.5</v>
      </c>
      <c r="F144" s="15">
        <v>236.6</v>
      </c>
      <c r="G144" s="15">
        <v>233</v>
      </c>
      <c r="H144" s="15">
        <v>233.4</v>
      </c>
      <c r="I144" s="15">
        <v>233.82</v>
      </c>
      <c r="J144" s="15">
        <v>265.3</v>
      </c>
      <c r="K144" s="15">
        <v>163.35</v>
      </c>
      <c r="L144" s="15">
        <v>22333919</v>
      </c>
      <c r="M144" t="s" s="13">
        <v>8950</v>
      </c>
      <c r="N144" s="15">
        <v>159014</v>
      </c>
      <c r="O144" s="17" cm="1">
        <f t="array" ref="O144">(H144-H143)/H143</f>
        <v>-0.0135249366018597</v>
      </c>
    </row>
    <row r="145" ht="13.65" customHeight="1">
      <c r="A145" s="18">
        <v>44495</v>
      </c>
      <c r="B145" t="s" s="13">
        <v>22</v>
      </c>
      <c r="C145" s="15">
        <v>234.1</v>
      </c>
      <c r="D145" s="15">
        <v>239</v>
      </c>
      <c r="E145" s="15">
        <v>232.6</v>
      </c>
      <c r="F145" s="15">
        <v>233.4</v>
      </c>
      <c r="G145" s="15">
        <v>238.75</v>
      </c>
      <c r="H145" s="15">
        <v>236.7</v>
      </c>
      <c r="I145" s="15">
        <v>235.05</v>
      </c>
      <c r="J145" s="15">
        <v>265.3</v>
      </c>
      <c r="K145" s="15">
        <v>163.35</v>
      </c>
      <c r="L145" s="15">
        <v>18934170</v>
      </c>
      <c r="M145" t="s" s="13">
        <v>8951</v>
      </c>
      <c r="N145" s="15">
        <v>150678</v>
      </c>
      <c r="O145" s="17" cm="1">
        <f t="array" ref="O145">(H145-H144)/H144</f>
        <v>0.0141388174807198</v>
      </c>
    </row>
    <row r="146" ht="13.65" customHeight="1">
      <c r="A146" s="18">
        <v>44496</v>
      </c>
      <c r="B146" t="s" s="13">
        <v>22</v>
      </c>
      <c r="C146" s="15">
        <v>240.25</v>
      </c>
      <c r="D146" s="15">
        <v>241.3</v>
      </c>
      <c r="E146" s="15">
        <v>236.2</v>
      </c>
      <c r="F146" s="15">
        <v>236.7</v>
      </c>
      <c r="G146" s="15">
        <v>238.95</v>
      </c>
      <c r="H146" s="15">
        <v>238.45</v>
      </c>
      <c r="I146" s="15">
        <v>239.14</v>
      </c>
      <c r="J146" s="15">
        <v>265.3</v>
      </c>
      <c r="K146" s="15">
        <v>163.35</v>
      </c>
      <c r="L146" s="15">
        <v>25911499</v>
      </c>
      <c r="M146" t="s" s="13">
        <v>8952</v>
      </c>
      <c r="N146" s="15">
        <v>178935</v>
      </c>
      <c r="O146" s="17" cm="1">
        <f t="array" ref="O146">(H146-H145)/H145</f>
        <v>0.00739332488381918</v>
      </c>
    </row>
    <row r="147" ht="13.65" customHeight="1">
      <c r="A147" s="18">
        <v>44497</v>
      </c>
      <c r="B147" t="s" s="13">
        <v>22</v>
      </c>
      <c r="C147" s="15">
        <v>235.1</v>
      </c>
      <c r="D147" s="15">
        <v>235.95</v>
      </c>
      <c r="E147" s="15">
        <v>224.15</v>
      </c>
      <c r="F147" s="15">
        <v>238.45</v>
      </c>
      <c r="G147" s="15">
        <v>225.15</v>
      </c>
      <c r="H147" s="15">
        <v>225.1</v>
      </c>
      <c r="I147" s="15">
        <v>228.88</v>
      </c>
      <c r="J147" s="15">
        <v>265.3</v>
      </c>
      <c r="K147" s="15">
        <v>163.35</v>
      </c>
      <c r="L147" s="15">
        <v>46282465</v>
      </c>
      <c r="M147" t="s" s="13">
        <v>8953</v>
      </c>
      <c r="N147" s="15">
        <v>374260</v>
      </c>
      <c r="O147" s="17" cm="1">
        <f t="array" ref="O147">(H147-H146)/H146</f>
        <v>-0.0559865799958062</v>
      </c>
    </row>
    <row r="148" ht="13.65" customHeight="1">
      <c r="A148" s="18">
        <v>44498</v>
      </c>
      <c r="B148" t="s" s="13">
        <v>22</v>
      </c>
      <c r="C148" s="15">
        <v>225</v>
      </c>
      <c r="D148" s="15">
        <v>228.25</v>
      </c>
      <c r="E148" s="15">
        <v>222.3</v>
      </c>
      <c r="F148" s="15">
        <v>225.1</v>
      </c>
      <c r="G148" s="15">
        <v>223.45</v>
      </c>
      <c r="H148" s="15">
        <v>223.2</v>
      </c>
      <c r="I148" s="15">
        <v>225.09</v>
      </c>
      <c r="J148" s="15">
        <v>265.3</v>
      </c>
      <c r="K148" s="15">
        <v>163.35</v>
      </c>
      <c r="L148" s="15">
        <v>26642108</v>
      </c>
      <c r="M148" t="s" s="13">
        <v>8954</v>
      </c>
      <c r="N148" s="15">
        <v>209691</v>
      </c>
      <c r="O148" s="17" cm="1">
        <f t="array" ref="O148">(H148-H147)/H147</f>
        <v>-0.00844069302532208</v>
      </c>
    </row>
    <row r="149" ht="13.65" customHeight="1">
      <c r="A149" s="12">
        <v>44501</v>
      </c>
      <c r="B149" t="s" s="13">
        <v>22</v>
      </c>
      <c r="C149" s="15">
        <v>224.15</v>
      </c>
      <c r="D149" s="15">
        <v>227.55</v>
      </c>
      <c r="E149" s="15">
        <v>222.5</v>
      </c>
      <c r="F149" s="15">
        <v>223.2</v>
      </c>
      <c r="G149" s="15">
        <v>226.8</v>
      </c>
      <c r="H149" s="15">
        <v>226.85</v>
      </c>
      <c r="I149" s="15">
        <v>224.82</v>
      </c>
      <c r="J149" s="15">
        <v>265.3</v>
      </c>
      <c r="K149" s="15">
        <v>164.45</v>
      </c>
      <c r="L149" s="15">
        <v>23197539</v>
      </c>
      <c r="M149" t="s" s="13">
        <v>8955</v>
      </c>
      <c r="N149" s="15">
        <v>136114</v>
      </c>
      <c r="O149" s="17" cm="1">
        <f t="array" ref="O149">(H149-H148)/H148</f>
        <v>0.0163530465949821</v>
      </c>
    </row>
    <row r="150" ht="13.65" customHeight="1">
      <c r="A150" s="12">
        <v>44502</v>
      </c>
      <c r="B150" t="s" s="13">
        <v>22</v>
      </c>
      <c r="C150" s="15">
        <v>228</v>
      </c>
      <c r="D150" s="15">
        <v>229.25</v>
      </c>
      <c r="E150" s="15">
        <v>224.5</v>
      </c>
      <c r="F150" s="15">
        <v>226.85</v>
      </c>
      <c r="G150" s="15">
        <v>226</v>
      </c>
      <c r="H150" s="15">
        <v>225.6</v>
      </c>
      <c r="I150" s="15">
        <v>226.05</v>
      </c>
      <c r="J150" s="15">
        <v>265.3</v>
      </c>
      <c r="K150" s="15">
        <v>164.45</v>
      </c>
      <c r="L150" s="15">
        <v>14343859</v>
      </c>
      <c r="M150" t="s" s="13">
        <v>8956</v>
      </c>
      <c r="N150" s="15">
        <v>120551</v>
      </c>
      <c r="O150" s="17" cm="1">
        <f t="array" ref="O150">(H150-H149)/H149</f>
        <v>-0.00551024906325766</v>
      </c>
    </row>
    <row r="151" ht="13.65" customHeight="1">
      <c r="A151" s="12">
        <v>44503</v>
      </c>
      <c r="B151" t="s" s="13">
        <v>22</v>
      </c>
      <c r="C151" s="15">
        <v>226</v>
      </c>
      <c r="D151" s="15">
        <v>226.85</v>
      </c>
      <c r="E151" s="15">
        <v>221.7</v>
      </c>
      <c r="F151" s="15">
        <v>225.6</v>
      </c>
      <c r="G151" s="15">
        <v>222.75</v>
      </c>
      <c r="H151" s="15">
        <v>222.45</v>
      </c>
      <c r="I151" s="15">
        <v>223.82</v>
      </c>
      <c r="J151" s="15">
        <v>265.3</v>
      </c>
      <c r="K151" s="15">
        <v>164.45</v>
      </c>
      <c r="L151" s="15">
        <v>17843327</v>
      </c>
      <c r="M151" t="s" s="13">
        <v>8957</v>
      </c>
      <c r="N151" s="15">
        <v>119495</v>
      </c>
      <c r="O151" s="17" cm="1">
        <f t="array" ref="O151">(H151-H150)/H150</f>
        <v>-0.0139627659574468</v>
      </c>
    </row>
    <row r="152" ht="13.65" customHeight="1">
      <c r="A152" s="12">
        <v>44504</v>
      </c>
      <c r="B152" t="s" s="13">
        <v>22</v>
      </c>
      <c r="C152" s="15">
        <v>224.85</v>
      </c>
      <c r="D152" s="15">
        <v>227.3</v>
      </c>
      <c r="E152" s="15">
        <v>224</v>
      </c>
      <c r="F152" s="15">
        <v>222.45</v>
      </c>
      <c r="G152" s="15">
        <v>227.15</v>
      </c>
      <c r="H152" s="15">
        <v>226.55</v>
      </c>
      <c r="I152" s="15">
        <v>225.88</v>
      </c>
      <c r="J152" s="15">
        <v>265.3</v>
      </c>
      <c r="K152" s="15">
        <v>164.45</v>
      </c>
      <c r="L152" s="15">
        <v>7024796</v>
      </c>
      <c r="M152" t="s" s="13">
        <v>8958</v>
      </c>
      <c r="N152" s="15">
        <v>106228</v>
      </c>
      <c r="O152" s="17" cm="1">
        <f t="array" ref="O152">(H152-H151)/H151</f>
        <v>0.018431108114183</v>
      </c>
    </row>
    <row r="153" ht="13.65" customHeight="1">
      <c r="A153" s="12">
        <v>44508</v>
      </c>
      <c r="B153" t="s" s="13">
        <v>22</v>
      </c>
      <c r="C153" s="15">
        <v>229.7</v>
      </c>
      <c r="D153" s="15">
        <v>230.7</v>
      </c>
      <c r="E153" s="15">
        <v>225.7</v>
      </c>
      <c r="F153" s="15">
        <v>226.55</v>
      </c>
      <c r="G153" s="15">
        <v>229.65</v>
      </c>
      <c r="H153" s="15">
        <v>229.8</v>
      </c>
      <c r="I153" s="15">
        <v>228.22</v>
      </c>
      <c r="J153" s="15">
        <v>265.3</v>
      </c>
      <c r="K153" s="15">
        <v>171.85</v>
      </c>
      <c r="L153" s="15">
        <v>20270558</v>
      </c>
      <c r="M153" t="s" s="13">
        <v>8959</v>
      </c>
      <c r="N153" s="15">
        <v>168607</v>
      </c>
      <c r="O153" s="17" cm="1">
        <f t="array" ref="O153">(H153-H152)/H152</f>
        <v>0.0143456190686383</v>
      </c>
    </row>
    <row r="154" ht="13.65" customHeight="1">
      <c r="A154" s="12">
        <v>44509</v>
      </c>
      <c r="B154" t="s" s="13">
        <v>22</v>
      </c>
      <c r="C154" s="15">
        <v>229.85</v>
      </c>
      <c r="D154" s="15">
        <v>230.9</v>
      </c>
      <c r="E154" s="15">
        <v>227.85</v>
      </c>
      <c r="F154" s="15">
        <v>229.8</v>
      </c>
      <c r="G154" s="15">
        <v>228.85</v>
      </c>
      <c r="H154" s="15">
        <v>228.75</v>
      </c>
      <c r="I154" s="15">
        <v>229.11</v>
      </c>
      <c r="J154" s="15">
        <v>265.3</v>
      </c>
      <c r="K154" s="15">
        <v>171.85</v>
      </c>
      <c r="L154" s="15">
        <v>11520817</v>
      </c>
      <c r="M154" t="s" s="13">
        <v>8960</v>
      </c>
      <c r="N154" s="15">
        <v>131594</v>
      </c>
      <c r="O154" s="17" cm="1">
        <f t="array" ref="O154">(H154-H153)/H153</f>
        <v>-0.00456919060052219</v>
      </c>
    </row>
    <row r="155" ht="13.65" customHeight="1">
      <c r="A155" s="18">
        <v>44510</v>
      </c>
      <c r="B155" t="s" s="13">
        <v>22</v>
      </c>
      <c r="C155" s="15">
        <v>227.45</v>
      </c>
      <c r="D155" s="15">
        <v>232.85</v>
      </c>
      <c r="E155" s="15">
        <v>227.2</v>
      </c>
      <c r="F155" s="15">
        <v>228.75</v>
      </c>
      <c r="G155" s="15">
        <v>230.75</v>
      </c>
      <c r="H155" s="15">
        <v>230.85</v>
      </c>
      <c r="I155" s="15">
        <v>230.52</v>
      </c>
      <c r="J155" s="15">
        <v>265.3</v>
      </c>
      <c r="K155" s="15">
        <v>171.85</v>
      </c>
      <c r="L155" s="15">
        <v>13431108</v>
      </c>
      <c r="M155" t="s" s="13">
        <v>8961</v>
      </c>
      <c r="N155" s="15">
        <v>110805</v>
      </c>
      <c r="O155" s="17" cm="1">
        <f t="array" ref="O155">(H155-H154)/H154</f>
        <v>0.009180327868852461</v>
      </c>
    </row>
    <row r="156" ht="13.65" customHeight="1">
      <c r="A156" s="18">
        <v>44511</v>
      </c>
      <c r="B156" t="s" s="13">
        <v>22</v>
      </c>
      <c r="C156" s="15">
        <v>230.4</v>
      </c>
      <c r="D156" s="15">
        <v>231.5</v>
      </c>
      <c r="E156" s="15">
        <v>228.55</v>
      </c>
      <c r="F156" s="15">
        <v>230.85</v>
      </c>
      <c r="G156" s="15">
        <v>230.2</v>
      </c>
      <c r="H156" s="15">
        <v>230</v>
      </c>
      <c r="I156" s="15">
        <v>229.65</v>
      </c>
      <c r="J156" s="15">
        <v>265.3</v>
      </c>
      <c r="K156" s="15">
        <v>171.85</v>
      </c>
      <c r="L156" s="15">
        <v>8134962</v>
      </c>
      <c r="M156" t="s" s="13">
        <v>8962</v>
      </c>
      <c r="N156" s="15">
        <v>96104</v>
      </c>
      <c r="O156" s="17" cm="1">
        <f t="array" ref="O156">(H156-H155)/H155</f>
        <v>-0.00368204461771713</v>
      </c>
    </row>
    <row r="157" ht="13.65" customHeight="1">
      <c r="A157" s="18">
        <v>44512</v>
      </c>
      <c r="B157" t="s" s="13">
        <v>22</v>
      </c>
      <c r="C157" s="15">
        <v>231.2</v>
      </c>
      <c r="D157" s="15">
        <v>233.95</v>
      </c>
      <c r="E157" s="15">
        <v>229.15</v>
      </c>
      <c r="F157" s="15">
        <v>230</v>
      </c>
      <c r="G157" s="15">
        <v>232.85</v>
      </c>
      <c r="H157" s="15">
        <v>232.9</v>
      </c>
      <c r="I157" s="15">
        <v>231.88</v>
      </c>
      <c r="J157" s="15">
        <v>265.3</v>
      </c>
      <c r="K157" s="15">
        <v>171.85</v>
      </c>
      <c r="L157" s="15">
        <v>11855531</v>
      </c>
      <c r="M157" t="s" s="13">
        <v>8963</v>
      </c>
      <c r="N157" s="15">
        <v>99013</v>
      </c>
      <c r="O157" s="17" cm="1">
        <f t="array" ref="O157">(H157-H156)/H156</f>
        <v>0.0126086956521739</v>
      </c>
    </row>
    <row r="158" ht="13.65" customHeight="1">
      <c r="A158" s="18">
        <v>44515</v>
      </c>
      <c r="B158" t="s" s="13">
        <v>22</v>
      </c>
      <c r="C158" s="15">
        <v>233.95</v>
      </c>
      <c r="D158" s="15">
        <v>239</v>
      </c>
      <c r="E158" s="15">
        <v>233.1</v>
      </c>
      <c r="F158" s="15">
        <v>232.9</v>
      </c>
      <c r="G158" s="15">
        <v>238.15</v>
      </c>
      <c r="H158" s="15">
        <v>238.1</v>
      </c>
      <c r="I158" s="15">
        <v>236.77</v>
      </c>
      <c r="J158" s="15">
        <v>265.3</v>
      </c>
      <c r="K158" s="15">
        <v>182.7</v>
      </c>
      <c r="L158" s="15">
        <v>38755267</v>
      </c>
      <c r="M158" t="s" s="13">
        <v>8964</v>
      </c>
      <c r="N158" s="15">
        <v>176533</v>
      </c>
      <c r="O158" s="17" cm="1">
        <f t="array" ref="O158">(H158-H157)/H157</f>
        <v>0.0223271790468012</v>
      </c>
    </row>
    <row r="159" ht="13.65" customHeight="1">
      <c r="A159" s="18">
        <v>44516</v>
      </c>
      <c r="B159" t="s" s="13">
        <v>22</v>
      </c>
      <c r="C159" s="15">
        <v>239.05</v>
      </c>
      <c r="D159" s="15">
        <v>239.65</v>
      </c>
      <c r="E159" s="15">
        <v>235</v>
      </c>
      <c r="F159" s="15">
        <v>238.1</v>
      </c>
      <c r="G159" s="15">
        <v>235.25</v>
      </c>
      <c r="H159" s="15">
        <v>235.45</v>
      </c>
      <c r="I159" s="15">
        <v>237.36</v>
      </c>
      <c r="J159" s="15">
        <v>265.3</v>
      </c>
      <c r="K159" s="15">
        <v>182.7</v>
      </c>
      <c r="L159" s="15">
        <v>14675969</v>
      </c>
      <c r="M159" t="s" s="13">
        <v>8965</v>
      </c>
      <c r="N159" s="15">
        <v>97861</v>
      </c>
      <c r="O159" s="17" cm="1">
        <f t="array" ref="O159">(H159-H158)/H158</f>
        <v>-0.0111297774044519</v>
      </c>
    </row>
    <row r="160" ht="13.65" customHeight="1">
      <c r="A160" s="18">
        <v>44517</v>
      </c>
      <c r="B160" t="s" s="13">
        <v>22</v>
      </c>
      <c r="C160" s="15">
        <v>236</v>
      </c>
      <c r="D160" s="15">
        <v>245.25</v>
      </c>
      <c r="E160" s="15">
        <v>235.65</v>
      </c>
      <c r="F160" s="15">
        <v>235.45</v>
      </c>
      <c r="G160" s="15">
        <v>239.3</v>
      </c>
      <c r="H160" s="15">
        <v>239.5</v>
      </c>
      <c r="I160" s="15">
        <v>240.97</v>
      </c>
      <c r="J160" s="15">
        <v>265.3</v>
      </c>
      <c r="K160" s="15">
        <v>182.7</v>
      </c>
      <c r="L160" s="15">
        <v>46697822</v>
      </c>
      <c r="M160" t="s" s="13">
        <v>8966</v>
      </c>
      <c r="N160" s="15">
        <v>246949</v>
      </c>
      <c r="O160" s="17" cm="1">
        <f t="array" ref="O160">(H160-H159)/H159</f>
        <v>0.0172011042684222</v>
      </c>
    </row>
    <row r="161" ht="13.65" customHeight="1">
      <c r="A161" s="18">
        <v>44518</v>
      </c>
      <c r="B161" t="s" s="13">
        <v>22</v>
      </c>
      <c r="C161" s="15">
        <v>240</v>
      </c>
      <c r="D161" s="15">
        <v>243</v>
      </c>
      <c r="E161" s="15">
        <v>236.3</v>
      </c>
      <c r="F161" s="15">
        <v>239.5</v>
      </c>
      <c r="G161" s="15">
        <v>237.65</v>
      </c>
      <c r="H161" s="15">
        <v>237.5</v>
      </c>
      <c r="I161" s="15">
        <v>239.33</v>
      </c>
      <c r="J161" s="15">
        <v>265.3</v>
      </c>
      <c r="K161" s="15">
        <v>182.7</v>
      </c>
      <c r="L161" s="15">
        <v>20226071</v>
      </c>
      <c r="M161" t="s" s="13">
        <v>8967</v>
      </c>
      <c r="N161" s="15">
        <v>155791</v>
      </c>
      <c r="O161" s="17" cm="1">
        <f t="array" ref="O161">(H161-H160)/H160</f>
        <v>-0.008350730688935279</v>
      </c>
    </row>
    <row r="162" ht="13.65" customHeight="1">
      <c r="A162" s="18">
        <v>44522</v>
      </c>
      <c r="B162" t="s" s="13">
        <v>22</v>
      </c>
      <c r="C162" s="15">
        <v>237.9</v>
      </c>
      <c r="D162" s="15">
        <v>240.75</v>
      </c>
      <c r="E162" s="15">
        <v>229.55</v>
      </c>
      <c r="F162" s="15">
        <v>237.5</v>
      </c>
      <c r="G162" s="15">
        <v>230.65</v>
      </c>
      <c r="H162" s="15">
        <v>230.9</v>
      </c>
      <c r="I162" s="15">
        <v>234.65</v>
      </c>
      <c r="J162" s="15">
        <v>265.3</v>
      </c>
      <c r="K162" s="15">
        <v>188.65</v>
      </c>
      <c r="L162" s="15">
        <v>22574227</v>
      </c>
      <c r="M162" t="s" s="13">
        <v>8968</v>
      </c>
      <c r="N162" s="15">
        <v>208402</v>
      </c>
      <c r="O162" s="17" cm="1">
        <f t="array" ref="O162">(H162-H161)/H161</f>
        <v>-0.0277894736842105</v>
      </c>
    </row>
    <row r="163" ht="13.65" customHeight="1">
      <c r="A163" s="18">
        <v>44523</v>
      </c>
      <c r="B163" t="s" s="13">
        <v>22</v>
      </c>
      <c r="C163" s="15">
        <v>229.15</v>
      </c>
      <c r="D163" s="15">
        <v>232.7</v>
      </c>
      <c r="E163" s="15">
        <v>229.15</v>
      </c>
      <c r="F163" s="15">
        <v>230.9</v>
      </c>
      <c r="G163" s="15">
        <v>231.6</v>
      </c>
      <c r="H163" s="15">
        <v>231.6</v>
      </c>
      <c r="I163" s="15">
        <v>231.58</v>
      </c>
      <c r="J163" s="15">
        <v>265.3</v>
      </c>
      <c r="K163" s="15">
        <v>188.65</v>
      </c>
      <c r="L163" s="15">
        <v>13433385</v>
      </c>
      <c r="M163" t="s" s="13">
        <v>8969</v>
      </c>
      <c r="N163" s="15">
        <v>108687</v>
      </c>
      <c r="O163" s="17" cm="1">
        <f t="array" ref="O163">(H163-H162)/H162</f>
        <v>0.00303161541792984</v>
      </c>
    </row>
    <row r="164" ht="13.65" customHeight="1">
      <c r="A164" s="18">
        <v>44524</v>
      </c>
      <c r="B164" t="s" s="13">
        <v>22</v>
      </c>
      <c r="C164" s="15">
        <v>232.45</v>
      </c>
      <c r="D164" s="15">
        <v>232.7</v>
      </c>
      <c r="E164" s="15">
        <v>226.95</v>
      </c>
      <c r="F164" s="15">
        <v>231.6</v>
      </c>
      <c r="G164" s="15">
        <v>227.2</v>
      </c>
      <c r="H164" s="15">
        <v>227.7</v>
      </c>
      <c r="I164" s="15">
        <v>230.18</v>
      </c>
      <c r="J164" s="15">
        <v>265.3</v>
      </c>
      <c r="K164" s="15">
        <v>188.65</v>
      </c>
      <c r="L164" s="15">
        <v>14139854</v>
      </c>
      <c r="M164" t="s" s="13">
        <v>8970</v>
      </c>
      <c r="N164" s="15">
        <v>115870</v>
      </c>
      <c r="O164" s="17" cm="1">
        <f t="array" ref="O164">(H164-H163)/H163</f>
        <v>-0.016839378238342</v>
      </c>
    </row>
    <row r="165" ht="13.65" customHeight="1">
      <c r="A165" s="18">
        <v>44525</v>
      </c>
      <c r="B165" t="s" s="13">
        <v>22</v>
      </c>
      <c r="C165" s="15">
        <v>227</v>
      </c>
      <c r="D165" s="15">
        <v>232.2</v>
      </c>
      <c r="E165" s="15">
        <v>225.75</v>
      </c>
      <c r="F165" s="15">
        <v>227.7</v>
      </c>
      <c r="G165" s="15">
        <v>231.75</v>
      </c>
      <c r="H165" s="15">
        <v>231.3</v>
      </c>
      <c r="I165" s="15">
        <v>229.18</v>
      </c>
      <c r="J165" s="15">
        <v>265.3</v>
      </c>
      <c r="K165" s="15">
        <v>188.65</v>
      </c>
      <c r="L165" s="15">
        <v>23904846</v>
      </c>
      <c r="M165" t="s" s="13">
        <v>8971</v>
      </c>
      <c r="N165" s="15">
        <v>156605</v>
      </c>
      <c r="O165" s="17" cm="1">
        <f t="array" ref="O165">(H165-H164)/H164</f>
        <v>0.0158102766798419</v>
      </c>
    </row>
    <row r="166" ht="13.65" customHeight="1">
      <c r="A166" s="18">
        <v>44526</v>
      </c>
      <c r="B166" t="s" s="13">
        <v>22</v>
      </c>
      <c r="C166" s="15">
        <v>228.9</v>
      </c>
      <c r="D166" s="15">
        <v>230.05</v>
      </c>
      <c r="E166" s="15">
        <v>223.1</v>
      </c>
      <c r="F166" s="15">
        <v>231.3</v>
      </c>
      <c r="G166" s="15">
        <v>223.6</v>
      </c>
      <c r="H166" s="15">
        <v>224</v>
      </c>
      <c r="I166" s="15">
        <v>225.91</v>
      </c>
      <c r="J166" s="15">
        <v>265.3</v>
      </c>
      <c r="K166" s="15">
        <v>188.65</v>
      </c>
      <c r="L166" s="15">
        <v>27027022</v>
      </c>
      <c r="M166" t="s" s="13">
        <v>8972</v>
      </c>
      <c r="N166" s="15">
        <v>245321</v>
      </c>
      <c r="O166" s="17" cm="1">
        <f t="array" ref="O166">(H166-H165)/H165</f>
        <v>-0.0315607436230004</v>
      </c>
    </row>
    <row r="167" ht="13.65" customHeight="1">
      <c r="A167" s="18">
        <v>44529</v>
      </c>
      <c r="B167" t="s" s="13">
        <v>22</v>
      </c>
      <c r="C167" s="15">
        <v>222</v>
      </c>
      <c r="D167" s="15">
        <v>223.65</v>
      </c>
      <c r="E167" s="15">
        <v>220.2</v>
      </c>
      <c r="F167" s="15">
        <v>224</v>
      </c>
      <c r="G167" s="15">
        <v>221.7</v>
      </c>
      <c r="H167" s="15">
        <v>221.5</v>
      </c>
      <c r="I167" s="15">
        <v>221.89</v>
      </c>
      <c r="J167" s="15">
        <v>265.3</v>
      </c>
      <c r="K167" s="15">
        <v>192.4</v>
      </c>
      <c r="L167" s="15">
        <v>22132952</v>
      </c>
      <c r="M167" t="s" s="13">
        <v>8973</v>
      </c>
      <c r="N167" s="15">
        <v>165328</v>
      </c>
      <c r="O167" s="17" cm="1">
        <f t="array" ref="O167">(H167-H166)/H166</f>
        <v>-0.0111607142857143</v>
      </c>
    </row>
    <row r="168" ht="13.65" customHeight="1">
      <c r="A168" s="18">
        <v>44530</v>
      </c>
      <c r="B168" t="s" s="13">
        <v>22</v>
      </c>
      <c r="C168" s="15">
        <v>222</v>
      </c>
      <c r="D168" s="15">
        <v>225.2</v>
      </c>
      <c r="E168" s="15">
        <v>220</v>
      </c>
      <c r="F168" s="15">
        <v>221.5</v>
      </c>
      <c r="G168" s="15">
        <v>221.7</v>
      </c>
      <c r="H168" s="15">
        <v>221.15</v>
      </c>
      <c r="I168" s="15">
        <v>222.37</v>
      </c>
      <c r="J168" s="15">
        <v>265.3</v>
      </c>
      <c r="K168" s="15">
        <v>192.4</v>
      </c>
      <c r="L168" s="15">
        <v>23503453</v>
      </c>
      <c r="M168" t="s" s="13">
        <v>8974</v>
      </c>
      <c r="N168" s="15">
        <v>175420</v>
      </c>
      <c r="O168" s="17" cm="1">
        <f t="array" ref="O168">(H168-H167)/H167</f>
        <v>-0.00158013544018059</v>
      </c>
    </row>
    <row r="169" ht="13.65" customHeight="1">
      <c r="A169" s="12">
        <v>44531</v>
      </c>
      <c r="B169" t="s" s="13">
        <v>22</v>
      </c>
      <c r="C169" s="15">
        <v>222</v>
      </c>
      <c r="D169" s="15">
        <v>223.3</v>
      </c>
      <c r="E169" s="15">
        <v>220.6</v>
      </c>
      <c r="F169" s="15">
        <v>221.15</v>
      </c>
      <c r="G169" s="15">
        <v>222.45</v>
      </c>
      <c r="H169" s="15">
        <v>221.9</v>
      </c>
      <c r="I169" s="15">
        <v>221.74</v>
      </c>
      <c r="J169" s="15">
        <v>265.3</v>
      </c>
      <c r="K169" s="15">
        <v>192.4</v>
      </c>
      <c r="L169" s="15">
        <v>12995800</v>
      </c>
      <c r="M169" t="s" s="13">
        <v>8975</v>
      </c>
      <c r="N169" s="15">
        <v>88476</v>
      </c>
      <c r="O169" s="17" cm="1">
        <f t="array" ref="O169">(H169-H168)/H168</f>
        <v>0.00339136332805788</v>
      </c>
    </row>
    <row r="170" ht="13.65" customHeight="1">
      <c r="A170" s="12">
        <v>44532</v>
      </c>
      <c r="B170" t="s" s="13">
        <v>22</v>
      </c>
      <c r="C170" s="15">
        <v>221.9</v>
      </c>
      <c r="D170" s="15">
        <v>226.15</v>
      </c>
      <c r="E170" s="15">
        <v>221.3</v>
      </c>
      <c r="F170" s="15">
        <v>221.9</v>
      </c>
      <c r="G170" s="15">
        <v>225.4</v>
      </c>
      <c r="H170" s="15">
        <v>225.45</v>
      </c>
      <c r="I170" s="15">
        <v>223.81</v>
      </c>
      <c r="J170" s="15">
        <v>265.3</v>
      </c>
      <c r="K170" s="15">
        <v>192.4</v>
      </c>
      <c r="L170" s="15">
        <v>15904846</v>
      </c>
      <c r="M170" t="s" s="13">
        <v>8976</v>
      </c>
      <c r="N170" s="15">
        <v>108458</v>
      </c>
      <c r="O170" s="17" cm="1">
        <f t="array" ref="O170">(H170-H169)/H169</f>
        <v>0.01599819738621</v>
      </c>
    </row>
    <row r="171" ht="13.65" customHeight="1">
      <c r="A171" s="12">
        <v>44533</v>
      </c>
      <c r="B171" t="s" s="13">
        <v>22</v>
      </c>
      <c r="C171" s="15">
        <v>225</v>
      </c>
      <c r="D171" s="15">
        <v>226.2</v>
      </c>
      <c r="E171" s="15">
        <v>221.35</v>
      </c>
      <c r="F171" s="15">
        <v>225.45</v>
      </c>
      <c r="G171" s="15">
        <v>221.5</v>
      </c>
      <c r="H171" s="15">
        <v>221.65</v>
      </c>
      <c r="I171" s="15">
        <v>223.15</v>
      </c>
      <c r="J171" s="15">
        <v>265.3</v>
      </c>
      <c r="K171" s="15">
        <v>192.4</v>
      </c>
      <c r="L171" s="15">
        <v>13794647</v>
      </c>
      <c r="M171" t="s" s="13">
        <v>8977</v>
      </c>
      <c r="N171" s="15">
        <v>130988</v>
      </c>
      <c r="O171" s="17" cm="1">
        <f t="array" ref="O171">(H171-H170)/H170</f>
        <v>-0.0168551785318252</v>
      </c>
    </row>
    <row r="172" ht="13.65" customHeight="1">
      <c r="A172" s="12">
        <v>44536</v>
      </c>
      <c r="B172" t="s" s="13">
        <v>22</v>
      </c>
      <c r="C172" s="15">
        <v>221.65</v>
      </c>
      <c r="D172" s="15">
        <v>222.2</v>
      </c>
      <c r="E172" s="15">
        <v>217.5</v>
      </c>
      <c r="F172" s="15">
        <v>221.65</v>
      </c>
      <c r="G172" s="15">
        <v>217.7</v>
      </c>
      <c r="H172" s="15">
        <v>217.9</v>
      </c>
      <c r="I172" s="15">
        <v>219.34</v>
      </c>
      <c r="J172" s="15">
        <v>265.3</v>
      </c>
      <c r="K172" s="15">
        <v>196.9</v>
      </c>
      <c r="L172" s="15">
        <v>13138355</v>
      </c>
      <c r="M172" t="s" s="13">
        <v>8978</v>
      </c>
      <c r="N172" s="15">
        <v>132878</v>
      </c>
      <c r="O172" s="17" cm="1">
        <f t="array" ref="O172">(H172-H171)/H171</f>
        <v>-0.0169185653056621</v>
      </c>
    </row>
    <row r="173" ht="13.65" customHeight="1">
      <c r="A173" s="12">
        <v>44537</v>
      </c>
      <c r="B173" t="s" s="13">
        <v>22</v>
      </c>
      <c r="C173" s="15">
        <v>218.9</v>
      </c>
      <c r="D173" s="15">
        <v>221.95</v>
      </c>
      <c r="E173" s="15">
        <v>218.1</v>
      </c>
      <c r="F173" s="15">
        <v>217.9</v>
      </c>
      <c r="G173" s="15">
        <v>220.7</v>
      </c>
      <c r="H173" s="15">
        <v>220.65</v>
      </c>
      <c r="I173" s="15">
        <v>219.99</v>
      </c>
      <c r="J173" s="15">
        <v>265.3</v>
      </c>
      <c r="K173" s="15">
        <v>196.9</v>
      </c>
      <c r="L173" s="15">
        <v>8903842</v>
      </c>
      <c r="M173" t="s" s="13">
        <v>8979</v>
      </c>
      <c r="N173" s="15">
        <v>99015</v>
      </c>
      <c r="O173" s="17" cm="1">
        <f t="array" ref="O173">(H173-H172)/H172</f>
        <v>0.0126204681046352</v>
      </c>
    </row>
    <row r="174" ht="13.65" customHeight="1">
      <c r="A174" s="12">
        <v>44538</v>
      </c>
      <c r="B174" t="s" s="13">
        <v>22</v>
      </c>
      <c r="C174" s="15">
        <v>221</v>
      </c>
      <c r="D174" s="15">
        <v>225.65</v>
      </c>
      <c r="E174" s="15">
        <v>221</v>
      </c>
      <c r="F174" s="15">
        <v>220.65</v>
      </c>
      <c r="G174" s="15">
        <v>224.7</v>
      </c>
      <c r="H174" s="15">
        <v>224.95</v>
      </c>
      <c r="I174" s="15">
        <v>223.46</v>
      </c>
      <c r="J174" s="15">
        <v>265.3</v>
      </c>
      <c r="K174" s="15">
        <v>196.9</v>
      </c>
      <c r="L174" s="15">
        <v>9861847</v>
      </c>
      <c r="M174" t="s" s="13">
        <v>8980</v>
      </c>
      <c r="N174" s="15">
        <v>84237</v>
      </c>
      <c r="O174" s="17" cm="1">
        <f t="array" ref="O174">(H174-H173)/H173</f>
        <v>0.0194878767278495</v>
      </c>
    </row>
    <row r="175" ht="13.65" customHeight="1">
      <c r="A175" s="12">
        <v>44539</v>
      </c>
      <c r="B175" t="s" s="13">
        <v>22</v>
      </c>
      <c r="C175" s="15">
        <v>223</v>
      </c>
      <c r="D175" s="15">
        <v>236.45</v>
      </c>
      <c r="E175" s="15">
        <v>223</v>
      </c>
      <c r="F175" s="15">
        <v>224.95</v>
      </c>
      <c r="G175" s="15">
        <v>236</v>
      </c>
      <c r="H175" s="15">
        <v>235.4</v>
      </c>
      <c r="I175" s="15">
        <v>231.46</v>
      </c>
      <c r="J175" s="15">
        <v>265.3</v>
      </c>
      <c r="K175" s="15">
        <v>196.9</v>
      </c>
      <c r="L175" s="15">
        <v>38241864</v>
      </c>
      <c r="M175" t="s" s="13">
        <v>8981</v>
      </c>
      <c r="N175" s="15">
        <v>216236</v>
      </c>
      <c r="O175" s="17" cm="1">
        <f t="array" ref="O175">(H175-H174)/H174</f>
        <v>0.0464547677261614</v>
      </c>
    </row>
    <row r="176" ht="13.65" customHeight="1">
      <c r="A176" s="18">
        <v>44540</v>
      </c>
      <c r="B176" t="s" s="13">
        <v>22</v>
      </c>
      <c r="C176" s="15">
        <v>236.2</v>
      </c>
      <c r="D176" s="15">
        <v>238.95</v>
      </c>
      <c r="E176" s="15">
        <v>233.75</v>
      </c>
      <c r="F176" s="15">
        <v>235.4</v>
      </c>
      <c r="G176" s="15">
        <v>235.9</v>
      </c>
      <c r="H176" s="15">
        <v>236.1</v>
      </c>
      <c r="I176" s="15">
        <v>236.19</v>
      </c>
      <c r="J176" s="15">
        <v>265.3</v>
      </c>
      <c r="K176" s="15">
        <v>196.9</v>
      </c>
      <c r="L176" s="15">
        <v>35162889</v>
      </c>
      <c r="M176" t="s" s="13">
        <v>8982</v>
      </c>
      <c r="N176" s="15">
        <v>246387</v>
      </c>
      <c r="O176" s="17" cm="1">
        <f t="array" ref="O176">(H176-H175)/H175</f>
        <v>0.00297366185216653</v>
      </c>
    </row>
    <row r="177" ht="13.65" customHeight="1">
      <c r="A177" s="18">
        <v>44543</v>
      </c>
      <c r="B177" t="s" s="13">
        <v>22</v>
      </c>
      <c r="C177" s="15">
        <v>238</v>
      </c>
      <c r="D177" s="15">
        <v>238.75</v>
      </c>
      <c r="E177" s="15">
        <v>234.15</v>
      </c>
      <c r="F177" s="15">
        <v>236.1</v>
      </c>
      <c r="G177" s="15">
        <v>234.7</v>
      </c>
      <c r="H177" s="15">
        <v>234.6</v>
      </c>
      <c r="I177" s="15">
        <v>236.45</v>
      </c>
      <c r="J177" s="15">
        <v>265.3</v>
      </c>
      <c r="K177" s="15">
        <v>196.9</v>
      </c>
      <c r="L177" s="15">
        <v>22054342</v>
      </c>
      <c r="M177" t="s" s="13">
        <v>8983</v>
      </c>
      <c r="N177" s="15">
        <v>154806</v>
      </c>
      <c r="O177" s="17" cm="1">
        <f t="array" ref="O177">(H177-H176)/H176</f>
        <v>-0.00635324015247776</v>
      </c>
    </row>
    <row r="178" ht="13.65" customHeight="1">
      <c r="A178" s="18">
        <v>44544</v>
      </c>
      <c r="B178" t="s" s="13">
        <v>22</v>
      </c>
      <c r="C178" s="15">
        <v>235</v>
      </c>
      <c r="D178" s="15">
        <v>237.1</v>
      </c>
      <c r="E178" s="15">
        <v>227.55</v>
      </c>
      <c r="F178" s="15">
        <v>234.6</v>
      </c>
      <c r="G178" s="15">
        <v>228.2</v>
      </c>
      <c r="H178" s="15">
        <v>228.6</v>
      </c>
      <c r="I178" s="15">
        <v>231.71</v>
      </c>
      <c r="J178" s="15">
        <v>265.3</v>
      </c>
      <c r="K178" s="15">
        <v>196.9</v>
      </c>
      <c r="L178" s="15">
        <v>37508445</v>
      </c>
      <c r="M178" t="s" s="13">
        <v>8984</v>
      </c>
      <c r="N178" s="15">
        <v>228230</v>
      </c>
      <c r="O178" s="17" cm="1">
        <f t="array" ref="O178">(H178-H177)/H177</f>
        <v>-0.0255754475703325</v>
      </c>
    </row>
    <row r="179" ht="13.65" customHeight="1">
      <c r="A179" s="18">
        <v>44545</v>
      </c>
      <c r="B179" t="s" s="13">
        <v>22</v>
      </c>
      <c r="C179" s="15">
        <v>230</v>
      </c>
      <c r="D179" s="15">
        <v>232.2</v>
      </c>
      <c r="E179" s="15">
        <v>223.4</v>
      </c>
      <c r="F179" s="15">
        <v>228.6</v>
      </c>
      <c r="G179" s="15">
        <v>223.95</v>
      </c>
      <c r="H179" s="15">
        <v>224.05</v>
      </c>
      <c r="I179" s="15">
        <v>226.31</v>
      </c>
      <c r="J179" s="15">
        <v>265.3</v>
      </c>
      <c r="K179" s="15">
        <v>196.9</v>
      </c>
      <c r="L179" s="15">
        <v>34653042</v>
      </c>
      <c r="M179" t="s" s="13">
        <v>8985</v>
      </c>
      <c r="N179" s="15">
        <v>304419</v>
      </c>
      <c r="O179" s="17" cm="1">
        <f t="array" ref="O179">(H179-H178)/H178</f>
        <v>-0.0199037620297463</v>
      </c>
    </row>
    <row r="180" ht="13.65" customHeight="1">
      <c r="A180" s="18">
        <v>44546</v>
      </c>
      <c r="B180" t="s" s="13">
        <v>22</v>
      </c>
      <c r="C180" s="15">
        <v>226</v>
      </c>
      <c r="D180" s="15">
        <v>226.15</v>
      </c>
      <c r="E180" s="15">
        <v>220.8</v>
      </c>
      <c r="F180" s="15">
        <v>224.05</v>
      </c>
      <c r="G180" s="15">
        <v>223.4</v>
      </c>
      <c r="H180" s="15">
        <v>222.9</v>
      </c>
      <c r="I180" s="15">
        <v>222.54</v>
      </c>
      <c r="J180" s="15">
        <v>265.3</v>
      </c>
      <c r="K180" s="15">
        <v>196.9</v>
      </c>
      <c r="L180" s="15">
        <v>24199205</v>
      </c>
      <c r="M180" t="s" s="13">
        <v>8986</v>
      </c>
      <c r="N180" s="15">
        <v>177983</v>
      </c>
      <c r="O180" s="17" cm="1">
        <f t="array" ref="O180">(H180-H179)/H179</f>
        <v>-0.00513278286096853</v>
      </c>
    </row>
    <row r="181" ht="13.65" customHeight="1">
      <c r="A181" s="18">
        <v>44547</v>
      </c>
      <c r="B181" t="s" s="13">
        <v>22</v>
      </c>
      <c r="C181" s="15">
        <v>222.8</v>
      </c>
      <c r="D181" s="15">
        <v>222.85</v>
      </c>
      <c r="E181" s="15">
        <v>216.75</v>
      </c>
      <c r="F181" s="15">
        <v>222.9</v>
      </c>
      <c r="G181" s="15">
        <v>218.1</v>
      </c>
      <c r="H181" s="15">
        <v>217.95</v>
      </c>
      <c r="I181" s="15">
        <v>219.44</v>
      </c>
      <c r="J181" s="15">
        <v>265.3</v>
      </c>
      <c r="K181" s="15">
        <v>196.9</v>
      </c>
      <c r="L181" s="15">
        <v>29683982</v>
      </c>
      <c r="M181" t="s" s="13">
        <v>8987</v>
      </c>
      <c r="N181" s="15">
        <v>191038</v>
      </c>
      <c r="O181" s="17" cm="1">
        <f t="array" ref="O181">(H181-H180)/H180</f>
        <v>-0.022207267833109</v>
      </c>
    </row>
    <row r="182" ht="13.65" customHeight="1">
      <c r="A182" s="18">
        <v>44550</v>
      </c>
      <c r="B182" t="s" s="13">
        <v>22</v>
      </c>
      <c r="C182" s="15">
        <v>216.25</v>
      </c>
      <c r="D182" s="15">
        <v>216.25</v>
      </c>
      <c r="E182" s="15">
        <v>209.8</v>
      </c>
      <c r="F182" s="15">
        <v>217.95</v>
      </c>
      <c r="G182" s="15">
        <v>212.5</v>
      </c>
      <c r="H182" s="15">
        <v>212.4</v>
      </c>
      <c r="I182" s="15">
        <v>212.17</v>
      </c>
      <c r="J182" s="15">
        <v>265.3</v>
      </c>
      <c r="K182" s="15">
        <v>196.9</v>
      </c>
      <c r="L182" s="15">
        <v>37340790</v>
      </c>
      <c r="M182" t="s" s="13">
        <v>8988</v>
      </c>
      <c r="N182" s="15">
        <v>227969</v>
      </c>
      <c r="O182" s="17" cm="1">
        <f t="array" ref="O182">(H182-H181)/H181</f>
        <v>-0.0254645560908465</v>
      </c>
    </row>
    <row r="183" ht="13.65" customHeight="1">
      <c r="A183" s="18">
        <v>44551</v>
      </c>
      <c r="B183" t="s" s="13">
        <v>22</v>
      </c>
      <c r="C183" s="15">
        <v>214</v>
      </c>
      <c r="D183" s="15">
        <v>215.45</v>
      </c>
      <c r="E183" s="15">
        <v>211.05</v>
      </c>
      <c r="F183" s="15">
        <v>212.4</v>
      </c>
      <c r="G183" s="15">
        <v>212.5</v>
      </c>
      <c r="H183" s="15">
        <v>212.5</v>
      </c>
      <c r="I183" s="15">
        <v>213.34</v>
      </c>
      <c r="J183" s="15">
        <v>265.3</v>
      </c>
      <c r="K183" s="15">
        <v>196.9</v>
      </c>
      <c r="L183" s="15">
        <v>19395604</v>
      </c>
      <c r="M183" t="s" s="13">
        <v>8989</v>
      </c>
      <c r="N183" s="15">
        <v>171292</v>
      </c>
      <c r="O183" s="17" cm="1">
        <f t="array" ref="O183">(H183-H182)/H182</f>
        <v>0.000470809792843691</v>
      </c>
    </row>
    <row r="184" ht="13.65" customHeight="1">
      <c r="A184" s="18">
        <v>44552</v>
      </c>
      <c r="B184" t="s" s="13">
        <v>22</v>
      </c>
      <c r="C184" s="15">
        <v>214</v>
      </c>
      <c r="D184" s="15">
        <v>214.2</v>
      </c>
      <c r="E184" s="15">
        <v>211.1</v>
      </c>
      <c r="F184" s="15">
        <v>212.5</v>
      </c>
      <c r="G184" s="15">
        <v>212.3</v>
      </c>
      <c r="H184" s="15">
        <v>212</v>
      </c>
      <c r="I184" s="15">
        <v>212.19</v>
      </c>
      <c r="J184" s="15">
        <v>265.3</v>
      </c>
      <c r="K184" s="15">
        <v>196.9</v>
      </c>
      <c r="L184" s="15">
        <v>17239484</v>
      </c>
      <c r="M184" t="s" s="13">
        <v>8990</v>
      </c>
      <c r="N184" s="15">
        <v>129572</v>
      </c>
      <c r="O184" s="17" cm="1">
        <f t="array" ref="O184">(H184-H183)/H183</f>
        <v>-0.00235294117647059</v>
      </c>
    </row>
    <row r="185" ht="13.65" customHeight="1">
      <c r="A185" s="18">
        <v>44553</v>
      </c>
      <c r="B185" t="s" s="13">
        <v>22</v>
      </c>
      <c r="C185" s="15">
        <v>213.9</v>
      </c>
      <c r="D185" s="15">
        <v>218.45</v>
      </c>
      <c r="E185" s="15">
        <v>213.2</v>
      </c>
      <c r="F185" s="15">
        <v>212</v>
      </c>
      <c r="G185" s="15">
        <v>217.4</v>
      </c>
      <c r="H185" s="15">
        <v>217.3</v>
      </c>
      <c r="I185" s="15">
        <v>216.7</v>
      </c>
      <c r="J185" s="15">
        <v>265.3</v>
      </c>
      <c r="K185" s="15">
        <v>196.9</v>
      </c>
      <c r="L185" s="15">
        <v>22209720</v>
      </c>
      <c r="M185" t="s" s="13">
        <v>8991</v>
      </c>
      <c r="N185" s="15">
        <v>156292</v>
      </c>
      <c r="O185" s="17" cm="1">
        <f t="array" ref="O185">(H185-H184)/H184</f>
        <v>0.025</v>
      </c>
    </row>
    <row r="186" ht="13.65" customHeight="1">
      <c r="A186" s="18">
        <v>44554</v>
      </c>
      <c r="B186" t="s" s="13">
        <v>22</v>
      </c>
      <c r="C186" s="15">
        <v>218</v>
      </c>
      <c r="D186" s="15">
        <v>220.45</v>
      </c>
      <c r="E186" s="15">
        <v>216.45</v>
      </c>
      <c r="F186" s="15">
        <v>217.3</v>
      </c>
      <c r="G186" s="15">
        <v>218</v>
      </c>
      <c r="H186" s="15">
        <v>218</v>
      </c>
      <c r="I186" s="15">
        <v>218.36</v>
      </c>
      <c r="J186" s="15">
        <v>265.3</v>
      </c>
      <c r="K186" s="15">
        <v>196.9</v>
      </c>
      <c r="L186" s="15">
        <v>16581585</v>
      </c>
      <c r="M186" t="s" s="13">
        <v>8992</v>
      </c>
      <c r="N186" s="15">
        <v>103848</v>
      </c>
      <c r="O186" s="17" cm="1">
        <f t="array" ref="O186">(H186-H185)/H185</f>
        <v>0.00322135296824666</v>
      </c>
    </row>
    <row r="187" ht="13.65" customHeight="1">
      <c r="A187" s="18">
        <v>44557</v>
      </c>
      <c r="B187" t="s" s="13">
        <v>22</v>
      </c>
      <c r="C187" s="15">
        <v>218.4</v>
      </c>
      <c r="D187" s="15">
        <v>218.45</v>
      </c>
      <c r="E187" s="15">
        <v>215.65</v>
      </c>
      <c r="F187" s="15">
        <v>218</v>
      </c>
      <c r="G187" s="15">
        <v>217.7</v>
      </c>
      <c r="H187" s="15">
        <v>217.55</v>
      </c>
      <c r="I187" s="15">
        <v>217.19</v>
      </c>
      <c r="J187" s="15">
        <v>265.3</v>
      </c>
      <c r="K187" s="15">
        <v>199.1</v>
      </c>
      <c r="L187" s="15">
        <v>8153106</v>
      </c>
      <c r="M187" t="s" s="13">
        <v>8993</v>
      </c>
      <c r="N187" s="15">
        <v>77113</v>
      </c>
      <c r="O187" s="17" cm="1">
        <f t="array" ref="O187">(H187-H186)/H186</f>
        <v>-0.00206422018348624</v>
      </c>
    </row>
    <row r="188" ht="13.65" customHeight="1">
      <c r="A188" s="18">
        <v>44558</v>
      </c>
      <c r="B188" t="s" s="13">
        <v>22</v>
      </c>
      <c r="C188" s="15">
        <v>218</v>
      </c>
      <c r="D188" s="15">
        <v>220.6</v>
      </c>
      <c r="E188" s="15">
        <v>218</v>
      </c>
      <c r="F188" s="15">
        <v>217.55</v>
      </c>
      <c r="G188" s="15">
        <v>219.8</v>
      </c>
      <c r="H188" s="15">
        <v>220.05</v>
      </c>
      <c r="I188" s="15">
        <v>219.63</v>
      </c>
      <c r="J188" s="15">
        <v>265.3</v>
      </c>
      <c r="K188" s="15">
        <v>199.1</v>
      </c>
      <c r="L188" s="15">
        <v>11568803</v>
      </c>
      <c r="M188" t="s" s="13">
        <v>8994</v>
      </c>
      <c r="N188" s="15">
        <v>86204</v>
      </c>
      <c r="O188" s="17" cm="1">
        <f t="array" ref="O188">(H188-H187)/H187</f>
        <v>0.0114916111238796</v>
      </c>
    </row>
    <row r="189" ht="13.65" customHeight="1">
      <c r="A189" s="18">
        <v>44559</v>
      </c>
      <c r="B189" t="s" s="13">
        <v>22</v>
      </c>
      <c r="C189" s="15">
        <v>220</v>
      </c>
      <c r="D189" s="15">
        <v>220.3</v>
      </c>
      <c r="E189" s="15">
        <v>216.3</v>
      </c>
      <c r="F189" s="15">
        <v>220.05</v>
      </c>
      <c r="G189" s="15">
        <v>216.6</v>
      </c>
      <c r="H189" s="15">
        <v>216.75</v>
      </c>
      <c r="I189" s="15">
        <v>217.75</v>
      </c>
      <c r="J189" s="15">
        <v>265.3</v>
      </c>
      <c r="K189" s="15">
        <v>199.1</v>
      </c>
      <c r="L189" s="15">
        <v>11480954</v>
      </c>
      <c r="M189" t="s" s="13">
        <v>8995</v>
      </c>
      <c r="N189" s="15">
        <v>100463</v>
      </c>
      <c r="O189" s="17" cm="1">
        <f t="array" ref="O189">(H189-H188)/H188</f>
        <v>-0.0149965916837082</v>
      </c>
    </row>
    <row r="190" ht="13.65" customHeight="1">
      <c r="A190" s="18">
        <v>44560</v>
      </c>
      <c r="B190" t="s" s="13">
        <v>22</v>
      </c>
      <c r="C190" s="15">
        <v>216.6</v>
      </c>
      <c r="D190" s="15">
        <v>217.9</v>
      </c>
      <c r="E190" s="15">
        <v>215.5</v>
      </c>
      <c r="F190" s="15">
        <v>216.75</v>
      </c>
      <c r="G190" s="15">
        <v>216.45</v>
      </c>
      <c r="H190" s="15">
        <v>216</v>
      </c>
      <c r="I190" s="15">
        <v>216.49</v>
      </c>
      <c r="J190" s="15">
        <v>265.3</v>
      </c>
      <c r="K190" s="15">
        <v>199.1</v>
      </c>
      <c r="L190" s="15">
        <v>9741198</v>
      </c>
      <c r="M190" t="s" s="13">
        <v>8996</v>
      </c>
      <c r="N190" s="15">
        <v>81763</v>
      </c>
      <c r="O190" s="17" cm="1">
        <f t="array" ref="O190">(H190-H189)/H189</f>
        <v>-0.00346020761245675</v>
      </c>
    </row>
    <row r="191" ht="13.65" customHeight="1">
      <c r="A191" s="18">
        <v>44561</v>
      </c>
      <c r="B191" t="s" s="13">
        <v>22</v>
      </c>
      <c r="C191" s="15">
        <v>216.9</v>
      </c>
      <c r="D191" s="15">
        <v>218.8</v>
      </c>
      <c r="E191" s="15">
        <v>216.15</v>
      </c>
      <c r="F191" s="15">
        <v>216</v>
      </c>
      <c r="G191" s="15">
        <v>218</v>
      </c>
      <c r="H191" s="15">
        <v>218.05</v>
      </c>
      <c r="I191" s="15">
        <v>217.96</v>
      </c>
      <c r="J191" s="15">
        <v>265.3</v>
      </c>
      <c r="K191" s="15">
        <v>199.1</v>
      </c>
      <c r="L191" s="15">
        <v>7583815</v>
      </c>
      <c r="M191" t="s" s="13">
        <v>8997</v>
      </c>
      <c r="N191" s="15">
        <v>73078</v>
      </c>
      <c r="O191" s="17" cm="1">
        <f t="array" ref="O191">(H191-H190)/H190</f>
        <v>0.009490740740740741</v>
      </c>
    </row>
    <row r="192" ht="13.65" customHeight="1">
      <c r="A192" s="12">
        <v>44564</v>
      </c>
      <c r="B192" t="s" s="13">
        <v>22</v>
      </c>
      <c r="C192" s="15">
        <v>218.05</v>
      </c>
      <c r="D192" s="15">
        <v>219.85</v>
      </c>
      <c r="E192" s="15">
        <v>217.05</v>
      </c>
      <c r="F192" s="15">
        <v>218.05</v>
      </c>
      <c r="G192" s="15">
        <v>219.1</v>
      </c>
      <c r="H192" s="15">
        <v>219.1</v>
      </c>
      <c r="I192" s="15">
        <v>218.68</v>
      </c>
      <c r="J192" s="15">
        <v>265.3</v>
      </c>
      <c r="K192" s="15">
        <v>199.1</v>
      </c>
      <c r="L192" s="15">
        <v>7765495</v>
      </c>
      <c r="M192" t="s" s="13">
        <v>8998</v>
      </c>
      <c r="N192" s="15">
        <v>90982</v>
      </c>
      <c r="O192" s="17" cm="1">
        <f t="array" ref="O192">(H192-H191)/H191</f>
        <v>0.00481540930979133</v>
      </c>
    </row>
    <row r="193" ht="13.65" customHeight="1">
      <c r="A193" s="12">
        <v>44565</v>
      </c>
      <c r="B193" t="s" s="13">
        <v>22</v>
      </c>
      <c r="C193" s="15">
        <v>219.5</v>
      </c>
      <c r="D193" s="15">
        <v>221.7</v>
      </c>
      <c r="E193" s="15">
        <v>219.05</v>
      </c>
      <c r="F193" s="15">
        <v>219.1</v>
      </c>
      <c r="G193" s="15">
        <v>219.8</v>
      </c>
      <c r="H193" s="15">
        <v>220.25</v>
      </c>
      <c r="I193" s="15">
        <v>220.23</v>
      </c>
      <c r="J193" s="15">
        <v>265.3</v>
      </c>
      <c r="K193" s="15">
        <v>199.1</v>
      </c>
      <c r="L193" s="15">
        <v>9050253</v>
      </c>
      <c r="M193" t="s" s="13">
        <v>8999</v>
      </c>
      <c r="N193" s="15">
        <v>74888</v>
      </c>
      <c r="O193" s="17" cm="1">
        <f t="array" ref="O193">(H193-H192)/H192</f>
        <v>0.00524874486535828</v>
      </c>
    </row>
    <row r="194" ht="13.65" customHeight="1">
      <c r="A194" s="12">
        <v>44566</v>
      </c>
      <c r="B194" t="s" s="13">
        <v>22</v>
      </c>
      <c r="C194" s="15">
        <v>219.65</v>
      </c>
      <c r="D194" s="15">
        <v>221.5</v>
      </c>
      <c r="E194" s="15">
        <v>218.65</v>
      </c>
      <c r="F194" s="15">
        <v>220.25</v>
      </c>
      <c r="G194" s="15">
        <v>220.35</v>
      </c>
      <c r="H194" s="15">
        <v>220.55</v>
      </c>
      <c r="I194" s="15">
        <v>220.27</v>
      </c>
      <c r="J194" s="15">
        <v>265.3</v>
      </c>
      <c r="K194" s="15">
        <v>199.1</v>
      </c>
      <c r="L194" s="15">
        <v>11230588</v>
      </c>
      <c r="M194" t="s" s="13">
        <v>9000</v>
      </c>
      <c r="N194" s="15">
        <v>87423</v>
      </c>
      <c r="O194" s="17" cm="1">
        <f t="array" ref="O194">(H194-H193)/H193</f>
        <v>0.00136208853575482</v>
      </c>
    </row>
    <row r="195" ht="13.65" customHeight="1">
      <c r="A195" s="12">
        <v>44567</v>
      </c>
      <c r="B195" t="s" s="13">
        <v>22</v>
      </c>
      <c r="C195" s="15">
        <v>219</v>
      </c>
      <c r="D195" s="15">
        <v>220.4</v>
      </c>
      <c r="E195" s="15">
        <v>218.2</v>
      </c>
      <c r="F195" s="15">
        <v>220.55</v>
      </c>
      <c r="G195" s="15">
        <v>218.75</v>
      </c>
      <c r="H195" s="15">
        <v>218.7</v>
      </c>
      <c r="I195" s="15">
        <v>218.75</v>
      </c>
      <c r="J195" s="15">
        <v>265.3</v>
      </c>
      <c r="K195" s="15">
        <v>199.1</v>
      </c>
      <c r="L195" s="15">
        <v>8950589</v>
      </c>
      <c r="M195" t="s" s="13">
        <v>9001</v>
      </c>
      <c r="N195" s="15">
        <v>81908</v>
      </c>
      <c r="O195" s="17" cm="1">
        <f t="array" ref="O195">(H195-H194)/H194</f>
        <v>-0.008388120607571979</v>
      </c>
    </row>
    <row r="196" ht="13.65" customHeight="1">
      <c r="A196" s="12">
        <v>44568</v>
      </c>
      <c r="B196" t="s" s="13">
        <v>22</v>
      </c>
      <c r="C196" s="15">
        <v>219.8</v>
      </c>
      <c r="D196" s="15">
        <v>220.65</v>
      </c>
      <c r="E196" s="15">
        <v>217.5</v>
      </c>
      <c r="F196" s="15">
        <v>218.7</v>
      </c>
      <c r="G196" s="15">
        <v>218.45</v>
      </c>
      <c r="H196" s="15">
        <v>218.4</v>
      </c>
      <c r="I196" s="15">
        <v>218.9</v>
      </c>
      <c r="J196" s="15">
        <v>265.3</v>
      </c>
      <c r="K196" s="15">
        <v>199.1</v>
      </c>
      <c r="L196" s="15">
        <v>8855041</v>
      </c>
      <c r="M196" t="s" s="13">
        <v>9002</v>
      </c>
      <c r="N196" s="15">
        <v>81330</v>
      </c>
      <c r="O196" s="17" cm="1">
        <f t="array" ref="O196">(H196-H195)/H195</f>
        <v>-0.00137174211248285</v>
      </c>
    </row>
    <row r="197" ht="13.65" customHeight="1">
      <c r="A197" s="18">
        <v>44571</v>
      </c>
      <c r="B197" t="s" s="13">
        <v>22</v>
      </c>
      <c r="C197" s="15">
        <v>219.9</v>
      </c>
      <c r="D197" s="15">
        <v>224.7</v>
      </c>
      <c r="E197" s="15">
        <v>218.9</v>
      </c>
      <c r="F197" s="15">
        <v>218.4</v>
      </c>
      <c r="G197" s="15">
        <v>223.3</v>
      </c>
      <c r="H197" s="15">
        <v>223.3</v>
      </c>
      <c r="I197" s="15">
        <v>222.88</v>
      </c>
      <c r="J197" s="15">
        <v>265.3</v>
      </c>
      <c r="K197" s="15">
        <v>199.1</v>
      </c>
      <c r="L197" s="15">
        <v>15841299</v>
      </c>
      <c r="M197" t="s" s="13">
        <v>9003</v>
      </c>
      <c r="N197" s="15">
        <v>121707</v>
      </c>
      <c r="O197" s="17" cm="1">
        <f t="array" ref="O197">(H197-H196)/H196</f>
        <v>0.0224358974358974</v>
      </c>
    </row>
    <row r="198" ht="13.65" customHeight="1">
      <c r="A198" s="18">
        <v>44572</v>
      </c>
      <c r="B198" t="s" s="13">
        <v>22</v>
      </c>
      <c r="C198" s="15">
        <v>223.35</v>
      </c>
      <c r="D198" s="15">
        <v>224.25</v>
      </c>
      <c r="E198" s="15">
        <v>221.2</v>
      </c>
      <c r="F198" s="15">
        <v>223.3</v>
      </c>
      <c r="G198" s="15">
        <v>222</v>
      </c>
      <c r="H198" s="15">
        <v>221.95</v>
      </c>
      <c r="I198" s="15">
        <v>222.43</v>
      </c>
      <c r="J198" s="15">
        <v>265.3</v>
      </c>
      <c r="K198" s="15">
        <v>199.1</v>
      </c>
      <c r="L198" s="15">
        <v>8020695</v>
      </c>
      <c r="M198" t="s" s="13">
        <v>9004</v>
      </c>
      <c r="N198" s="15">
        <v>97475</v>
      </c>
      <c r="O198" s="17" cm="1">
        <f t="array" ref="O198">(H198-H197)/H197</f>
        <v>-0.00604567845947156</v>
      </c>
    </row>
    <row r="199" ht="13.65" customHeight="1">
      <c r="A199" s="18">
        <v>44573</v>
      </c>
      <c r="B199" t="s" s="13">
        <v>22</v>
      </c>
      <c r="C199" s="15">
        <v>222.5</v>
      </c>
      <c r="D199" s="15">
        <v>223.65</v>
      </c>
      <c r="E199" s="15">
        <v>221.6</v>
      </c>
      <c r="F199" s="15">
        <v>221.95</v>
      </c>
      <c r="G199" s="15">
        <v>222.5</v>
      </c>
      <c r="H199" s="15">
        <v>222.75</v>
      </c>
      <c r="I199" s="15">
        <v>222.71</v>
      </c>
      <c r="J199" s="15">
        <v>265.3</v>
      </c>
      <c r="K199" s="15">
        <v>199.1</v>
      </c>
      <c r="L199" s="15">
        <v>13158894</v>
      </c>
      <c r="M199" t="s" s="13">
        <v>9005</v>
      </c>
      <c r="N199" s="15">
        <v>89408</v>
      </c>
      <c r="O199" s="17" cm="1">
        <f t="array" ref="O199">(H199-H198)/H198</f>
        <v>0.00360441540887587</v>
      </c>
    </row>
    <row r="200" ht="13.65" customHeight="1">
      <c r="A200" s="18">
        <v>44574</v>
      </c>
      <c r="B200" t="s" s="13">
        <v>22</v>
      </c>
      <c r="C200" s="15">
        <v>223.9</v>
      </c>
      <c r="D200" s="15">
        <v>225.8</v>
      </c>
      <c r="E200" s="15">
        <v>222.75</v>
      </c>
      <c r="F200" s="15">
        <v>222.75</v>
      </c>
      <c r="G200" s="15">
        <v>223.9</v>
      </c>
      <c r="H200" s="15">
        <v>223.95</v>
      </c>
      <c r="I200" s="15">
        <v>223.92</v>
      </c>
      <c r="J200" s="15">
        <v>265.3</v>
      </c>
      <c r="K200" s="15">
        <v>199.1</v>
      </c>
      <c r="L200" s="15">
        <v>11501088</v>
      </c>
      <c r="M200" t="s" s="13">
        <v>9006</v>
      </c>
      <c r="N200" s="15">
        <v>128264</v>
      </c>
      <c r="O200" s="17" cm="1">
        <f t="array" ref="O200">(H200-H199)/H199</f>
        <v>0.00538720538720539</v>
      </c>
    </row>
    <row r="201" ht="13.65" customHeight="1">
      <c r="A201" s="18">
        <v>44575</v>
      </c>
      <c r="B201" t="s" s="13">
        <v>22</v>
      </c>
      <c r="C201" s="15">
        <v>223.95</v>
      </c>
      <c r="D201" s="15">
        <v>224.8</v>
      </c>
      <c r="E201" s="15">
        <v>222.3</v>
      </c>
      <c r="F201" s="15">
        <v>223.95</v>
      </c>
      <c r="G201" s="15">
        <v>222.9</v>
      </c>
      <c r="H201" s="15">
        <v>222.6</v>
      </c>
      <c r="I201" s="15">
        <v>223.49</v>
      </c>
      <c r="J201" s="15">
        <v>265.3</v>
      </c>
      <c r="K201" s="15">
        <v>199.1</v>
      </c>
      <c r="L201" s="15">
        <v>10569725</v>
      </c>
      <c r="M201" t="s" s="13">
        <v>9007</v>
      </c>
      <c r="N201" s="15">
        <v>84726</v>
      </c>
      <c r="O201" s="17" cm="1">
        <f t="array" ref="O201">(H201-H200)/H200</f>
        <v>-0.00602813127930342</v>
      </c>
    </row>
    <row r="202" ht="13.65" customHeight="1">
      <c r="A202" s="18">
        <v>44578</v>
      </c>
      <c r="B202" t="s" s="13">
        <v>22</v>
      </c>
      <c r="C202" s="15">
        <v>222.6</v>
      </c>
      <c r="D202" s="15">
        <v>225.6</v>
      </c>
      <c r="E202" s="15">
        <v>221.35</v>
      </c>
      <c r="F202" s="15">
        <v>222.6</v>
      </c>
      <c r="G202" s="15">
        <v>224.75</v>
      </c>
      <c r="H202" s="15">
        <v>224.6</v>
      </c>
      <c r="I202" s="15">
        <v>223.95</v>
      </c>
      <c r="J202" s="15">
        <v>265.3</v>
      </c>
      <c r="K202" s="15">
        <v>199.1</v>
      </c>
      <c r="L202" s="15">
        <v>12318313</v>
      </c>
      <c r="M202" t="s" s="13">
        <v>9008</v>
      </c>
      <c r="N202" s="15">
        <v>86056</v>
      </c>
      <c r="O202" s="17" cm="1">
        <f t="array" ref="O202">(H202-H201)/H201</f>
        <v>0.00898472596585804</v>
      </c>
    </row>
    <row r="203" ht="13.65" customHeight="1">
      <c r="A203" s="18">
        <v>44579</v>
      </c>
      <c r="B203" t="s" s="13">
        <v>22</v>
      </c>
      <c r="C203" s="15">
        <v>224.6</v>
      </c>
      <c r="D203" s="15">
        <v>227.3</v>
      </c>
      <c r="E203" s="15">
        <v>220.3</v>
      </c>
      <c r="F203" s="15">
        <v>224.6</v>
      </c>
      <c r="G203" s="15">
        <v>220.6</v>
      </c>
      <c r="H203" s="15">
        <v>220.75</v>
      </c>
      <c r="I203" s="15">
        <v>223.59</v>
      </c>
      <c r="J203" s="15">
        <v>265.3</v>
      </c>
      <c r="K203" s="15">
        <v>199.1</v>
      </c>
      <c r="L203" s="15">
        <v>14394097</v>
      </c>
      <c r="M203" t="s" s="13">
        <v>9009</v>
      </c>
      <c r="N203" s="15">
        <v>119118</v>
      </c>
      <c r="O203" s="17" cm="1">
        <f t="array" ref="O203">(H203-H202)/H202</f>
        <v>-0.0171415850400712</v>
      </c>
    </row>
    <row r="204" ht="13.65" customHeight="1">
      <c r="A204" s="18">
        <v>44580</v>
      </c>
      <c r="B204" t="s" s="13">
        <v>22</v>
      </c>
      <c r="C204" s="15">
        <v>220.75</v>
      </c>
      <c r="D204" s="15">
        <v>222.4</v>
      </c>
      <c r="E204" s="15">
        <v>218.7</v>
      </c>
      <c r="F204" s="15">
        <v>220.75</v>
      </c>
      <c r="G204" s="15">
        <v>220.4</v>
      </c>
      <c r="H204" s="15">
        <v>220.35</v>
      </c>
      <c r="I204" s="15">
        <v>220.28</v>
      </c>
      <c r="J204" s="15">
        <v>265.3</v>
      </c>
      <c r="K204" s="15">
        <v>199.1</v>
      </c>
      <c r="L204" s="15">
        <v>11473796</v>
      </c>
      <c r="M204" t="s" s="13">
        <v>9010</v>
      </c>
      <c r="N204" s="15">
        <v>87833</v>
      </c>
      <c r="O204" s="17" cm="1">
        <f t="array" ref="O204">(H204-H203)/H203</f>
        <v>-0.00181200453001133</v>
      </c>
    </row>
    <row r="205" ht="13.65" customHeight="1">
      <c r="A205" s="18">
        <v>44581</v>
      </c>
      <c r="B205" t="s" s="13">
        <v>22</v>
      </c>
      <c r="C205" s="15">
        <v>220.55</v>
      </c>
      <c r="D205" s="15">
        <v>222.15</v>
      </c>
      <c r="E205" s="15">
        <v>218</v>
      </c>
      <c r="F205" s="15">
        <v>220.35</v>
      </c>
      <c r="G205" s="15">
        <v>219.1</v>
      </c>
      <c r="H205" s="15">
        <v>218.75</v>
      </c>
      <c r="I205" s="15">
        <v>219.95</v>
      </c>
      <c r="J205" s="15">
        <v>265.3</v>
      </c>
      <c r="K205" s="15">
        <v>199.1</v>
      </c>
      <c r="L205" s="15">
        <v>17329896</v>
      </c>
      <c r="M205" t="s" s="13">
        <v>9011</v>
      </c>
      <c r="N205" s="15">
        <v>131195</v>
      </c>
      <c r="O205" s="17" cm="1">
        <f t="array" ref="O205">(H205-H204)/H204</f>
        <v>-0.00726117540276832</v>
      </c>
    </row>
    <row r="206" ht="13.65" customHeight="1">
      <c r="A206" s="18">
        <v>44582</v>
      </c>
      <c r="B206" t="s" s="13">
        <v>22</v>
      </c>
      <c r="C206" s="15">
        <v>218.5</v>
      </c>
      <c r="D206" s="15">
        <v>220.5</v>
      </c>
      <c r="E206" s="15">
        <v>216</v>
      </c>
      <c r="F206" s="15">
        <v>218.75</v>
      </c>
      <c r="G206" s="15">
        <v>217.3</v>
      </c>
      <c r="H206" s="15">
        <v>217.05</v>
      </c>
      <c r="I206" s="15">
        <v>218.4</v>
      </c>
      <c r="J206" s="15">
        <v>265.3</v>
      </c>
      <c r="K206" s="15">
        <v>199.1</v>
      </c>
      <c r="L206" s="15">
        <v>16586264</v>
      </c>
      <c r="M206" t="s" s="13">
        <v>9012</v>
      </c>
      <c r="N206" s="15">
        <v>127609</v>
      </c>
      <c r="O206" s="17" cm="1">
        <f t="array" ref="O206">(H206-H205)/H205</f>
        <v>-0.00777142857142857</v>
      </c>
    </row>
    <row r="207" ht="13.65" customHeight="1">
      <c r="A207" s="18">
        <v>44585</v>
      </c>
      <c r="B207" t="s" s="13">
        <v>22</v>
      </c>
      <c r="C207" s="15">
        <v>217.05</v>
      </c>
      <c r="D207" s="15">
        <v>217.75</v>
      </c>
      <c r="E207" s="15">
        <v>210.9</v>
      </c>
      <c r="F207" s="15">
        <v>217.05</v>
      </c>
      <c r="G207" s="15">
        <v>211.65</v>
      </c>
      <c r="H207" s="15">
        <v>211.8</v>
      </c>
      <c r="I207" s="15">
        <v>213.4</v>
      </c>
      <c r="J207" s="15">
        <v>265.3</v>
      </c>
      <c r="K207" s="15">
        <v>199.1</v>
      </c>
      <c r="L207" s="15">
        <v>17354942</v>
      </c>
      <c r="M207" t="s" s="13">
        <v>9013</v>
      </c>
      <c r="N207" s="15">
        <v>169142</v>
      </c>
      <c r="O207" s="17" cm="1">
        <f t="array" ref="O207">(H207-H206)/H206</f>
        <v>-0.0241879751209399</v>
      </c>
    </row>
    <row r="208" ht="13.65" customHeight="1">
      <c r="A208" s="18">
        <v>44586</v>
      </c>
      <c r="B208" t="s" s="13">
        <v>22</v>
      </c>
      <c r="C208" s="15">
        <v>212</v>
      </c>
      <c r="D208" s="15">
        <v>214.7</v>
      </c>
      <c r="E208" s="15">
        <v>209.55</v>
      </c>
      <c r="F208" s="15">
        <v>211.8</v>
      </c>
      <c r="G208" s="15">
        <v>214.05</v>
      </c>
      <c r="H208" s="15">
        <v>214.3</v>
      </c>
      <c r="I208" s="15">
        <v>212.33</v>
      </c>
      <c r="J208" s="15">
        <v>265.3</v>
      </c>
      <c r="K208" s="15">
        <v>199.1</v>
      </c>
      <c r="L208" s="15">
        <v>18322935</v>
      </c>
      <c r="M208" t="s" s="13">
        <v>9014</v>
      </c>
      <c r="N208" s="15">
        <v>172743</v>
      </c>
      <c r="O208" s="17" cm="1">
        <f t="array" ref="O208">(H208-H207)/H207</f>
        <v>0.0118035882908404</v>
      </c>
    </row>
    <row r="209" ht="13.65" customHeight="1">
      <c r="A209" s="18">
        <v>44588</v>
      </c>
      <c r="B209" t="s" s="13">
        <v>22</v>
      </c>
      <c r="C209" s="15">
        <v>211.25</v>
      </c>
      <c r="D209" s="15">
        <v>215.5</v>
      </c>
      <c r="E209" s="15">
        <v>211.1</v>
      </c>
      <c r="F209" s="15">
        <v>214.3</v>
      </c>
      <c r="G209" s="15">
        <v>215.35</v>
      </c>
      <c r="H209" s="15">
        <v>214.6</v>
      </c>
      <c r="I209" s="15">
        <v>213.17</v>
      </c>
      <c r="J209" s="15">
        <v>265.3</v>
      </c>
      <c r="K209" s="15">
        <v>199.1</v>
      </c>
      <c r="L209" s="15">
        <v>23149684</v>
      </c>
      <c r="M209" t="s" s="13">
        <v>9015</v>
      </c>
      <c r="N209" s="15">
        <v>200471</v>
      </c>
      <c r="O209" s="17" cm="1">
        <f t="array" ref="O209">(H209-H208)/H208</f>
        <v>0.00139990667288847</v>
      </c>
    </row>
    <row r="210" ht="13.65" customHeight="1">
      <c r="A210" s="18">
        <v>44589</v>
      </c>
      <c r="B210" t="s" s="13">
        <v>22</v>
      </c>
      <c r="C210" s="15">
        <v>215.1</v>
      </c>
      <c r="D210" s="15">
        <v>219.25</v>
      </c>
      <c r="E210" s="15">
        <v>215.1</v>
      </c>
      <c r="F210" s="15">
        <v>214.6</v>
      </c>
      <c r="G210" s="15">
        <v>217.5</v>
      </c>
      <c r="H210" s="15">
        <v>217.6</v>
      </c>
      <c r="I210" s="15">
        <v>218.12</v>
      </c>
      <c r="J210" s="15">
        <v>265.3</v>
      </c>
      <c r="K210" s="15">
        <v>199.1</v>
      </c>
      <c r="L210" s="15">
        <v>15276991</v>
      </c>
      <c r="M210" t="s" s="13">
        <v>9016</v>
      </c>
      <c r="N210" s="15">
        <v>113395</v>
      </c>
      <c r="O210" s="17" cm="1">
        <f t="array" ref="O210">(H210-H209)/H209</f>
        <v>0.0139794967381174</v>
      </c>
    </row>
    <row r="211" ht="13.65" customHeight="1">
      <c r="A211" s="18">
        <v>44592</v>
      </c>
      <c r="B211" t="s" s="13">
        <v>22</v>
      </c>
      <c r="C211" s="15">
        <v>218.5</v>
      </c>
      <c r="D211" s="15">
        <v>220.75</v>
      </c>
      <c r="E211" s="15">
        <v>217.1</v>
      </c>
      <c r="F211" s="15">
        <v>217.6</v>
      </c>
      <c r="G211" s="15">
        <v>220</v>
      </c>
      <c r="H211" s="15">
        <v>220.2</v>
      </c>
      <c r="I211" s="15">
        <v>218.95</v>
      </c>
      <c r="J211" s="15">
        <v>265.3</v>
      </c>
      <c r="K211" s="15">
        <v>199.1</v>
      </c>
      <c r="L211" s="15">
        <v>15039006</v>
      </c>
      <c r="M211" t="s" s="13">
        <v>9017</v>
      </c>
      <c r="N211" s="15">
        <v>147611</v>
      </c>
      <c r="O211" s="17" cm="1">
        <f t="array" ref="O211">(H211-H210)/H210</f>
        <v>0.0119485294117647</v>
      </c>
    </row>
    <row r="212" ht="13.65" customHeight="1">
      <c r="A212" s="12">
        <v>44593</v>
      </c>
      <c r="B212" t="s" s="13">
        <v>22</v>
      </c>
      <c r="C212" s="15">
        <v>221</v>
      </c>
      <c r="D212" s="15">
        <v>228.8</v>
      </c>
      <c r="E212" s="15">
        <v>219.15</v>
      </c>
      <c r="F212" s="15">
        <v>220.2</v>
      </c>
      <c r="G212" s="15">
        <v>227.9</v>
      </c>
      <c r="H212" s="15">
        <v>227.75</v>
      </c>
      <c r="I212" s="15">
        <v>224.71</v>
      </c>
      <c r="J212" s="15">
        <v>265.3</v>
      </c>
      <c r="K212" s="15">
        <v>199.1</v>
      </c>
      <c r="L212" s="15">
        <v>43207074</v>
      </c>
      <c r="M212" t="s" s="13">
        <v>9018</v>
      </c>
      <c r="N212" s="15">
        <v>253512</v>
      </c>
      <c r="O212" s="17" cm="1">
        <f t="array" ref="O212">(H212-H211)/H211</f>
        <v>0.0342870118074478</v>
      </c>
    </row>
    <row r="213" ht="13.65" customHeight="1">
      <c r="A213" s="12">
        <v>44594</v>
      </c>
      <c r="B213" t="s" s="13">
        <v>22</v>
      </c>
      <c r="C213" s="15">
        <v>230</v>
      </c>
      <c r="D213" s="15">
        <v>233.3</v>
      </c>
      <c r="E213" s="15">
        <v>229</v>
      </c>
      <c r="F213" s="15">
        <v>227.75</v>
      </c>
      <c r="G213" s="15">
        <v>231.85</v>
      </c>
      <c r="H213" s="15">
        <v>232.15</v>
      </c>
      <c r="I213" s="15">
        <v>231.53</v>
      </c>
      <c r="J213" s="15">
        <v>265.3</v>
      </c>
      <c r="K213" s="15">
        <v>199.1</v>
      </c>
      <c r="L213" s="15">
        <v>41130638</v>
      </c>
      <c r="M213" t="s" s="13">
        <v>9019</v>
      </c>
      <c r="N213" s="15">
        <v>258107</v>
      </c>
      <c r="O213" s="17" cm="1">
        <f t="array" ref="O213">(H213-H212)/H212</f>
        <v>0.0193194291986828</v>
      </c>
    </row>
    <row r="214" ht="13.65" customHeight="1">
      <c r="A214" s="12">
        <v>44595</v>
      </c>
      <c r="B214" t="s" s="13">
        <v>22</v>
      </c>
      <c r="C214" s="15">
        <v>232.15</v>
      </c>
      <c r="D214" s="15">
        <v>235.2</v>
      </c>
      <c r="E214" s="15">
        <v>231.8</v>
      </c>
      <c r="F214" s="15">
        <v>232.15</v>
      </c>
      <c r="G214" s="15">
        <v>233.5</v>
      </c>
      <c r="H214" s="15">
        <v>234.45</v>
      </c>
      <c r="I214" s="15">
        <v>233.64</v>
      </c>
      <c r="J214" s="15">
        <v>265.3</v>
      </c>
      <c r="K214" s="15">
        <v>199.1</v>
      </c>
      <c r="L214" s="15">
        <v>27845963</v>
      </c>
      <c r="M214" t="s" s="13">
        <v>9020</v>
      </c>
      <c r="N214" s="15">
        <v>192214</v>
      </c>
      <c r="O214" s="17" cm="1">
        <f t="array" ref="O214">(H214-H213)/H213</f>
        <v>0.009907387465001079</v>
      </c>
    </row>
    <row r="215" ht="13.65" customHeight="1">
      <c r="A215" s="12">
        <v>44596</v>
      </c>
      <c r="B215" t="s" s="13">
        <v>22</v>
      </c>
      <c r="C215" s="15">
        <v>237.25</v>
      </c>
      <c r="D215" s="15">
        <v>238.5</v>
      </c>
      <c r="E215" s="15">
        <v>231.55</v>
      </c>
      <c r="F215" s="15">
        <v>234.45</v>
      </c>
      <c r="G215" s="15">
        <v>233.6</v>
      </c>
      <c r="H215" s="15">
        <v>234.3</v>
      </c>
      <c r="I215" s="15">
        <v>235.16</v>
      </c>
      <c r="J215" s="15">
        <v>265.3</v>
      </c>
      <c r="K215" s="15">
        <v>199.1</v>
      </c>
      <c r="L215" s="15">
        <v>56705951</v>
      </c>
      <c r="M215" t="s" s="13">
        <v>9021</v>
      </c>
      <c r="N215" s="15">
        <v>326999</v>
      </c>
      <c r="O215" s="17" cm="1">
        <f t="array" ref="O215">(H215-H214)/H214</f>
        <v>-0.0006397952655150349</v>
      </c>
    </row>
    <row r="216" ht="13.65" customHeight="1">
      <c r="A216" s="12">
        <v>44599</v>
      </c>
      <c r="B216" t="s" s="13">
        <v>22</v>
      </c>
      <c r="C216" s="15">
        <v>234</v>
      </c>
      <c r="D216" s="15">
        <v>234.75</v>
      </c>
      <c r="E216" s="15">
        <v>228.5</v>
      </c>
      <c r="F216" s="15">
        <v>234.3</v>
      </c>
      <c r="G216" s="15">
        <v>230.35</v>
      </c>
      <c r="H216" s="15">
        <v>230.2</v>
      </c>
      <c r="I216" s="15">
        <v>230.77</v>
      </c>
      <c r="J216" s="15">
        <v>265.3</v>
      </c>
      <c r="K216" s="15">
        <v>199.1</v>
      </c>
      <c r="L216" s="15">
        <v>24171083</v>
      </c>
      <c r="M216" t="s" s="13">
        <v>9022</v>
      </c>
      <c r="N216" s="15">
        <v>140323</v>
      </c>
      <c r="O216" s="17" cm="1">
        <f t="array" ref="O216">(H216-H215)/H215</f>
        <v>-0.0174989329918907</v>
      </c>
    </row>
    <row r="217" ht="13.65" customHeight="1">
      <c r="A217" s="12">
        <v>44600</v>
      </c>
      <c r="B217" t="s" s="13">
        <v>22</v>
      </c>
      <c r="C217" s="15">
        <v>230.3</v>
      </c>
      <c r="D217" s="15">
        <v>232.3</v>
      </c>
      <c r="E217" s="15">
        <v>229.05</v>
      </c>
      <c r="F217" s="15">
        <v>230.2</v>
      </c>
      <c r="G217" s="15">
        <v>230.95</v>
      </c>
      <c r="H217" s="15">
        <v>231.25</v>
      </c>
      <c r="I217" s="15">
        <v>230.62</v>
      </c>
      <c r="J217" s="15">
        <v>265.3</v>
      </c>
      <c r="K217" s="15">
        <v>199.1</v>
      </c>
      <c r="L217" s="15">
        <v>16201280</v>
      </c>
      <c r="M217" t="s" s="13">
        <v>9023</v>
      </c>
      <c r="N217" s="15">
        <v>117574</v>
      </c>
      <c r="O217" s="17" cm="1">
        <f t="array" ref="O217">(H217-H216)/H216</f>
        <v>0.00456125108601216</v>
      </c>
    </row>
    <row r="218" ht="13.65" customHeight="1">
      <c r="A218" s="12">
        <v>44601</v>
      </c>
      <c r="B218" t="s" s="13">
        <v>22</v>
      </c>
      <c r="C218" s="15">
        <v>232.3</v>
      </c>
      <c r="D218" s="15">
        <v>233</v>
      </c>
      <c r="E218" s="15">
        <v>228.75</v>
      </c>
      <c r="F218" s="15">
        <v>231.25</v>
      </c>
      <c r="G218" s="15">
        <v>230.15</v>
      </c>
      <c r="H218" s="15">
        <v>230.15</v>
      </c>
      <c r="I218" s="15">
        <v>230.53</v>
      </c>
      <c r="J218" s="15">
        <v>265.3</v>
      </c>
      <c r="K218" s="15">
        <v>199.1</v>
      </c>
      <c r="L218" s="15">
        <v>11893807</v>
      </c>
      <c r="M218" t="s" s="13">
        <v>9024</v>
      </c>
      <c r="N218" s="15">
        <v>96037</v>
      </c>
      <c r="O218" s="17" cm="1">
        <f t="array" ref="O218">(H218-H217)/H217</f>
        <v>-0.00475675675675676</v>
      </c>
    </row>
    <row r="219" ht="13.65" customHeight="1">
      <c r="A219" s="18">
        <v>44602</v>
      </c>
      <c r="B219" t="s" s="13">
        <v>22</v>
      </c>
      <c r="C219" s="15">
        <v>228.7</v>
      </c>
      <c r="D219" s="15">
        <v>233.4</v>
      </c>
      <c r="E219" s="15">
        <v>227.75</v>
      </c>
      <c r="F219" s="15">
        <v>230.15</v>
      </c>
      <c r="G219" s="15">
        <v>231.5</v>
      </c>
      <c r="H219" s="15">
        <v>232.25</v>
      </c>
      <c r="I219" s="15">
        <v>230.53</v>
      </c>
      <c r="J219" s="15">
        <v>265.3</v>
      </c>
      <c r="K219" s="15">
        <v>199.1</v>
      </c>
      <c r="L219" s="15">
        <v>19563580</v>
      </c>
      <c r="M219" t="s" s="13">
        <v>9025</v>
      </c>
      <c r="N219" s="15">
        <v>128409</v>
      </c>
      <c r="O219" s="17" cm="1">
        <f t="array" ref="O219">(H219-H218)/H218</f>
        <v>0.00912448403215294</v>
      </c>
    </row>
    <row r="220" ht="13.65" customHeight="1">
      <c r="A220" s="18">
        <v>44603</v>
      </c>
      <c r="B220" t="s" s="13">
        <v>22</v>
      </c>
      <c r="C220" s="15">
        <v>232</v>
      </c>
      <c r="D220" s="15">
        <v>233.3</v>
      </c>
      <c r="E220" s="15">
        <v>229.8</v>
      </c>
      <c r="F220" s="15">
        <v>232.25</v>
      </c>
      <c r="G220" s="15">
        <v>231.85</v>
      </c>
      <c r="H220" s="15">
        <v>232.45</v>
      </c>
      <c r="I220" s="15">
        <v>231.65</v>
      </c>
      <c r="J220" s="15">
        <v>265.3</v>
      </c>
      <c r="K220" s="15">
        <v>199.1</v>
      </c>
      <c r="L220" s="15">
        <v>18096561</v>
      </c>
      <c r="M220" t="s" s="13">
        <v>9026</v>
      </c>
      <c r="N220" s="15">
        <v>103557</v>
      </c>
      <c r="O220" s="17" cm="1">
        <f t="array" ref="O220">(H220-H219)/H219</f>
        <v>0.000861141011840689</v>
      </c>
    </row>
    <row r="221" ht="13.65" customHeight="1">
      <c r="A221" s="18">
        <v>44606</v>
      </c>
      <c r="B221" t="s" s="13">
        <v>22</v>
      </c>
      <c r="C221" s="15">
        <v>226</v>
      </c>
      <c r="D221" s="15">
        <v>226</v>
      </c>
      <c r="E221" s="15">
        <v>218.5</v>
      </c>
      <c r="F221" s="15">
        <v>232.45</v>
      </c>
      <c r="G221" s="15">
        <v>219</v>
      </c>
      <c r="H221" s="15">
        <v>219.45</v>
      </c>
      <c r="I221" s="15">
        <v>222.27</v>
      </c>
      <c r="J221" s="15">
        <v>265.3</v>
      </c>
      <c r="K221" s="15">
        <v>199.1</v>
      </c>
      <c r="L221" s="15">
        <v>22745228</v>
      </c>
      <c r="M221" t="s" s="13">
        <v>9027</v>
      </c>
      <c r="N221" s="15">
        <v>195500</v>
      </c>
      <c r="O221" s="17" cm="1">
        <f t="array" ref="O221">(H221-H220)/H220</f>
        <v>-0.0559260055926006</v>
      </c>
    </row>
    <row r="222" ht="13.65" customHeight="1">
      <c r="A222" s="18">
        <v>44607</v>
      </c>
      <c r="B222" t="s" s="13">
        <v>22</v>
      </c>
      <c r="C222" s="15">
        <v>221</v>
      </c>
      <c r="D222" s="15">
        <v>223.5</v>
      </c>
      <c r="E222" s="15">
        <v>218.55</v>
      </c>
      <c r="F222" s="15">
        <v>219.45</v>
      </c>
      <c r="G222" s="15">
        <v>223.1</v>
      </c>
      <c r="H222" s="15">
        <v>223</v>
      </c>
      <c r="I222" s="15">
        <v>220.98</v>
      </c>
      <c r="J222" s="15">
        <v>265.3</v>
      </c>
      <c r="K222" s="15">
        <v>199.1</v>
      </c>
      <c r="L222" s="15">
        <v>12875311</v>
      </c>
      <c r="M222" t="s" s="13">
        <v>9028</v>
      </c>
      <c r="N222" s="15">
        <v>120496</v>
      </c>
      <c r="O222" s="17" cm="1">
        <f t="array" ref="O222">(H222-H221)/H221</f>
        <v>0.0161768056504899</v>
      </c>
    </row>
    <row r="223" ht="13.65" customHeight="1">
      <c r="A223" s="18">
        <v>44608</v>
      </c>
      <c r="B223" t="s" s="13">
        <v>22</v>
      </c>
      <c r="C223" s="15">
        <v>223.8</v>
      </c>
      <c r="D223" s="15">
        <v>224.7</v>
      </c>
      <c r="E223" s="15">
        <v>221.85</v>
      </c>
      <c r="F223" s="15">
        <v>223</v>
      </c>
      <c r="G223" s="15">
        <v>222.4</v>
      </c>
      <c r="H223" s="15">
        <v>222.75</v>
      </c>
      <c r="I223" s="15">
        <v>223.37</v>
      </c>
      <c r="J223" s="15">
        <v>265.3</v>
      </c>
      <c r="K223" s="15">
        <v>199.1</v>
      </c>
      <c r="L223" s="15">
        <v>11231596</v>
      </c>
      <c r="M223" t="s" s="13">
        <v>9029</v>
      </c>
      <c r="N223" s="15">
        <v>79949</v>
      </c>
      <c r="O223" s="17" cm="1">
        <f t="array" ref="O223">(H223-H222)/H222</f>
        <v>-0.00112107623318386</v>
      </c>
    </row>
    <row r="224" ht="13.65" customHeight="1">
      <c r="A224" s="18">
        <v>44609</v>
      </c>
      <c r="B224" t="s" s="13">
        <v>22</v>
      </c>
      <c r="C224" s="15">
        <v>223.05</v>
      </c>
      <c r="D224" s="15">
        <v>224.35</v>
      </c>
      <c r="E224" s="15">
        <v>220.85</v>
      </c>
      <c r="F224" s="15">
        <v>222.75</v>
      </c>
      <c r="G224" s="15">
        <v>222.7</v>
      </c>
      <c r="H224" s="15">
        <v>222.65</v>
      </c>
      <c r="I224" s="15">
        <v>222.4</v>
      </c>
      <c r="J224" s="15">
        <v>265.3</v>
      </c>
      <c r="K224" s="15">
        <v>199.1</v>
      </c>
      <c r="L224" s="15">
        <v>14024149</v>
      </c>
      <c r="M224" t="s" s="13">
        <v>9030</v>
      </c>
      <c r="N224" s="15">
        <v>67573</v>
      </c>
      <c r="O224" s="17" cm="1">
        <f t="array" ref="O224">(H224-H223)/H223</f>
        <v>-0.000448933782267116</v>
      </c>
    </row>
    <row r="225" ht="13.65" customHeight="1">
      <c r="A225" s="18">
        <v>44610</v>
      </c>
      <c r="B225" t="s" s="13">
        <v>22</v>
      </c>
      <c r="C225" s="15">
        <v>222.65</v>
      </c>
      <c r="D225" s="15">
        <v>223.45</v>
      </c>
      <c r="E225" s="15">
        <v>221.5</v>
      </c>
      <c r="F225" s="15">
        <v>222.65</v>
      </c>
      <c r="G225" s="15">
        <v>221.75</v>
      </c>
      <c r="H225" s="15">
        <v>221.9</v>
      </c>
      <c r="I225" s="15">
        <v>222.4</v>
      </c>
      <c r="J225" s="15">
        <v>265.3</v>
      </c>
      <c r="K225" s="15">
        <v>199.1</v>
      </c>
      <c r="L225" s="15">
        <v>8670947</v>
      </c>
      <c r="M225" t="s" s="13">
        <v>9031</v>
      </c>
      <c r="N225" s="15">
        <v>59314</v>
      </c>
      <c r="O225" s="17" cm="1">
        <f t="array" ref="O225">(H225-H224)/H224</f>
        <v>-0.00336851560745565</v>
      </c>
    </row>
    <row r="226" ht="13.65" customHeight="1">
      <c r="A226" s="18">
        <v>44613</v>
      </c>
      <c r="B226" t="s" s="13">
        <v>22</v>
      </c>
      <c r="C226" s="15">
        <v>220.3</v>
      </c>
      <c r="D226" s="15">
        <v>221.3</v>
      </c>
      <c r="E226" s="15">
        <v>217.15</v>
      </c>
      <c r="F226" s="15">
        <v>221.9</v>
      </c>
      <c r="G226" s="15">
        <v>218.1</v>
      </c>
      <c r="H226" s="15">
        <v>218</v>
      </c>
      <c r="I226" s="15">
        <v>219.7</v>
      </c>
      <c r="J226" s="15">
        <v>265.3</v>
      </c>
      <c r="K226" s="15">
        <v>199.1</v>
      </c>
      <c r="L226" s="15">
        <v>16129017</v>
      </c>
      <c r="M226" t="s" s="13">
        <v>9032</v>
      </c>
      <c r="N226" s="15">
        <v>97652</v>
      </c>
      <c r="O226" s="17" cm="1">
        <f t="array" ref="O226">(H226-H225)/H225</f>
        <v>-0.0175754844524561</v>
      </c>
    </row>
    <row r="227" ht="13.65" customHeight="1">
      <c r="A227" s="18">
        <v>44614</v>
      </c>
      <c r="B227" t="s" s="13">
        <v>22</v>
      </c>
      <c r="C227" s="15">
        <v>215</v>
      </c>
      <c r="D227" s="15">
        <v>216.9</v>
      </c>
      <c r="E227" s="15">
        <v>213</v>
      </c>
      <c r="F227" s="15">
        <v>218</v>
      </c>
      <c r="G227" s="15">
        <v>214.65</v>
      </c>
      <c r="H227" s="15">
        <v>214.85</v>
      </c>
      <c r="I227" s="15">
        <v>214.65</v>
      </c>
      <c r="J227" s="15">
        <v>265.3</v>
      </c>
      <c r="K227" s="15">
        <v>199.1</v>
      </c>
      <c r="L227" s="15">
        <v>25749340</v>
      </c>
      <c r="M227" t="s" s="13">
        <v>9033</v>
      </c>
      <c r="N227" s="15">
        <v>122029</v>
      </c>
      <c r="O227" s="17" cm="1">
        <f t="array" ref="O227">(H227-H226)/H226</f>
        <v>-0.0144495412844037</v>
      </c>
    </row>
    <row r="228" ht="13.65" customHeight="1">
      <c r="A228" s="18">
        <v>44615</v>
      </c>
      <c r="B228" t="s" s="13">
        <v>22</v>
      </c>
      <c r="C228" s="15">
        <v>216.8</v>
      </c>
      <c r="D228" s="15">
        <v>217.5</v>
      </c>
      <c r="E228" s="15">
        <v>215.05</v>
      </c>
      <c r="F228" s="15">
        <v>214.85</v>
      </c>
      <c r="G228" s="15">
        <v>215.75</v>
      </c>
      <c r="H228" s="15">
        <v>215.95</v>
      </c>
      <c r="I228" s="15">
        <v>216.53</v>
      </c>
      <c r="J228" s="15">
        <v>265.3</v>
      </c>
      <c r="K228" s="15">
        <v>199.1</v>
      </c>
      <c r="L228" s="15">
        <v>11014283</v>
      </c>
      <c r="M228" t="s" s="13">
        <v>9034</v>
      </c>
      <c r="N228" s="15">
        <v>100185</v>
      </c>
      <c r="O228" s="17" cm="1">
        <f t="array" ref="O228">(H228-H227)/H227</f>
        <v>0.00511985105887829</v>
      </c>
    </row>
    <row r="229" ht="13.65" customHeight="1">
      <c r="A229" s="18">
        <v>44616</v>
      </c>
      <c r="B229" t="s" s="13">
        <v>22</v>
      </c>
      <c r="C229" s="15">
        <v>210</v>
      </c>
      <c r="D229" s="15">
        <v>213.3</v>
      </c>
      <c r="E229" s="15">
        <v>207</v>
      </c>
      <c r="F229" s="15">
        <v>215.95</v>
      </c>
      <c r="G229" s="15">
        <v>209.35</v>
      </c>
      <c r="H229" s="15">
        <v>208.5</v>
      </c>
      <c r="I229" s="15">
        <v>210.39</v>
      </c>
      <c r="J229" s="15">
        <v>265.3</v>
      </c>
      <c r="K229" s="15">
        <v>199.1</v>
      </c>
      <c r="L229" s="15">
        <v>41341523</v>
      </c>
      <c r="M229" t="s" s="13">
        <v>9035</v>
      </c>
      <c r="N229" s="15">
        <v>223227</v>
      </c>
      <c r="O229" s="17" cm="1">
        <f t="array" ref="O229">(H229-H228)/H228</f>
        <v>-0.0344987265570734</v>
      </c>
    </row>
    <row r="230" ht="13.65" customHeight="1">
      <c r="A230" s="18">
        <v>44617</v>
      </c>
      <c r="B230" t="s" s="13">
        <v>22</v>
      </c>
      <c r="C230" s="15">
        <v>211.5</v>
      </c>
      <c r="D230" s="15">
        <v>216.5</v>
      </c>
      <c r="E230" s="15">
        <v>210.55</v>
      </c>
      <c r="F230" s="15">
        <v>208.5</v>
      </c>
      <c r="G230" s="15">
        <v>214.15</v>
      </c>
      <c r="H230" s="15">
        <v>213.95</v>
      </c>
      <c r="I230" s="15">
        <v>214.29</v>
      </c>
      <c r="J230" s="15">
        <v>265.3</v>
      </c>
      <c r="K230" s="15">
        <v>199.1</v>
      </c>
      <c r="L230" s="15">
        <v>23633656</v>
      </c>
      <c r="M230" t="s" s="13">
        <v>9036</v>
      </c>
      <c r="N230" s="15">
        <v>140701</v>
      </c>
      <c r="O230" s="17" cm="1">
        <f t="array" ref="O230">(H230-H229)/H229</f>
        <v>0.0261390887290168</v>
      </c>
    </row>
    <row r="231" ht="13.65" customHeight="1">
      <c r="A231" s="18">
        <v>44620</v>
      </c>
      <c r="B231" t="s" s="13">
        <v>22</v>
      </c>
      <c r="C231" s="15">
        <v>213.2</v>
      </c>
      <c r="D231" s="15">
        <v>216.45</v>
      </c>
      <c r="E231" s="15">
        <v>210.8</v>
      </c>
      <c r="F231" s="15">
        <v>213.95</v>
      </c>
      <c r="G231" s="15">
        <v>215.9</v>
      </c>
      <c r="H231" s="15">
        <v>215.85</v>
      </c>
      <c r="I231" s="15">
        <v>214.43</v>
      </c>
      <c r="J231" s="15">
        <v>265.3</v>
      </c>
      <c r="K231" s="15">
        <v>199.1</v>
      </c>
      <c r="L231" s="15">
        <v>20034633</v>
      </c>
      <c r="M231" t="s" s="13">
        <v>9037</v>
      </c>
      <c r="N231" s="15">
        <v>117869</v>
      </c>
      <c r="O231" s="17" cm="1">
        <f t="array" ref="O231">(H231-H230)/H230</f>
        <v>0.00888057957466698</v>
      </c>
    </row>
    <row r="232" ht="13.65" customHeight="1">
      <c r="A232" s="12">
        <v>44622</v>
      </c>
      <c r="B232" t="s" s="13">
        <v>22</v>
      </c>
      <c r="C232" s="15">
        <v>214.4</v>
      </c>
      <c r="D232" s="15">
        <v>216.6</v>
      </c>
      <c r="E232" s="15">
        <v>212.45</v>
      </c>
      <c r="F232" s="15">
        <v>215.85</v>
      </c>
      <c r="G232" s="15">
        <v>215.4</v>
      </c>
      <c r="H232" s="15">
        <v>215.3</v>
      </c>
      <c r="I232" s="15">
        <v>214.93</v>
      </c>
      <c r="J232" s="15">
        <v>265.3</v>
      </c>
      <c r="K232" s="15">
        <v>199.1</v>
      </c>
      <c r="L232" s="15">
        <v>19295994</v>
      </c>
      <c r="M232" t="s" s="13">
        <v>9038</v>
      </c>
      <c r="N232" s="15">
        <v>129126</v>
      </c>
      <c r="O232" s="17" cm="1">
        <f t="array" ref="O232">(H232-H231)/H231</f>
        <v>-0.00254806578642576</v>
      </c>
    </row>
    <row r="233" ht="13.65" customHeight="1">
      <c r="A233" s="12">
        <v>44623</v>
      </c>
      <c r="B233" t="s" s="13">
        <v>22</v>
      </c>
      <c r="C233" s="15">
        <v>216.05</v>
      </c>
      <c r="D233" s="15">
        <v>220.2</v>
      </c>
      <c r="E233" s="15">
        <v>216</v>
      </c>
      <c r="F233" s="15">
        <v>215.3</v>
      </c>
      <c r="G233" s="15">
        <v>219.35</v>
      </c>
      <c r="H233" s="15">
        <v>219.4</v>
      </c>
      <c r="I233" s="15">
        <v>218.52</v>
      </c>
      <c r="J233" s="15">
        <v>265.3</v>
      </c>
      <c r="K233" s="15">
        <v>199.1</v>
      </c>
      <c r="L233" s="15">
        <v>28532668</v>
      </c>
      <c r="M233" t="s" s="13">
        <v>9039</v>
      </c>
      <c r="N233" s="15">
        <v>122600</v>
      </c>
      <c r="O233" s="17" cm="1">
        <f t="array" ref="O233">(H233-H232)/H232</f>
        <v>0.0190431955411054</v>
      </c>
    </row>
    <row r="234" ht="13.65" customHeight="1">
      <c r="A234" s="12">
        <v>44624</v>
      </c>
      <c r="B234" t="s" s="13">
        <v>22</v>
      </c>
      <c r="C234" s="15">
        <v>217.7</v>
      </c>
      <c r="D234" s="15">
        <v>227.4</v>
      </c>
      <c r="E234" s="15">
        <v>217</v>
      </c>
      <c r="F234" s="15">
        <v>219.4</v>
      </c>
      <c r="G234" s="15">
        <v>225</v>
      </c>
      <c r="H234" s="15">
        <v>225.5</v>
      </c>
      <c r="I234" s="15">
        <v>222.66</v>
      </c>
      <c r="J234" s="15">
        <v>265.3</v>
      </c>
      <c r="K234" s="15">
        <v>199.1</v>
      </c>
      <c r="L234" s="15">
        <v>66835736</v>
      </c>
      <c r="M234" t="s" s="13">
        <v>9040</v>
      </c>
      <c r="N234" s="15">
        <v>284871</v>
      </c>
      <c r="O234" s="17" cm="1">
        <f t="array" ref="O234">(H234-H233)/H233</f>
        <v>0.0278030993618961</v>
      </c>
    </row>
    <row r="235" ht="13.65" customHeight="1">
      <c r="A235" s="12">
        <v>44627</v>
      </c>
      <c r="B235" t="s" s="13">
        <v>22</v>
      </c>
      <c r="C235" s="15">
        <v>222</v>
      </c>
      <c r="D235" s="15">
        <v>227</v>
      </c>
      <c r="E235" s="15">
        <v>220.1</v>
      </c>
      <c r="F235" s="15">
        <v>225.5</v>
      </c>
      <c r="G235" s="15">
        <v>225.95</v>
      </c>
      <c r="H235" s="15">
        <v>224.95</v>
      </c>
      <c r="I235" s="15">
        <v>223.87</v>
      </c>
      <c r="J235" s="15">
        <v>265.3</v>
      </c>
      <c r="K235" s="15">
        <v>199.1</v>
      </c>
      <c r="L235" s="15">
        <v>45258669</v>
      </c>
      <c r="M235" t="s" s="13">
        <v>9041</v>
      </c>
      <c r="N235" s="15">
        <v>226272</v>
      </c>
      <c r="O235" s="17" cm="1">
        <f t="array" ref="O235">(H235-H234)/H234</f>
        <v>-0.0024390243902439</v>
      </c>
    </row>
    <row r="236" ht="13.65" customHeight="1">
      <c r="A236" s="12">
        <v>44628</v>
      </c>
      <c r="B236" t="s" s="13">
        <v>22</v>
      </c>
      <c r="C236" s="15">
        <v>223.9</v>
      </c>
      <c r="D236" s="15">
        <v>228.45</v>
      </c>
      <c r="E236" s="15">
        <v>223.75</v>
      </c>
      <c r="F236" s="15">
        <v>224.95</v>
      </c>
      <c r="G236" s="15">
        <v>226.8</v>
      </c>
      <c r="H236" s="15">
        <v>226.9</v>
      </c>
      <c r="I236" s="15">
        <v>226.27</v>
      </c>
      <c r="J236" s="15">
        <v>265.3</v>
      </c>
      <c r="K236" s="15">
        <v>199.1</v>
      </c>
      <c r="L236" s="15">
        <v>36036336</v>
      </c>
      <c r="M236" t="s" s="13">
        <v>9042</v>
      </c>
      <c r="N236" s="15">
        <v>198973</v>
      </c>
      <c r="O236" s="17" cm="1">
        <f t="array" ref="O236">(H236-H235)/H235</f>
        <v>0.00866859302067126</v>
      </c>
    </row>
    <row r="237" ht="13.65" customHeight="1">
      <c r="A237" s="12">
        <v>44629</v>
      </c>
      <c r="B237" t="s" s="13">
        <v>22</v>
      </c>
      <c r="C237" s="15">
        <v>227.7</v>
      </c>
      <c r="D237" s="15">
        <v>231.4</v>
      </c>
      <c r="E237" s="15">
        <v>226.1</v>
      </c>
      <c r="F237" s="15">
        <v>226.9</v>
      </c>
      <c r="G237" s="15">
        <v>229</v>
      </c>
      <c r="H237" s="15">
        <v>229.25</v>
      </c>
      <c r="I237" s="15">
        <v>228.8</v>
      </c>
      <c r="J237" s="15">
        <v>265.3</v>
      </c>
      <c r="K237" s="15">
        <v>199.1</v>
      </c>
      <c r="L237" s="15">
        <v>42294906</v>
      </c>
      <c r="M237" t="s" s="13">
        <v>9043</v>
      </c>
      <c r="N237" s="15">
        <v>168447</v>
      </c>
      <c r="O237" s="17" cm="1">
        <f t="array" ref="O237">(H237-H236)/H236</f>
        <v>0.0103569854561481</v>
      </c>
    </row>
    <row r="238" ht="13.65" customHeight="1">
      <c r="A238" s="18">
        <v>44630</v>
      </c>
      <c r="B238" t="s" s="13">
        <v>22</v>
      </c>
      <c r="C238" s="15">
        <v>231</v>
      </c>
      <c r="D238" s="15">
        <v>232.5</v>
      </c>
      <c r="E238" s="15">
        <v>227.85</v>
      </c>
      <c r="F238" s="15">
        <v>229.25</v>
      </c>
      <c r="G238" s="15">
        <v>231.45</v>
      </c>
      <c r="H238" s="15">
        <v>232</v>
      </c>
      <c r="I238" s="15">
        <v>230.14</v>
      </c>
      <c r="J238" s="15">
        <v>265.3</v>
      </c>
      <c r="K238" s="15">
        <v>199.1</v>
      </c>
      <c r="L238" s="15">
        <v>36132245</v>
      </c>
      <c r="M238" t="s" s="13">
        <v>9044</v>
      </c>
      <c r="N238" s="15">
        <v>162038</v>
      </c>
      <c r="O238" s="17" cm="1">
        <f t="array" ref="O238">(H238-H237)/H237</f>
        <v>0.0119956379498364</v>
      </c>
    </row>
    <row r="239" ht="13.65" customHeight="1">
      <c r="A239" s="18">
        <v>44631</v>
      </c>
      <c r="B239" t="s" s="13">
        <v>22</v>
      </c>
      <c r="C239" s="15">
        <v>231.9</v>
      </c>
      <c r="D239" s="15">
        <v>237.1</v>
      </c>
      <c r="E239" s="15">
        <v>230.15</v>
      </c>
      <c r="F239" s="15">
        <v>232</v>
      </c>
      <c r="G239" s="15">
        <v>234.95</v>
      </c>
      <c r="H239" s="15">
        <v>236.35</v>
      </c>
      <c r="I239" s="15">
        <v>234.51</v>
      </c>
      <c r="J239" s="15">
        <v>265.3</v>
      </c>
      <c r="K239" s="15">
        <v>199.1</v>
      </c>
      <c r="L239" s="15">
        <v>41699184</v>
      </c>
      <c r="M239" t="s" s="13">
        <v>9045</v>
      </c>
      <c r="N239" s="15">
        <v>194153</v>
      </c>
      <c r="O239" s="17" cm="1">
        <f t="array" ref="O239">(H239-H238)/H238</f>
        <v>0.01875</v>
      </c>
    </row>
    <row r="240" ht="13.65" customHeight="1">
      <c r="A240" s="18">
        <v>44634</v>
      </c>
      <c r="B240" t="s" s="13">
        <v>22</v>
      </c>
      <c r="C240" s="15">
        <v>236.25</v>
      </c>
      <c r="D240" s="15">
        <v>239.45</v>
      </c>
      <c r="E240" s="15">
        <v>235.3</v>
      </c>
      <c r="F240" s="15">
        <v>236.35</v>
      </c>
      <c r="G240" s="15">
        <v>239</v>
      </c>
      <c r="H240" s="15">
        <v>239</v>
      </c>
      <c r="I240" s="15">
        <v>237.88</v>
      </c>
      <c r="J240" s="15">
        <v>265.3</v>
      </c>
      <c r="K240" s="15">
        <v>199.1</v>
      </c>
      <c r="L240" s="15">
        <v>35113638</v>
      </c>
      <c r="M240" t="s" s="13">
        <v>9046</v>
      </c>
      <c r="N240" s="15">
        <v>153586</v>
      </c>
      <c r="O240" s="17" cm="1">
        <f t="array" ref="O240">(H240-H239)/H239</f>
        <v>0.0112121853183838</v>
      </c>
    </row>
    <row r="241" ht="13.65" customHeight="1">
      <c r="A241" s="18">
        <v>44635</v>
      </c>
      <c r="B241" t="s" s="13">
        <v>22</v>
      </c>
      <c r="C241" s="15">
        <v>239</v>
      </c>
      <c r="D241" s="15">
        <v>241.4</v>
      </c>
      <c r="E241" s="15">
        <v>235.9</v>
      </c>
      <c r="F241" s="15">
        <v>239</v>
      </c>
      <c r="G241" s="15">
        <v>238.2</v>
      </c>
      <c r="H241" s="15">
        <v>237.85</v>
      </c>
      <c r="I241" s="15">
        <v>238.48</v>
      </c>
      <c r="J241" s="15">
        <v>265.3</v>
      </c>
      <c r="K241" s="15">
        <v>199.1</v>
      </c>
      <c r="L241" s="15">
        <v>32998305</v>
      </c>
      <c r="M241" t="s" s="13">
        <v>9047</v>
      </c>
      <c r="N241" s="15">
        <v>159184</v>
      </c>
      <c r="O241" s="17" cm="1">
        <f t="array" ref="O241">(H241-H240)/H240</f>
        <v>-0.00481171548117155</v>
      </c>
    </row>
    <row r="242" ht="13.65" customHeight="1">
      <c r="A242" s="18">
        <v>44636</v>
      </c>
      <c r="B242" t="s" s="13">
        <v>22</v>
      </c>
      <c r="C242" s="15">
        <v>240</v>
      </c>
      <c r="D242" s="15">
        <v>243</v>
      </c>
      <c r="E242" s="15">
        <v>239.1</v>
      </c>
      <c r="F242" s="15">
        <v>237.85</v>
      </c>
      <c r="G242" s="15">
        <v>242.4</v>
      </c>
      <c r="H242" s="15">
        <v>242.6</v>
      </c>
      <c r="I242" s="15">
        <v>240.65</v>
      </c>
      <c r="J242" s="15">
        <v>265.3</v>
      </c>
      <c r="K242" s="15">
        <v>199.1</v>
      </c>
      <c r="L242" s="15">
        <v>21629521</v>
      </c>
      <c r="M242" t="s" s="13">
        <v>9048</v>
      </c>
      <c r="N242" s="15">
        <v>132633</v>
      </c>
      <c r="O242" s="17" cm="1">
        <f t="array" ref="O242">(H242-H241)/H241</f>
        <v>0.0199705696867774</v>
      </c>
    </row>
    <row r="243" ht="13.65" customHeight="1">
      <c r="A243" s="18">
        <v>44637</v>
      </c>
      <c r="B243" t="s" s="13">
        <v>22</v>
      </c>
      <c r="C243" s="15">
        <v>245.25</v>
      </c>
      <c r="D243" s="15">
        <v>245.4</v>
      </c>
      <c r="E243" s="15">
        <v>242.7</v>
      </c>
      <c r="F243" s="15">
        <v>242.6</v>
      </c>
      <c r="G243" s="15">
        <v>244.55</v>
      </c>
      <c r="H243" s="15">
        <v>244.9</v>
      </c>
      <c r="I243" s="15">
        <v>244.3</v>
      </c>
      <c r="J243" s="15">
        <v>265.3</v>
      </c>
      <c r="K243" s="15">
        <v>199.1</v>
      </c>
      <c r="L243" s="15">
        <v>34223740</v>
      </c>
      <c r="M243" t="s" s="13">
        <v>9049</v>
      </c>
      <c r="N243" s="15">
        <v>158119</v>
      </c>
      <c r="O243" s="17" cm="1">
        <f t="array" ref="O243">(H243-H242)/H242</f>
        <v>0.00948062654575433</v>
      </c>
    </row>
    <row r="244" ht="13.65" customHeight="1">
      <c r="A244" s="18">
        <v>44641</v>
      </c>
      <c r="B244" t="s" s="13">
        <v>22</v>
      </c>
      <c r="C244" s="15">
        <v>245.9</v>
      </c>
      <c r="D244" s="15">
        <v>247.75</v>
      </c>
      <c r="E244" s="15">
        <v>243.8</v>
      </c>
      <c r="F244" s="15">
        <v>244.9</v>
      </c>
      <c r="G244" s="15">
        <v>244.5</v>
      </c>
      <c r="H244" s="15">
        <v>244.5</v>
      </c>
      <c r="I244" s="15">
        <v>245.28</v>
      </c>
      <c r="J244" s="15">
        <v>265.3</v>
      </c>
      <c r="K244" s="15">
        <v>199.1</v>
      </c>
      <c r="L244" s="15">
        <v>27975134</v>
      </c>
      <c r="M244" t="s" s="13">
        <v>9050</v>
      </c>
      <c r="N244" s="15">
        <v>149077</v>
      </c>
      <c r="O244" s="17" cm="1">
        <f t="array" ref="O244">(H244-H243)/H243</f>
        <v>-0.00163331972233565</v>
      </c>
    </row>
    <row r="245" ht="13.65" customHeight="1">
      <c r="A245" s="18">
        <v>44642</v>
      </c>
      <c r="B245" t="s" s="13">
        <v>22</v>
      </c>
      <c r="C245" s="15">
        <v>244.55</v>
      </c>
      <c r="D245" s="15">
        <v>250.75</v>
      </c>
      <c r="E245" s="15">
        <v>243.55</v>
      </c>
      <c r="F245" s="15">
        <v>244.5</v>
      </c>
      <c r="G245" s="15">
        <v>249.95</v>
      </c>
      <c r="H245" s="15">
        <v>249.75</v>
      </c>
      <c r="I245" s="15">
        <v>247.49</v>
      </c>
      <c r="J245" s="15">
        <v>265.3</v>
      </c>
      <c r="K245" s="15">
        <v>199.1</v>
      </c>
      <c r="L245" s="15">
        <v>36945426</v>
      </c>
      <c r="M245" t="s" s="13">
        <v>9051</v>
      </c>
      <c r="N245" s="15">
        <v>176133</v>
      </c>
      <c r="O245" s="17" cm="1">
        <f t="array" ref="O245">(H245-H244)/H244</f>
        <v>0.0214723926380368</v>
      </c>
    </row>
    <row r="246" ht="13.65" customHeight="1">
      <c r="A246" s="18">
        <v>44643</v>
      </c>
      <c r="B246" t="s" s="13">
        <v>22</v>
      </c>
      <c r="C246" s="15">
        <v>251.45</v>
      </c>
      <c r="D246" s="15">
        <v>253.7</v>
      </c>
      <c r="E246" s="15">
        <v>248.5</v>
      </c>
      <c r="F246" s="15">
        <v>249.75</v>
      </c>
      <c r="G246" s="15">
        <v>251.9</v>
      </c>
      <c r="H246" s="15">
        <v>252</v>
      </c>
      <c r="I246" s="15">
        <v>251.88</v>
      </c>
      <c r="J246" s="15">
        <v>265.3</v>
      </c>
      <c r="K246" s="15">
        <v>199.1</v>
      </c>
      <c r="L246" s="15">
        <v>40491633</v>
      </c>
      <c r="M246" t="s" s="13">
        <v>9052</v>
      </c>
      <c r="N246" s="15">
        <v>239738</v>
      </c>
      <c r="O246" s="17" cm="1">
        <f t="array" ref="O246">(H246-H245)/H245</f>
        <v>0.009009009009009011</v>
      </c>
    </row>
    <row r="247" ht="13.65" customHeight="1">
      <c r="A247" s="18">
        <v>44644</v>
      </c>
      <c r="B247" t="s" s="13">
        <v>22</v>
      </c>
      <c r="C247" s="15">
        <v>251.95</v>
      </c>
      <c r="D247" s="15">
        <v>256.5</v>
      </c>
      <c r="E247" s="15">
        <v>251.45</v>
      </c>
      <c r="F247" s="15">
        <v>252</v>
      </c>
      <c r="G247" s="15">
        <v>254.75</v>
      </c>
      <c r="H247" s="15">
        <v>254.85</v>
      </c>
      <c r="I247" s="15">
        <v>254.29</v>
      </c>
      <c r="J247" s="15">
        <v>265.3</v>
      </c>
      <c r="K247" s="15">
        <v>199.1</v>
      </c>
      <c r="L247" s="15">
        <v>38239419</v>
      </c>
      <c r="M247" t="s" s="13">
        <v>9053</v>
      </c>
      <c r="N247" s="15">
        <v>187564</v>
      </c>
      <c r="O247" s="17" cm="1">
        <f t="array" ref="O247">(H247-H246)/H246</f>
        <v>0.0113095238095238</v>
      </c>
    </row>
    <row r="248" ht="13.65" customHeight="1">
      <c r="A248" s="18">
        <v>44645</v>
      </c>
      <c r="B248" t="s" s="13">
        <v>22</v>
      </c>
      <c r="C248" s="15">
        <v>255.3</v>
      </c>
      <c r="D248" s="15">
        <v>255.75</v>
      </c>
      <c r="E248" s="15">
        <v>249.25</v>
      </c>
      <c r="F248" s="15">
        <v>254.85</v>
      </c>
      <c r="G248" s="15">
        <v>252.7</v>
      </c>
      <c r="H248" s="15">
        <v>253.35</v>
      </c>
      <c r="I248" s="15">
        <v>252.48</v>
      </c>
      <c r="J248" s="15">
        <v>265.3</v>
      </c>
      <c r="K248" s="15">
        <v>199.1</v>
      </c>
      <c r="L248" s="15">
        <v>29284643</v>
      </c>
      <c r="M248" t="s" s="13">
        <v>9054</v>
      </c>
      <c r="N248" s="15">
        <v>131798</v>
      </c>
      <c r="O248" s="17" cm="1">
        <f t="array" ref="O248">(H248-H247)/H247</f>
        <v>-0.00588581518540318</v>
      </c>
    </row>
    <row r="249" ht="13.65" customHeight="1">
      <c r="A249" s="18">
        <v>44648</v>
      </c>
      <c r="B249" t="s" s="13">
        <v>22</v>
      </c>
      <c r="C249" s="15">
        <v>254</v>
      </c>
      <c r="D249" s="15">
        <v>258</v>
      </c>
      <c r="E249" s="15">
        <v>252.55</v>
      </c>
      <c r="F249" s="15">
        <v>253.35</v>
      </c>
      <c r="G249" s="15">
        <v>256.2</v>
      </c>
      <c r="H249" s="15">
        <v>257.05</v>
      </c>
      <c r="I249" s="15">
        <v>255.73</v>
      </c>
      <c r="J249" s="15">
        <v>265.3</v>
      </c>
      <c r="K249" s="15">
        <v>199.1</v>
      </c>
      <c r="L249" s="15">
        <v>24916402</v>
      </c>
      <c r="M249" t="s" s="13">
        <v>9055</v>
      </c>
      <c r="N249" s="15">
        <v>156533</v>
      </c>
      <c r="O249" s="17" cm="1">
        <f t="array" ref="O249">(H249-H248)/H248</f>
        <v>0.0146043023485297</v>
      </c>
    </row>
    <row r="250" ht="13.65" customHeight="1">
      <c r="A250" s="18">
        <v>44649</v>
      </c>
      <c r="B250" t="s" s="13">
        <v>22</v>
      </c>
      <c r="C250" s="15">
        <v>257.05</v>
      </c>
      <c r="D250" s="15">
        <v>257.5</v>
      </c>
      <c r="E250" s="15">
        <v>253.75</v>
      </c>
      <c r="F250" s="15">
        <v>257.05</v>
      </c>
      <c r="G250" s="15">
        <v>254.3</v>
      </c>
      <c r="H250" s="15">
        <v>254.6</v>
      </c>
      <c r="I250" s="15">
        <v>255.06</v>
      </c>
      <c r="J250" s="15">
        <v>265.3</v>
      </c>
      <c r="K250" s="15">
        <v>199.1</v>
      </c>
      <c r="L250" s="15">
        <v>18122714</v>
      </c>
      <c r="M250" t="s" s="13">
        <v>9056</v>
      </c>
      <c r="N250" s="15">
        <v>114137</v>
      </c>
      <c r="O250" s="17" cm="1">
        <f t="array" ref="O250">(H250-H249)/H249</f>
        <v>-0.009531219607080329</v>
      </c>
    </row>
    <row r="251" ht="13.65" customHeight="1">
      <c r="A251" s="18">
        <v>44650</v>
      </c>
      <c r="B251" t="s" s="13">
        <v>22</v>
      </c>
      <c r="C251" s="15">
        <v>255.1</v>
      </c>
      <c r="D251" s="15">
        <v>256.4</v>
      </c>
      <c r="E251" s="15">
        <v>248.65</v>
      </c>
      <c r="F251" s="15">
        <v>254.6</v>
      </c>
      <c r="G251" s="15">
        <v>249.05</v>
      </c>
      <c r="H251" s="15">
        <v>249.2</v>
      </c>
      <c r="I251" s="15">
        <v>251.58</v>
      </c>
      <c r="J251" s="15">
        <v>265.3</v>
      </c>
      <c r="K251" s="15">
        <v>199.1</v>
      </c>
      <c r="L251" s="15">
        <v>17603827</v>
      </c>
      <c r="M251" t="s" s="13">
        <v>9057</v>
      </c>
      <c r="N251" s="15">
        <v>125981</v>
      </c>
      <c r="O251" s="17" cm="1">
        <f t="array" ref="O251">(H251-H250)/H250</f>
        <v>-0.021209740769835</v>
      </c>
    </row>
    <row r="252" ht="13.65" customHeight="1">
      <c r="A252" s="18">
        <v>44651</v>
      </c>
      <c r="B252" t="s" s="13">
        <v>22</v>
      </c>
      <c r="C252" s="15">
        <v>249.6</v>
      </c>
      <c r="D252" s="15">
        <v>254.35</v>
      </c>
      <c r="E252" s="15">
        <v>249.5</v>
      </c>
      <c r="F252" s="15">
        <v>249.2</v>
      </c>
      <c r="G252" s="15">
        <v>250.7</v>
      </c>
      <c r="H252" s="15">
        <v>250.65</v>
      </c>
      <c r="I252" s="15">
        <v>251.19</v>
      </c>
      <c r="J252" s="15">
        <v>265.3</v>
      </c>
      <c r="K252" s="15">
        <v>199.1</v>
      </c>
      <c r="L252" s="15">
        <v>25656796</v>
      </c>
      <c r="M252" t="s" s="13">
        <v>9058</v>
      </c>
      <c r="N252" s="15">
        <v>131890</v>
      </c>
      <c r="O252" s="17" cm="1">
        <f t="array" ref="O252">(H252-H251)/H251</f>
        <v>0.00581861958266453</v>
      </c>
    </row>
    <row r="253" ht="13.65" customHeight="1">
      <c r="A253" s="12">
        <v>44652</v>
      </c>
      <c r="B253" t="s" s="13">
        <v>22</v>
      </c>
      <c r="C253" s="15">
        <v>250</v>
      </c>
      <c r="D253" s="15">
        <v>255.35</v>
      </c>
      <c r="E253" s="15">
        <v>248.8</v>
      </c>
      <c r="F253" s="15">
        <v>250.65</v>
      </c>
      <c r="G253" s="15">
        <v>255.05</v>
      </c>
      <c r="H253" s="15">
        <v>253.3</v>
      </c>
      <c r="I253" s="15">
        <v>251.32</v>
      </c>
      <c r="J253" s="15">
        <v>265.3</v>
      </c>
      <c r="K253" s="15">
        <v>199.1</v>
      </c>
      <c r="L253" s="15">
        <v>14305709</v>
      </c>
      <c r="M253" t="s" s="13">
        <v>9059</v>
      </c>
      <c r="N253" s="15">
        <v>114531</v>
      </c>
      <c r="O253" s="17" cm="1">
        <f t="array" ref="O253">(H253-H252)/H252</f>
        <v>0.0105725114701775</v>
      </c>
    </row>
    <row r="254" ht="13.65" customHeight="1">
      <c r="A254" s="21"/>
      <c r="B254" s="21"/>
      <c r="C254" s="21"/>
      <c r="D254" s="21"/>
      <c r="E254" s="21"/>
      <c r="F254" s="21"/>
      <c r="G254" s="21"/>
      <c r="H254" s="21"/>
      <c r="I254" s="21"/>
      <c r="J254" s="21"/>
      <c r="K254" s="21"/>
      <c r="L254" s="21"/>
      <c r="M254" s="21"/>
      <c r="N254" s="21"/>
      <c r="O254" s="8"/>
    </row>
    <row r="255" ht="13.65" customHeight="1">
      <c r="A255" s="8"/>
      <c r="B255" s="8"/>
      <c r="C255" s="8"/>
      <c r="D255" s="8"/>
      <c r="E255" s="8"/>
      <c r="F255" s="8"/>
      <c r="G255" s="8"/>
      <c r="H255" s="8"/>
      <c r="I255" s="8"/>
      <c r="J255" s="8"/>
      <c r="K255" s="8"/>
      <c r="L255" s="8"/>
      <c r="M255" s="8"/>
      <c r="N255" t="s" s="7">
        <v>272</v>
      </c>
      <c r="O255" s="22" cm="1">
        <f t="array" ref="O255">AVERAGE(O5:O253)</f>
        <v>0.000685000795238642</v>
      </c>
    </row>
    <row r="256" ht="13.65" customHeight="1">
      <c r="A256" s="8"/>
      <c r="B256" s="8"/>
      <c r="C256" s="8"/>
      <c r="D256" s="8"/>
      <c r="E256" s="8"/>
      <c r="F256" s="8"/>
      <c r="G256" s="8"/>
      <c r="H256" s="8"/>
      <c r="I256" s="8"/>
      <c r="J256" s="8"/>
      <c r="K256" s="8"/>
      <c r="L256" s="8"/>
      <c r="M256" s="8"/>
      <c r="N256" t="s" s="7">
        <v>527</v>
      </c>
      <c r="O256" s="22">
        <v>0.0153</v>
      </c>
    </row>
    <row r="257" ht="13.65" customHeight="1">
      <c r="A257" s="8"/>
      <c r="B257" s="8"/>
      <c r="C257" s="8"/>
      <c r="D257" s="8"/>
      <c r="E257" s="8"/>
      <c r="F257" s="8"/>
      <c r="G257" s="8"/>
      <c r="H257" s="8"/>
      <c r="I257" s="8"/>
      <c r="J257" s="8"/>
      <c r="K257" s="8"/>
      <c r="L257" s="8"/>
      <c r="M257" s="8"/>
      <c r="N257" t="s" s="7">
        <v>9060</v>
      </c>
      <c r="O257" s="23" cm="1">
        <f t="array" ref="O257">AVERAGE(L5:L253)</f>
        <v>23662467.1044177</v>
      </c>
    </row>
    <row r="258" ht="13.65" customHeight="1">
      <c r="A258" s="8"/>
      <c r="B258" s="8"/>
      <c r="C258" s="8"/>
      <c r="D258" s="8"/>
      <c r="E258" s="8"/>
      <c r="F258" s="8"/>
      <c r="G258" s="8"/>
      <c r="H258" s="8"/>
      <c r="I258" s="8"/>
      <c r="J258" s="8"/>
      <c r="K258" s="8"/>
      <c r="L258" s="8"/>
      <c r="M258" s="8"/>
      <c r="N258" t="s" s="7">
        <v>9061</v>
      </c>
      <c r="O258" s="23" cm="1">
        <f t="array" ref="O258">IF(I253&gt;I5,1,IF(I253&lt;I5,-1,0))</f>
        <v>1</v>
      </c>
    </row>
    <row r="259" ht="13.65" customHeight="1">
      <c r="A259" s="8"/>
      <c r="B259" s="8"/>
      <c r="C259" s="8"/>
      <c r="D259" s="8"/>
      <c r="E259" s="8"/>
      <c r="F259" s="8"/>
      <c r="G259" s="8"/>
      <c r="H259" s="8"/>
      <c r="I259" s="8"/>
      <c r="J259" s="8"/>
      <c r="K259" s="8"/>
      <c r="L259" s="8"/>
      <c r="M259" s="8"/>
      <c r="N259" t="s" s="7">
        <v>528</v>
      </c>
      <c r="O259" s="22" cm="1">
        <f t="array" ref="O259">(H253-H5)/H5</f>
        <v>0.151102022267666</v>
      </c>
    </row>
    <row r="260" ht="13.65" customHeight="1">
      <c r="A260" t="s" s="7">
        <v>277</v>
      </c>
      <c r="B260" s="8"/>
      <c r="C260" s="8"/>
      <c r="D260" s="8"/>
      <c r="E260" s="8"/>
      <c r="F260" s="8"/>
      <c r="G260" s="8"/>
      <c r="H260" s="8"/>
      <c r="I260" s="8"/>
      <c r="J260" s="8"/>
      <c r="K260" s="8"/>
      <c r="L260" s="8"/>
      <c r="M260" s="8"/>
      <c r="N260" s="22"/>
      <c r="O260" s="8"/>
    </row>
    <row r="261" ht="13.65" customHeight="1">
      <c r="A261" s="9"/>
      <c r="B261" s="9"/>
      <c r="C261" s="9"/>
      <c r="D261" s="9"/>
      <c r="E261" s="9"/>
      <c r="F261" s="9"/>
      <c r="G261" s="9"/>
      <c r="H261" s="9"/>
      <c r="I261" s="9"/>
      <c r="J261" s="9"/>
      <c r="K261" s="9"/>
      <c r="L261" s="9"/>
      <c r="M261" s="9"/>
      <c r="N261" s="9"/>
      <c r="O261" s="8"/>
    </row>
    <row r="262" ht="13.65" customHeight="1">
      <c r="A262" t="s" s="10">
        <v>7</v>
      </c>
      <c r="B262" t="s" s="10">
        <v>8</v>
      </c>
      <c r="C262" t="s" s="10">
        <v>9</v>
      </c>
      <c r="D262" t="s" s="10">
        <v>10</v>
      </c>
      <c r="E262" t="s" s="10">
        <v>11</v>
      </c>
      <c r="F262" t="s" s="10">
        <v>12</v>
      </c>
      <c r="G262" t="s" s="10">
        <v>13</v>
      </c>
      <c r="H262" t="s" s="10">
        <v>14</v>
      </c>
      <c r="I262" t="s" s="10">
        <v>15</v>
      </c>
      <c r="J262" t="s" s="10">
        <v>16</v>
      </c>
      <c r="K262" t="s" s="10">
        <v>17</v>
      </c>
      <c r="L262" t="s" s="10">
        <v>18</v>
      </c>
      <c r="M262" t="s" s="10">
        <v>19</v>
      </c>
      <c r="N262" t="s" s="10">
        <v>20</v>
      </c>
      <c r="O262" t="s" s="11">
        <v>278</v>
      </c>
    </row>
    <row r="263" ht="13.65" customHeight="1">
      <c r="A263" s="12">
        <v>44652</v>
      </c>
      <c r="B263" t="s" s="13">
        <v>22</v>
      </c>
      <c r="C263" s="15">
        <v>250</v>
      </c>
      <c r="D263" s="15">
        <v>255.35</v>
      </c>
      <c r="E263" s="15">
        <v>248.8</v>
      </c>
      <c r="F263" s="15">
        <v>250.65</v>
      </c>
      <c r="G263" s="15">
        <v>255.05</v>
      </c>
      <c r="H263" s="15">
        <v>253.3</v>
      </c>
      <c r="I263" s="15">
        <v>251.32</v>
      </c>
      <c r="J263" s="15">
        <v>265.3</v>
      </c>
      <c r="K263" s="15">
        <v>199.1</v>
      </c>
      <c r="L263" s="15">
        <v>14305709</v>
      </c>
      <c r="M263" t="s" s="13">
        <v>9059</v>
      </c>
      <c r="N263" s="15">
        <v>114531</v>
      </c>
      <c r="O263" s="16"/>
    </row>
    <row r="264" ht="13.65" customHeight="1">
      <c r="A264" s="12">
        <v>44655</v>
      </c>
      <c r="B264" t="s" s="13">
        <v>22</v>
      </c>
      <c r="C264" s="15">
        <v>253.1</v>
      </c>
      <c r="D264" s="15">
        <v>257.9</v>
      </c>
      <c r="E264" s="15">
        <v>251.1</v>
      </c>
      <c r="F264" s="15">
        <v>253.3</v>
      </c>
      <c r="G264" s="15">
        <v>255.75</v>
      </c>
      <c r="H264" s="15">
        <v>255.45</v>
      </c>
      <c r="I264" s="15">
        <v>254.24</v>
      </c>
      <c r="J264" s="15">
        <v>265.3</v>
      </c>
      <c r="K264" s="15">
        <v>199.1</v>
      </c>
      <c r="L264" s="15">
        <v>15907398</v>
      </c>
      <c r="M264" t="s" s="13">
        <v>9062</v>
      </c>
      <c r="N264" s="15">
        <v>109421</v>
      </c>
      <c r="O264" s="17" cm="1">
        <f t="array" ref="O264">(H264-H263)/H263</f>
        <v>0.008487958941966051</v>
      </c>
    </row>
    <row r="265" ht="13.65" customHeight="1">
      <c r="A265" s="12">
        <v>44656</v>
      </c>
      <c r="B265" t="s" s="13">
        <v>22</v>
      </c>
      <c r="C265" s="15">
        <v>256.05</v>
      </c>
      <c r="D265" s="15">
        <v>261.85</v>
      </c>
      <c r="E265" s="15">
        <v>255.1</v>
      </c>
      <c r="F265" s="15">
        <v>255.45</v>
      </c>
      <c r="G265" s="15">
        <v>259</v>
      </c>
      <c r="H265" s="15">
        <v>259.45</v>
      </c>
      <c r="I265" s="15">
        <v>258.9</v>
      </c>
      <c r="J265" s="15">
        <v>265.3</v>
      </c>
      <c r="K265" s="15">
        <v>199.1</v>
      </c>
      <c r="L265" s="15">
        <v>27183142</v>
      </c>
      <c r="M265" t="s" s="13">
        <v>9063</v>
      </c>
      <c r="N265" s="15">
        <v>178177</v>
      </c>
      <c r="O265" s="17" cm="1">
        <f t="array" ref="O265">(H265-H264)/H264</f>
        <v>0.0156586416128401</v>
      </c>
    </row>
    <row r="266" ht="13.65" customHeight="1">
      <c r="A266" s="12">
        <v>44657</v>
      </c>
      <c r="B266" t="s" s="13">
        <v>22</v>
      </c>
      <c r="C266" s="15">
        <v>257.5</v>
      </c>
      <c r="D266" s="15">
        <v>263.35</v>
      </c>
      <c r="E266" s="15">
        <v>257.3</v>
      </c>
      <c r="F266" s="15">
        <v>259.45</v>
      </c>
      <c r="G266" s="15">
        <v>260</v>
      </c>
      <c r="H266" s="15">
        <v>259.6</v>
      </c>
      <c r="I266" s="15">
        <v>260.2</v>
      </c>
      <c r="J266" s="15">
        <v>265.3</v>
      </c>
      <c r="K266" s="15">
        <v>199.1</v>
      </c>
      <c r="L266" s="15">
        <v>19597941</v>
      </c>
      <c r="M266" t="s" s="13">
        <v>9064</v>
      </c>
      <c r="N266" s="15">
        <v>155736</v>
      </c>
      <c r="O266" s="17" cm="1">
        <f t="array" ref="O266">(H266-H265)/H265</f>
        <v>0.0005781460782424361</v>
      </c>
    </row>
    <row r="267" ht="13.65" customHeight="1">
      <c r="A267" s="12">
        <v>44658</v>
      </c>
      <c r="B267" t="s" s="13">
        <v>22</v>
      </c>
      <c r="C267" s="15">
        <v>258</v>
      </c>
      <c r="D267" s="15">
        <v>262.2</v>
      </c>
      <c r="E267" s="15">
        <v>255.8</v>
      </c>
      <c r="F267" s="15">
        <v>259.6</v>
      </c>
      <c r="G267" s="15">
        <v>256.7</v>
      </c>
      <c r="H267" s="15">
        <v>256.65</v>
      </c>
      <c r="I267" s="15">
        <v>258.62</v>
      </c>
      <c r="J267" s="15">
        <v>265.3</v>
      </c>
      <c r="K267" s="15">
        <v>199.1</v>
      </c>
      <c r="L267" s="15">
        <v>16061089</v>
      </c>
      <c r="M267" t="s" s="13">
        <v>9065</v>
      </c>
      <c r="N267" s="15">
        <v>126604</v>
      </c>
      <c r="O267" s="17" cm="1">
        <f t="array" ref="O267">(H267-H266)/H266</f>
        <v>-0.0113636363636364</v>
      </c>
    </row>
    <row r="268" ht="13.65" customHeight="1">
      <c r="A268" s="12">
        <v>44659</v>
      </c>
      <c r="B268" t="s" s="13">
        <v>22</v>
      </c>
      <c r="C268" s="15">
        <v>258</v>
      </c>
      <c r="D268" s="15">
        <v>268.85</v>
      </c>
      <c r="E268" s="15">
        <v>256</v>
      </c>
      <c r="F268" s="15">
        <v>256.65</v>
      </c>
      <c r="G268" s="15">
        <v>268.75</v>
      </c>
      <c r="H268" s="15">
        <v>267.8</v>
      </c>
      <c r="I268" s="15">
        <v>263.51</v>
      </c>
      <c r="J268" s="15">
        <v>268.85</v>
      </c>
      <c r="K268" s="15">
        <v>199.1</v>
      </c>
      <c r="L268" s="15">
        <v>37826800</v>
      </c>
      <c r="M268" t="s" s="13">
        <v>9066</v>
      </c>
      <c r="N268" s="15">
        <v>232170</v>
      </c>
      <c r="O268" s="17" cm="1">
        <f t="array" ref="O268">(H268-H267)/H267</f>
        <v>0.0434443795051627</v>
      </c>
    </row>
    <row r="269" ht="13.65" customHeight="1">
      <c r="A269" s="18">
        <v>44662</v>
      </c>
      <c r="B269" t="s" s="13">
        <v>22</v>
      </c>
      <c r="C269" s="15">
        <v>268.75</v>
      </c>
      <c r="D269" s="15">
        <v>273.15</v>
      </c>
      <c r="E269" s="15">
        <v>266</v>
      </c>
      <c r="F269" s="15">
        <v>267.8</v>
      </c>
      <c r="G269" s="15">
        <v>267.1</v>
      </c>
      <c r="H269" s="15">
        <v>267.5</v>
      </c>
      <c r="I269" s="15">
        <v>269.3</v>
      </c>
      <c r="J269" s="15">
        <v>273.15</v>
      </c>
      <c r="K269" s="15">
        <v>199.1</v>
      </c>
      <c r="L269" s="15">
        <v>46147653</v>
      </c>
      <c r="M269" t="s" s="13">
        <v>9067</v>
      </c>
      <c r="N269" s="15">
        <v>269185</v>
      </c>
      <c r="O269" s="17" cm="1">
        <f t="array" ref="O269">(H269-H268)/H268</f>
        <v>-0.00112023898431665</v>
      </c>
    </row>
    <row r="270" ht="13.65" customHeight="1">
      <c r="A270" s="18">
        <v>44663</v>
      </c>
      <c r="B270" t="s" s="13">
        <v>22</v>
      </c>
      <c r="C270" s="15">
        <v>266.9</v>
      </c>
      <c r="D270" s="15">
        <v>268.65</v>
      </c>
      <c r="E270" s="15">
        <v>263.1</v>
      </c>
      <c r="F270" s="15">
        <v>267.5</v>
      </c>
      <c r="G270" s="15">
        <v>264.6</v>
      </c>
      <c r="H270" s="15">
        <v>264.8</v>
      </c>
      <c r="I270" s="15">
        <v>265.72</v>
      </c>
      <c r="J270" s="15">
        <v>273.15</v>
      </c>
      <c r="K270" s="15">
        <v>199.1</v>
      </c>
      <c r="L270" s="15">
        <v>23553762</v>
      </c>
      <c r="M270" t="s" s="13">
        <v>9068</v>
      </c>
      <c r="N270" s="15">
        <v>150370</v>
      </c>
      <c r="O270" s="17" cm="1">
        <f t="array" ref="O270">(H270-H269)/H269</f>
        <v>-0.0100934579439252</v>
      </c>
    </row>
    <row r="271" ht="13.65" customHeight="1">
      <c r="A271" s="18">
        <v>44664</v>
      </c>
      <c r="B271" t="s" s="13">
        <v>22</v>
      </c>
      <c r="C271" s="15">
        <v>265.3</v>
      </c>
      <c r="D271" s="15">
        <v>270.6</v>
      </c>
      <c r="E271" s="15">
        <v>263.65</v>
      </c>
      <c r="F271" s="15">
        <v>264.8</v>
      </c>
      <c r="G271" s="15">
        <v>269.1</v>
      </c>
      <c r="H271" s="15">
        <v>269.55</v>
      </c>
      <c r="I271" s="15">
        <v>267.07</v>
      </c>
      <c r="J271" s="15">
        <v>273.15</v>
      </c>
      <c r="K271" s="15">
        <v>199.1</v>
      </c>
      <c r="L271" s="15">
        <v>21414383</v>
      </c>
      <c r="M271" t="s" s="13">
        <v>9069</v>
      </c>
      <c r="N271" s="15">
        <v>144139</v>
      </c>
      <c r="O271" s="17" cm="1">
        <f t="array" ref="O271">(H271-H270)/H270</f>
        <v>0.0179380664652568</v>
      </c>
    </row>
    <row r="272" ht="13.65" customHeight="1">
      <c r="A272" s="18">
        <v>44669</v>
      </c>
      <c r="B272" t="s" s="13">
        <v>22</v>
      </c>
      <c r="C272" s="15">
        <v>268</v>
      </c>
      <c r="D272" s="15">
        <v>272.5</v>
      </c>
      <c r="E272" s="15">
        <v>267.25</v>
      </c>
      <c r="F272" s="15">
        <v>269.55</v>
      </c>
      <c r="G272" s="15">
        <v>270.35</v>
      </c>
      <c r="H272" s="15">
        <v>270.1</v>
      </c>
      <c r="I272" s="15">
        <v>269.67</v>
      </c>
      <c r="J272" s="15">
        <v>273.15</v>
      </c>
      <c r="K272" s="15">
        <v>199.1</v>
      </c>
      <c r="L272" s="15">
        <v>24399444</v>
      </c>
      <c r="M272" t="s" s="13">
        <v>9070</v>
      </c>
      <c r="N272" s="15">
        <v>189235</v>
      </c>
      <c r="O272" s="17" cm="1">
        <f t="array" ref="O272">(H272-H271)/H271</f>
        <v>0.00204043776664812</v>
      </c>
    </row>
    <row r="273" ht="13.65" customHeight="1">
      <c r="A273" s="18">
        <v>44670</v>
      </c>
      <c r="B273" t="s" s="13">
        <v>22</v>
      </c>
      <c r="C273" s="15">
        <v>272</v>
      </c>
      <c r="D273" s="15">
        <v>272.5</v>
      </c>
      <c r="E273" s="15">
        <v>258.8</v>
      </c>
      <c r="F273" s="15">
        <v>270.1</v>
      </c>
      <c r="G273" s="15">
        <v>259.25</v>
      </c>
      <c r="H273" s="15">
        <v>261.55</v>
      </c>
      <c r="I273" s="15">
        <v>267.74</v>
      </c>
      <c r="J273" s="15">
        <v>273.15</v>
      </c>
      <c r="K273" s="15">
        <v>199.1</v>
      </c>
      <c r="L273" s="15">
        <v>23380138</v>
      </c>
      <c r="M273" t="s" s="13">
        <v>9071</v>
      </c>
      <c r="N273" s="15">
        <v>201593</v>
      </c>
      <c r="O273" s="17" cm="1">
        <f t="array" ref="O273">(H273-H272)/H272</f>
        <v>-0.0316549426138467</v>
      </c>
    </row>
    <row r="274" ht="13.65" customHeight="1">
      <c r="A274" s="18">
        <v>44671</v>
      </c>
      <c r="B274" t="s" s="13">
        <v>22</v>
      </c>
      <c r="C274" s="15">
        <v>262.9</v>
      </c>
      <c r="D274" s="15">
        <v>265.45</v>
      </c>
      <c r="E274" s="15">
        <v>257.55</v>
      </c>
      <c r="F274" s="15">
        <v>261.55</v>
      </c>
      <c r="G274" s="15">
        <v>259.8</v>
      </c>
      <c r="H274" s="15">
        <v>259.55</v>
      </c>
      <c r="I274" s="15">
        <v>260.75</v>
      </c>
      <c r="J274" s="15">
        <v>273.15</v>
      </c>
      <c r="K274" s="15">
        <v>199.1</v>
      </c>
      <c r="L274" s="15">
        <v>24510612</v>
      </c>
      <c r="M274" t="s" s="13">
        <v>9072</v>
      </c>
      <c r="N274" s="15">
        <v>205236</v>
      </c>
      <c r="O274" s="17" cm="1">
        <f t="array" ref="O274">(H274-H273)/H273</f>
        <v>-0.00764672146817052</v>
      </c>
    </row>
    <row r="275" ht="13.65" customHeight="1">
      <c r="A275" s="18">
        <v>44672</v>
      </c>
      <c r="B275" t="s" s="13">
        <v>22</v>
      </c>
      <c r="C275" s="15">
        <v>259.7</v>
      </c>
      <c r="D275" s="15">
        <v>264.45</v>
      </c>
      <c r="E275" s="15">
        <v>259.6</v>
      </c>
      <c r="F275" s="15">
        <v>259.55</v>
      </c>
      <c r="G275" s="15">
        <v>260.25</v>
      </c>
      <c r="H275" s="15">
        <v>260.4</v>
      </c>
      <c r="I275" s="15">
        <v>261.61</v>
      </c>
      <c r="J275" s="15">
        <v>273.15</v>
      </c>
      <c r="K275" s="15">
        <v>199.1</v>
      </c>
      <c r="L275" s="15">
        <v>23412279</v>
      </c>
      <c r="M275" t="s" s="13">
        <v>9073</v>
      </c>
      <c r="N275" s="15">
        <v>163869</v>
      </c>
      <c r="O275" s="17" cm="1">
        <f t="array" ref="O275">(H275-H274)/H274</f>
        <v>0.00327489886341745</v>
      </c>
    </row>
    <row r="276" ht="13.65" customHeight="1">
      <c r="A276" s="18">
        <v>44673</v>
      </c>
      <c r="B276" t="s" s="13">
        <v>22</v>
      </c>
      <c r="C276" s="15">
        <v>260</v>
      </c>
      <c r="D276" s="15">
        <v>263</v>
      </c>
      <c r="E276" s="15">
        <v>258.55</v>
      </c>
      <c r="F276" s="15">
        <v>260.4</v>
      </c>
      <c r="G276" s="15">
        <v>261.1</v>
      </c>
      <c r="H276" s="15">
        <v>261.1</v>
      </c>
      <c r="I276" s="15">
        <v>260.66</v>
      </c>
      <c r="J276" s="15">
        <v>273.15</v>
      </c>
      <c r="K276" s="15">
        <v>199.1</v>
      </c>
      <c r="L276" s="15">
        <v>15671273</v>
      </c>
      <c r="M276" t="s" s="13">
        <v>9074</v>
      </c>
      <c r="N276" s="15">
        <v>108602</v>
      </c>
      <c r="O276" s="17" cm="1">
        <f t="array" ref="O276">(H276-H275)/H275</f>
        <v>0.00268817204301075</v>
      </c>
    </row>
    <row r="277" ht="13.65" customHeight="1">
      <c r="A277" s="18">
        <v>44676</v>
      </c>
      <c r="B277" t="s" s="13">
        <v>22</v>
      </c>
      <c r="C277" s="15">
        <v>258.8</v>
      </c>
      <c r="D277" s="15">
        <v>259</v>
      </c>
      <c r="E277" s="15">
        <v>252.5</v>
      </c>
      <c r="F277" s="15">
        <v>261.1</v>
      </c>
      <c r="G277" s="15">
        <v>255.5</v>
      </c>
      <c r="H277" s="15">
        <v>255.25</v>
      </c>
      <c r="I277" s="15">
        <v>255.29</v>
      </c>
      <c r="J277" s="15">
        <v>273.15</v>
      </c>
      <c r="K277" s="15">
        <v>199.1</v>
      </c>
      <c r="L277" s="15">
        <v>24208645</v>
      </c>
      <c r="M277" t="s" s="13">
        <v>9075</v>
      </c>
      <c r="N277" s="15">
        <v>173578</v>
      </c>
      <c r="O277" s="17" cm="1">
        <f t="array" ref="O277">(H277-H276)/H276</f>
        <v>-0.0224052087322865</v>
      </c>
    </row>
    <row r="278" ht="13.65" customHeight="1">
      <c r="A278" s="18">
        <v>44677</v>
      </c>
      <c r="B278" t="s" s="13">
        <v>22</v>
      </c>
      <c r="C278" s="15">
        <v>256.6</v>
      </c>
      <c r="D278" s="15">
        <v>260.7</v>
      </c>
      <c r="E278" s="15">
        <v>256.25</v>
      </c>
      <c r="F278" s="15">
        <v>255.25</v>
      </c>
      <c r="G278" s="15">
        <v>258.85</v>
      </c>
      <c r="H278" s="15">
        <v>258.95</v>
      </c>
      <c r="I278" s="15">
        <v>258.6</v>
      </c>
      <c r="J278" s="15">
        <v>273.15</v>
      </c>
      <c r="K278" s="15">
        <v>199.1</v>
      </c>
      <c r="L278" s="15">
        <v>20536714</v>
      </c>
      <c r="M278" t="s" s="13">
        <v>9076</v>
      </c>
      <c r="N278" s="15">
        <v>110569</v>
      </c>
      <c r="O278" s="17" cm="1">
        <f t="array" ref="O278">(H278-H277)/H277</f>
        <v>0.0144955925563173</v>
      </c>
    </row>
    <row r="279" ht="13.65" customHeight="1">
      <c r="A279" s="18">
        <v>44678</v>
      </c>
      <c r="B279" t="s" s="13">
        <v>22</v>
      </c>
      <c r="C279" s="15">
        <v>256.2</v>
      </c>
      <c r="D279" s="15">
        <v>258.5</v>
      </c>
      <c r="E279" s="15">
        <v>255.75</v>
      </c>
      <c r="F279" s="15">
        <v>258.95</v>
      </c>
      <c r="G279" s="15">
        <v>257.2</v>
      </c>
      <c r="H279" s="15">
        <v>257.5</v>
      </c>
      <c r="I279" s="15">
        <v>257.23</v>
      </c>
      <c r="J279" s="15">
        <v>273.15</v>
      </c>
      <c r="K279" s="15">
        <v>199.1</v>
      </c>
      <c r="L279" s="15">
        <v>16580824</v>
      </c>
      <c r="M279" t="s" s="13">
        <v>9077</v>
      </c>
      <c r="N279" s="15">
        <v>91550</v>
      </c>
      <c r="O279" s="17" cm="1">
        <f t="array" ref="O279">(H279-H278)/H278</f>
        <v>-0.0055995365900753</v>
      </c>
    </row>
    <row r="280" ht="13.65" customHeight="1">
      <c r="A280" s="18">
        <v>44679</v>
      </c>
      <c r="B280" t="s" s="13">
        <v>22</v>
      </c>
      <c r="C280" s="15">
        <v>259.5</v>
      </c>
      <c r="D280" s="15">
        <v>263.7</v>
      </c>
      <c r="E280" s="15">
        <v>258.15</v>
      </c>
      <c r="F280" s="15">
        <v>257.5</v>
      </c>
      <c r="G280" s="15">
        <v>261.95</v>
      </c>
      <c r="H280" s="15">
        <v>261.1</v>
      </c>
      <c r="I280" s="15">
        <v>260.79</v>
      </c>
      <c r="J280" s="15">
        <v>273.15</v>
      </c>
      <c r="K280" s="15">
        <v>199.1</v>
      </c>
      <c r="L280" s="15">
        <v>27924384</v>
      </c>
      <c r="M280" t="s" s="13">
        <v>9078</v>
      </c>
      <c r="N280" s="15">
        <v>131008</v>
      </c>
      <c r="O280" s="17" cm="1">
        <f t="array" ref="O280">(H280-H279)/H279</f>
        <v>0.0139805825242718</v>
      </c>
    </row>
    <row r="281" ht="13.65" customHeight="1">
      <c r="A281" s="18">
        <v>44680</v>
      </c>
      <c r="B281" t="s" s="13">
        <v>22</v>
      </c>
      <c r="C281" s="15">
        <v>263</v>
      </c>
      <c r="D281" s="15">
        <v>263</v>
      </c>
      <c r="E281" s="15">
        <v>258.5</v>
      </c>
      <c r="F281" s="15">
        <v>261.1</v>
      </c>
      <c r="G281" s="15">
        <v>259.5</v>
      </c>
      <c r="H281" s="15">
        <v>259.55</v>
      </c>
      <c r="I281" s="15">
        <v>260.72</v>
      </c>
      <c r="J281" s="15">
        <v>273.15</v>
      </c>
      <c r="K281" s="15">
        <v>199.1</v>
      </c>
      <c r="L281" s="15">
        <v>20419904</v>
      </c>
      <c r="M281" t="s" s="13">
        <v>9079</v>
      </c>
      <c r="N281" s="15">
        <v>110925</v>
      </c>
      <c r="O281" s="17" cm="1">
        <f t="array" ref="O281">(H281-H280)/H280</f>
        <v>-0.00593642282650326</v>
      </c>
    </row>
    <row r="282" ht="13.65" customHeight="1">
      <c r="A282" s="19">
        <v>44683</v>
      </c>
      <c r="B282" t="s" s="13">
        <v>22</v>
      </c>
      <c r="C282" s="15">
        <v>258</v>
      </c>
      <c r="D282" s="15">
        <v>264.5</v>
      </c>
      <c r="E282" s="15">
        <v>257.05</v>
      </c>
      <c r="F282" s="15">
        <v>259.55</v>
      </c>
      <c r="G282" s="15">
        <v>263.8</v>
      </c>
      <c r="H282" s="15">
        <v>263.15</v>
      </c>
      <c r="I282" s="15">
        <v>261.53</v>
      </c>
      <c r="J282" s="15">
        <v>273.15</v>
      </c>
      <c r="K282" s="15">
        <v>199.1</v>
      </c>
      <c r="L282" s="15">
        <v>18965820</v>
      </c>
      <c r="M282" t="s" s="13">
        <v>9080</v>
      </c>
      <c r="N282" s="15">
        <v>158584</v>
      </c>
      <c r="O282" s="17" cm="1">
        <f t="array" ref="O282">(H282-H281)/H281</f>
        <v>0.013870159892121</v>
      </c>
    </row>
    <row r="283" ht="13.65" customHeight="1">
      <c r="A283" s="19">
        <v>44685</v>
      </c>
      <c r="B283" t="s" s="13">
        <v>22</v>
      </c>
      <c r="C283" s="15">
        <v>264</v>
      </c>
      <c r="D283" s="15">
        <v>266.05</v>
      </c>
      <c r="E283" s="15">
        <v>258.6</v>
      </c>
      <c r="F283" s="15">
        <v>263.15</v>
      </c>
      <c r="G283" s="15">
        <v>260.3</v>
      </c>
      <c r="H283" s="15">
        <v>259.75</v>
      </c>
      <c r="I283" s="15">
        <v>263.04</v>
      </c>
      <c r="J283" s="15">
        <v>273.15</v>
      </c>
      <c r="K283" s="15">
        <v>199.1</v>
      </c>
      <c r="L283" s="15">
        <v>25951999</v>
      </c>
      <c r="M283" t="s" s="13">
        <v>9081</v>
      </c>
      <c r="N283" s="15">
        <v>168036</v>
      </c>
      <c r="O283" s="17" cm="1">
        <f t="array" ref="O283">(H283-H282)/H282</f>
        <v>-0.0129203876116283</v>
      </c>
    </row>
    <row r="284" ht="13.65" customHeight="1">
      <c r="A284" s="19">
        <v>44686</v>
      </c>
      <c r="B284" t="s" s="13">
        <v>22</v>
      </c>
      <c r="C284" s="15">
        <v>262</v>
      </c>
      <c r="D284" s="15">
        <v>265.2</v>
      </c>
      <c r="E284" s="15">
        <v>260.4</v>
      </c>
      <c r="F284" s="15">
        <v>259.75</v>
      </c>
      <c r="G284" s="15">
        <v>262</v>
      </c>
      <c r="H284" s="15">
        <v>262.05</v>
      </c>
      <c r="I284" s="15">
        <v>263.04</v>
      </c>
      <c r="J284" s="15">
        <v>273.15</v>
      </c>
      <c r="K284" s="15">
        <v>199.1</v>
      </c>
      <c r="L284" s="15">
        <v>17932895</v>
      </c>
      <c r="M284" t="s" s="13">
        <v>9082</v>
      </c>
      <c r="N284" s="15">
        <v>115437</v>
      </c>
      <c r="O284" s="17" cm="1">
        <f t="array" ref="O284">(H284-H283)/H283</f>
        <v>0.008854667949951879</v>
      </c>
    </row>
    <row r="285" ht="13.65" customHeight="1">
      <c r="A285" s="19">
        <v>44687</v>
      </c>
      <c r="B285" t="s" s="13">
        <v>22</v>
      </c>
      <c r="C285" s="15">
        <v>259</v>
      </c>
      <c r="D285" s="15">
        <v>267.35</v>
      </c>
      <c r="E285" s="15">
        <v>258.9</v>
      </c>
      <c r="F285" s="15">
        <v>262.05</v>
      </c>
      <c r="G285" s="15">
        <v>265.65</v>
      </c>
      <c r="H285" s="15">
        <v>266.65</v>
      </c>
      <c r="I285" s="15">
        <v>264.96</v>
      </c>
      <c r="J285" s="15">
        <v>273.15</v>
      </c>
      <c r="K285" s="15">
        <v>199.1</v>
      </c>
      <c r="L285" s="15">
        <v>34490123</v>
      </c>
      <c r="M285" t="s" s="13">
        <v>9083</v>
      </c>
      <c r="N285" s="15">
        <v>251642</v>
      </c>
      <c r="O285" s="17" cm="1">
        <f t="array" ref="O285">(H285-H284)/H284</f>
        <v>0.0175539019271131</v>
      </c>
    </row>
    <row r="286" ht="13.65" customHeight="1">
      <c r="A286" s="19">
        <v>44690</v>
      </c>
      <c r="B286" t="s" s="13">
        <v>22</v>
      </c>
      <c r="C286" s="15">
        <v>266.15</v>
      </c>
      <c r="D286" s="15">
        <v>266.15</v>
      </c>
      <c r="E286" s="15">
        <v>260.55</v>
      </c>
      <c r="F286" s="15">
        <v>266.65</v>
      </c>
      <c r="G286" s="15">
        <v>263.15</v>
      </c>
      <c r="H286" s="15">
        <v>262.95</v>
      </c>
      <c r="I286" s="15">
        <v>263.34</v>
      </c>
      <c r="J286" s="15">
        <v>273.15</v>
      </c>
      <c r="K286" s="15">
        <v>200.9</v>
      </c>
      <c r="L286" s="15">
        <v>21403710</v>
      </c>
      <c r="M286" t="s" s="13">
        <v>9084</v>
      </c>
      <c r="N286" s="15">
        <v>203003</v>
      </c>
      <c r="O286" s="17" cm="1">
        <f t="array" ref="O286">(H286-H285)/H285</f>
        <v>-0.0138758672417026</v>
      </c>
    </row>
    <row r="287" ht="13.65" customHeight="1">
      <c r="A287" s="20">
        <v>44691</v>
      </c>
      <c r="B287" t="s" s="13">
        <v>22</v>
      </c>
      <c r="C287" s="15">
        <v>262</v>
      </c>
      <c r="D287" s="15">
        <v>266.8</v>
      </c>
      <c r="E287" s="15">
        <v>259.1</v>
      </c>
      <c r="F287" s="15">
        <v>262.95</v>
      </c>
      <c r="G287" s="15">
        <v>259.5</v>
      </c>
      <c r="H287" s="15">
        <v>259.75</v>
      </c>
      <c r="I287" s="15">
        <v>263.62</v>
      </c>
      <c r="J287" s="15">
        <v>273.15</v>
      </c>
      <c r="K287" s="15">
        <v>200.9</v>
      </c>
      <c r="L287" s="15">
        <v>18033260</v>
      </c>
      <c r="M287" t="s" s="13">
        <v>9085</v>
      </c>
      <c r="N287" s="15">
        <v>188902</v>
      </c>
      <c r="O287" s="17" cm="1">
        <f t="array" ref="O287">(H287-H286)/H286</f>
        <v>-0.0121696139950561</v>
      </c>
    </row>
    <row r="288" ht="13.65" customHeight="1">
      <c r="A288" s="20">
        <v>44692</v>
      </c>
      <c r="B288" t="s" s="13">
        <v>22</v>
      </c>
      <c r="C288" s="15">
        <v>259</v>
      </c>
      <c r="D288" s="15">
        <v>262.2</v>
      </c>
      <c r="E288" s="15">
        <v>251.75</v>
      </c>
      <c r="F288" s="15">
        <v>259.75</v>
      </c>
      <c r="G288" s="15">
        <v>255.6</v>
      </c>
      <c r="H288" s="15">
        <v>255.65</v>
      </c>
      <c r="I288" s="15">
        <v>255.9</v>
      </c>
      <c r="J288" s="15">
        <v>273.15</v>
      </c>
      <c r="K288" s="15">
        <v>200.9</v>
      </c>
      <c r="L288" s="15">
        <v>17344099</v>
      </c>
      <c r="M288" t="s" s="13">
        <v>9086</v>
      </c>
      <c r="N288" s="15">
        <v>178923</v>
      </c>
      <c r="O288" s="17" cm="1">
        <f t="array" ref="O288">(H288-H287)/H287</f>
        <v>-0.0157844080846968</v>
      </c>
    </row>
    <row r="289" ht="13.65" customHeight="1">
      <c r="A289" s="20">
        <v>44693</v>
      </c>
      <c r="B289" t="s" s="13">
        <v>22</v>
      </c>
      <c r="C289" s="15">
        <v>255</v>
      </c>
      <c r="D289" s="15">
        <v>256.4</v>
      </c>
      <c r="E289" s="15">
        <v>249.15</v>
      </c>
      <c r="F289" s="15">
        <v>255.65</v>
      </c>
      <c r="G289" s="15">
        <v>253.45</v>
      </c>
      <c r="H289" s="15">
        <v>252.9</v>
      </c>
      <c r="I289" s="15">
        <v>251.92</v>
      </c>
      <c r="J289" s="15">
        <v>273.15</v>
      </c>
      <c r="K289" s="15">
        <v>200.9</v>
      </c>
      <c r="L289" s="15">
        <v>20044726</v>
      </c>
      <c r="M289" t="s" s="13">
        <v>9087</v>
      </c>
      <c r="N289" s="15">
        <v>263981</v>
      </c>
      <c r="O289" s="17" cm="1">
        <f t="array" ref="O289">(H289-H288)/H288</f>
        <v>-0.0107568941912771</v>
      </c>
    </row>
    <row r="290" ht="13.65" customHeight="1">
      <c r="A290" s="20">
        <v>44694</v>
      </c>
      <c r="B290" t="s" s="13">
        <v>22</v>
      </c>
      <c r="C290" s="15">
        <v>254.95</v>
      </c>
      <c r="D290" s="15">
        <v>260.85</v>
      </c>
      <c r="E290" s="15">
        <v>254.5</v>
      </c>
      <c r="F290" s="15">
        <v>252.9</v>
      </c>
      <c r="G290" s="15">
        <v>258</v>
      </c>
      <c r="H290" s="15">
        <v>258.6</v>
      </c>
      <c r="I290" s="15">
        <v>258.72</v>
      </c>
      <c r="J290" s="15">
        <v>273.15</v>
      </c>
      <c r="K290" s="15">
        <v>200.9</v>
      </c>
      <c r="L290" s="15">
        <v>11921627</v>
      </c>
      <c r="M290" t="s" s="13">
        <v>9088</v>
      </c>
      <c r="N290" s="15">
        <v>129880</v>
      </c>
      <c r="O290" s="17" cm="1">
        <f t="array" ref="O290">(H290-H289)/H289</f>
        <v>0.0225385527876631</v>
      </c>
    </row>
    <row r="291" ht="13.65" customHeight="1">
      <c r="A291" s="20">
        <v>44697</v>
      </c>
      <c r="B291" t="s" s="13">
        <v>22</v>
      </c>
      <c r="C291" s="15">
        <v>259.95</v>
      </c>
      <c r="D291" s="15">
        <v>259.95</v>
      </c>
      <c r="E291" s="15">
        <v>253</v>
      </c>
      <c r="F291" s="15">
        <v>258.6</v>
      </c>
      <c r="G291" s="15">
        <v>254.35</v>
      </c>
      <c r="H291" s="15">
        <v>254.1</v>
      </c>
      <c r="I291" s="15">
        <v>255.88</v>
      </c>
      <c r="J291" s="15">
        <v>273.15</v>
      </c>
      <c r="K291" s="15">
        <v>200.9</v>
      </c>
      <c r="L291" s="15">
        <v>8186859</v>
      </c>
      <c r="M291" t="s" s="13">
        <v>9089</v>
      </c>
      <c r="N291" s="15">
        <v>102967</v>
      </c>
      <c r="O291" s="17" cm="1">
        <f t="array" ref="O291">(H291-H290)/H290</f>
        <v>-0.0174013921113689</v>
      </c>
    </row>
    <row r="292" ht="13.65" customHeight="1">
      <c r="A292" s="20">
        <v>44698</v>
      </c>
      <c r="B292" t="s" s="13">
        <v>22</v>
      </c>
      <c r="C292" s="15">
        <v>255</v>
      </c>
      <c r="D292" s="15">
        <v>265.5</v>
      </c>
      <c r="E292" s="15">
        <v>254.8</v>
      </c>
      <c r="F292" s="15">
        <v>254.1</v>
      </c>
      <c r="G292" s="15">
        <v>265</v>
      </c>
      <c r="H292" s="15">
        <v>264.7</v>
      </c>
      <c r="I292" s="15">
        <v>262.07</v>
      </c>
      <c r="J292" s="15">
        <v>273.15</v>
      </c>
      <c r="K292" s="15">
        <v>200.9</v>
      </c>
      <c r="L292" s="15">
        <v>17797974</v>
      </c>
      <c r="M292" t="s" s="13">
        <v>9090</v>
      </c>
      <c r="N292" s="15">
        <v>164262</v>
      </c>
      <c r="O292" s="17" cm="1">
        <f t="array" ref="O292">(H292-H291)/H291</f>
        <v>0.0417158598976781</v>
      </c>
    </row>
    <row r="293" ht="13.65" customHeight="1">
      <c r="A293" s="20">
        <v>44699</v>
      </c>
      <c r="B293" t="s" s="13">
        <v>22</v>
      </c>
      <c r="C293" s="15">
        <v>266</v>
      </c>
      <c r="D293" s="15">
        <v>267.8</v>
      </c>
      <c r="E293" s="15">
        <v>263.15</v>
      </c>
      <c r="F293" s="15">
        <v>264.7</v>
      </c>
      <c r="G293" s="15">
        <v>266.5</v>
      </c>
      <c r="H293" s="15">
        <v>266.8</v>
      </c>
      <c r="I293" s="15">
        <v>265.52</v>
      </c>
      <c r="J293" s="15">
        <v>273.15</v>
      </c>
      <c r="K293" s="15">
        <v>200.9</v>
      </c>
      <c r="L293" s="15">
        <v>20200332</v>
      </c>
      <c r="M293" t="s" s="13">
        <v>9091</v>
      </c>
      <c r="N293" s="15">
        <v>150501</v>
      </c>
      <c r="O293" s="17" cm="1">
        <f t="array" ref="O293">(H293-H292)/H292</f>
        <v>0.007933509633547411</v>
      </c>
    </row>
    <row r="294" ht="13.65" customHeight="1">
      <c r="A294" s="20">
        <v>44700</v>
      </c>
      <c r="B294" t="s" s="13">
        <v>22</v>
      </c>
      <c r="C294" s="15">
        <v>262.6</v>
      </c>
      <c r="D294" s="15">
        <v>279.25</v>
      </c>
      <c r="E294" s="15">
        <v>262.6</v>
      </c>
      <c r="F294" s="15">
        <v>266.8</v>
      </c>
      <c r="G294" s="15">
        <v>275.75</v>
      </c>
      <c r="H294" s="15">
        <v>275.65</v>
      </c>
      <c r="I294" s="15">
        <v>274.44</v>
      </c>
      <c r="J294" s="15">
        <v>279.25</v>
      </c>
      <c r="K294" s="15">
        <v>200.9</v>
      </c>
      <c r="L294" s="15">
        <v>78287713</v>
      </c>
      <c r="M294" t="s" s="13">
        <v>9092</v>
      </c>
      <c r="N294" s="15">
        <v>455087</v>
      </c>
      <c r="O294" s="17" cm="1">
        <f t="array" ref="O294">(H294-H293)/H293</f>
        <v>0.0331709145427286</v>
      </c>
    </row>
    <row r="295" ht="13.65" customHeight="1">
      <c r="A295" s="20">
        <v>44701</v>
      </c>
      <c r="B295" t="s" s="13">
        <v>22</v>
      </c>
      <c r="C295" s="15">
        <v>277</v>
      </c>
      <c r="D295" s="15">
        <v>282.35</v>
      </c>
      <c r="E295" s="15">
        <v>277</v>
      </c>
      <c r="F295" s="15">
        <v>275.65</v>
      </c>
      <c r="G295" s="15">
        <v>280.05</v>
      </c>
      <c r="H295" s="15">
        <v>280</v>
      </c>
      <c r="I295" s="15">
        <v>280.22</v>
      </c>
      <c r="J295" s="15">
        <v>282.35</v>
      </c>
      <c r="K295" s="15">
        <v>200.9</v>
      </c>
      <c r="L295" s="15">
        <v>32370771</v>
      </c>
      <c r="M295" t="s" s="13">
        <v>9093</v>
      </c>
      <c r="N295" s="15">
        <v>217504</v>
      </c>
      <c r="O295" s="17" cm="1">
        <f t="array" ref="O295">(H295-H294)/H294</f>
        <v>0.0157808815526936</v>
      </c>
    </row>
    <row r="296" ht="13.65" customHeight="1">
      <c r="A296" s="20">
        <v>44704</v>
      </c>
      <c r="B296" t="s" s="13">
        <v>22</v>
      </c>
      <c r="C296" s="15">
        <v>280</v>
      </c>
      <c r="D296" s="15">
        <v>280.45</v>
      </c>
      <c r="E296" s="15">
        <v>273.05</v>
      </c>
      <c r="F296" s="15">
        <v>280</v>
      </c>
      <c r="G296" s="15">
        <v>273.6</v>
      </c>
      <c r="H296" s="15">
        <v>274.5</v>
      </c>
      <c r="I296" s="15">
        <v>275.05</v>
      </c>
      <c r="J296" s="15">
        <v>282.35</v>
      </c>
      <c r="K296" s="15">
        <v>200.9</v>
      </c>
      <c r="L296" s="15">
        <v>21700165</v>
      </c>
      <c r="M296" t="s" s="13">
        <v>9094</v>
      </c>
      <c r="N296" s="15">
        <v>158072</v>
      </c>
      <c r="O296" s="17" cm="1">
        <f t="array" ref="O296">(H296-H295)/H295</f>
        <v>-0.0196428571428571</v>
      </c>
    </row>
    <row r="297" ht="13.65" customHeight="1">
      <c r="A297" s="20">
        <v>44705</v>
      </c>
      <c r="B297" t="s" s="13">
        <v>22</v>
      </c>
      <c r="C297" s="15">
        <v>275</v>
      </c>
      <c r="D297" s="15">
        <v>275</v>
      </c>
      <c r="E297" s="15">
        <v>270</v>
      </c>
      <c r="F297" s="15">
        <v>274.5</v>
      </c>
      <c r="G297" s="15">
        <v>271</v>
      </c>
      <c r="H297" s="15">
        <v>270.85</v>
      </c>
      <c r="I297" s="15">
        <v>272.23</v>
      </c>
      <c r="J297" s="15">
        <v>282.35</v>
      </c>
      <c r="K297" s="15">
        <v>200.9</v>
      </c>
      <c r="L297" s="15">
        <v>15547968</v>
      </c>
      <c r="M297" t="s" s="13">
        <v>9095</v>
      </c>
      <c r="N297" s="15">
        <v>110237</v>
      </c>
      <c r="O297" s="17" cm="1">
        <f t="array" ref="O297">(H297-H296)/H296</f>
        <v>-0.0132969034608379</v>
      </c>
    </row>
    <row r="298" ht="13.65" customHeight="1">
      <c r="A298" s="20">
        <v>44706</v>
      </c>
      <c r="B298" t="s" s="13">
        <v>22</v>
      </c>
      <c r="C298" s="15">
        <v>272.95</v>
      </c>
      <c r="D298" s="15">
        <v>273.9</v>
      </c>
      <c r="E298" s="15">
        <v>270.5</v>
      </c>
      <c r="F298" s="15">
        <v>270.85</v>
      </c>
      <c r="G298" s="15">
        <v>272.55</v>
      </c>
      <c r="H298" s="15">
        <v>272.7</v>
      </c>
      <c r="I298" s="15">
        <v>272.08</v>
      </c>
      <c r="J298" s="15">
        <v>282.35</v>
      </c>
      <c r="K298" s="15">
        <v>200.9</v>
      </c>
      <c r="L298" s="15">
        <v>15288648</v>
      </c>
      <c r="M298" t="s" s="13">
        <v>9096</v>
      </c>
      <c r="N298" s="15">
        <v>105968</v>
      </c>
      <c r="O298" s="17" cm="1">
        <f t="array" ref="O298">(H298-H297)/H297</f>
        <v>0.00683034890160606</v>
      </c>
    </row>
    <row r="299" ht="13.65" customHeight="1">
      <c r="A299" s="20">
        <v>44707</v>
      </c>
      <c r="B299" t="s" s="13">
        <v>22</v>
      </c>
      <c r="C299" s="15">
        <v>268.25</v>
      </c>
      <c r="D299" s="15">
        <v>268.25</v>
      </c>
      <c r="E299" s="15">
        <v>263.85</v>
      </c>
      <c r="F299" s="15">
        <v>272.7</v>
      </c>
      <c r="G299" s="15">
        <v>266.9</v>
      </c>
      <c r="H299" s="15">
        <v>266.7</v>
      </c>
      <c r="I299" s="15">
        <v>265.96</v>
      </c>
      <c r="J299" s="15">
        <v>282.35</v>
      </c>
      <c r="K299" s="15">
        <v>200.9</v>
      </c>
      <c r="L299" s="15">
        <v>18420159</v>
      </c>
      <c r="M299" t="s" s="13">
        <v>9097</v>
      </c>
      <c r="N299" s="15">
        <v>137230</v>
      </c>
      <c r="O299" s="17" cm="1">
        <f t="array" ref="O299">(H299-H298)/H298</f>
        <v>-0.022002200220022</v>
      </c>
    </row>
    <row r="300" ht="13.65" customHeight="1">
      <c r="A300" s="20">
        <v>44708</v>
      </c>
      <c r="B300" t="s" s="13">
        <v>22</v>
      </c>
      <c r="C300" s="15">
        <v>269</v>
      </c>
      <c r="D300" s="15">
        <v>270.7</v>
      </c>
      <c r="E300" s="15">
        <v>265.05</v>
      </c>
      <c r="F300" s="15">
        <v>266.7</v>
      </c>
      <c r="G300" s="15">
        <v>269.25</v>
      </c>
      <c r="H300" s="15">
        <v>269.2</v>
      </c>
      <c r="I300" s="15">
        <v>268.11</v>
      </c>
      <c r="J300" s="15">
        <v>282.35</v>
      </c>
      <c r="K300" s="15">
        <v>200.9</v>
      </c>
      <c r="L300" s="15">
        <v>13468067</v>
      </c>
      <c r="M300" t="s" s="13">
        <v>9098</v>
      </c>
      <c r="N300" s="15">
        <v>92366</v>
      </c>
      <c r="O300" s="17" cm="1">
        <f t="array" ref="O300">(H300-H299)/H299</f>
        <v>0.009373828271466071</v>
      </c>
    </row>
    <row r="301" ht="13.65" customHeight="1">
      <c r="A301" s="20">
        <v>44711</v>
      </c>
      <c r="B301" t="s" s="13">
        <v>22</v>
      </c>
      <c r="C301" s="15">
        <v>270.5</v>
      </c>
      <c r="D301" s="15">
        <v>271</v>
      </c>
      <c r="E301" s="15">
        <v>267.6</v>
      </c>
      <c r="F301" s="15">
        <v>269.2</v>
      </c>
      <c r="G301" s="15">
        <v>269</v>
      </c>
      <c r="H301" s="15">
        <v>269.05</v>
      </c>
      <c r="I301" s="15">
        <v>268.88</v>
      </c>
      <c r="J301" s="15">
        <v>282.35</v>
      </c>
      <c r="K301" s="15">
        <v>200.9</v>
      </c>
      <c r="L301" s="15">
        <v>11819102</v>
      </c>
      <c r="M301" t="s" s="13">
        <v>9099</v>
      </c>
      <c r="N301" s="15">
        <v>106135</v>
      </c>
      <c r="O301" s="17" cm="1">
        <f t="array" ref="O301">(H301-H300)/H300</f>
        <v>-0.000557206537890045</v>
      </c>
    </row>
    <row r="302" ht="13.65" customHeight="1">
      <c r="A302" s="20">
        <v>44712</v>
      </c>
      <c r="B302" t="s" s="13">
        <v>22</v>
      </c>
      <c r="C302" s="15">
        <v>269.05</v>
      </c>
      <c r="D302" s="15">
        <v>274.5</v>
      </c>
      <c r="E302" s="15">
        <v>266.4</v>
      </c>
      <c r="F302" s="15">
        <v>269.05</v>
      </c>
      <c r="G302" s="15">
        <v>271.2</v>
      </c>
      <c r="H302" s="15">
        <v>270.65</v>
      </c>
      <c r="I302" s="15">
        <v>270.75</v>
      </c>
      <c r="J302" s="15">
        <v>282.35</v>
      </c>
      <c r="K302" s="15">
        <v>200.9</v>
      </c>
      <c r="L302" s="15">
        <v>23208345</v>
      </c>
      <c r="M302" t="s" s="13">
        <v>9100</v>
      </c>
      <c r="N302" s="15">
        <v>98915</v>
      </c>
      <c r="O302" s="17" cm="1">
        <f t="array" ref="O302">(H302-H301)/H301</f>
        <v>0.00594685002787586</v>
      </c>
    </row>
    <row r="303" ht="13.65" customHeight="1">
      <c r="A303" s="12">
        <v>44713</v>
      </c>
      <c r="B303" t="s" s="13">
        <v>22</v>
      </c>
      <c r="C303" s="15">
        <v>270.65</v>
      </c>
      <c r="D303" s="15">
        <v>274.1</v>
      </c>
      <c r="E303" s="15">
        <v>270.2</v>
      </c>
      <c r="F303" s="15">
        <v>270.65</v>
      </c>
      <c r="G303" s="15">
        <v>271.5</v>
      </c>
      <c r="H303" s="15">
        <v>271.85</v>
      </c>
      <c r="I303" s="15">
        <v>272.2</v>
      </c>
      <c r="J303" s="15">
        <v>282.35</v>
      </c>
      <c r="K303" s="15">
        <v>200.9</v>
      </c>
      <c r="L303" s="15">
        <v>14699792</v>
      </c>
      <c r="M303" t="s" s="13">
        <v>9101</v>
      </c>
      <c r="N303" s="15">
        <v>100701</v>
      </c>
      <c r="O303" s="17" cm="1">
        <f t="array" ref="O303">(H303-H302)/H302</f>
        <v>0.00443377055237391</v>
      </c>
    </row>
    <row r="304" ht="13.65" customHeight="1">
      <c r="A304" s="12">
        <v>44714</v>
      </c>
      <c r="B304" t="s" s="13">
        <v>22</v>
      </c>
      <c r="C304" s="15">
        <v>270.7</v>
      </c>
      <c r="D304" s="15">
        <v>274.45</v>
      </c>
      <c r="E304" s="15">
        <v>267.85</v>
      </c>
      <c r="F304" s="15">
        <v>271.85</v>
      </c>
      <c r="G304" s="15">
        <v>273</v>
      </c>
      <c r="H304" s="15">
        <v>273.5</v>
      </c>
      <c r="I304" s="15">
        <v>271.97</v>
      </c>
      <c r="J304" s="15">
        <v>282.35</v>
      </c>
      <c r="K304" s="15">
        <v>200.9</v>
      </c>
      <c r="L304" s="15">
        <v>14240994</v>
      </c>
      <c r="M304" t="s" s="13">
        <v>9102</v>
      </c>
      <c r="N304" s="15">
        <v>114544</v>
      </c>
      <c r="O304" s="17" cm="1">
        <f t="array" ref="O304">(H304-H303)/H303</f>
        <v>0.00606952363435718</v>
      </c>
    </row>
    <row r="305" ht="13.65" customHeight="1">
      <c r="A305" s="12">
        <v>44715</v>
      </c>
      <c r="B305" t="s" s="13">
        <v>22</v>
      </c>
      <c r="C305" s="15">
        <v>275</v>
      </c>
      <c r="D305" s="15">
        <v>275.7</v>
      </c>
      <c r="E305" s="15">
        <v>271.6</v>
      </c>
      <c r="F305" s="15">
        <v>273.5</v>
      </c>
      <c r="G305" s="15">
        <v>272.4</v>
      </c>
      <c r="H305" s="15">
        <v>272.7</v>
      </c>
      <c r="I305" s="15">
        <v>273.54</v>
      </c>
      <c r="J305" s="15">
        <v>282.35</v>
      </c>
      <c r="K305" s="15">
        <v>200.9</v>
      </c>
      <c r="L305" s="15">
        <v>12487862</v>
      </c>
      <c r="M305" t="s" s="13">
        <v>9103</v>
      </c>
      <c r="N305" s="15">
        <v>97837</v>
      </c>
      <c r="O305" s="17" cm="1">
        <f t="array" ref="O305">(H305-H304)/H304</f>
        <v>-0.00292504570383912</v>
      </c>
    </row>
    <row r="306" ht="13.65" customHeight="1">
      <c r="A306" s="12">
        <v>44718</v>
      </c>
      <c r="B306" t="s" s="13">
        <v>22</v>
      </c>
      <c r="C306" s="15">
        <v>272.4</v>
      </c>
      <c r="D306" s="15">
        <v>275.8</v>
      </c>
      <c r="E306" s="15">
        <v>269.7</v>
      </c>
      <c r="F306" s="15">
        <v>272.7</v>
      </c>
      <c r="G306" s="15">
        <v>274.45</v>
      </c>
      <c r="H306" s="15">
        <v>274.8</v>
      </c>
      <c r="I306" s="15">
        <v>273.53</v>
      </c>
      <c r="J306" s="15">
        <v>282.35</v>
      </c>
      <c r="K306" s="15">
        <v>200.9</v>
      </c>
      <c r="L306" s="15">
        <v>10925182</v>
      </c>
      <c r="M306" t="s" s="13">
        <v>9104</v>
      </c>
      <c r="N306" s="15">
        <v>87814</v>
      </c>
      <c r="O306" s="17" cm="1">
        <f t="array" ref="O306">(H306-H305)/H305</f>
        <v>0.0077007700770077</v>
      </c>
    </row>
    <row r="307" ht="13.65" customHeight="1">
      <c r="A307" s="12">
        <v>44719</v>
      </c>
      <c r="B307" t="s" s="13">
        <v>22</v>
      </c>
      <c r="C307" s="15">
        <v>273.2</v>
      </c>
      <c r="D307" s="15">
        <v>275</v>
      </c>
      <c r="E307" s="15">
        <v>272.25</v>
      </c>
      <c r="F307" s="15">
        <v>274.8</v>
      </c>
      <c r="G307" s="15">
        <v>273.95</v>
      </c>
      <c r="H307" s="15">
        <v>273.9</v>
      </c>
      <c r="I307" s="15">
        <v>273.48</v>
      </c>
      <c r="J307" s="15">
        <v>282.35</v>
      </c>
      <c r="K307" s="15">
        <v>200.9</v>
      </c>
      <c r="L307" s="15">
        <v>10828539</v>
      </c>
      <c r="M307" t="s" s="13">
        <v>9105</v>
      </c>
      <c r="N307" s="15">
        <v>98015</v>
      </c>
      <c r="O307" s="17" cm="1">
        <f t="array" ref="O307">(H307-H306)/H306</f>
        <v>-0.00327510917030568</v>
      </c>
    </row>
    <row r="308" ht="13.65" customHeight="1">
      <c r="A308" s="12">
        <v>44720</v>
      </c>
      <c r="B308" t="s" s="13">
        <v>22</v>
      </c>
      <c r="C308" s="15">
        <v>273.95</v>
      </c>
      <c r="D308" s="15">
        <v>274.4</v>
      </c>
      <c r="E308" s="15">
        <v>266.2</v>
      </c>
      <c r="F308" s="15">
        <v>273.9</v>
      </c>
      <c r="G308" s="15">
        <v>267.8</v>
      </c>
      <c r="H308" s="15">
        <v>267.9</v>
      </c>
      <c r="I308" s="15">
        <v>270.49</v>
      </c>
      <c r="J308" s="15">
        <v>282.35</v>
      </c>
      <c r="K308" s="15">
        <v>200.9</v>
      </c>
      <c r="L308" s="15">
        <v>14361969</v>
      </c>
      <c r="M308" t="s" s="13">
        <v>9106</v>
      </c>
      <c r="N308" s="15">
        <v>192981</v>
      </c>
      <c r="O308" s="17" cm="1">
        <f t="array" ref="O308">(H308-H307)/H307</f>
        <v>-0.0219058050383352</v>
      </c>
    </row>
    <row r="309" ht="13.65" customHeight="1">
      <c r="A309" s="12">
        <v>44721</v>
      </c>
      <c r="B309" t="s" s="13">
        <v>22</v>
      </c>
      <c r="C309" s="15">
        <v>267.8</v>
      </c>
      <c r="D309" s="15">
        <v>271.7</v>
      </c>
      <c r="E309" s="15">
        <v>265.75</v>
      </c>
      <c r="F309" s="15">
        <v>267.9</v>
      </c>
      <c r="G309" s="15">
        <v>270.9</v>
      </c>
      <c r="H309" s="15">
        <v>270.85</v>
      </c>
      <c r="I309" s="15">
        <v>269.79</v>
      </c>
      <c r="J309" s="15">
        <v>282.35</v>
      </c>
      <c r="K309" s="15">
        <v>200.9</v>
      </c>
      <c r="L309" s="15">
        <v>9860194</v>
      </c>
      <c r="M309" t="s" s="13">
        <v>9107</v>
      </c>
      <c r="N309" s="15">
        <v>91711</v>
      </c>
      <c r="O309" s="17" cm="1">
        <f t="array" ref="O309">(H309-H308)/H308</f>
        <v>0.0110115714818962</v>
      </c>
    </row>
    <row r="310" ht="13.65" customHeight="1">
      <c r="A310" s="18">
        <v>44722</v>
      </c>
      <c r="B310" t="s" s="13">
        <v>22</v>
      </c>
      <c r="C310" s="15">
        <v>269.05</v>
      </c>
      <c r="D310" s="15">
        <v>271</v>
      </c>
      <c r="E310" s="15">
        <v>268.75</v>
      </c>
      <c r="F310" s="15">
        <v>270.85</v>
      </c>
      <c r="G310" s="15">
        <v>269.95</v>
      </c>
      <c r="H310" s="15">
        <v>270.15</v>
      </c>
      <c r="I310" s="15">
        <v>269.93</v>
      </c>
      <c r="J310" s="15">
        <v>282.35</v>
      </c>
      <c r="K310" s="15">
        <v>200.9</v>
      </c>
      <c r="L310" s="15">
        <v>8371061</v>
      </c>
      <c r="M310" t="s" s="13">
        <v>9108</v>
      </c>
      <c r="N310" s="15">
        <v>79572</v>
      </c>
      <c r="O310" s="17" cm="1">
        <f t="array" ref="O310">(H310-H309)/H309</f>
        <v>-0.00258445634114824</v>
      </c>
    </row>
    <row r="311" ht="13.65" customHeight="1">
      <c r="A311" s="18">
        <v>44725</v>
      </c>
      <c r="B311" t="s" s="13">
        <v>22</v>
      </c>
      <c r="C311" s="15">
        <v>266.4</v>
      </c>
      <c r="D311" s="15">
        <v>269.1</v>
      </c>
      <c r="E311" s="15">
        <v>263</v>
      </c>
      <c r="F311" s="15">
        <v>270.15</v>
      </c>
      <c r="G311" s="15">
        <v>264.55</v>
      </c>
      <c r="H311" s="15">
        <v>264.65</v>
      </c>
      <c r="I311" s="15">
        <v>265.76</v>
      </c>
      <c r="J311" s="15">
        <v>282.35</v>
      </c>
      <c r="K311" s="15">
        <v>200.9</v>
      </c>
      <c r="L311" s="15">
        <v>11092690</v>
      </c>
      <c r="M311" t="s" s="13">
        <v>9109</v>
      </c>
      <c r="N311" s="15">
        <v>136517</v>
      </c>
      <c r="O311" s="17" cm="1">
        <f t="array" ref="O311">(H311-H310)/H310</f>
        <v>-0.0203590597816028</v>
      </c>
    </row>
    <row r="312" ht="13.65" customHeight="1">
      <c r="A312" s="18">
        <v>44726</v>
      </c>
      <c r="B312" t="s" s="13">
        <v>22</v>
      </c>
      <c r="C312" s="15">
        <v>263.2</v>
      </c>
      <c r="D312" s="15">
        <v>267.45</v>
      </c>
      <c r="E312" s="15">
        <v>263.05</v>
      </c>
      <c r="F312" s="15">
        <v>264.65</v>
      </c>
      <c r="G312" s="15">
        <v>266</v>
      </c>
      <c r="H312" s="15">
        <v>265.45</v>
      </c>
      <c r="I312" s="15">
        <v>265.65</v>
      </c>
      <c r="J312" s="15">
        <v>282.35</v>
      </c>
      <c r="K312" s="15">
        <v>200.9</v>
      </c>
      <c r="L312" s="15">
        <v>7422193</v>
      </c>
      <c r="M312" t="s" s="13">
        <v>9110</v>
      </c>
      <c r="N312" s="15">
        <v>83473</v>
      </c>
      <c r="O312" s="17" cm="1">
        <f t="array" ref="O312">(H312-H311)/H311</f>
        <v>0.00302286038163612</v>
      </c>
    </row>
    <row r="313" ht="13.65" customHeight="1">
      <c r="A313" s="18">
        <v>44727</v>
      </c>
      <c r="B313" t="s" s="13">
        <v>22</v>
      </c>
      <c r="C313" s="15">
        <v>266</v>
      </c>
      <c r="D313" s="15">
        <v>267.3</v>
      </c>
      <c r="E313" s="15">
        <v>263.05</v>
      </c>
      <c r="F313" s="15">
        <v>265.45</v>
      </c>
      <c r="G313" s="15">
        <v>263.5</v>
      </c>
      <c r="H313" s="15">
        <v>263.4</v>
      </c>
      <c r="I313" s="15">
        <v>265.1</v>
      </c>
      <c r="J313" s="15">
        <v>282.35</v>
      </c>
      <c r="K313" s="15">
        <v>200.9</v>
      </c>
      <c r="L313" s="15">
        <v>5059474</v>
      </c>
      <c r="M313" t="s" s="13">
        <v>9111</v>
      </c>
      <c r="N313" s="15">
        <v>81484</v>
      </c>
      <c r="O313" s="17" cm="1">
        <f t="array" ref="O313">(H313-H312)/H312</f>
        <v>-0.00772273497833867</v>
      </c>
    </row>
    <row r="314" ht="13.65" customHeight="1">
      <c r="A314" s="18">
        <v>44728</v>
      </c>
      <c r="B314" t="s" s="13">
        <v>22</v>
      </c>
      <c r="C314" s="15">
        <v>267</v>
      </c>
      <c r="D314" s="15">
        <v>267.9</v>
      </c>
      <c r="E314" s="15">
        <v>259.5</v>
      </c>
      <c r="F314" s="15">
        <v>263.4</v>
      </c>
      <c r="G314" s="15">
        <v>260.4</v>
      </c>
      <c r="H314" s="15">
        <v>260.7</v>
      </c>
      <c r="I314" s="15">
        <v>262.44</v>
      </c>
      <c r="J314" s="15">
        <v>282.35</v>
      </c>
      <c r="K314" s="15">
        <v>200.9</v>
      </c>
      <c r="L314" s="15">
        <v>14293357</v>
      </c>
      <c r="M314" t="s" s="13">
        <v>9112</v>
      </c>
      <c r="N314" s="15">
        <v>142462</v>
      </c>
      <c r="O314" s="17" cm="1">
        <f t="array" ref="O314">(H314-H313)/H313</f>
        <v>-0.010250569476082</v>
      </c>
    </row>
    <row r="315" ht="13.65" customHeight="1">
      <c r="A315" s="18">
        <v>44729</v>
      </c>
      <c r="B315" t="s" s="13">
        <v>22</v>
      </c>
      <c r="C315" s="15">
        <v>259</v>
      </c>
      <c r="D315" s="15">
        <v>264.15</v>
      </c>
      <c r="E315" s="15">
        <v>258.55</v>
      </c>
      <c r="F315" s="15">
        <v>260.7</v>
      </c>
      <c r="G315" s="15">
        <v>263.5</v>
      </c>
      <c r="H315" s="15">
        <v>263.3</v>
      </c>
      <c r="I315" s="15">
        <v>262.62</v>
      </c>
      <c r="J315" s="15">
        <v>282.35</v>
      </c>
      <c r="K315" s="15">
        <v>200.9</v>
      </c>
      <c r="L315" s="15">
        <v>16654660</v>
      </c>
      <c r="M315" t="s" s="13">
        <v>9113</v>
      </c>
      <c r="N315" s="15">
        <v>132372</v>
      </c>
      <c r="O315" s="17" cm="1">
        <f t="array" ref="O315">(H315-H314)/H314</f>
        <v>0.00997314921365554</v>
      </c>
    </row>
    <row r="316" ht="13.65" customHeight="1">
      <c r="A316" s="18">
        <v>44732</v>
      </c>
      <c r="B316" t="s" s="13">
        <v>22</v>
      </c>
      <c r="C316" s="15">
        <v>263.3</v>
      </c>
      <c r="D316" s="15">
        <v>266.15</v>
      </c>
      <c r="E316" s="15">
        <v>261.35</v>
      </c>
      <c r="F316" s="15">
        <v>263.3</v>
      </c>
      <c r="G316" s="15">
        <v>263.9</v>
      </c>
      <c r="H316" s="15">
        <v>264.1</v>
      </c>
      <c r="I316" s="15">
        <v>263.83</v>
      </c>
      <c r="J316" s="15">
        <v>282.35</v>
      </c>
      <c r="K316" s="15">
        <v>200.9</v>
      </c>
      <c r="L316" s="15">
        <v>17081136</v>
      </c>
      <c r="M316" t="s" s="13">
        <v>9114</v>
      </c>
      <c r="N316" s="15">
        <v>123394</v>
      </c>
      <c r="O316" s="17" cm="1">
        <f t="array" ref="O316">(H316-H315)/H315</f>
        <v>0.00303835928598557</v>
      </c>
    </row>
    <row r="317" ht="13.65" customHeight="1">
      <c r="A317" s="18">
        <v>44733</v>
      </c>
      <c r="B317" t="s" s="13">
        <v>22</v>
      </c>
      <c r="C317" s="15">
        <v>265</v>
      </c>
      <c r="D317" s="15">
        <v>270.85</v>
      </c>
      <c r="E317" s="15">
        <v>264.1</v>
      </c>
      <c r="F317" s="15">
        <v>264.1</v>
      </c>
      <c r="G317" s="15">
        <v>269.6</v>
      </c>
      <c r="H317" s="15">
        <v>269.9</v>
      </c>
      <c r="I317" s="15">
        <v>268.13</v>
      </c>
      <c r="J317" s="15">
        <v>282.35</v>
      </c>
      <c r="K317" s="15">
        <v>200.9</v>
      </c>
      <c r="L317" s="15">
        <v>13883034</v>
      </c>
      <c r="M317" t="s" s="13">
        <v>9115</v>
      </c>
      <c r="N317" s="15">
        <v>94264</v>
      </c>
      <c r="O317" s="17" cm="1">
        <f t="array" ref="O317">(H317-H316)/H316</f>
        <v>0.0219613782658084</v>
      </c>
    </row>
    <row r="318" ht="13.65" customHeight="1">
      <c r="A318" s="18">
        <v>44734</v>
      </c>
      <c r="B318" t="s" s="13">
        <v>22</v>
      </c>
      <c r="C318" s="15">
        <v>267</v>
      </c>
      <c r="D318" s="15">
        <v>270.3</v>
      </c>
      <c r="E318" s="15">
        <v>264.9</v>
      </c>
      <c r="F318" s="15">
        <v>269.9</v>
      </c>
      <c r="G318" s="15">
        <v>265</v>
      </c>
      <c r="H318" s="15">
        <v>265.3</v>
      </c>
      <c r="I318" s="15">
        <v>267.36</v>
      </c>
      <c r="J318" s="15">
        <v>282.35</v>
      </c>
      <c r="K318" s="15">
        <v>200.9</v>
      </c>
      <c r="L318" s="15">
        <v>11320918</v>
      </c>
      <c r="M318" t="s" s="13">
        <v>9116</v>
      </c>
      <c r="N318" s="15">
        <v>115525</v>
      </c>
      <c r="O318" s="17" cm="1">
        <f t="array" ref="O318">(H318-H317)/H317</f>
        <v>-0.0170433493886625</v>
      </c>
    </row>
    <row r="319" ht="13.65" customHeight="1">
      <c r="A319" s="18">
        <v>44735</v>
      </c>
      <c r="B319" t="s" s="13">
        <v>22</v>
      </c>
      <c r="C319" s="15">
        <v>265.5</v>
      </c>
      <c r="D319" s="15">
        <v>267.25</v>
      </c>
      <c r="E319" s="15">
        <v>262.4</v>
      </c>
      <c r="F319" s="15">
        <v>265.3</v>
      </c>
      <c r="G319" s="15">
        <v>266.35</v>
      </c>
      <c r="H319" s="15">
        <v>265.5</v>
      </c>
      <c r="I319" s="15">
        <v>265.08</v>
      </c>
      <c r="J319" s="15">
        <v>282.35</v>
      </c>
      <c r="K319" s="15">
        <v>200.9</v>
      </c>
      <c r="L319" s="15">
        <v>9067252</v>
      </c>
      <c r="M319" t="s" s="13">
        <v>9117</v>
      </c>
      <c r="N319" s="15">
        <v>85999</v>
      </c>
      <c r="O319" s="17" cm="1">
        <f t="array" ref="O319">(H319-H318)/H318</f>
        <v>0.000753863550697324</v>
      </c>
    </row>
    <row r="320" ht="13.65" customHeight="1">
      <c r="A320" s="18">
        <v>44736</v>
      </c>
      <c r="B320" t="s" s="13">
        <v>22</v>
      </c>
      <c r="C320" s="15">
        <v>266.1</v>
      </c>
      <c r="D320" s="15">
        <v>268.35</v>
      </c>
      <c r="E320" s="15">
        <v>265.2</v>
      </c>
      <c r="F320" s="15">
        <v>265.5</v>
      </c>
      <c r="G320" s="15">
        <v>266</v>
      </c>
      <c r="H320" s="15">
        <v>265.85</v>
      </c>
      <c r="I320" s="15">
        <v>266.37</v>
      </c>
      <c r="J320" s="15">
        <v>282.35</v>
      </c>
      <c r="K320" s="15">
        <v>200.9</v>
      </c>
      <c r="L320" s="15">
        <v>7013132</v>
      </c>
      <c r="M320" t="s" s="13">
        <v>9118</v>
      </c>
      <c r="N320" s="15">
        <v>72489</v>
      </c>
      <c r="O320" s="17" cm="1">
        <f t="array" ref="O320">(H320-H319)/H319</f>
        <v>0.00131826741996234</v>
      </c>
    </row>
    <row r="321" ht="13.65" customHeight="1">
      <c r="A321" s="18">
        <v>44739</v>
      </c>
      <c r="B321" t="s" s="13">
        <v>22</v>
      </c>
      <c r="C321" s="15">
        <v>267</v>
      </c>
      <c r="D321" s="15">
        <v>270.65</v>
      </c>
      <c r="E321" s="15">
        <v>266.5</v>
      </c>
      <c r="F321" s="15">
        <v>265.85</v>
      </c>
      <c r="G321" s="15">
        <v>270</v>
      </c>
      <c r="H321" s="15">
        <v>269.95</v>
      </c>
      <c r="I321" s="15">
        <v>269.13</v>
      </c>
      <c r="J321" s="15">
        <v>282.35</v>
      </c>
      <c r="K321" s="15">
        <v>200.9</v>
      </c>
      <c r="L321" s="15">
        <v>8172964</v>
      </c>
      <c r="M321" t="s" s="13">
        <v>9119</v>
      </c>
      <c r="N321" s="15">
        <v>81295</v>
      </c>
      <c r="O321" s="17" cm="1">
        <f t="array" ref="O321">(H321-H320)/H320</f>
        <v>0.0154222305811548</v>
      </c>
    </row>
    <row r="322" ht="13.65" customHeight="1">
      <c r="A322" s="18">
        <v>44740</v>
      </c>
      <c r="B322" t="s" s="13">
        <v>22</v>
      </c>
      <c r="C322" s="15">
        <v>268.9</v>
      </c>
      <c r="D322" s="15">
        <v>272.25</v>
      </c>
      <c r="E322" s="15">
        <v>268.55</v>
      </c>
      <c r="F322" s="15">
        <v>269.95</v>
      </c>
      <c r="G322" s="15">
        <v>271.7</v>
      </c>
      <c r="H322" s="15">
        <v>271.85</v>
      </c>
      <c r="I322" s="15">
        <v>271.1</v>
      </c>
      <c r="J322" s="15">
        <v>282.35</v>
      </c>
      <c r="K322" s="15">
        <v>200.9</v>
      </c>
      <c r="L322" s="15">
        <v>11240154</v>
      </c>
      <c r="M322" t="s" s="13">
        <v>9120</v>
      </c>
      <c r="N322" s="15">
        <v>89068</v>
      </c>
      <c r="O322" s="17" cm="1">
        <f t="array" ref="O322">(H322-H321)/H321</f>
        <v>0.0070383404334136</v>
      </c>
    </row>
    <row r="323" ht="13.65" customHeight="1">
      <c r="A323" s="18">
        <v>44741</v>
      </c>
      <c r="B323" t="s" s="13">
        <v>22</v>
      </c>
      <c r="C323" s="15">
        <v>269.25</v>
      </c>
      <c r="D323" s="15">
        <v>275</v>
      </c>
      <c r="E323" s="15">
        <v>269.15</v>
      </c>
      <c r="F323" s="15">
        <v>271.85</v>
      </c>
      <c r="G323" s="15">
        <v>273.35</v>
      </c>
      <c r="H323" s="15">
        <v>274.05</v>
      </c>
      <c r="I323" s="15">
        <v>272.44</v>
      </c>
      <c r="J323" s="15">
        <v>282.35</v>
      </c>
      <c r="K323" s="15">
        <v>200.9</v>
      </c>
      <c r="L323" s="15">
        <v>16018449</v>
      </c>
      <c r="M323" t="s" s="13">
        <v>9121</v>
      </c>
      <c r="N323" s="15">
        <v>100735</v>
      </c>
      <c r="O323" s="17" cm="1">
        <f t="array" ref="O323">(H323-H322)/H322</f>
        <v>0.008092698179142909</v>
      </c>
    </row>
    <row r="324" ht="13.65" customHeight="1">
      <c r="A324" s="18">
        <v>44742</v>
      </c>
      <c r="B324" t="s" s="13">
        <v>22</v>
      </c>
      <c r="C324" s="15">
        <v>273.95</v>
      </c>
      <c r="D324" s="15">
        <v>274.7</v>
      </c>
      <c r="E324" s="15">
        <v>272</v>
      </c>
      <c r="F324" s="15">
        <v>274.05</v>
      </c>
      <c r="G324" s="15">
        <v>272.15</v>
      </c>
      <c r="H324" s="15">
        <v>273.5</v>
      </c>
      <c r="I324" s="15">
        <v>273.5</v>
      </c>
      <c r="J324" s="15">
        <v>282.35</v>
      </c>
      <c r="K324" s="15">
        <v>200.9</v>
      </c>
      <c r="L324" s="15">
        <v>19262054</v>
      </c>
      <c r="M324" t="s" s="13">
        <v>9122</v>
      </c>
      <c r="N324" s="15">
        <v>111474</v>
      </c>
      <c r="O324" s="17" cm="1">
        <f t="array" ref="O324">(H324-H323)/H323</f>
        <v>-0.0020069330414158</v>
      </c>
    </row>
    <row r="325" ht="13.65" customHeight="1">
      <c r="A325" s="12">
        <v>44743</v>
      </c>
      <c r="B325" t="s" s="13">
        <v>22</v>
      </c>
      <c r="C325" s="15">
        <v>273.5</v>
      </c>
      <c r="D325" s="15">
        <v>285</v>
      </c>
      <c r="E325" s="15">
        <v>271.2</v>
      </c>
      <c r="F325" s="15">
        <v>273.5</v>
      </c>
      <c r="G325" s="15">
        <v>284.75</v>
      </c>
      <c r="H325" s="15">
        <v>284.35</v>
      </c>
      <c r="I325" s="15">
        <v>279.9</v>
      </c>
      <c r="J325" s="15">
        <v>285</v>
      </c>
      <c r="K325" s="15">
        <v>200.9</v>
      </c>
      <c r="L325" s="15">
        <v>35165665</v>
      </c>
      <c r="M325" t="s" s="13">
        <v>9123</v>
      </c>
      <c r="N325" s="15">
        <v>217262</v>
      </c>
      <c r="O325" s="17" cm="1">
        <f t="array" ref="O325">(H325-H324)/H324</f>
        <v>0.0396709323583181</v>
      </c>
    </row>
    <row r="326" ht="13.65" customHeight="1">
      <c r="A326" s="12">
        <v>44746</v>
      </c>
      <c r="B326" t="s" s="13">
        <v>22</v>
      </c>
      <c r="C326" s="15">
        <v>285.65</v>
      </c>
      <c r="D326" s="15">
        <v>293.3</v>
      </c>
      <c r="E326" s="15">
        <v>284.8</v>
      </c>
      <c r="F326" s="15">
        <v>284.35</v>
      </c>
      <c r="G326" s="15">
        <v>291.5</v>
      </c>
      <c r="H326" s="15">
        <v>291.9</v>
      </c>
      <c r="I326" s="15">
        <v>290.16</v>
      </c>
      <c r="J326" s="15">
        <v>293.3</v>
      </c>
      <c r="K326" s="15">
        <v>200.9</v>
      </c>
      <c r="L326" s="15">
        <v>39881736</v>
      </c>
      <c r="M326" t="s" s="13">
        <v>9124</v>
      </c>
      <c r="N326" s="15">
        <v>236760</v>
      </c>
      <c r="O326" s="17" cm="1">
        <f t="array" ref="O326">(H326-H325)/H325</f>
        <v>0.0265517847722877</v>
      </c>
    </row>
    <row r="327" ht="13.65" customHeight="1">
      <c r="A327" s="12">
        <v>44747</v>
      </c>
      <c r="B327" t="s" s="13">
        <v>22</v>
      </c>
      <c r="C327" s="15">
        <v>293</v>
      </c>
      <c r="D327" s="15">
        <v>293</v>
      </c>
      <c r="E327" s="15">
        <v>285.75</v>
      </c>
      <c r="F327" s="15">
        <v>291.9</v>
      </c>
      <c r="G327" s="15">
        <v>286.75</v>
      </c>
      <c r="H327" s="15">
        <v>286.9</v>
      </c>
      <c r="I327" s="15">
        <v>288.48</v>
      </c>
      <c r="J327" s="15">
        <v>293.3</v>
      </c>
      <c r="K327" s="15">
        <v>200.9</v>
      </c>
      <c r="L327" s="15">
        <v>18568655</v>
      </c>
      <c r="M327" t="s" s="13">
        <v>9125</v>
      </c>
      <c r="N327" s="15">
        <v>148323</v>
      </c>
      <c r="O327" s="17" cm="1">
        <f t="array" ref="O327">(H327-H326)/H326</f>
        <v>-0.0171291538198013</v>
      </c>
    </row>
    <row r="328" ht="13.65" customHeight="1">
      <c r="A328" s="12">
        <v>44748</v>
      </c>
      <c r="B328" t="s" s="13">
        <v>22</v>
      </c>
      <c r="C328" s="15">
        <v>286.1</v>
      </c>
      <c r="D328" s="15">
        <v>290</v>
      </c>
      <c r="E328" s="15">
        <v>285.3</v>
      </c>
      <c r="F328" s="15">
        <v>286.9</v>
      </c>
      <c r="G328" s="15">
        <v>289.3</v>
      </c>
      <c r="H328" s="15">
        <v>289.3</v>
      </c>
      <c r="I328" s="15">
        <v>287.8</v>
      </c>
      <c r="J328" s="15">
        <v>293.3</v>
      </c>
      <c r="K328" s="15">
        <v>200.9</v>
      </c>
      <c r="L328" s="15">
        <v>18292925</v>
      </c>
      <c r="M328" t="s" s="13">
        <v>9126</v>
      </c>
      <c r="N328" s="15">
        <v>127639</v>
      </c>
      <c r="O328" s="17" cm="1">
        <f t="array" ref="O328">(H328-H327)/H327</f>
        <v>0.008365284071104911</v>
      </c>
    </row>
    <row r="329" ht="13.65" customHeight="1">
      <c r="A329" s="12">
        <v>44749</v>
      </c>
      <c r="B329" t="s" s="13">
        <v>22</v>
      </c>
      <c r="C329" s="15">
        <v>291</v>
      </c>
      <c r="D329" s="15">
        <v>293.15</v>
      </c>
      <c r="E329" s="15">
        <v>288.5</v>
      </c>
      <c r="F329" s="15">
        <v>289.3</v>
      </c>
      <c r="G329" s="15">
        <v>291.8</v>
      </c>
      <c r="H329" s="15">
        <v>291.95</v>
      </c>
      <c r="I329" s="15">
        <v>291.24</v>
      </c>
      <c r="J329" s="15">
        <v>293.3</v>
      </c>
      <c r="K329" s="15">
        <v>200.9</v>
      </c>
      <c r="L329" s="15">
        <v>13794991</v>
      </c>
      <c r="M329" t="s" s="13">
        <v>9127</v>
      </c>
      <c r="N329" s="15">
        <v>92213</v>
      </c>
      <c r="O329" s="17" cm="1">
        <f t="array" ref="O329">(H329-H328)/H328</f>
        <v>0.00916004147943311</v>
      </c>
    </row>
    <row r="330" ht="13.65" customHeight="1">
      <c r="A330" s="12">
        <v>44750</v>
      </c>
      <c r="B330" t="s" s="13">
        <v>22</v>
      </c>
      <c r="C330" s="15">
        <v>292.9</v>
      </c>
      <c r="D330" s="15">
        <v>294.45</v>
      </c>
      <c r="E330" s="15">
        <v>290.4</v>
      </c>
      <c r="F330" s="15">
        <v>291.95</v>
      </c>
      <c r="G330" s="15">
        <v>293.05</v>
      </c>
      <c r="H330" s="15">
        <v>293.05</v>
      </c>
      <c r="I330" s="15">
        <v>292.71</v>
      </c>
      <c r="J330" s="15">
        <v>294.45</v>
      </c>
      <c r="K330" s="15">
        <v>200.9</v>
      </c>
      <c r="L330" s="15">
        <v>11110418</v>
      </c>
      <c r="M330" t="s" s="13">
        <v>9128</v>
      </c>
      <c r="N330" s="15">
        <v>108058</v>
      </c>
      <c r="O330" s="17" cm="1">
        <f t="array" ref="O330">(H330-H329)/H329</f>
        <v>0.00376776845350231</v>
      </c>
    </row>
    <row r="331" ht="13.65" customHeight="1">
      <c r="A331" s="18">
        <v>44753</v>
      </c>
      <c r="B331" t="s" s="13">
        <v>22</v>
      </c>
      <c r="C331" s="15">
        <v>293</v>
      </c>
      <c r="D331" s="15">
        <v>296.95</v>
      </c>
      <c r="E331" s="15">
        <v>292.05</v>
      </c>
      <c r="F331" s="15">
        <v>293.05</v>
      </c>
      <c r="G331" s="15">
        <v>294.8</v>
      </c>
      <c r="H331" s="15">
        <v>295</v>
      </c>
      <c r="I331" s="15">
        <v>295.09</v>
      </c>
      <c r="J331" s="15">
        <v>296.95</v>
      </c>
      <c r="K331" s="15">
        <v>200.95</v>
      </c>
      <c r="L331" s="15">
        <v>12352667</v>
      </c>
      <c r="M331" t="s" s="13">
        <v>9129</v>
      </c>
      <c r="N331" s="15">
        <v>136091</v>
      </c>
      <c r="O331" s="17" cm="1">
        <f t="array" ref="O331">(H331-H330)/H330</f>
        <v>0.0066541545811295</v>
      </c>
    </row>
    <row r="332" ht="13.65" customHeight="1">
      <c r="A332" s="18">
        <v>44754</v>
      </c>
      <c r="B332" t="s" s="13">
        <v>22</v>
      </c>
      <c r="C332" s="15">
        <v>293</v>
      </c>
      <c r="D332" s="15">
        <v>295.35</v>
      </c>
      <c r="E332" s="15">
        <v>290.9</v>
      </c>
      <c r="F332" s="15">
        <v>295</v>
      </c>
      <c r="G332" s="15">
        <v>292.4</v>
      </c>
      <c r="H332" s="15">
        <v>292.7</v>
      </c>
      <c r="I332" s="15">
        <v>292.88</v>
      </c>
      <c r="J332" s="15">
        <v>296.95</v>
      </c>
      <c r="K332" s="15">
        <v>200.95</v>
      </c>
      <c r="L332" s="15">
        <v>14074628</v>
      </c>
      <c r="M332" t="s" s="13">
        <v>9130</v>
      </c>
      <c r="N332" s="15">
        <v>79822</v>
      </c>
      <c r="O332" s="17" cm="1">
        <f t="array" ref="O332">(H332-H331)/H331</f>
        <v>-0.00779661016949153</v>
      </c>
    </row>
    <row r="333" ht="13.65" customHeight="1">
      <c r="A333" s="18">
        <v>44755</v>
      </c>
      <c r="B333" t="s" s="13">
        <v>22</v>
      </c>
      <c r="C333" s="15">
        <v>293</v>
      </c>
      <c r="D333" s="15">
        <v>294.8</v>
      </c>
      <c r="E333" s="15">
        <v>292.7</v>
      </c>
      <c r="F333" s="15">
        <v>292.7</v>
      </c>
      <c r="G333" s="15">
        <v>294</v>
      </c>
      <c r="H333" s="15">
        <v>294.05</v>
      </c>
      <c r="I333" s="15">
        <v>293.83</v>
      </c>
      <c r="J333" s="15">
        <v>296.95</v>
      </c>
      <c r="K333" s="15">
        <v>200.95</v>
      </c>
      <c r="L333" s="15">
        <v>9277570</v>
      </c>
      <c r="M333" t="s" s="13">
        <v>9131</v>
      </c>
      <c r="N333" s="15">
        <v>91827</v>
      </c>
      <c r="O333" s="17" cm="1">
        <f t="array" ref="O333">(H333-H332)/H332</f>
        <v>0.0046122309531944</v>
      </c>
    </row>
    <row r="334" ht="13.65" customHeight="1">
      <c r="A334" s="18">
        <v>44756</v>
      </c>
      <c r="B334" t="s" s="13">
        <v>22</v>
      </c>
      <c r="C334" s="15">
        <v>294.3</v>
      </c>
      <c r="D334" s="15">
        <v>296.35</v>
      </c>
      <c r="E334" s="15">
        <v>289.15</v>
      </c>
      <c r="F334" s="15">
        <v>294.05</v>
      </c>
      <c r="G334" s="15">
        <v>290.4</v>
      </c>
      <c r="H334" s="15">
        <v>290.85</v>
      </c>
      <c r="I334" s="15">
        <v>292.96</v>
      </c>
      <c r="J334" s="15">
        <v>296.95</v>
      </c>
      <c r="K334" s="15">
        <v>200.95</v>
      </c>
      <c r="L334" s="15">
        <v>13414357</v>
      </c>
      <c r="M334" t="s" s="13">
        <v>9132</v>
      </c>
      <c r="N334" s="15">
        <v>131615</v>
      </c>
      <c r="O334" s="17" cm="1">
        <f t="array" ref="O334">(H334-H333)/H333</f>
        <v>-0.0108825029756844</v>
      </c>
    </row>
    <row r="335" ht="13.65" customHeight="1">
      <c r="A335" s="18">
        <v>44757</v>
      </c>
      <c r="B335" t="s" s="13">
        <v>22</v>
      </c>
      <c r="C335" s="15">
        <v>292</v>
      </c>
      <c r="D335" s="15">
        <v>294</v>
      </c>
      <c r="E335" s="15">
        <v>289.5</v>
      </c>
      <c r="F335" s="15">
        <v>290.85</v>
      </c>
      <c r="G335" s="15">
        <v>293.8</v>
      </c>
      <c r="H335" s="15">
        <v>293.55</v>
      </c>
      <c r="I335" s="15">
        <v>291.84</v>
      </c>
      <c r="J335" s="15">
        <v>296.95</v>
      </c>
      <c r="K335" s="15">
        <v>200.95</v>
      </c>
      <c r="L335" s="15">
        <v>11025420</v>
      </c>
      <c r="M335" t="s" s="13">
        <v>9133</v>
      </c>
      <c r="N335" s="15">
        <v>92230</v>
      </c>
      <c r="O335" s="17" cm="1">
        <f t="array" ref="O335">(H335-H334)/H334</f>
        <v>0.009283135636926249</v>
      </c>
    </row>
    <row r="336" ht="13.65" customHeight="1">
      <c r="A336" s="18">
        <v>44760</v>
      </c>
      <c r="B336" t="s" s="13">
        <v>22</v>
      </c>
      <c r="C336" s="15">
        <v>295</v>
      </c>
      <c r="D336" s="15">
        <v>296.3</v>
      </c>
      <c r="E336" s="15">
        <v>293.75</v>
      </c>
      <c r="F336" s="15">
        <v>293.55</v>
      </c>
      <c r="G336" s="15">
        <v>295.45</v>
      </c>
      <c r="H336" s="15">
        <v>295.3</v>
      </c>
      <c r="I336" s="15">
        <v>295.33</v>
      </c>
      <c r="J336" s="15">
        <v>296.95</v>
      </c>
      <c r="K336" s="15">
        <v>204.35</v>
      </c>
      <c r="L336" s="15">
        <v>11315876</v>
      </c>
      <c r="M336" t="s" s="13">
        <v>9134</v>
      </c>
      <c r="N336" s="15">
        <v>97564</v>
      </c>
      <c r="O336" s="17" cm="1">
        <f t="array" ref="O336">(H336-H335)/H335</f>
        <v>0.0059615057060126</v>
      </c>
    </row>
    <row r="337" ht="13.65" customHeight="1">
      <c r="A337" s="18">
        <v>44761</v>
      </c>
      <c r="B337" t="s" s="13">
        <v>22</v>
      </c>
      <c r="C337" s="15">
        <v>295</v>
      </c>
      <c r="D337" s="15">
        <v>295.6</v>
      </c>
      <c r="E337" s="15">
        <v>292.7</v>
      </c>
      <c r="F337" s="15">
        <v>295.3</v>
      </c>
      <c r="G337" s="15">
        <v>294.45</v>
      </c>
      <c r="H337" s="15">
        <v>294.6</v>
      </c>
      <c r="I337" s="15">
        <v>293.95</v>
      </c>
      <c r="J337" s="15">
        <v>296.95</v>
      </c>
      <c r="K337" s="15">
        <v>204.35</v>
      </c>
      <c r="L337" s="15">
        <v>9188419</v>
      </c>
      <c r="M337" t="s" s="13">
        <v>9135</v>
      </c>
      <c r="N337" s="15">
        <v>66167</v>
      </c>
      <c r="O337" s="17" cm="1">
        <f t="array" ref="O337">(H337-H336)/H336</f>
        <v>-0.00237047070775483</v>
      </c>
    </row>
    <row r="338" ht="13.65" customHeight="1">
      <c r="A338" s="18">
        <v>44762</v>
      </c>
      <c r="B338" t="s" s="13">
        <v>22</v>
      </c>
      <c r="C338" s="15">
        <v>294.9</v>
      </c>
      <c r="D338" s="15">
        <v>299.5</v>
      </c>
      <c r="E338" s="15">
        <v>293.6</v>
      </c>
      <c r="F338" s="15">
        <v>294.6</v>
      </c>
      <c r="G338" s="15">
        <v>297.8</v>
      </c>
      <c r="H338" s="15">
        <v>298.2</v>
      </c>
      <c r="I338" s="15">
        <v>297.46</v>
      </c>
      <c r="J338" s="15">
        <v>299.5</v>
      </c>
      <c r="K338" s="15">
        <v>204.35</v>
      </c>
      <c r="L338" s="15">
        <v>15789281</v>
      </c>
      <c r="M338" t="s" s="13">
        <v>9136</v>
      </c>
      <c r="N338" s="15">
        <v>129589</v>
      </c>
      <c r="O338" s="17" cm="1">
        <f t="array" ref="O338">(H338-H337)/H337</f>
        <v>0.0122199592668024</v>
      </c>
    </row>
    <row r="339" ht="13.65" customHeight="1">
      <c r="A339" s="18">
        <v>44763</v>
      </c>
      <c r="B339" t="s" s="13">
        <v>22</v>
      </c>
      <c r="C339" s="15">
        <v>299</v>
      </c>
      <c r="D339" s="15">
        <v>302.2</v>
      </c>
      <c r="E339" s="15">
        <v>298</v>
      </c>
      <c r="F339" s="15">
        <v>298.2</v>
      </c>
      <c r="G339" s="15">
        <v>299.45</v>
      </c>
      <c r="H339" s="15">
        <v>299.55</v>
      </c>
      <c r="I339" s="15">
        <v>299.79</v>
      </c>
      <c r="J339" s="15">
        <v>302.2</v>
      </c>
      <c r="K339" s="15">
        <v>204.35</v>
      </c>
      <c r="L339" s="15">
        <v>16042840</v>
      </c>
      <c r="M339" t="s" s="13">
        <v>9137</v>
      </c>
      <c r="N339" s="15">
        <v>148528</v>
      </c>
      <c r="O339" s="17" cm="1">
        <f t="array" ref="O339">(H339-H338)/H338</f>
        <v>0.0045271629778672</v>
      </c>
    </row>
    <row r="340" ht="13.65" customHeight="1">
      <c r="A340" s="18">
        <v>44764</v>
      </c>
      <c r="B340" t="s" s="13">
        <v>22</v>
      </c>
      <c r="C340" s="15">
        <v>300</v>
      </c>
      <c r="D340" s="15">
        <v>302.5</v>
      </c>
      <c r="E340" s="15">
        <v>298.1</v>
      </c>
      <c r="F340" s="15">
        <v>299.55</v>
      </c>
      <c r="G340" s="15">
        <v>299.9</v>
      </c>
      <c r="H340" s="15">
        <v>300.55</v>
      </c>
      <c r="I340" s="15">
        <v>300.21</v>
      </c>
      <c r="J340" s="15">
        <v>302.5</v>
      </c>
      <c r="K340" s="15">
        <v>204.35</v>
      </c>
      <c r="L340" s="15">
        <v>9967545</v>
      </c>
      <c r="M340" t="s" s="13">
        <v>9138</v>
      </c>
      <c r="N340" s="15">
        <v>132970</v>
      </c>
      <c r="O340" s="17" cm="1">
        <f t="array" ref="O340">(H340-H339)/H339</f>
        <v>0.00333834084460023</v>
      </c>
    </row>
    <row r="341" ht="13.65" customHeight="1">
      <c r="A341" s="18">
        <v>44767</v>
      </c>
      <c r="B341" t="s" s="13">
        <v>22</v>
      </c>
      <c r="C341" s="15">
        <v>299</v>
      </c>
      <c r="D341" s="15">
        <v>302.95</v>
      </c>
      <c r="E341" s="15">
        <v>298.8</v>
      </c>
      <c r="F341" s="15">
        <v>300.55</v>
      </c>
      <c r="G341" s="15">
        <v>300.95</v>
      </c>
      <c r="H341" s="15">
        <v>301.1</v>
      </c>
      <c r="I341" s="15">
        <v>301.27</v>
      </c>
      <c r="J341" s="15">
        <v>302.95</v>
      </c>
      <c r="K341" s="15">
        <v>204.35</v>
      </c>
      <c r="L341" s="15">
        <v>10640727</v>
      </c>
      <c r="M341" t="s" s="13">
        <v>9139</v>
      </c>
      <c r="N341" s="15">
        <v>122416</v>
      </c>
      <c r="O341" s="17" cm="1">
        <f t="array" ref="O341">(H341-H340)/H340</f>
        <v>0.00182997837298286</v>
      </c>
    </row>
    <row r="342" ht="13.65" customHeight="1">
      <c r="A342" s="18">
        <v>44768</v>
      </c>
      <c r="B342" t="s" s="13">
        <v>22</v>
      </c>
      <c r="C342" s="15">
        <v>301</v>
      </c>
      <c r="D342" s="15">
        <v>303.75</v>
      </c>
      <c r="E342" s="15">
        <v>300.45</v>
      </c>
      <c r="F342" s="15">
        <v>301.1</v>
      </c>
      <c r="G342" s="15">
        <v>302.1</v>
      </c>
      <c r="H342" s="15">
        <v>302.45</v>
      </c>
      <c r="I342" s="15">
        <v>302.28</v>
      </c>
      <c r="J342" s="15">
        <v>303.75</v>
      </c>
      <c r="K342" s="15">
        <v>204.35</v>
      </c>
      <c r="L342" s="15">
        <v>9739177</v>
      </c>
      <c r="M342" t="s" s="13">
        <v>9140</v>
      </c>
      <c r="N342" s="15">
        <v>132601</v>
      </c>
      <c r="O342" s="17" cm="1">
        <f t="array" ref="O342">(H342-H341)/H341</f>
        <v>0.00448356027897708</v>
      </c>
    </row>
    <row r="343" ht="13.65" customHeight="1">
      <c r="A343" s="18">
        <v>44769</v>
      </c>
      <c r="B343" t="s" s="13">
        <v>22</v>
      </c>
      <c r="C343" s="15">
        <v>302.85</v>
      </c>
      <c r="D343" s="15">
        <v>305</v>
      </c>
      <c r="E343" s="15">
        <v>300.6</v>
      </c>
      <c r="F343" s="15">
        <v>302.45</v>
      </c>
      <c r="G343" s="15">
        <v>304.2</v>
      </c>
      <c r="H343" s="15">
        <v>304.15</v>
      </c>
      <c r="I343" s="15">
        <v>303.24</v>
      </c>
      <c r="J343" s="15">
        <v>305</v>
      </c>
      <c r="K343" s="15">
        <v>204.35</v>
      </c>
      <c r="L343" s="15">
        <v>9346146</v>
      </c>
      <c r="M343" t="s" s="13">
        <v>9141</v>
      </c>
      <c r="N343" s="15">
        <v>90102</v>
      </c>
      <c r="O343" s="17" cm="1">
        <f t="array" ref="O343">(H343-H342)/H342</f>
        <v>0.00562076376260539</v>
      </c>
    </row>
    <row r="344" ht="13.65" customHeight="1">
      <c r="A344" s="18">
        <v>44770</v>
      </c>
      <c r="B344" t="s" s="13">
        <v>22</v>
      </c>
      <c r="C344" s="15">
        <v>304.9</v>
      </c>
      <c r="D344" s="15">
        <v>305.2</v>
      </c>
      <c r="E344" s="15">
        <v>302.4</v>
      </c>
      <c r="F344" s="15">
        <v>304.15</v>
      </c>
      <c r="G344" s="15">
        <v>303.25</v>
      </c>
      <c r="H344" s="15">
        <v>303.45</v>
      </c>
      <c r="I344" s="15">
        <v>303.73</v>
      </c>
      <c r="J344" s="15">
        <v>305.2</v>
      </c>
      <c r="K344" s="15">
        <v>204.35</v>
      </c>
      <c r="L344" s="15">
        <v>10839070</v>
      </c>
      <c r="M344" t="s" s="13">
        <v>9142</v>
      </c>
      <c r="N344" s="15">
        <v>116206</v>
      </c>
      <c r="O344" s="17" cm="1">
        <f t="array" ref="O344">(H344-H343)/H343</f>
        <v>-0.00230149597238205</v>
      </c>
    </row>
    <row r="345" ht="13.65" customHeight="1">
      <c r="A345" s="18">
        <v>44771</v>
      </c>
      <c r="B345" t="s" s="13">
        <v>22</v>
      </c>
      <c r="C345" s="15">
        <v>305</v>
      </c>
      <c r="D345" s="15">
        <v>305.9</v>
      </c>
      <c r="E345" s="15">
        <v>301.35</v>
      </c>
      <c r="F345" s="15">
        <v>303.45</v>
      </c>
      <c r="G345" s="15">
        <v>303.9</v>
      </c>
      <c r="H345" s="15">
        <v>303.05</v>
      </c>
      <c r="I345" s="15">
        <v>302.76</v>
      </c>
      <c r="J345" s="15">
        <v>305.9</v>
      </c>
      <c r="K345" s="15">
        <v>204.35</v>
      </c>
      <c r="L345" s="15">
        <v>16932743</v>
      </c>
      <c r="M345" t="s" s="13">
        <v>9143</v>
      </c>
      <c r="N345" s="15">
        <v>118230</v>
      </c>
      <c r="O345" s="17" cm="1">
        <f t="array" ref="O345">(H345-H344)/H344</f>
        <v>-0.00131817432855495</v>
      </c>
    </row>
    <row r="346" ht="13.65" customHeight="1">
      <c r="A346" s="12">
        <v>44774</v>
      </c>
      <c r="B346" t="s" s="13">
        <v>22</v>
      </c>
      <c r="C346" s="15">
        <v>304</v>
      </c>
      <c r="D346" s="15">
        <v>308.8</v>
      </c>
      <c r="E346" s="15">
        <v>303.1</v>
      </c>
      <c r="F346" s="15">
        <v>303.05</v>
      </c>
      <c r="G346" s="15">
        <v>307.8</v>
      </c>
      <c r="H346" s="15">
        <v>307.5</v>
      </c>
      <c r="I346" s="15">
        <v>306.64</v>
      </c>
      <c r="J346" s="15">
        <v>308.8</v>
      </c>
      <c r="K346" s="15">
        <v>204.35</v>
      </c>
      <c r="L346" s="15">
        <v>15889556</v>
      </c>
      <c r="M346" t="s" s="13">
        <v>9144</v>
      </c>
      <c r="N346" s="15">
        <v>139428</v>
      </c>
      <c r="O346" s="17" cm="1">
        <f t="array" ref="O346">(H346-H345)/H345</f>
        <v>0.0146840455370401</v>
      </c>
    </row>
    <row r="347" ht="13.65" customHeight="1">
      <c r="A347" s="12">
        <v>44775</v>
      </c>
      <c r="B347" t="s" s="13">
        <v>22</v>
      </c>
      <c r="C347" s="15">
        <v>310</v>
      </c>
      <c r="D347" s="15">
        <v>316.65</v>
      </c>
      <c r="E347" s="15">
        <v>308.2</v>
      </c>
      <c r="F347" s="15">
        <v>307.5</v>
      </c>
      <c r="G347" s="15">
        <v>309.3</v>
      </c>
      <c r="H347" s="15">
        <v>309.95</v>
      </c>
      <c r="I347" s="15">
        <v>311.5</v>
      </c>
      <c r="J347" s="15">
        <v>316.65</v>
      </c>
      <c r="K347" s="15">
        <v>204.35</v>
      </c>
      <c r="L347" s="15">
        <v>38982557</v>
      </c>
      <c r="M347" t="s" s="13">
        <v>9145</v>
      </c>
      <c r="N347" s="15">
        <v>261354</v>
      </c>
      <c r="O347" s="17" cm="1">
        <f t="array" ref="O347">(H347-H346)/H346</f>
        <v>0.007967479674796749</v>
      </c>
    </row>
    <row r="348" ht="13.65" customHeight="1">
      <c r="A348" s="12">
        <v>44776</v>
      </c>
      <c r="B348" t="s" s="13">
        <v>22</v>
      </c>
      <c r="C348" s="15">
        <v>310.9</v>
      </c>
      <c r="D348" s="15">
        <v>310.9</v>
      </c>
      <c r="E348" s="15">
        <v>303.65</v>
      </c>
      <c r="F348" s="15">
        <v>309.95</v>
      </c>
      <c r="G348" s="15">
        <v>308</v>
      </c>
      <c r="H348" s="15">
        <v>308.15</v>
      </c>
      <c r="I348" s="15">
        <v>306.76</v>
      </c>
      <c r="J348" s="15">
        <v>316.65</v>
      </c>
      <c r="K348" s="15">
        <v>204.35</v>
      </c>
      <c r="L348" s="15">
        <v>17695228</v>
      </c>
      <c r="M348" t="s" s="13">
        <v>9146</v>
      </c>
      <c r="N348" s="15">
        <v>155797</v>
      </c>
      <c r="O348" s="17" cm="1">
        <f t="array" ref="O348">(H348-H347)/H347</f>
        <v>-0.00580738828843362</v>
      </c>
    </row>
    <row r="349" ht="13.65" customHeight="1">
      <c r="A349" s="12">
        <v>44777</v>
      </c>
      <c r="B349" t="s" s="13">
        <v>22</v>
      </c>
      <c r="C349" s="15">
        <v>308</v>
      </c>
      <c r="D349" s="15">
        <v>310.35</v>
      </c>
      <c r="E349" s="15">
        <v>307.15</v>
      </c>
      <c r="F349" s="15">
        <v>308.15</v>
      </c>
      <c r="G349" s="15">
        <v>309.4</v>
      </c>
      <c r="H349" s="15">
        <v>309.5</v>
      </c>
      <c r="I349" s="15">
        <v>309.29</v>
      </c>
      <c r="J349" s="15">
        <v>316.65</v>
      </c>
      <c r="K349" s="15">
        <v>204.35</v>
      </c>
      <c r="L349" s="15">
        <v>15901918</v>
      </c>
      <c r="M349" t="s" s="13">
        <v>9147</v>
      </c>
      <c r="N349" s="15">
        <v>133992</v>
      </c>
      <c r="O349" s="17" cm="1">
        <f t="array" ref="O349">(H349-H348)/H348</f>
        <v>0.00438098328736005</v>
      </c>
    </row>
    <row r="350" ht="13.65" customHeight="1">
      <c r="A350" s="12">
        <v>44778</v>
      </c>
      <c r="B350" t="s" s="13">
        <v>22</v>
      </c>
      <c r="C350" s="15">
        <v>309.5</v>
      </c>
      <c r="D350" s="15">
        <v>311.8</v>
      </c>
      <c r="E350" s="15">
        <v>309.1</v>
      </c>
      <c r="F350" s="15">
        <v>309.5</v>
      </c>
      <c r="G350" s="15">
        <v>311.1</v>
      </c>
      <c r="H350" s="15">
        <v>310.85</v>
      </c>
      <c r="I350" s="15">
        <v>310.81</v>
      </c>
      <c r="J350" s="15">
        <v>316.65</v>
      </c>
      <c r="K350" s="15">
        <v>204.35</v>
      </c>
      <c r="L350" s="15">
        <v>10088723</v>
      </c>
      <c r="M350" t="s" s="13">
        <v>9148</v>
      </c>
      <c r="N350" s="15">
        <v>88921</v>
      </c>
      <c r="O350" s="17" cm="1">
        <f t="array" ref="O350">(H350-H349)/H349</f>
        <v>0.00436187399030695</v>
      </c>
    </row>
    <row r="351" ht="13.65" customHeight="1">
      <c r="A351" s="12">
        <v>44781</v>
      </c>
      <c r="B351" t="s" s="13">
        <v>22</v>
      </c>
      <c r="C351" s="15">
        <v>310.95</v>
      </c>
      <c r="D351" s="15">
        <v>313.95</v>
      </c>
      <c r="E351" s="15">
        <v>310.05</v>
      </c>
      <c r="F351" s="15">
        <v>310.85</v>
      </c>
      <c r="G351" s="15">
        <v>313</v>
      </c>
      <c r="H351" s="15">
        <v>313.15</v>
      </c>
      <c r="I351" s="15">
        <v>312.65</v>
      </c>
      <c r="J351" s="15">
        <v>316.65</v>
      </c>
      <c r="K351" s="15">
        <v>204.35</v>
      </c>
      <c r="L351" s="15">
        <v>8307140</v>
      </c>
      <c r="M351" t="s" s="13">
        <v>9149</v>
      </c>
      <c r="N351" s="15">
        <v>107521</v>
      </c>
      <c r="O351" s="17" cm="1">
        <f t="array" ref="O351">(H351-H350)/H350</f>
        <v>0.00739906707415152</v>
      </c>
    </row>
    <row r="352" ht="13.65" customHeight="1">
      <c r="A352" s="18">
        <v>44783</v>
      </c>
      <c r="B352" t="s" s="13">
        <v>22</v>
      </c>
      <c r="C352" s="15">
        <v>313.15</v>
      </c>
      <c r="D352" s="15">
        <v>314.1</v>
      </c>
      <c r="E352" s="15">
        <v>310.75</v>
      </c>
      <c r="F352" s="15">
        <v>313.15</v>
      </c>
      <c r="G352" s="15">
        <v>311.3</v>
      </c>
      <c r="H352" s="15">
        <v>311.2</v>
      </c>
      <c r="I352" s="15">
        <v>312.25</v>
      </c>
      <c r="J352" s="15">
        <v>316.65</v>
      </c>
      <c r="K352" s="15">
        <v>204.35</v>
      </c>
      <c r="L352" s="15">
        <v>8923568</v>
      </c>
      <c r="M352" t="s" s="13">
        <v>9150</v>
      </c>
      <c r="N352" s="15">
        <v>134530</v>
      </c>
      <c r="O352" s="17" cm="1">
        <f t="array" ref="O352">(H352-H351)/H351</f>
        <v>-0.00622704774069935</v>
      </c>
    </row>
    <row r="353" ht="13.65" customHeight="1">
      <c r="A353" s="18">
        <v>44784</v>
      </c>
      <c r="B353" t="s" s="13">
        <v>22</v>
      </c>
      <c r="C353" s="15">
        <v>313</v>
      </c>
      <c r="D353" s="15">
        <v>313.45</v>
      </c>
      <c r="E353" s="15">
        <v>305.3</v>
      </c>
      <c r="F353" s="15">
        <v>311.2</v>
      </c>
      <c r="G353" s="15">
        <v>305.75</v>
      </c>
      <c r="H353" s="15">
        <v>306.25</v>
      </c>
      <c r="I353" s="15">
        <v>308.12</v>
      </c>
      <c r="J353" s="15">
        <v>316.65</v>
      </c>
      <c r="K353" s="15">
        <v>204.35</v>
      </c>
      <c r="L353" s="15">
        <v>10885990</v>
      </c>
      <c r="M353" t="s" s="13">
        <v>9151</v>
      </c>
      <c r="N353" s="15">
        <v>149032</v>
      </c>
      <c r="O353" s="17" cm="1">
        <f t="array" ref="O353">(H353-H352)/H352</f>
        <v>-0.0159061696658098</v>
      </c>
    </row>
    <row r="354" ht="13.65" customHeight="1">
      <c r="A354" s="18">
        <v>44785</v>
      </c>
      <c r="B354" t="s" s="13">
        <v>22</v>
      </c>
      <c r="C354" s="15">
        <v>306.25</v>
      </c>
      <c r="D354" s="15">
        <v>309.4</v>
      </c>
      <c r="E354" s="15">
        <v>304.5</v>
      </c>
      <c r="F354" s="15">
        <v>306.25</v>
      </c>
      <c r="G354" s="15">
        <v>308.05</v>
      </c>
      <c r="H354" s="15">
        <v>308.55</v>
      </c>
      <c r="I354" s="15">
        <v>307.8</v>
      </c>
      <c r="J354" s="15">
        <v>316.65</v>
      </c>
      <c r="K354" s="15">
        <v>204.35</v>
      </c>
      <c r="L354" s="15">
        <v>6422504</v>
      </c>
      <c r="M354" t="s" s="13">
        <v>9152</v>
      </c>
      <c r="N354" s="15">
        <v>90838</v>
      </c>
      <c r="O354" s="17" cm="1">
        <f t="array" ref="O354">(H354-H353)/H353</f>
        <v>0.00751020408163265</v>
      </c>
    </row>
    <row r="355" ht="13.65" customHeight="1">
      <c r="A355" s="18">
        <v>44789</v>
      </c>
      <c r="B355" t="s" s="13">
        <v>22</v>
      </c>
      <c r="C355" s="15">
        <v>308.55</v>
      </c>
      <c r="D355" s="15">
        <v>311.5</v>
      </c>
      <c r="E355" s="15">
        <v>308.55</v>
      </c>
      <c r="F355" s="15">
        <v>308.55</v>
      </c>
      <c r="G355" s="15">
        <v>310.6</v>
      </c>
      <c r="H355" s="15">
        <v>310.55</v>
      </c>
      <c r="I355" s="15">
        <v>310.53</v>
      </c>
      <c r="J355" s="15">
        <v>316.65</v>
      </c>
      <c r="K355" s="15">
        <v>204.35</v>
      </c>
      <c r="L355" s="15">
        <v>8609864</v>
      </c>
      <c r="M355" t="s" s="13">
        <v>9153</v>
      </c>
      <c r="N355" s="15">
        <v>119342</v>
      </c>
      <c r="O355" s="17" cm="1">
        <f t="array" ref="O355">(H355-H354)/H354</f>
        <v>0.00648193161562146</v>
      </c>
    </row>
    <row r="356" ht="13.65" customHeight="1">
      <c r="A356" s="18">
        <v>44790</v>
      </c>
      <c r="B356" t="s" s="13">
        <v>22</v>
      </c>
      <c r="C356" s="15">
        <v>311.7</v>
      </c>
      <c r="D356" s="15">
        <v>313.25</v>
      </c>
      <c r="E356" s="15">
        <v>311</v>
      </c>
      <c r="F356" s="15">
        <v>310.55</v>
      </c>
      <c r="G356" s="15">
        <v>312.5</v>
      </c>
      <c r="H356" s="15">
        <v>312.55</v>
      </c>
      <c r="I356" s="15">
        <v>312.37</v>
      </c>
      <c r="J356" s="15">
        <v>316.65</v>
      </c>
      <c r="K356" s="15">
        <v>204.35</v>
      </c>
      <c r="L356" s="15">
        <v>7975854</v>
      </c>
      <c r="M356" t="s" s="13">
        <v>9154</v>
      </c>
      <c r="N356" s="15">
        <v>114115</v>
      </c>
      <c r="O356" s="17" cm="1">
        <f t="array" ref="O356">(H356-H355)/H355</f>
        <v>0.0064401867654162</v>
      </c>
    </row>
    <row r="357" ht="13.65" customHeight="1">
      <c r="A357" s="18">
        <v>44791</v>
      </c>
      <c r="B357" t="s" s="13">
        <v>22</v>
      </c>
      <c r="C357" s="15">
        <v>313</v>
      </c>
      <c r="D357" s="15">
        <v>316</v>
      </c>
      <c r="E357" s="15">
        <v>312.6</v>
      </c>
      <c r="F357" s="15">
        <v>312.55</v>
      </c>
      <c r="G357" s="15">
        <v>315.35</v>
      </c>
      <c r="H357" s="15">
        <v>315.65</v>
      </c>
      <c r="I357" s="15">
        <v>314.97</v>
      </c>
      <c r="J357" s="15">
        <v>316.65</v>
      </c>
      <c r="K357" s="15">
        <v>204.35</v>
      </c>
      <c r="L357" s="15">
        <v>9883851</v>
      </c>
      <c r="M357" t="s" s="13">
        <v>9155</v>
      </c>
      <c r="N357" s="15">
        <v>118060</v>
      </c>
      <c r="O357" s="17" cm="1">
        <f t="array" ref="O357">(H357-H356)/H356</f>
        <v>0.009918413053911369</v>
      </c>
    </row>
    <row r="358" ht="13.65" customHeight="1">
      <c r="A358" s="18">
        <v>44792</v>
      </c>
      <c r="B358" t="s" s="13">
        <v>22</v>
      </c>
      <c r="C358" s="15">
        <v>316.15</v>
      </c>
      <c r="D358" s="15">
        <v>316.15</v>
      </c>
      <c r="E358" s="15">
        <v>311.2</v>
      </c>
      <c r="F358" s="15">
        <v>315.65</v>
      </c>
      <c r="G358" s="15">
        <v>311.9</v>
      </c>
      <c r="H358" s="15">
        <v>312</v>
      </c>
      <c r="I358" s="15">
        <v>313.46</v>
      </c>
      <c r="J358" s="15">
        <v>316.65</v>
      </c>
      <c r="K358" s="15">
        <v>204.35</v>
      </c>
      <c r="L358" s="15">
        <v>10422413</v>
      </c>
      <c r="M358" t="s" s="13">
        <v>9156</v>
      </c>
      <c r="N358" s="15">
        <v>111105</v>
      </c>
      <c r="O358" s="17" cm="1">
        <f t="array" ref="O358">(H358-H357)/H357</f>
        <v>-0.0115634405195628</v>
      </c>
    </row>
    <row r="359" ht="13.65" customHeight="1">
      <c r="A359" s="18">
        <v>44795</v>
      </c>
      <c r="B359" t="s" s="13">
        <v>22</v>
      </c>
      <c r="C359" s="15">
        <v>311.2</v>
      </c>
      <c r="D359" s="15">
        <v>317</v>
      </c>
      <c r="E359" s="15">
        <v>311</v>
      </c>
      <c r="F359" s="15">
        <v>312</v>
      </c>
      <c r="G359" s="15">
        <v>313.85</v>
      </c>
      <c r="H359" s="15">
        <v>314.4</v>
      </c>
      <c r="I359" s="15">
        <v>315.08</v>
      </c>
      <c r="J359" s="15">
        <v>317</v>
      </c>
      <c r="K359" s="15">
        <v>204.35</v>
      </c>
      <c r="L359" s="15">
        <v>11355837</v>
      </c>
      <c r="M359" t="s" s="13">
        <v>9157</v>
      </c>
      <c r="N359" s="15">
        <v>139216</v>
      </c>
      <c r="O359" s="17" cm="1">
        <f t="array" ref="O359">(H359-H358)/H358</f>
        <v>0.00769230769230769</v>
      </c>
    </row>
    <row r="360" ht="13.65" customHeight="1">
      <c r="A360" s="18">
        <v>44796</v>
      </c>
      <c r="B360" t="s" s="13">
        <v>22</v>
      </c>
      <c r="C360" s="15">
        <v>312.95</v>
      </c>
      <c r="D360" s="15">
        <v>316</v>
      </c>
      <c r="E360" s="15">
        <v>312.1</v>
      </c>
      <c r="F360" s="15">
        <v>314.4</v>
      </c>
      <c r="G360" s="15">
        <v>315.95</v>
      </c>
      <c r="H360" s="15">
        <v>315.9</v>
      </c>
      <c r="I360" s="15">
        <v>314.97</v>
      </c>
      <c r="J360" s="15">
        <v>317</v>
      </c>
      <c r="K360" s="15">
        <v>204.35</v>
      </c>
      <c r="L360" s="15">
        <v>9338887</v>
      </c>
      <c r="M360" t="s" s="13">
        <v>9158</v>
      </c>
      <c r="N360" s="15">
        <v>107866</v>
      </c>
      <c r="O360" s="17" cm="1">
        <f t="array" ref="O360">(H360-H359)/H359</f>
        <v>0.00477099236641221</v>
      </c>
    </row>
    <row r="361" ht="13.65" customHeight="1">
      <c r="A361" s="18">
        <v>44797</v>
      </c>
      <c r="B361" t="s" s="13">
        <v>22</v>
      </c>
      <c r="C361" s="15">
        <v>315.75</v>
      </c>
      <c r="D361" s="15">
        <v>319.45</v>
      </c>
      <c r="E361" s="15">
        <v>313.05</v>
      </c>
      <c r="F361" s="15">
        <v>315.9</v>
      </c>
      <c r="G361" s="15">
        <v>313.9</v>
      </c>
      <c r="H361" s="15">
        <v>314.1</v>
      </c>
      <c r="I361" s="15">
        <v>316.13</v>
      </c>
      <c r="J361" s="15">
        <v>319.45</v>
      </c>
      <c r="K361" s="15">
        <v>204.35</v>
      </c>
      <c r="L361" s="15">
        <v>11346892</v>
      </c>
      <c r="M361" t="s" s="13">
        <v>9159</v>
      </c>
      <c r="N361" s="15">
        <v>139184</v>
      </c>
      <c r="O361" s="17" cm="1">
        <f t="array" ref="O361">(H361-H360)/H360</f>
        <v>-0.0056980056980057</v>
      </c>
    </row>
    <row r="362" ht="13.65" customHeight="1">
      <c r="A362" s="18">
        <v>44798</v>
      </c>
      <c r="B362" t="s" s="13">
        <v>22</v>
      </c>
      <c r="C362" s="15">
        <v>315.45</v>
      </c>
      <c r="D362" s="15">
        <v>316.4</v>
      </c>
      <c r="E362" s="15">
        <v>311.6</v>
      </c>
      <c r="F362" s="15">
        <v>314.1</v>
      </c>
      <c r="G362" s="15">
        <v>312.7</v>
      </c>
      <c r="H362" s="15">
        <v>312.35</v>
      </c>
      <c r="I362" s="15">
        <v>314.39</v>
      </c>
      <c r="J362" s="15">
        <v>319.45</v>
      </c>
      <c r="K362" s="15">
        <v>204.35</v>
      </c>
      <c r="L362" s="15">
        <v>7759104</v>
      </c>
      <c r="M362" t="s" s="13">
        <v>9160</v>
      </c>
      <c r="N362" s="15">
        <v>98542</v>
      </c>
      <c r="O362" s="17" cm="1">
        <f t="array" ref="O362">(H362-H361)/H361</f>
        <v>-0.00557147405284941</v>
      </c>
    </row>
    <row r="363" ht="13.65" customHeight="1">
      <c r="A363" s="18">
        <v>44799</v>
      </c>
      <c r="B363" t="s" s="13">
        <v>22</v>
      </c>
      <c r="C363" s="15">
        <v>314.75</v>
      </c>
      <c r="D363" s="15">
        <v>315.4</v>
      </c>
      <c r="E363" s="15">
        <v>312</v>
      </c>
      <c r="F363" s="15">
        <v>312.35</v>
      </c>
      <c r="G363" s="15">
        <v>313.35</v>
      </c>
      <c r="H363" s="15">
        <v>312.9</v>
      </c>
      <c r="I363" s="15">
        <v>313.52</v>
      </c>
      <c r="J363" s="15">
        <v>319.45</v>
      </c>
      <c r="K363" s="15">
        <v>204.35</v>
      </c>
      <c r="L363" s="15">
        <v>6956588</v>
      </c>
      <c r="M363" t="s" s="13">
        <v>9161</v>
      </c>
      <c r="N363" s="15">
        <v>155321</v>
      </c>
      <c r="O363" s="17" cm="1">
        <f t="array" ref="O363">(H363-H362)/H362</f>
        <v>0.00176084520569874</v>
      </c>
    </row>
    <row r="364" ht="13.65" customHeight="1">
      <c r="A364" s="18">
        <v>44802</v>
      </c>
      <c r="B364" t="s" s="13">
        <v>22</v>
      </c>
      <c r="C364" s="15">
        <v>310</v>
      </c>
      <c r="D364" s="15">
        <v>314.95</v>
      </c>
      <c r="E364" s="15">
        <v>308.85</v>
      </c>
      <c r="F364" s="15">
        <v>312.9</v>
      </c>
      <c r="G364" s="15">
        <v>313.85</v>
      </c>
      <c r="H364" s="15">
        <v>313.55</v>
      </c>
      <c r="I364" s="15">
        <v>312.03</v>
      </c>
      <c r="J364" s="15">
        <v>319.45</v>
      </c>
      <c r="K364" s="15">
        <v>206</v>
      </c>
      <c r="L364" s="15">
        <v>11361400</v>
      </c>
      <c r="M364" t="s" s="13">
        <v>9162</v>
      </c>
      <c r="N364" s="15">
        <v>144239</v>
      </c>
      <c r="O364" s="17" cm="1">
        <f t="array" ref="O364">(H364-H363)/H363</f>
        <v>0.0020773410035155</v>
      </c>
    </row>
    <row r="365" ht="13.65" customHeight="1">
      <c r="A365" s="18">
        <v>44803</v>
      </c>
      <c r="B365" t="s" s="13">
        <v>22</v>
      </c>
      <c r="C365" s="15">
        <v>314.25</v>
      </c>
      <c r="D365" s="15">
        <v>321.4</v>
      </c>
      <c r="E365" s="15">
        <v>314.25</v>
      </c>
      <c r="F365" s="15">
        <v>313.55</v>
      </c>
      <c r="G365" s="15">
        <v>320.7</v>
      </c>
      <c r="H365" s="15">
        <v>320.5</v>
      </c>
      <c r="I365" s="15">
        <v>318.82</v>
      </c>
      <c r="J365" s="15">
        <v>321.4</v>
      </c>
      <c r="K365" s="15">
        <v>206</v>
      </c>
      <c r="L365" s="15">
        <v>17829428</v>
      </c>
      <c r="M365" t="s" s="13">
        <v>9163</v>
      </c>
      <c r="N365" s="15">
        <v>136127</v>
      </c>
      <c r="O365" s="17" cm="1">
        <f t="array" ref="O365">(H365-H364)/H364</f>
        <v>0.0221655238398979</v>
      </c>
    </row>
    <row r="366" ht="13.65" customHeight="1">
      <c r="A366" s="12">
        <v>44805</v>
      </c>
      <c r="B366" t="s" s="13">
        <v>22</v>
      </c>
      <c r="C366" s="15">
        <v>319.5</v>
      </c>
      <c r="D366" s="15">
        <v>321.9</v>
      </c>
      <c r="E366" s="15">
        <v>316</v>
      </c>
      <c r="F366" s="15">
        <v>320.5</v>
      </c>
      <c r="G366" s="15">
        <v>317.9</v>
      </c>
      <c r="H366" s="15">
        <v>317.6</v>
      </c>
      <c r="I366" s="15">
        <v>318.07</v>
      </c>
      <c r="J366" s="15">
        <v>321.9</v>
      </c>
      <c r="K366" s="15">
        <v>206</v>
      </c>
      <c r="L366" s="15">
        <v>13254985</v>
      </c>
      <c r="M366" t="s" s="13">
        <v>9164</v>
      </c>
      <c r="N366" s="15">
        <v>164540</v>
      </c>
      <c r="O366" s="17" cm="1">
        <f t="array" ref="O366">(H366-H365)/H365</f>
        <v>-0.00904836193447738</v>
      </c>
    </row>
    <row r="367" ht="13.65" customHeight="1">
      <c r="A367" s="12">
        <v>44806</v>
      </c>
      <c r="B367" t="s" s="13">
        <v>22</v>
      </c>
      <c r="C367" s="15">
        <v>318.7</v>
      </c>
      <c r="D367" s="15">
        <v>324.25</v>
      </c>
      <c r="E367" s="15">
        <v>318.05</v>
      </c>
      <c r="F367" s="15">
        <v>317.6</v>
      </c>
      <c r="G367" s="15">
        <v>323.35</v>
      </c>
      <c r="H367" s="15">
        <v>323.15</v>
      </c>
      <c r="I367" s="15">
        <v>321.12</v>
      </c>
      <c r="J367" s="15">
        <v>324.25</v>
      </c>
      <c r="K367" s="15">
        <v>206</v>
      </c>
      <c r="L367" s="15">
        <v>25758860</v>
      </c>
      <c r="M367" t="s" s="13">
        <v>9165</v>
      </c>
      <c r="N367" s="15">
        <v>177786</v>
      </c>
      <c r="O367" s="17" cm="1">
        <f t="array" ref="O367">(H367-H366)/H366</f>
        <v>0.0174748110831234</v>
      </c>
    </row>
    <row r="368" ht="13.65" customHeight="1">
      <c r="A368" s="12">
        <v>44809</v>
      </c>
      <c r="B368" t="s" s="13">
        <v>22</v>
      </c>
      <c r="C368" s="15">
        <v>325</v>
      </c>
      <c r="D368" s="15">
        <v>329.6</v>
      </c>
      <c r="E368" s="15">
        <v>323.75</v>
      </c>
      <c r="F368" s="15">
        <v>323.15</v>
      </c>
      <c r="G368" s="15">
        <v>328.75</v>
      </c>
      <c r="H368" s="15">
        <v>328.85</v>
      </c>
      <c r="I368" s="15">
        <v>327.03</v>
      </c>
      <c r="J368" s="15">
        <v>329.6</v>
      </c>
      <c r="K368" s="15">
        <v>207</v>
      </c>
      <c r="L368" s="15">
        <v>17471906</v>
      </c>
      <c r="M368" t="s" s="13">
        <v>9166</v>
      </c>
      <c r="N368" s="15">
        <v>169972</v>
      </c>
      <c r="O368" s="17" cm="1">
        <f t="array" ref="O368">(H368-H367)/H367</f>
        <v>0.0176388673990407</v>
      </c>
    </row>
    <row r="369" ht="13.65" customHeight="1">
      <c r="A369" s="12">
        <v>44810</v>
      </c>
      <c r="B369" t="s" s="13">
        <v>22</v>
      </c>
      <c r="C369" s="15">
        <v>330</v>
      </c>
      <c r="D369" s="15">
        <v>330</v>
      </c>
      <c r="E369" s="15">
        <v>326.4</v>
      </c>
      <c r="F369" s="15">
        <v>328.85</v>
      </c>
      <c r="G369" s="15">
        <v>326.9</v>
      </c>
      <c r="H369" s="15">
        <v>327.15</v>
      </c>
      <c r="I369" s="15">
        <v>328.05</v>
      </c>
      <c r="J369" s="15">
        <v>330</v>
      </c>
      <c r="K369" s="15">
        <v>207</v>
      </c>
      <c r="L369" s="15">
        <v>11970750</v>
      </c>
      <c r="M369" t="s" s="13">
        <v>9167</v>
      </c>
      <c r="N369" s="15">
        <v>132143</v>
      </c>
      <c r="O369" s="17" cm="1">
        <f t="array" ref="O369">(H369-H368)/H368</f>
        <v>-0.00516953018093356</v>
      </c>
    </row>
    <row r="370" ht="13.65" customHeight="1">
      <c r="A370" s="12">
        <v>44811</v>
      </c>
      <c r="B370" t="s" s="13">
        <v>22</v>
      </c>
      <c r="C370" s="15">
        <v>326</v>
      </c>
      <c r="D370" s="15">
        <v>328.3</v>
      </c>
      <c r="E370" s="15">
        <v>325.25</v>
      </c>
      <c r="F370" s="15">
        <v>327.15</v>
      </c>
      <c r="G370" s="15">
        <v>326</v>
      </c>
      <c r="H370" s="15">
        <v>326.1</v>
      </c>
      <c r="I370" s="15">
        <v>326.74</v>
      </c>
      <c r="J370" s="15">
        <v>330</v>
      </c>
      <c r="K370" s="15">
        <v>207</v>
      </c>
      <c r="L370" s="15">
        <v>8085824</v>
      </c>
      <c r="M370" t="s" s="13">
        <v>9168</v>
      </c>
      <c r="N370" s="15">
        <v>101541</v>
      </c>
      <c r="O370" s="17" cm="1">
        <f t="array" ref="O370">(H370-H369)/H369</f>
        <v>-0.00320953690967446</v>
      </c>
    </row>
    <row r="371" ht="13.65" customHeight="1">
      <c r="A371" s="12">
        <v>44812</v>
      </c>
      <c r="B371" t="s" s="13">
        <v>22</v>
      </c>
      <c r="C371" s="15">
        <v>329</v>
      </c>
      <c r="D371" s="15">
        <v>330.6</v>
      </c>
      <c r="E371" s="15">
        <v>327.5</v>
      </c>
      <c r="F371" s="15">
        <v>326.1</v>
      </c>
      <c r="G371" s="15">
        <v>330</v>
      </c>
      <c r="H371" s="15">
        <v>329.9</v>
      </c>
      <c r="I371" s="15">
        <v>329.55</v>
      </c>
      <c r="J371" s="15">
        <v>330.6</v>
      </c>
      <c r="K371" s="15">
        <v>207</v>
      </c>
      <c r="L371" s="15">
        <v>10911130</v>
      </c>
      <c r="M371" t="s" s="13">
        <v>9169</v>
      </c>
      <c r="N371" s="15">
        <v>103688</v>
      </c>
      <c r="O371" s="17" cm="1">
        <f t="array" ref="O371">(H371-H370)/H370</f>
        <v>0.0116528672186446</v>
      </c>
    </row>
    <row r="372" ht="13.65" customHeight="1">
      <c r="A372" s="12">
        <v>44813</v>
      </c>
      <c r="B372" t="s" s="13">
        <v>22</v>
      </c>
      <c r="C372" s="15">
        <v>330.6</v>
      </c>
      <c r="D372" s="15">
        <v>333.3</v>
      </c>
      <c r="E372" s="15">
        <v>330</v>
      </c>
      <c r="F372" s="15">
        <v>329.9</v>
      </c>
      <c r="G372" s="15">
        <v>330.15</v>
      </c>
      <c r="H372" s="15">
        <v>330.5</v>
      </c>
      <c r="I372" s="15">
        <v>331.56</v>
      </c>
      <c r="J372" s="15">
        <v>333.3</v>
      </c>
      <c r="K372" s="15">
        <v>207</v>
      </c>
      <c r="L372" s="15">
        <v>9408098</v>
      </c>
      <c r="M372" t="s" s="13">
        <v>9170</v>
      </c>
      <c r="N372" s="15">
        <v>133330</v>
      </c>
      <c r="O372" s="17" cm="1">
        <f t="array" ref="O372">(H372-H371)/H371</f>
        <v>0.0018187329493786</v>
      </c>
    </row>
    <row r="373" ht="13.65" customHeight="1">
      <c r="A373" s="18">
        <v>44816</v>
      </c>
      <c r="B373" t="s" s="13">
        <v>22</v>
      </c>
      <c r="C373" s="15">
        <v>332</v>
      </c>
      <c r="D373" s="15">
        <v>332.4</v>
      </c>
      <c r="E373" s="15">
        <v>330</v>
      </c>
      <c r="F373" s="15">
        <v>330.5</v>
      </c>
      <c r="G373" s="15">
        <v>330.9</v>
      </c>
      <c r="H373" s="15">
        <v>330.9</v>
      </c>
      <c r="I373" s="15">
        <v>330.85</v>
      </c>
      <c r="J373" s="15">
        <v>333.3</v>
      </c>
      <c r="K373" s="15">
        <v>207</v>
      </c>
      <c r="L373" s="15">
        <v>8712689</v>
      </c>
      <c r="M373" t="s" s="13">
        <v>9171</v>
      </c>
      <c r="N373" s="15">
        <v>92310</v>
      </c>
      <c r="O373" s="17" cm="1">
        <f t="array" ref="O373">(H373-H372)/H372</f>
        <v>0.00121028744326778</v>
      </c>
    </row>
    <row r="374" ht="13.65" customHeight="1">
      <c r="A374" s="18">
        <v>44817</v>
      </c>
      <c r="B374" t="s" s="13">
        <v>22</v>
      </c>
      <c r="C374" s="15">
        <v>331.7</v>
      </c>
      <c r="D374" s="15">
        <v>335</v>
      </c>
      <c r="E374" s="15">
        <v>330.6</v>
      </c>
      <c r="F374" s="15">
        <v>330.9</v>
      </c>
      <c r="G374" s="15">
        <v>333.75</v>
      </c>
      <c r="H374" s="15">
        <v>334.4</v>
      </c>
      <c r="I374" s="15">
        <v>333.42</v>
      </c>
      <c r="J374" s="15">
        <v>335</v>
      </c>
      <c r="K374" s="15">
        <v>207</v>
      </c>
      <c r="L374" s="15">
        <v>10520207</v>
      </c>
      <c r="M374" t="s" s="13">
        <v>9172</v>
      </c>
      <c r="N374" s="15">
        <v>141649</v>
      </c>
      <c r="O374" s="17" cm="1">
        <f t="array" ref="O374">(H374-H373)/H373</f>
        <v>0.0105772136597159</v>
      </c>
    </row>
    <row r="375" ht="13.65" customHeight="1">
      <c r="A375" s="18">
        <v>44818</v>
      </c>
      <c r="B375" t="s" s="13">
        <v>22</v>
      </c>
      <c r="C375" s="15">
        <v>331</v>
      </c>
      <c r="D375" s="15">
        <v>339</v>
      </c>
      <c r="E375" s="15">
        <v>330.95</v>
      </c>
      <c r="F375" s="15">
        <v>334.4</v>
      </c>
      <c r="G375" s="15">
        <v>335.75</v>
      </c>
      <c r="H375" s="15">
        <v>335.35</v>
      </c>
      <c r="I375" s="15">
        <v>336.46</v>
      </c>
      <c r="J375" s="15">
        <v>339</v>
      </c>
      <c r="K375" s="15">
        <v>207</v>
      </c>
      <c r="L375" s="15">
        <v>12267025</v>
      </c>
      <c r="M375" t="s" s="13">
        <v>9173</v>
      </c>
      <c r="N375" s="15">
        <v>128808</v>
      </c>
      <c r="O375" s="17" cm="1">
        <f t="array" ref="O375">(H375-H374)/H374</f>
        <v>0.00284090909090909</v>
      </c>
    </row>
    <row r="376" ht="13.65" customHeight="1">
      <c r="A376" s="18">
        <v>44819</v>
      </c>
      <c r="B376" t="s" s="13">
        <v>22</v>
      </c>
      <c r="C376" s="15">
        <v>336.4</v>
      </c>
      <c r="D376" s="15">
        <v>337.05</v>
      </c>
      <c r="E376" s="15">
        <v>332.9</v>
      </c>
      <c r="F376" s="15">
        <v>335.35</v>
      </c>
      <c r="G376" s="15">
        <v>333.6</v>
      </c>
      <c r="H376" s="15">
        <v>334.1</v>
      </c>
      <c r="I376" s="15">
        <v>334.73</v>
      </c>
      <c r="J376" s="15">
        <v>339</v>
      </c>
      <c r="K376" s="15">
        <v>207</v>
      </c>
      <c r="L376" s="15">
        <v>8418672</v>
      </c>
      <c r="M376" t="s" s="13">
        <v>9174</v>
      </c>
      <c r="N376" s="15">
        <v>111903</v>
      </c>
      <c r="O376" s="17" cm="1">
        <f t="array" ref="O376">(H376-H375)/H375</f>
        <v>-0.0037274489339496</v>
      </c>
    </row>
    <row r="377" ht="13.65" customHeight="1">
      <c r="A377" s="18">
        <v>44820</v>
      </c>
      <c r="B377" t="s" s="13">
        <v>22</v>
      </c>
      <c r="C377" s="15">
        <v>332.35</v>
      </c>
      <c r="D377" s="15">
        <v>334.6</v>
      </c>
      <c r="E377" s="15">
        <v>329.7</v>
      </c>
      <c r="F377" s="15">
        <v>334.1</v>
      </c>
      <c r="G377" s="15">
        <v>331.5</v>
      </c>
      <c r="H377" s="15">
        <v>331.3</v>
      </c>
      <c r="I377" s="15">
        <v>331.53</v>
      </c>
      <c r="J377" s="15">
        <v>339</v>
      </c>
      <c r="K377" s="15">
        <v>207</v>
      </c>
      <c r="L377" s="15">
        <v>12492851</v>
      </c>
      <c r="M377" t="s" s="13">
        <v>9175</v>
      </c>
      <c r="N377" s="15">
        <v>107543</v>
      </c>
      <c r="O377" s="17" cm="1">
        <f t="array" ref="O377">(H377-H376)/H376</f>
        <v>-0.00838072433403173</v>
      </c>
    </row>
    <row r="378" ht="13.65" customHeight="1">
      <c r="A378" s="18">
        <v>44823</v>
      </c>
      <c r="B378" t="s" s="13">
        <v>22</v>
      </c>
      <c r="C378" s="15">
        <v>329.1</v>
      </c>
      <c r="D378" s="15">
        <v>336.9</v>
      </c>
      <c r="E378" s="15">
        <v>329.1</v>
      </c>
      <c r="F378" s="15">
        <v>331.3</v>
      </c>
      <c r="G378" s="15">
        <v>335.6</v>
      </c>
      <c r="H378" s="15">
        <v>335.6</v>
      </c>
      <c r="I378" s="15">
        <v>334.29</v>
      </c>
      <c r="J378" s="15">
        <v>339</v>
      </c>
      <c r="K378" s="15">
        <v>207</v>
      </c>
      <c r="L378" s="15">
        <v>14365461</v>
      </c>
      <c r="M378" t="s" s="13">
        <v>9176</v>
      </c>
      <c r="N378" s="15">
        <v>117354</v>
      </c>
      <c r="O378" s="17" cm="1">
        <f t="array" ref="O378">(H378-H377)/H377</f>
        <v>0.0129791729550257</v>
      </c>
    </row>
    <row r="379" ht="13.65" customHeight="1">
      <c r="A379" s="18">
        <v>44824</v>
      </c>
      <c r="B379" t="s" s="13">
        <v>22</v>
      </c>
      <c r="C379" s="15">
        <v>338.75</v>
      </c>
      <c r="D379" s="15">
        <v>339.6</v>
      </c>
      <c r="E379" s="15">
        <v>335</v>
      </c>
      <c r="F379" s="15">
        <v>335.6</v>
      </c>
      <c r="G379" s="15">
        <v>335.25</v>
      </c>
      <c r="H379" s="15">
        <v>336</v>
      </c>
      <c r="I379" s="15">
        <v>337.51</v>
      </c>
      <c r="J379" s="15">
        <v>339.6</v>
      </c>
      <c r="K379" s="15">
        <v>207</v>
      </c>
      <c r="L379" s="15">
        <v>9526068</v>
      </c>
      <c r="M379" t="s" s="13">
        <v>9177</v>
      </c>
      <c r="N379" s="15">
        <v>93112</v>
      </c>
      <c r="O379" s="17" cm="1">
        <f t="array" ref="O379">(H379-H378)/H378</f>
        <v>0.00119189511323004</v>
      </c>
    </row>
    <row r="380" ht="13.65" customHeight="1">
      <c r="A380" s="18">
        <v>44825</v>
      </c>
      <c r="B380" t="s" s="13">
        <v>22</v>
      </c>
      <c r="C380" s="15">
        <v>336</v>
      </c>
      <c r="D380" s="15">
        <v>345.2</v>
      </c>
      <c r="E380" s="15">
        <v>335.5</v>
      </c>
      <c r="F380" s="15">
        <v>336</v>
      </c>
      <c r="G380" s="15">
        <v>340.6</v>
      </c>
      <c r="H380" s="15">
        <v>340.95</v>
      </c>
      <c r="I380" s="15">
        <v>340.58</v>
      </c>
      <c r="J380" s="15">
        <v>345.2</v>
      </c>
      <c r="K380" s="15">
        <v>207</v>
      </c>
      <c r="L380" s="15">
        <v>20992080</v>
      </c>
      <c r="M380" t="s" s="13">
        <v>9178</v>
      </c>
      <c r="N380" s="15">
        <v>161744</v>
      </c>
      <c r="O380" s="17" cm="1">
        <f t="array" ref="O380">(H380-H379)/H379</f>
        <v>0.0147321428571429</v>
      </c>
    </row>
    <row r="381" ht="13.65" customHeight="1">
      <c r="A381" s="18">
        <v>44826</v>
      </c>
      <c r="B381" t="s" s="13">
        <v>22</v>
      </c>
      <c r="C381" s="15">
        <v>341</v>
      </c>
      <c r="D381" s="15">
        <v>348.75</v>
      </c>
      <c r="E381" s="15">
        <v>340.9</v>
      </c>
      <c r="F381" s="15">
        <v>340.95</v>
      </c>
      <c r="G381" s="15">
        <v>345.75</v>
      </c>
      <c r="H381" s="15">
        <v>345.05</v>
      </c>
      <c r="I381" s="15">
        <v>345.83</v>
      </c>
      <c r="J381" s="15">
        <v>348.75</v>
      </c>
      <c r="K381" s="15">
        <v>207</v>
      </c>
      <c r="L381" s="15">
        <v>24179987</v>
      </c>
      <c r="M381" t="s" s="13">
        <v>9179</v>
      </c>
      <c r="N381" s="15">
        <v>204326</v>
      </c>
      <c r="O381" s="17" cm="1">
        <f t="array" ref="O381">(H381-H380)/H380</f>
        <v>0.0120252236398299</v>
      </c>
    </row>
    <row r="382" ht="13.65" customHeight="1">
      <c r="A382" s="18">
        <v>44827</v>
      </c>
      <c r="B382" t="s" s="13">
        <v>22</v>
      </c>
      <c r="C382" s="15">
        <v>347.5</v>
      </c>
      <c r="D382" s="15">
        <v>349.55</v>
      </c>
      <c r="E382" s="15">
        <v>343.3</v>
      </c>
      <c r="F382" s="15">
        <v>345.05</v>
      </c>
      <c r="G382" s="15">
        <v>347</v>
      </c>
      <c r="H382" s="15">
        <v>346.4</v>
      </c>
      <c r="I382" s="15">
        <v>346.63</v>
      </c>
      <c r="J382" s="15">
        <v>349.55</v>
      </c>
      <c r="K382" s="15">
        <v>207</v>
      </c>
      <c r="L382" s="15">
        <v>22838807</v>
      </c>
      <c r="M382" t="s" s="13">
        <v>9180</v>
      </c>
      <c r="N382" s="15">
        <v>173655</v>
      </c>
      <c r="O382" s="17" cm="1">
        <f t="array" ref="O382">(H382-H381)/H381</f>
        <v>0.00391247645268802</v>
      </c>
    </row>
    <row r="383" ht="13.65" customHeight="1">
      <c r="A383" s="18">
        <v>44830</v>
      </c>
      <c r="B383" t="s" s="13">
        <v>22</v>
      </c>
      <c r="C383" s="15">
        <v>344.85</v>
      </c>
      <c r="D383" s="15">
        <v>345.95</v>
      </c>
      <c r="E383" s="15">
        <v>331.75</v>
      </c>
      <c r="F383" s="15">
        <v>346.4</v>
      </c>
      <c r="G383" s="15">
        <v>332.5</v>
      </c>
      <c r="H383" s="15">
        <v>332.6</v>
      </c>
      <c r="I383" s="15">
        <v>337.58</v>
      </c>
      <c r="J383" s="15">
        <v>349.55</v>
      </c>
      <c r="K383" s="15">
        <v>207</v>
      </c>
      <c r="L383" s="15">
        <v>16205789</v>
      </c>
      <c r="M383" t="s" s="13">
        <v>9181</v>
      </c>
      <c r="N383" s="15">
        <v>221652</v>
      </c>
      <c r="O383" s="17" cm="1">
        <f t="array" ref="O383">(H383-H382)/H382</f>
        <v>-0.039838337182448</v>
      </c>
    </row>
    <row r="384" ht="13.65" customHeight="1">
      <c r="A384" s="18">
        <v>44831</v>
      </c>
      <c r="B384" t="s" s="13">
        <v>22</v>
      </c>
      <c r="C384" s="15">
        <v>335</v>
      </c>
      <c r="D384" s="15">
        <v>339.55</v>
      </c>
      <c r="E384" s="15">
        <v>334</v>
      </c>
      <c r="F384" s="15">
        <v>332.6</v>
      </c>
      <c r="G384" s="15">
        <v>335.55</v>
      </c>
      <c r="H384" s="15">
        <v>334.85</v>
      </c>
      <c r="I384" s="15">
        <v>336.38</v>
      </c>
      <c r="J384" s="15">
        <v>349.55</v>
      </c>
      <c r="K384" s="15">
        <v>207</v>
      </c>
      <c r="L384" s="15">
        <v>9991052</v>
      </c>
      <c r="M384" t="s" s="13">
        <v>9182</v>
      </c>
      <c r="N384" s="15">
        <v>134083</v>
      </c>
      <c r="O384" s="17" cm="1">
        <f t="array" ref="O384">(H384-H383)/H383</f>
        <v>0.00676488274203247</v>
      </c>
    </row>
    <row r="385" ht="13.65" customHeight="1">
      <c r="A385" s="18">
        <v>44832</v>
      </c>
      <c r="B385" t="s" s="13">
        <v>22</v>
      </c>
      <c r="C385" s="15">
        <v>331.95</v>
      </c>
      <c r="D385" s="15">
        <v>333.3</v>
      </c>
      <c r="E385" s="15">
        <v>324.3</v>
      </c>
      <c r="F385" s="15">
        <v>334.85</v>
      </c>
      <c r="G385" s="15">
        <v>324.5</v>
      </c>
      <c r="H385" s="15">
        <v>324.95</v>
      </c>
      <c r="I385" s="15">
        <v>328.07</v>
      </c>
      <c r="J385" s="15">
        <v>349.55</v>
      </c>
      <c r="K385" s="15">
        <v>207</v>
      </c>
      <c r="L385" s="15">
        <v>15552911</v>
      </c>
      <c r="M385" t="s" s="13">
        <v>9183</v>
      </c>
      <c r="N385" s="15">
        <v>201684</v>
      </c>
      <c r="O385" s="17" cm="1">
        <f t="array" ref="O385">(H385-H384)/H384</f>
        <v>-0.0295654770792892</v>
      </c>
    </row>
    <row r="386" ht="13.65" customHeight="1">
      <c r="A386" s="18">
        <v>44833</v>
      </c>
      <c r="B386" t="s" s="13">
        <v>22</v>
      </c>
      <c r="C386" s="15">
        <v>329</v>
      </c>
      <c r="D386" s="15">
        <v>334.9</v>
      </c>
      <c r="E386" s="15">
        <v>327.75</v>
      </c>
      <c r="F386" s="15">
        <v>324.95</v>
      </c>
      <c r="G386" s="15">
        <v>334.35</v>
      </c>
      <c r="H386" s="15">
        <v>333.05</v>
      </c>
      <c r="I386" s="15">
        <v>332.71</v>
      </c>
      <c r="J386" s="15">
        <v>349.55</v>
      </c>
      <c r="K386" s="15">
        <v>207</v>
      </c>
      <c r="L386" s="15">
        <v>18281337</v>
      </c>
      <c r="M386" t="s" s="13">
        <v>9184</v>
      </c>
      <c r="N386" s="15">
        <v>175901</v>
      </c>
      <c r="O386" s="17" cm="1">
        <f t="array" ref="O386">(H386-H385)/H385</f>
        <v>0.0249269118325896</v>
      </c>
    </row>
    <row r="387" ht="13.65" customHeight="1">
      <c r="A387" s="18">
        <v>44834</v>
      </c>
      <c r="B387" t="s" s="13">
        <v>22</v>
      </c>
      <c r="C387" s="15">
        <v>333.05</v>
      </c>
      <c r="D387" s="15">
        <v>335.75</v>
      </c>
      <c r="E387" s="15">
        <v>330.15</v>
      </c>
      <c r="F387" s="15">
        <v>333.05</v>
      </c>
      <c r="G387" s="15">
        <v>332.2</v>
      </c>
      <c r="H387" s="15">
        <v>332.2</v>
      </c>
      <c r="I387" s="15">
        <v>332.94</v>
      </c>
      <c r="J387" s="15">
        <v>349.55</v>
      </c>
      <c r="K387" s="15">
        <v>207</v>
      </c>
      <c r="L387" s="15">
        <v>12427919</v>
      </c>
      <c r="M387" t="s" s="13">
        <v>9185</v>
      </c>
      <c r="N387" s="15">
        <v>145664</v>
      </c>
      <c r="O387" s="17" cm="1">
        <f t="array" ref="O387">(H387-H386)/H386</f>
        <v>-0.00255216934394235</v>
      </c>
    </row>
    <row r="388" ht="13.65" customHeight="1">
      <c r="A388" s="12">
        <v>44837</v>
      </c>
      <c r="B388" t="s" s="13">
        <v>22</v>
      </c>
      <c r="C388" s="15">
        <v>332.9</v>
      </c>
      <c r="D388" s="15">
        <v>333</v>
      </c>
      <c r="E388" s="15">
        <v>323.25</v>
      </c>
      <c r="F388" s="15">
        <v>332.2</v>
      </c>
      <c r="G388" s="15">
        <v>324.9</v>
      </c>
      <c r="H388" s="15">
        <v>324.4</v>
      </c>
      <c r="I388" s="15">
        <v>327.3</v>
      </c>
      <c r="J388" s="15">
        <v>349.55</v>
      </c>
      <c r="K388" s="15">
        <v>207</v>
      </c>
      <c r="L388" s="15">
        <v>9111289</v>
      </c>
      <c r="M388" t="s" s="13">
        <v>9186</v>
      </c>
      <c r="N388" s="15">
        <v>143508</v>
      </c>
      <c r="O388" s="17" cm="1">
        <f t="array" ref="O388">(H388-H387)/H387</f>
        <v>-0.0234798314268513</v>
      </c>
    </row>
    <row r="389" ht="13.65" customHeight="1">
      <c r="A389" s="12">
        <v>44838</v>
      </c>
      <c r="B389" t="s" s="13">
        <v>22</v>
      </c>
      <c r="C389" s="15">
        <v>328.7</v>
      </c>
      <c r="D389" s="15">
        <v>334</v>
      </c>
      <c r="E389" s="15">
        <v>328</v>
      </c>
      <c r="F389" s="15">
        <v>324.4</v>
      </c>
      <c r="G389" s="15">
        <v>333.1</v>
      </c>
      <c r="H389" s="15">
        <v>332.85</v>
      </c>
      <c r="I389" s="15">
        <v>331.45</v>
      </c>
      <c r="J389" s="15">
        <v>349.55</v>
      </c>
      <c r="K389" s="15">
        <v>207</v>
      </c>
      <c r="L389" s="15">
        <v>8803255</v>
      </c>
      <c r="M389" t="s" s="13">
        <v>9187</v>
      </c>
      <c r="N389" s="15">
        <v>121561</v>
      </c>
      <c r="O389" s="17" cm="1">
        <f t="array" ref="O389">(H389-H388)/H388</f>
        <v>0.0260480887792848</v>
      </c>
    </row>
    <row r="390" ht="13.65" customHeight="1">
      <c r="A390" s="12">
        <v>44840</v>
      </c>
      <c r="B390" t="s" s="13">
        <v>22</v>
      </c>
      <c r="C390" s="15">
        <v>335</v>
      </c>
      <c r="D390" s="15">
        <v>339.3</v>
      </c>
      <c r="E390" s="15">
        <v>332.55</v>
      </c>
      <c r="F390" s="15">
        <v>332.85</v>
      </c>
      <c r="G390" s="15">
        <v>335.9</v>
      </c>
      <c r="H390" s="15">
        <v>336.65</v>
      </c>
      <c r="I390" s="15">
        <v>335.98</v>
      </c>
      <c r="J390" s="15">
        <v>349.55</v>
      </c>
      <c r="K390" s="15">
        <v>207</v>
      </c>
      <c r="L390" s="15">
        <v>22235092</v>
      </c>
      <c r="M390" t="s" s="13">
        <v>9188</v>
      </c>
      <c r="N390" s="15">
        <v>155672</v>
      </c>
      <c r="O390" s="17" cm="1">
        <f t="array" ref="O390">(H390-H389)/H389</f>
        <v>0.0114165540033048</v>
      </c>
    </row>
    <row r="391" ht="13.65" customHeight="1">
      <c r="A391" s="12">
        <v>44841</v>
      </c>
      <c r="B391" t="s" s="13">
        <v>22</v>
      </c>
      <c r="C391" s="15">
        <v>336.8</v>
      </c>
      <c r="D391" s="15">
        <v>336.85</v>
      </c>
      <c r="E391" s="15">
        <v>331.3</v>
      </c>
      <c r="F391" s="15">
        <v>336.65</v>
      </c>
      <c r="G391" s="15">
        <v>334.45</v>
      </c>
      <c r="H391" s="15">
        <v>334.1</v>
      </c>
      <c r="I391" s="15">
        <v>333.79</v>
      </c>
      <c r="J391" s="15">
        <v>349.55</v>
      </c>
      <c r="K391" s="15">
        <v>207</v>
      </c>
      <c r="L391" s="15">
        <v>10506078</v>
      </c>
      <c r="M391" t="s" s="13">
        <v>9189</v>
      </c>
      <c r="N391" s="15">
        <v>115865</v>
      </c>
      <c r="O391" s="17" cm="1">
        <f t="array" ref="O391">(H391-H390)/H390</f>
        <v>-0.00757463240754493</v>
      </c>
    </row>
    <row r="392" ht="13.65" customHeight="1">
      <c r="A392" s="18">
        <v>44844</v>
      </c>
      <c r="B392" t="s" s="13">
        <v>22</v>
      </c>
      <c r="C392" s="15">
        <v>330</v>
      </c>
      <c r="D392" s="15">
        <v>331.45</v>
      </c>
      <c r="E392" s="15">
        <v>326.05</v>
      </c>
      <c r="F392" s="15">
        <v>334.1</v>
      </c>
      <c r="G392" s="15">
        <v>328.15</v>
      </c>
      <c r="H392" s="15">
        <v>327.85</v>
      </c>
      <c r="I392" s="15">
        <v>328.18</v>
      </c>
      <c r="J392" s="15">
        <v>349.55</v>
      </c>
      <c r="K392" s="15">
        <v>207</v>
      </c>
      <c r="L392" s="15">
        <v>9388996</v>
      </c>
      <c r="M392" t="s" s="13">
        <v>9190</v>
      </c>
      <c r="N392" s="15">
        <v>134866</v>
      </c>
      <c r="O392" s="17" cm="1">
        <f t="array" ref="O392">(H392-H391)/H391</f>
        <v>-0.0187069739598922</v>
      </c>
    </row>
    <row r="393" ht="13.65" customHeight="1">
      <c r="A393" s="18">
        <v>44845</v>
      </c>
      <c r="B393" t="s" s="13">
        <v>22</v>
      </c>
      <c r="C393" s="15">
        <v>329</v>
      </c>
      <c r="D393" s="15">
        <v>330.45</v>
      </c>
      <c r="E393" s="15">
        <v>325.1</v>
      </c>
      <c r="F393" s="15">
        <v>327.85</v>
      </c>
      <c r="G393" s="15">
        <v>325.9</v>
      </c>
      <c r="H393" s="15">
        <v>326.3</v>
      </c>
      <c r="I393" s="15">
        <v>328.01</v>
      </c>
      <c r="J393" s="15">
        <v>349.55</v>
      </c>
      <c r="K393" s="15">
        <v>207</v>
      </c>
      <c r="L393" s="15">
        <v>10609956</v>
      </c>
      <c r="M393" t="s" s="13">
        <v>9191</v>
      </c>
      <c r="N393" s="15">
        <v>141982</v>
      </c>
      <c r="O393" s="17" cm="1">
        <f t="array" ref="O393">(H393-H392)/H392</f>
        <v>-0.0047277718468812</v>
      </c>
    </row>
    <row r="394" ht="13.65" customHeight="1">
      <c r="A394" s="18">
        <v>44846</v>
      </c>
      <c r="B394" t="s" s="13">
        <v>22</v>
      </c>
      <c r="C394" s="15">
        <v>327.95</v>
      </c>
      <c r="D394" s="15">
        <v>331.45</v>
      </c>
      <c r="E394" s="15">
        <v>324.75</v>
      </c>
      <c r="F394" s="15">
        <v>326.3</v>
      </c>
      <c r="G394" s="15">
        <v>330</v>
      </c>
      <c r="H394" s="15">
        <v>330.1</v>
      </c>
      <c r="I394" s="15">
        <v>328.41</v>
      </c>
      <c r="J394" s="15">
        <v>349.55</v>
      </c>
      <c r="K394" s="15">
        <v>207</v>
      </c>
      <c r="L394" s="15">
        <v>10337544</v>
      </c>
      <c r="M394" t="s" s="13">
        <v>9192</v>
      </c>
      <c r="N394" s="15">
        <v>141735</v>
      </c>
      <c r="O394" s="17" cm="1">
        <f t="array" ref="O394">(H394-H393)/H393</f>
        <v>0.0116457247931352</v>
      </c>
    </row>
    <row r="395" ht="13.65" customHeight="1">
      <c r="A395" s="18">
        <v>44847</v>
      </c>
      <c r="B395" t="s" s="13">
        <v>22</v>
      </c>
      <c r="C395" s="15">
        <v>329.95</v>
      </c>
      <c r="D395" s="15">
        <v>331.3</v>
      </c>
      <c r="E395" s="15">
        <v>328</v>
      </c>
      <c r="F395" s="15">
        <v>330.1</v>
      </c>
      <c r="G395" s="15">
        <v>328.85</v>
      </c>
      <c r="H395" s="15">
        <v>328.65</v>
      </c>
      <c r="I395" s="15">
        <v>329.33</v>
      </c>
      <c r="J395" s="15">
        <v>349.55</v>
      </c>
      <c r="K395" s="15">
        <v>207</v>
      </c>
      <c r="L395" s="15">
        <v>7266724</v>
      </c>
      <c r="M395" t="s" s="13">
        <v>9193</v>
      </c>
      <c r="N395" s="15">
        <v>88889</v>
      </c>
      <c r="O395" s="17" cm="1">
        <f t="array" ref="O395">(H395-H394)/H394</f>
        <v>-0.004392608300515</v>
      </c>
    </row>
    <row r="396" ht="13.65" customHeight="1">
      <c r="A396" s="18">
        <v>44848</v>
      </c>
      <c r="B396" t="s" s="13">
        <v>22</v>
      </c>
      <c r="C396" s="15">
        <v>332.3</v>
      </c>
      <c r="D396" s="15">
        <v>333.9</v>
      </c>
      <c r="E396" s="15">
        <v>330.85</v>
      </c>
      <c r="F396" s="15">
        <v>328.65</v>
      </c>
      <c r="G396" s="15">
        <v>332.1</v>
      </c>
      <c r="H396" s="15">
        <v>332.1</v>
      </c>
      <c r="I396" s="15">
        <v>332.38</v>
      </c>
      <c r="J396" s="15">
        <v>349.55</v>
      </c>
      <c r="K396" s="15">
        <v>207</v>
      </c>
      <c r="L396" s="15">
        <v>6424915</v>
      </c>
      <c r="M396" t="s" s="13">
        <v>9194</v>
      </c>
      <c r="N396" s="15">
        <v>95294</v>
      </c>
      <c r="O396" s="17" cm="1">
        <f t="array" ref="O396">(H396-H395)/H395</f>
        <v>0.0104974897307166</v>
      </c>
    </row>
    <row r="397" ht="13.65" customHeight="1">
      <c r="A397" s="18">
        <v>44851</v>
      </c>
      <c r="B397" t="s" s="13">
        <v>22</v>
      </c>
      <c r="C397" s="15">
        <v>331.1</v>
      </c>
      <c r="D397" s="15">
        <v>334.75</v>
      </c>
      <c r="E397" s="15">
        <v>329.6</v>
      </c>
      <c r="F397" s="15">
        <v>332.1</v>
      </c>
      <c r="G397" s="15">
        <v>332.55</v>
      </c>
      <c r="H397" s="15">
        <v>332.25</v>
      </c>
      <c r="I397" s="15">
        <v>332.91</v>
      </c>
      <c r="J397" s="15">
        <v>349.55</v>
      </c>
      <c r="K397" s="15">
        <v>207</v>
      </c>
      <c r="L397" s="15">
        <v>6929063</v>
      </c>
      <c r="M397" t="s" s="13">
        <v>9195</v>
      </c>
      <c r="N397" s="15">
        <v>100913</v>
      </c>
      <c r="O397" s="17" cm="1">
        <f t="array" ref="O397">(H397-H396)/H396</f>
        <v>0.0004516711833785</v>
      </c>
    </row>
    <row r="398" ht="13.65" customHeight="1">
      <c r="A398" s="18">
        <v>44852</v>
      </c>
      <c r="B398" t="s" s="13">
        <v>22</v>
      </c>
      <c r="C398" s="15">
        <v>333.95</v>
      </c>
      <c r="D398" s="15">
        <v>341</v>
      </c>
      <c r="E398" s="15">
        <v>333.55</v>
      </c>
      <c r="F398" s="15">
        <v>332.25</v>
      </c>
      <c r="G398" s="15">
        <v>340.85</v>
      </c>
      <c r="H398" s="15">
        <v>340.3</v>
      </c>
      <c r="I398" s="15">
        <v>338.93</v>
      </c>
      <c r="J398" s="15">
        <v>349.55</v>
      </c>
      <c r="K398" s="15">
        <v>207</v>
      </c>
      <c r="L398" s="15">
        <v>20887417</v>
      </c>
      <c r="M398" t="s" s="13">
        <v>9196</v>
      </c>
      <c r="N398" s="15">
        <v>116946</v>
      </c>
      <c r="O398" s="17" cm="1">
        <f t="array" ref="O398">(H398-H397)/H397</f>
        <v>0.0242287434161023</v>
      </c>
    </row>
    <row r="399" ht="13.65" customHeight="1">
      <c r="A399" s="18">
        <v>44853</v>
      </c>
      <c r="B399" t="s" s="13">
        <v>22</v>
      </c>
      <c r="C399" s="15">
        <v>343.1</v>
      </c>
      <c r="D399" s="15">
        <v>347.45</v>
      </c>
      <c r="E399" s="15">
        <v>339.8</v>
      </c>
      <c r="F399" s="15">
        <v>340.3</v>
      </c>
      <c r="G399" s="15">
        <v>347.2</v>
      </c>
      <c r="H399" s="15">
        <v>346.35</v>
      </c>
      <c r="I399" s="15">
        <v>344.88</v>
      </c>
      <c r="J399" s="15">
        <v>349.55</v>
      </c>
      <c r="K399" s="15">
        <v>207</v>
      </c>
      <c r="L399" s="15">
        <v>16296080</v>
      </c>
      <c r="M399" t="s" s="13">
        <v>9197</v>
      </c>
      <c r="N399" s="15">
        <v>147366</v>
      </c>
      <c r="O399" s="17" cm="1">
        <f t="array" ref="O399">(H399-H398)/H398</f>
        <v>0.0177784307963562</v>
      </c>
    </row>
    <row r="400" ht="13.65" customHeight="1">
      <c r="A400" s="18">
        <v>44854</v>
      </c>
      <c r="B400" t="s" s="13">
        <v>22</v>
      </c>
      <c r="C400" s="15">
        <v>347</v>
      </c>
      <c r="D400" s="15">
        <v>350.95</v>
      </c>
      <c r="E400" s="15">
        <v>344.8</v>
      </c>
      <c r="F400" s="15">
        <v>346.35</v>
      </c>
      <c r="G400" s="15">
        <v>350.6</v>
      </c>
      <c r="H400" s="15">
        <v>349.7</v>
      </c>
      <c r="I400" s="15">
        <v>348.06</v>
      </c>
      <c r="J400" s="15">
        <v>350.95</v>
      </c>
      <c r="K400" s="15">
        <v>207</v>
      </c>
      <c r="L400" s="15">
        <v>18474706</v>
      </c>
      <c r="M400" t="s" s="13">
        <v>9198</v>
      </c>
      <c r="N400" s="15">
        <v>169065</v>
      </c>
      <c r="O400" s="17" cm="1">
        <f t="array" ref="O400">(H400-H399)/H399</f>
        <v>0.00967229680958568</v>
      </c>
    </row>
    <row r="401" ht="13.65" customHeight="1">
      <c r="A401" s="18">
        <v>44855</v>
      </c>
      <c r="B401" t="s" s="13">
        <v>22</v>
      </c>
      <c r="C401" s="15">
        <v>353.2</v>
      </c>
      <c r="D401" s="15">
        <v>353.2</v>
      </c>
      <c r="E401" s="15">
        <v>344.5</v>
      </c>
      <c r="F401" s="15">
        <v>349.7</v>
      </c>
      <c r="G401" s="15">
        <v>344.85</v>
      </c>
      <c r="H401" s="15">
        <v>345.6</v>
      </c>
      <c r="I401" s="15">
        <v>348.85</v>
      </c>
      <c r="J401" s="15">
        <v>353.2</v>
      </c>
      <c r="K401" s="15">
        <v>207</v>
      </c>
      <c r="L401" s="15">
        <v>27372160</v>
      </c>
      <c r="M401" t="s" s="13">
        <v>9199</v>
      </c>
      <c r="N401" s="15">
        <v>192007</v>
      </c>
      <c r="O401" s="17" cm="1">
        <f t="array" ref="O401">(H401-H400)/H400</f>
        <v>-0.0117243351444095</v>
      </c>
    </row>
    <row r="402" ht="13.65" customHeight="1">
      <c r="A402" s="18">
        <v>44858</v>
      </c>
      <c r="B402" t="s" s="13">
        <v>22</v>
      </c>
      <c r="C402" s="15">
        <v>348.95</v>
      </c>
      <c r="D402" s="15">
        <v>349.7</v>
      </c>
      <c r="E402" s="15">
        <v>347</v>
      </c>
      <c r="F402" s="15">
        <v>345.6</v>
      </c>
      <c r="G402" s="15">
        <v>347.65</v>
      </c>
      <c r="H402" s="15">
        <v>347.7</v>
      </c>
      <c r="I402" s="15">
        <v>348.43</v>
      </c>
      <c r="J402" s="15">
        <v>353.2</v>
      </c>
      <c r="K402" s="15">
        <v>207</v>
      </c>
      <c r="L402" s="15">
        <v>3170564</v>
      </c>
      <c r="M402" t="s" s="13">
        <v>9200</v>
      </c>
      <c r="N402" s="15">
        <v>72949</v>
      </c>
      <c r="O402" s="17" cm="1">
        <f t="array" ref="O402">(H402-H401)/H401</f>
        <v>0.00607638888888889</v>
      </c>
    </row>
    <row r="403" ht="13.65" customHeight="1">
      <c r="A403" s="18">
        <v>44859</v>
      </c>
      <c r="B403" t="s" s="13">
        <v>22</v>
      </c>
      <c r="C403" s="15">
        <v>349.45</v>
      </c>
      <c r="D403" s="15">
        <v>349.5</v>
      </c>
      <c r="E403" s="15">
        <v>343.65</v>
      </c>
      <c r="F403" s="15">
        <v>347.7</v>
      </c>
      <c r="G403" s="15">
        <v>346.1</v>
      </c>
      <c r="H403" s="15">
        <v>346.3</v>
      </c>
      <c r="I403" s="15">
        <v>345.93</v>
      </c>
      <c r="J403" s="15">
        <v>353.2</v>
      </c>
      <c r="K403" s="15">
        <v>207</v>
      </c>
      <c r="L403" s="15">
        <v>17242211</v>
      </c>
      <c r="M403" t="s" s="13">
        <v>9201</v>
      </c>
      <c r="N403" s="15">
        <v>128574</v>
      </c>
      <c r="O403" s="17" cm="1">
        <f t="array" ref="O403">(H403-H402)/H402</f>
        <v>-0.00402645959160196</v>
      </c>
    </row>
    <row r="404" ht="13.65" customHeight="1">
      <c r="A404" s="18">
        <v>44861</v>
      </c>
      <c r="B404" t="s" s="13">
        <v>22</v>
      </c>
      <c r="C404" s="15">
        <v>346.65</v>
      </c>
      <c r="D404" s="15">
        <v>348.35</v>
      </c>
      <c r="E404" s="15">
        <v>343.85</v>
      </c>
      <c r="F404" s="15">
        <v>346.3</v>
      </c>
      <c r="G404" s="15">
        <v>346.7</v>
      </c>
      <c r="H404" s="15">
        <v>345.8</v>
      </c>
      <c r="I404" s="15">
        <v>345.23</v>
      </c>
      <c r="J404" s="15">
        <v>353.2</v>
      </c>
      <c r="K404" s="15">
        <v>207</v>
      </c>
      <c r="L404" s="15">
        <v>18558597</v>
      </c>
      <c r="M404" t="s" s="13">
        <v>9202</v>
      </c>
      <c r="N404" s="15">
        <v>102198</v>
      </c>
      <c r="O404" s="17" cm="1">
        <f t="array" ref="O404">(H404-H403)/H403</f>
        <v>-0.00144383482529599</v>
      </c>
    </row>
    <row r="405" ht="13.65" customHeight="1">
      <c r="A405" s="18">
        <v>44862</v>
      </c>
      <c r="B405" t="s" s="13">
        <v>22</v>
      </c>
      <c r="C405" s="15">
        <v>347.55</v>
      </c>
      <c r="D405" s="15">
        <v>348.6</v>
      </c>
      <c r="E405" s="15">
        <v>345.1</v>
      </c>
      <c r="F405" s="15">
        <v>345.8</v>
      </c>
      <c r="G405" s="15">
        <v>346</v>
      </c>
      <c r="H405" s="15">
        <v>345.8</v>
      </c>
      <c r="I405" s="15">
        <v>346.74</v>
      </c>
      <c r="J405" s="15">
        <v>353.2</v>
      </c>
      <c r="K405" s="15">
        <v>207</v>
      </c>
      <c r="L405" s="15">
        <v>13069167</v>
      </c>
      <c r="M405" t="s" s="13">
        <v>9203</v>
      </c>
      <c r="N405" s="15">
        <v>88108</v>
      </c>
      <c r="O405" s="17" cm="1">
        <f t="array" ref="O405">(H405-H404)/H404</f>
        <v>0</v>
      </c>
    </row>
    <row r="406" ht="13.65" customHeight="1">
      <c r="A406" s="18">
        <v>44865</v>
      </c>
      <c r="B406" t="s" s="13">
        <v>22</v>
      </c>
      <c r="C406" s="15">
        <v>348</v>
      </c>
      <c r="D406" s="15">
        <v>350.5</v>
      </c>
      <c r="E406" s="15">
        <v>344.75</v>
      </c>
      <c r="F406" s="15">
        <v>345.8</v>
      </c>
      <c r="G406" s="15">
        <v>348.95</v>
      </c>
      <c r="H406" s="15">
        <v>348.7</v>
      </c>
      <c r="I406" s="15">
        <v>347.71</v>
      </c>
      <c r="J406" s="15">
        <v>353.2</v>
      </c>
      <c r="K406" s="15">
        <v>207</v>
      </c>
      <c r="L406" s="15">
        <v>13825970</v>
      </c>
      <c r="M406" t="s" s="13">
        <v>9204</v>
      </c>
      <c r="N406" s="15">
        <v>124587</v>
      </c>
      <c r="O406" s="17" cm="1">
        <f t="array" ref="O406">(H406-H405)/H405</f>
        <v>0.00838635049161365</v>
      </c>
    </row>
    <row r="407" ht="13.65" customHeight="1">
      <c r="A407" s="12">
        <v>44866</v>
      </c>
      <c r="B407" t="s" s="13">
        <v>22</v>
      </c>
      <c r="C407" s="15">
        <v>349.25</v>
      </c>
      <c r="D407" s="15">
        <v>350.5</v>
      </c>
      <c r="E407" s="15">
        <v>347.2</v>
      </c>
      <c r="F407" s="15">
        <v>348.7</v>
      </c>
      <c r="G407" s="15">
        <v>349.5</v>
      </c>
      <c r="H407" s="15">
        <v>349.5</v>
      </c>
      <c r="I407" s="15">
        <v>349.26</v>
      </c>
      <c r="J407" s="15">
        <v>353.2</v>
      </c>
      <c r="K407" s="15">
        <v>207</v>
      </c>
      <c r="L407" s="15">
        <v>19665200</v>
      </c>
      <c r="M407" t="s" s="13">
        <v>9205</v>
      </c>
      <c r="N407" s="15">
        <v>116701</v>
      </c>
      <c r="O407" s="17" cm="1">
        <f t="array" ref="O407">(H407-H406)/H406</f>
        <v>0.00229423573272154</v>
      </c>
    </row>
    <row r="408" ht="13.65" customHeight="1">
      <c r="A408" s="12">
        <v>44867</v>
      </c>
      <c r="B408" t="s" s="13">
        <v>22</v>
      </c>
      <c r="C408" s="15">
        <v>348.5</v>
      </c>
      <c r="D408" s="15">
        <v>356.25</v>
      </c>
      <c r="E408" s="15">
        <v>348.5</v>
      </c>
      <c r="F408" s="15">
        <v>349.5</v>
      </c>
      <c r="G408" s="15">
        <v>354</v>
      </c>
      <c r="H408" s="15">
        <v>354.65</v>
      </c>
      <c r="I408" s="15">
        <v>353.78</v>
      </c>
      <c r="J408" s="15">
        <v>356.25</v>
      </c>
      <c r="K408" s="15">
        <v>207</v>
      </c>
      <c r="L408" s="15">
        <v>16781507</v>
      </c>
      <c r="M408" t="s" s="13">
        <v>9206</v>
      </c>
      <c r="N408" s="15">
        <v>166834</v>
      </c>
      <c r="O408" s="17" cm="1">
        <f t="array" ref="O408">(H408-H407)/H407</f>
        <v>0.0147353361945637</v>
      </c>
    </row>
    <row r="409" ht="13.65" customHeight="1">
      <c r="A409" s="12">
        <v>44868</v>
      </c>
      <c r="B409" t="s" s="13">
        <v>22</v>
      </c>
      <c r="C409" s="15">
        <v>354</v>
      </c>
      <c r="D409" s="15">
        <v>358.5</v>
      </c>
      <c r="E409" s="15">
        <v>353</v>
      </c>
      <c r="F409" s="15">
        <v>354.65</v>
      </c>
      <c r="G409" s="15">
        <v>354.15</v>
      </c>
      <c r="H409" s="15">
        <v>353.7</v>
      </c>
      <c r="I409" s="15">
        <v>355.69</v>
      </c>
      <c r="J409" s="15">
        <v>358.5</v>
      </c>
      <c r="K409" s="15">
        <v>207</v>
      </c>
      <c r="L409" s="15">
        <v>10736155</v>
      </c>
      <c r="M409" t="s" s="13">
        <v>9207</v>
      </c>
      <c r="N409" s="15">
        <v>115351</v>
      </c>
      <c r="O409" s="17" cm="1">
        <f t="array" ref="O409">(H409-H408)/H408</f>
        <v>-0.00267869730720429</v>
      </c>
    </row>
    <row r="410" ht="13.65" customHeight="1">
      <c r="A410" s="12">
        <v>44869</v>
      </c>
      <c r="B410" t="s" s="13">
        <v>22</v>
      </c>
      <c r="C410" s="15">
        <v>354</v>
      </c>
      <c r="D410" s="15">
        <v>356</v>
      </c>
      <c r="E410" s="15">
        <v>352.5</v>
      </c>
      <c r="F410" s="15">
        <v>353.7</v>
      </c>
      <c r="G410" s="15">
        <v>353.25</v>
      </c>
      <c r="H410" s="15">
        <v>353.6</v>
      </c>
      <c r="I410" s="15">
        <v>354.26</v>
      </c>
      <c r="J410" s="15">
        <v>358.5</v>
      </c>
      <c r="K410" s="15">
        <v>207</v>
      </c>
      <c r="L410" s="15">
        <v>8386849</v>
      </c>
      <c r="M410" t="s" s="13">
        <v>9208</v>
      </c>
      <c r="N410" s="15">
        <v>112058</v>
      </c>
      <c r="O410" s="17" cm="1">
        <f t="array" ref="O410">(H410-H409)/H409</f>
        <v>-0.000282725473565168</v>
      </c>
    </row>
    <row r="411" ht="13.65" customHeight="1">
      <c r="A411" s="12">
        <v>44872</v>
      </c>
      <c r="B411" t="s" s="13">
        <v>22</v>
      </c>
      <c r="C411" s="15">
        <v>355</v>
      </c>
      <c r="D411" s="15">
        <v>356.35</v>
      </c>
      <c r="E411" s="15">
        <v>350</v>
      </c>
      <c r="F411" s="15">
        <v>353.6</v>
      </c>
      <c r="G411" s="15">
        <v>353.7</v>
      </c>
      <c r="H411" s="15">
        <v>353.5</v>
      </c>
      <c r="I411" s="15">
        <v>352.72</v>
      </c>
      <c r="J411" s="15">
        <v>358.5</v>
      </c>
      <c r="K411" s="15">
        <v>207</v>
      </c>
      <c r="L411" s="15">
        <v>10050303</v>
      </c>
      <c r="M411" t="s" s="13">
        <v>9209</v>
      </c>
      <c r="N411" s="15">
        <v>120586</v>
      </c>
      <c r="O411" s="17" cm="1">
        <f t="array" ref="O411">(H411-H410)/H410</f>
        <v>-0.000282805429864253</v>
      </c>
    </row>
    <row r="412" ht="13.65" customHeight="1">
      <c r="A412" s="12">
        <v>44874</v>
      </c>
      <c r="B412" t="s" s="13">
        <v>22</v>
      </c>
      <c r="C412" s="15">
        <v>353.5</v>
      </c>
      <c r="D412" s="15">
        <v>361.45</v>
      </c>
      <c r="E412" s="15">
        <v>353.2</v>
      </c>
      <c r="F412" s="15">
        <v>353.5</v>
      </c>
      <c r="G412" s="15">
        <v>360.7</v>
      </c>
      <c r="H412" s="15">
        <v>360.7</v>
      </c>
      <c r="I412" s="15">
        <v>358.51</v>
      </c>
      <c r="J412" s="15">
        <v>361.45</v>
      </c>
      <c r="K412" s="15">
        <v>207</v>
      </c>
      <c r="L412" s="15">
        <v>20611075</v>
      </c>
      <c r="M412" t="s" s="13">
        <v>9210</v>
      </c>
      <c r="N412" s="15">
        <v>176013</v>
      </c>
      <c r="O412" s="17" cm="1">
        <f t="array" ref="O412">(H412-H411)/H411</f>
        <v>0.0203677510608204</v>
      </c>
    </row>
    <row r="413" ht="13.65" customHeight="1">
      <c r="A413" s="18">
        <v>44875</v>
      </c>
      <c r="B413" t="s" s="13">
        <v>22</v>
      </c>
      <c r="C413" s="15">
        <v>359</v>
      </c>
      <c r="D413" s="15">
        <v>359.9</v>
      </c>
      <c r="E413" s="15">
        <v>354.1</v>
      </c>
      <c r="F413" s="15">
        <v>360.7</v>
      </c>
      <c r="G413" s="15">
        <v>356</v>
      </c>
      <c r="H413" s="15">
        <v>356</v>
      </c>
      <c r="I413" s="15">
        <v>356.14</v>
      </c>
      <c r="J413" s="15">
        <v>361.45</v>
      </c>
      <c r="K413" s="15">
        <v>207</v>
      </c>
      <c r="L413" s="15">
        <v>19327625</v>
      </c>
      <c r="M413" t="s" s="13">
        <v>9211</v>
      </c>
      <c r="N413" s="15">
        <v>149772</v>
      </c>
      <c r="O413" s="17" cm="1">
        <f t="array" ref="O413">(H413-H412)/H412</f>
        <v>-0.013030219018575</v>
      </c>
    </row>
    <row r="414" ht="13.65" customHeight="1">
      <c r="A414" s="18">
        <v>44876</v>
      </c>
      <c r="B414" t="s" s="13">
        <v>22</v>
      </c>
      <c r="C414" s="15">
        <v>360</v>
      </c>
      <c r="D414" s="15">
        <v>360.95</v>
      </c>
      <c r="E414" s="15">
        <v>354.65</v>
      </c>
      <c r="F414" s="15">
        <v>356</v>
      </c>
      <c r="G414" s="15">
        <v>358</v>
      </c>
      <c r="H414" s="15">
        <v>356.35</v>
      </c>
      <c r="I414" s="15">
        <v>356.41</v>
      </c>
      <c r="J414" s="15">
        <v>361.45</v>
      </c>
      <c r="K414" s="15">
        <v>207</v>
      </c>
      <c r="L414" s="15">
        <v>10950902</v>
      </c>
      <c r="M414" t="s" s="13">
        <v>9212</v>
      </c>
      <c r="N414" s="15">
        <v>119454</v>
      </c>
      <c r="O414" s="17" cm="1">
        <f t="array" ref="O414">(H414-H413)/H413</f>
        <v>0.00098314606741573</v>
      </c>
    </row>
    <row r="415" ht="13.65" customHeight="1">
      <c r="A415" s="18">
        <v>44879</v>
      </c>
      <c r="B415" t="s" s="13">
        <v>22</v>
      </c>
      <c r="C415" s="15">
        <v>356.35</v>
      </c>
      <c r="D415" s="15">
        <v>356.95</v>
      </c>
      <c r="E415" s="15">
        <v>346.6</v>
      </c>
      <c r="F415" s="15">
        <v>356.35</v>
      </c>
      <c r="G415" s="15">
        <v>347.45</v>
      </c>
      <c r="H415" s="15">
        <v>347.2</v>
      </c>
      <c r="I415" s="15">
        <v>350.27</v>
      </c>
      <c r="J415" s="15">
        <v>361.45</v>
      </c>
      <c r="K415" s="15">
        <v>207</v>
      </c>
      <c r="L415" s="15">
        <v>17639889</v>
      </c>
      <c r="M415" t="s" s="13">
        <v>9213</v>
      </c>
      <c r="N415" s="15">
        <v>167736</v>
      </c>
      <c r="O415" s="17" cm="1">
        <f t="array" ref="O415">(H415-H414)/H414</f>
        <v>-0.0256770029465413</v>
      </c>
    </row>
    <row r="416" ht="13.65" customHeight="1">
      <c r="A416" s="18">
        <v>44880</v>
      </c>
      <c r="B416" t="s" s="13">
        <v>22</v>
      </c>
      <c r="C416" s="15">
        <v>348.95</v>
      </c>
      <c r="D416" s="15">
        <v>348.95</v>
      </c>
      <c r="E416" s="15">
        <v>339.15</v>
      </c>
      <c r="F416" s="15">
        <v>347.2</v>
      </c>
      <c r="G416" s="15">
        <v>345.5</v>
      </c>
      <c r="H416" s="15">
        <v>345.25</v>
      </c>
      <c r="I416" s="15">
        <v>342.39</v>
      </c>
      <c r="J416" s="15">
        <v>361.45</v>
      </c>
      <c r="K416" s="15">
        <v>207</v>
      </c>
      <c r="L416" s="15">
        <v>15451411</v>
      </c>
      <c r="M416" t="s" s="13">
        <v>9214</v>
      </c>
      <c r="N416" s="15">
        <v>151100</v>
      </c>
      <c r="O416" s="17" cm="1">
        <f t="array" ref="O416">(H416-H415)/H415</f>
        <v>-0.00561635944700461</v>
      </c>
    </row>
    <row r="417" ht="13.65" customHeight="1">
      <c r="A417" s="18">
        <v>44881</v>
      </c>
      <c r="B417" t="s" s="13">
        <v>22</v>
      </c>
      <c r="C417" s="15">
        <v>345.7</v>
      </c>
      <c r="D417" s="15">
        <v>346.85</v>
      </c>
      <c r="E417" s="15">
        <v>341.65</v>
      </c>
      <c r="F417" s="15">
        <v>345.25</v>
      </c>
      <c r="G417" s="15">
        <v>344.5</v>
      </c>
      <c r="H417" s="15">
        <v>344.1</v>
      </c>
      <c r="I417" s="15">
        <v>343.92</v>
      </c>
      <c r="J417" s="15">
        <v>361.45</v>
      </c>
      <c r="K417" s="15">
        <v>207</v>
      </c>
      <c r="L417" s="15">
        <v>7604924</v>
      </c>
      <c r="M417" t="s" s="13">
        <v>9215</v>
      </c>
      <c r="N417" s="15">
        <v>116105</v>
      </c>
      <c r="O417" s="17" cm="1">
        <f t="array" ref="O417">(H417-H416)/H416</f>
        <v>-0.00333091962346126</v>
      </c>
    </row>
    <row r="418" ht="13.65" customHeight="1">
      <c r="A418" s="18">
        <v>44882</v>
      </c>
      <c r="B418" t="s" s="13">
        <v>22</v>
      </c>
      <c r="C418" s="15">
        <v>344.1</v>
      </c>
      <c r="D418" s="15">
        <v>347.45</v>
      </c>
      <c r="E418" s="15">
        <v>342.6</v>
      </c>
      <c r="F418" s="15">
        <v>344.1</v>
      </c>
      <c r="G418" s="15">
        <v>343.8</v>
      </c>
      <c r="H418" s="15">
        <v>343.7</v>
      </c>
      <c r="I418" s="15">
        <v>344.84</v>
      </c>
      <c r="J418" s="15">
        <v>361.45</v>
      </c>
      <c r="K418" s="15">
        <v>207</v>
      </c>
      <c r="L418" s="15">
        <v>9994270</v>
      </c>
      <c r="M418" t="s" s="13">
        <v>9216</v>
      </c>
      <c r="N418" s="15">
        <v>118071</v>
      </c>
      <c r="O418" s="17" cm="1">
        <f t="array" ref="O418">(H418-H417)/H417</f>
        <v>-0.001162452775356</v>
      </c>
    </row>
    <row r="419" ht="13.65" customHeight="1">
      <c r="A419" s="18">
        <v>44883</v>
      </c>
      <c r="B419" t="s" s="13">
        <v>22</v>
      </c>
      <c r="C419" s="15">
        <v>343.7</v>
      </c>
      <c r="D419" s="15">
        <v>344.75</v>
      </c>
      <c r="E419" s="15">
        <v>339.8</v>
      </c>
      <c r="F419" s="15">
        <v>343.7</v>
      </c>
      <c r="G419" s="15">
        <v>341</v>
      </c>
      <c r="H419" s="15">
        <v>341.05</v>
      </c>
      <c r="I419" s="15">
        <v>341.37</v>
      </c>
      <c r="J419" s="15">
        <v>361.45</v>
      </c>
      <c r="K419" s="15">
        <v>207</v>
      </c>
      <c r="L419" s="15">
        <v>7838297</v>
      </c>
      <c r="M419" t="s" s="13">
        <v>9217</v>
      </c>
      <c r="N419" s="15">
        <v>93616</v>
      </c>
      <c r="O419" s="17" cm="1">
        <f t="array" ref="O419">(H419-H418)/H418</f>
        <v>-0.00771021239453011</v>
      </c>
    </row>
    <row r="420" ht="13.65" customHeight="1">
      <c r="A420" s="18">
        <v>44886</v>
      </c>
      <c r="B420" t="s" s="13">
        <v>22</v>
      </c>
      <c r="C420" s="15">
        <v>339.1</v>
      </c>
      <c r="D420" s="15">
        <v>340</v>
      </c>
      <c r="E420" s="15">
        <v>334.4</v>
      </c>
      <c r="F420" s="15">
        <v>341.05</v>
      </c>
      <c r="G420" s="15">
        <v>337.2</v>
      </c>
      <c r="H420" s="15">
        <v>337.2</v>
      </c>
      <c r="I420" s="15">
        <v>336.63</v>
      </c>
      <c r="J420" s="15">
        <v>361.45</v>
      </c>
      <c r="K420" s="15">
        <v>207</v>
      </c>
      <c r="L420" s="15">
        <v>9198816</v>
      </c>
      <c r="M420" t="s" s="13">
        <v>9218</v>
      </c>
      <c r="N420" s="15">
        <v>123378</v>
      </c>
      <c r="O420" s="17" cm="1">
        <f t="array" ref="O420">(H420-H419)/H419</f>
        <v>-0.0112886673508283</v>
      </c>
    </row>
    <row r="421" ht="13.65" customHeight="1">
      <c r="A421" s="18">
        <v>44887</v>
      </c>
      <c r="B421" t="s" s="13">
        <v>22</v>
      </c>
      <c r="C421" s="15">
        <v>337</v>
      </c>
      <c r="D421" s="15">
        <v>341</v>
      </c>
      <c r="E421" s="15">
        <v>335.7</v>
      </c>
      <c r="F421" s="15">
        <v>337.2</v>
      </c>
      <c r="G421" s="15">
        <v>340</v>
      </c>
      <c r="H421" s="15">
        <v>340.25</v>
      </c>
      <c r="I421" s="15">
        <v>339.35</v>
      </c>
      <c r="J421" s="15">
        <v>361.45</v>
      </c>
      <c r="K421" s="15">
        <v>207</v>
      </c>
      <c r="L421" s="15">
        <v>6495845</v>
      </c>
      <c r="M421" t="s" s="13">
        <v>9219</v>
      </c>
      <c r="N421" s="15">
        <v>97824</v>
      </c>
      <c r="O421" s="17" cm="1">
        <f t="array" ref="O421">(H421-H420)/H420</f>
        <v>0.00904507710557533</v>
      </c>
    </row>
    <row r="422" ht="13.65" customHeight="1">
      <c r="A422" s="18">
        <v>44888</v>
      </c>
      <c r="B422" t="s" s="13">
        <v>22</v>
      </c>
      <c r="C422" s="15">
        <v>342</v>
      </c>
      <c r="D422" s="15">
        <v>342</v>
      </c>
      <c r="E422" s="15">
        <v>337.5</v>
      </c>
      <c r="F422" s="15">
        <v>340.25</v>
      </c>
      <c r="G422" s="15">
        <v>339.2</v>
      </c>
      <c r="H422" s="15">
        <v>339.8</v>
      </c>
      <c r="I422" s="15">
        <v>339.65</v>
      </c>
      <c r="J422" s="15">
        <v>361.45</v>
      </c>
      <c r="K422" s="15">
        <v>207</v>
      </c>
      <c r="L422" s="15">
        <v>7768291</v>
      </c>
      <c r="M422" t="s" s="13">
        <v>9220</v>
      </c>
      <c r="N422" s="15">
        <v>122455</v>
      </c>
      <c r="O422" s="17" cm="1">
        <f t="array" ref="O422">(H422-H421)/H421</f>
        <v>-0.00132255694342395</v>
      </c>
    </row>
    <row r="423" ht="13.65" customHeight="1">
      <c r="A423" s="18">
        <v>44889</v>
      </c>
      <c r="B423" t="s" s="13">
        <v>22</v>
      </c>
      <c r="C423" s="15">
        <v>339.8</v>
      </c>
      <c r="D423" s="15">
        <v>342.5</v>
      </c>
      <c r="E423" s="15">
        <v>337.55</v>
      </c>
      <c r="F423" s="15">
        <v>339.8</v>
      </c>
      <c r="G423" s="15">
        <v>341.1</v>
      </c>
      <c r="H423" s="15">
        <v>340.75</v>
      </c>
      <c r="I423" s="15">
        <v>340.21</v>
      </c>
      <c r="J423" s="15">
        <v>361.45</v>
      </c>
      <c r="K423" s="15">
        <v>207</v>
      </c>
      <c r="L423" s="15">
        <v>8140857</v>
      </c>
      <c r="M423" t="s" s="13">
        <v>9221</v>
      </c>
      <c r="N423" s="15">
        <v>116223</v>
      </c>
      <c r="O423" s="17" cm="1">
        <f t="array" ref="O423">(H423-H422)/H422</f>
        <v>0.00279576221306651</v>
      </c>
    </row>
    <row r="424" ht="13.65" customHeight="1">
      <c r="A424" s="18">
        <v>44890</v>
      </c>
      <c r="B424" t="s" s="13">
        <v>22</v>
      </c>
      <c r="C424" s="15">
        <v>341</v>
      </c>
      <c r="D424" s="15">
        <v>341.9</v>
      </c>
      <c r="E424" s="15">
        <v>337.8</v>
      </c>
      <c r="F424" s="15">
        <v>340.75</v>
      </c>
      <c r="G424" s="15">
        <v>340.3</v>
      </c>
      <c r="H424" s="15">
        <v>340.3</v>
      </c>
      <c r="I424" s="15">
        <v>339.56</v>
      </c>
      <c r="J424" s="15">
        <v>361.45</v>
      </c>
      <c r="K424" s="15">
        <v>207</v>
      </c>
      <c r="L424" s="15">
        <v>6933254</v>
      </c>
      <c r="M424" t="s" s="13">
        <v>9222</v>
      </c>
      <c r="N424" s="15">
        <v>102045</v>
      </c>
      <c r="O424" s="17" cm="1">
        <f t="array" ref="O424">(H424-H423)/H423</f>
        <v>-0.00132061628760088</v>
      </c>
    </row>
    <row r="425" ht="13.65" customHeight="1">
      <c r="A425" s="18">
        <v>44893</v>
      </c>
      <c r="B425" t="s" s="13">
        <v>22</v>
      </c>
      <c r="C425" s="15">
        <v>340</v>
      </c>
      <c r="D425" s="15">
        <v>341.75</v>
      </c>
      <c r="E425" s="15">
        <v>338.75</v>
      </c>
      <c r="F425" s="15">
        <v>340.3</v>
      </c>
      <c r="G425" s="15">
        <v>339.95</v>
      </c>
      <c r="H425" s="15">
        <v>340.05</v>
      </c>
      <c r="I425" s="15">
        <v>340.43</v>
      </c>
      <c r="J425" s="15">
        <v>361.45</v>
      </c>
      <c r="K425" s="15">
        <v>207</v>
      </c>
      <c r="L425" s="15">
        <v>9902739</v>
      </c>
      <c r="M425" t="s" s="13">
        <v>9223</v>
      </c>
      <c r="N425" s="15">
        <v>103017</v>
      </c>
      <c r="O425" s="17" cm="1">
        <f t="array" ref="O425">(H425-H424)/H424</f>
        <v>-0.000734645900675874</v>
      </c>
    </row>
    <row r="426" ht="13.65" customHeight="1">
      <c r="A426" s="18">
        <v>44894</v>
      </c>
      <c r="B426" t="s" s="13">
        <v>22</v>
      </c>
      <c r="C426" s="15">
        <v>340</v>
      </c>
      <c r="D426" s="15">
        <v>345</v>
      </c>
      <c r="E426" s="15">
        <v>340</v>
      </c>
      <c r="F426" s="15">
        <v>340.05</v>
      </c>
      <c r="G426" s="15">
        <v>342.45</v>
      </c>
      <c r="H426" s="15">
        <v>342.3</v>
      </c>
      <c r="I426" s="15">
        <v>342.94</v>
      </c>
      <c r="J426" s="15">
        <v>361.45</v>
      </c>
      <c r="K426" s="15">
        <v>207</v>
      </c>
      <c r="L426" s="15">
        <v>10189855</v>
      </c>
      <c r="M426" t="s" s="13">
        <v>9224</v>
      </c>
      <c r="N426" s="15">
        <v>115645</v>
      </c>
      <c r="O426" s="17" cm="1">
        <f t="array" ref="O426">(H426-H425)/H425</f>
        <v>0.00661667401852669</v>
      </c>
    </row>
    <row r="427" ht="13.65" customHeight="1">
      <c r="A427" s="18">
        <v>44895</v>
      </c>
      <c r="B427" t="s" s="13">
        <v>22</v>
      </c>
      <c r="C427" s="15">
        <v>341.25</v>
      </c>
      <c r="D427" s="15">
        <v>344.15</v>
      </c>
      <c r="E427" s="15">
        <v>339</v>
      </c>
      <c r="F427" s="15">
        <v>342.3</v>
      </c>
      <c r="G427" s="15">
        <v>340.3</v>
      </c>
      <c r="H427" s="15">
        <v>340</v>
      </c>
      <c r="I427" s="15">
        <v>340.54</v>
      </c>
      <c r="J427" s="15">
        <v>361.45</v>
      </c>
      <c r="K427" s="15">
        <v>207</v>
      </c>
      <c r="L427" s="15">
        <v>22556502</v>
      </c>
      <c r="M427" t="s" s="13">
        <v>9225</v>
      </c>
      <c r="N427" s="15">
        <v>139387</v>
      </c>
      <c r="O427" s="17" cm="1">
        <f t="array" ref="O427">(H427-H426)/H426</f>
        <v>-0.00671925211802512</v>
      </c>
    </row>
    <row r="428" ht="13.65" customHeight="1">
      <c r="A428" s="12">
        <v>44896</v>
      </c>
      <c r="B428" t="s" s="13">
        <v>22</v>
      </c>
      <c r="C428" s="15">
        <v>341.7</v>
      </c>
      <c r="D428" s="15">
        <v>341.7</v>
      </c>
      <c r="E428" s="15">
        <v>336.8</v>
      </c>
      <c r="F428" s="15">
        <v>340</v>
      </c>
      <c r="G428" s="15">
        <v>339.7</v>
      </c>
      <c r="H428" s="15">
        <v>339.55</v>
      </c>
      <c r="I428" s="15">
        <v>338.75</v>
      </c>
      <c r="J428" s="15">
        <v>361.45</v>
      </c>
      <c r="K428" s="15">
        <v>207</v>
      </c>
      <c r="L428" s="15">
        <v>16630417</v>
      </c>
      <c r="M428" t="s" s="13">
        <v>9226</v>
      </c>
      <c r="N428" s="15">
        <v>183326</v>
      </c>
      <c r="O428" s="17" cm="1">
        <f t="array" ref="O428">(H428-H427)/H427</f>
        <v>-0.00132352941176471</v>
      </c>
    </row>
    <row r="429" ht="13.65" customHeight="1">
      <c r="A429" s="12">
        <v>44897</v>
      </c>
      <c r="B429" t="s" s="13">
        <v>22</v>
      </c>
      <c r="C429" s="15">
        <v>339.35</v>
      </c>
      <c r="D429" s="15">
        <v>340.8</v>
      </c>
      <c r="E429" s="15">
        <v>336.75</v>
      </c>
      <c r="F429" s="15">
        <v>339.55</v>
      </c>
      <c r="G429" s="15">
        <v>337.5</v>
      </c>
      <c r="H429" s="15">
        <v>337.15</v>
      </c>
      <c r="I429" s="15">
        <v>337.85</v>
      </c>
      <c r="J429" s="15">
        <v>361.45</v>
      </c>
      <c r="K429" s="15">
        <v>207</v>
      </c>
      <c r="L429" s="15">
        <v>8388835</v>
      </c>
      <c r="M429" t="s" s="13">
        <v>9227</v>
      </c>
      <c r="N429" s="15">
        <v>104028</v>
      </c>
      <c r="O429" s="17" cm="1">
        <f t="array" ref="O429">(H429-H428)/H428</f>
        <v>-0.00706817847150641</v>
      </c>
    </row>
    <row r="430" ht="13.65" customHeight="1">
      <c r="A430" s="12">
        <v>44900</v>
      </c>
      <c r="B430" t="s" s="13">
        <v>22</v>
      </c>
      <c r="C430" s="15">
        <v>337.65</v>
      </c>
      <c r="D430" s="15">
        <v>338.85</v>
      </c>
      <c r="E430" s="15">
        <v>334.15</v>
      </c>
      <c r="F430" s="15">
        <v>337.15</v>
      </c>
      <c r="G430" s="15">
        <v>336.6</v>
      </c>
      <c r="H430" s="15">
        <v>336.75</v>
      </c>
      <c r="I430" s="15">
        <v>335.88</v>
      </c>
      <c r="J430" s="15">
        <v>361.45</v>
      </c>
      <c r="K430" s="15">
        <v>207</v>
      </c>
      <c r="L430" s="15">
        <v>9716390</v>
      </c>
      <c r="M430" t="s" s="13">
        <v>9228</v>
      </c>
      <c r="N430" s="15">
        <v>131793</v>
      </c>
      <c r="O430" s="17" cm="1">
        <f t="array" ref="O430">(H430-H429)/H429</f>
        <v>-0.0011864155420436</v>
      </c>
    </row>
    <row r="431" ht="13.65" customHeight="1">
      <c r="A431" s="12">
        <v>44901</v>
      </c>
      <c r="B431" t="s" s="13">
        <v>22</v>
      </c>
      <c r="C431" s="15">
        <v>334.1</v>
      </c>
      <c r="D431" s="15">
        <v>338.2</v>
      </c>
      <c r="E431" s="15">
        <v>334.1</v>
      </c>
      <c r="F431" s="15">
        <v>336.75</v>
      </c>
      <c r="G431" s="15">
        <v>337.6</v>
      </c>
      <c r="H431" s="15">
        <v>337.3</v>
      </c>
      <c r="I431" s="15">
        <v>337.05</v>
      </c>
      <c r="J431" s="15">
        <v>361.45</v>
      </c>
      <c r="K431" s="15">
        <v>207</v>
      </c>
      <c r="L431" s="15">
        <v>6327430</v>
      </c>
      <c r="M431" t="s" s="13">
        <v>9229</v>
      </c>
      <c r="N431" s="15">
        <v>82974</v>
      </c>
      <c r="O431" s="17" cm="1">
        <f t="array" ref="O431">(H431-H430)/H430</f>
        <v>0.00163325909428359</v>
      </c>
    </row>
    <row r="432" ht="13.65" customHeight="1">
      <c r="A432" s="12">
        <v>44902</v>
      </c>
      <c r="B432" t="s" s="13">
        <v>22</v>
      </c>
      <c r="C432" s="15">
        <v>338.5</v>
      </c>
      <c r="D432" s="15">
        <v>341.5</v>
      </c>
      <c r="E432" s="15">
        <v>336.65</v>
      </c>
      <c r="F432" s="15">
        <v>337.3</v>
      </c>
      <c r="G432" s="15">
        <v>340</v>
      </c>
      <c r="H432" s="15">
        <v>340.1</v>
      </c>
      <c r="I432" s="15">
        <v>339.89</v>
      </c>
      <c r="J432" s="15">
        <v>361.45</v>
      </c>
      <c r="K432" s="15">
        <v>207</v>
      </c>
      <c r="L432" s="15">
        <v>9813208</v>
      </c>
      <c r="M432" t="s" s="13">
        <v>9230</v>
      </c>
      <c r="N432" s="15">
        <v>117952</v>
      </c>
      <c r="O432" s="17" cm="1">
        <f t="array" ref="O432">(H432-H431)/H431</f>
        <v>0.008301215535131931</v>
      </c>
    </row>
    <row r="433" ht="13.65" customHeight="1">
      <c r="A433" s="12">
        <v>44903</v>
      </c>
      <c r="B433" t="s" s="13">
        <v>22</v>
      </c>
      <c r="C433" s="15">
        <v>340.2</v>
      </c>
      <c r="D433" s="15">
        <v>342.15</v>
      </c>
      <c r="E433" s="15">
        <v>337.5</v>
      </c>
      <c r="F433" s="15">
        <v>340.1</v>
      </c>
      <c r="G433" s="15">
        <v>338.3</v>
      </c>
      <c r="H433" s="15">
        <v>338.4</v>
      </c>
      <c r="I433" s="15">
        <v>339.3</v>
      </c>
      <c r="J433" s="15">
        <v>361.45</v>
      </c>
      <c r="K433" s="15">
        <v>207</v>
      </c>
      <c r="L433" s="15">
        <v>6200447</v>
      </c>
      <c r="M433" t="s" s="13">
        <v>9231</v>
      </c>
      <c r="N433" s="15">
        <v>135480</v>
      </c>
      <c r="O433" s="17" cm="1">
        <f t="array" ref="O433">(H433-H432)/H432</f>
        <v>-0.00499852984416348</v>
      </c>
    </row>
    <row r="434" ht="13.65" customHeight="1">
      <c r="A434" s="12">
        <v>44904</v>
      </c>
      <c r="B434" t="s" s="13">
        <v>22</v>
      </c>
      <c r="C434" s="15">
        <v>339.75</v>
      </c>
      <c r="D434" s="15">
        <v>342.5</v>
      </c>
      <c r="E434" s="15">
        <v>338</v>
      </c>
      <c r="F434" s="15">
        <v>338.4</v>
      </c>
      <c r="G434" s="15">
        <v>342</v>
      </c>
      <c r="H434" s="15">
        <v>341.4</v>
      </c>
      <c r="I434" s="15">
        <v>340.59</v>
      </c>
      <c r="J434" s="15">
        <v>361.45</v>
      </c>
      <c r="K434" s="15">
        <v>207</v>
      </c>
      <c r="L434" s="15">
        <v>8132228</v>
      </c>
      <c r="M434" t="s" s="13">
        <v>9232</v>
      </c>
      <c r="N434" s="15">
        <v>104951</v>
      </c>
      <c r="O434" s="17" cm="1">
        <f t="array" ref="O434">(H434-H433)/H433</f>
        <v>0.00886524822695035</v>
      </c>
    </row>
    <row r="435" ht="13.65" customHeight="1">
      <c r="A435" s="18">
        <v>44907</v>
      </c>
      <c r="B435" t="s" s="13">
        <v>22</v>
      </c>
      <c r="C435" s="15">
        <v>341</v>
      </c>
      <c r="D435" s="15">
        <v>344</v>
      </c>
      <c r="E435" s="15">
        <v>340.1</v>
      </c>
      <c r="F435" s="15">
        <v>341.4</v>
      </c>
      <c r="G435" s="15">
        <v>343.25</v>
      </c>
      <c r="H435" s="15">
        <v>343.2</v>
      </c>
      <c r="I435" s="15">
        <v>342.63</v>
      </c>
      <c r="J435" s="15">
        <v>361.45</v>
      </c>
      <c r="K435" s="15">
        <v>207</v>
      </c>
      <c r="L435" s="15">
        <v>11214662</v>
      </c>
      <c r="M435" t="s" s="13">
        <v>9233</v>
      </c>
      <c r="N435" s="15">
        <v>147074</v>
      </c>
      <c r="O435" s="17" cm="1">
        <f t="array" ref="O435">(H435-H434)/H434</f>
        <v>0.00527240773286467</v>
      </c>
    </row>
    <row r="436" ht="13.65" customHeight="1">
      <c r="A436" s="18">
        <v>44908</v>
      </c>
      <c r="B436" t="s" s="13">
        <v>22</v>
      </c>
      <c r="C436" s="15">
        <v>344.5</v>
      </c>
      <c r="D436" s="15">
        <v>346</v>
      </c>
      <c r="E436" s="15">
        <v>342.4</v>
      </c>
      <c r="F436" s="15">
        <v>343.2</v>
      </c>
      <c r="G436" s="15">
        <v>345.05</v>
      </c>
      <c r="H436" s="15">
        <v>345.6</v>
      </c>
      <c r="I436" s="15">
        <v>344.45</v>
      </c>
      <c r="J436" s="15">
        <v>361.45</v>
      </c>
      <c r="K436" s="15">
        <v>207</v>
      </c>
      <c r="L436" s="15">
        <v>10693426</v>
      </c>
      <c r="M436" t="s" s="13">
        <v>9234</v>
      </c>
      <c r="N436" s="15">
        <v>129845</v>
      </c>
      <c r="O436" s="17" cm="1">
        <f t="array" ref="O436">(H436-H435)/H435</f>
        <v>0.00699300699300699</v>
      </c>
    </row>
    <row r="437" ht="13.65" customHeight="1">
      <c r="A437" s="18">
        <v>44909</v>
      </c>
      <c r="B437" t="s" s="13">
        <v>22</v>
      </c>
      <c r="C437" s="15">
        <v>346</v>
      </c>
      <c r="D437" s="15">
        <v>347.35</v>
      </c>
      <c r="E437" s="15">
        <v>343.75</v>
      </c>
      <c r="F437" s="15">
        <v>345.6</v>
      </c>
      <c r="G437" s="15">
        <v>345.1</v>
      </c>
      <c r="H437" s="15">
        <v>345.4</v>
      </c>
      <c r="I437" s="15">
        <v>345.47</v>
      </c>
      <c r="J437" s="15">
        <v>361.45</v>
      </c>
      <c r="K437" s="15">
        <v>207</v>
      </c>
      <c r="L437" s="15">
        <v>7379878</v>
      </c>
      <c r="M437" t="s" s="13">
        <v>9235</v>
      </c>
      <c r="N437" s="15">
        <v>128069</v>
      </c>
      <c r="O437" s="17" cm="1">
        <f t="array" ref="O437">(H437-H436)/H436</f>
        <v>-0.000578703703703704</v>
      </c>
    </row>
    <row r="438" ht="13.65" customHeight="1">
      <c r="A438" s="18">
        <v>44910</v>
      </c>
      <c r="B438" t="s" s="13">
        <v>22</v>
      </c>
      <c r="C438" s="15">
        <v>344.75</v>
      </c>
      <c r="D438" s="15">
        <v>346.1</v>
      </c>
      <c r="E438" s="15">
        <v>338</v>
      </c>
      <c r="F438" s="15">
        <v>345.4</v>
      </c>
      <c r="G438" s="15">
        <v>338.7</v>
      </c>
      <c r="H438" s="15">
        <v>338.85</v>
      </c>
      <c r="I438" s="15">
        <v>341.22</v>
      </c>
      <c r="J438" s="15">
        <v>361.45</v>
      </c>
      <c r="K438" s="15">
        <v>207</v>
      </c>
      <c r="L438" s="15">
        <v>8154931</v>
      </c>
      <c r="M438" t="s" s="13">
        <v>9236</v>
      </c>
      <c r="N438" s="15">
        <v>112979</v>
      </c>
      <c r="O438" s="17" cm="1">
        <f t="array" ref="O438">(H438-H437)/H437</f>
        <v>-0.0189635205558772</v>
      </c>
    </row>
    <row r="439" ht="13.65" customHeight="1">
      <c r="A439" s="18">
        <v>44911</v>
      </c>
      <c r="B439" t="s" s="13">
        <v>22</v>
      </c>
      <c r="C439" s="15">
        <v>337.5</v>
      </c>
      <c r="D439" s="15">
        <v>338.9</v>
      </c>
      <c r="E439" s="15">
        <v>331.3</v>
      </c>
      <c r="F439" s="15">
        <v>338.85</v>
      </c>
      <c r="G439" s="15">
        <v>335.75</v>
      </c>
      <c r="H439" s="15">
        <v>335.1</v>
      </c>
      <c r="I439" s="15">
        <v>334.49</v>
      </c>
      <c r="J439" s="15">
        <v>361.45</v>
      </c>
      <c r="K439" s="15">
        <v>207</v>
      </c>
      <c r="L439" s="15">
        <v>12429280</v>
      </c>
      <c r="M439" t="s" s="13">
        <v>9237</v>
      </c>
      <c r="N439" s="15">
        <v>207367</v>
      </c>
      <c r="O439" s="17" cm="1">
        <f t="array" ref="O439">(H439-H438)/H438</f>
        <v>-0.0110668437361664</v>
      </c>
    </row>
    <row r="440" ht="13.65" customHeight="1">
      <c r="A440" s="18">
        <v>44914</v>
      </c>
      <c r="B440" t="s" s="13">
        <v>22</v>
      </c>
      <c r="C440" s="15">
        <v>336.8</v>
      </c>
      <c r="D440" s="15">
        <v>342.35</v>
      </c>
      <c r="E440" s="15">
        <v>335.35</v>
      </c>
      <c r="F440" s="15">
        <v>335.1</v>
      </c>
      <c r="G440" s="15">
        <v>340.05</v>
      </c>
      <c r="H440" s="15">
        <v>340.5</v>
      </c>
      <c r="I440" s="15">
        <v>339.82</v>
      </c>
      <c r="J440" s="15">
        <v>361.45</v>
      </c>
      <c r="K440" s="15">
        <v>207</v>
      </c>
      <c r="L440" s="15">
        <v>7812801</v>
      </c>
      <c r="M440" t="s" s="13">
        <v>9238</v>
      </c>
      <c r="N440" s="15">
        <v>110172</v>
      </c>
      <c r="O440" s="17" cm="1">
        <f t="array" ref="O440">(H440-H439)/H439</f>
        <v>0.0161145926589078</v>
      </c>
    </row>
    <row r="441" ht="13.65" customHeight="1">
      <c r="A441" s="18">
        <v>44915</v>
      </c>
      <c r="B441" t="s" s="13">
        <v>22</v>
      </c>
      <c r="C441" s="15">
        <v>340.05</v>
      </c>
      <c r="D441" s="15">
        <v>340.95</v>
      </c>
      <c r="E441" s="15">
        <v>336.75</v>
      </c>
      <c r="F441" s="15">
        <v>340.5</v>
      </c>
      <c r="G441" s="15">
        <v>339.9</v>
      </c>
      <c r="H441" s="15">
        <v>340.15</v>
      </c>
      <c r="I441" s="15">
        <v>338.61</v>
      </c>
      <c r="J441" s="15">
        <v>361.45</v>
      </c>
      <c r="K441" s="15">
        <v>207</v>
      </c>
      <c r="L441" s="15">
        <v>5482218</v>
      </c>
      <c r="M441" t="s" s="13">
        <v>9239</v>
      </c>
      <c r="N441" s="15">
        <v>80370</v>
      </c>
      <c r="O441" s="17" cm="1">
        <f t="array" ref="O441">(H441-H440)/H440</f>
        <v>-0.00102790014684288</v>
      </c>
    </row>
    <row r="442" ht="13.65" customHeight="1">
      <c r="A442" s="18">
        <v>44916</v>
      </c>
      <c r="B442" t="s" s="13">
        <v>22</v>
      </c>
      <c r="C442" s="15">
        <v>341</v>
      </c>
      <c r="D442" s="15">
        <v>341.25</v>
      </c>
      <c r="E442" s="15">
        <v>334.5</v>
      </c>
      <c r="F442" s="15">
        <v>340.15</v>
      </c>
      <c r="G442" s="15">
        <v>335.7</v>
      </c>
      <c r="H442" s="15">
        <v>335.15</v>
      </c>
      <c r="I442" s="15">
        <v>336.78</v>
      </c>
      <c r="J442" s="15">
        <v>361.45</v>
      </c>
      <c r="K442" s="15">
        <v>207</v>
      </c>
      <c r="L442" s="15">
        <v>7045201</v>
      </c>
      <c r="M442" t="s" s="13">
        <v>9240</v>
      </c>
      <c r="N442" s="15">
        <v>127807</v>
      </c>
      <c r="O442" s="17" cm="1">
        <f t="array" ref="O442">(H442-H441)/H441</f>
        <v>-0.0146993973247097</v>
      </c>
    </row>
    <row r="443" ht="13.65" customHeight="1">
      <c r="A443" s="18">
        <v>44917</v>
      </c>
      <c r="B443" t="s" s="13">
        <v>22</v>
      </c>
      <c r="C443" s="15">
        <v>335.65</v>
      </c>
      <c r="D443" s="15">
        <v>337.4</v>
      </c>
      <c r="E443" s="15">
        <v>329.9</v>
      </c>
      <c r="F443" s="15">
        <v>335.15</v>
      </c>
      <c r="G443" s="15">
        <v>332.8</v>
      </c>
      <c r="H443" s="15">
        <v>332.45</v>
      </c>
      <c r="I443" s="15">
        <v>332.77</v>
      </c>
      <c r="J443" s="15">
        <v>361.45</v>
      </c>
      <c r="K443" s="15">
        <v>207</v>
      </c>
      <c r="L443" s="15">
        <v>6584445</v>
      </c>
      <c r="M443" t="s" s="13">
        <v>9241</v>
      </c>
      <c r="N443" s="15">
        <v>101460</v>
      </c>
      <c r="O443" s="17" cm="1">
        <f t="array" ref="O443">(H443-H442)/H442</f>
        <v>-0.008056094286140529</v>
      </c>
    </row>
    <row r="444" ht="13.65" customHeight="1">
      <c r="A444" s="18">
        <v>44918</v>
      </c>
      <c r="B444" t="s" s="13">
        <v>22</v>
      </c>
      <c r="C444" s="15">
        <v>330.9</v>
      </c>
      <c r="D444" s="15">
        <v>331.9</v>
      </c>
      <c r="E444" s="15">
        <v>325.35</v>
      </c>
      <c r="F444" s="15">
        <v>332.45</v>
      </c>
      <c r="G444" s="15">
        <v>326.05</v>
      </c>
      <c r="H444" s="15">
        <v>326.7</v>
      </c>
      <c r="I444" s="15">
        <v>327.9</v>
      </c>
      <c r="J444" s="15">
        <v>361.45</v>
      </c>
      <c r="K444" s="15">
        <v>207</v>
      </c>
      <c r="L444" s="15">
        <v>10073884</v>
      </c>
      <c r="M444" t="s" s="13">
        <v>9242</v>
      </c>
      <c r="N444" s="15">
        <v>187134</v>
      </c>
      <c r="O444" s="17" cm="1">
        <f t="array" ref="O444">(H444-H443)/H443</f>
        <v>-0.017295833959994</v>
      </c>
    </row>
    <row r="445" ht="13.65" customHeight="1">
      <c r="A445" s="18">
        <v>44921</v>
      </c>
      <c r="B445" t="s" s="13">
        <v>22</v>
      </c>
      <c r="C445" s="15">
        <v>326.5</v>
      </c>
      <c r="D445" s="15">
        <v>335.1</v>
      </c>
      <c r="E445" s="15">
        <v>325.5</v>
      </c>
      <c r="F445" s="15">
        <v>326.7</v>
      </c>
      <c r="G445" s="15">
        <v>334.6</v>
      </c>
      <c r="H445" s="15">
        <v>334.6</v>
      </c>
      <c r="I445" s="15">
        <v>332.83</v>
      </c>
      <c r="J445" s="15">
        <v>361.45</v>
      </c>
      <c r="K445" s="15">
        <v>207</v>
      </c>
      <c r="L445" s="15">
        <v>9566210</v>
      </c>
      <c r="M445" t="s" s="13">
        <v>9243</v>
      </c>
      <c r="N445" s="15">
        <v>183864</v>
      </c>
      <c r="O445" s="17" cm="1">
        <f t="array" ref="O445">(H445-H444)/H444</f>
        <v>0.0241812059993878</v>
      </c>
    </row>
    <row r="446" ht="13.65" customHeight="1">
      <c r="A446" s="18">
        <v>44922</v>
      </c>
      <c r="B446" t="s" s="13">
        <v>22</v>
      </c>
      <c r="C446" s="15">
        <v>335.6</v>
      </c>
      <c r="D446" s="15">
        <v>336.4</v>
      </c>
      <c r="E446" s="15">
        <v>330.15</v>
      </c>
      <c r="F446" s="15">
        <v>334.6</v>
      </c>
      <c r="G446" s="15">
        <v>333.05</v>
      </c>
      <c r="H446" s="15">
        <v>333.15</v>
      </c>
      <c r="I446" s="15">
        <v>333.36</v>
      </c>
      <c r="J446" s="15">
        <v>361.45</v>
      </c>
      <c r="K446" s="15">
        <v>207</v>
      </c>
      <c r="L446" s="15">
        <v>6727343</v>
      </c>
      <c r="M446" t="s" s="13">
        <v>9244</v>
      </c>
      <c r="N446" s="15">
        <v>122372</v>
      </c>
      <c r="O446" s="17" cm="1">
        <f t="array" ref="O446">(H446-H445)/H445</f>
        <v>-0.0043335325762104</v>
      </c>
    </row>
    <row r="447" ht="13.65" customHeight="1">
      <c r="A447" s="18">
        <v>44923</v>
      </c>
      <c r="B447" t="s" s="13">
        <v>22</v>
      </c>
      <c r="C447" s="15">
        <v>332.85</v>
      </c>
      <c r="D447" s="15">
        <v>335</v>
      </c>
      <c r="E447" s="15">
        <v>331.5</v>
      </c>
      <c r="F447" s="15">
        <v>333.15</v>
      </c>
      <c r="G447" s="15">
        <v>334.35</v>
      </c>
      <c r="H447" s="15">
        <v>334.4</v>
      </c>
      <c r="I447" s="15">
        <v>332.76</v>
      </c>
      <c r="J447" s="15">
        <v>361.45</v>
      </c>
      <c r="K447" s="15">
        <v>207</v>
      </c>
      <c r="L447" s="15">
        <v>7737562</v>
      </c>
      <c r="M447" t="s" s="13">
        <v>9245</v>
      </c>
      <c r="N447" s="15">
        <v>114100</v>
      </c>
      <c r="O447" s="17" cm="1">
        <f t="array" ref="O447">(H447-H446)/H446</f>
        <v>0.00375206363499925</v>
      </c>
    </row>
    <row r="448" ht="13.65" customHeight="1">
      <c r="A448" s="18">
        <v>44924</v>
      </c>
      <c r="B448" t="s" s="13">
        <v>22</v>
      </c>
      <c r="C448" s="15">
        <v>334.35</v>
      </c>
      <c r="D448" s="15">
        <v>335.75</v>
      </c>
      <c r="E448" s="15">
        <v>331.55</v>
      </c>
      <c r="F448" s="15">
        <v>334.4</v>
      </c>
      <c r="G448" s="15">
        <v>335.45</v>
      </c>
      <c r="H448" s="15">
        <v>335.35</v>
      </c>
      <c r="I448" s="15">
        <v>333.6</v>
      </c>
      <c r="J448" s="15">
        <v>361.45</v>
      </c>
      <c r="K448" s="15">
        <v>207</v>
      </c>
      <c r="L448" s="15">
        <v>8105359</v>
      </c>
      <c r="M448" t="s" s="13">
        <v>9246</v>
      </c>
      <c r="N448" s="15">
        <v>98175</v>
      </c>
      <c r="O448" s="17" cm="1">
        <f t="array" ref="O448">(H448-H447)/H447</f>
        <v>0.00284090909090909</v>
      </c>
    </row>
    <row r="449" ht="13.65" customHeight="1">
      <c r="A449" s="18">
        <v>44925</v>
      </c>
      <c r="B449" t="s" s="13">
        <v>22</v>
      </c>
      <c r="C449" s="15">
        <v>335.4</v>
      </c>
      <c r="D449" s="15">
        <v>336.75</v>
      </c>
      <c r="E449" s="15">
        <v>330.5</v>
      </c>
      <c r="F449" s="15">
        <v>335.35</v>
      </c>
      <c r="G449" s="15">
        <v>331</v>
      </c>
      <c r="H449" s="15">
        <v>331.55</v>
      </c>
      <c r="I449" s="15">
        <v>333.91</v>
      </c>
      <c r="J449" s="15">
        <v>361.45</v>
      </c>
      <c r="K449" s="15">
        <v>207</v>
      </c>
      <c r="L449" s="15">
        <v>6960264</v>
      </c>
      <c r="M449" t="s" s="13">
        <v>9247</v>
      </c>
      <c r="N449" s="15">
        <v>86886</v>
      </c>
      <c r="O449" s="17" cm="1">
        <f t="array" ref="O449">(H449-H448)/H448</f>
        <v>-0.0113314447592068</v>
      </c>
    </row>
    <row r="450" ht="13.65" customHeight="1">
      <c r="A450" s="12">
        <v>44928</v>
      </c>
      <c r="B450" t="s" s="13">
        <v>22</v>
      </c>
      <c r="C450" s="15">
        <v>330.9</v>
      </c>
      <c r="D450" s="15">
        <v>334</v>
      </c>
      <c r="E450" s="15">
        <v>329.65</v>
      </c>
      <c r="F450" s="15">
        <v>331.55</v>
      </c>
      <c r="G450" s="15">
        <v>332.8</v>
      </c>
      <c r="H450" s="15">
        <v>332.85</v>
      </c>
      <c r="I450" s="15">
        <v>332.25</v>
      </c>
      <c r="J450" s="15">
        <v>361.45</v>
      </c>
      <c r="K450" s="15">
        <v>207</v>
      </c>
      <c r="L450" s="15">
        <v>5951893</v>
      </c>
      <c r="M450" t="s" s="13">
        <v>9248</v>
      </c>
      <c r="N450" s="15">
        <v>139495</v>
      </c>
      <c r="O450" s="17" cm="1">
        <f t="array" ref="O450">(H450-H449)/H449</f>
        <v>0.00392097722817071</v>
      </c>
    </row>
    <row r="451" ht="13.65" customHeight="1">
      <c r="A451" s="12">
        <v>44929</v>
      </c>
      <c r="B451" t="s" s="13">
        <v>22</v>
      </c>
      <c r="C451" s="15">
        <v>331.5</v>
      </c>
      <c r="D451" s="15">
        <v>333.35</v>
      </c>
      <c r="E451" s="15">
        <v>330.25</v>
      </c>
      <c r="F451" s="15">
        <v>332.85</v>
      </c>
      <c r="G451" s="15">
        <v>331.2</v>
      </c>
      <c r="H451" s="15">
        <v>331.1</v>
      </c>
      <c r="I451" s="15">
        <v>331.36</v>
      </c>
      <c r="J451" s="15">
        <v>361.45</v>
      </c>
      <c r="K451" s="15">
        <v>207</v>
      </c>
      <c r="L451" s="15">
        <v>5997051</v>
      </c>
      <c r="M451" t="s" s="13">
        <v>9249</v>
      </c>
      <c r="N451" s="15">
        <v>103134</v>
      </c>
      <c r="O451" s="17" cm="1">
        <f t="array" ref="O451">(H451-H450)/H450</f>
        <v>-0.00525762355415352</v>
      </c>
    </row>
    <row r="452" ht="13.65" customHeight="1">
      <c r="A452" s="12">
        <v>44930</v>
      </c>
      <c r="B452" t="s" s="13">
        <v>22</v>
      </c>
      <c r="C452" s="15">
        <v>331.85</v>
      </c>
      <c r="D452" s="15">
        <v>332.5</v>
      </c>
      <c r="E452" s="15">
        <v>326</v>
      </c>
      <c r="F452" s="15">
        <v>331.1</v>
      </c>
      <c r="G452" s="15">
        <v>326.6</v>
      </c>
      <c r="H452" s="15">
        <v>327</v>
      </c>
      <c r="I452" s="15">
        <v>327.48</v>
      </c>
      <c r="J452" s="15">
        <v>361.45</v>
      </c>
      <c r="K452" s="15">
        <v>207</v>
      </c>
      <c r="L452" s="15">
        <v>6689769</v>
      </c>
      <c r="M452" t="s" s="13">
        <v>9250</v>
      </c>
      <c r="N452" s="15">
        <v>155935</v>
      </c>
      <c r="O452" s="17" cm="1">
        <f t="array" ref="O452">(H452-H451)/H451</f>
        <v>-0.012382965871338</v>
      </c>
    </row>
    <row r="453" ht="13.65" customHeight="1">
      <c r="A453" s="12">
        <v>44931</v>
      </c>
      <c r="B453" t="s" s="13">
        <v>22</v>
      </c>
      <c r="C453" s="15">
        <v>328.65</v>
      </c>
      <c r="D453" s="15">
        <v>333.9</v>
      </c>
      <c r="E453" s="15">
        <v>328.2</v>
      </c>
      <c r="F453" s="15">
        <v>327</v>
      </c>
      <c r="G453" s="15">
        <v>333.6</v>
      </c>
      <c r="H453" s="15">
        <v>333.45</v>
      </c>
      <c r="I453" s="15">
        <v>332.2</v>
      </c>
      <c r="J453" s="15">
        <v>361.45</v>
      </c>
      <c r="K453" s="15">
        <v>207</v>
      </c>
      <c r="L453" s="15">
        <v>8171437</v>
      </c>
      <c r="M453" t="s" s="13">
        <v>9251</v>
      </c>
      <c r="N453" s="15">
        <v>134902</v>
      </c>
      <c r="O453" s="17" cm="1">
        <f t="array" ref="O453">(H453-H452)/H452</f>
        <v>0.0197247706422018</v>
      </c>
    </row>
    <row r="454" ht="13.65" customHeight="1">
      <c r="A454" s="12">
        <v>44932</v>
      </c>
      <c r="B454" t="s" s="13">
        <v>22</v>
      </c>
      <c r="C454" s="15">
        <v>334.7</v>
      </c>
      <c r="D454" s="15">
        <v>337.55</v>
      </c>
      <c r="E454" s="15">
        <v>333.1</v>
      </c>
      <c r="F454" s="15">
        <v>333.45</v>
      </c>
      <c r="G454" s="15">
        <v>335</v>
      </c>
      <c r="H454" s="15">
        <v>335.05</v>
      </c>
      <c r="I454" s="15">
        <v>335.48</v>
      </c>
      <c r="J454" s="15">
        <v>361.45</v>
      </c>
      <c r="K454" s="15">
        <v>207</v>
      </c>
      <c r="L454" s="15">
        <v>8284135</v>
      </c>
      <c r="M454" t="s" s="13">
        <v>9252</v>
      </c>
      <c r="N454" s="15">
        <v>115819</v>
      </c>
      <c r="O454" s="17" cm="1">
        <f t="array" ref="O454">(H454-H453)/H453</f>
        <v>0.00479832058779427</v>
      </c>
    </row>
    <row r="455" ht="13.65" customHeight="1">
      <c r="A455" s="12">
        <v>44935</v>
      </c>
      <c r="B455" t="s" s="13">
        <v>22</v>
      </c>
      <c r="C455" s="15">
        <v>336.95</v>
      </c>
      <c r="D455" s="15">
        <v>341.3</v>
      </c>
      <c r="E455" s="15">
        <v>336.15</v>
      </c>
      <c r="F455" s="15">
        <v>335.05</v>
      </c>
      <c r="G455" s="15">
        <v>337.4</v>
      </c>
      <c r="H455" s="15">
        <v>338.05</v>
      </c>
      <c r="I455" s="15">
        <v>338.82</v>
      </c>
      <c r="J455" s="15">
        <v>361.45</v>
      </c>
      <c r="K455" s="15">
        <v>207</v>
      </c>
      <c r="L455" s="15">
        <v>10618786</v>
      </c>
      <c r="M455" t="s" s="13">
        <v>9253</v>
      </c>
      <c r="N455" s="15">
        <v>147547</v>
      </c>
      <c r="O455" s="17" cm="1">
        <f t="array" ref="O455">(H455-H454)/H454</f>
        <v>0.008953887479480669</v>
      </c>
    </row>
    <row r="456" ht="13.65" customHeight="1">
      <c r="A456" s="18">
        <v>44936</v>
      </c>
      <c r="B456" t="s" s="13">
        <v>22</v>
      </c>
      <c r="C456" s="15">
        <v>337.9</v>
      </c>
      <c r="D456" s="15">
        <v>338.4</v>
      </c>
      <c r="E456" s="15">
        <v>332.55</v>
      </c>
      <c r="F456" s="15">
        <v>338.05</v>
      </c>
      <c r="G456" s="15">
        <v>333.7</v>
      </c>
      <c r="H456" s="15">
        <v>333.4</v>
      </c>
      <c r="I456" s="15">
        <v>333.83</v>
      </c>
      <c r="J456" s="15">
        <v>361.45</v>
      </c>
      <c r="K456" s="15">
        <v>207</v>
      </c>
      <c r="L456" s="15">
        <v>6949605</v>
      </c>
      <c r="M456" t="s" s="13">
        <v>9254</v>
      </c>
      <c r="N456" s="15">
        <v>95343</v>
      </c>
      <c r="O456" s="17" cm="1">
        <f t="array" ref="O456">(H456-H455)/H455</f>
        <v>-0.0137553616328945</v>
      </c>
    </row>
    <row r="457" ht="13.65" customHeight="1">
      <c r="A457" s="18">
        <v>44937</v>
      </c>
      <c r="B457" t="s" s="13">
        <v>22</v>
      </c>
      <c r="C457" s="15">
        <v>335.1</v>
      </c>
      <c r="D457" s="15">
        <v>335.1</v>
      </c>
      <c r="E457" s="15">
        <v>331.3</v>
      </c>
      <c r="F457" s="15">
        <v>333.4</v>
      </c>
      <c r="G457" s="15">
        <v>332.1</v>
      </c>
      <c r="H457" s="15">
        <v>331.8</v>
      </c>
      <c r="I457" s="15">
        <v>332.82</v>
      </c>
      <c r="J457" s="15">
        <v>361.45</v>
      </c>
      <c r="K457" s="15">
        <v>207</v>
      </c>
      <c r="L457" s="15">
        <v>4584293</v>
      </c>
      <c r="M457" t="s" s="13">
        <v>9255</v>
      </c>
      <c r="N457" s="15">
        <v>91438</v>
      </c>
      <c r="O457" s="17" cm="1">
        <f t="array" ref="O457">(H457-H456)/H456</f>
        <v>-0.00479904019196161</v>
      </c>
    </row>
    <row r="458" ht="13.65" customHeight="1">
      <c r="A458" s="18">
        <v>44938</v>
      </c>
      <c r="B458" t="s" s="13">
        <v>22</v>
      </c>
      <c r="C458" s="15">
        <v>333.4</v>
      </c>
      <c r="D458" s="15">
        <v>333.6</v>
      </c>
      <c r="E458" s="15">
        <v>328.1</v>
      </c>
      <c r="F458" s="15">
        <v>331.8</v>
      </c>
      <c r="G458" s="15">
        <v>329.5</v>
      </c>
      <c r="H458" s="15">
        <v>329.85</v>
      </c>
      <c r="I458" s="15">
        <v>329.95</v>
      </c>
      <c r="J458" s="15">
        <v>361.45</v>
      </c>
      <c r="K458" s="15">
        <v>207</v>
      </c>
      <c r="L458" s="15">
        <v>6638422</v>
      </c>
      <c r="M458" t="s" s="13">
        <v>9256</v>
      </c>
      <c r="N458" s="15">
        <v>139430</v>
      </c>
      <c r="O458" s="17" cm="1">
        <f t="array" ref="O458">(H458-H457)/H457</f>
        <v>-0.00587703435804702</v>
      </c>
    </row>
    <row r="459" ht="13.65" customHeight="1">
      <c r="A459" s="18">
        <v>44939</v>
      </c>
      <c r="B459" t="s" s="13">
        <v>22</v>
      </c>
      <c r="C459" s="15">
        <v>329.85</v>
      </c>
      <c r="D459" s="15">
        <v>332.25</v>
      </c>
      <c r="E459" s="15">
        <v>326.4</v>
      </c>
      <c r="F459" s="15">
        <v>329.85</v>
      </c>
      <c r="G459" s="15">
        <v>329.1</v>
      </c>
      <c r="H459" s="15">
        <v>328.75</v>
      </c>
      <c r="I459" s="15">
        <v>329.58</v>
      </c>
      <c r="J459" s="15">
        <v>361.45</v>
      </c>
      <c r="K459" s="15">
        <v>207</v>
      </c>
      <c r="L459" s="15">
        <v>14412671</v>
      </c>
      <c r="M459" t="s" s="13">
        <v>9257</v>
      </c>
      <c r="N459" s="15">
        <v>120029</v>
      </c>
      <c r="O459" s="17" cm="1">
        <f t="array" ref="O459">(H459-H458)/H458</f>
        <v>-0.00333484917386691</v>
      </c>
    </row>
    <row r="460" ht="13.65" customHeight="1">
      <c r="A460" s="18">
        <v>44942</v>
      </c>
      <c r="B460" t="s" s="13">
        <v>22</v>
      </c>
      <c r="C460" s="15">
        <v>330.35</v>
      </c>
      <c r="D460" s="15">
        <v>332.2</v>
      </c>
      <c r="E460" s="15">
        <v>327.55</v>
      </c>
      <c r="F460" s="15">
        <v>328.75</v>
      </c>
      <c r="G460" s="15">
        <v>330.2</v>
      </c>
      <c r="H460" s="15">
        <v>330.2</v>
      </c>
      <c r="I460" s="15">
        <v>329.11</v>
      </c>
      <c r="J460" s="15">
        <v>361.45</v>
      </c>
      <c r="K460" s="15">
        <v>207</v>
      </c>
      <c r="L460" s="15">
        <v>8253942</v>
      </c>
      <c r="M460" t="s" s="13">
        <v>9258</v>
      </c>
      <c r="N460" s="15">
        <v>78391</v>
      </c>
      <c r="O460" s="17" cm="1">
        <f t="array" ref="O460">(H460-H459)/H459</f>
        <v>0.0044106463878327</v>
      </c>
    </row>
    <row r="461" ht="13.65" customHeight="1">
      <c r="A461" s="18">
        <v>44943</v>
      </c>
      <c r="B461" t="s" s="13">
        <v>22</v>
      </c>
      <c r="C461" s="15">
        <v>330.2</v>
      </c>
      <c r="D461" s="15">
        <v>333.5</v>
      </c>
      <c r="E461" s="15">
        <v>329.1</v>
      </c>
      <c r="F461" s="15">
        <v>330.2</v>
      </c>
      <c r="G461" s="15">
        <v>332</v>
      </c>
      <c r="H461" s="15">
        <v>332.25</v>
      </c>
      <c r="I461" s="15">
        <v>331.64</v>
      </c>
      <c r="J461" s="15">
        <v>361.45</v>
      </c>
      <c r="K461" s="15">
        <v>207</v>
      </c>
      <c r="L461" s="15">
        <v>13712537</v>
      </c>
      <c r="M461" t="s" s="13">
        <v>9259</v>
      </c>
      <c r="N461" s="15">
        <v>93294</v>
      </c>
      <c r="O461" s="17" cm="1">
        <f t="array" ref="O461">(H461-H460)/H460</f>
        <v>0.00620835857056329</v>
      </c>
    </row>
    <row r="462" ht="13.65" customHeight="1">
      <c r="A462" s="18">
        <v>44944</v>
      </c>
      <c r="B462" t="s" s="13">
        <v>22</v>
      </c>
      <c r="C462" s="15">
        <v>334</v>
      </c>
      <c r="D462" s="15">
        <v>336.55</v>
      </c>
      <c r="E462" s="15">
        <v>332.4</v>
      </c>
      <c r="F462" s="15">
        <v>332.25</v>
      </c>
      <c r="G462" s="15">
        <v>335.1</v>
      </c>
      <c r="H462" s="15">
        <v>334.65</v>
      </c>
      <c r="I462" s="15">
        <v>334.37</v>
      </c>
      <c r="J462" s="15">
        <v>361.45</v>
      </c>
      <c r="K462" s="15">
        <v>207</v>
      </c>
      <c r="L462" s="15">
        <v>12555527</v>
      </c>
      <c r="M462" t="s" s="13">
        <v>9260</v>
      </c>
      <c r="N462" s="15">
        <v>147165</v>
      </c>
      <c r="O462" s="17" cm="1">
        <f t="array" ref="O462">(H462-H461)/H461</f>
        <v>0.0072234762979684</v>
      </c>
    </row>
    <row r="463" ht="13.65" customHeight="1">
      <c r="A463" s="18">
        <v>44945</v>
      </c>
      <c r="B463" t="s" s="13">
        <v>22</v>
      </c>
      <c r="C463" s="15">
        <v>334</v>
      </c>
      <c r="D463" s="15">
        <v>335.65</v>
      </c>
      <c r="E463" s="15">
        <v>331.65</v>
      </c>
      <c r="F463" s="15">
        <v>334.65</v>
      </c>
      <c r="G463" s="15">
        <v>332</v>
      </c>
      <c r="H463" s="15">
        <v>332.15</v>
      </c>
      <c r="I463" s="15">
        <v>333.21</v>
      </c>
      <c r="J463" s="15">
        <v>361.45</v>
      </c>
      <c r="K463" s="15">
        <v>207</v>
      </c>
      <c r="L463" s="15">
        <v>8346130</v>
      </c>
      <c r="M463" t="s" s="13">
        <v>9261</v>
      </c>
      <c r="N463" s="15">
        <v>103560</v>
      </c>
      <c r="O463" s="17" cm="1">
        <f t="array" ref="O463">(H463-H462)/H462</f>
        <v>-0.00747049155834454</v>
      </c>
    </row>
    <row r="464" ht="13.65" customHeight="1">
      <c r="A464" s="18">
        <v>44946</v>
      </c>
      <c r="B464" t="s" s="13">
        <v>22</v>
      </c>
      <c r="C464" s="15">
        <v>332</v>
      </c>
      <c r="D464" s="15">
        <v>335.2</v>
      </c>
      <c r="E464" s="15">
        <v>329.25</v>
      </c>
      <c r="F464" s="15">
        <v>332.15</v>
      </c>
      <c r="G464" s="15">
        <v>334.45</v>
      </c>
      <c r="H464" s="15">
        <v>334.6</v>
      </c>
      <c r="I464" s="15">
        <v>332.68</v>
      </c>
      <c r="J464" s="15">
        <v>361.45</v>
      </c>
      <c r="K464" s="15">
        <v>207</v>
      </c>
      <c r="L464" s="15">
        <v>13103664</v>
      </c>
      <c r="M464" t="s" s="13">
        <v>9262</v>
      </c>
      <c r="N464" s="15">
        <v>104023</v>
      </c>
      <c r="O464" s="17" cm="1">
        <f t="array" ref="O464">(H464-H463)/H463</f>
        <v>0.00737618545837724</v>
      </c>
    </row>
    <row r="465" ht="13.65" customHeight="1">
      <c r="A465" s="18">
        <v>44949</v>
      </c>
      <c r="B465" t="s" s="13">
        <v>22</v>
      </c>
      <c r="C465" s="15">
        <v>336</v>
      </c>
      <c r="D465" s="15">
        <v>338.15</v>
      </c>
      <c r="E465" s="15">
        <v>333.05</v>
      </c>
      <c r="F465" s="15">
        <v>334.6</v>
      </c>
      <c r="G465" s="15">
        <v>337.6</v>
      </c>
      <c r="H465" s="15">
        <v>337.75</v>
      </c>
      <c r="I465" s="15">
        <v>336.68</v>
      </c>
      <c r="J465" s="15">
        <v>361.45</v>
      </c>
      <c r="K465" s="15">
        <v>207</v>
      </c>
      <c r="L465" s="15">
        <v>7124807</v>
      </c>
      <c r="M465" t="s" s="13">
        <v>9263</v>
      </c>
      <c r="N465" s="15">
        <v>75270</v>
      </c>
      <c r="O465" s="17" cm="1">
        <f t="array" ref="O465">(H465-H464)/H464</f>
        <v>0.009414225941422589</v>
      </c>
    </row>
    <row r="466" ht="13.65" customHeight="1">
      <c r="A466" s="18">
        <v>44950</v>
      </c>
      <c r="B466" t="s" s="13">
        <v>22</v>
      </c>
      <c r="C466" s="15">
        <v>337.8</v>
      </c>
      <c r="D466" s="15">
        <v>340.75</v>
      </c>
      <c r="E466" s="15">
        <v>337.6</v>
      </c>
      <c r="F466" s="15">
        <v>337.75</v>
      </c>
      <c r="G466" s="15">
        <v>338.9</v>
      </c>
      <c r="H466" s="15">
        <v>338.95</v>
      </c>
      <c r="I466" s="15">
        <v>339.02</v>
      </c>
      <c r="J466" s="15">
        <v>361.45</v>
      </c>
      <c r="K466" s="15">
        <v>207</v>
      </c>
      <c r="L466" s="15">
        <v>12302874</v>
      </c>
      <c r="M466" t="s" s="13">
        <v>9264</v>
      </c>
      <c r="N466" s="15">
        <v>123629</v>
      </c>
      <c r="O466" s="17" cm="1">
        <f t="array" ref="O466">(H466-H465)/H465</f>
        <v>0.00355292376017765</v>
      </c>
    </row>
    <row r="467" ht="13.65" customHeight="1">
      <c r="A467" s="18">
        <v>44951</v>
      </c>
      <c r="B467" t="s" s="13">
        <v>22</v>
      </c>
      <c r="C467" s="15">
        <v>338.9</v>
      </c>
      <c r="D467" s="15">
        <v>341</v>
      </c>
      <c r="E467" s="15">
        <v>335.25</v>
      </c>
      <c r="F467" s="15">
        <v>338.95</v>
      </c>
      <c r="G467" s="15">
        <v>340</v>
      </c>
      <c r="H467" s="15">
        <v>339.25</v>
      </c>
      <c r="I467" s="15">
        <v>338.13</v>
      </c>
      <c r="J467" s="15">
        <v>361.45</v>
      </c>
      <c r="K467" s="15">
        <v>207</v>
      </c>
      <c r="L467" s="15">
        <v>12497542</v>
      </c>
      <c r="M467" t="s" s="13">
        <v>9265</v>
      </c>
      <c r="N467" s="15">
        <v>115825</v>
      </c>
      <c r="O467" s="17" cm="1">
        <f t="array" ref="O467">(H467-H466)/H466</f>
        <v>0.000885086295913852</v>
      </c>
    </row>
    <row r="468" ht="13.65" customHeight="1">
      <c r="A468" s="18">
        <v>44953</v>
      </c>
      <c r="B468" t="s" s="13">
        <v>22</v>
      </c>
      <c r="C468" s="15">
        <v>341.8</v>
      </c>
      <c r="D468" s="15">
        <v>348.85</v>
      </c>
      <c r="E468" s="15">
        <v>341.5</v>
      </c>
      <c r="F468" s="15">
        <v>339.25</v>
      </c>
      <c r="G468" s="15">
        <v>345.5</v>
      </c>
      <c r="H468" s="15">
        <v>346</v>
      </c>
      <c r="I468" s="15">
        <v>345.5</v>
      </c>
      <c r="J468" s="15">
        <v>361.45</v>
      </c>
      <c r="K468" s="15">
        <v>207</v>
      </c>
      <c r="L468" s="15">
        <v>21040139</v>
      </c>
      <c r="M468" t="s" s="13">
        <v>9266</v>
      </c>
      <c r="N468" s="15">
        <v>198362</v>
      </c>
      <c r="O468" s="17" cm="1">
        <f t="array" ref="O468">(H468-H467)/H467</f>
        <v>0.0198968312453943</v>
      </c>
    </row>
    <row r="469" ht="13.65" customHeight="1">
      <c r="A469" s="18">
        <v>44956</v>
      </c>
      <c r="B469" t="s" s="13">
        <v>22</v>
      </c>
      <c r="C469" s="15">
        <v>346.9</v>
      </c>
      <c r="D469" s="15">
        <v>351.75</v>
      </c>
      <c r="E469" s="15">
        <v>341.85</v>
      </c>
      <c r="F469" s="15">
        <v>346</v>
      </c>
      <c r="G469" s="15">
        <v>343.8</v>
      </c>
      <c r="H469" s="15">
        <v>344.8</v>
      </c>
      <c r="I469" s="15">
        <v>347.04</v>
      </c>
      <c r="J469" s="15">
        <v>361.45</v>
      </c>
      <c r="K469" s="15">
        <v>207</v>
      </c>
      <c r="L469" s="15">
        <v>14091519</v>
      </c>
      <c r="M469" t="s" s="13">
        <v>9267</v>
      </c>
      <c r="N469" s="15">
        <v>159810</v>
      </c>
      <c r="O469" s="17" cm="1">
        <f t="array" ref="O469">(H469-H468)/H468</f>
        <v>-0.00346820809248555</v>
      </c>
    </row>
    <row r="470" ht="13.65" customHeight="1">
      <c r="A470" s="18">
        <v>44957</v>
      </c>
      <c r="B470" t="s" s="13">
        <v>22</v>
      </c>
      <c r="C470" s="15">
        <v>346</v>
      </c>
      <c r="D470" s="15">
        <v>355</v>
      </c>
      <c r="E470" s="15">
        <v>341.05</v>
      </c>
      <c r="F470" s="15">
        <v>344.8</v>
      </c>
      <c r="G470" s="15">
        <v>352.6</v>
      </c>
      <c r="H470" s="15">
        <v>352.35</v>
      </c>
      <c r="I470" s="15">
        <v>348.73</v>
      </c>
      <c r="J470" s="15">
        <v>361.45</v>
      </c>
      <c r="K470" s="15">
        <v>207</v>
      </c>
      <c r="L470" s="15">
        <v>17134291</v>
      </c>
      <c r="M470" t="s" s="13">
        <v>9268</v>
      </c>
      <c r="N470" s="15">
        <v>207015</v>
      </c>
      <c r="O470" s="17" cm="1">
        <f t="array" ref="O470">(H470-H469)/H469</f>
        <v>0.0218967517401392</v>
      </c>
    </row>
    <row r="471" ht="13.65" customHeight="1">
      <c r="A471" s="12">
        <v>44958</v>
      </c>
      <c r="B471" t="s" s="13">
        <v>22</v>
      </c>
      <c r="C471" s="15">
        <v>353</v>
      </c>
      <c r="D471" s="15">
        <v>365.7</v>
      </c>
      <c r="E471" s="15">
        <v>329.1</v>
      </c>
      <c r="F471" s="15">
        <v>352.35</v>
      </c>
      <c r="G471" s="15">
        <v>359.6</v>
      </c>
      <c r="H471" s="15">
        <v>361.4</v>
      </c>
      <c r="I471" s="15">
        <v>353.75</v>
      </c>
      <c r="J471" s="15">
        <v>365.7</v>
      </c>
      <c r="K471" s="15">
        <v>207</v>
      </c>
      <c r="L471" s="15">
        <v>64518967</v>
      </c>
      <c r="M471" t="s" s="13">
        <v>9269</v>
      </c>
      <c r="N471" s="15">
        <v>497986</v>
      </c>
      <c r="O471" s="17" cm="1">
        <f t="array" ref="O471">(H471-H470)/H470</f>
        <v>0.0256846885199376</v>
      </c>
    </row>
    <row r="472" ht="13.65" customHeight="1">
      <c r="A472" s="12">
        <v>44959</v>
      </c>
      <c r="B472" t="s" s="13">
        <v>22</v>
      </c>
      <c r="C472" s="15">
        <v>361.6</v>
      </c>
      <c r="D472" s="15">
        <v>384.7</v>
      </c>
      <c r="E472" s="15">
        <v>360.4</v>
      </c>
      <c r="F472" s="15">
        <v>361.4</v>
      </c>
      <c r="G472" s="15">
        <v>378.8</v>
      </c>
      <c r="H472" s="15">
        <v>378.6</v>
      </c>
      <c r="I472" s="15">
        <v>376.87</v>
      </c>
      <c r="J472" s="15">
        <v>384.7</v>
      </c>
      <c r="K472" s="15">
        <v>207</v>
      </c>
      <c r="L472" s="15">
        <v>55745171</v>
      </c>
      <c r="M472" t="s" s="13">
        <v>9270</v>
      </c>
      <c r="N472" s="15">
        <v>404278</v>
      </c>
      <c r="O472" s="17" cm="1">
        <f t="array" ref="O472">(H472-H471)/H471</f>
        <v>0.0475926950747095</v>
      </c>
    </row>
    <row r="473" ht="13.65" customHeight="1">
      <c r="A473" s="12">
        <v>44960</v>
      </c>
      <c r="B473" t="s" s="13">
        <v>22</v>
      </c>
      <c r="C473" s="15">
        <v>381.9</v>
      </c>
      <c r="D473" s="15">
        <v>382.25</v>
      </c>
      <c r="E473" s="15">
        <v>372</v>
      </c>
      <c r="F473" s="15">
        <v>378.6</v>
      </c>
      <c r="G473" s="15">
        <v>380.7</v>
      </c>
      <c r="H473" s="15">
        <v>380.65</v>
      </c>
      <c r="I473" s="15">
        <v>378.53</v>
      </c>
      <c r="J473" s="15">
        <v>384.7</v>
      </c>
      <c r="K473" s="15">
        <v>207</v>
      </c>
      <c r="L473" s="15">
        <v>22295321</v>
      </c>
      <c r="M473" t="s" s="13">
        <v>9271</v>
      </c>
      <c r="N473" s="15">
        <v>236606</v>
      </c>
      <c r="O473" s="17" cm="1">
        <f t="array" ref="O473">(H473-H472)/H472</f>
        <v>0.00541468568409931</v>
      </c>
    </row>
    <row r="474" ht="13.65" customHeight="1">
      <c r="A474" s="12">
        <v>44963</v>
      </c>
      <c r="B474" t="s" s="13">
        <v>22</v>
      </c>
      <c r="C474" s="15">
        <v>382.5</v>
      </c>
      <c r="D474" s="15">
        <v>388.2</v>
      </c>
      <c r="E474" s="15">
        <v>379.6</v>
      </c>
      <c r="F474" s="15">
        <v>380.65</v>
      </c>
      <c r="G474" s="15">
        <v>383.5</v>
      </c>
      <c r="H474" s="15">
        <v>383.4</v>
      </c>
      <c r="I474" s="15">
        <v>384.59</v>
      </c>
      <c r="J474" s="15">
        <v>388.2</v>
      </c>
      <c r="K474" s="15">
        <v>207</v>
      </c>
      <c r="L474" s="15">
        <v>25790153</v>
      </c>
      <c r="M474" t="s" s="13">
        <v>9272</v>
      </c>
      <c r="N474" s="15">
        <v>245965</v>
      </c>
      <c r="O474" s="17" cm="1">
        <f t="array" ref="O474">(H474-H473)/H473</f>
        <v>0.0072244844345199</v>
      </c>
    </row>
    <row r="475" ht="13.65" customHeight="1">
      <c r="A475" s="12">
        <v>44964</v>
      </c>
      <c r="B475" t="s" s="13">
        <v>22</v>
      </c>
      <c r="C475" s="15">
        <v>383.9</v>
      </c>
      <c r="D475" s="15">
        <v>383.9</v>
      </c>
      <c r="E475" s="15">
        <v>368.45</v>
      </c>
      <c r="F475" s="15">
        <v>383.4</v>
      </c>
      <c r="G475" s="15">
        <v>373.4</v>
      </c>
      <c r="H475" s="15">
        <v>373.25</v>
      </c>
      <c r="I475" s="15">
        <v>373.66</v>
      </c>
      <c r="J475" s="15">
        <v>388.2</v>
      </c>
      <c r="K475" s="15">
        <v>207</v>
      </c>
      <c r="L475" s="15">
        <v>20643707</v>
      </c>
      <c r="M475" t="s" s="13">
        <v>9273</v>
      </c>
      <c r="N475" s="15">
        <v>296046</v>
      </c>
      <c r="O475" s="17" cm="1">
        <f t="array" ref="O475">(H475-H474)/H474</f>
        <v>-0.0264736567553469</v>
      </c>
    </row>
    <row r="476" ht="13.65" customHeight="1">
      <c r="A476" s="12">
        <v>44965</v>
      </c>
      <c r="B476" t="s" s="13">
        <v>22</v>
      </c>
      <c r="C476" s="15">
        <v>374.75</v>
      </c>
      <c r="D476" s="15">
        <v>377.3</v>
      </c>
      <c r="E476" s="15">
        <v>371.55</v>
      </c>
      <c r="F476" s="15">
        <v>373.25</v>
      </c>
      <c r="G476" s="15">
        <v>374.55</v>
      </c>
      <c r="H476" s="15">
        <v>375.55</v>
      </c>
      <c r="I476" s="15">
        <v>375.12</v>
      </c>
      <c r="J476" s="15">
        <v>388.2</v>
      </c>
      <c r="K476" s="15">
        <v>207</v>
      </c>
      <c r="L476" s="15">
        <v>10420462</v>
      </c>
      <c r="M476" t="s" s="13">
        <v>9274</v>
      </c>
      <c r="N476" s="15">
        <v>125965</v>
      </c>
      <c r="O476" s="17" cm="1">
        <f t="array" ref="O476">(H476-H475)/H475</f>
        <v>0.00616208975217683</v>
      </c>
    </row>
    <row r="477" ht="13.65" customHeight="1">
      <c r="A477" s="12">
        <v>44966</v>
      </c>
      <c r="B477" t="s" s="13">
        <v>22</v>
      </c>
      <c r="C477" s="15">
        <v>374</v>
      </c>
      <c r="D477" s="15">
        <v>380</v>
      </c>
      <c r="E477" s="15">
        <v>372.15</v>
      </c>
      <c r="F477" s="15">
        <v>375.55</v>
      </c>
      <c r="G477" s="15">
        <v>374.8</v>
      </c>
      <c r="H477" s="15">
        <v>374.25</v>
      </c>
      <c r="I477" s="15">
        <v>375.49</v>
      </c>
      <c r="J477" s="15">
        <v>388.2</v>
      </c>
      <c r="K477" s="15">
        <v>207</v>
      </c>
      <c r="L477" s="15">
        <v>11861196</v>
      </c>
      <c r="M477" t="s" s="13">
        <v>9275</v>
      </c>
      <c r="N477" s="15">
        <v>147407</v>
      </c>
      <c r="O477" s="17" cm="1">
        <f t="array" ref="O477">(H477-H476)/H476</f>
        <v>-0.00346158966848622</v>
      </c>
    </row>
    <row r="478" ht="13.65" customHeight="1">
      <c r="A478" s="18">
        <v>44967</v>
      </c>
      <c r="B478" t="s" s="13">
        <v>22</v>
      </c>
      <c r="C478" s="15">
        <v>372.2</v>
      </c>
      <c r="D478" s="15">
        <v>376.95</v>
      </c>
      <c r="E478" s="15">
        <v>370.3</v>
      </c>
      <c r="F478" s="15">
        <v>374.25</v>
      </c>
      <c r="G478" s="15">
        <v>371.2</v>
      </c>
      <c r="H478" s="15">
        <v>371.35</v>
      </c>
      <c r="I478" s="15">
        <v>372.27</v>
      </c>
      <c r="J478" s="15">
        <v>388.2</v>
      </c>
      <c r="K478" s="15">
        <v>207</v>
      </c>
      <c r="L478" s="15">
        <v>10278597</v>
      </c>
      <c r="M478" t="s" s="13">
        <v>9276</v>
      </c>
      <c r="N478" s="15">
        <v>101423</v>
      </c>
      <c r="O478" s="17" cm="1">
        <f t="array" ref="O478">(H478-H477)/H477</f>
        <v>-0.00774883099532398</v>
      </c>
    </row>
    <row r="479" ht="13.65" customHeight="1">
      <c r="A479" s="18">
        <v>44970</v>
      </c>
      <c r="B479" t="s" s="13">
        <v>22</v>
      </c>
      <c r="C479" s="15">
        <v>373</v>
      </c>
      <c r="D479" s="15">
        <v>375.15</v>
      </c>
      <c r="E479" s="15">
        <v>370</v>
      </c>
      <c r="F479" s="15">
        <v>371.35</v>
      </c>
      <c r="G479" s="15">
        <v>374.1</v>
      </c>
      <c r="H479" s="15">
        <v>374.2</v>
      </c>
      <c r="I479" s="15">
        <v>372.74</v>
      </c>
      <c r="J479" s="15">
        <v>388.2</v>
      </c>
      <c r="K479" s="15">
        <v>207</v>
      </c>
      <c r="L479" s="15">
        <v>9901148</v>
      </c>
      <c r="M479" t="s" s="13">
        <v>9277</v>
      </c>
      <c r="N479" s="15">
        <v>110887</v>
      </c>
      <c r="O479" s="17" cm="1">
        <f t="array" ref="O479">(H479-H478)/H478</f>
        <v>0.00767470041739599</v>
      </c>
    </row>
    <row r="480" ht="13.65" customHeight="1">
      <c r="A480" s="18">
        <v>44971</v>
      </c>
      <c r="B480" t="s" s="13">
        <v>22</v>
      </c>
      <c r="C480" s="15">
        <v>375</v>
      </c>
      <c r="D480" s="15">
        <v>387.65</v>
      </c>
      <c r="E480" s="15">
        <v>373.75</v>
      </c>
      <c r="F480" s="15">
        <v>374.2</v>
      </c>
      <c r="G480" s="15">
        <v>385.95</v>
      </c>
      <c r="H480" s="15">
        <v>386.45</v>
      </c>
      <c r="I480" s="15">
        <v>383.62</v>
      </c>
      <c r="J480" s="15">
        <v>388.2</v>
      </c>
      <c r="K480" s="15">
        <v>207</v>
      </c>
      <c r="L480" s="15">
        <v>29125052</v>
      </c>
      <c r="M480" t="s" s="13">
        <v>9278</v>
      </c>
      <c r="N480" s="15">
        <v>240562</v>
      </c>
      <c r="O480" s="17" cm="1">
        <f t="array" ref="O480">(H480-H479)/H479</f>
        <v>0.0327365045430251</v>
      </c>
    </row>
    <row r="481" ht="13.65" customHeight="1">
      <c r="A481" s="18">
        <v>44972</v>
      </c>
      <c r="B481" t="s" s="13">
        <v>22</v>
      </c>
      <c r="C481" s="15">
        <v>381.75</v>
      </c>
      <c r="D481" s="15">
        <v>382.85</v>
      </c>
      <c r="E481" s="15">
        <v>378.55</v>
      </c>
      <c r="F481" s="15">
        <v>386.45</v>
      </c>
      <c r="G481" s="15">
        <v>382.1</v>
      </c>
      <c r="H481" s="15">
        <v>382.2</v>
      </c>
      <c r="I481" s="15">
        <v>380.58</v>
      </c>
      <c r="J481" s="15">
        <v>388.2</v>
      </c>
      <c r="K481" s="15">
        <v>207</v>
      </c>
      <c r="L481" s="15">
        <v>12209350</v>
      </c>
      <c r="M481" t="s" s="13">
        <v>9279</v>
      </c>
      <c r="N481" s="15">
        <v>132308</v>
      </c>
      <c r="O481" s="17" cm="1">
        <f t="array" ref="O481">(H481-H480)/H480</f>
        <v>-0.0109975417259671</v>
      </c>
    </row>
    <row r="482" ht="13.65" customHeight="1">
      <c r="A482" s="18">
        <v>44973</v>
      </c>
      <c r="B482" t="s" s="13">
        <v>22</v>
      </c>
      <c r="C482" s="15">
        <v>382</v>
      </c>
      <c r="D482" s="15">
        <v>385.25</v>
      </c>
      <c r="E482" s="15">
        <v>381</v>
      </c>
      <c r="F482" s="15">
        <v>382.2</v>
      </c>
      <c r="G482" s="15">
        <v>382</v>
      </c>
      <c r="H482" s="15">
        <v>382.55</v>
      </c>
      <c r="I482" s="15">
        <v>383.66</v>
      </c>
      <c r="J482" s="15">
        <v>388.2</v>
      </c>
      <c r="K482" s="15">
        <v>207</v>
      </c>
      <c r="L482" s="15">
        <v>9775280</v>
      </c>
      <c r="M482" t="s" s="13">
        <v>9280</v>
      </c>
      <c r="N482" s="15">
        <v>119906</v>
      </c>
      <c r="O482" s="17" cm="1">
        <f t="array" ref="O482">(H482-H481)/H481</f>
        <v>0.000915750915750916</v>
      </c>
    </row>
    <row r="483" ht="13.65" customHeight="1">
      <c r="A483" s="18">
        <v>44974</v>
      </c>
      <c r="B483" t="s" s="13">
        <v>22</v>
      </c>
      <c r="C483" s="15">
        <v>381.05</v>
      </c>
      <c r="D483" s="15">
        <v>384.55</v>
      </c>
      <c r="E483" s="15">
        <v>379.25</v>
      </c>
      <c r="F483" s="15">
        <v>382.55</v>
      </c>
      <c r="G483" s="15">
        <v>383.3</v>
      </c>
      <c r="H483" s="15">
        <v>383.4</v>
      </c>
      <c r="I483" s="15">
        <v>382.91</v>
      </c>
      <c r="J483" s="15">
        <v>388.2</v>
      </c>
      <c r="K483" s="15">
        <v>207</v>
      </c>
      <c r="L483" s="15">
        <v>7672135</v>
      </c>
      <c r="M483" t="s" s="13">
        <v>9281</v>
      </c>
      <c r="N483" s="15">
        <v>93699</v>
      </c>
      <c r="O483" s="17" cm="1">
        <f t="array" ref="O483">(H483-H482)/H482</f>
        <v>0.00222193177362436</v>
      </c>
    </row>
    <row r="484" ht="13.65" customHeight="1">
      <c r="A484" s="18">
        <v>44977</v>
      </c>
      <c r="B484" t="s" s="13">
        <v>22</v>
      </c>
      <c r="C484" s="15">
        <v>384.7</v>
      </c>
      <c r="D484" s="15">
        <v>387.5</v>
      </c>
      <c r="E484" s="15">
        <v>381.3</v>
      </c>
      <c r="F484" s="15">
        <v>383.4</v>
      </c>
      <c r="G484" s="15">
        <v>383.9</v>
      </c>
      <c r="H484" s="15">
        <v>384.05</v>
      </c>
      <c r="I484" s="15">
        <v>384.12</v>
      </c>
      <c r="J484" s="15">
        <v>388.2</v>
      </c>
      <c r="K484" s="15">
        <v>207</v>
      </c>
      <c r="L484" s="15">
        <v>7804976</v>
      </c>
      <c r="M484" t="s" s="13">
        <v>9282</v>
      </c>
      <c r="N484" s="15">
        <v>102345</v>
      </c>
      <c r="O484" s="17" cm="1">
        <f t="array" ref="O484">(H484-H483)/H483</f>
        <v>0.00169535732916015</v>
      </c>
    </row>
    <row r="485" ht="13.65" customHeight="1">
      <c r="A485" s="18">
        <v>44978</v>
      </c>
      <c r="B485" t="s" s="13">
        <v>22</v>
      </c>
      <c r="C485" s="15">
        <v>385</v>
      </c>
      <c r="D485" s="15">
        <v>385.9</v>
      </c>
      <c r="E485" s="15">
        <v>381.7</v>
      </c>
      <c r="F485" s="15">
        <v>384.05</v>
      </c>
      <c r="G485" s="15">
        <v>383</v>
      </c>
      <c r="H485" s="15">
        <v>382.25</v>
      </c>
      <c r="I485" s="15">
        <v>384.08</v>
      </c>
      <c r="J485" s="15">
        <v>388.2</v>
      </c>
      <c r="K485" s="15">
        <v>207</v>
      </c>
      <c r="L485" s="15">
        <v>8259574</v>
      </c>
      <c r="M485" t="s" s="13">
        <v>9283</v>
      </c>
      <c r="N485" s="15">
        <v>88576</v>
      </c>
      <c r="O485" s="17" cm="1">
        <f t="array" ref="O485">(H485-H484)/H484</f>
        <v>-0.00468688972790001</v>
      </c>
    </row>
    <row r="486" ht="13.65" customHeight="1">
      <c r="A486" s="18">
        <v>44979</v>
      </c>
      <c r="B486" t="s" s="13">
        <v>22</v>
      </c>
      <c r="C486" s="15">
        <v>382</v>
      </c>
      <c r="D486" s="15">
        <v>384.9</v>
      </c>
      <c r="E486" s="15">
        <v>380</v>
      </c>
      <c r="F486" s="15">
        <v>382.25</v>
      </c>
      <c r="G486" s="15">
        <v>384.15</v>
      </c>
      <c r="H486" s="15">
        <v>383.85</v>
      </c>
      <c r="I486" s="15">
        <v>383.28</v>
      </c>
      <c r="J486" s="15">
        <v>388.2</v>
      </c>
      <c r="K486" s="15">
        <v>207</v>
      </c>
      <c r="L486" s="15">
        <v>8961077</v>
      </c>
      <c r="M486" t="s" s="13">
        <v>9284</v>
      </c>
      <c r="N486" s="15">
        <v>99507</v>
      </c>
      <c r="O486" s="17" cm="1">
        <f t="array" ref="O486">(H486-H485)/H485</f>
        <v>0.00418574231523872</v>
      </c>
    </row>
    <row r="487" ht="13.65" customHeight="1">
      <c r="A487" s="18">
        <v>44980</v>
      </c>
      <c r="B487" t="s" s="13">
        <v>22</v>
      </c>
      <c r="C487" s="15">
        <v>384.45</v>
      </c>
      <c r="D487" s="15">
        <v>394</v>
      </c>
      <c r="E487" s="15">
        <v>383.1</v>
      </c>
      <c r="F487" s="15">
        <v>383.85</v>
      </c>
      <c r="G487" s="15">
        <v>387.4</v>
      </c>
      <c r="H487" s="15">
        <v>387.6</v>
      </c>
      <c r="I487" s="15">
        <v>389.74</v>
      </c>
      <c r="J487" s="15">
        <v>394</v>
      </c>
      <c r="K487" s="15">
        <v>207</v>
      </c>
      <c r="L487" s="15">
        <v>18830592</v>
      </c>
      <c r="M487" t="s" s="13">
        <v>9285</v>
      </c>
      <c r="N487" s="15">
        <v>218500</v>
      </c>
      <c r="O487" s="17" cm="1">
        <f t="array" ref="O487">(H487-H486)/H486</f>
        <v>0.009769441187964051</v>
      </c>
    </row>
    <row r="488" ht="13.65" customHeight="1">
      <c r="A488" s="18">
        <v>44981</v>
      </c>
      <c r="B488" t="s" s="13">
        <v>22</v>
      </c>
      <c r="C488" s="15">
        <v>389</v>
      </c>
      <c r="D488" s="15">
        <v>389</v>
      </c>
      <c r="E488" s="15">
        <v>381</v>
      </c>
      <c r="F488" s="15">
        <v>387.6</v>
      </c>
      <c r="G488" s="15">
        <v>385.25</v>
      </c>
      <c r="H488" s="15">
        <v>385.1</v>
      </c>
      <c r="I488" s="15">
        <v>384.56</v>
      </c>
      <c r="J488" s="15">
        <v>394</v>
      </c>
      <c r="K488" s="15">
        <v>207</v>
      </c>
      <c r="L488" s="15">
        <v>12910220</v>
      </c>
      <c r="M488" t="s" s="13">
        <v>9286</v>
      </c>
      <c r="N488" s="15">
        <v>118753</v>
      </c>
      <c r="O488" s="17" cm="1">
        <f t="array" ref="O488">(H488-H487)/H487</f>
        <v>-0.0064499484004128</v>
      </c>
    </row>
    <row r="489" ht="13.65" customHeight="1">
      <c r="A489" s="18">
        <v>44984</v>
      </c>
      <c r="B489" t="s" s="13">
        <v>22</v>
      </c>
      <c r="C489" s="15">
        <v>385.1</v>
      </c>
      <c r="D489" s="15">
        <v>386.8</v>
      </c>
      <c r="E489" s="15">
        <v>378.1</v>
      </c>
      <c r="F489" s="15">
        <v>385.1</v>
      </c>
      <c r="G489" s="15">
        <v>382.2</v>
      </c>
      <c r="H489" s="15">
        <v>382.2</v>
      </c>
      <c r="I489" s="15">
        <v>381.68</v>
      </c>
      <c r="J489" s="15">
        <v>394</v>
      </c>
      <c r="K489" s="15">
        <v>210.8</v>
      </c>
      <c r="L489" s="15">
        <v>8142319</v>
      </c>
      <c r="M489" t="s" s="13">
        <v>9287</v>
      </c>
      <c r="N489" s="15">
        <v>122227</v>
      </c>
      <c r="O489" s="17" cm="1">
        <f t="array" ref="O489">(H489-H488)/H488</f>
        <v>-0.00753051155544015</v>
      </c>
    </row>
    <row r="490" ht="13.65" customHeight="1">
      <c r="A490" s="18">
        <v>44985</v>
      </c>
      <c r="B490" t="s" s="13">
        <v>22</v>
      </c>
      <c r="C490" s="15">
        <v>382.5</v>
      </c>
      <c r="D490" s="15">
        <v>384.25</v>
      </c>
      <c r="E490" s="15">
        <v>375</v>
      </c>
      <c r="F490" s="15">
        <v>382.2</v>
      </c>
      <c r="G490" s="15">
        <v>376.5</v>
      </c>
      <c r="H490" s="15">
        <v>376.7</v>
      </c>
      <c r="I490" s="15">
        <v>377.55</v>
      </c>
      <c r="J490" s="15">
        <v>394</v>
      </c>
      <c r="K490" s="15">
        <v>210.8</v>
      </c>
      <c r="L490" s="15">
        <v>16367477</v>
      </c>
      <c r="M490" t="s" s="13">
        <v>9288</v>
      </c>
      <c r="N490" s="15">
        <v>161521</v>
      </c>
      <c r="O490" s="17" cm="1">
        <f t="array" ref="O490">(H490-H489)/H489</f>
        <v>-0.0143903715332287</v>
      </c>
    </row>
    <row r="491" ht="13.65" customHeight="1">
      <c r="A491" s="12">
        <v>44986</v>
      </c>
      <c r="B491" t="s" s="13">
        <v>22</v>
      </c>
      <c r="C491" s="15">
        <v>374.25</v>
      </c>
      <c r="D491" s="15">
        <v>380.4</v>
      </c>
      <c r="E491" s="15">
        <v>373.6</v>
      </c>
      <c r="F491" s="15">
        <v>376.7</v>
      </c>
      <c r="G491" s="15">
        <v>378.6</v>
      </c>
      <c r="H491" s="15">
        <v>378.7</v>
      </c>
      <c r="I491" s="15">
        <v>378.58</v>
      </c>
      <c r="J491" s="15">
        <v>394</v>
      </c>
      <c r="K491" s="15">
        <v>210.8</v>
      </c>
      <c r="L491" s="15">
        <v>7766667</v>
      </c>
      <c r="M491" t="s" s="13">
        <v>9289</v>
      </c>
      <c r="N491" s="15">
        <v>114616</v>
      </c>
      <c r="O491" s="17" cm="1">
        <f t="array" ref="O491">(H491-H490)/H490</f>
        <v>0.00530926466684364</v>
      </c>
    </row>
    <row r="492" ht="13.65" customHeight="1">
      <c r="A492" s="12">
        <v>44987</v>
      </c>
      <c r="B492" t="s" s="13">
        <v>22</v>
      </c>
      <c r="C492" s="15">
        <v>379.5</v>
      </c>
      <c r="D492" s="15">
        <v>379.75</v>
      </c>
      <c r="E492" s="15">
        <v>374.7</v>
      </c>
      <c r="F492" s="15">
        <v>378.7</v>
      </c>
      <c r="G492" s="15">
        <v>375.85</v>
      </c>
      <c r="H492" s="15">
        <v>375.55</v>
      </c>
      <c r="I492" s="15">
        <v>376.22</v>
      </c>
      <c r="J492" s="15">
        <v>394</v>
      </c>
      <c r="K492" s="15">
        <v>210.8</v>
      </c>
      <c r="L492" s="15">
        <v>5019603</v>
      </c>
      <c r="M492" t="s" s="13">
        <v>9290</v>
      </c>
      <c r="N492" s="15">
        <v>98330</v>
      </c>
      <c r="O492" s="17" cm="1">
        <f t="array" ref="O492">(H492-H491)/H491</f>
        <v>-0.008317929759704251</v>
      </c>
    </row>
    <row r="493" ht="13.65" customHeight="1">
      <c r="A493" s="12">
        <v>44988</v>
      </c>
      <c r="B493" t="s" s="13">
        <v>22</v>
      </c>
      <c r="C493" s="15">
        <v>377</v>
      </c>
      <c r="D493" s="15">
        <v>385.4</v>
      </c>
      <c r="E493" s="15">
        <v>376.1</v>
      </c>
      <c r="F493" s="15">
        <v>375.55</v>
      </c>
      <c r="G493" s="15">
        <v>385.3</v>
      </c>
      <c r="H493" s="15">
        <v>384.95</v>
      </c>
      <c r="I493" s="15">
        <v>382.31</v>
      </c>
      <c r="J493" s="15">
        <v>394</v>
      </c>
      <c r="K493" s="15">
        <v>210.8</v>
      </c>
      <c r="L493" s="15">
        <v>8180709</v>
      </c>
      <c r="M493" t="s" s="13">
        <v>9291</v>
      </c>
      <c r="N493" s="15">
        <v>116737</v>
      </c>
      <c r="O493" s="17" cm="1">
        <f t="array" ref="O493">(H493-H492)/H492</f>
        <v>0.0250299560644388</v>
      </c>
    </row>
    <row r="494" ht="13.65" customHeight="1">
      <c r="A494" s="12">
        <v>44991</v>
      </c>
      <c r="B494" t="s" s="13">
        <v>22</v>
      </c>
      <c r="C494" s="15">
        <v>385.9</v>
      </c>
      <c r="D494" s="15">
        <v>392.5</v>
      </c>
      <c r="E494" s="15">
        <v>385.25</v>
      </c>
      <c r="F494" s="15">
        <v>384.95</v>
      </c>
      <c r="G494" s="15">
        <v>388.5</v>
      </c>
      <c r="H494" s="15">
        <v>388.15</v>
      </c>
      <c r="I494" s="15">
        <v>388.76</v>
      </c>
      <c r="J494" s="15">
        <v>394</v>
      </c>
      <c r="K494" s="15">
        <v>220.1</v>
      </c>
      <c r="L494" s="15">
        <v>10714339</v>
      </c>
      <c r="M494" t="s" s="13">
        <v>9292</v>
      </c>
      <c r="N494" s="15">
        <v>130438</v>
      </c>
      <c r="O494" s="17" cm="1">
        <f t="array" ref="O494">(H494-H493)/H493</f>
        <v>0.00831276789193402</v>
      </c>
    </row>
    <row r="495" ht="13.65" customHeight="1">
      <c r="A495" s="12">
        <v>44993</v>
      </c>
      <c r="B495" t="s" s="13">
        <v>22</v>
      </c>
      <c r="C495" s="15">
        <v>388</v>
      </c>
      <c r="D495" s="15">
        <v>393.15</v>
      </c>
      <c r="E495" s="15">
        <v>385.1</v>
      </c>
      <c r="F495" s="15">
        <v>388.15</v>
      </c>
      <c r="G495" s="15">
        <v>392</v>
      </c>
      <c r="H495" s="15">
        <v>392.4</v>
      </c>
      <c r="I495" s="15">
        <v>390.02</v>
      </c>
      <c r="J495" s="15">
        <v>394</v>
      </c>
      <c r="K495" s="15">
        <v>220.1</v>
      </c>
      <c r="L495" s="15">
        <v>8917699</v>
      </c>
      <c r="M495" t="s" s="13">
        <v>9293</v>
      </c>
      <c r="N495" s="15">
        <v>138776</v>
      </c>
      <c r="O495" s="17" cm="1">
        <f t="array" ref="O495">(H495-H494)/H494</f>
        <v>0.0109493752415303</v>
      </c>
    </row>
    <row r="496" ht="13.65" customHeight="1">
      <c r="A496" s="12">
        <v>44994</v>
      </c>
      <c r="B496" t="s" s="13">
        <v>22</v>
      </c>
      <c r="C496" s="15">
        <v>392.1</v>
      </c>
      <c r="D496" s="15">
        <v>393.6</v>
      </c>
      <c r="E496" s="15">
        <v>385.65</v>
      </c>
      <c r="F496" s="15">
        <v>392.4</v>
      </c>
      <c r="G496" s="15">
        <v>387</v>
      </c>
      <c r="H496" s="15">
        <v>387.5</v>
      </c>
      <c r="I496" s="15">
        <v>387.94</v>
      </c>
      <c r="J496" s="15">
        <v>394</v>
      </c>
      <c r="K496" s="15">
        <v>220.1</v>
      </c>
      <c r="L496" s="15">
        <v>9634283</v>
      </c>
      <c r="M496" t="s" s="13">
        <v>9294</v>
      </c>
      <c r="N496" s="15">
        <v>99411</v>
      </c>
      <c r="O496" s="17" cm="1">
        <f t="array" ref="O496">(H496-H495)/H495</f>
        <v>-0.0124872579001019</v>
      </c>
    </row>
    <row r="497" ht="13.65" customHeight="1">
      <c r="A497" s="18">
        <v>44995</v>
      </c>
      <c r="B497" t="s" s="13">
        <v>22</v>
      </c>
      <c r="C497" s="15">
        <v>386.95</v>
      </c>
      <c r="D497" s="15">
        <v>390.2</v>
      </c>
      <c r="E497" s="15">
        <v>383.5</v>
      </c>
      <c r="F497" s="15">
        <v>387.5</v>
      </c>
      <c r="G497" s="15">
        <v>388.2</v>
      </c>
      <c r="H497" s="15">
        <v>388</v>
      </c>
      <c r="I497" s="15">
        <v>387.99</v>
      </c>
      <c r="J497" s="15">
        <v>394</v>
      </c>
      <c r="K497" s="15">
        <v>220.1</v>
      </c>
      <c r="L497" s="15">
        <v>8362265</v>
      </c>
      <c r="M497" t="s" s="13">
        <v>9295</v>
      </c>
      <c r="N497" s="15">
        <v>101617</v>
      </c>
      <c r="O497" s="17" cm="1">
        <f t="array" ref="O497">(H497-H496)/H496</f>
        <v>0.00129032258064516</v>
      </c>
    </row>
    <row r="498" ht="13.65" customHeight="1">
      <c r="A498" s="18">
        <v>44998</v>
      </c>
      <c r="B498" t="s" s="13">
        <v>22</v>
      </c>
      <c r="C498" s="15">
        <v>389.2</v>
      </c>
      <c r="D498" s="15">
        <v>390.9</v>
      </c>
      <c r="E498" s="15">
        <v>382.5</v>
      </c>
      <c r="F498" s="15">
        <v>388</v>
      </c>
      <c r="G498" s="15">
        <v>386.05</v>
      </c>
      <c r="H498" s="15">
        <v>383.65</v>
      </c>
      <c r="I498" s="15">
        <v>385.1</v>
      </c>
      <c r="J498" s="15">
        <v>394</v>
      </c>
      <c r="K498" s="15">
        <v>235.3</v>
      </c>
      <c r="L498" s="15">
        <v>8791872</v>
      </c>
      <c r="M498" t="s" s="13">
        <v>9296</v>
      </c>
      <c r="N498" s="15">
        <v>104232</v>
      </c>
      <c r="O498" s="17" cm="1">
        <f t="array" ref="O498">(H498-H497)/H497</f>
        <v>-0.0112113402061856</v>
      </c>
    </row>
    <row r="499" ht="13.65" customHeight="1">
      <c r="A499" s="18">
        <v>44999</v>
      </c>
      <c r="B499" t="s" s="13">
        <v>22</v>
      </c>
      <c r="C499" s="15">
        <v>385.7</v>
      </c>
      <c r="D499" s="15">
        <v>386.45</v>
      </c>
      <c r="E499" s="15">
        <v>377.2</v>
      </c>
      <c r="F499" s="15">
        <v>383.65</v>
      </c>
      <c r="G499" s="15">
        <v>380.25</v>
      </c>
      <c r="H499" s="15">
        <v>379.7</v>
      </c>
      <c r="I499" s="15">
        <v>381.62</v>
      </c>
      <c r="J499" s="15">
        <v>394</v>
      </c>
      <c r="K499" s="15">
        <v>235.3</v>
      </c>
      <c r="L499" s="15">
        <v>10229766</v>
      </c>
      <c r="M499" t="s" s="13">
        <v>9297</v>
      </c>
      <c r="N499" s="15">
        <v>122468</v>
      </c>
      <c r="O499" s="17" cm="1">
        <f t="array" ref="O499">(H499-H498)/H498</f>
        <v>-0.0102958425648377</v>
      </c>
    </row>
    <row r="500" ht="13.65" customHeight="1">
      <c r="A500" s="18">
        <v>45000</v>
      </c>
      <c r="B500" t="s" s="13">
        <v>22</v>
      </c>
      <c r="C500" s="15">
        <v>381</v>
      </c>
      <c r="D500" s="15">
        <v>384.3</v>
      </c>
      <c r="E500" s="15">
        <v>378</v>
      </c>
      <c r="F500" s="15">
        <v>379.7</v>
      </c>
      <c r="G500" s="15">
        <v>379.15</v>
      </c>
      <c r="H500" s="15">
        <v>379.4</v>
      </c>
      <c r="I500" s="15">
        <v>380.73</v>
      </c>
      <c r="J500" s="15">
        <v>394</v>
      </c>
      <c r="K500" s="15">
        <v>235.3</v>
      </c>
      <c r="L500" s="15">
        <v>8423692</v>
      </c>
      <c r="M500" t="s" s="13">
        <v>9298</v>
      </c>
      <c r="N500" s="15">
        <v>108040</v>
      </c>
      <c r="O500" s="17" cm="1">
        <f t="array" ref="O500">(H500-H499)/H499</f>
        <v>-0.000790097445351593</v>
      </c>
    </row>
    <row r="501" ht="13.65" customHeight="1">
      <c r="A501" s="18">
        <v>45001</v>
      </c>
      <c r="B501" t="s" s="13">
        <v>22</v>
      </c>
      <c r="C501" s="15">
        <v>380.6</v>
      </c>
      <c r="D501" s="15">
        <v>382.35</v>
      </c>
      <c r="E501" s="15">
        <v>376.85</v>
      </c>
      <c r="F501" s="15">
        <v>379.4</v>
      </c>
      <c r="G501" s="15">
        <v>381.5</v>
      </c>
      <c r="H501" s="15">
        <v>381.45</v>
      </c>
      <c r="I501" s="15">
        <v>379.89</v>
      </c>
      <c r="J501" s="15">
        <v>394</v>
      </c>
      <c r="K501" s="15">
        <v>235.3</v>
      </c>
      <c r="L501" s="15">
        <v>15710094</v>
      </c>
      <c r="M501" t="s" s="13">
        <v>9299</v>
      </c>
      <c r="N501" s="15">
        <v>148108</v>
      </c>
      <c r="O501" s="17" cm="1">
        <f t="array" ref="O501">(H501-H500)/H500</f>
        <v>0.00540326831839747</v>
      </c>
    </row>
    <row r="502" ht="13.65" customHeight="1">
      <c r="A502" s="18">
        <v>45002</v>
      </c>
      <c r="B502" t="s" s="13">
        <v>22</v>
      </c>
      <c r="C502" s="15">
        <v>385</v>
      </c>
      <c r="D502" s="15">
        <v>385</v>
      </c>
      <c r="E502" s="15">
        <v>369.65</v>
      </c>
      <c r="F502" s="15">
        <v>381.45</v>
      </c>
      <c r="G502" s="15">
        <v>376.45</v>
      </c>
      <c r="H502" s="15">
        <v>375.55</v>
      </c>
      <c r="I502" s="15">
        <v>373.83</v>
      </c>
      <c r="J502" s="15">
        <v>394</v>
      </c>
      <c r="K502" s="15">
        <v>235.3</v>
      </c>
      <c r="L502" s="15">
        <v>48904254</v>
      </c>
      <c r="M502" t="s" s="13">
        <v>9300</v>
      </c>
      <c r="N502" s="15">
        <v>243657</v>
      </c>
      <c r="O502" s="17" cm="1">
        <f t="array" ref="O502">(H502-H501)/H501</f>
        <v>-0.0154672958448027</v>
      </c>
    </row>
    <row r="503" ht="13.65" customHeight="1">
      <c r="A503" s="18">
        <v>45005</v>
      </c>
      <c r="B503" t="s" s="13">
        <v>22</v>
      </c>
      <c r="C503" s="15">
        <v>373.3</v>
      </c>
      <c r="D503" s="15">
        <v>379.35</v>
      </c>
      <c r="E503" s="15">
        <v>372</v>
      </c>
      <c r="F503" s="15">
        <v>375.55</v>
      </c>
      <c r="G503" s="15">
        <v>378.75</v>
      </c>
      <c r="H503" s="15">
        <v>378.8</v>
      </c>
      <c r="I503" s="15">
        <v>375.53</v>
      </c>
      <c r="J503" s="15">
        <v>394</v>
      </c>
      <c r="K503" s="15">
        <v>243.55</v>
      </c>
      <c r="L503" s="15">
        <v>10122167</v>
      </c>
      <c r="M503" t="s" s="13">
        <v>9301</v>
      </c>
      <c r="N503" s="15">
        <v>128572</v>
      </c>
      <c r="O503" s="17" cm="1">
        <f t="array" ref="O503">(H503-H502)/H502</f>
        <v>0.00865397417121555</v>
      </c>
    </row>
    <row r="504" ht="13.65" customHeight="1">
      <c r="A504" s="18">
        <v>45006</v>
      </c>
      <c r="B504" t="s" s="13">
        <v>22</v>
      </c>
      <c r="C504" s="15">
        <v>378.8</v>
      </c>
      <c r="D504" s="15">
        <v>378.8</v>
      </c>
      <c r="E504" s="15">
        <v>374.05</v>
      </c>
      <c r="F504" s="15">
        <v>378.8</v>
      </c>
      <c r="G504" s="15">
        <v>377</v>
      </c>
      <c r="H504" s="15">
        <v>376.95</v>
      </c>
      <c r="I504" s="15">
        <v>376.2</v>
      </c>
      <c r="J504" s="15">
        <v>394</v>
      </c>
      <c r="K504" s="15">
        <v>243.55</v>
      </c>
      <c r="L504" s="15">
        <v>11610832</v>
      </c>
      <c r="M504" t="s" s="13">
        <v>9302</v>
      </c>
      <c r="N504" s="15">
        <v>161927</v>
      </c>
      <c r="O504" s="17" cm="1">
        <f t="array" ref="O504">(H504-H503)/H503</f>
        <v>-0.00488384371700106</v>
      </c>
    </row>
    <row r="505" ht="13.65" customHeight="1">
      <c r="A505" s="18">
        <v>45007</v>
      </c>
      <c r="B505" t="s" s="13">
        <v>22</v>
      </c>
      <c r="C505" s="15">
        <v>376.95</v>
      </c>
      <c r="D505" s="15">
        <v>378.85</v>
      </c>
      <c r="E505" s="15">
        <v>374.2</v>
      </c>
      <c r="F505" s="15">
        <v>376.95</v>
      </c>
      <c r="G505" s="15">
        <v>378.25</v>
      </c>
      <c r="H505" s="15">
        <v>377.75</v>
      </c>
      <c r="I505" s="15">
        <v>376.67</v>
      </c>
      <c r="J505" s="15">
        <v>394</v>
      </c>
      <c r="K505" s="15">
        <v>243.55</v>
      </c>
      <c r="L505" s="15">
        <v>4774867</v>
      </c>
      <c r="M505" t="s" s="13">
        <v>9303</v>
      </c>
      <c r="N505" s="15">
        <v>73043</v>
      </c>
      <c r="O505" s="17" cm="1">
        <f t="array" ref="O505">(H505-H504)/H504</f>
        <v>0.00212229738692134</v>
      </c>
    </row>
    <row r="506" ht="13.65" customHeight="1">
      <c r="A506" s="18">
        <v>45008</v>
      </c>
      <c r="B506" t="s" s="13">
        <v>22</v>
      </c>
      <c r="C506" s="15">
        <v>377</v>
      </c>
      <c r="D506" s="15">
        <v>382.75</v>
      </c>
      <c r="E506" s="15">
        <v>374.4</v>
      </c>
      <c r="F506" s="15">
        <v>377.75</v>
      </c>
      <c r="G506" s="15">
        <v>380.2</v>
      </c>
      <c r="H506" s="15">
        <v>380.65</v>
      </c>
      <c r="I506" s="15">
        <v>380.24</v>
      </c>
      <c r="J506" s="15">
        <v>394</v>
      </c>
      <c r="K506" s="15">
        <v>243.55</v>
      </c>
      <c r="L506" s="15">
        <v>9752326</v>
      </c>
      <c r="M506" t="s" s="13">
        <v>9304</v>
      </c>
      <c r="N506" s="15">
        <v>118607</v>
      </c>
      <c r="O506" s="17" cm="1">
        <f t="array" ref="O506">(H506-H505)/H505</f>
        <v>0.00767703507610854</v>
      </c>
    </row>
    <row r="507" ht="13.65" customHeight="1">
      <c r="A507" s="18">
        <v>45009</v>
      </c>
      <c r="B507" t="s" s="13">
        <v>22</v>
      </c>
      <c r="C507" s="15">
        <v>381.5</v>
      </c>
      <c r="D507" s="15">
        <v>383</v>
      </c>
      <c r="E507" s="15">
        <v>378</v>
      </c>
      <c r="F507" s="15">
        <v>380.65</v>
      </c>
      <c r="G507" s="15">
        <v>378.9</v>
      </c>
      <c r="H507" s="15">
        <v>378.7</v>
      </c>
      <c r="I507" s="15">
        <v>381.12</v>
      </c>
      <c r="J507" s="15">
        <v>394</v>
      </c>
      <c r="K507" s="15">
        <v>243.55</v>
      </c>
      <c r="L507" s="15">
        <v>9934501</v>
      </c>
      <c r="M507" t="s" s="13">
        <v>9305</v>
      </c>
      <c r="N507" s="15">
        <v>81630</v>
      </c>
      <c r="O507" s="17" cm="1">
        <f t="array" ref="O507">(H507-H506)/H506</f>
        <v>-0.00512281623538684</v>
      </c>
    </row>
    <row r="508" ht="13.65" customHeight="1">
      <c r="A508" s="18">
        <v>45012</v>
      </c>
      <c r="B508" t="s" s="13">
        <v>22</v>
      </c>
      <c r="C508" s="15">
        <v>377.95</v>
      </c>
      <c r="D508" s="15">
        <v>384.4</v>
      </c>
      <c r="E508" s="15">
        <v>376.35</v>
      </c>
      <c r="F508" s="15">
        <v>378.7</v>
      </c>
      <c r="G508" s="15">
        <v>380</v>
      </c>
      <c r="H508" s="15">
        <v>380.2</v>
      </c>
      <c r="I508" s="15">
        <v>381.06</v>
      </c>
      <c r="J508" s="15">
        <v>394</v>
      </c>
      <c r="K508" s="15">
        <v>248.65</v>
      </c>
      <c r="L508" s="15">
        <v>10816352</v>
      </c>
      <c r="M508" t="s" s="13">
        <v>9306</v>
      </c>
      <c r="N508" s="15">
        <v>103476</v>
      </c>
      <c r="O508" s="17" cm="1">
        <f t="array" ref="O508">(H508-H507)/H507</f>
        <v>0.0039609189331925</v>
      </c>
    </row>
    <row r="509" ht="13.65" customHeight="1">
      <c r="A509" s="18">
        <v>45013</v>
      </c>
      <c r="B509" t="s" s="13">
        <v>22</v>
      </c>
      <c r="C509" s="15">
        <v>380.2</v>
      </c>
      <c r="D509" s="15">
        <v>382.35</v>
      </c>
      <c r="E509" s="15">
        <v>378.15</v>
      </c>
      <c r="F509" s="15">
        <v>380.2</v>
      </c>
      <c r="G509" s="15">
        <v>379.75</v>
      </c>
      <c r="H509" s="15">
        <v>379.75</v>
      </c>
      <c r="I509" s="15">
        <v>379.78</v>
      </c>
      <c r="J509" s="15">
        <v>394</v>
      </c>
      <c r="K509" s="15">
        <v>248.65</v>
      </c>
      <c r="L509" s="15">
        <v>9170535</v>
      </c>
      <c r="M509" t="s" s="13">
        <v>9307</v>
      </c>
      <c r="N509" s="15">
        <v>115524</v>
      </c>
      <c r="O509" s="17" cm="1">
        <f t="array" ref="O509">(H509-H508)/H508</f>
        <v>-0.00118358758548133</v>
      </c>
    </row>
    <row r="510" ht="13.65" customHeight="1">
      <c r="A510" s="18">
        <v>45014</v>
      </c>
      <c r="B510" t="s" s="13">
        <v>22</v>
      </c>
      <c r="C510" s="15">
        <v>380.2</v>
      </c>
      <c r="D510" s="15">
        <v>384</v>
      </c>
      <c r="E510" s="15">
        <v>377.15</v>
      </c>
      <c r="F510" s="15">
        <v>379.75</v>
      </c>
      <c r="G510" s="15">
        <v>383.05</v>
      </c>
      <c r="H510" s="15">
        <v>382.75</v>
      </c>
      <c r="I510" s="15">
        <v>381.12</v>
      </c>
      <c r="J510" s="15">
        <v>394</v>
      </c>
      <c r="K510" s="15">
        <v>248.65</v>
      </c>
      <c r="L510" s="15">
        <v>10160322</v>
      </c>
      <c r="M510" t="s" s="13">
        <v>9308</v>
      </c>
      <c r="N510" s="15">
        <v>120617</v>
      </c>
      <c r="O510" s="17" cm="1">
        <f t="array" ref="O510">(H510-H509)/H509</f>
        <v>0.00789993416721527</v>
      </c>
    </row>
    <row r="511" ht="13.65" customHeight="1">
      <c r="A511" s="18">
        <v>45016</v>
      </c>
      <c r="B511" t="s" s="13">
        <v>22</v>
      </c>
      <c r="C511" s="15">
        <v>382</v>
      </c>
      <c r="D511" s="15">
        <v>384.5</v>
      </c>
      <c r="E511" s="15">
        <v>380</v>
      </c>
      <c r="F511" s="15">
        <v>382.75</v>
      </c>
      <c r="G511" s="15">
        <v>383.2</v>
      </c>
      <c r="H511" s="15">
        <v>383.5</v>
      </c>
      <c r="I511" s="15">
        <v>382.81</v>
      </c>
      <c r="J511" s="15">
        <v>394</v>
      </c>
      <c r="K511" s="15">
        <v>248.65</v>
      </c>
      <c r="L511" s="15">
        <v>9511189</v>
      </c>
      <c r="M511" t="s" s="13">
        <v>9309</v>
      </c>
      <c r="N511" s="15">
        <v>167654</v>
      </c>
      <c r="O511" s="17" cm="1">
        <f t="array" ref="O511">(H511-H510)/H510</f>
        <v>0.00195950359242325</v>
      </c>
    </row>
    <row r="512" ht="13.65" customHeight="1">
      <c r="A512" s="21"/>
      <c r="B512" s="21"/>
      <c r="C512" s="21"/>
      <c r="D512" s="21"/>
      <c r="E512" s="21"/>
      <c r="F512" s="21"/>
      <c r="G512" s="21"/>
      <c r="H512" s="21"/>
      <c r="I512" s="21"/>
      <c r="J512" s="21"/>
      <c r="K512" s="21"/>
      <c r="L512" s="21"/>
      <c r="M512" s="21"/>
      <c r="N512" s="21"/>
      <c r="O512" s="8"/>
    </row>
    <row r="513" ht="13.65" customHeight="1">
      <c r="A513" s="8"/>
      <c r="B513" s="8"/>
      <c r="C513" s="8"/>
      <c r="D513" s="8"/>
      <c r="E513" s="8"/>
      <c r="F513" s="8"/>
      <c r="G513" s="8"/>
      <c r="H513" s="8"/>
      <c r="I513" s="8"/>
      <c r="J513" s="8"/>
      <c r="K513" s="8"/>
      <c r="L513" s="8"/>
      <c r="M513" s="8"/>
      <c r="N513" t="s" s="7">
        <v>272</v>
      </c>
      <c r="O513" s="22" cm="1">
        <f t="array" ref="O513">AVERAGE(O263:O511)</f>
        <v>0.00175454508102771</v>
      </c>
    </row>
    <row r="514" ht="13.65" customHeight="1">
      <c r="A514" s="8"/>
      <c r="B514" s="8"/>
      <c r="C514" s="8"/>
      <c r="D514" s="8"/>
      <c r="E514" s="8"/>
      <c r="F514" s="8"/>
      <c r="G514" s="8"/>
      <c r="H514" s="8"/>
      <c r="I514" s="8"/>
      <c r="J514" s="8"/>
      <c r="K514" s="8"/>
      <c r="L514" s="8"/>
      <c r="M514" s="8"/>
      <c r="N514" t="s" s="7">
        <v>527</v>
      </c>
      <c r="O514" s="22" cm="1">
        <f t="array" ref="O514">STDEV(O264:O511)</f>
        <v>0.012755705363508</v>
      </c>
    </row>
    <row r="515" ht="13.65" customHeight="1">
      <c r="A515" s="8"/>
      <c r="B515" s="8"/>
      <c r="C515" s="8"/>
      <c r="D515" s="8"/>
      <c r="E515" s="8"/>
      <c r="F515" s="8"/>
      <c r="G515" s="8"/>
      <c r="H515" s="8"/>
      <c r="I515" s="8"/>
      <c r="J515" s="8"/>
      <c r="K515" s="8"/>
      <c r="L515" s="8"/>
      <c r="M515" s="8"/>
      <c r="N515" t="s" s="7">
        <v>9060</v>
      </c>
      <c r="O515" s="23" cm="1">
        <f t="array" ref="O515">AVERAGE(L263:L511)</f>
        <v>14335377.4819277</v>
      </c>
    </row>
    <row r="516" ht="13.65" customHeight="1">
      <c r="A516" s="8"/>
      <c r="B516" s="8"/>
      <c r="C516" s="8"/>
      <c r="D516" s="8"/>
      <c r="E516" s="8"/>
      <c r="F516" s="8"/>
      <c r="G516" s="8"/>
      <c r="H516" s="8"/>
      <c r="I516" s="8"/>
      <c r="J516" s="8"/>
      <c r="K516" s="8"/>
      <c r="L516" s="8"/>
      <c r="M516" s="8"/>
      <c r="N516" t="s" s="7">
        <v>9061</v>
      </c>
      <c r="O516" s="23" cm="1">
        <f t="array" ref="O516">IF(H511&gt;H263,1,IF(H511&lt;H263,-1,0))</f>
        <v>1</v>
      </c>
    </row>
    <row r="517" ht="13.65" customHeight="1">
      <c r="A517" s="8"/>
      <c r="B517" s="8"/>
      <c r="C517" s="8"/>
      <c r="D517" s="8"/>
      <c r="E517" s="8"/>
      <c r="F517" s="8"/>
      <c r="G517" s="8"/>
      <c r="H517" s="8"/>
      <c r="I517" s="8"/>
      <c r="J517" s="8"/>
      <c r="K517" s="8"/>
      <c r="L517" s="8"/>
      <c r="M517" s="8"/>
      <c r="N517" t="s" s="7">
        <v>528</v>
      </c>
      <c r="O517" s="22" cm="1">
        <f t="array" ref="O517">(H511-H263)/H263</f>
        <v>0.514015001973944</v>
      </c>
    </row>
    <row r="518" ht="13.65" customHeight="1">
      <c r="A518" t="s" s="7">
        <v>529</v>
      </c>
      <c r="B518" s="8"/>
      <c r="C518" s="8"/>
      <c r="D518" s="8"/>
      <c r="E518" s="8"/>
      <c r="F518" s="8"/>
      <c r="G518" s="8"/>
      <c r="H518" s="8"/>
      <c r="I518" s="8"/>
      <c r="J518" s="8"/>
      <c r="K518" s="8"/>
      <c r="L518" s="8"/>
      <c r="M518" s="8"/>
      <c r="N518" s="8"/>
      <c r="O518" s="8"/>
    </row>
    <row r="519" ht="13.65" customHeight="1">
      <c r="A519" s="9"/>
      <c r="B519" s="9"/>
      <c r="C519" s="9"/>
      <c r="D519" s="9"/>
      <c r="E519" s="9"/>
      <c r="F519" s="9"/>
      <c r="G519" s="9"/>
      <c r="H519" s="9"/>
      <c r="I519" s="9"/>
      <c r="J519" s="9"/>
      <c r="K519" s="9"/>
      <c r="L519" s="9"/>
      <c r="M519" s="9"/>
      <c r="N519" s="9"/>
      <c r="O519" s="8"/>
    </row>
    <row r="520" ht="13.65" customHeight="1">
      <c r="A520" t="s" s="10">
        <v>7</v>
      </c>
      <c r="B520" t="s" s="10">
        <v>8</v>
      </c>
      <c r="C520" t="s" s="10">
        <v>9</v>
      </c>
      <c r="D520" t="s" s="10">
        <v>10</v>
      </c>
      <c r="E520" t="s" s="10">
        <v>11</v>
      </c>
      <c r="F520" t="s" s="10">
        <v>12</v>
      </c>
      <c r="G520" t="s" s="10">
        <v>13</v>
      </c>
      <c r="H520" t="s" s="10">
        <v>14</v>
      </c>
      <c r="I520" t="s" s="10">
        <v>15</v>
      </c>
      <c r="J520" t="s" s="10">
        <v>16</v>
      </c>
      <c r="K520" t="s" s="10">
        <v>17</v>
      </c>
      <c r="L520" t="s" s="10">
        <v>18</v>
      </c>
      <c r="M520" t="s" s="10">
        <v>19</v>
      </c>
      <c r="N520" t="s" s="10">
        <v>20</v>
      </c>
      <c r="O520" t="s" s="11">
        <v>21</v>
      </c>
    </row>
    <row r="521" ht="13.65" customHeight="1">
      <c r="A521" s="12">
        <v>45019</v>
      </c>
      <c r="B521" t="s" s="13">
        <v>22</v>
      </c>
      <c r="C521" s="15">
        <v>384</v>
      </c>
      <c r="D521" s="15">
        <v>384</v>
      </c>
      <c r="E521" s="15">
        <v>378.5</v>
      </c>
      <c r="F521" s="15">
        <v>383.5</v>
      </c>
      <c r="G521" s="15">
        <v>379.2</v>
      </c>
      <c r="H521" s="15">
        <v>378.9</v>
      </c>
      <c r="I521" s="15">
        <v>380.29</v>
      </c>
      <c r="J521" s="15">
        <v>394</v>
      </c>
      <c r="K521" s="15">
        <v>249.15</v>
      </c>
      <c r="L521" s="15">
        <v>7059200</v>
      </c>
      <c r="M521" t="s" s="13">
        <v>9310</v>
      </c>
      <c r="N521" s="15">
        <v>99525</v>
      </c>
      <c r="O521" s="16"/>
    </row>
    <row r="522" ht="13.65" customHeight="1">
      <c r="A522" s="12">
        <v>45021</v>
      </c>
      <c r="B522" t="s" s="13">
        <v>22</v>
      </c>
      <c r="C522" s="15">
        <v>378.9</v>
      </c>
      <c r="D522" s="15">
        <v>387.05</v>
      </c>
      <c r="E522" s="15">
        <v>378.9</v>
      </c>
      <c r="F522" s="15">
        <v>378.9</v>
      </c>
      <c r="G522" s="15">
        <v>387</v>
      </c>
      <c r="H522" s="15">
        <v>386.4</v>
      </c>
      <c r="I522" s="15">
        <v>384.85</v>
      </c>
      <c r="J522" s="15">
        <v>394</v>
      </c>
      <c r="K522" s="15">
        <v>249.15</v>
      </c>
      <c r="L522" s="15">
        <v>11608424</v>
      </c>
      <c r="M522" t="s" s="13">
        <v>9311</v>
      </c>
      <c r="N522" s="15">
        <v>108671</v>
      </c>
      <c r="O522" s="17" cm="1">
        <f t="array" ref="O522">(H522-H521)/H521</f>
        <v>0.0197941409342835</v>
      </c>
    </row>
    <row r="523" ht="13.65" customHeight="1">
      <c r="A523" s="12">
        <v>45022</v>
      </c>
      <c r="B523" t="s" s="13">
        <v>22</v>
      </c>
      <c r="C523" s="15">
        <v>386.65</v>
      </c>
      <c r="D523" s="15">
        <v>390.3</v>
      </c>
      <c r="E523" s="15">
        <v>384.2</v>
      </c>
      <c r="F523" s="15">
        <v>386.4</v>
      </c>
      <c r="G523" s="15">
        <v>387.5</v>
      </c>
      <c r="H523" s="15">
        <v>387.35</v>
      </c>
      <c r="I523" s="15">
        <v>386.84</v>
      </c>
      <c r="J523" s="15">
        <v>394</v>
      </c>
      <c r="K523" s="15">
        <v>249.15</v>
      </c>
      <c r="L523" s="15">
        <v>12897667</v>
      </c>
      <c r="M523" t="s" s="13">
        <v>9312</v>
      </c>
      <c r="N523" s="15">
        <v>132193</v>
      </c>
      <c r="O523" s="17" cm="1">
        <f t="array" ref="O523">(H523-H522)/H522</f>
        <v>0.00245859213250518</v>
      </c>
    </row>
    <row r="524" ht="13.65" customHeight="1">
      <c r="A524" s="18">
        <v>45026</v>
      </c>
      <c r="B524" t="s" s="13">
        <v>22</v>
      </c>
      <c r="C524" s="15">
        <v>387.35</v>
      </c>
      <c r="D524" s="15">
        <v>390</v>
      </c>
      <c r="E524" s="15">
        <v>384.75</v>
      </c>
      <c r="F524" s="15">
        <v>387.35</v>
      </c>
      <c r="G524" s="15">
        <v>388</v>
      </c>
      <c r="H524" s="15">
        <v>388.55</v>
      </c>
      <c r="I524" s="15">
        <v>388.13</v>
      </c>
      <c r="J524" s="15">
        <v>394</v>
      </c>
      <c r="K524" s="15">
        <v>249.15</v>
      </c>
      <c r="L524" s="15">
        <v>6783022</v>
      </c>
      <c r="M524" t="s" s="13">
        <v>9313</v>
      </c>
      <c r="N524" s="15">
        <v>110021</v>
      </c>
      <c r="O524" s="17" cm="1">
        <f t="array" ref="O524">(H524-H523)/H523</f>
        <v>0.00309797340906157</v>
      </c>
    </row>
    <row r="525" ht="13.65" customHeight="1">
      <c r="A525" s="18">
        <v>45027</v>
      </c>
      <c r="B525" t="s" s="13">
        <v>22</v>
      </c>
      <c r="C525" s="15">
        <v>388.55</v>
      </c>
      <c r="D525" s="15">
        <v>398.1</v>
      </c>
      <c r="E525" s="15">
        <v>388</v>
      </c>
      <c r="F525" s="15">
        <v>388.55</v>
      </c>
      <c r="G525" s="15">
        <v>396</v>
      </c>
      <c r="H525" s="15">
        <v>396</v>
      </c>
      <c r="I525" s="15">
        <v>394.8</v>
      </c>
      <c r="J525" s="15">
        <v>398.1</v>
      </c>
      <c r="K525" s="15">
        <v>249.15</v>
      </c>
      <c r="L525" s="15">
        <v>18237451</v>
      </c>
      <c r="M525" t="s" s="13">
        <v>9314</v>
      </c>
      <c r="N525" s="15">
        <v>171305</v>
      </c>
      <c r="O525" s="17" cm="1">
        <f t="array" ref="O525">(H525-H524)/H524</f>
        <v>0.0191738514991636</v>
      </c>
    </row>
    <row r="526" ht="13.65" customHeight="1">
      <c r="A526" s="18">
        <v>45028</v>
      </c>
      <c r="B526" t="s" s="13">
        <v>22</v>
      </c>
      <c r="C526" s="15">
        <v>397.75</v>
      </c>
      <c r="D526" s="15">
        <v>397.8</v>
      </c>
      <c r="E526" s="15">
        <v>392.1</v>
      </c>
      <c r="F526" s="15">
        <v>396</v>
      </c>
      <c r="G526" s="15">
        <v>393.95</v>
      </c>
      <c r="H526" s="15">
        <v>393.55</v>
      </c>
      <c r="I526" s="15">
        <v>393.94</v>
      </c>
      <c r="J526" s="15">
        <v>398.1</v>
      </c>
      <c r="K526" s="15">
        <v>249.15</v>
      </c>
      <c r="L526" s="15">
        <v>9747526</v>
      </c>
      <c r="M526" t="s" s="13">
        <v>9315</v>
      </c>
      <c r="N526" s="15">
        <v>153023</v>
      </c>
      <c r="O526" s="17" cm="1">
        <f t="array" ref="O526">(H526-H525)/H525</f>
        <v>-0.00618686868686869</v>
      </c>
    </row>
    <row r="527" ht="13.65" customHeight="1">
      <c r="A527" s="18">
        <v>45029</v>
      </c>
      <c r="B527" t="s" s="13">
        <v>22</v>
      </c>
      <c r="C527" s="15">
        <v>395.5</v>
      </c>
      <c r="D527" s="15">
        <v>396.6</v>
      </c>
      <c r="E527" s="15">
        <v>393.7</v>
      </c>
      <c r="F527" s="15">
        <v>393.55</v>
      </c>
      <c r="G527" s="15">
        <v>395.7</v>
      </c>
      <c r="H527" s="15">
        <v>395.6</v>
      </c>
      <c r="I527" s="15">
        <v>395.36</v>
      </c>
      <c r="J527" s="15">
        <v>398.1</v>
      </c>
      <c r="K527" s="15">
        <v>249.15</v>
      </c>
      <c r="L527" s="15">
        <v>6059044</v>
      </c>
      <c r="M527" t="s" s="13">
        <v>9316</v>
      </c>
      <c r="N527" s="15">
        <v>101183</v>
      </c>
      <c r="O527" s="17" cm="1">
        <f t="array" ref="O527">(H527-H526)/H526</f>
        <v>0.00520899504510227</v>
      </c>
    </row>
    <row r="528" ht="13.65" customHeight="1">
      <c r="A528" s="18">
        <v>45033</v>
      </c>
      <c r="B528" t="s" s="13">
        <v>22</v>
      </c>
      <c r="C528" s="15">
        <v>392.9</v>
      </c>
      <c r="D528" s="15">
        <v>402</v>
      </c>
      <c r="E528" s="15">
        <v>392.9</v>
      </c>
      <c r="F528" s="15">
        <v>395.6</v>
      </c>
      <c r="G528" s="15">
        <v>399.9</v>
      </c>
      <c r="H528" s="15">
        <v>400.15</v>
      </c>
      <c r="I528" s="15">
        <v>399.65</v>
      </c>
      <c r="J528" s="15">
        <v>402</v>
      </c>
      <c r="K528" s="15">
        <v>249.15</v>
      </c>
      <c r="L528" s="15">
        <v>11041243</v>
      </c>
      <c r="M528" t="s" s="13">
        <v>9317</v>
      </c>
      <c r="N528" s="15">
        <v>133940</v>
      </c>
      <c r="O528" s="17" cm="1">
        <f t="array" ref="O528">(H528-H527)/H527</f>
        <v>0.0115015166835187</v>
      </c>
    </row>
    <row r="529" ht="13.65" customHeight="1">
      <c r="A529" s="18">
        <v>45034</v>
      </c>
      <c r="B529" t="s" s="13">
        <v>22</v>
      </c>
      <c r="C529" s="15">
        <v>400</v>
      </c>
      <c r="D529" s="15">
        <v>402</v>
      </c>
      <c r="E529" s="15">
        <v>397</v>
      </c>
      <c r="F529" s="15">
        <v>400.15</v>
      </c>
      <c r="G529" s="15">
        <v>398.5</v>
      </c>
      <c r="H529" s="15">
        <v>398.5</v>
      </c>
      <c r="I529" s="15">
        <v>399.47</v>
      </c>
      <c r="J529" s="15">
        <v>402</v>
      </c>
      <c r="K529" s="15">
        <v>249.15</v>
      </c>
      <c r="L529" s="15">
        <v>9494641</v>
      </c>
      <c r="M529" t="s" s="13">
        <v>9318</v>
      </c>
      <c r="N529" s="15">
        <v>101699</v>
      </c>
      <c r="O529" s="17" cm="1">
        <f t="array" ref="O529">(H529-H528)/H528</f>
        <v>-0.00412345370486068</v>
      </c>
    </row>
    <row r="530" ht="13.65" customHeight="1">
      <c r="A530" s="18">
        <v>45035</v>
      </c>
      <c r="B530" t="s" s="13">
        <v>22</v>
      </c>
      <c r="C530" s="15">
        <v>396.05</v>
      </c>
      <c r="D530" s="15">
        <v>401.35</v>
      </c>
      <c r="E530" s="15">
        <v>396</v>
      </c>
      <c r="F530" s="15">
        <v>398.5</v>
      </c>
      <c r="G530" s="15">
        <v>398.2</v>
      </c>
      <c r="H530" s="15">
        <v>398.75</v>
      </c>
      <c r="I530" s="15">
        <v>399.22</v>
      </c>
      <c r="J530" s="15">
        <v>402</v>
      </c>
      <c r="K530" s="15">
        <v>249.15</v>
      </c>
      <c r="L530" s="15">
        <v>9744202</v>
      </c>
      <c r="M530" t="s" s="13">
        <v>9319</v>
      </c>
      <c r="N530" s="15">
        <v>116016</v>
      </c>
      <c r="O530" s="17" cm="1">
        <f t="array" ref="O530">(H530-H529)/H529</f>
        <v>0.000627352572145546</v>
      </c>
    </row>
    <row r="531" ht="13.65" customHeight="1">
      <c r="A531" s="18">
        <v>45036</v>
      </c>
      <c r="B531" t="s" s="13">
        <v>22</v>
      </c>
      <c r="C531" s="15">
        <v>400</v>
      </c>
      <c r="D531" s="15">
        <v>402.65</v>
      </c>
      <c r="E531" s="15">
        <v>397.7</v>
      </c>
      <c r="F531" s="15">
        <v>398.75</v>
      </c>
      <c r="G531" s="15">
        <v>400.3</v>
      </c>
      <c r="H531" s="15">
        <v>400.3</v>
      </c>
      <c r="I531" s="15">
        <v>400.07</v>
      </c>
      <c r="J531" s="15">
        <v>402.65</v>
      </c>
      <c r="K531" s="15">
        <v>249.15</v>
      </c>
      <c r="L531" s="15">
        <v>6667781</v>
      </c>
      <c r="M531" t="s" s="13">
        <v>9320</v>
      </c>
      <c r="N531" s="15">
        <v>85369</v>
      </c>
      <c r="O531" s="17" cm="1">
        <f t="array" ref="O531">(H531-H530)/H530</f>
        <v>0.0038871473354232</v>
      </c>
    </row>
    <row r="532" ht="13.65" customHeight="1">
      <c r="A532" s="18">
        <v>45037</v>
      </c>
      <c r="B532" t="s" s="13">
        <v>22</v>
      </c>
      <c r="C532" s="15">
        <v>400.3</v>
      </c>
      <c r="D532" s="15">
        <v>409</v>
      </c>
      <c r="E532" s="15">
        <v>399.05</v>
      </c>
      <c r="F532" s="15">
        <v>400.3</v>
      </c>
      <c r="G532" s="15">
        <v>408</v>
      </c>
      <c r="H532" s="15">
        <v>408.25</v>
      </c>
      <c r="I532" s="15">
        <v>405.7</v>
      </c>
      <c r="J532" s="15">
        <v>409</v>
      </c>
      <c r="K532" s="15">
        <v>249.15</v>
      </c>
      <c r="L532" s="15">
        <v>14252204</v>
      </c>
      <c r="M532" t="s" s="13">
        <v>9321</v>
      </c>
      <c r="N532" s="15">
        <v>143707</v>
      </c>
      <c r="O532" s="17" cm="1">
        <f t="array" ref="O532">(H532-H531)/H531</f>
        <v>0.019860104921309</v>
      </c>
    </row>
    <row r="533" ht="13.65" customHeight="1">
      <c r="A533" s="18">
        <v>45040</v>
      </c>
      <c r="B533" t="s" s="13">
        <v>22</v>
      </c>
      <c r="C533" s="15">
        <v>410</v>
      </c>
      <c r="D533" s="15">
        <v>410</v>
      </c>
      <c r="E533" s="15">
        <v>404.2</v>
      </c>
      <c r="F533" s="15">
        <v>408.25</v>
      </c>
      <c r="G533" s="15">
        <v>408.3</v>
      </c>
      <c r="H533" s="15">
        <v>408.7</v>
      </c>
      <c r="I533" s="15">
        <v>406.76</v>
      </c>
      <c r="J533" s="15">
        <v>410</v>
      </c>
      <c r="K533" s="15">
        <v>249.15</v>
      </c>
      <c r="L533" s="15">
        <v>5981760</v>
      </c>
      <c r="M533" t="s" s="13">
        <v>9322</v>
      </c>
      <c r="N533" s="15">
        <v>104586</v>
      </c>
      <c r="O533" s="17" cm="1">
        <f t="array" ref="O533">(H533-H532)/H532</f>
        <v>0.00110226576852419</v>
      </c>
    </row>
    <row r="534" ht="13.65" customHeight="1">
      <c r="A534" s="18">
        <v>45041</v>
      </c>
      <c r="B534" t="s" s="13">
        <v>22</v>
      </c>
      <c r="C534" s="15">
        <v>408.7</v>
      </c>
      <c r="D534" s="15">
        <v>413.55</v>
      </c>
      <c r="E534" s="15">
        <v>407.4</v>
      </c>
      <c r="F534" s="15">
        <v>408.7</v>
      </c>
      <c r="G534" s="15">
        <v>411.25</v>
      </c>
      <c r="H534" s="15">
        <v>411.55</v>
      </c>
      <c r="I534" s="15">
        <v>411.47</v>
      </c>
      <c r="J534" s="15">
        <v>413.55</v>
      </c>
      <c r="K534" s="15">
        <v>249.15</v>
      </c>
      <c r="L534" s="15">
        <v>8840188</v>
      </c>
      <c r="M534" t="s" s="13">
        <v>9323</v>
      </c>
      <c r="N534" s="15">
        <v>121252</v>
      </c>
      <c r="O534" s="17" cm="1">
        <f t="array" ref="O534">(H534-H533)/H533</f>
        <v>0.00697333007095669</v>
      </c>
    </row>
    <row r="535" ht="13.65" customHeight="1">
      <c r="A535" s="18">
        <v>45042</v>
      </c>
      <c r="B535" t="s" s="13">
        <v>22</v>
      </c>
      <c r="C535" s="15">
        <v>412</v>
      </c>
      <c r="D535" s="15">
        <v>413</v>
      </c>
      <c r="E535" s="15">
        <v>409.05</v>
      </c>
      <c r="F535" s="15">
        <v>411.55</v>
      </c>
      <c r="G535" s="15">
        <v>411.75</v>
      </c>
      <c r="H535" s="15">
        <v>412.25</v>
      </c>
      <c r="I535" s="15">
        <v>411.37</v>
      </c>
      <c r="J535" s="15">
        <v>413.55</v>
      </c>
      <c r="K535" s="15">
        <v>249.15</v>
      </c>
      <c r="L535" s="15">
        <v>7620723</v>
      </c>
      <c r="M535" t="s" s="13">
        <v>9324</v>
      </c>
      <c r="N535" s="15">
        <v>138179</v>
      </c>
      <c r="O535" s="17" cm="1">
        <f t="array" ref="O535">(H535-H534)/H534</f>
        <v>0.00170088689102175</v>
      </c>
    </row>
    <row r="536" ht="13.65" customHeight="1">
      <c r="A536" s="18">
        <v>45043</v>
      </c>
      <c r="B536" t="s" s="13">
        <v>22</v>
      </c>
      <c r="C536" s="15">
        <v>412.2</v>
      </c>
      <c r="D536" s="15">
        <v>417.4</v>
      </c>
      <c r="E536" s="15">
        <v>411</v>
      </c>
      <c r="F536" s="15">
        <v>412.25</v>
      </c>
      <c r="G536" s="15">
        <v>416</v>
      </c>
      <c r="H536" s="15">
        <v>416</v>
      </c>
      <c r="I536" s="15">
        <v>415.6</v>
      </c>
      <c r="J536" s="15">
        <v>417.4</v>
      </c>
      <c r="K536" s="15">
        <v>249.15</v>
      </c>
      <c r="L536" s="15">
        <v>12614263</v>
      </c>
      <c r="M536" t="s" s="13">
        <v>9325</v>
      </c>
      <c r="N536" s="15">
        <v>127117</v>
      </c>
      <c r="O536" s="17" cm="1">
        <f t="array" ref="O536">(H536-H535)/H535</f>
        <v>0.00909642207398423</v>
      </c>
    </row>
    <row r="537" ht="13.65" customHeight="1">
      <c r="A537" s="18">
        <v>45044</v>
      </c>
      <c r="B537" t="s" s="13">
        <v>22</v>
      </c>
      <c r="C537" s="15">
        <v>418</v>
      </c>
      <c r="D537" s="15">
        <v>428.25</v>
      </c>
      <c r="E537" s="15">
        <v>413.7</v>
      </c>
      <c r="F537" s="15">
        <v>416</v>
      </c>
      <c r="G537" s="15">
        <v>426.2</v>
      </c>
      <c r="H537" s="15">
        <v>425.55</v>
      </c>
      <c r="I537" s="15">
        <v>421.32</v>
      </c>
      <c r="J537" s="15">
        <v>428.25</v>
      </c>
      <c r="K537" s="15">
        <v>249.15</v>
      </c>
      <c r="L537" s="15">
        <v>12718721</v>
      </c>
      <c r="M537" t="s" s="13">
        <v>9326</v>
      </c>
      <c r="N537" s="15">
        <v>125288</v>
      </c>
      <c r="O537" s="17" cm="1">
        <f t="array" ref="O537">(H537-H536)/H536</f>
        <v>0.0229567307692308</v>
      </c>
    </row>
    <row r="538" ht="13.65" customHeight="1">
      <c r="A538" s="19">
        <v>45048</v>
      </c>
      <c r="B538" t="s" s="13">
        <v>22</v>
      </c>
      <c r="C538" s="15">
        <v>426</v>
      </c>
      <c r="D538" s="15">
        <v>427</v>
      </c>
      <c r="E538" s="15">
        <v>421.2</v>
      </c>
      <c r="F538" s="15">
        <v>425.55</v>
      </c>
      <c r="G538" s="15">
        <v>424.8</v>
      </c>
      <c r="H538" s="15">
        <v>424.45</v>
      </c>
      <c r="I538" s="15">
        <v>424.29</v>
      </c>
      <c r="J538" s="15">
        <v>428.25</v>
      </c>
      <c r="K538" s="15">
        <v>249.15</v>
      </c>
      <c r="L538" s="15">
        <v>10253527</v>
      </c>
      <c r="M538" t="s" s="13">
        <v>9327</v>
      </c>
      <c r="N538" s="15">
        <v>235796</v>
      </c>
      <c r="O538" s="17" cm="1">
        <f t="array" ref="O538">(H538-H537)/H537</f>
        <v>-0.00258489014216896</v>
      </c>
    </row>
    <row r="539" ht="13.65" customHeight="1">
      <c r="A539" s="19">
        <v>45049</v>
      </c>
      <c r="B539" t="s" s="13">
        <v>22</v>
      </c>
      <c r="C539" s="15">
        <v>424</v>
      </c>
      <c r="D539" s="15">
        <v>428.5</v>
      </c>
      <c r="E539" s="15">
        <v>422.05</v>
      </c>
      <c r="F539" s="15">
        <v>424.45</v>
      </c>
      <c r="G539" s="15">
        <v>426.95</v>
      </c>
      <c r="H539" s="15">
        <v>427.15</v>
      </c>
      <c r="I539" s="15">
        <v>426.65</v>
      </c>
      <c r="J539" s="15">
        <v>428.5</v>
      </c>
      <c r="K539" s="15">
        <v>249.15</v>
      </c>
      <c r="L539" s="15">
        <v>7325483</v>
      </c>
      <c r="M539" t="s" s="13">
        <v>9328</v>
      </c>
      <c r="N539" s="15">
        <v>136925</v>
      </c>
      <c r="O539" s="17" cm="1">
        <f t="array" ref="O539">(H539-H538)/H538</f>
        <v>0.00636117328307221</v>
      </c>
    </row>
    <row r="540" ht="13.65" customHeight="1">
      <c r="A540" s="19">
        <v>45050</v>
      </c>
      <c r="B540" t="s" s="13">
        <v>22</v>
      </c>
      <c r="C540" s="15">
        <v>425.3</v>
      </c>
      <c r="D540" s="15">
        <v>427</v>
      </c>
      <c r="E540" s="15">
        <v>424</v>
      </c>
      <c r="F540" s="15">
        <v>427.15</v>
      </c>
      <c r="G540" s="15">
        <v>424.15</v>
      </c>
      <c r="H540" s="15">
        <v>424.6</v>
      </c>
      <c r="I540" s="15">
        <v>424.93</v>
      </c>
      <c r="J540" s="15">
        <v>428.5</v>
      </c>
      <c r="K540" s="15">
        <v>249.15</v>
      </c>
      <c r="L540" s="15">
        <v>7984933</v>
      </c>
      <c r="M540" t="s" s="13">
        <v>9329</v>
      </c>
      <c r="N540" s="15">
        <v>141346</v>
      </c>
      <c r="O540" s="17" cm="1">
        <f t="array" ref="O540">(H540-H539)/H539</f>
        <v>-0.00596979983612314</v>
      </c>
    </row>
    <row r="541" ht="13.65" customHeight="1">
      <c r="A541" s="19">
        <v>45051</v>
      </c>
      <c r="B541" t="s" s="13">
        <v>22</v>
      </c>
      <c r="C541" s="15">
        <v>425.95</v>
      </c>
      <c r="D541" s="15">
        <v>431.9</v>
      </c>
      <c r="E541" s="15">
        <v>424.35</v>
      </c>
      <c r="F541" s="15">
        <v>424.6</v>
      </c>
      <c r="G541" s="15">
        <v>429.3</v>
      </c>
      <c r="H541" s="15">
        <v>428.75</v>
      </c>
      <c r="I541" s="15">
        <v>427.76</v>
      </c>
      <c r="J541" s="15">
        <v>431.9</v>
      </c>
      <c r="K541" s="15">
        <v>249.15</v>
      </c>
      <c r="L541" s="15">
        <v>12412416</v>
      </c>
      <c r="M541" t="s" s="13">
        <v>9330</v>
      </c>
      <c r="N541" s="15">
        <v>136979</v>
      </c>
      <c r="O541" s="17" cm="1">
        <f t="array" ref="O541">(H541-H540)/H540</f>
        <v>0.00977390485162506</v>
      </c>
    </row>
    <row r="542" ht="13.65" customHeight="1">
      <c r="A542" s="19">
        <v>45054</v>
      </c>
      <c r="B542" t="s" s="13">
        <v>22</v>
      </c>
      <c r="C542" s="15">
        <v>431</v>
      </c>
      <c r="D542" s="15">
        <v>433.45</v>
      </c>
      <c r="E542" s="15">
        <v>429.35</v>
      </c>
      <c r="F542" s="15">
        <v>428.75</v>
      </c>
      <c r="G542" s="15">
        <v>432.1</v>
      </c>
      <c r="H542" s="15">
        <v>431.45</v>
      </c>
      <c r="I542" s="15">
        <v>431.27</v>
      </c>
      <c r="J542" s="15">
        <v>433.45</v>
      </c>
      <c r="K542" s="15">
        <v>249.15</v>
      </c>
      <c r="L542" s="15">
        <v>7243636</v>
      </c>
      <c r="M542" t="s" s="13">
        <v>9331</v>
      </c>
      <c r="N542" s="15">
        <v>110800</v>
      </c>
      <c r="O542" s="17" cm="1">
        <f t="array" ref="O542">(H542-H541)/H541</f>
        <v>0.00629737609329446</v>
      </c>
    </row>
    <row r="543" ht="13.65" customHeight="1">
      <c r="A543" s="19">
        <v>45055</v>
      </c>
      <c r="B543" t="s" s="13">
        <v>22</v>
      </c>
      <c r="C543" s="15">
        <v>432.8</v>
      </c>
      <c r="D543" s="15">
        <v>433.15</v>
      </c>
      <c r="E543" s="15">
        <v>421.5</v>
      </c>
      <c r="F543" s="15">
        <v>431.45</v>
      </c>
      <c r="G543" s="15">
        <v>424.1</v>
      </c>
      <c r="H543" s="15">
        <v>423.8</v>
      </c>
      <c r="I543" s="15">
        <v>426.09</v>
      </c>
      <c r="J543" s="15">
        <v>433.45</v>
      </c>
      <c r="K543" s="15">
        <v>249.15</v>
      </c>
      <c r="L543" s="15">
        <v>9992962</v>
      </c>
      <c r="M543" t="s" s="13">
        <v>9332</v>
      </c>
      <c r="N543" s="15">
        <v>192266</v>
      </c>
      <c r="O543" s="17" cm="1">
        <f t="array" ref="O543">(H543-H542)/H542</f>
        <v>-0.0177309074052613</v>
      </c>
    </row>
    <row r="544" ht="13.65" customHeight="1">
      <c r="A544" s="20">
        <v>45056</v>
      </c>
      <c r="B544" t="s" s="13">
        <v>22</v>
      </c>
      <c r="C544" s="15">
        <v>423.95</v>
      </c>
      <c r="D544" s="15">
        <v>426.35</v>
      </c>
      <c r="E544" s="15">
        <v>422.2</v>
      </c>
      <c r="F544" s="15">
        <v>423.8</v>
      </c>
      <c r="G544" s="15">
        <v>424.6</v>
      </c>
      <c r="H544" s="15">
        <v>425.35</v>
      </c>
      <c r="I544" s="15">
        <v>424.44</v>
      </c>
      <c r="J544" s="15">
        <v>433.45</v>
      </c>
      <c r="K544" s="15">
        <v>249.15</v>
      </c>
      <c r="L544" s="15">
        <v>9754485</v>
      </c>
      <c r="M544" t="s" s="13">
        <v>9333</v>
      </c>
      <c r="N544" s="15">
        <v>115461</v>
      </c>
      <c r="O544" s="17" cm="1">
        <f t="array" ref="O544">(H544-H543)/H543</f>
        <v>0.00365738555922605</v>
      </c>
    </row>
    <row r="545" ht="13.65" customHeight="1">
      <c r="A545" s="20">
        <v>45057</v>
      </c>
      <c r="B545" t="s" s="13">
        <v>22</v>
      </c>
      <c r="C545" s="15">
        <v>427.25</v>
      </c>
      <c r="D545" s="15">
        <v>427.4</v>
      </c>
      <c r="E545" s="15">
        <v>418.9</v>
      </c>
      <c r="F545" s="15">
        <v>425.35</v>
      </c>
      <c r="G545" s="15">
        <v>421.25</v>
      </c>
      <c r="H545" s="15">
        <v>420.4</v>
      </c>
      <c r="I545" s="15">
        <v>422.51</v>
      </c>
      <c r="J545" s="15">
        <v>433.45</v>
      </c>
      <c r="K545" s="15">
        <v>249.15</v>
      </c>
      <c r="L545" s="15">
        <v>15982423</v>
      </c>
      <c r="M545" t="s" s="13">
        <v>9334</v>
      </c>
      <c r="N545" s="15">
        <v>146138</v>
      </c>
      <c r="O545" s="17" cm="1">
        <f t="array" ref="O545">(H545-H544)/H544</f>
        <v>-0.0116374750205713</v>
      </c>
    </row>
    <row r="546" ht="13.65" customHeight="1">
      <c r="A546" s="20">
        <v>45058</v>
      </c>
      <c r="B546" t="s" s="13">
        <v>22</v>
      </c>
      <c r="C546" s="15">
        <v>420.4</v>
      </c>
      <c r="D546" s="15">
        <v>422.7</v>
      </c>
      <c r="E546" s="15">
        <v>416.05</v>
      </c>
      <c r="F546" s="15">
        <v>420.4</v>
      </c>
      <c r="G546" s="15">
        <v>420.15</v>
      </c>
      <c r="H546" s="15">
        <v>420.45</v>
      </c>
      <c r="I546" s="15">
        <v>419.6</v>
      </c>
      <c r="J546" s="15">
        <v>433.45</v>
      </c>
      <c r="K546" s="15">
        <v>249.15</v>
      </c>
      <c r="L546" s="15">
        <v>11135894</v>
      </c>
      <c r="M546" t="s" s="13">
        <v>9335</v>
      </c>
      <c r="N546" s="15">
        <v>127862</v>
      </c>
      <c r="O546" s="17" cm="1">
        <f t="array" ref="O546">(H546-H545)/H545</f>
        <v>0.000118934348239772</v>
      </c>
    </row>
    <row r="547" ht="13.65" customHeight="1">
      <c r="A547" s="20">
        <v>45061</v>
      </c>
      <c r="B547" t="s" s="13">
        <v>22</v>
      </c>
      <c r="C547" s="15">
        <v>420</v>
      </c>
      <c r="D547" s="15">
        <v>428.7</v>
      </c>
      <c r="E547" s="15">
        <v>419.05</v>
      </c>
      <c r="F547" s="15">
        <v>420.45</v>
      </c>
      <c r="G547" s="15">
        <v>428.4</v>
      </c>
      <c r="H547" s="15">
        <v>427.8</v>
      </c>
      <c r="I547" s="15">
        <v>425.33</v>
      </c>
      <c r="J547" s="15">
        <v>433.45</v>
      </c>
      <c r="K547" s="15">
        <v>253</v>
      </c>
      <c r="L547" s="15">
        <v>9151102</v>
      </c>
      <c r="M547" t="s" s="13">
        <v>9336</v>
      </c>
      <c r="N547" s="15">
        <v>142351</v>
      </c>
      <c r="O547" s="17" cm="1">
        <f t="array" ref="O547">(H547-H546)/H546</f>
        <v>0.0174812700677845</v>
      </c>
    </row>
    <row r="548" ht="13.65" customHeight="1">
      <c r="A548" s="20">
        <v>45062</v>
      </c>
      <c r="B548" t="s" s="13">
        <v>22</v>
      </c>
      <c r="C548" s="15">
        <v>430</v>
      </c>
      <c r="D548" s="15">
        <v>430</v>
      </c>
      <c r="E548" s="15">
        <v>423.5</v>
      </c>
      <c r="F548" s="15">
        <v>427.8</v>
      </c>
      <c r="G548" s="15">
        <v>424.45</v>
      </c>
      <c r="H548" s="15">
        <v>423.95</v>
      </c>
      <c r="I548" s="15">
        <v>425.66</v>
      </c>
      <c r="J548" s="15">
        <v>433.45</v>
      </c>
      <c r="K548" s="15">
        <v>253</v>
      </c>
      <c r="L548" s="15">
        <v>7994197</v>
      </c>
      <c r="M548" t="s" s="13">
        <v>9337</v>
      </c>
      <c r="N548" s="15">
        <v>167923</v>
      </c>
      <c r="O548" s="17" cm="1">
        <f t="array" ref="O548">(H548-H547)/H547</f>
        <v>-0.008999532491818609</v>
      </c>
    </row>
    <row r="549" ht="13.65" customHeight="1">
      <c r="A549" s="20">
        <v>45063</v>
      </c>
      <c r="B549" t="s" s="13">
        <v>22</v>
      </c>
      <c r="C549" s="15">
        <v>424.15</v>
      </c>
      <c r="D549" s="15">
        <v>428.95</v>
      </c>
      <c r="E549" s="15">
        <v>422.6</v>
      </c>
      <c r="F549" s="15">
        <v>423.95</v>
      </c>
      <c r="G549" s="15">
        <v>428.05</v>
      </c>
      <c r="H549" s="15">
        <v>427.6</v>
      </c>
      <c r="I549" s="15">
        <v>425.56</v>
      </c>
      <c r="J549" s="15">
        <v>433.45</v>
      </c>
      <c r="K549" s="15">
        <v>253</v>
      </c>
      <c r="L549" s="15">
        <v>9479691</v>
      </c>
      <c r="M549" t="s" s="13">
        <v>9338</v>
      </c>
      <c r="N549" s="15">
        <v>115983</v>
      </c>
      <c r="O549" s="17" cm="1">
        <f t="array" ref="O549">(H549-H548)/H548</f>
        <v>0.008609505837952589</v>
      </c>
    </row>
    <row r="550" ht="13.65" customHeight="1">
      <c r="A550" s="20">
        <v>45064</v>
      </c>
      <c r="B550" t="s" s="13">
        <v>22</v>
      </c>
      <c r="C550" s="15">
        <v>430</v>
      </c>
      <c r="D550" s="15">
        <v>432.45</v>
      </c>
      <c r="E550" s="15">
        <v>418.1</v>
      </c>
      <c r="F550" s="15">
        <v>427.6</v>
      </c>
      <c r="G550" s="15">
        <v>418.85</v>
      </c>
      <c r="H550" s="15">
        <v>419.7</v>
      </c>
      <c r="I550" s="15">
        <v>423.56</v>
      </c>
      <c r="J550" s="15">
        <v>433.45</v>
      </c>
      <c r="K550" s="15">
        <v>253</v>
      </c>
      <c r="L550" s="15">
        <v>23995166</v>
      </c>
      <c r="M550" t="s" s="13">
        <v>9339</v>
      </c>
      <c r="N550" s="15">
        <v>192911</v>
      </c>
      <c r="O550" s="17" cm="1">
        <f t="array" ref="O550">(H550-H549)/H549</f>
        <v>-0.0184752104770814</v>
      </c>
    </row>
    <row r="551" ht="13.65" customHeight="1">
      <c r="A551" s="20">
        <v>45065</v>
      </c>
      <c r="B551" t="s" s="13">
        <v>22</v>
      </c>
      <c r="C551" s="15">
        <v>420.95</v>
      </c>
      <c r="D551" s="15">
        <v>423.1</v>
      </c>
      <c r="E551" s="15">
        <v>411.35</v>
      </c>
      <c r="F551" s="15">
        <v>419.7</v>
      </c>
      <c r="G551" s="15">
        <v>420.1</v>
      </c>
      <c r="H551" s="15">
        <v>419.85</v>
      </c>
      <c r="I551" s="15">
        <v>417.72</v>
      </c>
      <c r="J551" s="15">
        <v>433.45</v>
      </c>
      <c r="K551" s="15">
        <v>253</v>
      </c>
      <c r="L551" s="15">
        <v>25767521</v>
      </c>
      <c r="M551" t="s" s="13">
        <v>9340</v>
      </c>
      <c r="N551" s="15">
        <v>252667</v>
      </c>
      <c r="O551" s="17" cm="1">
        <f t="array" ref="O551">(H551-H550)/H550</f>
        <v>0.000357398141529664</v>
      </c>
    </row>
    <row r="552" ht="13.65" customHeight="1">
      <c r="A552" s="20">
        <v>45068</v>
      </c>
      <c r="B552" t="s" s="13">
        <v>22</v>
      </c>
      <c r="C552" s="15">
        <v>421.95</v>
      </c>
      <c r="D552" s="15">
        <v>425.75</v>
      </c>
      <c r="E552" s="15">
        <v>419.1</v>
      </c>
      <c r="F552" s="15">
        <v>419.85</v>
      </c>
      <c r="G552" s="15">
        <v>425.1</v>
      </c>
      <c r="H552" s="15">
        <v>424.75</v>
      </c>
      <c r="I552" s="15">
        <v>423.44</v>
      </c>
      <c r="J552" s="15">
        <v>433.45</v>
      </c>
      <c r="K552" s="15">
        <v>258.55</v>
      </c>
      <c r="L552" s="15">
        <v>15421680</v>
      </c>
      <c r="M552" t="s" s="13">
        <v>9341</v>
      </c>
      <c r="N552" s="15">
        <v>114656</v>
      </c>
      <c r="O552" s="17" cm="1">
        <f t="array" ref="O552">(H552-H551)/H551</f>
        <v>0.0116708348219602</v>
      </c>
    </row>
    <row r="553" ht="13.65" customHeight="1">
      <c r="A553" s="20">
        <v>45069</v>
      </c>
      <c r="B553" t="s" s="13">
        <v>22</v>
      </c>
      <c r="C553" s="15">
        <v>426</v>
      </c>
      <c r="D553" s="15">
        <v>431.2</v>
      </c>
      <c r="E553" s="15">
        <v>424.2</v>
      </c>
      <c r="F553" s="15">
        <v>424.75</v>
      </c>
      <c r="G553" s="15">
        <v>429.4</v>
      </c>
      <c r="H553" s="15">
        <v>429.15</v>
      </c>
      <c r="I553" s="15">
        <v>428.95</v>
      </c>
      <c r="J553" s="15">
        <v>433.45</v>
      </c>
      <c r="K553" s="15">
        <v>258.55</v>
      </c>
      <c r="L553" s="15">
        <v>8732608</v>
      </c>
      <c r="M553" t="s" s="13">
        <v>9342</v>
      </c>
      <c r="N553" s="15">
        <v>95039</v>
      </c>
      <c r="O553" s="17" cm="1">
        <f t="array" ref="O553">(H553-H552)/H552</f>
        <v>0.0103590347263096</v>
      </c>
    </row>
    <row r="554" ht="13.65" customHeight="1">
      <c r="A554" s="20">
        <v>45070</v>
      </c>
      <c r="B554" t="s" s="13">
        <v>22</v>
      </c>
      <c r="C554" s="15">
        <v>428.3</v>
      </c>
      <c r="D554" s="15">
        <v>434.75</v>
      </c>
      <c r="E554" s="15">
        <v>427</v>
      </c>
      <c r="F554" s="15">
        <v>429.15</v>
      </c>
      <c r="G554" s="15">
        <v>434</v>
      </c>
      <c r="H554" s="15">
        <v>433.5</v>
      </c>
      <c r="I554" s="15">
        <v>431.98</v>
      </c>
      <c r="J554" s="15">
        <v>434.75</v>
      </c>
      <c r="K554" s="15">
        <v>258.55</v>
      </c>
      <c r="L554" s="15">
        <v>11479706</v>
      </c>
      <c r="M554" t="s" s="13">
        <v>9343</v>
      </c>
      <c r="N554" s="15">
        <v>109453</v>
      </c>
      <c r="O554" s="17" cm="1">
        <f t="array" ref="O554">(H554-H553)/H553</f>
        <v>0.0101363159734359</v>
      </c>
    </row>
    <row r="555" ht="13.65" customHeight="1">
      <c r="A555" s="20">
        <v>45071</v>
      </c>
      <c r="B555" t="s" s="13">
        <v>22</v>
      </c>
      <c r="C555" s="15">
        <v>436.95</v>
      </c>
      <c r="D555" s="15">
        <v>442.45</v>
      </c>
      <c r="E555" s="15">
        <v>434.8</v>
      </c>
      <c r="F555" s="15">
        <v>433.5</v>
      </c>
      <c r="G555" s="15">
        <v>441.75</v>
      </c>
      <c r="H555" s="15">
        <v>441.15</v>
      </c>
      <c r="I555" s="15">
        <v>439.95</v>
      </c>
      <c r="J555" s="15">
        <v>442.45</v>
      </c>
      <c r="K555" s="15">
        <v>258.55</v>
      </c>
      <c r="L555" s="15">
        <v>18204464</v>
      </c>
      <c r="M555" t="s" s="13">
        <v>9344</v>
      </c>
      <c r="N555" s="15">
        <v>149170</v>
      </c>
      <c r="O555" s="17" cm="1">
        <f t="array" ref="O555">(H555-H554)/H554</f>
        <v>0.0176470588235294</v>
      </c>
    </row>
    <row r="556" ht="13.65" customHeight="1">
      <c r="A556" s="20">
        <v>45072</v>
      </c>
      <c r="B556" t="s" s="13">
        <v>22</v>
      </c>
      <c r="C556" s="15">
        <v>443.4</v>
      </c>
      <c r="D556" s="15">
        <v>444.75</v>
      </c>
      <c r="E556" s="15">
        <v>439.5</v>
      </c>
      <c r="F556" s="15">
        <v>441.15</v>
      </c>
      <c r="G556" s="15">
        <v>443.95</v>
      </c>
      <c r="H556" s="15">
        <v>443.6</v>
      </c>
      <c r="I556" s="15">
        <v>443.04</v>
      </c>
      <c r="J556" s="15">
        <v>444.75</v>
      </c>
      <c r="K556" s="15">
        <v>258.55</v>
      </c>
      <c r="L556" s="15">
        <v>12995706</v>
      </c>
      <c r="M556" t="s" s="13">
        <v>9345</v>
      </c>
      <c r="N556" s="15">
        <v>100502</v>
      </c>
      <c r="O556" s="17" cm="1">
        <f t="array" ref="O556">(H556-H555)/H555</f>
        <v>0.00555366655332653</v>
      </c>
    </row>
    <row r="557" ht="13.65" customHeight="1">
      <c r="A557" s="20">
        <v>45075</v>
      </c>
      <c r="B557" t="s" s="13">
        <v>22</v>
      </c>
      <c r="C557" s="15">
        <v>445</v>
      </c>
      <c r="D557" s="15">
        <v>451.8</v>
      </c>
      <c r="E557" s="15">
        <v>444.1</v>
      </c>
      <c r="F557" s="15">
        <v>443.6</v>
      </c>
      <c r="G557" s="15">
        <v>448.95</v>
      </c>
      <c r="H557" s="15">
        <v>449.1</v>
      </c>
      <c r="I557" s="15">
        <v>449.07</v>
      </c>
      <c r="J557" s="15">
        <v>451.8</v>
      </c>
      <c r="K557" s="15">
        <v>258.55</v>
      </c>
      <c r="L557" s="15">
        <v>19826254</v>
      </c>
      <c r="M557" t="s" s="13">
        <v>9346</v>
      </c>
      <c r="N557" s="15">
        <v>138647</v>
      </c>
      <c r="O557" s="17" cm="1">
        <f t="array" ref="O557">(H557-H556)/H556</f>
        <v>0.0123985572587917</v>
      </c>
    </row>
    <row r="558" ht="13.65" customHeight="1">
      <c r="A558" s="20">
        <v>45076</v>
      </c>
      <c r="B558" t="s" s="13">
        <v>22</v>
      </c>
      <c r="C558" s="15">
        <v>441</v>
      </c>
      <c r="D558" s="15">
        <v>451.45</v>
      </c>
      <c r="E558" s="15">
        <v>441</v>
      </c>
      <c r="F558" s="15">
        <v>449.1</v>
      </c>
      <c r="G558" s="15">
        <v>449.95</v>
      </c>
      <c r="H558" s="15">
        <v>449.9</v>
      </c>
      <c r="I558" s="15">
        <v>447.84</v>
      </c>
      <c r="J558" s="15">
        <v>451.8</v>
      </c>
      <c r="K558" s="15">
        <v>258.55</v>
      </c>
      <c r="L558" s="15">
        <v>18900002</v>
      </c>
      <c r="M558" t="s" s="13">
        <v>9347</v>
      </c>
      <c r="N558" s="15">
        <v>156176</v>
      </c>
      <c r="O558" s="17" cm="1">
        <f t="array" ref="O558">(H558-H557)/H557</f>
        <v>0.00178134045869517</v>
      </c>
    </row>
    <row r="559" ht="13.65" customHeight="1">
      <c r="A559" s="20">
        <v>45077</v>
      </c>
      <c r="B559" t="s" s="13">
        <v>22</v>
      </c>
      <c r="C559" s="15">
        <v>449.3</v>
      </c>
      <c r="D559" s="15">
        <v>452</v>
      </c>
      <c r="E559" s="15">
        <v>442.45</v>
      </c>
      <c r="F559" s="15">
        <v>449.9</v>
      </c>
      <c r="G559" s="15">
        <v>446</v>
      </c>
      <c r="H559" s="15">
        <v>445.5</v>
      </c>
      <c r="I559" s="15">
        <v>446.12</v>
      </c>
      <c r="J559" s="15">
        <v>452</v>
      </c>
      <c r="K559" s="15">
        <v>258.55</v>
      </c>
      <c r="L559" s="15">
        <v>14272292</v>
      </c>
      <c r="M559" t="s" s="13">
        <v>9348</v>
      </c>
      <c r="N559" s="15">
        <v>174471</v>
      </c>
      <c r="O559" s="17" cm="1">
        <f t="array" ref="O559">(H559-H558)/H558</f>
        <v>-0.0097799511002445</v>
      </c>
    </row>
    <row r="560" ht="13.65" customHeight="1">
      <c r="A560" s="12">
        <v>45078</v>
      </c>
      <c r="B560" t="s" s="13">
        <v>22</v>
      </c>
      <c r="C560" s="15">
        <v>447</v>
      </c>
      <c r="D560" s="15">
        <v>447</v>
      </c>
      <c r="E560" s="15">
        <v>439</v>
      </c>
      <c r="F560" s="15">
        <v>445.5</v>
      </c>
      <c r="G560" s="15">
        <v>440.1</v>
      </c>
      <c r="H560" s="15">
        <v>439.7</v>
      </c>
      <c r="I560" s="15">
        <v>441.7</v>
      </c>
      <c r="J560" s="15">
        <v>452</v>
      </c>
      <c r="K560" s="15">
        <v>258.55</v>
      </c>
      <c r="L560" s="15">
        <v>8803137</v>
      </c>
      <c r="M560" t="s" s="13">
        <v>9349</v>
      </c>
      <c r="N560" s="15">
        <v>134912</v>
      </c>
      <c r="O560" s="17" cm="1">
        <f t="array" ref="O560">(H560-H559)/H559</f>
        <v>-0.0130190796857464</v>
      </c>
    </row>
    <row r="561" ht="13.65" customHeight="1">
      <c r="A561" s="12">
        <v>45079</v>
      </c>
      <c r="B561" t="s" s="13">
        <v>22</v>
      </c>
      <c r="C561" s="15">
        <v>440</v>
      </c>
      <c r="D561" s="15">
        <v>444.9</v>
      </c>
      <c r="E561" s="15">
        <v>439.8</v>
      </c>
      <c r="F561" s="15">
        <v>439.7</v>
      </c>
      <c r="G561" s="15">
        <v>442.95</v>
      </c>
      <c r="H561" s="15">
        <v>443.4</v>
      </c>
      <c r="I561" s="15">
        <v>442.63</v>
      </c>
      <c r="J561" s="15">
        <v>452</v>
      </c>
      <c r="K561" s="15">
        <v>258.55</v>
      </c>
      <c r="L561" s="15">
        <v>9203842</v>
      </c>
      <c r="M561" t="s" s="13">
        <v>9350</v>
      </c>
      <c r="N561" s="15">
        <v>122633</v>
      </c>
      <c r="O561" s="17" cm="1">
        <f t="array" ref="O561">(H561-H560)/H560</f>
        <v>0.008414828292017279</v>
      </c>
    </row>
    <row r="562" ht="13.65" customHeight="1">
      <c r="A562" s="12">
        <v>45082</v>
      </c>
      <c r="B562" t="s" s="13">
        <v>22</v>
      </c>
      <c r="C562" s="15">
        <v>445</v>
      </c>
      <c r="D562" s="15">
        <v>446.85</v>
      </c>
      <c r="E562" s="15">
        <v>440.1</v>
      </c>
      <c r="F562" s="15">
        <v>443.4</v>
      </c>
      <c r="G562" s="15">
        <v>441.3</v>
      </c>
      <c r="H562" s="15">
        <v>440.65</v>
      </c>
      <c r="I562" s="15">
        <v>442.6</v>
      </c>
      <c r="J562" s="15">
        <v>452</v>
      </c>
      <c r="K562" s="15">
        <v>258.55</v>
      </c>
      <c r="L562" s="15">
        <v>7152179</v>
      </c>
      <c r="M562" t="s" s="13">
        <v>9351</v>
      </c>
      <c r="N562" s="15">
        <v>114066</v>
      </c>
      <c r="O562" s="17" cm="1">
        <f t="array" ref="O562">(H562-H561)/H561</f>
        <v>-0.0062020748759585</v>
      </c>
    </row>
    <row r="563" ht="13.65" customHeight="1">
      <c r="A563" s="12">
        <v>45083</v>
      </c>
      <c r="B563" t="s" s="13">
        <v>22</v>
      </c>
      <c r="C563" s="15">
        <v>440.8</v>
      </c>
      <c r="D563" s="15">
        <v>443.6</v>
      </c>
      <c r="E563" s="15">
        <v>440.4</v>
      </c>
      <c r="F563" s="15">
        <v>440.65</v>
      </c>
      <c r="G563" s="15">
        <v>443.45</v>
      </c>
      <c r="H563" s="15">
        <v>442.8</v>
      </c>
      <c r="I563" s="15">
        <v>441.92</v>
      </c>
      <c r="J563" s="15">
        <v>452</v>
      </c>
      <c r="K563" s="15">
        <v>258.55</v>
      </c>
      <c r="L563" s="15">
        <v>6454486</v>
      </c>
      <c r="M563" t="s" s="13">
        <v>9352</v>
      </c>
      <c r="N563" s="15">
        <v>99335</v>
      </c>
      <c r="O563" s="17" cm="1">
        <f t="array" ref="O563">(H563-H562)/H562</f>
        <v>0.00487915579257914</v>
      </c>
    </row>
    <row r="564" ht="13.65" customHeight="1">
      <c r="A564" s="12">
        <v>45084</v>
      </c>
      <c r="B564" t="s" s="13">
        <v>22</v>
      </c>
      <c r="C564" s="15">
        <v>444</v>
      </c>
      <c r="D564" s="15">
        <v>445.65</v>
      </c>
      <c r="E564" s="15">
        <v>442.75</v>
      </c>
      <c r="F564" s="15">
        <v>442.8</v>
      </c>
      <c r="G564" s="15">
        <v>444.1</v>
      </c>
      <c r="H564" s="15">
        <v>443.95</v>
      </c>
      <c r="I564" s="15">
        <v>444.02</v>
      </c>
      <c r="J564" s="15">
        <v>452</v>
      </c>
      <c r="K564" s="15">
        <v>258.55</v>
      </c>
      <c r="L564" s="15">
        <v>7543432</v>
      </c>
      <c r="M564" t="s" s="13">
        <v>9353</v>
      </c>
      <c r="N564" s="15">
        <v>106303</v>
      </c>
      <c r="O564" s="17" cm="1">
        <f t="array" ref="O564">(H564-H563)/H563</f>
        <v>0.00259710930442638</v>
      </c>
    </row>
    <row r="565" ht="13.65" customHeight="1">
      <c r="A565" s="12">
        <v>45085</v>
      </c>
      <c r="B565" t="s" s="13">
        <v>22</v>
      </c>
      <c r="C565" s="15">
        <v>445.7</v>
      </c>
      <c r="D565" s="15">
        <v>445.75</v>
      </c>
      <c r="E565" s="15">
        <v>441.9</v>
      </c>
      <c r="F565" s="15">
        <v>443.95</v>
      </c>
      <c r="G565" s="15">
        <v>443.1</v>
      </c>
      <c r="H565" s="15">
        <v>442.9</v>
      </c>
      <c r="I565" s="15">
        <v>443.56</v>
      </c>
      <c r="J565" s="15">
        <v>452</v>
      </c>
      <c r="K565" s="15">
        <v>258.55</v>
      </c>
      <c r="L565" s="15">
        <v>7024424</v>
      </c>
      <c r="M565" t="s" s="13">
        <v>9354</v>
      </c>
      <c r="N565" s="15">
        <v>104805</v>
      </c>
      <c r="O565" s="17" cm="1">
        <f t="array" ref="O565">(H565-H564)/H564</f>
        <v>-0.00236513120846942</v>
      </c>
    </row>
    <row r="566" ht="13.65" customHeight="1">
      <c r="A566" s="12">
        <v>45086</v>
      </c>
      <c r="B566" t="s" s="13">
        <v>22</v>
      </c>
      <c r="C566" s="15">
        <v>435.15</v>
      </c>
      <c r="D566" s="15">
        <v>444.7</v>
      </c>
      <c r="E566" s="15">
        <v>435.15</v>
      </c>
      <c r="F566" s="15">
        <v>442.9</v>
      </c>
      <c r="G566" s="15">
        <v>438.95</v>
      </c>
      <c r="H566" s="15">
        <v>438.45</v>
      </c>
      <c r="I566" s="15">
        <v>440.39</v>
      </c>
      <c r="J566" s="15">
        <v>452</v>
      </c>
      <c r="K566" s="15">
        <v>258.55</v>
      </c>
      <c r="L566" s="15">
        <v>7057843</v>
      </c>
      <c r="M566" t="s" s="13">
        <v>9355</v>
      </c>
      <c r="N566" s="15">
        <v>132621</v>
      </c>
      <c r="O566" s="17" cm="1">
        <f t="array" ref="O566">(H566-H565)/H565</f>
        <v>-0.0100474147663129</v>
      </c>
    </row>
    <row r="567" ht="13.65" customHeight="1">
      <c r="A567" s="18">
        <v>45089</v>
      </c>
      <c r="B567" t="s" s="13">
        <v>22</v>
      </c>
      <c r="C567" s="15">
        <v>440</v>
      </c>
      <c r="D567" s="15">
        <v>440.95</v>
      </c>
      <c r="E567" s="15">
        <v>433.85</v>
      </c>
      <c r="F567" s="15">
        <v>438.45</v>
      </c>
      <c r="G567" s="15">
        <v>437.5</v>
      </c>
      <c r="H567" s="15">
        <v>436.95</v>
      </c>
      <c r="I567" s="15">
        <v>436.47</v>
      </c>
      <c r="J567" s="15">
        <v>452</v>
      </c>
      <c r="K567" s="15">
        <v>258.55</v>
      </c>
      <c r="L567" s="15">
        <v>8719176</v>
      </c>
      <c r="M567" t="s" s="13">
        <v>9356</v>
      </c>
      <c r="N567" s="15">
        <v>134260</v>
      </c>
      <c r="O567" s="17" cm="1">
        <f t="array" ref="O567">(H567-H566)/H566</f>
        <v>-0.00342114266164899</v>
      </c>
    </row>
    <row r="568" ht="13.65" customHeight="1">
      <c r="A568" s="18">
        <v>45090</v>
      </c>
      <c r="B568" t="s" s="13">
        <v>22</v>
      </c>
      <c r="C568" s="15">
        <v>441</v>
      </c>
      <c r="D568" s="15">
        <v>446.4</v>
      </c>
      <c r="E568" s="15">
        <v>438.3</v>
      </c>
      <c r="F568" s="15">
        <v>436.95</v>
      </c>
      <c r="G568" s="15">
        <v>445.9</v>
      </c>
      <c r="H568" s="15">
        <v>445.4</v>
      </c>
      <c r="I568" s="15">
        <v>444.37</v>
      </c>
      <c r="J568" s="15">
        <v>452</v>
      </c>
      <c r="K568" s="15">
        <v>258.55</v>
      </c>
      <c r="L568" s="15">
        <v>16111860</v>
      </c>
      <c r="M568" t="s" s="13">
        <v>9357</v>
      </c>
      <c r="N568" s="15">
        <v>154723</v>
      </c>
      <c r="O568" s="17" cm="1">
        <f t="array" ref="O568">(H568-H567)/H567</f>
        <v>0.019338597093489</v>
      </c>
    </row>
    <row r="569" ht="13.65" customHeight="1">
      <c r="A569" s="18">
        <v>45091</v>
      </c>
      <c r="B569" t="s" s="13">
        <v>22</v>
      </c>
      <c r="C569" s="15">
        <v>446.25</v>
      </c>
      <c r="D569" s="15">
        <v>447.75</v>
      </c>
      <c r="E569" s="15">
        <v>443.75</v>
      </c>
      <c r="F569" s="15">
        <v>445.4</v>
      </c>
      <c r="G569" s="15">
        <v>444.85</v>
      </c>
      <c r="H569" s="15">
        <v>444.5</v>
      </c>
      <c r="I569" s="15">
        <v>446.09</v>
      </c>
      <c r="J569" s="15">
        <v>452</v>
      </c>
      <c r="K569" s="15">
        <v>258.55</v>
      </c>
      <c r="L569" s="15">
        <v>8704178</v>
      </c>
      <c r="M569" t="s" s="13">
        <v>9358</v>
      </c>
      <c r="N569" s="15">
        <v>136087</v>
      </c>
      <c r="O569" s="17" cm="1">
        <f t="array" ref="O569">(H569-H568)/H568</f>
        <v>-0.00202065559048047</v>
      </c>
    </row>
    <row r="570" ht="13.65" customHeight="1">
      <c r="A570" s="18">
        <v>45092</v>
      </c>
      <c r="B570" t="s" s="13">
        <v>22</v>
      </c>
      <c r="C570" s="15">
        <v>445</v>
      </c>
      <c r="D570" s="15">
        <v>448.75</v>
      </c>
      <c r="E570" s="15">
        <v>444.75</v>
      </c>
      <c r="F570" s="15">
        <v>444.5</v>
      </c>
      <c r="G570" s="15">
        <v>448</v>
      </c>
      <c r="H570" s="15">
        <v>448.1</v>
      </c>
      <c r="I570" s="15">
        <v>447.49</v>
      </c>
      <c r="J570" s="15">
        <v>452</v>
      </c>
      <c r="K570" s="15">
        <v>258.55</v>
      </c>
      <c r="L570" s="15">
        <v>7498727</v>
      </c>
      <c r="M570" t="s" s="13">
        <v>9359</v>
      </c>
      <c r="N570" s="15">
        <v>121812</v>
      </c>
      <c r="O570" s="17" cm="1">
        <f t="array" ref="O570">(H570-H569)/H569</f>
        <v>0.008098987626546679</v>
      </c>
    </row>
    <row r="571" ht="13.65" customHeight="1">
      <c r="A571" s="18">
        <v>45093</v>
      </c>
      <c r="B571" t="s" s="13">
        <v>22</v>
      </c>
      <c r="C571" s="15">
        <v>449</v>
      </c>
      <c r="D571" s="15">
        <v>455.6</v>
      </c>
      <c r="E571" s="15">
        <v>447.9</v>
      </c>
      <c r="F571" s="15">
        <v>448.1</v>
      </c>
      <c r="G571" s="15">
        <v>453.5</v>
      </c>
      <c r="H571" s="15">
        <v>453.1</v>
      </c>
      <c r="I571" s="15">
        <v>452.71</v>
      </c>
      <c r="J571" s="15">
        <v>455.6</v>
      </c>
      <c r="K571" s="15">
        <v>258.55</v>
      </c>
      <c r="L571" s="15">
        <v>11729681</v>
      </c>
      <c r="M571" t="s" s="13">
        <v>9360</v>
      </c>
      <c r="N571" s="15">
        <v>129067</v>
      </c>
      <c r="O571" s="17" cm="1">
        <f t="array" ref="O571">(H571-H570)/H570</f>
        <v>0.0111582236108012</v>
      </c>
    </row>
    <row r="572" ht="13.65" customHeight="1">
      <c r="A572" s="18">
        <v>45096</v>
      </c>
      <c r="B572" t="s" s="13">
        <v>22</v>
      </c>
      <c r="C572" s="15">
        <v>454.75</v>
      </c>
      <c r="D572" s="15">
        <v>455.9</v>
      </c>
      <c r="E572" s="15">
        <v>452.25</v>
      </c>
      <c r="F572" s="15">
        <v>453.1</v>
      </c>
      <c r="G572" s="15">
        <v>453.75</v>
      </c>
      <c r="H572" s="15">
        <v>453.6</v>
      </c>
      <c r="I572" s="15">
        <v>454.31</v>
      </c>
      <c r="J572" s="15">
        <v>455.9</v>
      </c>
      <c r="K572" s="15">
        <v>261.35</v>
      </c>
      <c r="L572" s="15">
        <v>4189180</v>
      </c>
      <c r="M572" t="s" s="13">
        <v>9361</v>
      </c>
      <c r="N572" s="15">
        <v>67433</v>
      </c>
      <c r="O572" s="17" cm="1">
        <f t="array" ref="O572">(H572-H571)/H571</f>
        <v>0.00110350915912602</v>
      </c>
    </row>
    <row r="573" ht="13.65" customHeight="1">
      <c r="A573" s="18">
        <v>45097</v>
      </c>
      <c r="B573" t="s" s="13">
        <v>22</v>
      </c>
      <c r="C573" s="15">
        <v>454.8</v>
      </c>
      <c r="D573" s="15">
        <v>454.8</v>
      </c>
      <c r="E573" s="15">
        <v>450.15</v>
      </c>
      <c r="F573" s="15">
        <v>453.6</v>
      </c>
      <c r="G573" s="15">
        <v>453.2</v>
      </c>
      <c r="H573" s="15">
        <v>452.85</v>
      </c>
      <c r="I573" s="15">
        <v>451.91</v>
      </c>
      <c r="J573" s="15">
        <v>455.9</v>
      </c>
      <c r="K573" s="15">
        <v>261.35</v>
      </c>
      <c r="L573" s="15">
        <v>4472119</v>
      </c>
      <c r="M573" t="s" s="13">
        <v>9362</v>
      </c>
      <c r="N573" s="15">
        <v>84850</v>
      </c>
      <c r="O573" s="17" cm="1">
        <f t="array" ref="O573">(H573-H572)/H572</f>
        <v>-0.00165343915343915</v>
      </c>
    </row>
    <row r="574" ht="13.65" customHeight="1">
      <c r="A574" s="18">
        <v>45098</v>
      </c>
      <c r="B574" t="s" s="13">
        <v>22</v>
      </c>
      <c r="C574" s="15">
        <v>452</v>
      </c>
      <c r="D574" s="15">
        <v>454.2</v>
      </c>
      <c r="E574" s="15">
        <v>445.05</v>
      </c>
      <c r="F574" s="15">
        <v>452.85</v>
      </c>
      <c r="G574" s="15">
        <v>448</v>
      </c>
      <c r="H574" s="15">
        <v>447.05</v>
      </c>
      <c r="I574" s="15">
        <v>449.14</v>
      </c>
      <c r="J574" s="15">
        <v>455.9</v>
      </c>
      <c r="K574" s="15">
        <v>261.35</v>
      </c>
      <c r="L574" s="15">
        <v>6059504</v>
      </c>
      <c r="M574" t="s" s="13">
        <v>9363</v>
      </c>
      <c r="N574" s="15">
        <v>109801</v>
      </c>
      <c r="O574" s="17" cm="1">
        <f t="array" ref="O574">(H574-H573)/H573</f>
        <v>-0.0128077729932649</v>
      </c>
    </row>
    <row r="575" ht="13.65" customHeight="1">
      <c r="A575" s="18">
        <v>45099</v>
      </c>
      <c r="B575" t="s" s="13">
        <v>22</v>
      </c>
      <c r="C575" s="15">
        <v>448</v>
      </c>
      <c r="D575" s="15">
        <v>449.65</v>
      </c>
      <c r="E575" s="15">
        <v>445.85</v>
      </c>
      <c r="F575" s="15">
        <v>447.05</v>
      </c>
      <c r="G575" s="15">
        <v>447.75</v>
      </c>
      <c r="H575" s="15">
        <v>447.65</v>
      </c>
      <c r="I575" s="15">
        <v>447.94</v>
      </c>
      <c r="J575" s="15">
        <v>455.9</v>
      </c>
      <c r="K575" s="15">
        <v>261.35</v>
      </c>
      <c r="L575" s="15">
        <v>6637099</v>
      </c>
      <c r="M575" t="s" s="13">
        <v>9364</v>
      </c>
      <c r="N575" s="15">
        <v>90886</v>
      </c>
      <c r="O575" s="17" cm="1">
        <f t="array" ref="O575">(H575-H574)/H574</f>
        <v>0.00134213175260038</v>
      </c>
    </row>
    <row r="576" ht="13.65" customHeight="1">
      <c r="A576" s="18">
        <v>45100</v>
      </c>
      <c r="B576" t="s" s="13">
        <v>22</v>
      </c>
      <c r="C576" s="15">
        <v>447.5</v>
      </c>
      <c r="D576" s="15">
        <v>447.65</v>
      </c>
      <c r="E576" s="15">
        <v>442.7</v>
      </c>
      <c r="F576" s="15">
        <v>447.65</v>
      </c>
      <c r="G576" s="15">
        <v>445.1</v>
      </c>
      <c r="H576" s="15">
        <v>444.75</v>
      </c>
      <c r="I576" s="15">
        <v>444.73</v>
      </c>
      <c r="J576" s="15">
        <v>455.9</v>
      </c>
      <c r="K576" s="15">
        <v>261.35</v>
      </c>
      <c r="L576" s="15">
        <v>6090901</v>
      </c>
      <c r="M576" t="s" s="13">
        <v>9365</v>
      </c>
      <c r="N576" s="15">
        <v>102419</v>
      </c>
      <c r="O576" s="17" cm="1">
        <f t="array" ref="O576">(H576-H575)/H575</f>
        <v>-0.00647827543840054</v>
      </c>
    </row>
    <row r="577" ht="13.65" customHeight="1">
      <c r="A577" s="18">
        <v>45103</v>
      </c>
      <c r="B577" t="s" s="13">
        <v>22</v>
      </c>
      <c r="C577" s="15">
        <v>446.9</v>
      </c>
      <c r="D577" s="15">
        <v>451.4</v>
      </c>
      <c r="E577" s="15">
        <v>444</v>
      </c>
      <c r="F577" s="15">
        <v>444.75</v>
      </c>
      <c r="G577" s="15">
        <v>445.3</v>
      </c>
      <c r="H577" s="15">
        <v>445.7</v>
      </c>
      <c r="I577" s="15">
        <v>446.93</v>
      </c>
      <c r="J577" s="15">
        <v>455.9</v>
      </c>
      <c r="K577" s="15">
        <v>266.5</v>
      </c>
      <c r="L577" s="15">
        <v>5477339</v>
      </c>
      <c r="M577" t="s" s="13">
        <v>9366</v>
      </c>
      <c r="N577" s="15">
        <v>137298</v>
      </c>
      <c r="O577" s="17" cm="1">
        <f t="array" ref="O577">(H577-H576)/H576</f>
        <v>0.00213603147835863</v>
      </c>
    </row>
    <row r="578" ht="13.65" customHeight="1">
      <c r="A578" s="18">
        <v>45104</v>
      </c>
      <c r="B578" t="s" s="13">
        <v>22</v>
      </c>
      <c r="C578" s="15">
        <v>446.1</v>
      </c>
      <c r="D578" s="15">
        <v>447.2</v>
      </c>
      <c r="E578" s="15">
        <v>443.15</v>
      </c>
      <c r="F578" s="15">
        <v>445.7</v>
      </c>
      <c r="G578" s="15">
        <v>445.45</v>
      </c>
      <c r="H578" s="15">
        <v>445.1</v>
      </c>
      <c r="I578" s="15">
        <v>444.66</v>
      </c>
      <c r="J578" s="15">
        <v>455.9</v>
      </c>
      <c r="K578" s="15">
        <v>266.5</v>
      </c>
      <c r="L578" s="15">
        <v>4865596</v>
      </c>
      <c r="M578" t="s" s="13">
        <v>9367</v>
      </c>
      <c r="N578" s="15">
        <v>104647</v>
      </c>
      <c r="O578" s="17" cm="1">
        <f t="array" ref="O578">(H578-H577)/H577</f>
        <v>-0.00134619699349338</v>
      </c>
    </row>
    <row r="579" ht="13.65" customHeight="1">
      <c r="A579" s="18">
        <v>45105</v>
      </c>
      <c r="B579" t="s" s="13">
        <v>22</v>
      </c>
      <c r="C579" s="15">
        <v>445</v>
      </c>
      <c r="D579" s="15">
        <v>450.6</v>
      </c>
      <c r="E579" s="15">
        <v>444.5</v>
      </c>
      <c r="F579" s="15">
        <v>445.1</v>
      </c>
      <c r="G579" s="15">
        <v>449</v>
      </c>
      <c r="H579" s="15">
        <v>449.35</v>
      </c>
      <c r="I579" s="15">
        <v>448.75</v>
      </c>
      <c r="J579" s="15">
        <v>455.9</v>
      </c>
      <c r="K579" s="15">
        <v>266.5</v>
      </c>
      <c r="L579" s="15">
        <v>12082753</v>
      </c>
      <c r="M579" t="s" s="13">
        <v>9368</v>
      </c>
      <c r="N579" s="15">
        <v>170319</v>
      </c>
      <c r="O579" s="17" cm="1">
        <f t="array" ref="O579">(H579-H578)/H578</f>
        <v>0.00954841608627275</v>
      </c>
    </row>
    <row r="580" ht="13.65" customHeight="1">
      <c r="A580" s="18">
        <v>45107</v>
      </c>
      <c r="B580" t="s" s="13">
        <v>22</v>
      </c>
      <c r="C580" s="15">
        <v>450</v>
      </c>
      <c r="D580" s="15">
        <v>451.95</v>
      </c>
      <c r="E580" s="15">
        <v>446.6</v>
      </c>
      <c r="F580" s="15">
        <v>449.35</v>
      </c>
      <c r="G580" s="15">
        <v>451.5</v>
      </c>
      <c r="H580" s="15">
        <v>451.6</v>
      </c>
      <c r="I580" s="15">
        <v>450.32</v>
      </c>
      <c r="J580" s="15">
        <v>455.9</v>
      </c>
      <c r="K580" s="15">
        <v>266.5</v>
      </c>
      <c r="L580" s="15">
        <v>9106074</v>
      </c>
      <c r="M580" t="s" s="13">
        <v>9369</v>
      </c>
      <c r="N580" s="15">
        <v>155907</v>
      </c>
      <c r="O580" s="17" cm="1">
        <f t="array" ref="O580">(H580-H579)/H579</f>
        <v>0.00500723266941137</v>
      </c>
    </row>
    <row r="581" ht="13.65" customHeight="1">
      <c r="A581" s="12">
        <v>45110</v>
      </c>
      <c r="B581" t="s" s="13">
        <v>22</v>
      </c>
      <c r="C581" s="15">
        <v>451.6</v>
      </c>
      <c r="D581" s="15">
        <v>465.95</v>
      </c>
      <c r="E581" s="15">
        <v>450.05</v>
      </c>
      <c r="F581" s="15">
        <v>451.6</v>
      </c>
      <c r="G581" s="15">
        <v>465.9</v>
      </c>
      <c r="H581" s="15">
        <v>463.25</v>
      </c>
      <c r="I581" s="15">
        <v>458</v>
      </c>
      <c r="J581" s="15">
        <v>465.95</v>
      </c>
      <c r="K581" s="15">
        <v>284.8</v>
      </c>
      <c r="L581" s="15">
        <v>10699143</v>
      </c>
      <c r="M581" t="s" s="13">
        <v>9370</v>
      </c>
      <c r="N581" s="15">
        <v>163111</v>
      </c>
      <c r="O581" s="17" cm="1">
        <f t="array" ref="O581">(H581-H580)/H580</f>
        <v>0.0257971656333038</v>
      </c>
    </row>
    <row r="582" ht="13.65" customHeight="1">
      <c r="A582" s="12">
        <v>45111</v>
      </c>
      <c r="B582" t="s" s="13">
        <v>22</v>
      </c>
      <c r="C582" s="15">
        <v>465</v>
      </c>
      <c r="D582" s="15">
        <v>468</v>
      </c>
      <c r="E582" s="15">
        <v>459.8</v>
      </c>
      <c r="F582" s="15">
        <v>463.25</v>
      </c>
      <c r="G582" s="15">
        <v>465.7</v>
      </c>
      <c r="H582" s="15">
        <v>466.35</v>
      </c>
      <c r="I582" s="15">
        <v>463.64</v>
      </c>
      <c r="J582" s="15">
        <v>468</v>
      </c>
      <c r="K582" s="15">
        <v>284.8</v>
      </c>
      <c r="L582" s="15">
        <v>7725081</v>
      </c>
      <c r="M582" t="s" s="13">
        <v>9371</v>
      </c>
      <c r="N582" s="15">
        <v>140645</v>
      </c>
      <c r="O582" s="17" cm="1">
        <f t="array" ref="O582">(H582-H581)/H581</f>
        <v>0.00669185105234754</v>
      </c>
    </row>
    <row r="583" ht="13.65" customHeight="1">
      <c r="A583" s="12">
        <v>45112</v>
      </c>
      <c r="B583" t="s" s="13">
        <v>22</v>
      </c>
      <c r="C583" s="15">
        <v>466.35</v>
      </c>
      <c r="D583" s="15">
        <v>480.65</v>
      </c>
      <c r="E583" s="15">
        <v>464.3</v>
      </c>
      <c r="F583" s="15">
        <v>466.35</v>
      </c>
      <c r="G583" s="15">
        <v>475.05</v>
      </c>
      <c r="H583" s="15">
        <v>475.1</v>
      </c>
      <c r="I583" s="15">
        <v>474.29</v>
      </c>
      <c r="J583" s="15">
        <v>480.65</v>
      </c>
      <c r="K583" s="15">
        <v>284.8</v>
      </c>
      <c r="L583" s="15">
        <v>16252992</v>
      </c>
      <c r="M583" t="s" s="13">
        <v>9372</v>
      </c>
      <c r="N583" s="15">
        <v>276676</v>
      </c>
      <c r="O583" s="17" cm="1">
        <f t="array" ref="O583">(H583-H582)/H582</f>
        <v>0.0187627318537579</v>
      </c>
    </row>
    <row r="584" ht="13.65" customHeight="1">
      <c r="A584" s="12">
        <v>45113</v>
      </c>
      <c r="B584" t="s" s="13">
        <v>22</v>
      </c>
      <c r="C584" s="15">
        <v>477.35</v>
      </c>
      <c r="D584" s="15">
        <v>477.4</v>
      </c>
      <c r="E584" s="15">
        <v>470.5</v>
      </c>
      <c r="F584" s="15">
        <v>475.1</v>
      </c>
      <c r="G584" s="15">
        <v>474.5</v>
      </c>
      <c r="H584" s="15">
        <v>473.9</v>
      </c>
      <c r="I584" s="15">
        <v>473.31</v>
      </c>
      <c r="J584" s="15">
        <v>480.65</v>
      </c>
      <c r="K584" s="15">
        <v>284.8</v>
      </c>
      <c r="L584" s="15">
        <v>9471054</v>
      </c>
      <c r="M584" t="s" s="13">
        <v>9373</v>
      </c>
      <c r="N584" s="15">
        <v>177472</v>
      </c>
      <c r="O584" s="17" cm="1">
        <f t="array" ref="O584">(H584-H583)/H583</f>
        <v>-0.00252578404546411</v>
      </c>
    </row>
    <row r="585" ht="13.65" customHeight="1">
      <c r="A585" s="12">
        <v>45114</v>
      </c>
      <c r="B585" t="s" s="13">
        <v>22</v>
      </c>
      <c r="C585" s="15">
        <v>473</v>
      </c>
      <c r="D585" s="15">
        <v>475.5</v>
      </c>
      <c r="E585" s="15">
        <v>467.6</v>
      </c>
      <c r="F585" s="15">
        <v>473.9</v>
      </c>
      <c r="G585" s="15">
        <v>469.5</v>
      </c>
      <c r="H585" s="15">
        <v>468.4</v>
      </c>
      <c r="I585" s="15">
        <v>470.8</v>
      </c>
      <c r="J585" s="15">
        <v>480.65</v>
      </c>
      <c r="K585" s="15">
        <v>284.8</v>
      </c>
      <c r="L585" s="15">
        <v>7323451</v>
      </c>
      <c r="M585" t="s" s="13">
        <v>9374</v>
      </c>
      <c r="N585" s="15">
        <v>173910</v>
      </c>
      <c r="O585" s="17" cm="1">
        <f t="array" ref="O585">(H585-H584)/H584</f>
        <v>-0.011605824013505</v>
      </c>
    </row>
    <row r="586" ht="13.65" customHeight="1">
      <c r="A586" s="18">
        <v>45117</v>
      </c>
      <c r="B586" t="s" s="13">
        <v>22</v>
      </c>
      <c r="C586" s="15">
        <v>470</v>
      </c>
      <c r="D586" s="15">
        <v>470.9</v>
      </c>
      <c r="E586" s="15">
        <v>463.7</v>
      </c>
      <c r="F586" s="15">
        <v>468.4</v>
      </c>
      <c r="G586" s="15">
        <v>467</v>
      </c>
      <c r="H586" s="15">
        <v>465.85</v>
      </c>
      <c r="I586" s="15">
        <v>466.83</v>
      </c>
      <c r="J586" s="15">
        <v>480.65</v>
      </c>
      <c r="K586" s="15">
        <v>289.15</v>
      </c>
      <c r="L586" s="15">
        <v>6521300</v>
      </c>
      <c r="M586" t="s" s="13">
        <v>9375</v>
      </c>
      <c r="N586" s="15">
        <v>147782</v>
      </c>
      <c r="O586" s="17" cm="1">
        <f t="array" ref="O586">(H586-H585)/H585</f>
        <v>-0.00544406490179334</v>
      </c>
    </row>
    <row r="587" ht="13.65" customHeight="1">
      <c r="A587" s="18">
        <v>45118</v>
      </c>
      <c r="B587" t="s" s="13">
        <v>22</v>
      </c>
      <c r="C587" s="15">
        <v>466</v>
      </c>
      <c r="D587" s="15">
        <v>474.55</v>
      </c>
      <c r="E587" s="15">
        <v>466</v>
      </c>
      <c r="F587" s="15">
        <v>465.85</v>
      </c>
      <c r="G587" s="15">
        <v>473.45</v>
      </c>
      <c r="H587" s="15">
        <v>473.15</v>
      </c>
      <c r="I587" s="15">
        <v>471.9</v>
      </c>
      <c r="J587" s="15">
        <v>480.65</v>
      </c>
      <c r="K587" s="15">
        <v>289.15</v>
      </c>
      <c r="L587" s="15">
        <v>8457557</v>
      </c>
      <c r="M587" t="s" s="13">
        <v>9376</v>
      </c>
      <c r="N587" s="15">
        <v>141001</v>
      </c>
      <c r="O587" s="17" cm="1">
        <f t="array" ref="O587">(H587-H586)/H586</f>
        <v>0.0156702801330901</v>
      </c>
    </row>
    <row r="588" ht="13.65" customHeight="1">
      <c r="A588" s="18">
        <v>45119</v>
      </c>
      <c r="B588" t="s" s="13">
        <v>22</v>
      </c>
      <c r="C588" s="15">
        <v>477.75</v>
      </c>
      <c r="D588" s="15">
        <v>477.75</v>
      </c>
      <c r="E588" s="15">
        <v>470.45</v>
      </c>
      <c r="F588" s="15">
        <v>473.15</v>
      </c>
      <c r="G588" s="15">
        <v>471.95</v>
      </c>
      <c r="H588" s="15">
        <v>472.3</v>
      </c>
      <c r="I588" s="15">
        <v>473.43</v>
      </c>
      <c r="J588" s="15">
        <v>480.65</v>
      </c>
      <c r="K588" s="15">
        <v>289.15</v>
      </c>
      <c r="L588" s="15">
        <v>12340934</v>
      </c>
      <c r="M588" t="s" s="13">
        <v>9377</v>
      </c>
      <c r="N588" s="15">
        <v>151437</v>
      </c>
      <c r="O588" s="17" cm="1">
        <f t="array" ref="O588">(H588-H587)/H587</f>
        <v>-0.00179647046391208</v>
      </c>
    </row>
    <row r="589" ht="13.65" customHeight="1">
      <c r="A589" s="18">
        <v>45120</v>
      </c>
      <c r="B589" t="s" s="13">
        <v>22</v>
      </c>
      <c r="C589" s="15">
        <v>473.9</v>
      </c>
      <c r="D589" s="15">
        <v>476.75</v>
      </c>
      <c r="E589" s="15">
        <v>471</v>
      </c>
      <c r="F589" s="15">
        <v>472.3</v>
      </c>
      <c r="G589" s="15">
        <v>472.35</v>
      </c>
      <c r="H589" s="15">
        <v>472</v>
      </c>
      <c r="I589" s="15">
        <v>474.18</v>
      </c>
      <c r="J589" s="15">
        <v>480.65</v>
      </c>
      <c r="K589" s="15">
        <v>289.15</v>
      </c>
      <c r="L589" s="15">
        <v>7909757</v>
      </c>
      <c r="M589" t="s" s="13">
        <v>9378</v>
      </c>
      <c r="N589" s="15">
        <v>130301</v>
      </c>
      <c r="O589" s="17" cm="1">
        <f t="array" ref="O589">(H589-H588)/H588</f>
        <v>-0.000635189498200296</v>
      </c>
    </row>
    <row r="590" ht="13.65" customHeight="1">
      <c r="A590" s="18">
        <v>45121</v>
      </c>
      <c r="B590" t="s" s="13">
        <v>22</v>
      </c>
      <c r="C590" s="15">
        <v>473</v>
      </c>
      <c r="D590" s="15">
        <v>475</v>
      </c>
      <c r="E590" s="15">
        <v>471.35</v>
      </c>
      <c r="F590" s="15">
        <v>472</v>
      </c>
      <c r="G590" s="15">
        <v>473.55</v>
      </c>
      <c r="H590" s="15">
        <v>472.9</v>
      </c>
      <c r="I590" s="15">
        <v>473.2</v>
      </c>
      <c r="J590" s="15">
        <v>480.65</v>
      </c>
      <c r="K590" s="15">
        <v>289.15</v>
      </c>
      <c r="L590" s="15">
        <v>5081391</v>
      </c>
      <c r="M590" t="s" s="13">
        <v>9379</v>
      </c>
      <c r="N590" s="15">
        <v>119759</v>
      </c>
      <c r="O590" s="17" cm="1">
        <f t="array" ref="O590">(H590-H589)/H589</f>
        <v>0.00190677966101695</v>
      </c>
    </row>
    <row r="591" ht="13.65" customHeight="1">
      <c r="A591" s="18">
        <v>45124</v>
      </c>
      <c r="B591" t="s" s="13">
        <v>22</v>
      </c>
      <c r="C591" s="15">
        <v>474.5</v>
      </c>
      <c r="D591" s="15">
        <v>475.8</v>
      </c>
      <c r="E591" s="15">
        <v>470.6</v>
      </c>
      <c r="F591" s="15">
        <v>472.9</v>
      </c>
      <c r="G591" s="15">
        <v>472.4</v>
      </c>
      <c r="H591" s="15">
        <v>472.35</v>
      </c>
      <c r="I591" s="15">
        <v>473.01</v>
      </c>
      <c r="J591" s="15">
        <v>480.65</v>
      </c>
      <c r="K591" s="15">
        <v>292.7</v>
      </c>
      <c r="L591" s="15">
        <v>6090738</v>
      </c>
      <c r="M591" t="s" s="13">
        <v>9380</v>
      </c>
      <c r="N591" s="15">
        <v>132996</v>
      </c>
      <c r="O591" s="17" cm="1">
        <f t="array" ref="O591">(H591-H590)/H590</f>
        <v>-0.00116303658278706</v>
      </c>
    </row>
    <row r="592" ht="13.65" customHeight="1">
      <c r="A592" s="18">
        <v>45125</v>
      </c>
      <c r="B592" t="s" s="13">
        <v>22</v>
      </c>
      <c r="C592" s="15">
        <v>472.55</v>
      </c>
      <c r="D592" s="15">
        <v>474.2</v>
      </c>
      <c r="E592" s="15">
        <v>471</v>
      </c>
      <c r="F592" s="15">
        <v>472.35</v>
      </c>
      <c r="G592" s="15">
        <v>472.65</v>
      </c>
      <c r="H592" s="15">
        <v>472.5</v>
      </c>
      <c r="I592" s="15">
        <v>472.53</v>
      </c>
      <c r="J592" s="15">
        <v>480.65</v>
      </c>
      <c r="K592" s="15">
        <v>292.7</v>
      </c>
      <c r="L592" s="15">
        <v>5352283</v>
      </c>
      <c r="M592" t="s" s="13">
        <v>9381</v>
      </c>
      <c r="N592" s="15">
        <v>119303</v>
      </c>
      <c r="O592" s="17" cm="1">
        <f t="array" ref="O592">(H592-H591)/H591</f>
        <v>0.000317561130517625</v>
      </c>
    </row>
    <row r="593" ht="13.65" customHeight="1">
      <c r="A593" s="18">
        <v>45126</v>
      </c>
      <c r="B593" t="s" s="13">
        <v>22</v>
      </c>
      <c r="C593" s="15">
        <v>472.75</v>
      </c>
      <c r="D593" s="15">
        <v>480.45</v>
      </c>
      <c r="E593" s="15">
        <v>468.1</v>
      </c>
      <c r="F593" s="15">
        <v>472.5</v>
      </c>
      <c r="G593" s="15">
        <v>479.15</v>
      </c>
      <c r="H593" s="15">
        <v>478.85</v>
      </c>
      <c r="I593" s="15">
        <v>474.71</v>
      </c>
      <c r="J593" s="15">
        <v>480.65</v>
      </c>
      <c r="K593" s="15">
        <v>292.7</v>
      </c>
      <c r="L593" s="15">
        <v>13867323</v>
      </c>
      <c r="M593" t="s" s="13">
        <v>9382</v>
      </c>
      <c r="N593" s="15">
        <v>172994</v>
      </c>
      <c r="O593" s="17" cm="1">
        <f t="array" ref="O593">(H593-H592)/H592</f>
        <v>0.0134391534391534</v>
      </c>
    </row>
    <row r="594" ht="13.65" customHeight="1">
      <c r="A594" s="18">
        <v>45127</v>
      </c>
      <c r="B594" t="s" s="13">
        <v>22</v>
      </c>
      <c r="C594" s="15">
        <v>479.9</v>
      </c>
      <c r="D594" s="15">
        <v>493.7</v>
      </c>
      <c r="E594" s="15">
        <v>476.3</v>
      </c>
      <c r="F594" s="15">
        <v>478.85</v>
      </c>
      <c r="G594" s="15">
        <v>491.5</v>
      </c>
      <c r="H594" s="15">
        <v>492.15</v>
      </c>
      <c r="I594" s="15">
        <v>487.49</v>
      </c>
      <c r="J594" s="15">
        <v>493.7</v>
      </c>
      <c r="K594" s="15">
        <v>292.7</v>
      </c>
      <c r="L594" s="15">
        <v>20250206</v>
      </c>
      <c r="M594" t="s" s="13">
        <v>9383</v>
      </c>
      <c r="N594" s="15">
        <v>254892</v>
      </c>
      <c r="O594" s="17" cm="1">
        <f t="array" ref="O594">(H594-H593)/H593</f>
        <v>0.0277748773102224</v>
      </c>
    </row>
    <row r="595" ht="13.65" customHeight="1">
      <c r="A595" s="18">
        <v>45128</v>
      </c>
      <c r="B595" t="s" s="13">
        <v>22</v>
      </c>
      <c r="C595" s="15">
        <v>491.8</v>
      </c>
      <c r="D595" s="15">
        <v>497.7</v>
      </c>
      <c r="E595" s="15">
        <v>487</v>
      </c>
      <c r="F595" s="15">
        <v>492.15</v>
      </c>
      <c r="G595" s="15">
        <v>493.45</v>
      </c>
      <c r="H595" s="15">
        <v>490.45</v>
      </c>
      <c r="I595" s="15">
        <v>492.4</v>
      </c>
      <c r="J595" s="15">
        <v>497.7</v>
      </c>
      <c r="K595" s="15">
        <v>292.7</v>
      </c>
      <c r="L595" s="15">
        <v>13971982</v>
      </c>
      <c r="M595" t="s" s="13">
        <v>9384</v>
      </c>
      <c r="N595" s="15">
        <v>216222</v>
      </c>
      <c r="O595" s="17" cm="1">
        <f t="array" ref="O595">(H595-H594)/H594</f>
        <v>-0.00345423143350604</v>
      </c>
    </row>
    <row r="596" ht="13.65" customHeight="1">
      <c r="A596" s="18">
        <v>45131</v>
      </c>
      <c r="B596" t="s" s="13">
        <v>22</v>
      </c>
      <c r="C596" s="15">
        <v>493.45</v>
      </c>
      <c r="D596" s="15">
        <v>499.7</v>
      </c>
      <c r="E596" s="15">
        <v>468.15</v>
      </c>
      <c r="F596" s="15">
        <v>490.45</v>
      </c>
      <c r="G596" s="15">
        <v>469.35</v>
      </c>
      <c r="H596" s="15">
        <v>471.35</v>
      </c>
      <c r="I596" s="15">
        <v>479.36</v>
      </c>
      <c r="J596" s="15">
        <v>499.7</v>
      </c>
      <c r="K596" s="15">
        <v>298.8</v>
      </c>
      <c r="L596" s="15">
        <v>38976815</v>
      </c>
      <c r="M596" t="s" s="13">
        <v>9385</v>
      </c>
      <c r="N596" s="15">
        <v>394048</v>
      </c>
      <c r="O596" s="17" cm="1">
        <f t="array" ref="O596">(H596-H595)/H595</f>
        <v>-0.0389438270975635</v>
      </c>
    </row>
    <row r="597" ht="13.65" customHeight="1">
      <c r="A597" s="18">
        <v>45132</v>
      </c>
      <c r="B597" t="s" s="13">
        <v>22</v>
      </c>
      <c r="C597" s="15">
        <v>467.9</v>
      </c>
      <c r="D597" s="15">
        <v>468.5</v>
      </c>
      <c r="E597" s="15">
        <v>455.4</v>
      </c>
      <c r="F597" s="15">
        <v>471.35</v>
      </c>
      <c r="G597" s="15">
        <v>461.35</v>
      </c>
      <c r="H597" s="15">
        <v>462.3</v>
      </c>
      <c r="I597" s="15">
        <v>459.9</v>
      </c>
      <c r="J597" s="15">
        <v>499.7</v>
      </c>
      <c r="K597" s="15">
        <v>298.8</v>
      </c>
      <c r="L597" s="15">
        <v>43534718</v>
      </c>
      <c r="M597" t="s" s="13">
        <v>9386</v>
      </c>
      <c r="N597" s="15">
        <v>455276</v>
      </c>
      <c r="O597" s="17" cm="1">
        <f t="array" ref="O597">(H597-H596)/H596</f>
        <v>-0.0192001697252572</v>
      </c>
    </row>
    <row r="598" ht="13.65" customHeight="1">
      <c r="A598" s="18">
        <v>45133</v>
      </c>
      <c r="B598" t="s" s="13">
        <v>22</v>
      </c>
      <c r="C598" s="15">
        <v>464.9</v>
      </c>
      <c r="D598" s="15">
        <v>473</v>
      </c>
      <c r="E598" s="15">
        <v>462.05</v>
      </c>
      <c r="F598" s="15">
        <v>462.3</v>
      </c>
      <c r="G598" s="15">
        <v>472.4</v>
      </c>
      <c r="H598" s="15">
        <v>472.25</v>
      </c>
      <c r="I598" s="15">
        <v>469.76</v>
      </c>
      <c r="J598" s="15">
        <v>499.7</v>
      </c>
      <c r="K598" s="15">
        <v>298.8</v>
      </c>
      <c r="L598" s="15">
        <v>18143422</v>
      </c>
      <c r="M598" t="s" s="13">
        <v>9387</v>
      </c>
      <c r="N598" s="15">
        <v>253061</v>
      </c>
      <c r="O598" s="17" cm="1">
        <f t="array" ref="O598">(H598-H597)/H597</f>
        <v>0.0215228206792126</v>
      </c>
    </row>
    <row r="599" ht="13.65" customHeight="1">
      <c r="A599" s="18">
        <v>45134</v>
      </c>
      <c r="B599" t="s" s="13">
        <v>22</v>
      </c>
      <c r="C599" s="15">
        <v>474.4</v>
      </c>
      <c r="D599" s="15">
        <v>475.15</v>
      </c>
      <c r="E599" s="15">
        <v>461.1</v>
      </c>
      <c r="F599" s="15">
        <v>472.25</v>
      </c>
      <c r="G599" s="15">
        <v>467.15</v>
      </c>
      <c r="H599" s="15">
        <v>465.05</v>
      </c>
      <c r="I599" s="15">
        <v>468.53</v>
      </c>
      <c r="J599" s="15">
        <v>499.7</v>
      </c>
      <c r="K599" s="15">
        <v>298.8</v>
      </c>
      <c r="L599" s="15">
        <v>13989457</v>
      </c>
      <c r="M599" t="s" s="13">
        <v>9388</v>
      </c>
      <c r="N599" s="15">
        <v>228805</v>
      </c>
      <c r="O599" s="17" cm="1">
        <f t="array" ref="O599">(H599-H598)/H598</f>
        <v>-0.0152461619904711</v>
      </c>
    </row>
    <row r="600" ht="13.65" customHeight="1">
      <c r="A600" s="18">
        <v>45135</v>
      </c>
      <c r="B600" t="s" s="13">
        <v>22</v>
      </c>
      <c r="C600" s="15">
        <v>467.7</v>
      </c>
      <c r="D600" s="15">
        <v>469.45</v>
      </c>
      <c r="E600" s="15">
        <v>463.4</v>
      </c>
      <c r="F600" s="15">
        <v>465.05</v>
      </c>
      <c r="G600" s="15">
        <v>467.65</v>
      </c>
      <c r="H600" s="15">
        <v>468.45</v>
      </c>
      <c r="I600" s="15">
        <v>466.6</v>
      </c>
      <c r="J600" s="15">
        <v>499.7</v>
      </c>
      <c r="K600" s="15">
        <v>298.8</v>
      </c>
      <c r="L600" s="15">
        <v>9978231</v>
      </c>
      <c r="M600" t="s" s="13">
        <v>9389</v>
      </c>
      <c r="N600" s="15">
        <v>165596</v>
      </c>
      <c r="O600" s="17" cm="1">
        <f t="array" ref="O600">(H600-H599)/H599</f>
        <v>0.00731104182345984</v>
      </c>
    </row>
    <row r="601" ht="13.65" customHeight="1">
      <c r="A601" s="18">
        <v>45138</v>
      </c>
      <c r="B601" t="s" s="13">
        <v>22</v>
      </c>
      <c r="C601" s="15">
        <v>469</v>
      </c>
      <c r="D601" s="15">
        <v>469.7</v>
      </c>
      <c r="E601" s="15">
        <v>463.5</v>
      </c>
      <c r="F601" s="15">
        <v>468.45</v>
      </c>
      <c r="G601" s="15">
        <v>465.25</v>
      </c>
      <c r="H601" s="15">
        <v>465.7</v>
      </c>
      <c r="I601" s="15">
        <v>466.31</v>
      </c>
      <c r="J601" s="15">
        <v>499.7</v>
      </c>
      <c r="K601" s="15">
        <v>303.1</v>
      </c>
      <c r="L601" s="15">
        <v>8194797</v>
      </c>
      <c r="M601" t="s" s="13">
        <v>9390</v>
      </c>
      <c r="N601" s="15">
        <v>189948</v>
      </c>
      <c r="O601" s="17" cm="1">
        <f t="array" ref="O601">(H601-H600)/H600</f>
        <v>-0.0058704237378589</v>
      </c>
    </row>
    <row r="602" ht="13.65" customHeight="1">
      <c r="A602" s="12">
        <v>45139</v>
      </c>
      <c r="B602" t="s" s="13">
        <v>22</v>
      </c>
      <c r="C602" s="15">
        <v>466</v>
      </c>
      <c r="D602" s="15">
        <v>468.85</v>
      </c>
      <c r="E602" s="15">
        <v>463.8</v>
      </c>
      <c r="F602" s="15">
        <v>465.7</v>
      </c>
      <c r="G602" s="15">
        <v>465.5</v>
      </c>
      <c r="H602" s="15">
        <v>464.8</v>
      </c>
      <c r="I602" s="15">
        <v>466.15</v>
      </c>
      <c r="J602" s="15">
        <v>499.7</v>
      </c>
      <c r="K602" s="15">
        <v>303.1</v>
      </c>
      <c r="L602" s="15">
        <v>6438221</v>
      </c>
      <c r="M602" t="s" s="13">
        <v>9391</v>
      </c>
      <c r="N602" s="15">
        <v>150394</v>
      </c>
      <c r="O602" s="17" cm="1">
        <f t="array" ref="O602">(H602-H601)/H601</f>
        <v>-0.00193257461885334</v>
      </c>
    </row>
    <row r="603" ht="13.65" customHeight="1">
      <c r="A603" s="12">
        <v>45140</v>
      </c>
      <c r="B603" t="s" s="13">
        <v>22</v>
      </c>
      <c r="C603" s="15">
        <v>464.6</v>
      </c>
      <c r="D603" s="15">
        <v>464.8</v>
      </c>
      <c r="E603" s="15">
        <v>458</v>
      </c>
      <c r="F603" s="15">
        <v>464.8</v>
      </c>
      <c r="G603" s="15">
        <v>460</v>
      </c>
      <c r="H603" s="15">
        <v>460.1</v>
      </c>
      <c r="I603" s="15">
        <v>459.99</v>
      </c>
      <c r="J603" s="15">
        <v>499.7</v>
      </c>
      <c r="K603" s="15">
        <v>303.1</v>
      </c>
      <c r="L603" s="15">
        <v>10318220</v>
      </c>
      <c r="M603" t="s" s="13">
        <v>9392</v>
      </c>
      <c r="N603" s="15">
        <v>241505</v>
      </c>
      <c r="O603" s="17" cm="1">
        <f t="array" ref="O603">(H603-H602)/H602</f>
        <v>-0.0101118760757315</v>
      </c>
    </row>
    <row r="604" ht="13.65" customHeight="1">
      <c r="A604" s="12">
        <v>45141</v>
      </c>
      <c r="B604" t="s" s="13">
        <v>22</v>
      </c>
      <c r="C604" s="15">
        <v>460.1</v>
      </c>
      <c r="D604" s="15">
        <v>463.75</v>
      </c>
      <c r="E604" s="15">
        <v>454.3</v>
      </c>
      <c r="F604" s="15">
        <v>460.1</v>
      </c>
      <c r="G604" s="15">
        <v>456.3</v>
      </c>
      <c r="H604" s="15">
        <v>456.05</v>
      </c>
      <c r="I604" s="15">
        <v>458.67</v>
      </c>
      <c r="J604" s="15">
        <v>499.7</v>
      </c>
      <c r="K604" s="15">
        <v>303.1</v>
      </c>
      <c r="L604" s="15">
        <v>10617897</v>
      </c>
      <c r="M604" t="s" s="13">
        <v>9393</v>
      </c>
      <c r="N604" s="15">
        <v>209906</v>
      </c>
      <c r="O604" s="17" cm="1">
        <f t="array" ref="O604">(H604-H603)/H603</f>
        <v>-0.008802434253423169</v>
      </c>
    </row>
    <row r="605" ht="13.65" customHeight="1">
      <c r="A605" s="12">
        <v>45142</v>
      </c>
      <c r="B605" t="s" s="13">
        <v>22</v>
      </c>
      <c r="C605" s="15">
        <v>456.3</v>
      </c>
      <c r="D605" s="15">
        <v>461.4</v>
      </c>
      <c r="E605" s="15">
        <v>454.25</v>
      </c>
      <c r="F605" s="15">
        <v>456.05</v>
      </c>
      <c r="G605" s="15">
        <v>455.25</v>
      </c>
      <c r="H605" s="15">
        <v>454.95</v>
      </c>
      <c r="I605" s="15">
        <v>456.12</v>
      </c>
      <c r="J605" s="15">
        <v>499.7</v>
      </c>
      <c r="K605" s="15">
        <v>303.1</v>
      </c>
      <c r="L605" s="15">
        <v>6834401</v>
      </c>
      <c r="M605" t="s" s="13">
        <v>9394</v>
      </c>
      <c r="N605" s="15">
        <v>156261</v>
      </c>
      <c r="O605" s="17" cm="1">
        <f t="array" ref="O605">(H605-H604)/H604</f>
        <v>-0.00241201622629098</v>
      </c>
    </row>
    <row r="606" ht="13.65" customHeight="1">
      <c r="A606" s="12">
        <v>45145</v>
      </c>
      <c r="B606" t="s" s="13">
        <v>22</v>
      </c>
      <c r="C606" s="15">
        <v>454.1</v>
      </c>
      <c r="D606" s="15">
        <v>456.55</v>
      </c>
      <c r="E606" s="15">
        <v>450.95</v>
      </c>
      <c r="F606" s="15">
        <v>454.95</v>
      </c>
      <c r="G606" s="15">
        <v>454.95</v>
      </c>
      <c r="H606" s="15">
        <v>454.9</v>
      </c>
      <c r="I606" s="15">
        <v>454.38</v>
      </c>
      <c r="J606" s="15">
        <v>499.7</v>
      </c>
      <c r="K606" s="15">
        <v>304.5</v>
      </c>
      <c r="L606" s="15">
        <v>9161131</v>
      </c>
      <c r="M606" t="s" s="13">
        <v>9395</v>
      </c>
      <c r="N606" s="15">
        <v>190759</v>
      </c>
      <c r="O606" s="17" cm="1">
        <f t="array" ref="O606">(H606-H605)/H605</f>
        <v>-0.000109902187053522</v>
      </c>
    </row>
    <row r="607" ht="13.65" customHeight="1">
      <c r="A607" s="12">
        <v>45146</v>
      </c>
      <c r="B607" t="s" s="13">
        <v>22</v>
      </c>
      <c r="C607" s="15">
        <v>457</v>
      </c>
      <c r="D607" s="15">
        <v>457</v>
      </c>
      <c r="E607" s="15">
        <v>451.05</v>
      </c>
      <c r="F607" s="15">
        <v>454.9</v>
      </c>
      <c r="G607" s="15">
        <v>452.3</v>
      </c>
      <c r="H607" s="15">
        <v>452.35</v>
      </c>
      <c r="I607" s="15">
        <v>453.21</v>
      </c>
      <c r="J607" s="15">
        <v>499.7</v>
      </c>
      <c r="K607" s="15">
        <v>304.5</v>
      </c>
      <c r="L607" s="15">
        <v>6392488</v>
      </c>
      <c r="M607" t="s" s="13">
        <v>9396</v>
      </c>
      <c r="N607" s="15">
        <v>167641</v>
      </c>
      <c r="O607" s="17" cm="1">
        <f t="array" ref="O607">(H607-H606)/H606</f>
        <v>-0.00560562761046384</v>
      </c>
    </row>
    <row r="608" ht="13.65" customHeight="1">
      <c r="A608" s="12">
        <v>45147</v>
      </c>
      <c r="B608" t="s" s="13">
        <v>22</v>
      </c>
      <c r="C608" s="15">
        <v>452.35</v>
      </c>
      <c r="D608" s="15">
        <v>459.9</v>
      </c>
      <c r="E608" s="15">
        <v>446.9</v>
      </c>
      <c r="F608" s="15">
        <v>452.35</v>
      </c>
      <c r="G608" s="15">
        <v>459</v>
      </c>
      <c r="H608" s="15">
        <v>458.65</v>
      </c>
      <c r="I608" s="15">
        <v>452.31</v>
      </c>
      <c r="J608" s="15">
        <v>499.7</v>
      </c>
      <c r="K608" s="15">
        <v>304.5</v>
      </c>
      <c r="L608" s="15">
        <v>9758343</v>
      </c>
      <c r="M608" t="s" s="13">
        <v>9397</v>
      </c>
      <c r="N608" s="15">
        <v>197461</v>
      </c>
      <c r="O608" s="17" cm="1">
        <f t="array" ref="O608">(H608-H607)/H607</f>
        <v>0.013927268707859</v>
      </c>
    </row>
    <row r="609" ht="13.65" customHeight="1">
      <c r="A609" s="18">
        <v>45148</v>
      </c>
      <c r="B609" t="s" s="13">
        <v>22</v>
      </c>
      <c r="C609" s="15">
        <v>458.9</v>
      </c>
      <c r="D609" s="15">
        <v>459.3</v>
      </c>
      <c r="E609" s="15">
        <v>449</v>
      </c>
      <c r="F609" s="15">
        <v>458.65</v>
      </c>
      <c r="G609" s="15">
        <v>452.95</v>
      </c>
      <c r="H609" s="15">
        <v>451.75</v>
      </c>
      <c r="I609" s="15">
        <v>452.47</v>
      </c>
      <c r="J609" s="15">
        <v>499.7</v>
      </c>
      <c r="K609" s="15">
        <v>304.5</v>
      </c>
      <c r="L609" s="15">
        <v>13194170</v>
      </c>
      <c r="M609" t="s" s="13">
        <v>9398</v>
      </c>
      <c r="N609" s="15">
        <v>271611</v>
      </c>
      <c r="O609" s="17" cm="1">
        <f t="array" ref="O609">(H609-H608)/H608</f>
        <v>-0.0150441513136379</v>
      </c>
    </row>
    <row r="610" ht="13.65" customHeight="1">
      <c r="A610" s="18">
        <v>45149</v>
      </c>
      <c r="B610" t="s" s="13">
        <v>22</v>
      </c>
      <c r="C610" s="15">
        <v>453.9</v>
      </c>
      <c r="D610" s="15">
        <v>453.9</v>
      </c>
      <c r="E610" s="15">
        <v>444.75</v>
      </c>
      <c r="F610" s="15">
        <v>451.75</v>
      </c>
      <c r="G610" s="15">
        <v>448</v>
      </c>
      <c r="H610" s="15">
        <v>448.75</v>
      </c>
      <c r="I610" s="15">
        <v>447.68</v>
      </c>
      <c r="J610" s="15">
        <v>499.7</v>
      </c>
      <c r="K610" s="15">
        <v>304.5</v>
      </c>
      <c r="L610" s="15">
        <v>11582326</v>
      </c>
      <c r="M610" t="s" s="13">
        <v>9399</v>
      </c>
      <c r="N610" s="15">
        <v>229984</v>
      </c>
      <c r="O610" s="17" cm="1">
        <f t="array" ref="O610">(H610-H609)/H609</f>
        <v>-0.00664084117321527</v>
      </c>
    </row>
    <row r="611" ht="13.65" customHeight="1">
      <c r="A611" s="18">
        <v>45152</v>
      </c>
      <c r="B611" t="s" s="13">
        <v>22</v>
      </c>
      <c r="C611" s="15">
        <v>448.75</v>
      </c>
      <c r="D611" s="15">
        <v>451.25</v>
      </c>
      <c r="E611" s="15">
        <v>445.05</v>
      </c>
      <c r="F611" s="15">
        <v>448.75</v>
      </c>
      <c r="G611" s="15">
        <v>447.8</v>
      </c>
      <c r="H611" s="15">
        <v>449.2</v>
      </c>
      <c r="I611" s="15">
        <v>447.6</v>
      </c>
      <c r="J611" s="15">
        <v>499.7</v>
      </c>
      <c r="K611" s="15">
        <v>308.55</v>
      </c>
      <c r="L611" s="15">
        <v>7562808</v>
      </c>
      <c r="M611" t="s" s="13">
        <v>9400</v>
      </c>
      <c r="N611" s="15">
        <v>187268</v>
      </c>
      <c r="O611" s="17" cm="1">
        <f t="array" ref="O611">(H611-H610)/H610</f>
        <v>0.00100278551532033</v>
      </c>
    </row>
    <row r="612" ht="13.65" customHeight="1">
      <c r="A612" s="18">
        <v>45154</v>
      </c>
      <c r="B612" t="s" s="13">
        <v>22</v>
      </c>
      <c r="C612" s="15">
        <v>451</v>
      </c>
      <c r="D612" s="15">
        <v>457.4</v>
      </c>
      <c r="E612" s="15">
        <v>448.2</v>
      </c>
      <c r="F612" s="15">
        <v>449.2</v>
      </c>
      <c r="G612" s="15">
        <v>449</v>
      </c>
      <c r="H612" s="15">
        <v>450.25</v>
      </c>
      <c r="I612" s="15">
        <v>451.91</v>
      </c>
      <c r="J612" s="15">
        <v>499.7</v>
      </c>
      <c r="K612" s="15">
        <v>308.55</v>
      </c>
      <c r="L612" s="15">
        <v>14920272</v>
      </c>
      <c r="M612" t="s" s="13">
        <v>9401</v>
      </c>
      <c r="N612" s="15">
        <v>208058</v>
      </c>
      <c r="O612" s="17" cm="1">
        <f t="array" ref="O612">(H612-H611)/H611</f>
        <v>0.00233748886910062</v>
      </c>
    </row>
    <row r="613" ht="13.65" customHeight="1">
      <c r="A613" s="18">
        <v>45155</v>
      </c>
      <c r="B613" t="s" s="13">
        <v>22</v>
      </c>
      <c r="C613" s="15">
        <v>450</v>
      </c>
      <c r="D613" s="15">
        <v>450</v>
      </c>
      <c r="E613" s="15">
        <v>440</v>
      </c>
      <c r="F613" s="15">
        <v>450.25</v>
      </c>
      <c r="G613" s="15">
        <v>440.95</v>
      </c>
      <c r="H613" s="15">
        <v>441</v>
      </c>
      <c r="I613" s="15">
        <v>441.95</v>
      </c>
      <c r="J613" s="15">
        <v>499.7</v>
      </c>
      <c r="K613" s="15">
        <v>308.55</v>
      </c>
      <c r="L613" s="15">
        <v>16269569</v>
      </c>
      <c r="M613" t="s" s="13">
        <v>9402</v>
      </c>
      <c r="N613" s="15">
        <v>353763</v>
      </c>
      <c r="O613" s="17" cm="1">
        <f t="array" ref="O613">(H613-H612)/H612</f>
        <v>-0.0205441421432537</v>
      </c>
    </row>
    <row r="614" ht="13.65" customHeight="1">
      <c r="A614" s="18">
        <v>45156</v>
      </c>
      <c r="B614" t="s" s="13">
        <v>22</v>
      </c>
      <c r="C614" s="15">
        <v>441</v>
      </c>
      <c r="D614" s="15">
        <v>443.35</v>
      </c>
      <c r="E614" s="15">
        <v>438.5</v>
      </c>
      <c r="F614" s="15">
        <v>441</v>
      </c>
      <c r="G614" s="15">
        <v>441</v>
      </c>
      <c r="H614" s="15">
        <v>441.65</v>
      </c>
      <c r="I614" s="15">
        <v>440.84</v>
      </c>
      <c r="J614" s="15">
        <v>499.7</v>
      </c>
      <c r="K614" s="15">
        <v>308.55</v>
      </c>
      <c r="L614" s="15">
        <v>19324262</v>
      </c>
      <c r="M614" t="s" s="13">
        <v>9403</v>
      </c>
      <c r="N614" s="15">
        <v>274698</v>
      </c>
      <c r="O614" s="17" cm="1">
        <f t="array" ref="O614">(H614-H613)/H613</f>
        <v>0.00147392290249433</v>
      </c>
    </row>
    <row r="615" ht="13.65" customHeight="1">
      <c r="A615" s="18">
        <v>45159</v>
      </c>
      <c r="B615" t="s" s="13">
        <v>22</v>
      </c>
      <c r="C615" s="15">
        <v>442</v>
      </c>
      <c r="D615" s="15">
        <v>448.5</v>
      </c>
      <c r="E615" s="15">
        <v>441.35</v>
      </c>
      <c r="F615" s="15">
        <v>441.65</v>
      </c>
      <c r="G615" s="15">
        <v>448</v>
      </c>
      <c r="H615" s="15">
        <v>447.8</v>
      </c>
      <c r="I615" s="15">
        <v>445.61</v>
      </c>
      <c r="J615" s="15">
        <v>499.7</v>
      </c>
      <c r="K615" s="15">
        <v>308.85</v>
      </c>
      <c r="L615" s="15">
        <v>9572041</v>
      </c>
      <c r="M615" t="s" s="13">
        <v>9404</v>
      </c>
      <c r="N615" s="15">
        <v>148497</v>
      </c>
      <c r="O615" s="17" cm="1">
        <f t="array" ref="O615">(H615-H614)/H614</f>
        <v>0.0139250537756142</v>
      </c>
    </row>
    <row r="616" ht="13.65" customHeight="1">
      <c r="A616" s="18">
        <v>45160</v>
      </c>
      <c r="B616" t="s" s="13">
        <v>22</v>
      </c>
      <c r="C616" s="15">
        <v>449</v>
      </c>
      <c r="D616" s="15">
        <v>455.15</v>
      </c>
      <c r="E616" s="15">
        <v>447</v>
      </c>
      <c r="F616" s="15">
        <v>447.8</v>
      </c>
      <c r="G616" s="15">
        <v>454.4</v>
      </c>
      <c r="H616" s="15">
        <v>454.25</v>
      </c>
      <c r="I616" s="15">
        <v>452.56</v>
      </c>
      <c r="J616" s="15">
        <v>499.7</v>
      </c>
      <c r="K616" s="15">
        <v>308.85</v>
      </c>
      <c r="L616" s="15">
        <v>9854945</v>
      </c>
      <c r="M616" t="s" s="13">
        <v>9405</v>
      </c>
      <c r="N616" s="15">
        <v>151525</v>
      </c>
      <c r="O616" s="17" cm="1">
        <f t="array" ref="O616">(H616-H615)/H615</f>
        <v>0.0144037516748548</v>
      </c>
    </row>
    <row r="617" ht="13.65" customHeight="1">
      <c r="A617" s="18">
        <v>45161</v>
      </c>
      <c r="B617" t="s" s="13">
        <v>22</v>
      </c>
      <c r="C617" s="15">
        <v>455.6</v>
      </c>
      <c r="D617" s="15">
        <v>455.65</v>
      </c>
      <c r="E617" s="15">
        <v>448.6</v>
      </c>
      <c r="F617" s="15">
        <v>454.25</v>
      </c>
      <c r="G617" s="15">
        <v>450.6</v>
      </c>
      <c r="H617" s="15">
        <v>450.45</v>
      </c>
      <c r="I617" s="15">
        <v>450.74</v>
      </c>
      <c r="J617" s="15">
        <v>499.7</v>
      </c>
      <c r="K617" s="15">
        <v>308.85</v>
      </c>
      <c r="L617" s="15">
        <v>8445029</v>
      </c>
      <c r="M617" t="s" s="13">
        <v>9406</v>
      </c>
      <c r="N617" s="15">
        <v>181446</v>
      </c>
      <c r="O617" s="17" cm="1">
        <f t="array" ref="O617">(H617-H616)/H616</f>
        <v>-0.00836543753439736</v>
      </c>
    </row>
    <row r="618" ht="13.65" customHeight="1">
      <c r="A618" s="18">
        <v>45162</v>
      </c>
      <c r="B618" t="s" s="13">
        <v>22</v>
      </c>
      <c r="C618" s="15">
        <v>450.6</v>
      </c>
      <c r="D618" s="15">
        <v>453.5</v>
      </c>
      <c r="E618" s="15">
        <v>449.3</v>
      </c>
      <c r="F618" s="15">
        <v>450.45</v>
      </c>
      <c r="G618" s="15">
        <v>451.2</v>
      </c>
      <c r="H618" s="15">
        <v>450.9</v>
      </c>
      <c r="I618" s="15">
        <v>450.97</v>
      </c>
      <c r="J618" s="15">
        <v>499.7</v>
      </c>
      <c r="K618" s="15">
        <v>308.85</v>
      </c>
      <c r="L618" s="15">
        <v>6088274</v>
      </c>
      <c r="M618" t="s" s="13">
        <v>9407</v>
      </c>
      <c r="N618" s="15">
        <v>157601</v>
      </c>
      <c r="O618" s="17" cm="1">
        <f t="array" ref="O618">(H618-H617)/H617</f>
        <v>0.000999000999000999</v>
      </c>
    </row>
    <row r="619" ht="13.65" customHeight="1">
      <c r="A619" s="18">
        <v>45163</v>
      </c>
      <c r="B619" t="s" s="13">
        <v>22</v>
      </c>
      <c r="C619" s="15">
        <v>450.9</v>
      </c>
      <c r="D619" s="15">
        <v>451</v>
      </c>
      <c r="E619" s="15">
        <v>442.05</v>
      </c>
      <c r="F619" s="15">
        <v>450.9</v>
      </c>
      <c r="G619" s="15">
        <v>443.5</v>
      </c>
      <c r="H619" s="15">
        <v>443.35</v>
      </c>
      <c r="I619" s="15">
        <v>445.97</v>
      </c>
      <c r="J619" s="15">
        <v>499.7</v>
      </c>
      <c r="K619" s="15">
        <v>308.85</v>
      </c>
      <c r="L619" s="15">
        <v>9270988</v>
      </c>
      <c r="M619" t="s" s="13">
        <v>9408</v>
      </c>
      <c r="N619" s="15">
        <v>169813</v>
      </c>
      <c r="O619" s="17" cm="1">
        <f t="array" ref="O619">(H619-H618)/H618</f>
        <v>-0.016744289199379</v>
      </c>
    </row>
    <row r="620" ht="13.65" customHeight="1">
      <c r="A620" s="18">
        <v>45166</v>
      </c>
      <c r="B620" t="s" s="13">
        <v>22</v>
      </c>
      <c r="C620" s="15">
        <v>445</v>
      </c>
      <c r="D620" s="15">
        <v>446.85</v>
      </c>
      <c r="E620" s="15">
        <v>441</v>
      </c>
      <c r="F620" s="15">
        <v>443.35</v>
      </c>
      <c r="G620" s="15">
        <v>441</v>
      </c>
      <c r="H620" s="15">
        <v>441.4</v>
      </c>
      <c r="I620" s="15">
        <v>443.37</v>
      </c>
      <c r="J620" s="15">
        <v>499.7</v>
      </c>
      <c r="K620" s="15">
        <v>308.85</v>
      </c>
      <c r="L620" s="15">
        <v>6910750</v>
      </c>
      <c r="M620" t="s" s="13">
        <v>9409</v>
      </c>
      <c r="N620" s="15">
        <v>125415</v>
      </c>
      <c r="O620" s="17" cm="1">
        <f t="array" ref="O620">(H620-H619)/H619</f>
        <v>-0.00439833088981617</v>
      </c>
    </row>
    <row r="621" ht="13.65" customHeight="1">
      <c r="A621" s="18">
        <v>45167</v>
      </c>
      <c r="B621" t="s" s="13">
        <v>22</v>
      </c>
      <c r="C621" s="15">
        <v>442.95</v>
      </c>
      <c r="D621" s="15">
        <v>444</v>
      </c>
      <c r="E621" s="15">
        <v>439.2</v>
      </c>
      <c r="F621" s="15">
        <v>441.4</v>
      </c>
      <c r="G621" s="15">
        <v>440.7</v>
      </c>
      <c r="H621" s="15">
        <v>440.1</v>
      </c>
      <c r="I621" s="15">
        <v>440.75</v>
      </c>
      <c r="J621" s="15">
        <v>499.7</v>
      </c>
      <c r="K621" s="15">
        <v>308.85</v>
      </c>
      <c r="L621" s="15">
        <v>9480003</v>
      </c>
      <c r="M621" t="s" s="13">
        <v>9410</v>
      </c>
      <c r="N621" s="15">
        <v>173053</v>
      </c>
      <c r="O621" s="17" cm="1">
        <f t="array" ref="O621">(H621-H620)/H620</f>
        <v>-0.00294517444494789</v>
      </c>
    </row>
    <row r="622" ht="13.65" customHeight="1">
      <c r="A622" s="18">
        <v>45168</v>
      </c>
      <c r="B622" t="s" s="13">
        <v>22</v>
      </c>
      <c r="C622" s="15">
        <v>441</v>
      </c>
      <c r="D622" s="15">
        <v>444</v>
      </c>
      <c r="E622" s="15">
        <v>440.5</v>
      </c>
      <c r="F622" s="15">
        <v>440.1</v>
      </c>
      <c r="G622" s="15">
        <v>443.1</v>
      </c>
      <c r="H622" s="15">
        <v>442.8</v>
      </c>
      <c r="I622" s="15">
        <v>442.53</v>
      </c>
      <c r="J622" s="15">
        <v>499.7</v>
      </c>
      <c r="K622" s="15">
        <v>308.85</v>
      </c>
      <c r="L622" s="15">
        <v>7364924</v>
      </c>
      <c r="M622" t="s" s="13">
        <v>9411</v>
      </c>
      <c r="N622" s="15">
        <v>129298</v>
      </c>
      <c r="O622" s="17" cm="1">
        <f t="array" ref="O622">(H622-H621)/H621</f>
        <v>0.00613496932515337</v>
      </c>
    </row>
    <row r="623" ht="13.65" customHeight="1">
      <c r="A623" s="18">
        <v>45169</v>
      </c>
      <c r="B623" t="s" s="13">
        <v>22</v>
      </c>
      <c r="C623" s="15">
        <v>443</v>
      </c>
      <c r="D623" s="15">
        <v>444.9</v>
      </c>
      <c r="E623" s="15">
        <v>436.1</v>
      </c>
      <c r="F623" s="15">
        <v>442.8</v>
      </c>
      <c r="G623" s="15">
        <v>439.5</v>
      </c>
      <c r="H623" s="15">
        <v>439.7</v>
      </c>
      <c r="I623" s="15">
        <v>439.7</v>
      </c>
      <c r="J623" s="15">
        <v>499.7</v>
      </c>
      <c r="K623" s="15">
        <v>308.85</v>
      </c>
      <c r="L623" s="15">
        <v>19900312</v>
      </c>
      <c r="M623" t="s" s="13">
        <v>9412</v>
      </c>
      <c r="N623" s="15">
        <v>226365</v>
      </c>
      <c r="O623" s="17" cm="1">
        <f t="array" ref="O623">(H623-H622)/H622</f>
        <v>-0.00700090334236676</v>
      </c>
    </row>
    <row r="624" ht="13.65" customHeight="1">
      <c r="A624" s="12">
        <v>45170</v>
      </c>
      <c r="B624" t="s" s="13">
        <v>22</v>
      </c>
      <c r="C624" s="15">
        <v>440</v>
      </c>
      <c r="D624" s="15">
        <v>445</v>
      </c>
      <c r="E624" s="15">
        <v>438.3</v>
      </c>
      <c r="F624" s="15">
        <v>439.7</v>
      </c>
      <c r="G624" s="15">
        <v>440</v>
      </c>
      <c r="H624" s="15">
        <v>441.05</v>
      </c>
      <c r="I624" s="15">
        <v>442.04</v>
      </c>
      <c r="J624" s="15">
        <v>499.7</v>
      </c>
      <c r="K624" s="15">
        <v>308.85</v>
      </c>
      <c r="L624" s="15">
        <v>11438624</v>
      </c>
      <c r="M624" t="s" s="13">
        <v>9413</v>
      </c>
      <c r="N624" s="15">
        <v>209049</v>
      </c>
      <c r="O624" s="17" cm="1">
        <f t="array" ref="O624">(H624-H623)/H623</f>
        <v>0.00307027518762793</v>
      </c>
    </row>
    <row r="625" ht="13.65" customHeight="1">
      <c r="A625" s="12">
        <v>45173</v>
      </c>
      <c r="B625" t="s" s="13">
        <v>22</v>
      </c>
      <c r="C625" s="15">
        <v>443.35</v>
      </c>
      <c r="D625" s="15">
        <v>443.35</v>
      </c>
      <c r="E625" s="15">
        <v>436.65</v>
      </c>
      <c r="F625" s="15">
        <v>441.05</v>
      </c>
      <c r="G625" s="15">
        <v>437.5</v>
      </c>
      <c r="H625" s="15">
        <v>437.5</v>
      </c>
      <c r="I625" s="15">
        <v>438.46</v>
      </c>
      <c r="J625" s="15">
        <v>499.7</v>
      </c>
      <c r="K625" s="15">
        <v>323.25</v>
      </c>
      <c r="L625" s="15">
        <v>13604608</v>
      </c>
      <c r="M625" t="s" s="13">
        <v>9414</v>
      </c>
      <c r="N625" s="15">
        <v>195519</v>
      </c>
      <c r="O625" s="17" cm="1">
        <f t="array" ref="O625">(H625-H624)/H624</f>
        <v>-0.008048974039224581</v>
      </c>
    </row>
    <row r="626" ht="13.65" customHeight="1">
      <c r="A626" s="12">
        <v>45174</v>
      </c>
      <c r="B626" t="s" s="13">
        <v>22</v>
      </c>
      <c r="C626" s="15">
        <v>438.9</v>
      </c>
      <c r="D626" s="15">
        <v>444.5</v>
      </c>
      <c r="E626" s="15">
        <v>438.5</v>
      </c>
      <c r="F626" s="15">
        <v>437.5</v>
      </c>
      <c r="G626" s="15">
        <v>444.15</v>
      </c>
      <c r="H626" s="15">
        <v>443.1</v>
      </c>
      <c r="I626" s="15">
        <v>441.31</v>
      </c>
      <c r="J626" s="15">
        <v>499.7</v>
      </c>
      <c r="K626" s="15">
        <v>323.25</v>
      </c>
      <c r="L626" s="15">
        <v>8378915</v>
      </c>
      <c r="M626" t="s" s="13">
        <v>9415</v>
      </c>
      <c r="N626" s="15">
        <v>125789</v>
      </c>
      <c r="O626" s="17" cm="1">
        <f t="array" ref="O626">(H626-H625)/H625</f>
        <v>0.0128</v>
      </c>
    </row>
    <row r="627" ht="13.65" customHeight="1">
      <c r="A627" s="12">
        <v>45175</v>
      </c>
      <c r="B627" t="s" s="13">
        <v>22</v>
      </c>
      <c r="C627" s="15">
        <v>443.95</v>
      </c>
      <c r="D627" s="15">
        <v>448.5</v>
      </c>
      <c r="E627" s="15">
        <v>442</v>
      </c>
      <c r="F627" s="15">
        <v>443.1</v>
      </c>
      <c r="G627" s="15">
        <v>448</v>
      </c>
      <c r="H627" s="15">
        <v>447.45</v>
      </c>
      <c r="I627" s="15">
        <v>445.72</v>
      </c>
      <c r="J627" s="15">
        <v>499.7</v>
      </c>
      <c r="K627" s="15">
        <v>323.25</v>
      </c>
      <c r="L627" s="15">
        <v>12863039</v>
      </c>
      <c r="M627" t="s" s="13">
        <v>9416</v>
      </c>
      <c r="N627" s="15">
        <v>179677</v>
      </c>
      <c r="O627" s="17" cm="1">
        <f t="array" ref="O627">(H627-H626)/H626</f>
        <v>0.00981719702098849</v>
      </c>
    </row>
    <row r="628" ht="13.65" customHeight="1">
      <c r="A628" s="12">
        <v>45176</v>
      </c>
      <c r="B628" t="s" s="13">
        <v>22</v>
      </c>
      <c r="C628" s="15">
        <v>448.8</v>
      </c>
      <c r="D628" s="15">
        <v>449</v>
      </c>
      <c r="E628" s="15">
        <v>444.6</v>
      </c>
      <c r="F628" s="15">
        <v>447.45</v>
      </c>
      <c r="G628" s="15">
        <v>446</v>
      </c>
      <c r="H628" s="15">
        <v>445.9</v>
      </c>
      <c r="I628" s="15">
        <v>446.01</v>
      </c>
      <c r="J628" s="15">
        <v>499.7</v>
      </c>
      <c r="K628" s="15">
        <v>323.25</v>
      </c>
      <c r="L628" s="15">
        <v>8090369</v>
      </c>
      <c r="M628" t="s" s="13">
        <v>9417</v>
      </c>
      <c r="N628" s="15">
        <v>119372</v>
      </c>
      <c r="O628" s="17" cm="1">
        <f t="array" ref="O628">(H628-H627)/H627</f>
        <v>-0.00346407419823444</v>
      </c>
    </row>
    <row r="629" ht="13.65" customHeight="1">
      <c r="A629" s="12">
        <v>45177</v>
      </c>
      <c r="B629" t="s" s="13">
        <v>22</v>
      </c>
      <c r="C629" s="15">
        <v>447.9</v>
      </c>
      <c r="D629" s="15">
        <v>447.9</v>
      </c>
      <c r="E629" s="15">
        <v>441.85</v>
      </c>
      <c r="F629" s="15">
        <v>445.9</v>
      </c>
      <c r="G629" s="15">
        <v>442.7</v>
      </c>
      <c r="H629" s="15">
        <v>442.65</v>
      </c>
      <c r="I629" s="15">
        <v>443.46</v>
      </c>
      <c r="J629" s="15">
        <v>499.7</v>
      </c>
      <c r="K629" s="15">
        <v>323.25</v>
      </c>
      <c r="L629" s="15">
        <v>9939517</v>
      </c>
      <c r="M629" t="s" s="13">
        <v>9418</v>
      </c>
      <c r="N629" s="15">
        <v>138338</v>
      </c>
      <c r="O629" s="17" cm="1">
        <f t="array" ref="O629">(H629-H628)/H628</f>
        <v>-0.00728862973760933</v>
      </c>
    </row>
    <row r="630" ht="13.65" customHeight="1">
      <c r="A630" s="18">
        <v>45180</v>
      </c>
      <c r="B630" t="s" s="13">
        <v>22</v>
      </c>
      <c r="C630" s="15">
        <v>446</v>
      </c>
      <c r="D630" s="15">
        <v>448.1</v>
      </c>
      <c r="E630" s="15">
        <v>442.65</v>
      </c>
      <c r="F630" s="15">
        <v>442.65</v>
      </c>
      <c r="G630" s="15">
        <v>447.95</v>
      </c>
      <c r="H630" s="15">
        <v>447.2</v>
      </c>
      <c r="I630" s="15">
        <v>445.08</v>
      </c>
      <c r="J630" s="15">
        <v>499.7</v>
      </c>
      <c r="K630" s="15">
        <v>323.25</v>
      </c>
      <c r="L630" s="15">
        <v>9320577</v>
      </c>
      <c r="M630" t="s" s="13">
        <v>9419</v>
      </c>
      <c r="N630" s="15">
        <v>165092</v>
      </c>
      <c r="O630" s="17" cm="1">
        <f t="array" ref="O630">(H630-H629)/H629</f>
        <v>0.0102790014684288</v>
      </c>
    </row>
    <row r="631" ht="13.65" customHeight="1">
      <c r="A631" s="18">
        <v>45181</v>
      </c>
      <c r="B631" t="s" s="13">
        <v>22</v>
      </c>
      <c r="C631" s="15">
        <v>448.9</v>
      </c>
      <c r="D631" s="15">
        <v>454.3</v>
      </c>
      <c r="E631" s="15">
        <v>445.6</v>
      </c>
      <c r="F631" s="15">
        <v>447.2</v>
      </c>
      <c r="G631" s="15">
        <v>451</v>
      </c>
      <c r="H631" s="15">
        <v>451.15</v>
      </c>
      <c r="I631" s="15">
        <v>450.56</v>
      </c>
      <c r="J631" s="15">
        <v>499.7</v>
      </c>
      <c r="K631" s="15">
        <v>323.25</v>
      </c>
      <c r="L631" s="15">
        <v>14406441</v>
      </c>
      <c r="M631" t="s" s="13">
        <v>9420</v>
      </c>
      <c r="N631" s="15">
        <v>203436</v>
      </c>
      <c r="O631" s="17" cm="1">
        <f t="array" ref="O631">(H631-H630)/H630</f>
        <v>0.00883273703041145</v>
      </c>
    </row>
    <row r="632" ht="13.65" customHeight="1">
      <c r="A632" s="18">
        <v>45182</v>
      </c>
      <c r="B632" t="s" s="13">
        <v>22</v>
      </c>
      <c r="C632" s="15">
        <v>452.2</v>
      </c>
      <c r="D632" s="15">
        <v>457</v>
      </c>
      <c r="E632" s="15">
        <v>451.1</v>
      </c>
      <c r="F632" s="15">
        <v>451.15</v>
      </c>
      <c r="G632" s="15">
        <v>453.3</v>
      </c>
      <c r="H632" s="15">
        <v>453.5</v>
      </c>
      <c r="I632" s="15">
        <v>453.91</v>
      </c>
      <c r="J632" s="15">
        <v>499.7</v>
      </c>
      <c r="K632" s="15">
        <v>323.25</v>
      </c>
      <c r="L632" s="15">
        <v>11813170</v>
      </c>
      <c r="M632" t="s" s="13">
        <v>9421</v>
      </c>
      <c r="N632" s="15">
        <v>169384</v>
      </c>
      <c r="O632" s="17" cm="1">
        <f t="array" ref="O632">(H632-H631)/H631</f>
        <v>0.00520891056189737</v>
      </c>
    </row>
    <row r="633" ht="13.65" customHeight="1">
      <c r="A633" s="18">
        <v>45183</v>
      </c>
      <c r="B633" t="s" s="13">
        <v>22</v>
      </c>
      <c r="C633" s="15">
        <v>455.9</v>
      </c>
      <c r="D633" s="15">
        <v>455.9</v>
      </c>
      <c r="E633" s="15">
        <v>447.15</v>
      </c>
      <c r="F633" s="15">
        <v>453.5</v>
      </c>
      <c r="G633" s="15">
        <v>450.35</v>
      </c>
      <c r="H633" s="15">
        <v>449.95</v>
      </c>
      <c r="I633" s="15">
        <v>450.17</v>
      </c>
      <c r="J633" s="15">
        <v>499.7</v>
      </c>
      <c r="K633" s="15">
        <v>323.25</v>
      </c>
      <c r="L633" s="15">
        <v>14430930</v>
      </c>
      <c r="M633" t="s" s="13">
        <v>9422</v>
      </c>
      <c r="N633" s="15">
        <v>216539</v>
      </c>
      <c r="O633" s="17" cm="1">
        <f t="array" ref="O633">(H633-H632)/H632</f>
        <v>-0.00782800441014333</v>
      </c>
    </row>
    <row r="634" ht="13.65" customHeight="1">
      <c r="A634" s="18">
        <v>45184</v>
      </c>
      <c r="B634" t="s" s="13">
        <v>22</v>
      </c>
      <c r="C634" s="15">
        <v>448.05</v>
      </c>
      <c r="D634" s="15">
        <v>452.1</v>
      </c>
      <c r="E634" s="15">
        <v>447</v>
      </c>
      <c r="F634" s="15">
        <v>449.95</v>
      </c>
      <c r="G634" s="15">
        <v>447.9</v>
      </c>
      <c r="H634" s="15">
        <v>448.35</v>
      </c>
      <c r="I634" s="15">
        <v>449.1</v>
      </c>
      <c r="J634" s="15">
        <v>499.7</v>
      </c>
      <c r="K634" s="15">
        <v>323.25</v>
      </c>
      <c r="L634" s="15">
        <v>15077136</v>
      </c>
      <c r="M634" t="s" s="13">
        <v>9423</v>
      </c>
      <c r="N634" s="15">
        <v>158789</v>
      </c>
      <c r="O634" s="17" cm="1">
        <f t="array" ref="O634">(H634-H633)/H633</f>
        <v>-0.00355595066118458</v>
      </c>
    </row>
    <row r="635" ht="13.65" customHeight="1">
      <c r="A635" s="18">
        <v>45187</v>
      </c>
      <c r="B635" t="s" s="13">
        <v>22</v>
      </c>
      <c r="C635" s="15">
        <v>448.35</v>
      </c>
      <c r="D635" s="15">
        <v>454</v>
      </c>
      <c r="E635" s="15">
        <v>446.2</v>
      </c>
      <c r="F635" s="15">
        <v>448.35</v>
      </c>
      <c r="G635" s="15">
        <v>451.95</v>
      </c>
      <c r="H635" s="15">
        <v>452.05</v>
      </c>
      <c r="I635" s="15">
        <v>451.88</v>
      </c>
      <c r="J635" s="15">
        <v>499.7</v>
      </c>
      <c r="K635" s="15">
        <v>323.25</v>
      </c>
      <c r="L635" s="15">
        <v>8197425</v>
      </c>
      <c r="M635" t="s" s="13">
        <v>9424</v>
      </c>
      <c r="N635" s="15">
        <v>134382</v>
      </c>
      <c r="O635" s="17" cm="1">
        <f t="array" ref="O635">(H635-H634)/H634</f>
        <v>0.00825248132039701</v>
      </c>
    </row>
    <row r="636" ht="13.65" customHeight="1">
      <c r="A636" s="18">
        <v>45189</v>
      </c>
      <c r="B636" t="s" s="13">
        <v>22</v>
      </c>
      <c r="C636" s="15">
        <v>451.7</v>
      </c>
      <c r="D636" s="15">
        <v>455.1</v>
      </c>
      <c r="E636" s="15">
        <v>449.55</v>
      </c>
      <c r="F636" s="15">
        <v>452.05</v>
      </c>
      <c r="G636" s="15">
        <v>452.85</v>
      </c>
      <c r="H636" s="15">
        <v>452.95</v>
      </c>
      <c r="I636" s="15">
        <v>453.08</v>
      </c>
      <c r="J636" s="15">
        <v>499.7</v>
      </c>
      <c r="K636" s="15">
        <v>323.25</v>
      </c>
      <c r="L636" s="15">
        <v>9959649</v>
      </c>
      <c r="M636" t="s" s="13">
        <v>9425</v>
      </c>
      <c r="N636" s="15">
        <v>149782</v>
      </c>
      <c r="O636" s="17" cm="1">
        <f t="array" ref="O636">(H636-H635)/H635</f>
        <v>0.00199093020683553</v>
      </c>
    </row>
    <row r="637" ht="13.65" customHeight="1">
      <c r="A637" s="18">
        <v>45190</v>
      </c>
      <c r="B637" t="s" s="13">
        <v>22</v>
      </c>
      <c r="C637" s="15">
        <v>452.8</v>
      </c>
      <c r="D637" s="15">
        <v>453.55</v>
      </c>
      <c r="E637" s="15">
        <v>444.5</v>
      </c>
      <c r="F637" s="15">
        <v>452.95</v>
      </c>
      <c r="G637" s="15">
        <v>447.5</v>
      </c>
      <c r="H637" s="15">
        <v>447.5</v>
      </c>
      <c r="I637" s="15">
        <v>447.41</v>
      </c>
      <c r="J637" s="15">
        <v>499.7</v>
      </c>
      <c r="K637" s="15">
        <v>323.25</v>
      </c>
      <c r="L637" s="15">
        <v>10719470</v>
      </c>
      <c r="M637" t="s" s="13">
        <v>9426</v>
      </c>
      <c r="N637" s="15">
        <v>187202</v>
      </c>
      <c r="O637" s="17" cm="1">
        <f t="array" ref="O637">(H637-H636)/H636</f>
        <v>-0.0120322331383155</v>
      </c>
    </row>
    <row r="638" ht="13.65" customHeight="1">
      <c r="A638" s="18">
        <v>45191</v>
      </c>
      <c r="B638" t="s" s="13">
        <v>22</v>
      </c>
      <c r="C638" s="15">
        <v>447.5</v>
      </c>
      <c r="D638" s="15">
        <v>448.4</v>
      </c>
      <c r="E638" s="15">
        <v>442.25</v>
      </c>
      <c r="F638" s="15">
        <v>447.5</v>
      </c>
      <c r="G638" s="15">
        <v>442.5</v>
      </c>
      <c r="H638" s="15">
        <v>443.1</v>
      </c>
      <c r="I638" s="15">
        <v>444.33</v>
      </c>
      <c r="J638" s="15">
        <v>499.7</v>
      </c>
      <c r="K638" s="15">
        <v>323.25</v>
      </c>
      <c r="L638" s="15">
        <v>7506309</v>
      </c>
      <c r="M638" t="s" s="13">
        <v>9427</v>
      </c>
      <c r="N638" s="15">
        <v>195313</v>
      </c>
      <c r="O638" s="17" cm="1">
        <f t="array" ref="O638">(H638-H637)/H637</f>
        <v>-0.009832402234636869</v>
      </c>
    </row>
    <row r="639" ht="13.65" customHeight="1">
      <c r="A639" s="18">
        <v>45194</v>
      </c>
      <c r="B639" t="s" s="13">
        <v>22</v>
      </c>
      <c r="C639" s="15">
        <v>443.1</v>
      </c>
      <c r="D639" s="15">
        <v>444.8</v>
      </c>
      <c r="E639" s="15">
        <v>438.35</v>
      </c>
      <c r="F639" s="15">
        <v>443.1</v>
      </c>
      <c r="G639" s="15">
        <v>443.1</v>
      </c>
      <c r="H639" s="15">
        <v>442.6</v>
      </c>
      <c r="I639" s="15">
        <v>441.75</v>
      </c>
      <c r="J639" s="15">
        <v>499.7</v>
      </c>
      <c r="K639" s="15">
        <v>323.25</v>
      </c>
      <c r="L639" s="15">
        <v>5782955</v>
      </c>
      <c r="M639" t="s" s="13">
        <v>9428</v>
      </c>
      <c r="N639" s="15">
        <v>126229</v>
      </c>
      <c r="O639" s="17" cm="1">
        <f t="array" ref="O639">(H639-H638)/H638</f>
        <v>-0.00112841345068833</v>
      </c>
    </row>
    <row r="640" ht="13.65" customHeight="1">
      <c r="A640" s="18">
        <v>45195</v>
      </c>
      <c r="B640" t="s" s="13">
        <v>22</v>
      </c>
      <c r="C640" s="15">
        <v>443.6</v>
      </c>
      <c r="D640" s="15">
        <v>444.5</v>
      </c>
      <c r="E640" s="15">
        <v>439.7</v>
      </c>
      <c r="F640" s="15">
        <v>442.6</v>
      </c>
      <c r="G640" s="15">
        <v>442.8</v>
      </c>
      <c r="H640" s="15">
        <v>442.45</v>
      </c>
      <c r="I640" s="15">
        <v>442.01</v>
      </c>
      <c r="J640" s="15">
        <v>499.7</v>
      </c>
      <c r="K640" s="15">
        <v>323.25</v>
      </c>
      <c r="L640" s="15">
        <v>5327833</v>
      </c>
      <c r="M640" t="s" s="13">
        <v>9429</v>
      </c>
      <c r="N640" s="15">
        <v>114357</v>
      </c>
      <c r="O640" s="17" cm="1">
        <f t="array" ref="O640">(H640-H639)/H639</f>
        <v>-0.000338906461816539</v>
      </c>
    </row>
    <row r="641" ht="13.65" customHeight="1">
      <c r="A641" s="18">
        <v>45196</v>
      </c>
      <c r="B641" t="s" s="13">
        <v>22</v>
      </c>
      <c r="C641" s="15">
        <v>442.45</v>
      </c>
      <c r="D641" s="15">
        <v>449.8</v>
      </c>
      <c r="E641" s="15">
        <v>438.8</v>
      </c>
      <c r="F641" s="15">
        <v>442.45</v>
      </c>
      <c r="G641" s="15">
        <v>449.35</v>
      </c>
      <c r="H641" s="15">
        <v>449.15</v>
      </c>
      <c r="I641" s="15">
        <v>445.78</v>
      </c>
      <c r="J641" s="15">
        <v>499.7</v>
      </c>
      <c r="K641" s="15">
        <v>323.25</v>
      </c>
      <c r="L641" s="15">
        <v>10490786</v>
      </c>
      <c r="M641" t="s" s="13">
        <v>9430</v>
      </c>
      <c r="N641" s="15">
        <v>161084</v>
      </c>
      <c r="O641" s="17" cm="1">
        <f t="array" ref="O641">(H641-H640)/H640</f>
        <v>0.0151429540061024</v>
      </c>
    </row>
    <row r="642" ht="13.65" customHeight="1">
      <c r="A642" s="18">
        <v>45197</v>
      </c>
      <c r="B642" t="s" s="13">
        <v>22</v>
      </c>
      <c r="C642" s="15">
        <v>449.95</v>
      </c>
      <c r="D642" s="15">
        <v>449.95</v>
      </c>
      <c r="E642" s="15">
        <v>439.6</v>
      </c>
      <c r="F642" s="15">
        <v>449.15</v>
      </c>
      <c r="G642" s="15">
        <v>441.15</v>
      </c>
      <c r="H642" s="15">
        <v>440.75</v>
      </c>
      <c r="I642" s="15">
        <v>442.49</v>
      </c>
      <c r="J642" s="15">
        <v>499.7</v>
      </c>
      <c r="K642" s="15">
        <v>323.25</v>
      </c>
      <c r="L642" s="15">
        <v>10216736</v>
      </c>
      <c r="M642" t="s" s="13">
        <v>9431</v>
      </c>
      <c r="N642" s="15">
        <v>155680</v>
      </c>
      <c r="O642" s="17" cm="1">
        <f t="array" ref="O642">(H642-H641)/H641</f>
        <v>-0.0187019926527886</v>
      </c>
    </row>
    <row r="643" ht="13.65" customHeight="1">
      <c r="A643" s="18">
        <v>45198</v>
      </c>
      <c r="B643" t="s" s="13">
        <v>22</v>
      </c>
      <c r="C643" s="15">
        <v>442</v>
      </c>
      <c r="D643" s="15">
        <v>445.6</v>
      </c>
      <c r="E643" s="15">
        <v>439.2</v>
      </c>
      <c r="F643" s="15">
        <v>440.75</v>
      </c>
      <c r="G643" s="15">
        <v>443.5</v>
      </c>
      <c r="H643" s="15">
        <v>444.4</v>
      </c>
      <c r="I643" s="15">
        <v>443.32</v>
      </c>
      <c r="J643" s="15">
        <v>499.7</v>
      </c>
      <c r="K643" s="15">
        <v>323.25</v>
      </c>
      <c r="L643" s="15">
        <v>8160058</v>
      </c>
      <c r="M643" t="s" s="13">
        <v>9432</v>
      </c>
      <c r="N643" s="15">
        <v>138714</v>
      </c>
      <c r="O643" s="17" cm="1">
        <f t="array" ref="O643">(H643-H642)/H642</f>
        <v>0.008281338627339759</v>
      </c>
    </row>
    <row r="644" ht="13.65" customHeight="1">
      <c r="A644" s="12">
        <v>45202</v>
      </c>
      <c r="B644" t="s" s="13">
        <v>22</v>
      </c>
      <c r="C644" s="15">
        <v>441</v>
      </c>
      <c r="D644" s="15">
        <v>442.9</v>
      </c>
      <c r="E644" s="15">
        <v>439.25</v>
      </c>
      <c r="F644" s="15">
        <v>444.4</v>
      </c>
      <c r="G644" s="15">
        <v>439.65</v>
      </c>
      <c r="H644" s="15">
        <v>439.75</v>
      </c>
      <c r="I644" s="15">
        <v>440.62</v>
      </c>
      <c r="J644" s="15">
        <v>499.7</v>
      </c>
      <c r="K644" s="15">
        <v>323.25</v>
      </c>
      <c r="L644" s="15">
        <v>7481883</v>
      </c>
      <c r="M644" t="s" s="13">
        <v>9433</v>
      </c>
      <c r="N644" s="15">
        <v>186900</v>
      </c>
      <c r="O644" s="17" cm="1">
        <f t="array" ref="O644">(H644-H643)/H643</f>
        <v>-0.0104635463546355</v>
      </c>
    </row>
    <row r="645" ht="13.65" customHeight="1">
      <c r="A645" s="12">
        <v>45203</v>
      </c>
      <c r="B645" t="s" s="13">
        <v>22</v>
      </c>
      <c r="C645" s="15">
        <v>439.75</v>
      </c>
      <c r="D645" s="15">
        <v>441.7</v>
      </c>
      <c r="E645" s="15">
        <v>433.3</v>
      </c>
      <c r="F645" s="15">
        <v>439.75</v>
      </c>
      <c r="G645" s="15">
        <v>435.35</v>
      </c>
      <c r="H645" s="15">
        <v>436.1</v>
      </c>
      <c r="I645" s="15">
        <v>437.58</v>
      </c>
      <c r="J645" s="15">
        <v>499.7</v>
      </c>
      <c r="K645" s="15">
        <v>323.25</v>
      </c>
      <c r="L645" s="15">
        <v>13396709</v>
      </c>
      <c r="M645" t="s" s="13">
        <v>9434</v>
      </c>
      <c r="N645" s="15">
        <v>219368</v>
      </c>
      <c r="O645" s="17" cm="1">
        <f t="array" ref="O645">(H645-H644)/H644</f>
        <v>-0.008300170551449691</v>
      </c>
    </row>
    <row r="646" ht="13.65" customHeight="1">
      <c r="A646" s="12">
        <v>45204</v>
      </c>
      <c r="B646" t="s" s="13">
        <v>22</v>
      </c>
      <c r="C646" s="15">
        <v>440</v>
      </c>
      <c r="D646" s="15">
        <v>440.5</v>
      </c>
      <c r="E646" s="15">
        <v>435.05</v>
      </c>
      <c r="F646" s="15">
        <v>436.1</v>
      </c>
      <c r="G646" s="15">
        <v>436.6</v>
      </c>
      <c r="H646" s="15">
        <v>436.05</v>
      </c>
      <c r="I646" s="15">
        <v>437.31</v>
      </c>
      <c r="J646" s="15">
        <v>499.7</v>
      </c>
      <c r="K646" s="15">
        <v>323.25</v>
      </c>
      <c r="L646" s="15">
        <v>10030257</v>
      </c>
      <c r="M646" t="s" s="13">
        <v>9435</v>
      </c>
      <c r="N646" s="15">
        <v>194053</v>
      </c>
      <c r="O646" s="17" cm="1">
        <f t="array" ref="O646">(H646-H645)/H645</f>
        <v>-0.000114652602614079</v>
      </c>
    </row>
    <row r="647" ht="13.65" customHeight="1">
      <c r="A647" s="12">
        <v>45205</v>
      </c>
      <c r="B647" t="s" s="13">
        <v>22</v>
      </c>
      <c r="C647" s="15">
        <v>437.85</v>
      </c>
      <c r="D647" s="15">
        <v>443.6</v>
      </c>
      <c r="E647" s="15">
        <v>436.65</v>
      </c>
      <c r="F647" s="15">
        <v>436.05</v>
      </c>
      <c r="G647" s="15">
        <v>442.6</v>
      </c>
      <c r="H647" s="15">
        <v>442.15</v>
      </c>
      <c r="I647" s="15">
        <v>441.76</v>
      </c>
      <c r="J647" s="15">
        <v>499.7</v>
      </c>
      <c r="K647" s="15">
        <v>323.25</v>
      </c>
      <c r="L647" s="15">
        <v>8418580</v>
      </c>
      <c r="M647" t="s" s="13">
        <v>9436</v>
      </c>
      <c r="N647" s="15">
        <v>146980</v>
      </c>
      <c r="O647" s="17" cm="1">
        <f t="array" ref="O647">(H647-H646)/H646</f>
        <v>0.013989221419562</v>
      </c>
    </row>
    <row r="648" ht="13.65" customHeight="1">
      <c r="A648" s="12">
        <v>45208</v>
      </c>
      <c r="B648" t="s" s="13">
        <v>22</v>
      </c>
      <c r="C648" s="15">
        <v>440.95</v>
      </c>
      <c r="D648" s="15">
        <v>443.2</v>
      </c>
      <c r="E648" s="15">
        <v>437.25</v>
      </c>
      <c r="F648" s="15">
        <v>442.15</v>
      </c>
      <c r="G648" s="15">
        <v>439.65</v>
      </c>
      <c r="H648" s="15">
        <v>440.45</v>
      </c>
      <c r="I648" s="15">
        <v>440.61</v>
      </c>
      <c r="J648" s="15">
        <v>499.7</v>
      </c>
      <c r="K648" s="15">
        <v>324.75</v>
      </c>
      <c r="L648" s="15">
        <v>5611154</v>
      </c>
      <c r="M648" t="s" s="13">
        <v>9437</v>
      </c>
      <c r="N648" s="15">
        <v>131925</v>
      </c>
      <c r="O648" s="17" cm="1">
        <f t="array" ref="O648">(H648-H647)/H647</f>
        <v>-0.00384484903313355</v>
      </c>
    </row>
    <row r="649" ht="13.65" customHeight="1">
      <c r="A649" s="18">
        <v>45209</v>
      </c>
      <c r="B649" t="s" s="13">
        <v>22</v>
      </c>
      <c r="C649" s="15">
        <v>440.45</v>
      </c>
      <c r="D649" s="15">
        <v>444.85</v>
      </c>
      <c r="E649" s="15">
        <v>440.45</v>
      </c>
      <c r="F649" s="15">
        <v>440.45</v>
      </c>
      <c r="G649" s="15">
        <v>444.7</v>
      </c>
      <c r="H649" s="15">
        <v>444.4</v>
      </c>
      <c r="I649" s="15">
        <v>443.47</v>
      </c>
      <c r="J649" s="15">
        <v>499.7</v>
      </c>
      <c r="K649" s="15">
        <v>324.75</v>
      </c>
      <c r="L649" s="15">
        <v>5014758</v>
      </c>
      <c r="M649" t="s" s="13">
        <v>9438</v>
      </c>
      <c r="N649" s="15">
        <v>141128</v>
      </c>
      <c r="O649" s="17" cm="1">
        <f t="array" ref="O649">(H649-H648)/H648</f>
        <v>0.00896810080599387</v>
      </c>
    </row>
    <row r="650" ht="13.65" customHeight="1">
      <c r="A650" s="18">
        <v>45210</v>
      </c>
      <c r="B650" t="s" s="13">
        <v>22</v>
      </c>
      <c r="C650" s="15">
        <v>447.2</v>
      </c>
      <c r="D650" s="15">
        <v>449.45</v>
      </c>
      <c r="E650" s="15">
        <v>444.8</v>
      </c>
      <c r="F650" s="15">
        <v>444.4</v>
      </c>
      <c r="G650" s="15">
        <v>447.5</v>
      </c>
      <c r="H650" s="15">
        <v>448.25</v>
      </c>
      <c r="I650" s="15">
        <v>447.45</v>
      </c>
      <c r="J650" s="15">
        <v>499.7</v>
      </c>
      <c r="K650" s="15">
        <v>324.75</v>
      </c>
      <c r="L650" s="15">
        <v>7651513</v>
      </c>
      <c r="M650" t="s" s="13">
        <v>9439</v>
      </c>
      <c r="N650" s="15">
        <v>119123</v>
      </c>
      <c r="O650" s="17" cm="1">
        <f t="array" ref="O650">(H650-H649)/H649</f>
        <v>0.008663366336633661</v>
      </c>
    </row>
    <row r="651" ht="13.65" customHeight="1">
      <c r="A651" s="18">
        <v>45211</v>
      </c>
      <c r="B651" t="s" s="13">
        <v>22</v>
      </c>
      <c r="C651" s="15">
        <v>449.65</v>
      </c>
      <c r="D651" s="15">
        <v>452.5</v>
      </c>
      <c r="E651" s="15">
        <v>446.15</v>
      </c>
      <c r="F651" s="15">
        <v>448.25</v>
      </c>
      <c r="G651" s="15">
        <v>451</v>
      </c>
      <c r="H651" s="15">
        <v>450.7</v>
      </c>
      <c r="I651" s="15">
        <v>450.47</v>
      </c>
      <c r="J651" s="15">
        <v>499.7</v>
      </c>
      <c r="K651" s="15">
        <v>324.75</v>
      </c>
      <c r="L651" s="15">
        <v>11774487</v>
      </c>
      <c r="M651" t="s" s="13">
        <v>9440</v>
      </c>
      <c r="N651" s="15">
        <v>127972</v>
      </c>
      <c r="O651" s="17" cm="1">
        <f t="array" ref="O651">(H651-H650)/H650</f>
        <v>0.00546569994422755</v>
      </c>
    </row>
    <row r="652" ht="13.65" customHeight="1">
      <c r="A652" s="18">
        <v>45212</v>
      </c>
      <c r="B652" t="s" s="13">
        <v>22</v>
      </c>
      <c r="C652" s="15">
        <v>449.85</v>
      </c>
      <c r="D652" s="15">
        <v>451.8</v>
      </c>
      <c r="E652" s="15">
        <v>447</v>
      </c>
      <c r="F652" s="15">
        <v>450.7</v>
      </c>
      <c r="G652" s="15">
        <v>448</v>
      </c>
      <c r="H652" s="15">
        <v>448.35</v>
      </c>
      <c r="I652" s="15">
        <v>449.73</v>
      </c>
      <c r="J652" s="15">
        <v>499.7</v>
      </c>
      <c r="K652" s="15">
        <v>324.75</v>
      </c>
      <c r="L652" s="15">
        <v>7632483</v>
      </c>
      <c r="M652" t="s" s="13">
        <v>9441</v>
      </c>
      <c r="N652" s="15">
        <v>135556</v>
      </c>
      <c r="O652" s="17" cm="1">
        <f t="array" ref="O652">(H652-H651)/H651</f>
        <v>-0.00521411138229421</v>
      </c>
    </row>
    <row r="653" ht="13.65" customHeight="1">
      <c r="A653" s="18">
        <v>45215</v>
      </c>
      <c r="B653" t="s" s="13">
        <v>22</v>
      </c>
      <c r="C653" s="15">
        <v>448</v>
      </c>
      <c r="D653" s="15">
        <v>451</v>
      </c>
      <c r="E653" s="15">
        <v>446.2</v>
      </c>
      <c r="F653" s="15">
        <v>448.35</v>
      </c>
      <c r="G653" s="15">
        <v>448.2</v>
      </c>
      <c r="H653" s="15">
        <v>448.95</v>
      </c>
      <c r="I653" s="15">
        <v>449.42</v>
      </c>
      <c r="J653" s="15">
        <v>499.7</v>
      </c>
      <c r="K653" s="15">
        <v>325.35</v>
      </c>
      <c r="L653" s="15">
        <v>4214958</v>
      </c>
      <c r="M653" t="s" s="13">
        <v>9442</v>
      </c>
      <c r="N653" s="15">
        <v>103179</v>
      </c>
      <c r="O653" s="17" cm="1">
        <f t="array" ref="O653">(H653-H652)/H652</f>
        <v>0.00133824021411843</v>
      </c>
    </row>
    <row r="654" ht="13.65" customHeight="1">
      <c r="A654" s="18">
        <v>45216</v>
      </c>
      <c r="B654" t="s" s="13">
        <v>22</v>
      </c>
      <c r="C654" s="15">
        <v>449.8</v>
      </c>
      <c r="D654" s="15">
        <v>454.5</v>
      </c>
      <c r="E654" s="15">
        <v>449</v>
      </c>
      <c r="F654" s="15">
        <v>448.95</v>
      </c>
      <c r="G654" s="15">
        <v>453.5</v>
      </c>
      <c r="H654" s="15">
        <v>453.45</v>
      </c>
      <c r="I654" s="15">
        <v>452.96</v>
      </c>
      <c r="J654" s="15">
        <v>499.7</v>
      </c>
      <c r="K654" s="15">
        <v>325.35</v>
      </c>
      <c r="L654" s="15">
        <v>6936218</v>
      </c>
      <c r="M654" t="s" s="13">
        <v>9443</v>
      </c>
      <c r="N654" s="15">
        <v>119724</v>
      </c>
      <c r="O654" s="17" cm="1">
        <f t="array" ref="O654">(H654-H653)/H653</f>
        <v>0.0100233879051119</v>
      </c>
    </row>
    <row r="655" ht="13.65" customHeight="1">
      <c r="A655" s="18">
        <v>45217</v>
      </c>
      <c r="B655" t="s" s="13">
        <v>22</v>
      </c>
      <c r="C655" s="15">
        <v>454.25</v>
      </c>
      <c r="D655" s="15">
        <v>458.2</v>
      </c>
      <c r="E655" s="15">
        <v>451</v>
      </c>
      <c r="F655" s="15">
        <v>453.45</v>
      </c>
      <c r="G655" s="15">
        <v>451.7</v>
      </c>
      <c r="H655" s="15">
        <v>451.65</v>
      </c>
      <c r="I655" s="15">
        <v>454.49</v>
      </c>
      <c r="J655" s="15">
        <v>499.7</v>
      </c>
      <c r="K655" s="15">
        <v>325.35</v>
      </c>
      <c r="L655" s="15">
        <v>6894947</v>
      </c>
      <c r="M655" t="s" s="13">
        <v>9444</v>
      </c>
      <c r="N655" s="15">
        <v>155654</v>
      </c>
      <c r="O655" s="17" cm="1">
        <f t="array" ref="O655">(H655-H654)/H654</f>
        <v>-0.00396956665564009</v>
      </c>
    </row>
    <row r="656" ht="13.65" customHeight="1">
      <c r="A656" s="18">
        <v>45218</v>
      </c>
      <c r="B656" t="s" s="13">
        <v>22</v>
      </c>
      <c r="C656" s="15">
        <v>449.75</v>
      </c>
      <c r="D656" s="15">
        <v>454.9</v>
      </c>
      <c r="E656" s="15">
        <v>446.85</v>
      </c>
      <c r="F656" s="15">
        <v>451.65</v>
      </c>
      <c r="G656" s="15">
        <v>450.05</v>
      </c>
      <c r="H656" s="15">
        <v>450.4</v>
      </c>
      <c r="I656" s="15">
        <v>450.6</v>
      </c>
      <c r="J656" s="15">
        <v>499.7</v>
      </c>
      <c r="K656" s="15">
        <v>325.35</v>
      </c>
      <c r="L656" s="15">
        <v>9465463</v>
      </c>
      <c r="M656" t="s" s="13">
        <v>9445</v>
      </c>
      <c r="N656" s="15">
        <v>228007</v>
      </c>
      <c r="O656" s="17" cm="1">
        <f t="array" ref="O656">(H656-H655)/H655</f>
        <v>-0.00276762980183771</v>
      </c>
    </row>
    <row r="657" ht="13.65" customHeight="1">
      <c r="A657" s="18">
        <v>45219</v>
      </c>
      <c r="B657" t="s" s="13">
        <v>22</v>
      </c>
      <c r="C657" s="15">
        <v>445</v>
      </c>
      <c r="D657" s="15">
        <v>449</v>
      </c>
      <c r="E657" s="15">
        <v>437.35</v>
      </c>
      <c r="F657" s="15">
        <v>450.4</v>
      </c>
      <c r="G657" s="15">
        <v>438</v>
      </c>
      <c r="H657" s="15">
        <v>438.3</v>
      </c>
      <c r="I657" s="15">
        <v>440.74</v>
      </c>
      <c r="J657" s="15">
        <v>499.7</v>
      </c>
      <c r="K657" s="15">
        <v>325.35</v>
      </c>
      <c r="L657" s="15">
        <v>13020371</v>
      </c>
      <c r="M657" t="s" s="13">
        <v>9446</v>
      </c>
      <c r="N657" s="15">
        <v>347081</v>
      </c>
      <c r="O657" s="17" cm="1">
        <f t="array" ref="O657">(H657-H656)/H656</f>
        <v>-0.0268650088809947</v>
      </c>
    </row>
    <row r="658" ht="13.65" customHeight="1">
      <c r="A658" s="18">
        <v>45222</v>
      </c>
      <c r="B658" t="s" s="13">
        <v>22</v>
      </c>
      <c r="C658" s="15">
        <v>438</v>
      </c>
      <c r="D658" s="15">
        <v>439.95</v>
      </c>
      <c r="E658" s="15">
        <v>433.1</v>
      </c>
      <c r="F658" s="15">
        <v>438.3</v>
      </c>
      <c r="G658" s="15">
        <v>434.6</v>
      </c>
      <c r="H658" s="15">
        <v>435.9</v>
      </c>
      <c r="I658" s="15">
        <v>436.65</v>
      </c>
      <c r="J658" s="15">
        <v>499.7</v>
      </c>
      <c r="K658" s="15">
        <v>325.35</v>
      </c>
      <c r="L658" s="15">
        <v>7275471</v>
      </c>
      <c r="M658" t="s" s="13">
        <v>9447</v>
      </c>
      <c r="N658" s="15">
        <v>170442</v>
      </c>
      <c r="O658" s="17" cm="1">
        <f t="array" ref="O658">(H658-H657)/H657</f>
        <v>-0.0054757015742642</v>
      </c>
    </row>
    <row r="659" ht="13.65" customHeight="1">
      <c r="A659" s="18">
        <v>45224</v>
      </c>
      <c r="B659" t="s" s="13">
        <v>22</v>
      </c>
      <c r="C659" s="15">
        <v>436.9</v>
      </c>
      <c r="D659" s="15">
        <v>438</v>
      </c>
      <c r="E659" s="15">
        <v>427.05</v>
      </c>
      <c r="F659" s="15">
        <v>435.9</v>
      </c>
      <c r="G659" s="15">
        <v>432.3</v>
      </c>
      <c r="H659" s="15">
        <v>432.7</v>
      </c>
      <c r="I659" s="15">
        <v>432.29</v>
      </c>
      <c r="J659" s="15">
        <v>499.7</v>
      </c>
      <c r="K659" s="15">
        <v>325.35</v>
      </c>
      <c r="L659" s="15">
        <v>10889221</v>
      </c>
      <c r="M659" t="s" s="13">
        <v>9448</v>
      </c>
      <c r="N659" s="15">
        <v>227701</v>
      </c>
      <c r="O659" s="17" cm="1">
        <f t="array" ref="O659">(H659-H658)/H658</f>
        <v>-0.00734113328745125</v>
      </c>
    </row>
    <row r="660" ht="13.65" customHeight="1">
      <c r="A660" s="18">
        <v>45225</v>
      </c>
      <c r="B660" t="s" s="13">
        <v>22</v>
      </c>
      <c r="C660" s="15">
        <v>429.55</v>
      </c>
      <c r="D660" s="15">
        <v>436.6</v>
      </c>
      <c r="E660" s="15">
        <v>429.55</v>
      </c>
      <c r="F660" s="15">
        <v>432.7</v>
      </c>
      <c r="G660" s="15">
        <v>432.65</v>
      </c>
      <c r="H660" s="15">
        <v>434.35</v>
      </c>
      <c r="I660" s="15">
        <v>433.54</v>
      </c>
      <c r="J660" s="15">
        <v>499.7</v>
      </c>
      <c r="K660" s="15">
        <v>325.35</v>
      </c>
      <c r="L660" s="15">
        <v>18801214</v>
      </c>
      <c r="M660" t="s" s="13">
        <v>9449</v>
      </c>
      <c r="N660" s="15">
        <v>240264</v>
      </c>
      <c r="O660" s="17" cm="1">
        <f t="array" ref="O660">(H660-H659)/H659</f>
        <v>0.00381326554194592</v>
      </c>
    </row>
    <row r="661" ht="13.65" customHeight="1">
      <c r="A661" s="18">
        <v>45226</v>
      </c>
      <c r="B661" t="s" s="13">
        <v>22</v>
      </c>
      <c r="C661" s="15">
        <v>434.35</v>
      </c>
      <c r="D661" s="15">
        <v>436.8</v>
      </c>
      <c r="E661" s="15">
        <v>432.2</v>
      </c>
      <c r="F661" s="15">
        <v>434.35</v>
      </c>
      <c r="G661" s="15">
        <v>433.9</v>
      </c>
      <c r="H661" s="15">
        <v>433.75</v>
      </c>
      <c r="I661" s="15">
        <v>434</v>
      </c>
      <c r="J661" s="15">
        <v>499.7</v>
      </c>
      <c r="K661" s="15">
        <v>325.35</v>
      </c>
      <c r="L661" s="15">
        <v>13132487</v>
      </c>
      <c r="M661" t="s" s="13">
        <v>9450</v>
      </c>
      <c r="N661" s="15">
        <v>155586</v>
      </c>
      <c r="O661" s="17" cm="1">
        <f t="array" ref="O661">(H661-H660)/H660</f>
        <v>-0.00138137446759526</v>
      </c>
    </row>
    <row r="662" ht="13.65" customHeight="1">
      <c r="A662" s="18">
        <v>45229</v>
      </c>
      <c r="B662" t="s" s="13">
        <v>22</v>
      </c>
      <c r="C662" s="15">
        <v>434.55</v>
      </c>
      <c r="D662" s="15">
        <v>437.15</v>
      </c>
      <c r="E662" s="15">
        <v>428.35</v>
      </c>
      <c r="F662" s="15">
        <v>433.75</v>
      </c>
      <c r="G662" s="15">
        <v>431.5</v>
      </c>
      <c r="H662" s="15">
        <v>430.45</v>
      </c>
      <c r="I662" s="15">
        <v>430.92</v>
      </c>
      <c r="J662" s="15">
        <v>499.7</v>
      </c>
      <c r="K662" s="15">
        <v>325.35</v>
      </c>
      <c r="L662" s="15">
        <v>7618033</v>
      </c>
      <c r="M662" t="s" s="13">
        <v>9451</v>
      </c>
      <c r="N662" s="15">
        <v>138620</v>
      </c>
      <c r="O662" s="17" cm="1">
        <f t="array" ref="O662">(H662-H661)/H661</f>
        <v>-0.00760806916426513</v>
      </c>
    </row>
    <row r="663" ht="13.65" customHeight="1">
      <c r="A663" s="18">
        <v>45230</v>
      </c>
      <c r="B663" t="s" s="13">
        <v>22</v>
      </c>
      <c r="C663" s="15">
        <v>430</v>
      </c>
      <c r="D663" s="15">
        <v>433.35</v>
      </c>
      <c r="E663" s="15">
        <v>427.9</v>
      </c>
      <c r="F663" s="15">
        <v>430.45</v>
      </c>
      <c r="G663" s="15">
        <v>428.45</v>
      </c>
      <c r="H663" s="15">
        <v>428.4</v>
      </c>
      <c r="I663" s="15">
        <v>429.99</v>
      </c>
      <c r="J663" s="15">
        <v>499.7</v>
      </c>
      <c r="K663" s="15">
        <v>325.35</v>
      </c>
      <c r="L663" s="15">
        <v>8620154</v>
      </c>
      <c r="M663" t="s" s="13">
        <v>9452</v>
      </c>
      <c r="N663" s="15">
        <v>163866</v>
      </c>
      <c r="O663" s="17" cm="1">
        <f t="array" ref="O663">(H663-H662)/H662</f>
        <v>-0.00476245789290278</v>
      </c>
    </row>
    <row r="664" ht="13.65" customHeight="1">
      <c r="A664" s="12">
        <v>45231</v>
      </c>
      <c r="B664" t="s" s="13">
        <v>22</v>
      </c>
      <c r="C664" s="15">
        <v>430</v>
      </c>
      <c r="D664" s="15">
        <v>431.1</v>
      </c>
      <c r="E664" s="15">
        <v>425.5</v>
      </c>
      <c r="F664" s="15">
        <v>428.4</v>
      </c>
      <c r="G664" s="15">
        <v>430.35</v>
      </c>
      <c r="H664" s="15">
        <v>428.1</v>
      </c>
      <c r="I664" s="15">
        <v>428.3</v>
      </c>
      <c r="J664" s="15">
        <v>499.7</v>
      </c>
      <c r="K664" s="15">
        <v>325.35</v>
      </c>
      <c r="L664" s="15">
        <v>7990245</v>
      </c>
      <c r="M664" t="s" s="13">
        <v>9453</v>
      </c>
      <c r="N664" s="15">
        <v>163579</v>
      </c>
      <c r="O664" s="17" cm="1">
        <f t="array" ref="O664">(H664-H663)/H663</f>
        <v>-0.000700280112044818</v>
      </c>
    </row>
    <row r="665" ht="13.65" customHeight="1">
      <c r="A665" s="12">
        <v>45232</v>
      </c>
      <c r="B665" t="s" s="13">
        <v>22</v>
      </c>
      <c r="C665" s="15">
        <v>430.05</v>
      </c>
      <c r="D665" s="15">
        <v>432.7</v>
      </c>
      <c r="E665" s="15">
        <v>428.65</v>
      </c>
      <c r="F665" s="15">
        <v>428.1</v>
      </c>
      <c r="G665" s="15">
        <v>430.8</v>
      </c>
      <c r="H665" s="15">
        <v>431.15</v>
      </c>
      <c r="I665" s="15">
        <v>430.18</v>
      </c>
      <c r="J665" s="15">
        <v>499.7</v>
      </c>
      <c r="K665" s="15">
        <v>325.35</v>
      </c>
      <c r="L665" s="15">
        <v>8152031</v>
      </c>
      <c r="M665" t="s" s="13">
        <v>9454</v>
      </c>
      <c r="N665" s="15">
        <v>144426</v>
      </c>
      <c r="O665" s="17" cm="1">
        <f t="array" ref="O665">(H665-H664)/H664</f>
        <v>0.00712450362064938</v>
      </c>
    </row>
    <row r="666" ht="13.65" customHeight="1">
      <c r="A666" s="12">
        <v>45233</v>
      </c>
      <c r="B666" t="s" s="13">
        <v>22</v>
      </c>
      <c r="C666" s="15">
        <v>432.8</v>
      </c>
      <c r="D666" s="15">
        <v>434.4</v>
      </c>
      <c r="E666" s="15">
        <v>431.1</v>
      </c>
      <c r="F666" s="15">
        <v>431.15</v>
      </c>
      <c r="G666" s="15">
        <v>432.1</v>
      </c>
      <c r="H666" s="15">
        <v>433.25</v>
      </c>
      <c r="I666" s="15">
        <v>432.68</v>
      </c>
      <c r="J666" s="15">
        <v>499.7</v>
      </c>
      <c r="K666" s="15">
        <v>325.35</v>
      </c>
      <c r="L666" s="15">
        <v>13802600</v>
      </c>
      <c r="M666" t="s" s="13">
        <v>9455</v>
      </c>
      <c r="N666" s="15">
        <v>110620</v>
      </c>
      <c r="O666" s="17" cm="1">
        <f t="array" ref="O666">(H666-H665)/H665</f>
        <v>0.00487069465383277</v>
      </c>
    </row>
    <row r="667" ht="13.65" customHeight="1">
      <c r="A667" s="12">
        <v>45236</v>
      </c>
      <c r="B667" t="s" s="13">
        <v>22</v>
      </c>
      <c r="C667" s="15">
        <v>433.5</v>
      </c>
      <c r="D667" s="15">
        <v>436.8</v>
      </c>
      <c r="E667" s="15">
        <v>432.55</v>
      </c>
      <c r="F667" s="15">
        <v>433.25</v>
      </c>
      <c r="G667" s="15">
        <v>434.9</v>
      </c>
      <c r="H667" s="15">
        <v>435.35</v>
      </c>
      <c r="I667" s="15">
        <v>434.21</v>
      </c>
      <c r="J667" s="15">
        <v>499.7</v>
      </c>
      <c r="K667" s="15">
        <v>325.35</v>
      </c>
      <c r="L667" s="15">
        <v>7308229</v>
      </c>
      <c r="M667" t="s" s="13">
        <v>9456</v>
      </c>
      <c r="N667" s="15">
        <v>129745</v>
      </c>
      <c r="O667" s="17" cm="1">
        <f t="array" ref="O667">(H667-H666)/H666</f>
        <v>0.00484708597807271</v>
      </c>
    </row>
    <row r="668" ht="13.65" customHeight="1">
      <c r="A668" s="12">
        <v>45237</v>
      </c>
      <c r="B668" t="s" s="13">
        <v>22</v>
      </c>
      <c r="C668" s="15">
        <v>434.9</v>
      </c>
      <c r="D668" s="15">
        <v>434.9</v>
      </c>
      <c r="E668" s="15">
        <v>432.15</v>
      </c>
      <c r="F668" s="15">
        <v>435.35</v>
      </c>
      <c r="G668" s="15">
        <v>432.95</v>
      </c>
      <c r="H668" s="15">
        <v>432.7</v>
      </c>
      <c r="I668" s="15">
        <v>433.04</v>
      </c>
      <c r="J668" s="15">
        <v>499.7</v>
      </c>
      <c r="K668" s="15">
        <v>325.35</v>
      </c>
      <c r="L668" s="15">
        <v>5124012</v>
      </c>
      <c r="M668" t="s" s="13">
        <v>9457</v>
      </c>
      <c r="N668" s="15">
        <v>127198</v>
      </c>
      <c r="O668" s="17" cm="1">
        <f t="array" ref="O668">(H668-H667)/H667</f>
        <v>-0.00608705639140921</v>
      </c>
    </row>
    <row r="669" ht="13.65" customHeight="1">
      <c r="A669" s="12">
        <v>45238</v>
      </c>
      <c r="B669" t="s" s="13">
        <v>22</v>
      </c>
      <c r="C669" s="15">
        <v>433.15</v>
      </c>
      <c r="D669" s="15">
        <v>437.5</v>
      </c>
      <c r="E669" s="15">
        <v>432.3</v>
      </c>
      <c r="F669" s="15">
        <v>432.7</v>
      </c>
      <c r="G669" s="15">
        <v>437</v>
      </c>
      <c r="H669" s="15">
        <v>436.95</v>
      </c>
      <c r="I669" s="15">
        <v>434.61</v>
      </c>
      <c r="J669" s="15">
        <v>499.7</v>
      </c>
      <c r="K669" s="15">
        <v>325.35</v>
      </c>
      <c r="L669" s="15">
        <v>6979849</v>
      </c>
      <c r="M669" t="s" s="13">
        <v>9458</v>
      </c>
      <c r="N669" s="15">
        <v>120482</v>
      </c>
      <c r="O669" s="17" cm="1">
        <f t="array" ref="O669">(H669-H668)/H668</f>
        <v>0.00982204760804252</v>
      </c>
    </row>
    <row r="670" ht="13.65" customHeight="1">
      <c r="A670" s="12">
        <v>45239</v>
      </c>
      <c r="B670" t="s" s="13">
        <v>22</v>
      </c>
      <c r="C670" s="15">
        <v>437.8</v>
      </c>
      <c r="D670" s="15">
        <v>438</v>
      </c>
      <c r="E670" s="15">
        <v>433.9</v>
      </c>
      <c r="F670" s="15">
        <v>436.95</v>
      </c>
      <c r="G670" s="15">
        <v>434.45</v>
      </c>
      <c r="H670" s="15">
        <v>434.4</v>
      </c>
      <c r="I670" s="15">
        <v>435.48</v>
      </c>
      <c r="J670" s="15">
        <v>499.7</v>
      </c>
      <c r="K670" s="15">
        <v>325.35</v>
      </c>
      <c r="L670" s="15">
        <v>7785767</v>
      </c>
      <c r="M670" t="s" s="13">
        <v>9459</v>
      </c>
      <c r="N670" s="15">
        <v>117539</v>
      </c>
      <c r="O670" s="17" cm="1">
        <f t="array" ref="O670">(H670-H669)/H669</f>
        <v>-0.00583590799862685</v>
      </c>
    </row>
    <row r="671" ht="13.65" customHeight="1">
      <c r="A671" s="18">
        <v>45240</v>
      </c>
      <c r="B671" t="s" s="13">
        <v>22</v>
      </c>
      <c r="C671" s="15">
        <v>434.4</v>
      </c>
      <c r="D671" s="15">
        <v>438</v>
      </c>
      <c r="E671" s="15">
        <v>432.5</v>
      </c>
      <c r="F671" s="15">
        <v>434.4</v>
      </c>
      <c r="G671" s="15">
        <v>437.95</v>
      </c>
      <c r="H671" s="15">
        <v>436.55</v>
      </c>
      <c r="I671" s="15">
        <v>435.19</v>
      </c>
      <c r="J671" s="15">
        <v>499.7</v>
      </c>
      <c r="K671" s="15">
        <v>325.35</v>
      </c>
      <c r="L671" s="15">
        <v>4079205</v>
      </c>
      <c r="M671" t="s" s="13">
        <v>9460</v>
      </c>
      <c r="N671" s="15">
        <v>99710</v>
      </c>
      <c r="O671" s="17" cm="1">
        <f t="array" ref="O671">(H671-H670)/H670</f>
        <v>0.00494935543278085</v>
      </c>
    </row>
    <row r="672" ht="13.65" customHeight="1">
      <c r="A672" s="18">
        <v>45242</v>
      </c>
      <c r="B672" t="s" s="13">
        <v>22</v>
      </c>
      <c r="C672" s="15">
        <v>438.85</v>
      </c>
      <c r="D672" s="15">
        <v>439.2</v>
      </c>
      <c r="E672" s="15">
        <v>438</v>
      </c>
      <c r="F672" s="15">
        <v>436.55</v>
      </c>
      <c r="G672" s="15">
        <v>438.75</v>
      </c>
      <c r="H672" s="15">
        <v>438.45</v>
      </c>
      <c r="I672" s="15">
        <v>438.66</v>
      </c>
      <c r="J672" s="15">
        <v>499.7</v>
      </c>
      <c r="K672" s="15">
        <v>325.35</v>
      </c>
      <c r="L672" s="15">
        <v>1181310</v>
      </c>
      <c r="M672" t="s" s="13">
        <v>9461</v>
      </c>
      <c r="N672" s="15">
        <v>54111</v>
      </c>
      <c r="O672" s="17" cm="1">
        <f t="array" ref="O672">(H672-H671)/H671</f>
        <v>0.00435230786851449</v>
      </c>
    </row>
    <row r="673" ht="13.65" customHeight="1">
      <c r="A673" s="18">
        <v>45243</v>
      </c>
      <c r="B673" t="s" s="13">
        <v>22</v>
      </c>
      <c r="C673" s="15">
        <v>438.4</v>
      </c>
      <c r="D673" s="15">
        <v>438.4</v>
      </c>
      <c r="E673" s="15">
        <v>435</v>
      </c>
      <c r="F673" s="15">
        <v>438.45</v>
      </c>
      <c r="G673" s="15">
        <v>435.95</v>
      </c>
      <c r="H673" s="15">
        <v>436</v>
      </c>
      <c r="I673" s="15">
        <v>436.25</v>
      </c>
      <c r="J673" s="15">
        <v>499.7</v>
      </c>
      <c r="K673" s="15">
        <v>325.35</v>
      </c>
      <c r="L673" s="15">
        <v>3744754</v>
      </c>
      <c r="M673" t="s" s="13">
        <v>9462</v>
      </c>
      <c r="N673" s="15">
        <v>91487</v>
      </c>
      <c r="O673" s="17" cm="1">
        <f t="array" ref="O673">(H673-H672)/H672</f>
        <v>-0.00558786634736002</v>
      </c>
    </row>
    <row r="674" ht="13.65" customHeight="1">
      <c r="A674" s="18">
        <v>45245</v>
      </c>
      <c r="B674" t="s" s="13">
        <v>22</v>
      </c>
      <c r="C674" s="15">
        <v>438.1</v>
      </c>
      <c r="D674" s="15">
        <v>442.5</v>
      </c>
      <c r="E674" s="15">
        <v>437.5</v>
      </c>
      <c r="F674" s="15">
        <v>436</v>
      </c>
      <c r="G674" s="15">
        <v>442</v>
      </c>
      <c r="H674" s="15">
        <v>441.95</v>
      </c>
      <c r="I674" s="15">
        <v>440.16</v>
      </c>
      <c r="J674" s="15">
        <v>499.7</v>
      </c>
      <c r="K674" s="15">
        <v>325.35</v>
      </c>
      <c r="L674" s="15">
        <v>7436428</v>
      </c>
      <c r="M674" t="s" s="13">
        <v>9463</v>
      </c>
      <c r="N674" s="15">
        <v>97387</v>
      </c>
      <c r="O674" s="17" cm="1">
        <f t="array" ref="O674">(H674-H673)/H673</f>
        <v>0.0136467889908257</v>
      </c>
    </row>
    <row r="675" ht="13.65" customHeight="1">
      <c r="A675" s="18">
        <v>45246</v>
      </c>
      <c r="B675" t="s" s="13">
        <v>22</v>
      </c>
      <c r="C675" s="15">
        <v>441.95</v>
      </c>
      <c r="D675" s="15">
        <v>444.5</v>
      </c>
      <c r="E675" s="15">
        <v>437.6</v>
      </c>
      <c r="F675" s="15">
        <v>441.95</v>
      </c>
      <c r="G675" s="15">
        <v>439.2</v>
      </c>
      <c r="H675" s="15">
        <v>438.65</v>
      </c>
      <c r="I675" s="15">
        <v>441.02</v>
      </c>
      <c r="J675" s="15">
        <v>499.7</v>
      </c>
      <c r="K675" s="15">
        <v>325.35</v>
      </c>
      <c r="L675" s="15">
        <v>10857863</v>
      </c>
      <c r="M675" t="s" s="13">
        <v>9464</v>
      </c>
      <c r="N675" s="15">
        <v>144767</v>
      </c>
      <c r="O675" s="17" cm="1">
        <f t="array" ref="O675">(H675-H674)/H674</f>
        <v>-0.00746690802126937</v>
      </c>
    </row>
    <row r="676" ht="13.65" customHeight="1">
      <c r="A676" s="18">
        <v>45247</v>
      </c>
      <c r="B676" t="s" s="13">
        <v>22</v>
      </c>
      <c r="C676" s="15">
        <v>439.25</v>
      </c>
      <c r="D676" s="15">
        <v>441.5</v>
      </c>
      <c r="E676" s="15">
        <v>438.3</v>
      </c>
      <c r="F676" s="15">
        <v>438.65</v>
      </c>
      <c r="G676" s="15">
        <v>438.85</v>
      </c>
      <c r="H676" s="15">
        <v>439.25</v>
      </c>
      <c r="I676" s="15">
        <v>439.47</v>
      </c>
      <c r="J676" s="15">
        <v>499.7</v>
      </c>
      <c r="K676" s="15">
        <v>325.35</v>
      </c>
      <c r="L676" s="15">
        <v>6655278</v>
      </c>
      <c r="M676" t="s" s="13">
        <v>9465</v>
      </c>
      <c r="N676" s="15">
        <v>124069</v>
      </c>
      <c r="O676" s="17" cm="1">
        <f t="array" ref="O676">(H676-H675)/H675</f>
        <v>0.00136783312435883</v>
      </c>
    </row>
    <row r="677" ht="13.65" customHeight="1">
      <c r="A677" s="18">
        <v>45250</v>
      </c>
      <c r="B677" t="s" s="13">
        <v>22</v>
      </c>
      <c r="C677" s="15">
        <v>439.85</v>
      </c>
      <c r="D677" s="15">
        <v>440.3</v>
      </c>
      <c r="E677" s="15">
        <v>434.5</v>
      </c>
      <c r="F677" s="15">
        <v>439.25</v>
      </c>
      <c r="G677" s="15">
        <v>436.3</v>
      </c>
      <c r="H677" s="15">
        <v>436.8</v>
      </c>
      <c r="I677" s="15">
        <v>437.43</v>
      </c>
      <c r="J677" s="15">
        <v>499.7</v>
      </c>
      <c r="K677" s="15">
        <v>325.35</v>
      </c>
      <c r="L677" s="15">
        <v>4335388</v>
      </c>
      <c r="M677" t="s" s="13">
        <v>9466</v>
      </c>
      <c r="N677" s="15">
        <v>101713</v>
      </c>
      <c r="O677" s="17" cm="1">
        <f t="array" ref="O677">(H677-H676)/H676</f>
        <v>-0.00557768924302789</v>
      </c>
    </row>
    <row r="678" ht="13.65" customHeight="1">
      <c r="A678" s="18">
        <v>45251</v>
      </c>
      <c r="B678" t="s" s="13">
        <v>22</v>
      </c>
      <c r="C678" s="15">
        <v>437.15</v>
      </c>
      <c r="D678" s="15">
        <v>439.3</v>
      </c>
      <c r="E678" s="15">
        <v>435.5</v>
      </c>
      <c r="F678" s="15">
        <v>436.8</v>
      </c>
      <c r="G678" s="15">
        <v>436.2</v>
      </c>
      <c r="H678" s="15">
        <v>436.25</v>
      </c>
      <c r="I678" s="15">
        <v>437.01</v>
      </c>
      <c r="J678" s="15">
        <v>499.7</v>
      </c>
      <c r="K678" s="15">
        <v>325.35</v>
      </c>
      <c r="L678" s="15">
        <v>5997810</v>
      </c>
      <c r="M678" t="s" s="13">
        <v>9467</v>
      </c>
      <c r="N678" s="15">
        <v>115882</v>
      </c>
      <c r="O678" s="17" cm="1">
        <f t="array" ref="O678">(H678-H677)/H677</f>
        <v>-0.00125915750915751</v>
      </c>
    </row>
    <row r="679" ht="13.65" customHeight="1">
      <c r="A679" s="18">
        <v>45252</v>
      </c>
      <c r="B679" t="s" s="13">
        <v>22</v>
      </c>
      <c r="C679" s="15">
        <v>437</v>
      </c>
      <c r="D679" s="15">
        <v>440.4</v>
      </c>
      <c r="E679" s="15">
        <v>434.8</v>
      </c>
      <c r="F679" s="15">
        <v>436.25</v>
      </c>
      <c r="G679" s="15">
        <v>440.15</v>
      </c>
      <c r="H679" s="15">
        <v>439.7</v>
      </c>
      <c r="I679" s="15">
        <v>437.8</v>
      </c>
      <c r="J679" s="15">
        <v>499.7</v>
      </c>
      <c r="K679" s="15">
        <v>325.35</v>
      </c>
      <c r="L679" s="15">
        <v>4886687</v>
      </c>
      <c r="M679" t="s" s="13">
        <v>9468</v>
      </c>
      <c r="N679" s="15">
        <v>94940</v>
      </c>
      <c r="O679" s="17" cm="1">
        <f t="array" ref="O679">(H679-H678)/H678</f>
        <v>0.00790830945558739</v>
      </c>
    </row>
    <row r="680" ht="13.65" customHeight="1">
      <c r="A680" s="18">
        <v>45253</v>
      </c>
      <c r="B680" t="s" s="13">
        <v>22</v>
      </c>
      <c r="C680" s="15">
        <v>440.95</v>
      </c>
      <c r="D680" s="15">
        <v>442.25</v>
      </c>
      <c r="E680" s="15">
        <v>438.25</v>
      </c>
      <c r="F680" s="15">
        <v>439.7</v>
      </c>
      <c r="G680" s="15">
        <v>440.9</v>
      </c>
      <c r="H680" s="15">
        <v>440.35</v>
      </c>
      <c r="I680" s="15">
        <v>440.31</v>
      </c>
      <c r="J680" s="15">
        <v>499.7</v>
      </c>
      <c r="K680" s="15">
        <v>325.35</v>
      </c>
      <c r="L680" s="15">
        <v>6366606</v>
      </c>
      <c r="M680" t="s" s="13">
        <v>9469</v>
      </c>
      <c r="N680" s="15">
        <v>98441</v>
      </c>
      <c r="O680" s="17" cm="1">
        <f t="array" ref="O680">(H680-H679)/H679</f>
        <v>0.00147828064589493</v>
      </c>
    </row>
    <row r="681" ht="13.65" customHeight="1">
      <c r="A681" s="18">
        <v>45254</v>
      </c>
      <c r="B681" t="s" s="13">
        <v>22</v>
      </c>
      <c r="C681" s="15">
        <v>441</v>
      </c>
      <c r="D681" s="15">
        <v>442.25</v>
      </c>
      <c r="E681" s="15">
        <v>436.85</v>
      </c>
      <c r="F681" s="15">
        <v>440.35</v>
      </c>
      <c r="G681" s="15">
        <v>437.9</v>
      </c>
      <c r="H681" s="15">
        <v>437.8</v>
      </c>
      <c r="I681" s="15">
        <v>439</v>
      </c>
      <c r="J681" s="15">
        <v>499.7</v>
      </c>
      <c r="K681" s="15">
        <v>325.35</v>
      </c>
      <c r="L681" s="15">
        <v>6821878</v>
      </c>
      <c r="M681" t="s" s="13">
        <v>9470</v>
      </c>
      <c r="N681" s="15">
        <v>116779</v>
      </c>
      <c r="O681" s="17" cm="1">
        <f t="array" ref="O681">(H681-H680)/H680</f>
        <v>-0.00579084818894062</v>
      </c>
    </row>
    <row r="682" ht="13.65" customHeight="1">
      <c r="A682" s="18">
        <v>45258</v>
      </c>
      <c r="B682" t="s" s="13">
        <v>22</v>
      </c>
      <c r="C682" s="15">
        <v>438</v>
      </c>
      <c r="D682" s="15">
        <v>439</v>
      </c>
      <c r="E682" s="15">
        <v>434.9</v>
      </c>
      <c r="F682" s="15">
        <v>437.8</v>
      </c>
      <c r="G682" s="15">
        <v>435.9</v>
      </c>
      <c r="H682" s="15">
        <v>435.25</v>
      </c>
      <c r="I682" s="15">
        <v>436.05</v>
      </c>
      <c r="J682" s="15">
        <v>499.7</v>
      </c>
      <c r="K682" s="15">
        <v>325.35</v>
      </c>
      <c r="L682" s="15">
        <v>8745691</v>
      </c>
      <c r="M682" t="s" s="13">
        <v>9471</v>
      </c>
      <c r="N682" s="15">
        <v>177548</v>
      </c>
      <c r="O682" s="17" cm="1">
        <f t="array" ref="O682">(H682-H681)/H681</f>
        <v>-0.00582457743261763</v>
      </c>
    </row>
    <row r="683" ht="13.65" customHeight="1">
      <c r="A683" s="18">
        <v>45259</v>
      </c>
      <c r="B683" t="s" s="13">
        <v>22</v>
      </c>
      <c r="C683" s="15">
        <v>436</v>
      </c>
      <c r="D683" s="15">
        <v>438.5</v>
      </c>
      <c r="E683" s="15">
        <v>434.15</v>
      </c>
      <c r="F683" s="15">
        <v>435.25</v>
      </c>
      <c r="G683" s="15">
        <v>436.9</v>
      </c>
      <c r="H683" s="15">
        <v>437.2</v>
      </c>
      <c r="I683" s="15">
        <v>436.15</v>
      </c>
      <c r="J683" s="15">
        <v>499.7</v>
      </c>
      <c r="K683" s="15">
        <v>325.35</v>
      </c>
      <c r="L683" s="15">
        <v>13785216</v>
      </c>
      <c r="M683" t="s" s="13">
        <v>9472</v>
      </c>
      <c r="N683" s="15">
        <v>181426</v>
      </c>
      <c r="O683" s="17" cm="1">
        <f t="array" ref="O683">(H683-H682)/H682</f>
        <v>0.00448018380241241</v>
      </c>
    </row>
    <row r="684" ht="13.65" customHeight="1">
      <c r="A684" s="18">
        <v>45260</v>
      </c>
      <c r="B684" t="s" s="13">
        <v>22</v>
      </c>
      <c r="C684" s="15">
        <v>436.7</v>
      </c>
      <c r="D684" s="15">
        <v>438.45</v>
      </c>
      <c r="E684" s="15">
        <v>434.5</v>
      </c>
      <c r="F684" s="15">
        <v>437.2</v>
      </c>
      <c r="G684" s="15">
        <v>436.75</v>
      </c>
      <c r="H684" s="15">
        <v>435.8</v>
      </c>
      <c r="I684" s="15">
        <v>436</v>
      </c>
      <c r="J684" s="15">
        <v>499.7</v>
      </c>
      <c r="K684" s="15">
        <v>325.35</v>
      </c>
      <c r="L684" s="15">
        <v>15127505</v>
      </c>
      <c r="M684" t="s" s="13">
        <v>9473</v>
      </c>
      <c r="N684" s="15">
        <v>205331</v>
      </c>
      <c r="O684" s="17" cm="1">
        <f t="array" ref="O684">(H684-H683)/H683</f>
        <v>-0.00320219579139982</v>
      </c>
    </row>
    <row r="685" ht="13.65" customHeight="1">
      <c r="A685" s="12">
        <v>45261</v>
      </c>
      <c r="B685" t="s" s="13">
        <v>22</v>
      </c>
      <c r="C685" s="15">
        <v>437.9</v>
      </c>
      <c r="D685" s="15">
        <v>450.95</v>
      </c>
      <c r="E685" s="15">
        <v>437.4</v>
      </c>
      <c r="F685" s="15">
        <v>435.8</v>
      </c>
      <c r="G685" s="15">
        <v>449.15</v>
      </c>
      <c r="H685" s="15">
        <v>449.8</v>
      </c>
      <c r="I685" s="15">
        <v>446.61</v>
      </c>
      <c r="J685" s="15">
        <v>499.7</v>
      </c>
      <c r="K685" s="15">
        <v>325.35</v>
      </c>
      <c r="L685" s="15">
        <v>19336856</v>
      </c>
      <c r="M685" t="s" s="13">
        <v>9474</v>
      </c>
      <c r="N685" s="15">
        <v>233084</v>
      </c>
      <c r="O685" s="17" cm="1">
        <f t="array" ref="O685">(H685-H684)/H684</f>
        <v>0.0321248279027077</v>
      </c>
    </row>
    <row r="686" ht="13.65" customHeight="1">
      <c r="A686" s="12">
        <v>45264</v>
      </c>
      <c r="B686" t="s" s="13">
        <v>22</v>
      </c>
      <c r="C686" s="15">
        <v>455</v>
      </c>
      <c r="D686" s="15">
        <v>456.4</v>
      </c>
      <c r="E686" s="15">
        <v>451</v>
      </c>
      <c r="F686" s="15">
        <v>449.8</v>
      </c>
      <c r="G686" s="15">
        <v>453.1</v>
      </c>
      <c r="H686" s="15">
        <v>454.05</v>
      </c>
      <c r="I686" s="15">
        <v>453.73</v>
      </c>
      <c r="J686" s="15">
        <v>499.7</v>
      </c>
      <c r="K686" s="15">
        <v>325.35</v>
      </c>
      <c r="L686" s="15">
        <v>12800220</v>
      </c>
      <c r="M686" t="s" s="13">
        <v>9475</v>
      </c>
      <c r="N686" s="15">
        <v>218205</v>
      </c>
      <c r="O686" s="17" cm="1">
        <f t="array" ref="O686">(H686-H685)/H685</f>
        <v>0.009448643841707431</v>
      </c>
    </row>
    <row r="687" ht="13.65" customHeight="1">
      <c r="A687" s="12">
        <v>45265</v>
      </c>
      <c r="B687" t="s" s="13">
        <v>22</v>
      </c>
      <c r="C687" s="15">
        <v>455</v>
      </c>
      <c r="D687" s="15">
        <v>457.8</v>
      </c>
      <c r="E687" s="15">
        <v>450.1</v>
      </c>
      <c r="F687" s="15">
        <v>454.05</v>
      </c>
      <c r="G687" s="15">
        <v>452.4</v>
      </c>
      <c r="H687" s="15">
        <v>451.75</v>
      </c>
      <c r="I687" s="15">
        <v>453.52</v>
      </c>
      <c r="J687" s="15">
        <v>499.7</v>
      </c>
      <c r="K687" s="15">
        <v>325.35</v>
      </c>
      <c r="L687" s="15">
        <v>12136292</v>
      </c>
      <c r="M687" t="s" s="13">
        <v>9476</v>
      </c>
      <c r="N687" s="15">
        <v>154505</v>
      </c>
      <c r="O687" s="17" cm="1">
        <f t="array" ref="O687">(H687-H686)/H686</f>
        <v>-0.005065521418346</v>
      </c>
    </row>
    <row r="688" ht="13.65" customHeight="1">
      <c r="A688" s="12">
        <v>45266</v>
      </c>
      <c r="B688" t="s" s="13">
        <v>22</v>
      </c>
      <c r="C688" s="15">
        <v>453.9</v>
      </c>
      <c r="D688" s="15">
        <v>464.5</v>
      </c>
      <c r="E688" s="15">
        <v>452.1</v>
      </c>
      <c r="F688" s="15">
        <v>451.75</v>
      </c>
      <c r="G688" s="15">
        <v>463.45</v>
      </c>
      <c r="H688" s="15">
        <v>463.25</v>
      </c>
      <c r="I688" s="15">
        <v>461.17</v>
      </c>
      <c r="J688" s="15">
        <v>499.7</v>
      </c>
      <c r="K688" s="15">
        <v>325.35</v>
      </c>
      <c r="L688" s="15">
        <v>20417559</v>
      </c>
      <c r="M688" t="s" s="13">
        <v>9477</v>
      </c>
      <c r="N688" s="15">
        <v>295774</v>
      </c>
      <c r="O688" s="17" cm="1">
        <f t="array" ref="O688">(H688-H687)/H687</f>
        <v>0.0254565578306586</v>
      </c>
    </row>
    <row r="689" ht="13.65" customHeight="1">
      <c r="A689" s="12">
        <v>45267</v>
      </c>
      <c r="B689" t="s" s="13">
        <v>22</v>
      </c>
      <c r="C689" s="15">
        <v>464.75</v>
      </c>
      <c r="D689" s="15">
        <v>464.8</v>
      </c>
      <c r="E689" s="15">
        <v>457.4</v>
      </c>
      <c r="F689" s="15">
        <v>463.25</v>
      </c>
      <c r="G689" s="15">
        <v>458.2</v>
      </c>
      <c r="H689" s="15">
        <v>458.1</v>
      </c>
      <c r="I689" s="15">
        <v>459.4</v>
      </c>
      <c r="J689" s="15">
        <v>499.7</v>
      </c>
      <c r="K689" s="15">
        <v>325.35</v>
      </c>
      <c r="L689" s="15">
        <v>11310918</v>
      </c>
      <c r="M689" t="s" s="13">
        <v>9478</v>
      </c>
      <c r="N689" s="15">
        <v>175050</v>
      </c>
      <c r="O689" s="17" cm="1">
        <f t="array" ref="O689">(H689-H688)/H688</f>
        <v>-0.0111171073934161</v>
      </c>
    </row>
    <row r="690" ht="13.65" customHeight="1">
      <c r="A690" s="12">
        <v>45268</v>
      </c>
      <c r="B690" t="s" s="13">
        <v>22</v>
      </c>
      <c r="C690" s="15">
        <v>459.95</v>
      </c>
      <c r="D690" s="15">
        <v>461.6</v>
      </c>
      <c r="E690" s="15">
        <v>448.5</v>
      </c>
      <c r="F690" s="15">
        <v>458.1</v>
      </c>
      <c r="G690" s="15">
        <v>450</v>
      </c>
      <c r="H690" s="15">
        <v>449.15</v>
      </c>
      <c r="I690" s="15">
        <v>452.69</v>
      </c>
      <c r="J690" s="15">
        <v>499.7</v>
      </c>
      <c r="K690" s="15">
        <v>325.35</v>
      </c>
      <c r="L690" s="15">
        <v>18667895</v>
      </c>
      <c r="M690" t="s" s="13">
        <v>9479</v>
      </c>
      <c r="N690" s="15">
        <v>173240</v>
      </c>
      <c r="O690" s="17" cm="1">
        <f t="array" ref="O690">(H690-H689)/H689</f>
        <v>-0.019537218947828</v>
      </c>
    </row>
    <row r="691" ht="13.65" customHeight="1">
      <c r="A691" s="18">
        <v>45271</v>
      </c>
      <c r="B691" t="s" s="13">
        <v>22</v>
      </c>
      <c r="C691" s="15">
        <v>451.5</v>
      </c>
      <c r="D691" s="15">
        <v>453.6</v>
      </c>
      <c r="E691" s="15">
        <v>449.3</v>
      </c>
      <c r="F691" s="15">
        <v>449.15</v>
      </c>
      <c r="G691" s="15">
        <v>453.2</v>
      </c>
      <c r="H691" s="15">
        <v>452.45</v>
      </c>
      <c r="I691" s="15">
        <v>451.92</v>
      </c>
      <c r="J691" s="15">
        <v>499.7</v>
      </c>
      <c r="K691" s="15">
        <v>325.35</v>
      </c>
      <c r="L691" s="15">
        <v>6599973</v>
      </c>
      <c r="M691" t="s" s="13">
        <v>9480</v>
      </c>
      <c r="N691" s="15">
        <v>153704</v>
      </c>
      <c r="O691" s="17" cm="1">
        <f t="array" ref="O691">(H691-H690)/H690</f>
        <v>0.00734721139930981</v>
      </c>
    </row>
    <row r="692" ht="13.65" customHeight="1">
      <c r="A692" s="18">
        <v>45272</v>
      </c>
      <c r="B692" t="s" s="13">
        <v>22</v>
      </c>
      <c r="C692" s="15">
        <v>454.2</v>
      </c>
      <c r="D692" s="15">
        <v>460</v>
      </c>
      <c r="E692" s="15">
        <v>452.35</v>
      </c>
      <c r="F692" s="15">
        <v>452.45</v>
      </c>
      <c r="G692" s="15">
        <v>453.6</v>
      </c>
      <c r="H692" s="15">
        <v>453.1</v>
      </c>
      <c r="I692" s="15">
        <v>456.17</v>
      </c>
      <c r="J692" s="15">
        <v>499.7</v>
      </c>
      <c r="K692" s="15">
        <v>325.35</v>
      </c>
      <c r="L692" s="15">
        <v>10158101</v>
      </c>
      <c r="M692" t="s" s="13">
        <v>9481</v>
      </c>
      <c r="N692" s="15">
        <v>159664</v>
      </c>
      <c r="O692" s="17" cm="1">
        <f t="array" ref="O692">(H692-H691)/H691</f>
        <v>0.00143662283125207</v>
      </c>
    </row>
    <row r="693" ht="13.65" customHeight="1">
      <c r="A693" s="18">
        <v>45273</v>
      </c>
      <c r="B693" t="s" s="13">
        <v>22</v>
      </c>
      <c r="C693" s="15">
        <v>456.3</v>
      </c>
      <c r="D693" s="15">
        <v>458.85</v>
      </c>
      <c r="E693" s="15">
        <v>453.1</v>
      </c>
      <c r="F693" s="15">
        <v>453.1</v>
      </c>
      <c r="G693" s="15">
        <v>455.6</v>
      </c>
      <c r="H693" s="15">
        <v>455.65</v>
      </c>
      <c r="I693" s="15">
        <v>455.72</v>
      </c>
      <c r="J693" s="15">
        <v>499.7</v>
      </c>
      <c r="K693" s="15">
        <v>325.35</v>
      </c>
      <c r="L693" s="15">
        <v>11283868</v>
      </c>
      <c r="M693" t="s" s="13">
        <v>9482</v>
      </c>
      <c r="N693" s="15">
        <v>136565</v>
      </c>
      <c r="O693" s="17" cm="1">
        <f t="array" ref="O693">(H693-H692)/H692</f>
        <v>0.00562789671154271</v>
      </c>
    </row>
    <row r="694" ht="13.65" customHeight="1">
      <c r="A694" s="18">
        <v>45274</v>
      </c>
      <c r="B694" t="s" s="13">
        <v>22</v>
      </c>
      <c r="C694" s="15">
        <v>460</v>
      </c>
      <c r="D694" s="15">
        <v>461</v>
      </c>
      <c r="E694" s="15">
        <v>449.45</v>
      </c>
      <c r="F694" s="15">
        <v>455.65</v>
      </c>
      <c r="G694" s="15">
        <v>458.3</v>
      </c>
      <c r="H694" s="15">
        <v>460.1</v>
      </c>
      <c r="I694" s="15">
        <v>458.42</v>
      </c>
      <c r="J694" s="15">
        <v>499.7</v>
      </c>
      <c r="K694" s="15">
        <v>325.35</v>
      </c>
      <c r="L694" s="15">
        <v>14370803</v>
      </c>
      <c r="M694" t="s" s="13">
        <v>9483</v>
      </c>
      <c r="N694" s="15">
        <v>198906</v>
      </c>
      <c r="O694" s="17" cm="1">
        <f t="array" ref="O694">(H694-H693)/H693</f>
        <v>0.009766267968835731</v>
      </c>
    </row>
    <row r="695" ht="13.65" customHeight="1">
      <c r="A695" s="18">
        <v>45275</v>
      </c>
      <c r="B695" t="s" s="13">
        <v>22</v>
      </c>
      <c r="C695" s="15">
        <v>461.9</v>
      </c>
      <c r="D695" s="15">
        <v>462.95</v>
      </c>
      <c r="E695" s="15">
        <v>455</v>
      </c>
      <c r="F695" s="15">
        <v>460.1</v>
      </c>
      <c r="G695" s="15">
        <v>458.55</v>
      </c>
      <c r="H695" s="15">
        <v>458.2</v>
      </c>
      <c r="I695" s="15">
        <v>457.72</v>
      </c>
      <c r="J695" s="15">
        <v>499.7</v>
      </c>
      <c r="K695" s="15">
        <v>325.35</v>
      </c>
      <c r="L695" s="15">
        <v>15789845</v>
      </c>
      <c r="M695" t="s" s="13">
        <v>9484</v>
      </c>
      <c r="N695" s="15">
        <v>205228</v>
      </c>
      <c r="O695" s="17" cm="1">
        <f t="array" ref="O695">(H695-H694)/H694</f>
        <v>-0.00412953705716149</v>
      </c>
    </row>
    <row r="696" ht="13.65" customHeight="1">
      <c r="A696" s="18">
        <v>45278</v>
      </c>
      <c r="B696" t="s" s="13">
        <v>22</v>
      </c>
      <c r="C696" s="15">
        <v>455</v>
      </c>
      <c r="D696" s="15">
        <v>456</v>
      </c>
      <c r="E696" s="15">
        <v>450.35</v>
      </c>
      <c r="F696" s="15">
        <v>458.2</v>
      </c>
      <c r="G696" s="15">
        <v>451.95</v>
      </c>
      <c r="H696" s="15">
        <v>451.65</v>
      </c>
      <c r="I696" s="15">
        <v>451.89</v>
      </c>
      <c r="J696" s="15">
        <v>499.7</v>
      </c>
      <c r="K696" s="15">
        <v>325.35</v>
      </c>
      <c r="L696" s="15">
        <v>12027620</v>
      </c>
      <c r="M696" t="s" s="13">
        <v>9485</v>
      </c>
      <c r="N696" s="15">
        <v>202238</v>
      </c>
      <c r="O696" s="17" cm="1">
        <f t="array" ref="O696">(H696-H695)/H695</f>
        <v>-0.0142950676560454</v>
      </c>
    </row>
    <row r="697" ht="13.65" customHeight="1">
      <c r="A697" s="18">
        <v>45279</v>
      </c>
      <c r="B697" t="s" s="13">
        <v>22</v>
      </c>
      <c r="C697" s="15">
        <v>453.35</v>
      </c>
      <c r="D697" s="15">
        <v>458</v>
      </c>
      <c r="E697" s="15">
        <v>452.05</v>
      </c>
      <c r="F697" s="15">
        <v>451.65</v>
      </c>
      <c r="G697" s="15">
        <v>456.45</v>
      </c>
      <c r="H697" s="15">
        <v>456.1</v>
      </c>
      <c r="I697" s="15">
        <v>455.77</v>
      </c>
      <c r="J697" s="15">
        <v>499.7</v>
      </c>
      <c r="K697" s="15">
        <v>325.35</v>
      </c>
      <c r="L697" s="15">
        <v>10268755</v>
      </c>
      <c r="M697" t="s" s="13">
        <v>9486</v>
      </c>
      <c r="N697" s="15">
        <v>163132</v>
      </c>
      <c r="O697" s="17" cm="1">
        <f t="array" ref="O697">(H697-H696)/H696</f>
        <v>0.009852762094542229</v>
      </c>
    </row>
    <row r="698" ht="13.65" customHeight="1">
      <c r="A698" s="18">
        <v>45280</v>
      </c>
      <c r="B698" t="s" s="13">
        <v>22</v>
      </c>
      <c r="C698" s="15">
        <v>459</v>
      </c>
      <c r="D698" s="15">
        <v>459.25</v>
      </c>
      <c r="E698" s="15">
        <v>449.3</v>
      </c>
      <c r="F698" s="15">
        <v>456.1</v>
      </c>
      <c r="G698" s="15">
        <v>450.15</v>
      </c>
      <c r="H698" s="15">
        <v>451</v>
      </c>
      <c r="I698" s="15">
        <v>454.97</v>
      </c>
      <c r="J698" s="15">
        <v>499.7</v>
      </c>
      <c r="K698" s="15">
        <v>325.35</v>
      </c>
      <c r="L698" s="15">
        <v>10367665</v>
      </c>
      <c r="M698" t="s" s="13">
        <v>9487</v>
      </c>
      <c r="N698" s="15">
        <v>171902</v>
      </c>
      <c r="O698" s="17" cm="1">
        <f t="array" ref="O698">(H698-H697)/H697</f>
        <v>-0.0111817583863188</v>
      </c>
    </row>
    <row r="699" ht="13.65" customHeight="1">
      <c r="A699" s="18">
        <v>45281</v>
      </c>
      <c r="B699" t="s" s="13">
        <v>22</v>
      </c>
      <c r="C699" s="15">
        <v>449</v>
      </c>
      <c r="D699" s="15">
        <v>453.75</v>
      </c>
      <c r="E699" s="15">
        <v>444.45</v>
      </c>
      <c r="F699" s="15">
        <v>451</v>
      </c>
      <c r="G699" s="15">
        <v>452</v>
      </c>
      <c r="H699" s="15">
        <v>451.45</v>
      </c>
      <c r="I699" s="15">
        <v>450.19</v>
      </c>
      <c r="J699" s="15">
        <v>499.7</v>
      </c>
      <c r="K699" s="15">
        <v>325.35</v>
      </c>
      <c r="L699" s="15">
        <v>11154625</v>
      </c>
      <c r="M699" t="s" s="13">
        <v>9488</v>
      </c>
      <c r="N699" s="15">
        <v>173231</v>
      </c>
      <c r="O699" s="17" cm="1">
        <f t="array" ref="O699">(H699-H698)/H698</f>
        <v>0.0009977827050997781</v>
      </c>
    </row>
    <row r="700" ht="13.65" customHeight="1">
      <c r="A700" s="18">
        <v>45282</v>
      </c>
      <c r="B700" t="s" s="13">
        <v>22</v>
      </c>
      <c r="C700" s="15">
        <v>453</v>
      </c>
      <c r="D700" s="15">
        <v>455.9</v>
      </c>
      <c r="E700" s="15">
        <v>450.55</v>
      </c>
      <c r="F700" s="15">
        <v>451.45</v>
      </c>
      <c r="G700" s="15">
        <v>454.2</v>
      </c>
      <c r="H700" s="15">
        <v>455.2</v>
      </c>
      <c r="I700" s="15">
        <v>454.25</v>
      </c>
      <c r="J700" s="15">
        <v>499.7</v>
      </c>
      <c r="K700" s="15">
        <v>325.35</v>
      </c>
      <c r="L700" s="15">
        <v>11026317</v>
      </c>
      <c r="M700" t="s" s="13">
        <v>9489</v>
      </c>
      <c r="N700" s="15">
        <v>189460</v>
      </c>
      <c r="O700" s="17" cm="1">
        <f t="array" ref="O700">(H700-H699)/H699</f>
        <v>0.008306567726215529</v>
      </c>
    </row>
    <row r="701" ht="13.65" customHeight="1">
      <c r="A701" s="18">
        <v>45286</v>
      </c>
      <c r="B701" t="s" s="13">
        <v>22</v>
      </c>
      <c r="C701" s="15">
        <v>456.05</v>
      </c>
      <c r="D701" s="15">
        <v>458.9</v>
      </c>
      <c r="E701" s="15">
        <v>454.7</v>
      </c>
      <c r="F701" s="15">
        <v>455.2</v>
      </c>
      <c r="G701" s="15">
        <v>457.05</v>
      </c>
      <c r="H701" s="15">
        <v>456.45</v>
      </c>
      <c r="I701" s="15">
        <v>456.9</v>
      </c>
      <c r="J701" s="15">
        <v>499.7</v>
      </c>
      <c r="K701" s="15">
        <v>325.5</v>
      </c>
      <c r="L701" s="15">
        <v>5871301</v>
      </c>
      <c r="M701" t="s" s="13">
        <v>9490</v>
      </c>
      <c r="N701" s="15">
        <v>133599</v>
      </c>
      <c r="O701" s="17" cm="1">
        <f t="array" ref="O701">(H701-H700)/H700</f>
        <v>0.00274604569420035</v>
      </c>
    </row>
    <row r="702" ht="13.65" customHeight="1">
      <c r="A702" s="18">
        <v>45287</v>
      </c>
      <c r="B702" t="s" s="13">
        <v>22</v>
      </c>
      <c r="C702" s="15">
        <v>457</v>
      </c>
      <c r="D702" s="15">
        <v>458.5</v>
      </c>
      <c r="E702" s="15">
        <v>453.75</v>
      </c>
      <c r="F702" s="15">
        <v>456.45</v>
      </c>
      <c r="G702" s="15">
        <v>456.6</v>
      </c>
      <c r="H702" s="15">
        <v>457.1</v>
      </c>
      <c r="I702" s="15">
        <v>455.97</v>
      </c>
      <c r="J702" s="15">
        <v>499.7</v>
      </c>
      <c r="K702" s="15">
        <v>325.5</v>
      </c>
      <c r="L702" s="15">
        <v>7543383</v>
      </c>
      <c r="M702" t="s" s="13">
        <v>9491</v>
      </c>
      <c r="N702" s="15">
        <v>141438</v>
      </c>
      <c r="O702" s="17" cm="1">
        <f t="array" ref="O702">(H702-H701)/H701</f>
        <v>0.00142403330047103</v>
      </c>
    </row>
    <row r="703" ht="13.65" customHeight="1">
      <c r="A703" s="18">
        <v>45288</v>
      </c>
      <c r="B703" t="s" s="13">
        <v>22</v>
      </c>
      <c r="C703" s="15">
        <v>457.2</v>
      </c>
      <c r="D703" s="15">
        <v>464.7</v>
      </c>
      <c r="E703" s="15">
        <v>456.1</v>
      </c>
      <c r="F703" s="15">
        <v>457.1</v>
      </c>
      <c r="G703" s="15">
        <v>463.95</v>
      </c>
      <c r="H703" s="15">
        <v>464.1</v>
      </c>
      <c r="I703" s="15">
        <v>461.6</v>
      </c>
      <c r="J703" s="15">
        <v>499.7</v>
      </c>
      <c r="K703" s="15">
        <v>325.5</v>
      </c>
      <c r="L703" s="15">
        <v>20696101</v>
      </c>
      <c r="M703" t="s" s="13">
        <v>9492</v>
      </c>
      <c r="N703" s="15">
        <v>219642</v>
      </c>
      <c r="O703" s="17" cm="1">
        <f t="array" ref="O703">(H703-H702)/H702</f>
        <v>0.0153139356814701</v>
      </c>
    </row>
    <row r="704" ht="13.65" customHeight="1">
      <c r="A704" s="18">
        <v>45289</v>
      </c>
      <c r="B704" t="s" s="13">
        <v>22</v>
      </c>
      <c r="C704" s="15">
        <v>464.1</v>
      </c>
      <c r="D704" s="15">
        <v>467.9</v>
      </c>
      <c r="E704" s="15">
        <v>461.35</v>
      </c>
      <c r="F704" s="15">
        <v>464.1</v>
      </c>
      <c r="G704" s="15">
        <v>462</v>
      </c>
      <c r="H704" s="15">
        <v>462.1</v>
      </c>
      <c r="I704" s="15">
        <v>464.6</v>
      </c>
      <c r="J704" s="15">
        <v>499.7</v>
      </c>
      <c r="K704" s="15">
        <v>325.5</v>
      </c>
      <c r="L704" s="15">
        <v>12888266</v>
      </c>
      <c r="M704" t="s" s="13">
        <v>9493</v>
      </c>
      <c r="N704" s="15">
        <v>195653</v>
      </c>
      <c r="O704" s="17" cm="1">
        <f t="array" ref="O704">(H704-H703)/H703</f>
        <v>-0.00430941607412196</v>
      </c>
    </row>
    <row r="705" ht="13.65" customHeight="1">
      <c r="A705" s="12">
        <v>45292</v>
      </c>
      <c r="B705" t="s" s="13">
        <v>22</v>
      </c>
      <c r="C705" s="15">
        <v>463.5</v>
      </c>
      <c r="D705" s="15">
        <v>469.95</v>
      </c>
      <c r="E705" s="15">
        <v>462.65</v>
      </c>
      <c r="F705" s="15">
        <v>462.1</v>
      </c>
      <c r="G705" s="15">
        <v>465.8</v>
      </c>
      <c r="H705" s="15">
        <v>468.05</v>
      </c>
      <c r="I705" s="15">
        <v>467.15</v>
      </c>
      <c r="J705" s="15">
        <v>499.7</v>
      </c>
      <c r="K705" s="15">
        <v>326</v>
      </c>
      <c r="L705" s="15">
        <v>9346277</v>
      </c>
      <c r="M705" t="s" s="13">
        <v>9494</v>
      </c>
      <c r="N705" s="15">
        <v>167073</v>
      </c>
      <c r="O705" s="17" cm="1">
        <f t="array" ref="O705">(H705-H704)/H704</f>
        <v>0.0128760008656135</v>
      </c>
    </row>
    <row r="706" ht="13.65" customHeight="1">
      <c r="A706" s="12">
        <v>45293</v>
      </c>
      <c r="B706" t="s" s="13">
        <v>22</v>
      </c>
      <c r="C706" s="15">
        <v>470</v>
      </c>
      <c r="D706" s="15">
        <v>471.35</v>
      </c>
      <c r="E706" s="15">
        <v>463.6</v>
      </c>
      <c r="F706" s="15">
        <v>468.05</v>
      </c>
      <c r="G706" s="15">
        <v>470.15</v>
      </c>
      <c r="H706" s="15">
        <v>470.35</v>
      </c>
      <c r="I706" s="15">
        <v>468.26</v>
      </c>
      <c r="J706" s="15">
        <v>499.7</v>
      </c>
      <c r="K706" s="15">
        <v>326</v>
      </c>
      <c r="L706" s="15">
        <v>10519771</v>
      </c>
      <c r="M706" t="s" s="13">
        <v>9495</v>
      </c>
      <c r="N706" s="15">
        <v>159124</v>
      </c>
      <c r="O706" s="17" cm="1">
        <f t="array" ref="O706">(H706-H705)/H705</f>
        <v>0.00491400491400491</v>
      </c>
    </row>
    <row r="707" ht="13.65" customHeight="1">
      <c r="A707" s="12">
        <v>45294</v>
      </c>
      <c r="B707" t="s" s="13">
        <v>22</v>
      </c>
      <c r="C707" s="15">
        <v>470.25</v>
      </c>
      <c r="D707" s="15">
        <v>480.7</v>
      </c>
      <c r="E707" s="15">
        <v>469.35</v>
      </c>
      <c r="F707" s="15">
        <v>470.35</v>
      </c>
      <c r="G707" s="15">
        <v>477.45</v>
      </c>
      <c r="H707" s="15">
        <v>477.25</v>
      </c>
      <c r="I707" s="15">
        <v>477.4</v>
      </c>
      <c r="J707" s="15">
        <v>499.7</v>
      </c>
      <c r="K707" s="15">
        <v>326</v>
      </c>
      <c r="L707" s="15">
        <v>24036012</v>
      </c>
      <c r="M707" t="s" s="13">
        <v>9496</v>
      </c>
      <c r="N707" s="15">
        <v>270703</v>
      </c>
      <c r="O707" s="17" cm="1">
        <f t="array" ref="O707">(H707-H706)/H706</f>
        <v>0.0146699266503667</v>
      </c>
    </row>
    <row r="708" ht="13.65" customHeight="1">
      <c r="A708" s="12">
        <v>45295</v>
      </c>
      <c r="B708" t="s" s="13">
        <v>22</v>
      </c>
      <c r="C708" s="15">
        <v>480</v>
      </c>
      <c r="D708" s="15">
        <v>481.45</v>
      </c>
      <c r="E708" s="15">
        <v>474.2</v>
      </c>
      <c r="F708" s="15">
        <v>477.25</v>
      </c>
      <c r="G708" s="15">
        <v>475.5</v>
      </c>
      <c r="H708" s="15">
        <v>476.4</v>
      </c>
      <c r="I708" s="15">
        <v>478.62</v>
      </c>
      <c r="J708" s="15">
        <v>499.7</v>
      </c>
      <c r="K708" s="15">
        <v>326</v>
      </c>
      <c r="L708" s="15">
        <v>11786959</v>
      </c>
      <c r="M708" t="s" s="13">
        <v>9497</v>
      </c>
      <c r="N708" s="15">
        <v>145887</v>
      </c>
      <c r="O708" s="17" cm="1">
        <f t="array" ref="O708">(H708-H707)/H707</f>
        <v>-0.00178103719224725</v>
      </c>
    </row>
    <row r="709" ht="13.65" customHeight="1">
      <c r="A709" s="12">
        <v>45296</v>
      </c>
      <c r="B709" t="s" s="13">
        <v>22</v>
      </c>
      <c r="C709" s="15">
        <v>479.4</v>
      </c>
      <c r="D709" s="15">
        <v>479.4</v>
      </c>
      <c r="E709" s="15">
        <v>472</v>
      </c>
      <c r="F709" s="15">
        <v>476.4</v>
      </c>
      <c r="G709" s="15">
        <v>473.8</v>
      </c>
      <c r="H709" s="15">
        <v>473.95</v>
      </c>
      <c r="I709" s="15">
        <v>474.98</v>
      </c>
      <c r="J709" s="15">
        <v>499.7</v>
      </c>
      <c r="K709" s="15">
        <v>326</v>
      </c>
      <c r="L709" s="15">
        <v>9209405</v>
      </c>
      <c r="M709" t="s" s="13">
        <v>9498</v>
      </c>
      <c r="N709" s="15">
        <v>191991</v>
      </c>
      <c r="O709" s="17" cm="1">
        <f t="array" ref="O709">(H709-H708)/H708</f>
        <v>-0.00514273719563392</v>
      </c>
    </row>
    <row r="710" ht="13.65" customHeight="1">
      <c r="A710" s="12">
        <v>45299</v>
      </c>
      <c r="B710" t="s" s="13">
        <v>22</v>
      </c>
      <c r="C710" s="15">
        <v>475</v>
      </c>
      <c r="D710" s="15">
        <v>475.5</v>
      </c>
      <c r="E710" s="15">
        <v>464.55</v>
      </c>
      <c r="F710" s="15">
        <v>473.95</v>
      </c>
      <c r="G710" s="15">
        <v>465.35</v>
      </c>
      <c r="H710" s="15">
        <v>465.5</v>
      </c>
      <c r="I710" s="15">
        <v>467.76</v>
      </c>
      <c r="J710" s="15">
        <v>499.7</v>
      </c>
      <c r="K710" s="15">
        <v>326.4</v>
      </c>
      <c r="L710" s="15">
        <v>8003177</v>
      </c>
      <c r="M710" t="s" s="13">
        <v>9499</v>
      </c>
      <c r="N710" s="15">
        <v>162793</v>
      </c>
      <c r="O710" s="17" cm="1">
        <f t="array" ref="O710">(H710-H709)/H709</f>
        <v>-0.0178288849034708</v>
      </c>
    </row>
    <row r="711" ht="13.65" customHeight="1">
      <c r="A711" s="12">
        <v>45300</v>
      </c>
      <c r="B711" t="s" s="13">
        <v>22</v>
      </c>
      <c r="C711" s="15">
        <v>467.5</v>
      </c>
      <c r="D711" s="15">
        <v>469.95</v>
      </c>
      <c r="E711" s="15">
        <v>463.65</v>
      </c>
      <c r="F711" s="15">
        <v>465.5</v>
      </c>
      <c r="G711" s="15">
        <v>464.2</v>
      </c>
      <c r="H711" s="15">
        <v>464.55</v>
      </c>
      <c r="I711" s="15">
        <v>466.06</v>
      </c>
      <c r="J711" s="15">
        <v>499.7</v>
      </c>
      <c r="K711" s="15">
        <v>326.4</v>
      </c>
      <c r="L711" s="15">
        <v>5696780</v>
      </c>
      <c r="M711" t="s" s="13">
        <v>9500</v>
      </c>
      <c r="N711" s="15">
        <v>133889</v>
      </c>
      <c r="O711" s="17" cm="1">
        <f t="array" ref="O711">(H711-H710)/H710</f>
        <v>-0.00204081632653061</v>
      </c>
    </row>
    <row r="712" ht="13.65" customHeight="1">
      <c r="A712" s="18">
        <v>45301</v>
      </c>
      <c r="B712" t="s" s="13">
        <v>22</v>
      </c>
      <c r="C712" s="15">
        <v>464.55</v>
      </c>
      <c r="D712" s="15">
        <v>466.75</v>
      </c>
      <c r="E712" s="15">
        <v>460.05</v>
      </c>
      <c r="F712" s="15">
        <v>464.55</v>
      </c>
      <c r="G712" s="15">
        <v>463.5</v>
      </c>
      <c r="H712" s="15">
        <v>463.3</v>
      </c>
      <c r="I712" s="15">
        <v>462.07</v>
      </c>
      <c r="J712" s="15">
        <v>499.7</v>
      </c>
      <c r="K712" s="15">
        <v>326.4</v>
      </c>
      <c r="L712" s="15">
        <v>5896123</v>
      </c>
      <c r="M712" t="s" s="13">
        <v>9501</v>
      </c>
      <c r="N712" s="15">
        <v>113576</v>
      </c>
      <c r="O712" s="17" cm="1">
        <f t="array" ref="O712">(H712-H711)/H711</f>
        <v>-0.00269077601980411</v>
      </c>
    </row>
    <row r="713" ht="13.65" customHeight="1">
      <c r="A713" s="18">
        <v>45302</v>
      </c>
      <c r="B713" t="s" s="13">
        <v>22</v>
      </c>
      <c r="C713" s="15">
        <v>464.1</v>
      </c>
      <c r="D713" s="15">
        <v>466.55</v>
      </c>
      <c r="E713" s="15">
        <v>461.1</v>
      </c>
      <c r="F713" s="15">
        <v>463.3</v>
      </c>
      <c r="G713" s="15">
        <v>463.25</v>
      </c>
      <c r="H713" s="15">
        <v>462.65</v>
      </c>
      <c r="I713" s="15">
        <v>463.35</v>
      </c>
      <c r="J713" s="15">
        <v>499.7</v>
      </c>
      <c r="K713" s="15">
        <v>326.4</v>
      </c>
      <c r="L713" s="15">
        <v>6534775</v>
      </c>
      <c r="M713" t="s" s="13">
        <v>9502</v>
      </c>
      <c r="N713" s="15">
        <v>128488</v>
      </c>
      <c r="O713" s="17" cm="1">
        <f t="array" ref="O713">(H713-H712)/H712</f>
        <v>-0.00140297863155623</v>
      </c>
    </row>
    <row r="714" ht="13.65" customHeight="1">
      <c r="A714" s="18">
        <v>45303</v>
      </c>
      <c r="B714" t="s" s="13">
        <v>22</v>
      </c>
      <c r="C714" s="15">
        <v>463.25</v>
      </c>
      <c r="D714" s="15">
        <v>467.7</v>
      </c>
      <c r="E714" s="15">
        <v>460.35</v>
      </c>
      <c r="F714" s="15">
        <v>462.65</v>
      </c>
      <c r="G714" s="15">
        <v>467.4</v>
      </c>
      <c r="H714" s="15">
        <v>466.7</v>
      </c>
      <c r="I714" s="15">
        <v>464.54</v>
      </c>
      <c r="J714" s="15">
        <v>499.7</v>
      </c>
      <c r="K714" s="15">
        <v>326.4</v>
      </c>
      <c r="L714" s="15">
        <v>9354326</v>
      </c>
      <c r="M714" t="s" s="13">
        <v>9503</v>
      </c>
      <c r="N714" s="15">
        <v>151600</v>
      </c>
      <c r="O714" s="17" cm="1">
        <f t="array" ref="O714">(H714-H713)/H713</f>
        <v>0.00875391764833027</v>
      </c>
    </row>
    <row r="715" ht="13.65" customHeight="1">
      <c r="A715" s="18">
        <v>45306</v>
      </c>
      <c r="B715" t="s" s="13">
        <v>22</v>
      </c>
      <c r="C715" s="15">
        <v>470</v>
      </c>
      <c r="D715" s="15">
        <v>470.5</v>
      </c>
      <c r="E715" s="15">
        <v>466.1</v>
      </c>
      <c r="F715" s="15">
        <v>466.7</v>
      </c>
      <c r="G715" s="15">
        <v>467.55</v>
      </c>
      <c r="H715" s="15">
        <v>467.6</v>
      </c>
      <c r="I715" s="15">
        <v>467.74</v>
      </c>
      <c r="J715" s="15">
        <v>499.7</v>
      </c>
      <c r="K715" s="15">
        <v>327.55</v>
      </c>
      <c r="L715" s="15">
        <v>6902156</v>
      </c>
      <c r="M715" t="s" s="13">
        <v>9504</v>
      </c>
      <c r="N715" s="15">
        <v>141310</v>
      </c>
      <c r="O715" s="17" cm="1">
        <f t="array" ref="O715">(H715-H714)/H714</f>
        <v>0.00192843368330834</v>
      </c>
    </row>
    <row r="716" ht="13.65" customHeight="1">
      <c r="A716" s="18">
        <v>45307</v>
      </c>
      <c r="B716" t="s" s="13">
        <v>22</v>
      </c>
      <c r="C716" s="15">
        <v>467.8</v>
      </c>
      <c r="D716" s="15">
        <v>475</v>
      </c>
      <c r="E716" s="15">
        <v>464.25</v>
      </c>
      <c r="F716" s="15">
        <v>467.6</v>
      </c>
      <c r="G716" s="15">
        <v>475</v>
      </c>
      <c r="H716" s="15">
        <v>472.3</v>
      </c>
      <c r="I716" s="15">
        <v>469.28</v>
      </c>
      <c r="J716" s="15">
        <v>499.7</v>
      </c>
      <c r="K716" s="15">
        <v>327.55</v>
      </c>
      <c r="L716" s="15">
        <v>12066347</v>
      </c>
      <c r="M716" t="s" s="13">
        <v>9505</v>
      </c>
      <c r="N716" s="15">
        <v>181194</v>
      </c>
      <c r="O716" s="17" cm="1">
        <f t="array" ref="O716">(H716-H715)/H715</f>
        <v>0.0100513259195894</v>
      </c>
    </row>
    <row r="717" ht="13.65" customHeight="1">
      <c r="A717" s="18">
        <v>45308</v>
      </c>
      <c r="B717" t="s" s="13">
        <v>22</v>
      </c>
      <c r="C717" s="15">
        <v>471.4</v>
      </c>
      <c r="D717" s="15">
        <v>477</v>
      </c>
      <c r="E717" s="15">
        <v>465.2</v>
      </c>
      <c r="F717" s="15">
        <v>472.3</v>
      </c>
      <c r="G717" s="15">
        <v>467.3</v>
      </c>
      <c r="H717" s="15">
        <v>466.6</v>
      </c>
      <c r="I717" s="15">
        <v>470.02</v>
      </c>
      <c r="J717" s="15">
        <v>499.7</v>
      </c>
      <c r="K717" s="15">
        <v>327.55</v>
      </c>
      <c r="L717" s="15">
        <v>11108698</v>
      </c>
      <c r="M717" t="s" s="13">
        <v>9506</v>
      </c>
      <c r="N717" s="15">
        <v>163870</v>
      </c>
      <c r="O717" s="17" cm="1">
        <f t="array" ref="O717">(H717-H716)/H716</f>
        <v>-0.0120686004658056</v>
      </c>
    </row>
    <row r="718" ht="13.65" customHeight="1">
      <c r="A718" s="18">
        <v>45309</v>
      </c>
      <c r="B718" t="s" s="13">
        <v>22</v>
      </c>
      <c r="C718" s="15">
        <v>465.25</v>
      </c>
      <c r="D718" s="15">
        <v>467.85</v>
      </c>
      <c r="E718" s="15">
        <v>454.55</v>
      </c>
      <c r="F718" s="15">
        <v>466.6</v>
      </c>
      <c r="G718" s="15">
        <v>466.45</v>
      </c>
      <c r="H718" s="15">
        <v>465.5</v>
      </c>
      <c r="I718" s="15">
        <v>463.82</v>
      </c>
      <c r="J718" s="15">
        <v>499.7</v>
      </c>
      <c r="K718" s="15">
        <v>327.55</v>
      </c>
      <c r="L718" s="15">
        <v>9143784</v>
      </c>
      <c r="M718" t="s" s="13">
        <v>9507</v>
      </c>
      <c r="N718" s="15">
        <v>162645</v>
      </c>
      <c r="O718" s="17" cm="1">
        <f t="array" ref="O718">(H718-H717)/H717</f>
        <v>-0.00235747963994856</v>
      </c>
    </row>
    <row r="719" ht="13.65" customHeight="1">
      <c r="A719" s="18">
        <v>45310</v>
      </c>
      <c r="B719" t="s" s="13">
        <v>22</v>
      </c>
      <c r="C719" s="15">
        <v>468.55</v>
      </c>
      <c r="D719" s="15">
        <v>473</v>
      </c>
      <c r="E719" s="15">
        <v>466.4</v>
      </c>
      <c r="F719" s="15">
        <v>465.5</v>
      </c>
      <c r="G719" s="15">
        <v>472</v>
      </c>
      <c r="H719" s="15">
        <v>471.5</v>
      </c>
      <c r="I719" s="15">
        <v>470.66</v>
      </c>
      <c r="J719" s="15">
        <v>499.7</v>
      </c>
      <c r="K719" s="15">
        <v>327.55</v>
      </c>
      <c r="L719" s="15">
        <v>12203322</v>
      </c>
      <c r="M719" t="s" s="13">
        <v>9508</v>
      </c>
      <c r="N719" s="15">
        <v>140093</v>
      </c>
      <c r="O719" s="17" cm="1">
        <f t="array" ref="O719">(H719-H718)/H718</f>
        <v>0.0128893662728249</v>
      </c>
    </row>
    <row r="720" ht="13.65" customHeight="1">
      <c r="A720" s="18">
        <v>45311</v>
      </c>
      <c r="B720" t="s" s="13">
        <v>22</v>
      </c>
      <c r="C720" s="15">
        <v>473.4</v>
      </c>
      <c r="D720" s="15">
        <v>475</v>
      </c>
      <c r="E720" s="15">
        <v>468</v>
      </c>
      <c r="F720" s="15">
        <v>471.5</v>
      </c>
      <c r="G720" s="15">
        <v>468.3</v>
      </c>
      <c r="H720" s="15">
        <v>468.4</v>
      </c>
      <c r="I720" s="15">
        <v>471.38</v>
      </c>
      <c r="J720" s="15">
        <v>499.7</v>
      </c>
      <c r="K720" s="15">
        <v>327.55</v>
      </c>
      <c r="L720" s="15">
        <v>3296407</v>
      </c>
      <c r="M720" t="s" s="13">
        <v>9509</v>
      </c>
      <c r="N720" s="15">
        <v>53837</v>
      </c>
      <c r="O720" s="17" cm="1">
        <f t="array" ref="O720">(H720-H719)/H719</f>
        <v>-0.00657476139978791</v>
      </c>
    </row>
    <row r="721" ht="13.65" customHeight="1">
      <c r="A721" s="18">
        <v>45314</v>
      </c>
      <c r="B721" t="s" s="13">
        <v>22</v>
      </c>
      <c r="C721" s="15">
        <v>473.75</v>
      </c>
      <c r="D721" s="15">
        <v>473.75</v>
      </c>
      <c r="E721" s="15">
        <v>456.4</v>
      </c>
      <c r="F721" s="15">
        <v>468.4</v>
      </c>
      <c r="G721" s="15">
        <v>459.85</v>
      </c>
      <c r="H721" s="15">
        <v>459.3</v>
      </c>
      <c r="I721" s="15">
        <v>465.33</v>
      </c>
      <c r="J721" s="15">
        <v>499.7</v>
      </c>
      <c r="K721" s="15">
        <v>329.1</v>
      </c>
      <c r="L721" s="15">
        <v>8404513</v>
      </c>
      <c r="M721" t="s" s="13">
        <v>9510</v>
      </c>
      <c r="N721" s="15">
        <v>174187</v>
      </c>
      <c r="O721" s="17" cm="1">
        <f t="array" ref="O721">(H721-H720)/H720</f>
        <v>-0.0194278394534586</v>
      </c>
    </row>
    <row r="722" ht="13.65" customHeight="1">
      <c r="A722" s="18">
        <v>45315</v>
      </c>
      <c r="B722" t="s" s="13">
        <v>22</v>
      </c>
      <c r="C722" s="15">
        <v>460.1</v>
      </c>
      <c r="D722" s="15">
        <v>467.4</v>
      </c>
      <c r="E722" s="15">
        <v>458.1</v>
      </c>
      <c r="F722" s="15">
        <v>459.3</v>
      </c>
      <c r="G722" s="15">
        <v>461.8</v>
      </c>
      <c r="H722" s="15">
        <v>463.6</v>
      </c>
      <c r="I722" s="15">
        <v>461.87</v>
      </c>
      <c r="J722" s="15">
        <v>499.7</v>
      </c>
      <c r="K722" s="15">
        <v>329.1</v>
      </c>
      <c r="L722" s="15">
        <v>21626183</v>
      </c>
      <c r="M722" t="s" s="13">
        <v>9511</v>
      </c>
      <c r="N722" s="15">
        <v>182598</v>
      </c>
      <c r="O722" s="17" cm="1">
        <f t="array" ref="O722">(H722-H721)/H721</f>
        <v>0.009362072719355539</v>
      </c>
    </row>
    <row r="723" ht="13.65" customHeight="1">
      <c r="A723" s="18">
        <v>45316</v>
      </c>
      <c r="B723" t="s" s="13">
        <v>22</v>
      </c>
      <c r="C723" s="15">
        <v>463.55</v>
      </c>
      <c r="D723" s="15">
        <v>464.95</v>
      </c>
      <c r="E723" s="15">
        <v>452.1</v>
      </c>
      <c r="F723" s="15">
        <v>463.6</v>
      </c>
      <c r="G723" s="15">
        <v>457.5</v>
      </c>
      <c r="H723" s="15">
        <v>455.65</v>
      </c>
      <c r="I723" s="15">
        <v>456.11</v>
      </c>
      <c r="J723" s="15">
        <v>499.7</v>
      </c>
      <c r="K723" s="15">
        <v>329.1</v>
      </c>
      <c r="L723" s="15">
        <v>19677700</v>
      </c>
      <c r="M723" t="s" s="13">
        <v>9512</v>
      </c>
      <c r="N723" s="15">
        <v>206935</v>
      </c>
      <c r="O723" s="17" cm="1">
        <f t="array" ref="O723">(H723-H722)/H722</f>
        <v>-0.0171484037963762</v>
      </c>
    </row>
    <row r="724" ht="13.65" customHeight="1">
      <c r="A724" s="18">
        <v>45320</v>
      </c>
      <c r="B724" t="s" s="13">
        <v>22</v>
      </c>
      <c r="C724" s="15">
        <v>455.9</v>
      </c>
      <c r="D724" s="15">
        <v>457.25</v>
      </c>
      <c r="E724" s="15">
        <v>447.5</v>
      </c>
      <c r="F724" s="15">
        <v>455.65</v>
      </c>
      <c r="G724" s="15">
        <v>448.7</v>
      </c>
      <c r="H724" s="15">
        <v>449.8</v>
      </c>
      <c r="I724" s="15">
        <v>452.63</v>
      </c>
      <c r="J724" s="15">
        <v>499.7</v>
      </c>
      <c r="K724" s="15">
        <v>329.1</v>
      </c>
      <c r="L724" s="15">
        <v>17869152</v>
      </c>
      <c r="M724" t="s" s="13">
        <v>9513</v>
      </c>
      <c r="N724" s="15">
        <v>253582</v>
      </c>
      <c r="O724" s="17" cm="1">
        <f t="array" ref="O724">(H724-H723)/H723</f>
        <v>-0.0128388017118402</v>
      </c>
    </row>
    <row r="725" ht="13.65" customHeight="1">
      <c r="A725" s="18">
        <v>45321</v>
      </c>
      <c r="B725" t="s" s="13">
        <v>22</v>
      </c>
      <c r="C725" s="15">
        <v>447</v>
      </c>
      <c r="D725" s="15">
        <v>453.7</v>
      </c>
      <c r="E725" s="15">
        <v>437.4</v>
      </c>
      <c r="F725" s="15">
        <v>449.8</v>
      </c>
      <c r="G725" s="15">
        <v>438.25</v>
      </c>
      <c r="H725" s="15">
        <v>438.05</v>
      </c>
      <c r="I725" s="15">
        <v>442.5</v>
      </c>
      <c r="J725" s="15">
        <v>499.7</v>
      </c>
      <c r="K725" s="15">
        <v>329.1</v>
      </c>
      <c r="L725" s="15">
        <v>43514448</v>
      </c>
      <c r="M725" t="s" s="13">
        <v>9514</v>
      </c>
      <c r="N725" s="15">
        <v>699940</v>
      </c>
      <c r="O725" s="17" cm="1">
        <f t="array" ref="O725">(H725-H724)/H724</f>
        <v>-0.0261227212094264</v>
      </c>
    </row>
    <row r="726" ht="13.65" customHeight="1">
      <c r="A726" s="18">
        <v>45322</v>
      </c>
      <c r="B726" t="s" s="13">
        <v>22</v>
      </c>
      <c r="C726" s="15">
        <v>440</v>
      </c>
      <c r="D726" s="15">
        <v>442.5</v>
      </c>
      <c r="E726" s="15">
        <v>438.7</v>
      </c>
      <c r="F726" s="15">
        <v>438.05</v>
      </c>
      <c r="G726" s="15">
        <v>441.75</v>
      </c>
      <c r="H726" s="15">
        <v>441.55</v>
      </c>
      <c r="I726" s="15">
        <v>440.69</v>
      </c>
      <c r="J726" s="15">
        <v>499.7</v>
      </c>
      <c r="K726" s="15">
        <v>329.1</v>
      </c>
      <c r="L726" s="15">
        <v>19882944</v>
      </c>
      <c r="M726" t="s" s="13">
        <v>9515</v>
      </c>
      <c r="N726" s="15">
        <v>240053</v>
      </c>
      <c r="O726" s="17" cm="1">
        <f t="array" ref="O726">(H726-H725)/H725</f>
        <v>0.007989955484533731</v>
      </c>
    </row>
    <row r="727" ht="13.65" customHeight="1">
      <c r="A727" s="12">
        <v>45323</v>
      </c>
      <c r="B727" t="s" s="13">
        <v>22</v>
      </c>
      <c r="C727" s="15">
        <v>442</v>
      </c>
      <c r="D727" s="15">
        <v>447.75</v>
      </c>
      <c r="E727" s="15">
        <v>439.3</v>
      </c>
      <c r="F727" s="15">
        <v>441.55</v>
      </c>
      <c r="G727" s="15">
        <v>442.4</v>
      </c>
      <c r="H727" s="15">
        <v>442.9</v>
      </c>
      <c r="I727" s="15">
        <v>443.51</v>
      </c>
      <c r="J727" s="15">
        <v>499.7</v>
      </c>
      <c r="K727" s="15">
        <v>329.1</v>
      </c>
      <c r="L727" s="15">
        <v>19165409</v>
      </c>
      <c r="M727" t="s" s="13">
        <v>9516</v>
      </c>
      <c r="N727" s="15">
        <v>272761</v>
      </c>
      <c r="O727" s="17" cm="1">
        <f t="array" ref="O727">(H727-H726)/H726</f>
        <v>0.00305741139168837</v>
      </c>
    </row>
    <row r="728" ht="13.65" customHeight="1">
      <c r="A728" s="12">
        <v>45324</v>
      </c>
      <c r="B728" t="s" s="13">
        <v>22</v>
      </c>
      <c r="C728" s="15">
        <v>445</v>
      </c>
      <c r="D728" s="15">
        <v>447.2</v>
      </c>
      <c r="E728" s="15">
        <v>439.5</v>
      </c>
      <c r="F728" s="15">
        <v>442.9</v>
      </c>
      <c r="G728" s="15">
        <v>440.6</v>
      </c>
      <c r="H728" s="15">
        <v>440.1</v>
      </c>
      <c r="I728" s="15">
        <v>442.87</v>
      </c>
      <c r="J728" s="15">
        <v>499.7</v>
      </c>
      <c r="K728" s="15">
        <v>329.1</v>
      </c>
      <c r="L728" s="15">
        <v>17156021</v>
      </c>
      <c r="M728" t="s" s="13">
        <v>9517</v>
      </c>
      <c r="N728" s="15">
        <v>252589</v>
      </c>
      <c r="O728" s="17" cm="1">
        <f t="array" ref="O728">(H728-H727)/H727</f>
        <v>-0.00632196884172499</v>
      </c>
    </row>
    <row r="729" ht="13.65" customHeight="1">
      <c r="A729" s="12">
        <v>45327</v>
      </c>
      <c r="B729" t="s" s="13">
        <v>22</v>
      </c>
      <c r="C729" s="15">
        <v>442</v>
      </c>
      <c r="D729" s="15">
        <v>443.65</v>
      </c>
      <c r="E729" s="15">
        <v>436.55</v>
      </c>
      <c r="F729" s="15">
        <v>440.1</v>
      </c>
      <c r="G729" s="15">
        <v>438.15</v>
      </c>
      <c r="H729" s="15">
        <v>438.05</v>
      </c>
      <c r="I729" s="15">
        <v>440.45</v>
      </c>
      <c r="J729" s="15">
        <v>499.7</v>
      </c>
      <c r="K729" s="15">
        <v>368.45</v>
      </c>
      <c r="L729" s="15">
        <v>12041897</v>
      </c>
      <c r="M729" t="s" s="13">
        <v>9518</v>
      </c>
      <c r="N729" s="15">
        <v>203069</v>
      </c>
      <c r="O729" s="17" cm="1">
        <f t="array" ref="O729">(H729-H728)/H728</f>
        <v>-0.00465803226539423</v>
      </c>
    </row>
    <row r="730" ht="13.65" customHeight="1">
      <c r="A730" s="12">
        <v>45328</v>
      </c>
      <c r="B730" t="s" s="13">
        <v>22</v>
      </c>
      <c r="C730" s="15">
        <v>440</v>
      </c>
      <c r="D730" s="15">
        <v>440.9</v>
      </c>
      <c r="E730" s="15">
        <v>429.5</v>
      </c>
      <c r="F730" s="15">
        <v>438.05</v>
      </c>
      <c r="G730" s="15">
        <v>431.9</v>
      </c>
      <c r="H730" s="15">
        <v>431.4</v>
      </c>
      <c r="I730" s="15">
        <v>433.22</v>
      </c>
      <c r="J730" s="15">
        <v>499.7</v>
      </c>
      <c r="K730" s="15">
        <v>368.45</v>
      </c>
      <c r="L730" s="15">
        <v>18764371</v>
      </c>
      <c r="M730" t="s" s="13">
        <v>9519</v>
      </c>
      <c r="N730" s="15">
        <v>337897</v>
      </c>
      <c r="O730" s="17" cm="1">
        <f t="array" ref="O730">(H730-H729)/H729</f>
        <v>-0.0151809154206141</v>
      </c>
    </row>
    <row r="731" ht="13.65" customHeight="1">
      <c r="A731" s="12">
        <v>45329</v>
      </c>
      <c r="B731" t="s" s="13">
        <v>22</v>
      </c>
      <c r="C731" s="15">
        <v>435</v>
      </c>
      <c r="D731" s="15">
        <v>435</v>
      </c>
      <c r="E731" s="15">
        <v>430.8</v>
      </c>
      <c r="F731" s="15">
        <v>431.4</v>
      </c>
      <c r="G731" s="15">
        <v>431.8</v>
      </c>
      <c r="H731" s="15">
        <v>431.8</v>
      </c>
      <c r="I731" s="15">
        <v>432.35</v>
      </c>
      <c r="J731" s="15">
        <v>499.7</v>
      </c>
      <c r="K731" s="15">
        <v>368.45</v>
      </c>
      <c r="L731" s="15">
        <v>12880824</v>
      </c>
      <c r="M731" t="s" s="13">
        <v>9520</v>
      </c>
      <c r="N731" s="15">
        <v>234908</v>
      </c>
      <c r="O731" s="17" cm="1">
        <f t="array" ref="O731">(H731-H730)/H730</f>
        <v>0.000927213722763097</v>
      </c>
    </row>
    <row r="732" ht="13.65" customHeight="1">
      <c r="A732" s="12">
        <v>45330</v>
      </c>
      <c r="B732" t="s" s="13">
        <v>22</v>
      </c>
      <c r="C732" s="15">
        <v>429</v>
      </c>
      <c r="D732" s="15">
        <v>429.1</v>
      </c>
      <c r="E732" s="15">
        <v>408.6</v>
      </c>
      <c r="F732" s="15">
        <v>431.8</v>
      </c>
      <c r="G732" s="15">
        <v>414.45</v>
      </c>
      <c r="H732" s="15">
        <v>414.55</v>
      </c>
      <c r="I732" s="15">
        <v>417.33</v>
      </c>
      <c r="J732" s="15">
        <v>499.7</v>
      </c>
      <c r="K732" s="15">
        <v>368.45</v>
      </c>
      <c r="L732" s="15">
        <v>48183882</v>
      </c>
      <c r="M732" t="s" s="13">
        <v>9521</v>
      </c>
      <c r="N732" s="15">
        <v>568349</v>
      </c>
      <c r="O732" s="17" cm="1">
        <f t="array" ref="O732">(H732-H731)/H731</f>
        <v>-0.0399490504863363</v>
      </c>
    </row>
    <row r="733" ht="13.65" customHeight="1">
      <c r="A733" s="12">
        <v>45331</v>
      </c>
      <c r="B733" t="s" s="13">
        <v>22</v>
      </c>
      <c r="C733" s="15">
        <v>410.1</v>
      </c>
      <c r="D733" s="15">
        <v>424.2</v>
      </c>
      <c r="E733" s="15">
        <v>408.6</v>
      </c>
      <c r="F733" s="15">
        <v>414.55</v>
      </c>
      <c r="G733" s="15">
        <v>415</v>
      </c>
      <c r="H733" s="15">
        <v>415.5</v>
      </c>
      <c r="I733" s="15">
        <v>417.23</v>
      </c>
      <c r="J733" s="15">
        <v>499.7</v>
      </c>
      <c r="K733" s="15">
        <v>368.45</v>
      </c>
      <c r="L733" s="15">
        <v>32283965</v>
      </c>
      <c r="M733" t="s" s="13">
        <v>9522</v>
      </c>
      <c r="N733" s="15">
        <v>345877</v>
      </c>
      <c r="O733" s="17" cm="1">
        <f t="array" ref="O733">(H733-H732)/H732</f>
        <v>0.00229164153901821</v>
      </c>
    </row>
    <row r="734" ht="13.65" customHeight="1">
      <c r="A734" s="18">
        <v>45334</v>
      </c>
      <c r="B734" t="s" s="13">
        <v>22</v>
      </c>
      <c r="C734" s="15">
        <v>417.55</v>
      </c>
      <c r="D734" s="15">
        <v>418</v>
      </c>
      <c r="E734" s="15">
        <v>406.05</v>
      </c>
      <c r="F734" s="15">
        <v>415.5</v>
      </c>
      <c r="G734" s="15">
        <v>406.8</v>
      </c>
      <c r="H734" s="15">
        <v>406.85</v>
      </c>
      <c r="I734" s="15">
        <v>410.04</v>
      </c>
      <c r="J734" s="15">
        <v>499.7</v>
      </c>
      <c r="K734" s="15">
        <v>369.65</v>
      </c>
      <c r="L734" s="15">
        <v>10906914</v>
      </c>
      <c r="M734" t="s" s="13">
        <v>9523</v>
      </c>
      <c r="N734" s="15">
        <v>227195</v>
      </c>
      <c r="O734" s="17" cm="1">
        <f t="array" ref="O734">(H734-H733)/H733</f>
        <v>-0.0208182912154031</v>
      </c>
    </row>
    <row r="735" ht="13.65" customHeight="1">
      <c r="A735" s="18">
        <v>45335</v>
      </c>
      <c r="B735" t="s" s="13">
        <v>22</v>
      </c>
      <c r="C735" s="15">
        <v>406.9</v>
      </c>
      <c r="D735" s="15">
        <v>410.8</v>
      </c>
      <c r="E735" s="15">
        <v>403.3</v>
      </c>
      <c r="F735" s="15">
        <v>406.85</v>
      </c>
      <c r="G735" s="15">
        <v>406.9</v>
      </c>
      <c r="H735" s="15">
        <v>406.75</v>
      </c>
      <c r="I735" s="15">
        <v>407.16</v>
      </c>
      <c r="J735" s="15">
        <v>499.7</v>
      </c>
      <c r="K735" s="15">
        <v>369.65</v>
      </c>
      <c r="L735" s="15">
        <v>15606705</v>
      </c>
      <c r="M735" t="s" s="13">
        <v>9524</v>
      </c>
      <c r="N735" s="15">
        <v>251076</v>
      </c>
      <c r="O735" s="17" cm="1">
        <f t="array" ref="O735">(H735-H734)/H734</f>
        <v>-0.000245790832001966</v>
      </c>
    </row>
    <row r="736" ht="13.65" customHeight="1">
      <c r="A736" s="18">
        <v>45336</v>
      </c>
      <c r="B736" t="s" s="13">
        <v>22</v>
      </c>
      <c r="C736" s="15">
        <v>406</v>
      </c>
      <c r="D736" s="15">
        <v>412.25</v>
      </c>
      <c r="E736" s="15">
        <v>404.4</v>
      </c>
      <c r="F736" s="15">
        <v>406.75</v>
      </c>
      <c r="G736" s="15">
        <v>412.15</v>
      </c>
      <c r="H736" s="15">
        <v>411.55</v>
      </c>
      <c r="I736" s="15">
        <v>408.96</v>
      </c>
      <c r="J736" s="15">
        <v>499.7</v>
      </c>
      <c r="K736" s="15">
        <v>369.65</v>
      </c>
      <c r="L736" s="15">
        <v>12150077</v>
      </c>
      <c r="M736" t="s" s="13">
        <v>9525</v>
      </c>
      <c r="N736" s="15">
        <v>180419</v>
      </c>
      <c r="O736" s="17" cm="1">
        <f t="array" ref="O736">(H736-H735)/H735</f>
        <v>0.01180086047941</v>
      </c>
    </row>
    <row r="737" ht="13.65" customHeight="1">
      <c r="A737" s="18">
        <v>45337</v>
      </c>
      <c r="B737" t="s" s="13">
        <v>22</v>
      </c>
      <c r="C737" s="15">
        <v>413</v>
      </c>
      <c r="D737" s="15">
        <v>414.55</v>
      </c>
      <c r="E737" s="15">
        <v>403.15</v>
      </c>
      <c r="F737" s="15">
        <v>411.55</v>
      </c>
      <c r="G737" s="15">
        <v>404.75</v>
      </c>
      <c r="H737" s="15">
        <v>403.9</v>
      </c>
      <c r="I737" s="15">
        <v>406.08</v>
      </c>
      <c r="J737" s="15">
        <v>499.7</v>
      </c>
      <c r="K737" s="15">
        <v>369.65</v>
      </c>
      <c r="L737" s="15">
        <v>20383983</v>
      </c>
      <c r="M737" t="s" s="13">
        <v>9526</v>
      </c>
      <c r="N737" s="15">
        <v>267030</v>
      </c>
      <c r="O737" s="17" cm="1">
        <f t="array" ref="O737">(H737-H736)/H736</f>
        <v>-0.0185882638804519</v>
      </c>
    </row>
    <row r="738" ht="13.65" customHeight="1">
      <c r="A738" s="18">
        <v>45338</v>
      </c>
      <c r="B738" t="s" s="13">
        <v>22</v>
      </c>
      <c r="C738" s="15">
        <v>405</v>
      </c>
      <c r="D738" s="15">
        <v>409.55</v>
      </c>
      <c r="E738" s="15">
        <v>399.4</v>
      </c>
      <c r="F738" s="15">
        <v>403.9</v>
      </c>
      <c r="G738" s="15">
        <v>404.6</v>
      </c>
      <c r="H738" s="15">
        <v>404.6</v>
      </c>
      <c r="I738" s="15">
        <v>403.76</v>
      </c>
      <c r="J738" s="15">
        <v>499.7</v>
      </c>
      <c r="K738" s="15">
        <v>369.65</v>
      </c>
      <c r="L738" s="15">
        <v>37518847</v>
      </c>
      <c r="M738" t="s" s="13">
        <v>9527</v>
      </c>
      <c r="N738" s="15">
        <v>302859</v>
      </c>
      <c r="O738" s="17" cm="1">
        <f t="array" ref="O738">(H738-H737)/H737</f>
        <v>0.00173310225303293</v>
      </c>
    </row>
    <row r="739" ht="13.65" customHeight="1">
      <c r="A739" s="18">
        <v>45341</v>
      </c>
      <c r="B739" t="s" s="13">
        <v>22</v>
      </c>
      <c r="C739" s="15">
        <v>405</v>
      </c>
      <c r="D739" s="15">
        <v>412.75</v>
      </c>
      <c r="E739" s="15">
        <v>404.6</v>
      </c>
      <c r="F739" s="15">
        <v>404.6</v>
      </c>
      <c r="G739" s="15">
        <v>409.2</v>
      </c>
      <c r="H739" s="15">
        <v>409.25</v>
      </c>
      <c r="I739" s="15">
        <v>410.11</v>
      </c>
      <c r="J739" s="15">
        <v>499.7</v>
      </c>
      <c r="K739" s="15">
        <v>369.65</v>
      </c>
      <c r="L739" s="15">
        <v>16949793</v>
      </c>
      <c r="M739" t="s" s="13">
        <v>9528</v>
      </c>
      <c r="N739" s="15">
        <v>195499</v>
      </c>
      <c r="O739" s="17" cm="1">
        <f t="array" ref="O739">(H739-H738)/H738</f>
        <v>0.0114928324270885</v>
      </c>
    </row>
    <row r="740" ht="13.65" customHeight="1">
      <c r="A740" s="18">
        <v>45342</v>
      </c>
      <c r="B740" t="s" s="13">
        <v>22</v>
      </c>
      <c r="C740" s="15">
        <v>410.45</v>
      </c>
      <c r="D740" s="15">
        <v>410.45</v>
      </c>
      <c r="E740" s="15">
        <v>404.3</v>
      </c>
      <c r="F740" s="15">
        <v>409.25</v>
      </c>
      <c r="G740" s="15">
        <v>406.9</v>
      </c>
      <c r="H740" s="15">
        <v>406.1</v>
      </c>
      <c r="I740" s="15">
        <v>406.62</v>
      </c>
      <c r="J740" s="15">
        <v>499.7</v>
      </c>
      <c r="K740" s="15">
        <v>369.65</v>
      </c>
      <c r="L740" s="15">
        <v>14084218</v>
      </c>
      <c r="M740" t="s" s="13">
        <v>9529</v>
      </c>
      <c r="N740" s="15">
        <v>200707</v>
      </c>
      <c r="O740" s="17" cm="1">
        <f t="array" ref="O740">(H740-H739)/H739</f>
        <v>-0.00769700671960904</v>
      </c>
    </row>
    <row r="741" ht="13.65" customHeight="1">
      <c r="A741" s="18">
        <v>45343</v>
      </c>
      <c r="B741" t="s" s="13">
        <v>22</v>
      </c>
      <c r="C741" s="15">
        <v>407</v>
      </c>
      <c r="D741" s="15">
        <v>410.1</v>
      </c>
      <c r="E741" s="15">
        <v>401.3</v>
      </c>
      <c r="F741" s="15">
        <v>406.1</v>
      </c>
      <c r="G741" s="15">
        <v>402.75</v>
      </c>
      <c r="H741" s="15">
        <v>403.35</v>
      </c>
      <c r="I741" s="15">
        <v>406.26</v>
      </c>
      <c r="J741" s="15">
        <v>499.7</v>
      </c>
      <c r="K741" s="15">
        <v>369.65</v>
      </c>
      <c r="L741" s="15">
        <v>19414653</v>
      </c>
      <c r="M741" t="s" s="13">
        <v>9530</v>
      </c>
      <c r="N741" s="15">
        <v>308873</v>
      </c>
      <c r="O741" s="17" cm="1">
        <f t="array" ref="O741">(H741-H740)/H740</f>
        <v>-0.00677173110071411</v>
      </c>
    </row>
    <row r="742" ht="13.65" customHeight="1">
      <c r="A742" s="18">
        <v>45344</v>
      </c>
      <c r="B742" t="s" s="13">
        <v>22</v>
      </c>
      <c r="C742" s="15">
        <v>406.9</v>
      </c>
      <c r="D742" s="15">
        <v>415.15</v>
      </c>
      <c r="E742" s="15">
        <v>403.45</v>
      </c>
      <c r="F742" s="15">
        <v>403.35</v>
      </c>
      <c r="G742" s="15">
        <v>415</v>
      </c>
      <c r="H742" s="15">
        <v>414.45</v>
      </c>
      <c r="I742" s="15">
        <v>409.04</v>
      </c>
      <c r="J742" s="15">
        <v>499.7</v>
      </c>
      <c r="K742" s="15">
        <v>369.65</v>
      </c>
      <c r="L742" s="15">
        <v>18604659</v>
      </c>
      <c r="M742" t="s" s="13">
        <v>9531</v>
      </c>
      <c r="N742" s="15">
        <v>265415</v>
      </c>
      <c r="O742" s="17" cm="1">
        <f t="array" ref="O742">(H742-H741)/H741</f>
        <v>0.0275195239866121</v>
      </c>
    </row>
    <row r="743" ht="13.65" customHeight="1">
      <c r="A743" s="18">
        <v>45345</v>
      </c>
      <c r="B743" t="s" s="13">
        <v>22</v>
      </c>
      <c r="C743" s="15">
        <v>415.9</v>
      </c>
      <c r="D743" s="15">
        <v>415.9</v>
      </c>
      <c r="E743" s="15">
        <v>410.5</v>
      </c>
      <c r="F743" s="15">
        <v>414.45</v>
      </c>
      <c r="G743" s="15">
        <v>410.9</v>
      </c>
      <c r="H743" s="15">
        <v>411.4</v>
      </c>
      <c r="I743" s="15">
        <v>412.65</v>
      </c>
      <c r="J743" s="15">
        <v>499.7</v>
      </c>
      <c r="K743" s="15">
        <v>369.65</v>
      </c>
      <c r="L743" s="15">
        <v>11147636</v>
      </c>
      <c r="M743" t="s" s="13">
        <v>9532</v>
      </c>
      <c r="N743" s="15">
        <v>168693</v>
      </c>
      <c r="O743" s="17" cm="1">
        <f t="array" ref="O743">(H743-H742)/H742</f>
        <v>-0.00735915068162625</v>
      </c>
    </row>
    <row r="744" ht="13.65" customHeight="1">
      <c r="A744" s="18">
        <v>45348</v>
      </c>
      <c r="B744" t="s" s="13">
        <v>22</v>
      </c>
      <c r="C744" s="15">
        <v>411.1</v>
      </c>
      <c r="D744" s="15">
        <v>413.05</v>
      </c>
      <c r="E744" s="15">
        <v>407.3</v>
      </c>
      <c r="F744" s="15">
        <v>411.4</v>
      </c>
      <c r="G744" s="15">
        <v>409.15</v>
      </c>
      <c r="H744" s="15">
        <v>409.2</v>
      </c>
      <c r="I744" s="15">
        <v>409.48</v>
      </c>
      <c r="J744" s="15">
        <v>499.7</v>
      </c>
      <c r="K744" s="15">
        <v>369.65</v>
      </c>
      <c r="L744" s="15">
        <v>7982145</v>
      </c>
      <c r="M744" t="s" s="13">
        <v>9533</v>
      </c>
      <c r="N744" s="15">
        <v>141120</v>
      </c>
      <c r="O744" s="17" cm="1">
        <f t="array" ref="O744">(H744-H743)/H743</f>
        <v>-0.0053475935828877</v>
      </c>
    </row>
    <row r="745" ht="13.65" customHeight="1">
      <c r="A745" s="18">
        <v>45349</v>
      </c>
      <c r="B745" t="s" s="13">
        <v>22</v>
      </c>
      <c r="C745" s="15">
        <v>410</v>
      </c>
      <c r="D745" s="15">
        <v>412.75</v>
      </c>
      <c r="E745" s="15">
        <v>408.55</v>
      </c>
      <c r="F745" s="15">
        <v>409.2</v>
      </c>
      <c r="G745" s="15">
        <v>410.7</v>
      </c>
      <c r="H745" s="15">
        <v>411.15</v>
      </c>
      <c r="I745" s="15">
        <v>410.81</v>
      </c>
      <c r="J745" s="15">
        <v>499.7</v>
      </c>
      <c r="K745" s="15">
        <v>369.65</v>
      </c>
      <c r="L745" s="15">
        <v>7783743</v>
      </c>
      <c r="M745" t="s" s="13">
        <v>9534</v>
      </c>
      <c r="N745" s="15">
        <v>149253</v>
      </c>
      <c r="O745" s="17" cm="1">
        <f t="array" ref="O745">(H745-H744)/H744</f>
        <v>0.00476539589442815</v>
      </c>
    </row>
    <row r="746" ht="13.65" customHeight="1">
      <c r="A746" s="18">
        <v>45350</v>
      </c>
      <c r="B746" t="s" s="13">
        <v>22</v>
      </c>
      <c r="C746" s="15">
        <v>411.15</v>
      </c>
      <c r="D746" s="15">
        <v>412.35</v>
      </c>
      <c r="E746" s="15">
        <v>406.8</v>
      </c>
      <c r="F746" s="15">
        <v>411.15</v>
      </c>
      <c r="G746" s="15">
        <v>407.85</v>
      </c>
      <c r="H746" s="15">
        <v>408.3</v>
      </c>
      <c r="I746" s="15">
        <v>409.1</v>
      </c>
      <c r="J746" s="15">
        <v>499.7</v>
      </c>
      <c r="K746" s="15">
        <v>369.65</v>
      </c>
      <c r="L746" s="15">
        <v>8617768</v>
      </c>
      <c r="M746" t="s" s="13">
        <v>9535</v>
      </c>
      <c r="N746" s="15">
        <v>157196</v>
      </c>
      <c r="O746" s="17" cm="1">
        <f t="array" ref="O746">(H746-H745)/H745</f>
        <v>-0.00693177672382342</v>
      </c>
    </row>
    <row r="747" ht="13.65" customHeight="1">
      <c r="A747" s="18">
        <v>45351</v>
      </c>
      <c r="B747" t="s" s="13">
        <v>22</v>
      </c>
      <c r="C747" s="15">
        <v>409</v>
      </c>
      <c r="D747" s="15">
        <v>411.05</v>
      </c>
      <c r="E747" s="15">
        <v>404.5</v>
      </c>
      <c r="F747" s="15">
        <v>408.3</v>
      </c>
      <c r="G747" s="15">
        <v>406.9</v>
      </c>
      <c r="H747" s="15">
        <v>406.3</v>
      </c>
      <c r="I747" s="15">
        <v>407.62</v>
      </c>
      <c r="J747" s="15">
        <v>499.7</v>
      </c>
      <c r="K747" s="15">
        <v>369.65</v>
      </c>
      <c r="L747" s="15">
        <v>14895144</v>
      </c>
      <c r="M747" t="s" s="13">
        <v>9536</v>
      </c>
      <c r="N747" s="15">
        <v>182863</v>
      </c>
      <c r="O747" s="17" cm="1">
        <f t="array" ref="O747">(H747-H746)/H746</f>
        <v>-0.00489835904971834</v>
      </c>
    </row>
    <row r="748" ht="13.65" customHeight="1">
      <c r="A748" s="12">
        <v>45352</v>
      </c>
      <c r="B748" t="s" s="13">
        <v>22</v>
      </c>
      <c r="C748" s="15">
        <v>408.9</v>
      </c>
      <c r="D748" s="15">
        <v>413.15</v>
      </c>
      <c r="E748" s="15">
        <v>407.5</v>
      </c>
      <c r="F748" s="15">
        <v>406.3</v>
      </c>
      <c r="G748" s="15">
        <v>410.1</v>
      </c>
      <c r="H748" s="15">
        <v>409.5</v>
      </c>
      <c r="I748" s="15">
        <v>410.66</v>
      </c>
      <c r="J748" s="15">
        <v>499.7</v>
      </c>
      <c r="K748" s="15">
        <v>369.65</v>
      </c>
      <c r="L748" s="15">
        <v>12395632</v>
      </c>
      <c r="M748" t="s" s="13">
        <v>9537</v>
      </c>
      <c r="N748" s="15">
        <v>198418</v>
      </c>
      <c r="O748" s="17" cm="1">
        <f t="array" ref="O748">(H748-H747)/H747</f>
        <v>0.00787595372877184</v>
      </c>
    </row>
    <row r="749" ht="13.65" customHeight="1">
      <c r="A749" s="12">
        <v>45353</v>
      </c>
      <c r="B749" t="s" s="13">
        <v>22</v>
      </c>
      <c r="C749" s="15">
        <v>411</v>
      </c>
      <c r="D749" s="15">
        <v>412.8</v>
      </c>
      <c r="E749" s="15">
        <v>410.1</v>
      </c>
      <c r="F749" s="15">
        <v>409.5</v>
      </c>
      <c r="G749" s="15">
        <v>412</v>
      </c>
      <c r="H749" s="15">
        <v>412.05</v>
      </c>
      <c r="I749" s="15">
        <v>411.74</v>
      </c>
      <c r="J749" s="15">
        <v>499.7</v>
      </c>
      <c r="K749" s="15">
        <v>369.65</v>
      </c>
      <c r="L749" s="15">
        <v>977655</v>
      </c>
      <c r="M749" t="s" s="13">
        <v>9538</v>
      </c>
      <c r="N749" s="15">
        <v>18531</v>
      </c>
      <c r="O749" s="17" cm="1">
        <f t="array" ref="O749">(H749-H748)/H748</f>
        <v>0.00622710622710623</v>
      </c>
    </row>
    <row r="750" ht="13.65" customHeight="1">
      <c r="A750" s="12">
        <v>45355</v>
      </c>
      <c r="B750" t="s" s="13">
        <v>22</v>
      </c>
      <c r="C750" s="15">
        <v>412.25</v>
      </c>
      <c r="D750" s="15">
        <v>412.95</v>
      </c>
      <c r="E750" s="15">
        <v>408.45</v>
      </c>
      <c r="F750" s="15">
        <v>412.05</v>
      </c>
      <c r="G750" s="15">
        <v>409.3</v>
      </c>
      <c r="H750" s="15">
        <v>409.1</v>
      </c>
      <c r="I750" s="15">
        <v>410.01</v>
      </c>
      <c r="J750" s="15">
        <v>499.7</v>
      </c>
      <c r="K750" s="15">
        <v>369.65</v>
      </c>
      <c r="L750" s="15">
        <v>6840352</v>
      </c>
      <c r="M750" t="s" s="13">
        <v>9539</v>
      </c>
      <c r="N750" s="15">
        <v>128186</v>
      </c>
      <c r="O750" s="17" cm="1">
        <f t="array" ref="O750">(H750-H749)/H749</f>
        <v>-0.00715932532459653</v>
      </c>
    </row>
    <row r="751" ht="13.65" customHeight="1">
      <c r="A751" s="12">
        <v>45356</v>
      </c>
      <c r="B751" t="s" s="13">
        <v>22</v>
      </c>
      <c r="C751" s="15">
        <v>409.65</v>
      </c>
      <c r="D751" s="15">
        <v>411.4</v>
      </c>
      <c r="E751" s="15">
        <v>403.95</v>
      </c>
      <c r="F751" s="15">
        <v>409.1</v>
      </c>
      <c r="G751" s="15">
        <v>406.5</v>
      </c>
      <c r="H751" s="15">
        <v>406.15</v>
      </c>
      <c r="I751" s="15">
        <v>407.09</v>
      </c>
      <c r="J751" s="15">
        <v>499.7</v>
      </c>
      <c r="K751" s="15">
        <v>369.65</v>
      </c>
      <c r="L751" s="15">
        <v>9733507</v>
      </c>
      <c r="M751" t="s" s="13">
        <v>9540</v>
      </c>
      <c r="N751" s="15">
        <v>187977</v>
      </c>
      <c r="O751" s="17" cm="1">
        <f t="array" ref="O751">(H751-H750)/H750</f>
        <v>-0.00721095086775849</v>
      </c>
    </row>
    <row r="752" ht="13.65" customHeight="1">
      <c r="A752" s="12">
        <v>45357</v>
      </c>
      <c r="B752" t="s" s="13">
        <v>22</v>
      </c>
      <c r="C752" s="15">
        <v>406.5</v>
      </c>
      <c r="D752" s="15">
        <v>409.95</v>
      </c>
      <c r="E752" s="15">
        <v>400.7</v>
      </c>
      <c r="F752" s="15">
        <v>406.15</v>
      </c>
      <c r="G752" s="15">
        <v>407.95</v>
      </c>
      <c r="H752" s="15">
        <v>407.85</v>
      </c>
      <c r="I752" s="15">
        <v>405.02</v>
      </c>
      <c r="J752" s="15">
        <v>499.7</v>
      </c>
      <c r="K752" s="15">
        <v>369.65</v>
      </c>
      <c r="L752" s="15">
        <v>11106855</v>
      </c>
      <c r="M752" t="s" s="13">
        <v>9541</v>
      </c>
      <c r="N752" s="15">
        <v>238724</v>
      </c>
      <c r="O752" s="17" cm="1">
        <f t="array" ref="O752">(H752-H751)/H751</f>
        <v>0.00418564569740244</v>
      </c>
    </row>
    <row r="753" ht="13.65" customHeight="1">
      <c r="A753" s="12">
        <v>45358</v>
      </c>
      <c r="B753" t="s" s="13">
        <v>22</v>
      </c>
      <c r="C753" s="15">
        <v>407.85</v>
      </c>
      <c r="D753" s="15">
        <v>414.95</v>
      </c>
      <c r="E753" s="15">
        <v>403.65</v>
      </c>
      <c r="F753" s="15">
        <v>407.85</v>
      </c>
      <c r="G753" s="15">
        <v>414.7</v>
      </c>
      <c r="H753" s="15">
        <v>413.55</v>
      </c>
      <c r="I753" s="15">
        <v>409.07</v>
      </c>
      <c r="J753" s="15">
        <v>499.7</v>
      </c>
      <c r="K753" s="15">
        <v>369.65</v>
      </c>
      <c r="L753" s="15">
        <v>23020545</v>
      </c>
      <c r="M753" t="s" s="13">
        <v>9542</v>
      </c>
      <c r="N753" s="15">
        <v>266079</v>
      </c>
      <c r="O753" s="17" cm="1">
        <f t="array" ref="O753">(H753-H752)/H752</f>
        <v>0.013975726369989</v>
      </c>
    </row>
    <row r="754" ht="13.65" customHeight="1">
      <c r="A754" s="18">
        <v>45362</v>
      </c>
      <c r="B754" t="s" s="13">
        <v>22</v>
      </c>
      <c r="C754" s="15">
        <v>416.8</v>
      </c>
      <c r="D754" s="15">
        <v>418.3</v>
      </c>
      <c r="E754" s="15">
        <v>408</v>
      </c>
      <c r="F754" s="15">
        <v>413.55</v>
      </c>
      <c r="G754" s="15">
        <v>409.2</v>
      </c>
      <c r="H754" s="15">
        <v>409.4</v>
      </c>
      <c r="I754" s="15">
        <v>413.66</v>
      </c>
      <c r="J754" s="15">
        <v>499.7</v>
      </c>
      <c r="K754" s="15">
        <v>369.65</v>
      </c>
      <c r="L754" s="15">
        <v>17620081</v>
      </c>
      <c r="M754" t="s" s="13">
        <v>9543</v>
      </c>
      <c r="N754" s="15">
        <v>220154</v>
      </c>
      <c r="O754" s="17" cm="1">
        <f t="array" ref="O754">(H754-H753)/H753</f>
        <v>-0.0100350622657478</v>
      </c>
    </row>
    <row r="755" ht="13.65" customHeight="1">
      <c r="A755" s="18">
        <v>45363</v>
      </c>
      <c r="B755" t="s" s="13">
        <v>22</v>
      </c>
      <c r="C755" s="15">
        <v>406.5</v>
      </c>
      <c r="D755" s="15">
        <v>406.5</v>
      </c>
      <c r="E755" s="15">
        <v>399.35</v>
      </c>
      <c r="F755" s="15">
        <v>409.4</v>
      </c>
      <c r="G755" s="15">
        <v>401.9</v>
      </c>
      <c r="H755" s="15">
        <v>404.45</v>
      </c>
      <c r="I755" s="15">
        <v>402.12</v>
      </c>
      <c r="J755" s="15">
        <v>499.7</v>
      </c>
      <c r="K755" s="15">
        <v>369.65</v>
      </c>
      <c r="L755" s="15">
        <v>34882639</v>
      </c>
      <c r="M755" t="s" s="13">
        <v>9544</v>
      </c>
      <c r="N755" s="15">
        <v>441602</v>
      </c>
      <c r="O755" s="17" cm="1">
        <f t="array" ref="O755">(H755-H754)/H754</f>
        <v>-0.0120908646800195</v>
      </c>
    </row>
    <row r="756" ht="13.65" customHeight="1">
      <c r="A756" s="18">
        <v>45364</v>
      </c>
      <c r="B756" t="s" s="13">
        <v>22</v>
      </c>
      <c r="C756" s="15">
        <v>435</v>
      </c>
      <c r="D756" s="15">
        <v>438</v>
      </c>
      <c r="E756" s="15">
        <v>421.15</v>
      </c>
      <c r="F756" s="15">
        <v>404.45</v>
      </c>
      <c r="G756" s="15">
        <v>422</v>
      </c>
      <c r="H756" s="15">
        <v>422.45</v>
      </c>
      <c r="I756" s="15">
        <v>427.85</v>
      </c>
      <c r="J756" s="15">
        <v>499.7</v>
      </c>
      <c r="K756" s="15">
        <v>369.65</v>
      </c>
      <c r="L756" s="15">
        <v>101612428</v>
      </c>
      <c r="M756" t="s" s="13">
        <v>9545</v>
      </c>
      <c r="N756" s="15">
        <v>693592</v>
      </c>
      <c r="O756" s="17" cm="1">
        <f t="array" ref="O756">(H756-H755)/H755</f>
        <v>0.0445048831746817</v>
      </c>
    </row>
    <row r="757" ht="13.65" customHeight="1">
      <c r="A757" s="18">
        <v>45365</v>
      </c>
      <c r="B757" t="s" s="13">
        <v>22</v>
      </c>
      <c r="C757" s="15">
        <v>421.95</v>
      </c>
      <c r="D757" s="15">
        <v>425.5</v>
      </c>
      <c r="E757" s="15">
        <v>418</v>
      </c>
      <c r="F757" s="15">
        <v>422.45</v>
      </c>
      <c r="G757" s="15">
        <v>419</v>
      </c>
      <c r="H757" s="15">
        <v>419.65</v>
      </c>
      <c r="I757" s="15">
        <v>421.67</v>
      </c>
      <c r="J757" s="15">
        <v>499.7</v>
      </c>
      <c r="K757" s="15">
        <v>369.65</v>
      </c>
      <c r="L757" s="15">
        <v>30764728</v>
      </c>
      <c r="M757" t="s" s="13">
        <v>9546</v>
      </c>
      <c r="N757" s="15">
        <v>292934</v>
      </c>
      <c r="O757" s="17" cm="1">
        <f t="array" ref="O757">(H757-H756)/H756</f>
        <v>-0.00662800331400166</v>
      </c>
    </row>
    <row r="758" ht="13.65" customHeight="1">
      <c r="A758" s="18">
        <v>45366</v>
      </c>
      <c r="B758" t="s" s="13">
        <v>22</v>
      </c>
      <c r="C758" s="15">
        <v>417.2</v>
      </c>
      <c r="D758" s="15">
        <v>428.55</v>
      </c>
      <c r="E758" s="15">
        <v>415.25</v>
      </c>
      <c r="F758" s="15">
        <v>419.65</v>
      </c>
      <c r="G758" s="15">
        <v>417</v>
      </c>
      <c r="H758" s="15">
        <v>419.1</v>
      </c>
      <c r="I758" s="15">
        <v>422.93</v>
      </c>
      <c r="J758" s="15">
        <v>499.7</v>
      </c>
      <c r="K758" s="15">
        <v>369.65</v>
      </c>
      <c r="L758" s="15">
        <v>73253754</v>
      </c>
      <c r="M758" t="s" s="13">
        <v>9547</v>
      </c>
      <c r="N758" s="15">
        <v>615356</v>
      </c>
      <c r="O758" s="17" cm="1">
        <f t="array" ref="O758">(H758-H757)/H757</f>
        <v>-0.00131061598951507</v>
      </c>
    </row>
    <row r="759" ht="13.65" customHeight="1">
      <c r="A759" s="18">
        <v>45369</v>
      </c>
      <c r="B759" t="s" s="13">
        <v>22</v>
      </c>
      <c r="C759" s="15">
        <v>419</v>
      </c>
      <c r="D759" s="15">
        <v>420.7</v>
      </c>
      <c r="E759" s="15">
        <v>416.9</v>
      </c>
      <c r="F759" s="15">
        <v>419.1</v>
      </c>
      <c r="G759" s="15">
        <v>417.6</v>
      </c>
      <c r="H759" s="15">
        <v>417.45</v>
      </c>
      <c r="I759" s="15">
        <v>418.4</v>
      </c>
      <c r="J759" s="15">
        <v>499.7</v>
      </c>
      <c r="K759" s="15">
        <v>372</v>
      </c>
      <c r="L759" s="15">
        <v>15933704</v>
      </c>
      <c r="M759" t="s" s="13">
        <v>9548</v>
      </c>
      <c r="N759" s="15">
        <v>241095</v>
      </c>
      <c r="O759" s="17" cm="1">
        <f t="array" ref="O759">(H759-H758)/H758</f>
        <v>-0.00393700787401575</v>
      </c>
    </row>
    <row r="760" ht="13.65" customHeight="1">
      <c r="A760" s="18">
        <v>45370</v>
      </c>
      <c r="B760" t="s" s="13">
        <v>22</v>
      </c>
      <c r="C760" s="15">
        <v>418</v>
      </c>
      <c r="D760" s="15">
        <v>419.55</v>
      </c>
      <c r="E760" s="15">
        <v>408.7</v>
      </c>
      <c r="F760" s="15">
        <v>417.45</v>
      </c>
      <c r="G760" s="15">
        <v>409.75</v>
      </c>
      <c r="H760" s="15">
        <v>409.55</v>
      </c>
      <c r="I760" s="15">
        <v>411.54</v>
      </c>
      <c r="J760" s="15">
        <v>499.7</v>
      </c>
      <c r="K760" s="15">
        <v>372</v>
      </c>
      <c r="L760" s="15">
        <v>20994563</v>
      </c>
      <c r="M760" t="s" s="13">
        <v>9549</v>
      </c>
      <c r="N760" s="15">
        <v>256940</v>
      </c>
      <c r="O760" s="17" cm="1">
        <f t="array" ref="O760">(H760-H759)/H759</f>
        <v>-0.0189244220864774</v>
      </c>
    </row>
    <row r="761" ht="13.65" customHeight="1">
      <c r="A761" s="18">
        <v>45371</v>
      </c>
      <c r="B761" t="s" s="13">
        <v>22</v>
      </c>
      <c r="C761" s="15">
        <v>410</v>
      </c>
      <c r="D761" s="15">
        <v>416.65</v>
      </c>
      <c r="E761" s="15">
        <v>409.55</v>
      </c>
      <c r="F761" s="15">
        <v>409.55</v>
      </c>
      <c r="G761" s="15">
        <v>416</v>
      </c>
      <c r="H761" s="15">
        <v>415.7</v>
      </c>
      <c r="I761" s="15">
        <v>412.87</v>
      </c>
      <c r="J761" s="15">
        <v>499.7</v>
      </c>
      <c r="K761" s="15">
        <v>372</v>
      </c>
      <c r="L761" s="15">
        <v>19609321</v>
      </c>
      <c r="M761" t="s" s="13">
        <v>9550</v>
      </c>
      <c r="N761" s="15">
        <v>200442</v>
      </c>
      <c r="O761" s="17" cm="1">
        <f t="array" ref="O761">(H761-H760)/H760</f>
        <v>0.0150164815040899</v>
      </c>
    </row>
    <row r="762" ht="13.65" customHeight="1">
      <c r="A762" s="18">
        <v>45372</v>
      </c>
      <c r="B762" t="s" s="13">
        <v>22</v>
      </c>
      <c r="C762" s="15">
        <v>419</v>
      </c>
      <c r="D762" s="15">
        <v>422</v>
      </c>
      <c r="E762" s="15">
        <v>416.2</v>
      </c>
      <c r="F762" s="15">
        <v>415.7</v>
      </c>
      <c r="G762" s="15">
        <v>421.25</v>
      </c>
      <c r="H762" s="15">
        <v>421.25</v>
      </c>
      <c r="I762" s="15">
        <v>419.96</v>
      </c>
      <c r="J762" s="15">
        <v>499.7</v>
      </c>
      <c r="K762" s="15">
        <v>372</v>
      </c>
      <c r="L762" s="15">
        <v>19227982</v>
      </c>
      <c r="M762" t="s" s="13">
        <v>9551</v>
      </c>
      <c r="N762" s="15">
        <v>265798</v>
      </c>
      <c r="O762" s="17" cm="1">
        <f t="array" ref="O762">(H762-H761)/H761</f>
        <v>0.0133509742602839</v>
      </c>
    </row>
    <row r="763" ht="13.65" customHeight="1">
      <c r="A763" s="18">
        <v>45373</v>
      </c>
      <c r="B763" t="s" s="13">
        <v>22</v>
      </c>
      <c r="C763" s="15">
        <v>421.25</v>
      </c>
      <c r="D763" s="15">
        <v>429.65</v>
      </c>
      <c r="E763" s="15">
        <v>421.25</v>
      </c>
      <c r="F763" s="15">
        <v>421.25</v>
      </c>
      <c r="G763" s="15">
        <v>428.3</v>
      </c>
      <c r="H763" s="15">
        <v>428.6</v>
      </c>
      <c r="I763" s="15">
        <v>427.27</v>
      </c>
      <c r="J763" s="15">
        <v>499.7</v>
      </c>
      <c r="K763" s="15">
        <v>372</v>
      </c>
      <c r="L763" s="15">
        <v>38861818</v>
      </c>
      <c r="M763" t="s" s="13">
        <v>9552</v>
      </c>
      <c r="N763" s="15">
        <v>285729</v>
      </c>
      <c r="O763" s="17" cm="1">
        <f t="array" ref="O763">(H763-H762)/H762</f>
        <v>0.0174480712166172</v>
      </c>
    </row>
    <row r="764" ht="13.65" customHeight="1">
      <c r="A764" s="18">
        <v>45377</v>
      </c>
      <c r="B764" t="s" s="13">
        <v>22</v>
      </c>
      <c r="C764" s="15">
        <v>425.55</v>
      </c>
      <c r="D764" s="15">
        <v>429.2</v>
      </c>
      <c r="E764" s="15">
        <v>425.55</v>
      </c>
      <c r="F764" s="15">
        <v>428.6</v>
      </c>
      <c r="G764" s="15">
        <v>428</v>
      </c>
      <c r="H764" s="15">
        <v>427.65</v>
      </c>
      <c r="I764" s="15">
        <v>427.57</v>
      </c>
      <c r="J764" s="15">
        <v>499.7</v>
      </c>
      <c r="K764" s="15">
        <v>376.35</v>
      </c>
      <c r="L764" s="15">
        <v>10274145</v>
      </c>
      <c r="M764" t="s" s="13">
        <v>9553</v>
      </c>
      <c r="N764" s="15">
        <v>127865</v>
      </c>
      <c r="O764" s="17" cm="1">
        <f t="array" ref="O764">(H764-H763)/H763</f>
        <v>-0.00221651889874008</v>
      </c>
    </row>
    <row r="765" ht="13.65" customHeight="1">
      <c r="A765" s="18">
        <v>45378</v>
      </c>
      <c r="B765" t="s" s="13">
        <v>22</v>
      </c>
      <c r="C765" s="15">
        <v>427</v>
      </c>
      <c r="D765" s="15">
        <v>428.9</v>
      </c>
      <c r="E765" s="15">
        <v>426.45</v>
      </c>
      <c r="F765" s="15">
        <v>427.65</v>
      </c>
      <c r="G765" s="15">
        <v>428.4</v>
      </c>
      <c r="H765" s="15">
        <v>428</v>
      </c>
      <c r="I765" s="15">
        <v>427.94</v>
      </c>
      <c r="J765" s="15">
        <v>499.7</v>
      </c>
      <c r="K765" s="15">
        <v>376.35</v>
      </c>
      <c r="L765" s="15">
        <v>12227545</v>
      </c>
      <c r="M765" t="s" s="13">
        <v>9554</v>
      </c>
      <c r="N765" s="15">
        <v>148670</v>
      </c>
      <c r="O765" s="17" cm="1">
        <f t="array" ref="O765">(H765-H764)/H764</f>
        <v>0.000818426283175494</v>
      </c>
    </row>
    <row r="766" ht="13.65" customHeight="1">
      <c r="A766" s="18">
        <v>45379</v>
      </c>
      <c r="B766" t="s" s="13">
        <v>22</v>
      </c>
      <c r="C766" s="15">
        <v>428</v>
      </c>
      <c r="D766" s="15">
        <v>433.25</v>
      </c>
      <c r="E766" s="15">
        <v>427</v>
      </c>
      <c r="F766" s="15">
        <v>428</v>
      </c>
      <c r="G766" s="15">
        <v>429</v>
      </c>
      <c r="H766" s="15">
        <v>428.35</v>
      </c>
      <c r="I766" s="15">
        <v>429.66</v>
      </c>
      <c r="J766" s="15">
        <v>499.7</v>
      </c>
      <c r="K766" s="15">
        <v>376.35</v>
      </c>
      <c r="L766" s="15">
        <v>27933211</v>
      </c>
      <c r="M766" t="s" s="13">
        <v>9555</v>
      </c>
      <c r="N766" s="15">
        <v>200930</v>
      </c>
      <c r="O766" s="17" cm="1">
        <f t="array" ref="O766">(H766-H765)/H765</f>
        <v>0.000817757009345794</v>
      </c>
    </row>
    <row r="767" ht="13.65" customHeight="1">
      <c r="A767" s="12">
        <v>45383</v>
      </c>
      <c r="B767" t="s" s="13">
        <v>22</v>
      </c>
      <c r="C767" s="15">
        <v>429.1</v>
      </c>
      <c r="D767" s="15">
        <v>431.35</v>
      </c>
      <c r="E767" s="15">
        <v>425.75</v>
      </c>
      <c r="F767" s="15">
        <v>428.35</v>
      </c>
      <c r="G767" s="15">
        <v>427.6</v>
      </c>
      <c r="H767" s="15">
        <v>426.7</v>
      </c>
      <c r="I767" s="15">
        <v>427.8</v>
      </c>
      <c r="J767" s="15">
        <v>499.7</v>
      </c>
      <c r="K767" s="15">
        <v>378.5</v>
      </c>
      <c r="L767" s="15">
        <v>9382308</v>
      </c>
      <c r="M767" t="s" s="13">
        <v>9556</v>
      </c>
      <c r="N767" s="15">
        <v>118264</v>
      </c>
      <c r="O767" s="17" cm="1">
        <f t="array" ref="O767">(H767-H766)/H766</f>
        <v>-0.00385199019493405</v>
      </c>
    </row>
    <row r="768" ht="13.65" customHeight="1">
      <c r="A768" s="21"/>
      <c r="B768" s="21"/>
      <c r="C768" s="21"/>
      <c r="D768" s="21"/>
      <c r="E768" s="21"/>
      <c r="F768" s="21"/>
      <c r="G768" s="21"/>
      <c r="H768" s="21"/>
      <c r="I768" s="21"/>
      <c r="J768" s="21"/>
      <c r="K768" s="21"/>
      <c r="L768" s="21"/>
      <c r="M768" s="21"/>
      <c r="N768" s="21"/>
      <c r="O768" s="8"/>
    </row>
    <row r="769" ht="13.65" customHeight="1">
      <c r="A769" s="8"/>
      <c r="B769" s="8"/>
      <c r="C769" s="8"/>
      <c r="D769" s="8"/>
      <c r="E769" s="8"/>
      <c r="F769" s="8"/>
      <c r="G769" s="8"/>
      <c r="H769" s="8"/>
      <c r="I769" s="8"/>
      <c r="J769" s="8"/>
      <c r="K769" s="8"/>
      <c r="L769" s="8"/>
      <c r="M769" s="8"/>
      <c r="N769" t="s" s="7">
        <v>272</v>
      </c>
      <c r="O769" s="22" cm="1">
        <f t="array" ref="O769">AVERAGE(O521:O767)</f>
        <v>0.000545921977503979</v>
      </c>
    </row>
    <row r="770" ht="13.65" customHeight="1">
      <c r="A770" s="8"/>
      <c r="B770" s="8"/>
      <c r="C770" s="8"/>
      <c r="D770" s="8"/>
      <c r="E770" s="8"/>
      <c r="F770" s="8"/>
      <c r="G770" s="8"/>
      <c r="H770" s="8"/>
      <c r="I770" s="8"/>
      <c r="J770" s="8"/>
      <c r="K770" s="8"/>
      <c r="L770" s="8"/>
      <c r="M770" s="8"/>
      <c r="N770" t="s" s="7">
        <v>527</v>
      </c>
      <c r="O770" s="22" cm="1">
        <f t="array" ref="O770">STDEV(O522:O767)</f>
        <v>0.0112359921114921</v>
      </c>
    </row>
    <row r="771" ht="13.65" customHeight="1">
      <c r="A771" s="8"/>
      <c r="B771" s="8"/>
      <c r="C771" s="8"/>
      <c r="D771" s="8"/>
      <c r="E771" s="8"/>
      <c r="F771" s="8"/>
      <c r="G771" s="8"/>
      <c r="H771" s="8"/>
      <c r="I771" s="8"/>
      <c r="J771" s="8"/>
      <c r="K771" s="8"/>
      <c r="L771" s="8"/>
      <c r="M771" s="8"/>
      <c r="N771" t="s" s="7">
        <v>9060</v>
      </c>
      <c r="O771" s="23" cm="1">
        <f t="array" ref="O771">AVERAGE(L521:L767)</f>
        <v>12545716.8137652</v>
      </c>
    </row>
    <row r="772" ht="13.65" customHeight="1">
      <c r="A772" s="8"/>
      <c r="B772" s="8"/>
      <c r="C772" s="8"/>
      <c r="D772" s="8"/>
      <c r="E772" s="8"/>
      <c r="F772" s="8"/>
      <c r="G772" s="8"/>
      <c r="H772" s="8"/>
      <c r="I772" s="8"/>
      <c r="J772" s="8"/>
      <c r="K772" s="8"/>
      <c r="L772" s="8"/>
      <c r="M772" s="8"/>
      <c r="N772" t="s" s="7">
        <v>9061</v>
      </c>
      <c r="O772" s="23" cm="1">
        <f t="array" ref="O772">IF(H767&gt;H521,1,IF(H767&lt;H521,-1,0))</f>
        <v>1</v>
      </c>
    </row>
    <row r="773" ht="13.65" customHeight="1">
      <c r="A773" t="s" s="7">
        <v>778</v>
      </c>
      <c r="B773" s="8"/>
      <c r="C773" s="8"/>
      <c r="D773" s="8"/>
      <c r="E773" s="8"/>
      <c r="F773" s="8"/>
      <c r="G773" s="8"/>
      <c r="H773" s="8"/>
      <c r="I773" s="8"/>
      <c r="J773" s="8"/>
      <c r="K773" s="8"/>
      <c r="L773" s="8"/>
      <c r="M773" s="8"/>
      <c r="N773" t="s" s="7">
        <v>528</v>
      </c>
      <c r="O773" s="22" cm="1">
        <f t="array" ref="O773">(H767-H521)/H521</f>
        <v>0.126154658221167</v>
      </c>
    </row>
    <row r="774" ht="13.65" customHeight="1">
      <c r="A774" s="9"/>
      <c r="B774" s="9"/>
      <c r="C774" s="9"/>
      <c r="D774" s="9"/>
      <c r="E774" s="9"/>
      <c r="F774" s="9"/>
      <c r="G774" s="9"/>
      <c r="H774" s="9"/>
      <c r="I774" s="9"/>
      <c r="J774" s="9"/>
      <c r="K774" s="9"/>
      <c r="L774" s="9"/>
      <c r="M774" s="9"/>
      <c r="N774" s="9"/>
      <c r="O774" s="8"/>
    </row>
    <row r="775" ht="13.65" customHeight="1">
      <c r="A775" t="s" s="10">
        <v>7</v>
      </c>
      <c r="B775" t="s" s="10">
        <v>8</v>
      </c>
      <c r="C775" t="s" s="10">
        <v>9</v>
      </c>
      <c r="D775" t="s" s="10">
        <v>10</v>
      </c>
      <c r="E775" t="s" s="10">
        <v>11</v>
      </c>
      <c r="F775" t="s" s="10">
        <v>12</v>
      </c>
      <c r="G775" t="s" s="10">
        <v>13</v>
      </c>
      <c r="H775" t="s" s="10">
        <v>14</v>
      </c>
      <c r="I775" t="s" s="10">
        <v>15</v>
      </c>
      <c r="J775" t="s" s="10">
        <v>16</v>
      </c>
      <c r="K775" t="s" s="10">
        <v>17</v>
      </c>
      <c r="L775" t="s" s="10">
        <v>18</v>
      </c>
      <c r="M775" t="s" s="10">
        <v>19</v>
      </c>
      <c r="N775" t="s" s="10">
        <v>20</v>
      </c>
      <c r="O775" t="s" s="11">
        <v>278</v>
      </c>
    </row>
    <row r="776" ht="13.65" customHeight="1">
      <c r="A776" s="12">
        <v>45383</v>
      </c>
      <c r="B776" t="s" s="13">
        <v>22</v>
      </c>
      <c r="C776" s="15">
        <v>429.1</v>
      </c>
      <c r="D776" s="15">
        <v>431.35</v>
      </c>
      <c r="E776" s="15">
        <v>425.75</v>
      </c>
      <c r="F776" s="15">
        <v>428.35</v>
      </c>
      <c r="G776" s="15">
        <v>427.6</v>
      </c>
      <c r="H776" s="15">
        <v>426.7</v>
      </c>
      <c r="I776" s="15">
        <v>427.8</v>
      </c>
      <c r="J776" s="15">
        <v>499.7</v>
      </c>
      <c r="K776" s="15">
        <v>378.5</v>
      </c>
      <c r="L776" s="15">
        <v>9382308</v>
      </c>
      <c r="M776" t="s" s="13">
        <v>9556</v>
      </c>
      <c r="N776" s="15">
        <v>118264</v>
      </c>
      <c r="O776" s="16"/>
    </row>
    <row r="777" ht="13.65" customHeight="1">
      <c r="A777" s="12">
        <v>45384</v>
      </c>
      <c r="B777" t="s" s="13">
        <v>22</v>
      </c>
      <c r="C777" s="15">
        <v>428.7</v>
      </c>
      <c r="D777" s="15">
        <v>428.7</v>
      </c>
      <c r="E777" s="15">
        <v>424.6</v>
      </c>
      <c r="F777" s="15">
        <v>426.7</v>
      </c>
      <c r="G777" s="15">
        <v>425.5</v>
      </c>
      <c r="H777" s="15">
        <v>425.85</v>
      </c>
      <c r="I777" s="15">
        <v>425.87</v>
      </c>
      <c r="J777" s="15">
        <v>499.7</v>
      </c>
      <c r="K777" s="15">
        <v>378.5</v>
      </c>
      <c r="L777" s="15">
        <v>8853678</v>
      </c>
      <c r="M777" t="s" s="13">
        <v>9557</v>
      </c>
      <c r="N777" s="15">
        <v>123768</v>
      </c>
      <c r="O777" s="17" cm="1">
        <f t="array" ref="O777">(H777-H776)/H776</f>
        <v>-0.00199203187250996</v>
      </c>
    </row>
    <row r="778" ht="13.65" customHeight="1">
      <c r="A778" s="12">
        <v>45385</v>
      </c>
      <c r="B778" t="s" s="13">
        <v>22</v>
      </c>
      <c r="C778" s="15">
        <v>426</v>
      </c>
      <c r="D778" s="15">
        <v>428.8</v>
      </c>
      <c r="E778" s="15">
        <v>421</v>
      </c>
      <c r="F778" s="15">
        <v>425.85</v>
      </c>
      <c r="G778" s="15">
        <v>425.5</v>
      </c>
      <c r="H778" s="15">
        <v>425.2</v>
      </c>
      <c r="I778" s="15">
        <v>424.61</v>
      </c>
      <c r="J778" s="15">
        <v>499.7</v>
      </c>
      <c r="K778" s="15">
        <v>378.5</v>
      </c>
      <c r="L778" s="15">
        <v>12664520</v>
      </c>
      <c r="M778" t="s" s="13">
        <v>9558</v>
      </c>
      <c r="N778" s="15">
        <v>160696</v>
      </c>
      <c r="O778" s="17" cm="1">
        <f t="array" ref="O778">(H778-H777)/H777</f>
        <v>-0.00152635904661266</v>
      </c>
    </row>
    <row r="779" ht="13.65" customHeight="1">
      <c r="A779" s="12">
        <v>45386</v>
      </c>
      <c r="B779" t="s" s="13">
        <v>22</v>
      </c>
      <c r="C779" s="15">
        <v>425.55</v>
      </c>
      <c r="D779" s="15">
        <v>427.35</v>
      </c>
      <c r="E779" s="15">
        <v>419.9</v>
      </c>
      <c r="F779" s="15">
        <v>425.2</v>
      </c>
      <c r="G779" s="15">
        <v>423.1</v>
      </c>
      <c r="H779" s="15">
        <v>422.75</v>
      </c>
      <c r="I779" s="15">
        <v>423.26</v>
      </c>
      <c r="J779" s="15">
        <v>499.7</v>
      </c>
      <c r="K779" s="15">
        <v>378.5</v>
      </c>
      <c r="L779" s="15">
        <v>18358410</v>
      </c>
      <c r="M779" t="s" s="13">
        <v>9559</v>
      </c>
      <c r="N779" s="15">
        <v>303184</v>
      </c>
      <c r="O779" s="17" cm="1">
        <f t="array" ref="O779">(H779-H778)/H778</f>
        <v>-0.00576199435559737</v>
      </c>
    </row>
    <row r="780" ht="13.65" customHeight="1">
      <c r="A780" s="12">
        <v>45387</v>
      </c>
      <c r="B780" t="s" s="13">
        <v>22</v>
      </c>
      <c r="C780" s="15">
        <v>422.5</v>
      </c>
      <c r="D780" s="15">
        <v>431.7</v>
      </c>
      <c r="E780" s="15">
        <v>419.95</v>
      </c>
      <c r="F780" s="15">
        <v>422.75</v>
      </c>
      <c r="G780" s="15">
        <v>427.5</v>
      </c>
      <c r="H780" s="15">
        <v>427.55</v>
      </c>
      <c r="I780" s="15">
        <v>427.69</v>
      </c>
      <c r="J780" s="15">
        <v>499.7</v>
      </c>
      <c r="K780" s="15">
        <v>378.5</v>
      </c>
      <c r="L780" s="15">
        <v>16147032</v>
      </c>
      <c r="M780" t="s" s="13">
        <v>9560</v>
      </c>
      <c r="N780" s="15">
        <v>157872</v>
      </c>
      <c r="O780" s="17" cm="1">
        <f t="array" ref="O780">(H780-H779)/H779</f>
        <v>0.0113542282672975</v>
      </c>
    </row>
    <row r="781" ht="13.65" customHeight="1">
      <c r="A781" s="12">
        <v>45390</v>
      </c>
      <c r="B781" t="s" s="13">
        <v>22</v>
      </c>
      <c r="C781" s="15">
        <v>428.3</v>
      </c>
      <c r="D781" s="15">
        <v>431.4</v>
      </c>
      <c r="E781" s="15">
        <v>427.75</v>
      </c>
      <c r="F781" s="15">
        <v>427.55</v>
      </c>
      <c r="G781" s="15">
        <v>428.9</v>
      </c>
      <c r="H781" s="15">
        <v>429.1</v>
      </c>
      <c r="I781" s="15">
        <v>429.51</v>
      </c>
      <c r="J781" s="15">
        <v>499.7</v>
      </c>
      <c r="K781" s="15">
        <v>384.75</v>
      </c>
      <c r="L781" s="15">
        <v>8516632</v>
      </c>
      <c r="M781" t="s" s="13">
        <v>9561</v>
      </c>
      <c r="N781" s="15">
        <v>150775</v>
      </c>
      <c r="O781" s="17" cm="1">
        <f t="array" ref="O781">(H781-H780)/H780</f>
        <v>0.00362530698163957</v>
      </c>
    </row>
    <row r="782" ht="13.65" customHeight="1">
      <c r="A782" s="12">
        <v>45391</v>
      </c>
      <c r="B782" t="s" s="13">
        <v>22</v>
      </c>
      <c r="C782" s="15">
        <v>430.45</v>
      </c>
      <c r="D782" s="15">
        <v>431.5</v>
      </c>
      <c r="E782" s="15">
        <v>425.55</v>
      </c>
      <c r="F782" s="15">
        <v>429.1</v>
      </c>
      <c r="G782" s="15">
        <v>426.6</v>
      </c>
      <c r="H782" s="15">
        <v>426.35</v>
      </c>
      <c r="I782" s="15">
        <v>428.43</v>
      </c>
      <c r="J782" s="15">
        <v>499.7</v>
      </c>
      <c r="K782" s="15">
        <v>384.75</v>
      </c>
      <c r="L782" s="15">
        <v>6708894</v>
      </c>
      <c r="M782" t="s" s="13">
        <v>9562</v>
      </c>
      <c r="N782" s="15">
        <v>90615</v>
      </c>
      <c r="O782" s="17" cm="1">
        <f t="array" ref="O782">(H782-H781)/H781</f>
        <v>-0.00640876252621766</v>
      </c>
    </row>
    <row r="783" ht="13.65" customHeight="1">
      <c r="A783" s="18">
        <v>45392</v>
      </c>
      <c r="B783" t="s" s="13">
        <v>22</v>
      </c>
      <c r="C783" s="15">
        <v>428.3</v>
      </c>
      <c r="D783" s="15">
        <v>437.8</v>
      </c>
      <c r="E783" s="15">
        <v>425.75</v>
      </c>
      <c r="F783" s="15">
        <v>426.35</v>
      </c>
      <c r="G783" s="15">
        <v>436</v>
      </c>
      <c r="H783" s="15">
        <v>436.95</v>
      </c>
      <c r="I783" s="15">
        <v>433</v>
      </c>
      <c r="J783" s="15">
        <v>499.7</v>
      </c>
      <c r="K783" s="15">
        <v>384.75</v>
      </c>
      <c r="L783" s="15">
        <v>14008124</v>
      </c>
      <c r="M783" t="s" s="13">
        <v>9563</v>
      </c>
      <c r="N783" s="15">
        <v>176163</v>
      </c>
      <c r="O783" s="17" cm="1">
        <f t="array" ref="O783">(H783-H782)/H782</f>
        <v>0.0248622024158555</v>
      </c>
    </row>
    <row r="784" ht="13.65" customHeight="1">
      <c r="A784" s="18">
        <v>45394</v>
      </c>
      <c r="B784" t="s" s="13">
        <v>22</v>
      </c>
      <c r="C784" s="15">
        <v>435</v>
      </c>
      <c r="D784" s="15">
        <v>435.75</v>
      </c>
      <c r="E784" s="15">
        <v>428.3</v>
      </c>
      <c r="F784" s="15">
        <v>436.95</v>
      </c>
      <c r="G784" s="15">
        <v>430.5</v>
      </c>
      <c r="H784" s="15">
        <v>430.1</v>
      </c>
      <c r="I784" s="15">
        <v>431.16</v>
      </c>
      <c r="J784" s="15">
        <v>499.7</v>
      </c>
      <c r="K784" s="15">
        <v>384.75</v>
      </c>
      <c r="L784" s="15">
        <v>18088372</v>
      </c>
      <c r="M784" t="s" s="13">
        <v>9564</v>
      </c>
      <c r="N784" s="15">
        <v>289969</v>
      </c>
      <c r="O784" s="17" cm="1">
        <f t="array" ref="O784">(H784-H783)/H783</f>
        <v>-0.0156768508982721</v>
      </c>
    </row>
    <row r="785" ht="13.65" customHeight="1">
      <c r="A785" s="18">
        <v>45397</v>
      </c>
      <c r="B785" t="s" s="13">
        <v>22</v>
      </c>
      <c r="C785" s="15">
        <v>428</v>
      </c>
      <c r="D785" s="15">
        <v>429.15</v>
      </c>
      <c r="E785" s="15">
        <v>422.9</v>
      </c>
      <c r="F785" s="15">
        <v>430.1</v>
      </c>
      <c r="G785" s="15">
        <v>425.6</v>
      </c>
      <c r="H785" s="15">
        <v>425.9</v>
      </c>
      <c r="I785" s="15">
        <v>426.01</v>
      </c>
      <c r="J785" s="15">
        <v>499.7</v>
      </c>
      <c r="K785" s="15">
        <v>392.9</v>
      </c>
      <c r="L785" s="15">
        <v>8746243</v>
      </c>
      <c r="M785" t="s" s="13">
        <v>9565</v>
      </c>
      <c r="N785" s="15">
        <v>164057</v>
      </c>
      <c r="O785" s="17" cm="1">
        <f t="array" ref="O785">(H785-H784)/H784</f>
        <v>-0.009765170890490581</v>
      </c>
    </row>
    <row r="786" ht="13.65" customHeight="1">
      <c r="A786" s="18">
        <v>45398</v>
      </c>
      <c r="B786" t="s" s="13">
        <v>22</v>
      </c>
      <c r="C786" s="15">
        <v>423.25</v>
      </c>
      <c r="D786" s="15">
        <v>427</v>
      </c>
      <c r="E786" s="15">
        <v>423.2</v>
      </c>
      <c r="F786" s="15">
        <v>425.9</v>
      </c>
      <c r="G786" s="15">
        <v>426.45</v>
      </c>
      <c r="H786" s="15">
        <v>425.9</v>
      </c>
      <c r="I786" s="15">
        <v>425.24</v>
      </c>
      <c r="J786" s="15">
        <v>499.7</v>
      </c>
      <c r="K786" s="15">
        <v>392.9</v>
      </c>
      <c r="L786" s="15">
        <v>9973638</v>
      </c>
      <c r="M786" t="s" s="13">
        <v>9566</v>
      </c>
      <c r="N786" s="15">
        <v>122310</v>
      </c>
      <c r="O786" s="17" cm="1">
        <f t="array" ref="O786">(H786-H785)/H785</f>
        <v>0</v>
      </c>
    </row>
    <row r="787" ht="13.65" customHeight="1">
      <c r="A787" s="18">
        <v>45400</v>
      </c>
      <c r="B787" t="s" s="13">
        <v>22</v>
      </c>
      <c r="C787" s="15">
        <v>426</v>
      </c>
      <c r="D787" s="15">
        <v>426.9</v>
      </c>
      <c r="E787" s="15">
        <v>417.65</v>
      </c>
      <c r="F787" s="15">
        <v>425.9</v>
      </c>
      <c r="G787" s="15">
        <v>419.75</v>
      </c>
      <c r="H787" s="15">
        <v>418.85</v>
      </c>
      <c r="I787" s="15">
        <v>421.58</v>
      </c>
      <c r="J787" s="15">
        <v>499.7</v>
      </c>
      <c r="K787" s="15">
        <v>392.9</v>
      </c>
      <c r="L787" s="15">
        <v>21312388</v>
      </c>
      <c r="M787" t="s" s="13">
        <v>9567</v>
      </c>
      <c r="N787" s="15">
        <v>204523</v>
      </c>
      <c r="O787" s="17" cm="1">
        <f t="array" ref="O787">(H787-H786)/H786</f>
        <v>-0.0165531814980042</v>
      </c>
    </row>
    <row r="788" ht="13.65" customHeight="1">
      <c r="A788" s="18">
        <v>45401</v>
      </c>
      <c r="B788" t="s" s="13">
        <v>22</v>
      </c>
      <c r="C788" s="15">
        <v>418</v>
      </c>
      <c r="D788" s="15">
        <v>426.25</v>
      </c>
      <c r="E788" s="15">
        <v>416</v>
      </c>
      <c r="F788" s="15">
        <v>418.85</v>
      </c>
      <c r="G788" s="15">
        <v>424</v>
      </c>
      <c r="H788" s="15">
        <v>424.75</v>
      </c>
      <c r="I788" s="15">
        <v>423.64</v>
      </c>
      <c r="J788" s="15">
        <v>499.7</v>
      </c>
      <c r="K788" s="15">
        <v>392.9</v>
      </c>
      <c r="L788" s="15">
        <v>16582634</v>
      </c>
      <c r="M788" t="s" s="13">
        <v>9568</v>
      </c>
      <c r="N788" s="15">
        <v>204429</v>
      </c>
      <c r="O788" s="17" cm="1">
        <f t="array" ref="O788">(H788-H787)/H787</f>
        <v>0.0140861883729259</v>
      </c>
    </row>
    <row r="789" ht="13.65" customHeight="1">
      <c r="A789" s="18">
        <v>45404</v>
      </c>
      <c r="B789" t="s" s="13">
        <v>22</v>
      </c>
      <c r="C789" s="15">
        <v>427</v>
      </c>
      <c r="D789" s="15">
        <v>427.6</v>
      </c>
      <c r="E789" s="15">
        <v>423.35</v>
      </c>
      <c r="F789" s="15">
        <v>424.75</v>
      </c>
      <c r="G789" s="15">
        <v>425.8</v>
      </c>
      <c r="H789" s="15">
        <v>425.3</v>
      </c>
      <c r="I789" s="15">
        <v>424.75</v>
      </c>
      <c r="J789" s="15">
        <v>499.7</v>
      </c>
      <c r="K789" s="15">
        <v>399.35</v>
      </c>
      <c r="L789" s="15">
        <v>7112139</v>
      </c>
      <c r="M789" t="s" s="13">
        <v>9569</v>
      </c>
      <c r="N789" s="15">
        <v>124105</v>
      </c>
      <c r="O789" s="17" cm="1">
        <f t="array" ref="O789">(H789-H788)/H788</f>
        <v>0.0012948793407887</v>
      </c>
    </row>
    <row r="790" ht="13.65" customHeight="1">
      <c r="A790" s="18">
        <v>45405</v>
      </c>
      <c r="B790" t="s" s="13">
        <v>22</v>
      </c>
      <c r="C790" s="15">
        <v>425.3</v>
      </c>
      <c r="D790" s="15">
        <v>430.5</v>
      </c>
      <c r="E790" s="15">
        <v>425.1</v>
      </c>
      <c r="F790" s="15">
        <v>425.3</v>
      </c>
      <c r="G790" s="15">
        <v>428.7</v>
      </c>
      <c r="H790" s="15">
        <v>429.2</v>
      </c>
      <c r="I790" s="15">
        <v>428.84</v>
      </c>
      <c r="J790" s="15">
        <v>499.7</v>
      </c>
      <c r="K790" s="15">
        <v>399.35</v>
      </c>
      <c r="L790" s="15">
        <v>12021404</v>
      </c>
      <c r="M790" t="s" s="13">
        <v>9570</v>
      </c>
      <c r="N790" s="15">
        <v>194302</v>
      </c>
      <c r="O790" s="17" cm="1">
        <f t="array" ref="O790">(H790-H789)/H789</f>
        <v>0.00916999764871855</v>
      </c>
    </row>
    <row r="791" ht="13.65" customHeight="1">
      <c r="A791" s="18">
        <v>45406</v>
      </c>
      <c r="B791" t="s" s="13">
        <v>22</v>
      </c>
      <c r="C791" s="15">
        <v>429.25</v>
      </c>
      <c r="D791" s="15">
        <v>430.8</v>
      </c>
      <c r="E791" s="15">
        <v>428.3</v>
      </c>
      <c r="F791" s="15">
        <v>429.2</v>
      </c>
      <c r="G791" s="15">
        <v>429.4</v>
      </c>
      <c r="H791" s="15">
        <v>428.9</v>
      </c>
      <c r="I791" s="15">
        <v>429.73</v>
      </c>
      <c r="J791" s="15">
        <v>499.7</v>
      </c>
      <c r="K791" s="15">
        <v>399.35</v>
      </c>
      <c r="L791" s="15">
        <v>5845170</v>
      </c>
      <c r="M791" t="s" s="13">
        <v>9571</v>
      </c>
      <c r="N791" s="15">
        <v>96245</v>
      </c>
      <c r="O791" s="17" cm="1">
        <f t="array" ref="O791">(H791-H790)/H790</f>
        <v>-0.000698974836905871</v>
      </c>
    </row>
    <row r="792" ht="13.65" customHeight="1">
      <c r="A792" s="18">
        <v>45407</v>
      </c>
      <c r="B792" t="s" s="13">
        <v>22</v>
      </c>
      <c r="C792" s="15">
        <v>431</v>
      </c>
      <c r="D792" s="15">
        <v>438.3</v>
      </c>
      <c r="E792" s="15">
        <v>429</v>
      </c>
      <c r="F792" s="15">
        <v>428.9</v>
      </c>
      <c r="G792" s="15">
        <v>437.8</v>
      </c>
      <c r="H792" s="15">
        <v>437.55</v>
      </c>
      <c r="I792" s="15">
        <v>434.52</v>
      </c>
      <c r="J792" s="15">
        <v>499.7</v>
      </c>
      <c r="K792" s="15">
        <v>399.35</v>
      </c>
      <c r="L792" s="15">
        <v>29211997</v>
      </c>
      <c r="M792" t="s" s="13">
        <v>9572</v>
      </c>
      <c r="N792" s="15">
        <v>270594</v>
      </c>
      <c r="O792" s="17" cm="1">
        <f t="array" ref="O792">(H792-H791)/H791</f>
        <v>0.020167871298671</v>
      </c>
    </row>
    <row r="793" ht="13.65" customHeight="1">
      <c r="A793" s="18">
        <v>45408</v>
      </c>
      <c r="B793" t="s" s="13">
        <v>22</v>
      </c>
      <c r="C793" s="15">
        <v>439.25</v>
      </c>
      <c r="D793" s="15">
        <v>443.3</v>
      </c>
      <c r="E793" s="15">
        <v>436.4</v>
      </c>
      <c r="F793" s="15">
        <v>437.55</v>
      </c>
      <c r="G793" s="15">
        <v>440</v>
      </c>
      <c r="H793" s="15">
        <v>440</v>
      </c>
      <c r="I793" s="15">
        <v>439.66</v>
      </c>
      <c r="J793" s="15">
        <v>499.7</v>
      </c>
      <c r="K793" s="15">
        <v>399.35</v>
      </c>
      <c r="L793" s="15">
        <v>14773975</v>
      </c>
      <c r="M793" t="s" s="13">
        <v>9573</v>
      </c>
      <c r="N793" s="15">
        <v>202318</v>
      </c>
      <c r="O793" s="17" cm="1">
        <f t="array" ref="O793">(H793-H792)/H792</f>
        <v>0.0055993600731345</v>
      </c>
    </row>
    <row r="794" ht="13.65" customHeight="1">
      <c r="A794" s="18">
        <v>45411</v>
      </c>
      <c r="B794" t="s" s="13">
        <v>22</v>
      </c>
      <c r="C794" s="15">
        <v>442</v>
      </c>
      <c r="D794" s="15">
        <v>442.45</v>
      </c>
      <c r="E794" s="15">
        <v>434.6</v>
      </c>
      <c r="F794" s="15">
        <v>440</v>
      </c>
      <c r="G794" s="15">
        <v>438</v>
      </c>
      <c r="H794" s="15">
        <v>438.2</v>
      </c>
      <c r="I794" s="15">
        <v>437.73</v>
      </c>
      <c r="J794" s="15">
        <v>499.7</v>
      </c>
      <c r="K794" s="15">
        <v>399.35</v>
      </c>
      <c r="L794" s="15">
        <v>11627882</v>
      </c>
      <c r="M794" t="s" s="13">
        <v>9574</v>
      </c>
      <c r="N794" s="15">
        <v>189919</v>
      </c>
      <c r="O794" s="17" cm="1">
        <f t="array" ref="O794">(H794-H793)/H793</f>
        <v>-0.00409090909090909</v>
      </c>
    </row>
    <row r="795" ht="13.65" customHeight="1">
      <c r="A795" s="18">
        <v>45412</v>
      </c>
      <c r="B795" t="s" s="13">
        <v>22</v>
      </c>
      <c r="C795" s="15">
        <v>439.95</v>
      </c>
      <c r="D795" s="15">
        <v>440.5</v>
      </c>
      <c r="E795" s="15">
        <v>435.1</v>
      </c>
      <c r="F795" s="15">
        <v>438.2</v>
      </c>
      <c r="G795" s="15">
        <v>435.35</v>
      </c>
      <c r="H795" s="15">
        <v>435.65</v>
      </c>
      <c r="I795" s="15">
        <v>438.57</v>
      </c>
      <c r="J795" s="15">
        <v>499.7</v>
      </c>
      <c r="K795" s="15">
        <v>399.35</v>
      </c>
      <c r="L795" s="15">
        <v>12064043</v>
      </c>
      <c r="M795" t="s" s="13">
        <v>9575</v>
      </c>
      <c r="N795" s="15">
        <v>131063</v>
      </c>
      <c r="O795" s="17" cm="1">
        <f t="array" ref="O795">(H795-H794)/H794</f>
        <v>-0.00581926061159288</v>
      </c>
    </row>
    <row r="796" ht="13.65" customHeight="1">
      <c r="A796" s="19">
        <v>45414</v>
      </c>
      <c r="B796" t="s" s="13">
        <v>22</v>
      </c>
      <c r="C796" s="15">
        <v>436</v>
      </c>
      <c r="D796" s="15">
        <v>442.6</v>
      </c>
      <c r="E796" s="15">
        <v>434.85</v>
      </c>
      <c r="F796" s="15">
        <v>435.65</v>
      </c>
      <c r="G796" s="15">
        <v>439.45</v>
      </c>
      <c r="H796" s="15">
        <v>439</v>
      </c>
      <c r="I796" s="15">
        <v>439.02</v>
      </c>
      <c r="J796" s="15">
        <v>499.7</v>
      </c>
      <c r="K796" s="15">
        <v>399.35</v>
      </c>
      <c r="L796" s="15">
        <v>23228909</v>
      </c>
      <c r="M796" t="s" s="13">
        <v>9576</v>
      </c>
      <c r="N796" s="15">
        <v>413344</v>
      </c>
      <c r="O796" s="17" cm="1">
        <f t="array" ref="O796">(H796-H795)/H795</f>
        <v>0.00768965913003558</v>
      </c>
    </row>
    <row r="797" ht="13.65" customHeight="1">
      <c r="A797" s="19">
        <v>45415</v>
      </c>
      <c r="B797" t="s" s="13">
        <v>22</v>
      </c>
      <c r="C797" s="15">
        <v>440.05</v>
      </c>
      <c r="D797" s="15">
        <v>440.05</v>
      </c>
      <c r="E797" s="15">
        <v>431.35</v>
      </c>
      <c r="F797" s="15">
        <v>439</v>
      </c>
      <c r="G797" s="15">
        <v>436</v>
      </c>
      <c r="H797" s="15">
        <v>436.45</v>
      </c>
      <c r="I797" s="15">
        <v>435.75</v>
      </c>
      <c r="J797" s="15">
        <v>499.7</v>
      </c>
      <c r="K797" s="15">
        <v>399.35</v>
      </c>
      <c r="L797" s="15">
        <v>22904276</v>
      </c>
      <c r="M797" t="s" s="13">
        <v>9577</v>
      </c>
      <c r="N797" s="15">
        <v>301064</v>
      </c>
      <c r="O797" s="17" cm="1">
        <f t="array" ref="O797">(H797-H796)/H796</f>
        <v>-0.00580865603644647</v>
      </c>
    </row>
    <row r="798" ht="13.65" customHeight="1">
      <c r="A798" s="19">
        <v>45418</v>
      </c>
      <c r="B798" t="s" s="13">
        <v>22</v>
      </c>
      <c r="C798" s="15">
        <v>438</v>
      </c>
      <c r="D798" s="15">
        <v>440.45</v>
      </c>
      <c r="E798" s="15">
        <v>433.35</v>
      </c>
      <c r="F798" s="15">
        <v>436.45</v>
      </c>
      <c r="G798" s="15">
        <v>434.95</v>
      </c>
      <c r="H798" s="15">
        <v>434.75</v>
      </c>
      <c r="I798" s="15">
        <v>435.73</v>
      </c>
      <c r="J798" s="15">
        <v>499.7</v>
      </c>
      <c r="K798" s="15">
        <v>399.35</v>
      </c>
      <c r="L798" s="15">
        <v>10355056</v>
      </c>
      <c r="M798" t="s" s="13">
        <v>9578</v>
      </c>
      <c r="N798" s="15">
        <v>183306</v>
      </c>
      <c r="O798" s="17" cm="1">
        <f t="array" ref="O798">(H798-H797)/H797</f>
        <v>-0.00389506243555963</v>
      </c>
    </row>
    <row r="799" ht="13.65" customHeight="1">
      <c r="A799" s="19">
        <v>45419</v>
      </c>
      <c r="B799" t="s" s="13">
        <v>22</v>
      </c>
      <c r="C799" s="15">
        <v>436.9</v>
      </c>
      <c r="D799" s="15">
        <v>446</v>
      </c>
      <c r="E799" s="15">
        <v>435.2</v>
      </c>
      <c r="F799" s="15">
        <v>434.75</v>
      </c>
      <c r="G799" s="15">
        <v>441</v>
      </c>
      <c r="H799" s="15">
        <v>440.35</v>
      </c>
      <c r="I799" s="15">
        <v>442.16</v>
      </c>
      <c r="J799" s="15">
        <v>499.7</v>
      </c>
      <c r="K799" s="15">
        <v>399.35</v>
      </c>
      <c r="L799" s="15">
        <v>25968921</v>
      </c>
      <c r="M799" t="s" s="13">
        <v>9579</v>
      </c>
      <c r="N799" s="15">
        <v>256621</v>
      </c>
      <c r="O799" s="17" cm="1">
        <f t="array" ref="O799">(H799-H798)/H798</f>
        <v>0.0128809660724554</v>
      </c>
    </row>
    <row r="800" ht="13.65" customHeight="1">
      <c r="A800" s="19">
        <v>45420</v>
      </c>
      <c r="B800" t="s" s="13">
        <v>22</v>
      </c>
      <c r="C800" s="15">
        <v>441.25</v>
      </c>
      <c r="D800" s="15">
        <v>444.7</v>
      </c>
      <c r="E800" s="15">
        <v>438.2</v>
      </c>
      <c r="F800" s="15">
        <v>440.35</v>
      </c>
      <c r="G800" s="15">
        <v>441</v>
      </c>
      <c r="H800" s="15">
        <v>441</v>
      </c>
      <c r="I800" s="15">
        <v>441.33</v>
      </c>
      <c r="J800" s="15">
        <v>499.7</v>
      </c>
      <c r="K800" s="15">
        <v>399.35</v>
      </c>
      <c r="L800" s="15">
        <v>10511646</v>
      </c>
      <c r="M800" t="s" s="13">
        <v>9580</v>
      </c>
      <c r="N800" s="15">
        <v>140409</v>
      </c>
      <c r="O800" s="17" cm="1">
        <f t="array" ref="O800">(H800-H799)/H799</f>
        <v>0.00147609855796525</v>
      </c>
    </row>
    <row r="801" ht="13.65" customHeight="1">
      <c r="A801" s="19">
        <v>45421</v>
      </c>
      <c r="B801" t="s" s="13">
        <v>22</v>
      </c>
      <c r="C801" s="15">
        <v>440.05</v>
      </c>
      <c r="D801" s="15">
        <v>441.5</v>
      </c>
      <c r="E801" s="15">
        <v>423.35</v>
      </c>
      <c r="F801" s="15">
        <v>441</v>
      </c>
      <c r="G801" s="15">
        <v>427.1</v>
      </c>
      <c r="H801" s="15">
        <v>425.1</v>
      </c>
      <c r="I801" s="15">
        <v>429.3</v>
      </c>
      <c r="J801" s="15">
        <v>499.7</v>
      </c>
      <c r="K801" s="15">
        <v>399.35</v>
      </c>
      <c r="L801" s="15">
        <v>23412609</v>
      </c>
      <c r="M801" t="s" s="13">
        <v>9581</v>
      </c>
      <c r="N801" s="15">
        <v>326895</v>
      </c>
      <c r="O801" s="17" cm="1">
        <f t="array" ref="O801">(H801-H800)/H800</f>
        <v>-0.0360544217687075</v>
      </c>
    </row>
    <row r="802" ht="13.65" customHeight="1">
      <c r="A802" s="20">
        <v>45422</v>
      </c>
      <c r="B802" t="s" s="13">
        <v>22</v>
      </c>
      <c r="C802" s="15">
        <v>426.5</v>
      </c>
      <c r="D802" s="15">
        <v>436.35</v>
      </c>
      <c r="E802" s="15">
        <v>426.5</v>
      </c>
      <c r="F802" s="15">
        <v>425.1</v>
      </c>
      <c r="G802" s="15">
        <v>433.85</v>
      </c>
      <c r="H802" s="15">
        <v>433.35</v>
      </c>
      <c r="I802" s="15">
        <v>433.2</v>
      </c>
      <c r="J802" s="15">
        <v>499.7</v>
      </c>
      <c r="K802" s="15">
        <v>399.35</v>
      </c>
      <c r="L802" s="15">
        <v>13985963</v>
      </c>
      <c r="M802" t="s" s="13">
        <v>9582</v>
      </c>
      <c r="N802" s="15">
        <v>186451</v>
      </c>
      <c r="O802" s="17" cm="1">
        <f t="array" ref="O802">(H802-H801)/H801</f>
        <v>0.0194071983062809</v>
      </c>
    </row>
    <row r="803" ht="13.65" customHeight="1">
      <c r="A803" s="20">
        <v>45425</v>
      </c>
      <c r="B803" t="s" s="13">
        <v>22</v>
      </c>
      <c r="C803" s="15">
        <v>433.25</v>
      </c>
      <c r="D803" s="15">
        <v>435.45</v>
      </c>
      <c r="E803" s="15">
        <v>429.5</v>
      </c>
      <c r="F803" s="15">
        <v>433.35</v>
      </c>
      <c r="G803" s="15">
        <v>431.65</v>
      </c>
      <c r="H803" s="15">
        <v>431.85</v>
      </c>
      <c r="I803" s="15">
        <v>431.83</v>
      </c>
      <c r="J803" s="15">
        <v>499.7</v>
      </c>
      <c r="K803" s="15">
        <v>399.35</v>
      </c>
      <c r="L803" s="15">
        <v>7302959</v>
      </c>
      <c r="M803" t="s" s="13">
        <v>9583</v>
      </c>
      <c r="N803" s="15">
        <v>152030</v>
      </c>
      <c r="O803" s="17" cm="1">
        <f t="array" ref="O803">(H803-H802)/H802</f>
        <v>-0.00346140533056421</v>
      </c>
    </row>
    <row r="804" ht="13.65" customHeight="1">
      <c r="A804" s="20">
        <v>45426</v>
      </c>
      <c r="B804" t="s" s="13">
        <v>22</v>
      </c>
      <c r="C804" s="15">
        <v>430.5</v>
      </c>
      <c r="D804" s="15">
        <v>433.3</v>
      </c>
      <c r="E804" s="15">
        <v>428.55</v>
      </c>
      <c r="F804" s="15">
        <v>431.85</v>
      </c>
      <c r="G804" s="15">
        <v>429.6</v>
      </c>
      <c r="H804" s="15">
        <v>429.7</v>
      </c>
      <c r="I804" s="15">
        <v>430.33</v>
      </c>
      <c r="J804" s="15">
        <v>499.7</v>
      </c>
      <c r="K804" s="15">
        <v>399.35</v>
      </c>
      <c r="L804" s="15">
        <v>11000103</v>
      </c>
      <c r="M804" t="s" s="13">
        <v>9584</v>
      </c>
      <c r="N804" s="15">
        <v>172146</v>
      </c>
      <c r="O804" s="17" cm="1">
        <f t="array" ref="O804">(H804-H803)/H803</f>
        <v>-0.00497858052564548</v>
      </c>
    </row>
    <row r="805" ht="13.65" customHeight="1">
      <c r="A805" s="20">
        <v>45427</v>
      </c>
      <c r="B805" t="s" s="13">
        <v>22</v>
      </c>
      <c r="C805" s="15">
        <v>430.75</v>
      </c>
      <c r="D805" s="15">
        <v>433.25</v>
      </c>
      <c r="E805" s="15">
        <v>426.75</v>
      </c>
      <c r="F805" s="15">
        <v>429.7</v>
      </c>
      <c r="G805" s="15">
        <v>428.25</v>
      </c>
      <c r="H805" s="15">
        <v>427.8</v>
      </c>
      <c r="I805" s="15">
        <v>429.4</v>
      </c>
      <c r="J805" s="15">
        <v>499.7</v>
      </c>
      <c r="K805" s="15">
        <v>399.35</v>
      </c>
      <c r="L805" s="15">
        <v>7565080</v>
      </c>
      <c r="M805" t="s" s="13">
        <v>9585</v>
      </c>
      <c r="N805" s="15">
        <v>144013</v>
      </c>
      <c r="O805" s="17" cm="1">
        <f t="array" ref="O805">(H805-H804)/H804</f>
        <v>-0.00442168955084943</v>
      </c>
    </row>
    <row r="806" ht="13.65" customHeight="1">
      <c r="A806" s="20">
        <v>45428</v>
      </c>
      <c r="B806" t="s" s="13">
        <v>22</v>
      </c>
      <c r="C806" s="15">
        <v>430</v>
      </c>
      <c r="D806" s="15">
        <v>432.6</v>
      </c>
      <c r="E806" s="15">
        <v>422.9</v>
      </c>
      <c r="F806" s="15">
        <v>427.8</v>
      </c>
      <c r="G806" s="15">
        <v>432.6</v>
      </c>
      <c r="H806" s="15">
        <v>431.45</v>
      </c>
      <c r="I806" s="15">
        <v>427.89</v>
      </c>
      <c r="J806" s="15">
        <v>499.7</v>
      </c>
      <c r="K806" s="15">
        <v>399.35</v>
      </c>
      <c r="L806" s="15">
        <v>23025186</v>
      </c>
      <c r="M806" t="s" s="13">
        <v>9586</v>
      </c>
      <c r="N806" s="15">
        <v>286099</v>
      </c>
      <c r="O806" s="17" cm="1">
        <f t="array" ref="O806">(H806-H805)/H805</f>
        <v>0.008532024310425429</v>
      </c>
    </row>
    <row r="807" ht="13.65" customHeight="1">
      <c r="A807" s="20">
        <v>45429</v>
      </c>
      <c r="B807" t="s" s="13">
        <v>22</v>
      </c>
      <c r="C807" s="15">
        <v>432.4</v>
      </c>
      <c r="D807" s="15">
        <v>437.5</v>
      </c>
      <c r="E807" s="15">
        <v>428.9</v>
      </c>
      <c r="F807" s="15">
        <v>431.45</v>
      </c>
      <c r="G807" s="15">
        <v>435.45</v>
      </c>
      <c r="H807" s="15">
        <v>436.3</v>
      </c>
      <c r="I807" s="15">
        <v>434.11</v>
      </c>
      <c r="J807" s="15">
        <v>499.7</v>
      </c>
      <c r="K807" s="15">
        <v>399.35</v>
      </c>
      <c r="L807" s="15">
        <v>11453714</v>
      </c>
      <c r="M807" t="s" s="13">
        <v>9587</v>
      </c>
      <c r="N807" s="15">
        <v>133480</v>
      </c>
      <c r="O807" s="17" cm="1">
        <f t="array" ref="O807">(H807-H806)/H806</f>
        <v>0.0112411635183683</v>
      </c>
    </row>
    <row r="808" ht="13.65" customHeight="1">
      <c r="A808" s="20">
        <v>45430</v>
      </c>
      <c r="B808" t="s" s="13">
        <v>22</v>
      </c>
      <c r="C808" s="15">
        <v>437</v>
      </c>
      <c r="D808" s="15">
        <v>437.65</v>
      </c>
      <c r="E808" s="15">
        <v>435.2</v>
      </c>
      <c r="F808" s="15">
        <v>436.3</v>
      </c>
      <c r="G808" s="15">
        <v>436.7</v>
      </c>
      <c r="H808" s="15">
        <v>436.65</v>
      </c>
      <c r="I808" s="15">
        <v>436.64</v>
      </c>
      <c r="J808" s="15">
        <v>499.7</v>
      </c>
      <c r="K808" s="15">
        <v>399.35</v>
      </c>
      <c r="L808" s="15">
        <v>713859</v>
      </c>
      <c r="M808" t="s" s="13">
        <v>9588</v>
      </c>
      <c r="N808" s="15">
        <v>12556</v>
      </c>
      <c r="O808" s="17" cm="1">
        <f t="array" ref="O808">(H808-H807)/H807</f>
        <v>0.000802200320880128</v>
      </c>
    </row>
    <row r="809" ht="13.65" customHeight="1">
      <c r="A809" s="20">
        <v>45433</v>
      </c>
      <c r="B809" t="s" s="13">
        <v>22</v>
      </c>
      <c r="C809" s="15">
        <v>436</v>
      </c>
      <c r="D809" s="15">
        <v>437.1</v>
      </c>
      <c r="E809" s="15">
        <v>433.2</v>
      </c>
      <c r="F809" s="15">
        <v>436.65</v>
      </c>
      <c r="G809" s="15">
        <v>434.9</v>
      </c>
      <c r="H809" s="15">
        <v>434.8</v>
      </c>
      <c r="I809" s="15">
        <v>434.73</v>
      </c>
      <c r="J809" s="15">
        <v>499.7</v>
      </c>
      <c r="K809" s="15">
        <v>399.35</v>
      </c>
      <c r="L809" s="15">
        <v>10760726</v>
      </c>
      <c r="M809" t="s" s="13">
        <v>9589</v>
      </c>
      <c r="N809" s="15">
        <v>215268</v>
      </c>
      <c r="O809" s="17" cm="1">
        <f t="array" ref="O809">(H809-H808)/H808</f>
        <v>-0.0042368029314096</v>
      </c>
    </row>
    <row r="810" ht="13.65" customHeight="1">
      <c r="A810" s="20">
        <v>45434</v>
      </c>
      <c r="B810" t="s" s="13">
        <v>22</v>
      </c>
      <c r="C810" s="15">
        <v>437.35</v>
      </c>
      <c r="D810" s="15">
        <v>441.95</v>
      </c>
      <c r="E810" s="15">
        <v>435.4</v>
      </c>
      <c r="F810" s="15">
        <v>434.8</v>
      </c>
      <c r="G810" s="15">
        <v>440</v>
      </c>
      <c r="H810" s="15">
        <v>439.9</v>
      </c>
      <c r="I810" s="15">
        <v>439.62</v>
      </c>
      <c r="J810" s="15">
        <v>499.7</v>
      </c>
      <c r="K810" s="15">
        <v>399.35</v>
      </c>
      <c r="L810" s="15">
        <v>10627595</v>
      </c>
      <c r="M810" t="s" s="13">
        <v>9590</v>
      </c>
      <c r="N810" s="15">
        <v>154238</v>
      </c>
      <c r="O810" s="17" cm="1">
        <f t="array" ref="O810">(H810-H809)/H809</f>
        <v>0.0117295308187672</v>
      </c>
    </row>
    <row r="811" ht="13.65" customHeight="1">
      <c r="A811" s="20">
        <v>45435</v>
      </c>
      <c r="B811" t="s" s="13">
        <v>22</v>
      </c>
      <c r="C811" s="15">
        <v>441.4</v>
      </c>
      <c r="D811" s="15">
        <v>444.9</v>
      </c>
      <c r="E811" s="15">
        <v>436.55</v>
      </c>
      <c r="F811" s="15">
        <v>439.9</v>
      </c>
      <c r="G811" s="15">
        <v>440.2</v>
      </c>
      <c r="H811" s="15">
        <v>441.35</v>
      </c>
      <c r="I811" s="15">
        <v>440.71</v>
      </c>
      <c r="J811" s="15">
        <v>499.7</v>
      </c>
      <c r="K811" s="15">
        <v>399.35</v>
      </c>
      <c r="L811" s="15">
        <v>26234369</v>
      </c>
      <c r="M811" t="s" s="13">
        <v>9591</v>
      </c>
      <c r="N811" s="15">
        <v>221301</v>
      </c>
      <c r="O811" s="17" cm="1">
        <f t="array" ref="O811">(H811-H810)/H810</f>
        <v>0.00329620368265515</v>
      </c>
    </row>
    <row r="812" ht="13.65" customHeight="1">
      <c r="A812" s="20">
        <v>45436</v>
      </c>
      <c r="B812" t="s" s="13">
        <v>22</v>
      </c>
      <c r="C812" s="15">
        <v>441</v>
      </c>
      <c r="D812" s="15">
        <v>442.45</v>
      </c>
      <c r="E812" s="15">
        <v>435.3</v>
      </c>
      <c r="F812" s="15">
        <v>441.35</v>
      </c>
      <c r="G812" s="15">
        <v>436.55</v>
      </c>
      <c r="H812" s="15">
        <v>436.2</v>
      </c>
      <c r="I812" s="15">
        <v>437.48</v>
      </c>
      <c r="J812" s="15">
        <v>499.7</v>
      </c>
      <c r="K812" s="15">
        <v>399.35</v>
      </c>
      <c r="L812" s="15">
        <v>12761457</v>
      </c>
      <c r="M812" t="s" s="13">
        <v>9592</v>
      </c>
      <c r="N812" s="15">
        <v>208684</v>
      </c>
      <c r="O812" s="17" cm="1">
        <f t="array" ref="O812">(H812-H811)/H811</f>
        <v>-0.0116687436275065</v>
      </c>
    </row>
    <row r="813" ht="13.65" customHeight="1">
      <c r="A813" s="20">
        <v>45439</v>
      </c>
      <c r="B813" t="s" s="13">
        <v>22</v>
      </c>
      <c r="C813" s="15">
        <v>438.8</v>
      </c>
      <c r="D813" s="15">
        <v>438.9</v>
      </c>
      <c r="E813" s="15">
        <v>430.7</v>
      </c>
      <c r="F813" s="15">
        <v>436.2</v>
      </c>
      <c r="G813" s="15">
        <v>432.25</v>
      </c>
      <c r="H813" s="15">
        <v>431.5</v>
      </c>
      <c r="I813" s="15">
        <v>435.39</v>
      </c>
      <c r="J813" s="15">
        <v>499.7</v>
      </c>
      <c r="K813" s="15">
        <v>399.35</v>
      </c>
      <c r="L813" s="15">
        <v>11827050</v>
      </c>
      <c r="M813" t="s" s="13">
        <v>9593</v>
      </c>
      <c r="N813" s="15">
        <v>201549</v>
      </c>
      <c r="O813" s="17" cm="1">
        <f t="array" ref="O813">(H813-H812)/H812</f>
        <v>-0.01077487391105</v>
      </c>
    </row>
    <row r="814" ht="13.65" customHeight="1">
      <c r="A814" s="20">
        <v>45440</v>
      </c>
      <c r="B814" t="s" s="13">
        <v>22</v>
      </c>
      <c r="C814" s="15">
        <v>432.1</v>
      </c>
      <c r="D814" s="15">
        <v>432.5</v>
      </c>
      <c r="E814" s="15">
        <v>428.25</v>
      </c>
      <c r="F814" s="15">
        <v>431.5</v>
      </c>
      <c r="G814" s="15">
        <v>428.8</v>
      </c>
      <c r="H814" s="15">
        <v>429</v>
      </c>
      <c r="I814" s="15">
        <v>429.82</v>
      </c>
      <c r="J814" s="15">
        <v>499.7</v>
      </c>
      <c r="K814" s="15">
        <v>399.35</v>
      </c>
      <c r="L814" s="15">
        <v>9310198</v>
      </c>
      <c r="M814" t="s" s="13">
        <v>9594</v>
      </c>
      <c r="N814" s="15">
        <v>123935</v>
      </c>
      <c r="O814" s="17" cm="1">
        <f t="array" ref="O814">(H814-H813)/H813</f>
        <v>-0.00579374275782155</v>
      </c>
    </row>
    <row r="815" ht="13.65" customHeight="1">
      <c r="A815" s="20">
        <v>45441</v>
      </c>
      <c r="B815" t="s" s="13">
        <v>22</v>
      </c>
      <c r="C815" s="15">
        <v>425.5</v>
      </c>
      <c r="D815" s="15">
        <v>432.4</v>
      </c>
      <c r="E815" s="15">
        <v>425.5</v>
      </c>
      <c r="F815" s="15">
        <v>429</v>
      </c>
      <c r="G815" s="15">
        <v>431</v>
      </c>
      <c r="H815" s="15">
        <v>430.95</v>
      </c>
      <c r="I815" s="15">
        <v>429.94</v>
      </c>
      <c r="J815" s="15">
        <v>499.7</v>
      </c>
      <c r="K815" s="15">
        <v>399.35</v>
      </c>
      <c r="L815" s="15">
        <v>10430363</v>
      </c>
      <c r="M815" t="s" s="13">
        <v>9595</v>
      </c>
      <c r="N815" s="15">
        <v>142521</v>
      </c>
      <c r="O815" s="17" cm="1">
        <f t="array" ref="O815">(H815-H814)/H814</f>
        <v>0.00454545454545455</v>
      </c>
    </row>
    <row r="816" ht="13.65" customHeight="1">
      <c r="A816" s="20">
        <v>45442</v>
      </c>
      <c r="B816" t="s" s="13">
        <v>22</v>
      </c>
      <c r="C816" s="15">
        <v>428.5</v>
      </c>
      <c r="D816" s="15">
        <v>430.95</v>
      </c>
      <c r="E816" s="15">
        <v>422.35</v>
      </c>
      <c r="F816" s="15">
        <v>430.95</v>
      </c>
      <c r="G816" s="15">
        <v>424.85</v>
      </c>
      <c r="H816" s="15">
        <v>423.85</v>
      </c>
      <c r="I816" s="15">
        <v>424.72</v>
      </c>
      <c r="J816" s="15">
        <v>499.7</v>
      </c>
      <c r="K816" s="15">
        <v>399.35</v>
      </c>
      <c r="L816" s="15">
        <v>20524428</v>
      </c>
      <c r="M816" t="s" s="13">
        <v>9596</v>
      </c>
      <c r="N816" s="15">
        <v>249826</v>
      </c>
      <c r="O816" s="17" cm="1">
        <f t="array" ref="O816">(H816-H815)/H815</f>
        <v>-0.0164752291449124</v>
      </c>
    </row>
    <row r="817" ht="13.65" customHeight="1">
      <c r="A817" s="20">
        <v>45443</v>
      </c>
      <c r="B817" t="s" s="13">
        <v>22</v>
      </c>
      <c r="C817" s="15">
        <v>426.75</v>
      </c>
      <c r="D817" s="15">
        <v>429.55</v>
      </c>
      <c r="E817" s="15">
        <v>424.25</v>
      </c>
      <c r="F817" s="15">
        <v>423.85</v>
      </c>
      <c r="G817" s="15">
        <v>427</v>
      </c>
      <c r="H817" s="15">
        <v>426.45</v>
      </c>
      <c r="I817" s="15">
        <v>426.87</v>
      </c>
      <c r="J817" s="15">
        <v>499.7</v>
      </c>
      <c r="K817" s="15">
        <v>399.35</v>
      </c>
      <c r="L817" s="15">
        <v>28214102</v>
      </c>
      <c r="M817" t="s" s="13">
        <v>9597</v>
      </c>
      <c r="N817" s="15">
        <v>245961</v>
      </c>
      <c r="O817" s="17" cm="1">
        <f t="array" ref="O817">(H817-H816)/H816</f>
        <v>0.00613424560575675</v>
      </c>
    </row>
    <row r="818" ht="13.65" customHeight="1">
      <c r="A818" s="12">
        <v>45446</v>
      </c>
      <c r="B818" t="s" s="13">
        <v>22</v>
      </c>
      <c r="C818" s="15">
        <v>434</v>
      </c>
      <c r="D818" s="15">
        <v>434.9</v>
      </c>
      <c r="E818" s="15">
        <v>428.65</v>
      </c>
      <c r="F818" s="15">
        <v>426.45</v>
      </c>
      <c r="G818" s="15">
        <v>431.4</v>
      </c>
      <c r="H818" s="15">
        <v>430.35</v>
      </c>
      <c r="I818" s="15">
        <v>430.65</v>
      </c>
      <c r="J818" s="15">
        <v>499.7</v>
      </c>
      <c r="K818" s="15">
        <v>399.35</v>
      </c>
      <c r="L818" s="15">
        <v>15519148</v>
      </c>
      <c r="M818" t="s" s="13">
        <v>9598</v>
      </c>
      <c r="N818" s="15">
        <v>210108</v>
      </c>
      <c r="O818" s="17" cm="1">
        <f t="array" ref="O818">(H818-H817)/H817</f>
        <v>0.009145269081955679</v>
      </c>
    </row>
    <row r="819" ht="13.65" customHeight="1">
      <c r="A819" s="12">
        <v>45447</v>
      </c>
      <c r="B819" t="s" s="13">
        <v>22</v>
      </c>
      <c r="C819" s="15">
        <v>426</v>
      </c>
      <c r="D819" s="15">
        <v>426.3</v>
      </c>
      <c r="E819" s="15">
        <v>402.85</v>
      </c>
      <c r="F819" s="15">
        <v>430.35</v>
      </c>
      <c r="G819" s="15">
        <v>419.85</v>
      </c>
      <c r="H819" s="15">
        <v>415.2</v>
      </c>
      <c r="I819" s="15">
        <v>415.2</v>
      </c>
      <c r="J819" s="15">
        <v>499.7</v>
      </c>
      <c r="K819" s="15">
        <v>399.35</v>
      </c>
      <c r="L819" s="15">
        <v>46019632</v>
      </c>
      <c r="M819" t="s" s="13">
        <v>9599</v>
      </c>
      <c r="N819" s="15">
        <v>580366</v>
      </c>
      <c r="O819" s="17" cm="1">
        <f t="array" ref="O819">(H819-H818)/H818</f>
        <v>-0.0352039037992332</v>
      </c>
    </row>
    <row r="820" ht="13.65" customHeight="1">
      <c r="A820" s="12">
        <v>45448</v>
      </c>
      <c r="B820" t="s" s="13">
        <v>22</v>
      </c>
      <c r="C820" s="15">
        <v>422</v>
      </c>
      <c r="D820" s="15">
        <v>436</v>
      </c>
      <c r="E820" s="15">
        <v>418.05</v>
      </c>
      <c r="F820" s="15">
        <v>415.2</v>
      </c>
      <c r="G820" s="15">
        <v>430.7</v>
      </c>
      <c r="H820" s="15">
        <v>430.3</v>
      </c>
      <c r="I820" s="15">
        <v>429.14</v>
      </c>
      <c r="J820" s="15">
        <v>499.7</v>
      </c>
      <c r="K820" s="15">
        <v>399.35</v>
      </c>
      <c r="L820" s="15">
        <v>27151351</v>
      </c>
      <c r="M820" t="s" s="13">
        <v>9600</v>
      </c>
      <c r="N820" s="15">
        <v>309406</v>
      </c>
      <c r="O820" s="17" cm="1">
        <f t="array" ref="O820">(H820-H819)/H819</f>
        <v>0.0363680154142582</v>
      </c>
    </row>
    <row r="821" ht="13.65" customHeight="1">
      <c r="A821" s="12">
        <v>45449</v>
      </c>
      <c r="B821" t="s" s="13">
        <v>22</v>
      </c>
      <c r="C821" s="15">
        <v>436</v>
      </c>
      <c r="D821" s="15">
        <v>437.7</v>
      </c>
      <c r="E821" s="15">
        <v>431.1</v>
      </c>
      <c r="F821" s="15">
        <v>430.3</v>
      </c>
      <c r="G821" s="15">
        <v>436.4</v>
      </c>
      <c r="H821" s="15">
        <v>435.4</v>
      </c>
      <c r="I821" s="15">
        <v>434.33</v>
      </c>
      <c r="J821" s="15">
        <v>499.7</v>
      </c>
      <c r="K821" s="15">
        <v>399.35</v>
      </c>
      <c r="L821" s="15">
        <v>31119999</v>
      </c>
      <c r="M821" t="s" s="13">
        <v>9601</v>
      </c>
      <c r="N821" s="15">
        <v>290637</v>
      </c>
      <c r="O821" s="17" cm="1">
        <f t="array" ref="O821">(H821-H820)/H820</f>
        <v>0.0118521961422264</v>
      </c>
    </row>
    <row r="822" ht="13.65" customHeight="1">
      <c r="A822" s="12">
        <v>45450</v>
      </c>
      <c r="B822" t="s" s="13">
        <v>22</v>
      </c>
      <c r="C822" s="15">
        <v>431.4</v>
      </c>
      <c r="D822" s="15">
        <v>441.65</v>
      </c>
      <c r="E822" s="15">
        <v>431.1</v>
      </c>
      <c r="F822" s="15">
        <v>435.4</v>
      </c>
      <c r="G822" s="15">
        <v>438.5</v>
      </c>
      <c r="H822" s="15">
        <v>439.15</v>
      </c>
      <c r="I822" s="15">
        <v>437.54</v>
      </c>
      <c r="J822" s="15">
        <v>499.7</v>
      </c>
      <c r="K822" s="15">
        <v>399.35</v>
      </c>
      <c r="L822" s="15">
        <v>28448041</v>
      </c>
      <c r="M822" t="s" s="13">
        <v>9602</v>
      </c>
      <c r="N822" s="15">
        <v>348935</v>
      </c>
      <c r="O822" s="17" cm="1">
        <f t="array" ref="O822">(H822-H821)/H821</f>
        <v>0.008612769866789161</v>
      </c>
    </row>
    <row r="823" ht="13.65" customHeight="1">
      <c r="A823" s="18">
        <v>45453</v>
      </c>
      <c r="B823" t="s" s="13">
        <v>22</v>
      </c>
      <c r="C823" s="15">
        <v>440</v>
      </c>
      <c r="D823" s="15">
        <v>441</v>
      </c>
      <c r="E823" s="15">
        <v>435.85</v>
      </c>
      <c r="F823" s="15">
        <v>439.15</v>
      </c>
      <c r="G823" s="15">
        <v>436.55</v>
      </c>
      <c r="H823" s="15">
        <v>436.9</v>
      </c>
      <c r="I823" s="15">
        <v>437.72</v>
      </c>
      <c r="J823" s="15">
        <v>499.7</v>
      </c>
      <c r="K823" s="15">
        <v>399.35</v>
      </c>
      <c r="L823" s="15">
        <v>11432393</v>
      </c>
      <c r="M823" t="s" s="13">
        <v>9603</v>
      </c>
      <c r="N823" s="15">
        <v>260404</v>
      </c>
      <c r="O823" s="17" cm="1">
        <f t="array" ref="O823">(H823-H822)/H822</f>
        <v>-0.00512353409996584</v>
      </c>
    </row>
    <row r="824" ht="13.65" customHeight="1">
      <c r="A824" s="18">
        <v>45454</v>
      </c>
      <c r="B824" t="s" s="13">
        <v>22</v>
      </c>
      <c r="C824" s="15">
        <v>437</v>
      </c>
      <c r="D824" s="15">
        <v>437.8</v>
      </c>
      <c r="E824" s="15">
        <v>432.25</v>
      </c>
      <c r="F824" s="15">
        <v>436.9</v>
      </c>
      <c r="G824" s="15">
        <v>432.75</v>
      </c>
      <c r="H824" s="15">
        <v>433</v>
      </c>
      <c r="I824" s="15">
        <v>434.79</v>
      </c>
      <c r="J824" s="15">
        <v>499.7</v>
      </c>
      <c r="K824" s="15">
        <v>399.35</v>
      </c>
      <c r="L824" s="15">
        <v>12670589</v>
      </c>
      <c r="M824" t="s" s="13">
        <v>9604</v>
      </c>
      <c r="N824" s="15">
        <v>187213</v>
      </c>
      <c r="O824" s="17" cm="1">
        <f t="array" ref="O824">(H824-H823)/H823</f>
        <v>-0.00892652780956741</v>
      </c>
    </row>
    <row r="825" ht="13.65" customHeight="1">
      <c r="A825" s="18">
        <v>45455</v>
      </c>
      <c r="B825" t="s" s="13">
        <v>22</v>
      </c>
      <c r="C825" s="15">
        <v>430.55</v>
      </c>
      <c r="D825" s="15">
        <v>434.4</v>
      </c>
      <c r="E825" s="15">
        <v>430.2</v>
      </c>
      <c r="F825" s="15">
        <v>433</v>
      </c>
      <c r="G825" s="15">
        <v>432.6</v>
      </c>
      <c r="H825" s="15">
        <v>432.3</v>
      </c>
      <c r="I825" s="15">
        <v>432.33</v>
      </c>
      <c r="J825" s="15">
        <v>499.7</v>
      </c>
      <c r="K825" s="15">
        <v>399.35</v>
      </c>
      <c r="L825" s="15">
        <v>10352936</v>
      </c>
      <c r="M825" t="s" s="13">
        <v>9605</v>
      </c>
      <c r="N825" s="15">
        <v>163844</v>
      </c>
      <c r="O825" s="17" cm="1">
        <f t="array" ref="O825">(H825-H824)/H824</f>
        <v>-0.00161662817551963</v>
      </c>
    </row>
    <row r="826" ht="13.65" customHeight="1">
      <c r="A826" s="18">
        <v>45456</v>
      </c>
      <c r="B826" t="s" s="13">
        <v>22</v>
      </c>
      <c r="C826" s="15">
        <v>436.9</v>
      </c>
      <c r="D826" s="15">
        <v>436.9</v>
      </c>
      <c r="E826" s="15">
        <v>429.75</v>
      </c>
      <c r="F826" s="15">
        <v>432.3</v>
      </c>
      <c r="G826" s="15">
        <v>430.35</v>
      </c>
      <c r="H826" s="15">
        <v>430.3</v>
      </c>
      <c r="I826" s="15">
        <v>431.79</v>
      </c>
      <c r="J826" s="15">
        <v>499.7</v>
      </c>
      <c r="K826" s="15">
        <v>399.35</v>
      </c>
      <c r="L826" s="15">
        <v>9283802</v>
      </c>
      <c r="M826" t="s" s="13">
        <v>9606</v>
      </c>
      <c r="N826" s="15">
        <v>146737</v>
      </c>
      <c r="O826" s="17" cm="1">
        <f t="array" ref="O826">(H826-H825)/H825</f>
        <v>-0.0046264168401573</v>
      </c>
    </row>
    <row r="827" ht="13.65" customHeight="1">
      <c r="A827" s="18">
        <v>45457</v>
      </c>
      <c r="B827" t="s" s="13">
        <v>22</v>
      </c>
      <c r="C827" s="15">
        <v>431</v>
      </c>
      <c r="D827" s="15">
        <v>431.9</v>
      </c>
      <c r="E827" s="15">
        <v>429.05</v>
      </c>
      <c r="F827" s="15">
        <v>430.3</v>
      </c>
      <c r="G827" s="15">
        <v>431.4</v>
      </c>
      <c r="H827" s="15">
        <v>431.15</v>
      </c>
      <c r="I827" s="15">
        <v>430.49</v>
      </c>
      <c r="J827" s="15">
        <v>499.7</v>
      </c>
      <c r="K827" s="15">
        <v>399.35</v>
      </c>
      <c r="L827" s="15">
        <v>9217804</v>
      </c>
      <c r="M827" t="s" s="13">
        <v>9607</v>
      </c>
      <c r="N827" s="15">
        <v>170717</v>
      </c>
      <c r="O827" s="17" cm="1">
        <f t="array" ref="O827">(H827-H826)/H826</f>
        <v>0.00197536602370439</v>
      </c>
    </row>
    <row r="828" ht="13.65" customHeight="1">
      <c r="A828" s="18">
        <v>45461</v>
      </c>
      <c r="B828" t="s" s="13">
        <v>22</v>
      </c>
      <c r="C828" s="15">
        <v>433</v>
      </c>
      <c r="D828" s="15">
        <v>434.2</v>
      </c>
      <c r="E828" s="15">
        <v>428.2</v>
      </c>
      <c r="F828" s="15">
        <v>431.15</v>
      </c>
      <c r="G828" s="15">
        <v>429</v>
      </c>
      <c r="H828" s="15">
        <v>428.75</v>
      </c>
      <c r="I828" s="15">
        <v>430.67</v>
      </c>
      <c r="J828" s="15">
        <v>499.7</v>
      </c>
      <c r="K828" s="15">
        <v>399.35</v>
      </c>
      <c r="L828" s="15">
        <v>14098178</v>
      </c>
      <c r="M828" t="s" s="13">
        <v>9608</v>
      </c>
      <c r="N828" s="15">
        <v>206941</v>
      </c>
      <c r="O828" s="17" cm="1">
        <f t="array" ref="O828">(H828-H827)/H827</f>
        <v>-0.00556650817580888</v>
      </c>
    </row>
    <row r="829" ht="13.65" customHeight="1">
      <c r="A829" s="18">
        <v>45462</v>
      </c>
      <c r="B829" t="s" s="13">
        <v>22</v>
      </c>
      <c r="C829" s="15">
        <v>430</v>
      </c>
      <c r="D829" s="15">
        <v>430.75</v>
      </c>
      <c r="E829" s="15">
        <v>423.05</v>
      </c>
      <c r="F829" s="15">
        <v>428.75</v>
      </c>
      <c r="G829" s="15">
        <v>423.4</v>
      </c>
      <c r="H829" s="15">
        <v>423.65</v>
      </c>
      <c r="I829" s="15">
        <v>425.66</v>
      </c>
      <c r="J829" s="15">
        <v>499.7</v>
      </c>
      <c r="K829" s="15">
        <v>399.35</v>
      </c>
      <c r="L829" s="15">
        <v>10909803</v>
      </c>
      <c r="M829" t="s" s="13">
        <v>9609</v>
      </c>
      <c r="N829" s="15">
        <v>177112</v>
      </c>
      <c r="O829" s="17" cm="1">
        <f t="array" ref="O829">(H829-H828)/H828</f>
        <v>-0.0118950437317784</v>
      </c>
    </row>
    <row r="830" ht="13.65" customHeight="1">
      <c r="A830" s="18">
        <v>45463</v>
      </c>
      <c r="B830" t="s" s="13">
        <v>22</v>
      </c>
      <c r="C830" s="15">
        <v>424.05</v>
      </c>
      <c r="D830" s="15">
        <v>426.5</v>
      </c>
      <c r="E830" s="15">
        <v>421.5</v>
      </c>
      <c r="F830" s="15">
        <v>423.65</v>
      </c>
      <c r="G830" s="15">
        <v>423.85</v>
      </c>
      <c r="H830" s="15">
        <v>423.3</v>
      </c>
      <c r="I830" s="15">
        <v>423.74</v>
      </c>
      <c r="J830" s="15">
        <v>499.7</v>
      </c>
      <c r="K830" s="15">
        <v>399.35</v>
      </c>
      <c r="L830" s="15">
        <v>14585806</v>
      </c>
      <c r="M830" t="s" s="13">
        <v>9610</v>
      </c>
      <c r="N830" s="15">
        <v>203212</v>
      </c>
      <c r="O830" s="17" cm="1">
        <f t="array" ref="O830">(H830-H829)/H829</f>
        <v>-0.000826153664581612</v>
      </c>
    </row>
    <row r="831" ht="13.65" customHeight="1">
      <c r="A831" s="18">
        <v>45464</v>
      </c>
      <c r="B831" t="s" s="13">
        <v>22</v>
      </c>
      <c r="C831" s="15">
        <v>425</v>
      </c>
      <c r="D831" s="15">
        <v>425.3</v>
      </c>
      <c r="E831" s="15">
        <v>418.55</v>
      </c>
      <c r="F831" s="15">
        <v>423.3</v>
      </c>
      <c r="G831" s="15">
        <v>419.7</v>
      </c>
      <c r="H831" s="15">
        <v>419.6</v>
      </c>
      <c r="I831" s="15">
        <v>420.65</v>
      </c>
      <c r="J831" s="15">
        <v>499.7</v>
      </c>
      <c r="K831" s="15">
        <v>399.35</v>
      </c>
      <c r="L831" s="15">
        <v>25205627</v>
      </c>
      <c r="M831" t="s" s="13">
        <v>9611</v>
      </c>
      <c r="N831" s="15">
        <v>295452</v>
      </c>
      <c r="O831" s="17" cm="1">
        <f t="array" ref="O831">(H831-H830)/H830</f>
        <v>-0.00874084573588472</v>
      </c>
    </row>
    <row r="832" ht="13.65" customHeight="1">
      <c r="A832" s="18">
        <v>45467</v>
      </c>
      <c r="B832" t="s" s="13">
        <v>22</v>
      </c>
      <c r="C832" s="15">
        <v>420</v>
      </c>
      <c r="D832" s="15">
        <v>423.95</v>
      </c>
      <c r="E832" s="15">
        <v>420</v>
      </c>
      <c r="F832" s="15">
        <v>419.6</v>
      </c>
      <c r="G832" s="15">
        <v>423.65</v>
      </c>
      <c r="H832" s="15">
        <v>423.3</v>
      </c>
      <c r="I832" s="15">
        <v>422.63</v>
      </c>
      <c r="J832" s="15">
        <v>499.7</v>
      </c>
      <c r="K832" s="15">
        <v>399.35</v>
      </c>
      <c r="L832" s="15">
        <v>9362433</v>
      </c>
      <c r="M832" t="s" s="13">
        <v>9612</v>
      </c>
      <c r="N832" s="15">
        <v>117502</v>
      </c>
      <c r="O832" s="17" cm="1">
        <f t="array" ref="O832">(H832-H831)/H831</f>
        <v>0.008817921830314591</v>
      </c>
    </row>
    <row r="833" ht="13.65" customHeight="1">
      <c r="A833" s="18">
        <v>45468</v>
      </c>
      <c r="B833" t="s" s="13">
        <v>22</v>
      </c>
      <c r="C833" s="15">
        <v>423</v>
      </c>
      <c r="D833" s="15">
        <v>424</v>
      </c>
      <c r="E833" s="15">
        <v>419.75</v>
      </c>
      <c r="F833" s="15">
        <v>423.3</v>
      </c>
      <c r="G833" s="15">
        <v>423.25</v>
      </c>
      <c r="H833" s="15">
        <v>423.3</v>
      </c>
      <c r="I833" s="15">
        <v>422.19</v>
      </c>
      <c r="J833" s="15">
        <v>499.7</v>
      </c>
      <c r="K833" s="15">
        <v>399.35</v>
      </c>
      <c r="L833" s="15">
        <v>10260449</v>
      </c>
      <c r="M833" t="s" s="13">
        <v>9613</v>
      </c>
      <c r="N833" s="15">
        <v>138835</v>
      </c>
      <c r="O833" s="17" cm="1">
        <f t="array" ref="O833">(H833-H832)/H832</f>
        <v>0</v>
      </c>
    </row>
    <row r="834" ht="13.65" customHeight="1">
      <c r="A834" s="18">
        <v>45469</v>
      </c>
      <c r="B834" t="s" s="13">
        <v>22</v>
      </c>
      <c r="C834" s="15">
        <v>423</v>
      </c>
      <c r="D834" s="15">
        <v>426.4</v>
      </c>
      <c r="E834" s="15">
        <v>422.05</v>
      </c>
      <c r="F834" s="15">
        <v>423.3</v>
      </c>
      <c r="G834" s="15">
        <v>423.5</v>
      </c>
      <c r="H834" s="15">
        <v>423.95</v>
      </c>
      <c r="I834" s="15">
        <v>424.28</v>
      </c>
      <c r="J834" s="15">
        <v>499.7</v>
      </c>
      <c r="K834" s="15">
        <v>399.35</v>
      </c>
      <c r="L834" s="15">
        <v>11084805</v>
      </c>
      <c r="M834" t="s" s="13">
        <v>9614</v>
      </c>
      <c r="N834" s="15">
        <v>109504</v>
      </c>
      <c r="O834" s="17" cm="1">
        <f t="array" ref="O834">(H834-H833)/H833</f>
        <v>0.0015355539806284</v>
      </c>
    </row>
    <row r="835" ht="13.65" customHeight="1">
      <c r="A835" s="18">
        <v>45470</v>
      </c>
      <c r="B835" t="s" s="13">
        <v>22</v>
      </c>
      <c r="C835" s="15">
        <v>423.95</v>
      </c>
      <c r="D835" s="15">
        <v>427.25</v>
      </c>
      <c r="E835" s="15">
        <v>421.1</v>
      </c>
      <c r="F835" s="15">
        <v>423.95</v>
      </c>
      <c r="G835" s="15">
        <v>425.6</v>
      </c>
      <c r="H835" s="15">
        <v>425.6</v>
      </c>
      <c r="I835" s="15">
        <v>424.56</v>
      </c>
      <c r="J835" s="15">
        <v>499.7</v>
      </c>
      <c r="K835" s="15">
        <v>399.35</v>
      </c>
      <c r="L835" s="15">
        <v>37012589</v>
      </c>
      <c r="M835" t="s" s="13">
        <v>9615</v>
      </c>
      <c r="N835" s="15">
        <v>251890</v>
      </c>
      <c r="O835" s="17" cm="1">
        <f t="array" ref="O835">(H835-H834)/H834</f>
        <v>0.00389196839249912</v>
      </c>
    </row>
    <row r="836" ht="13.65" customHeight="1">
      <c r="A836" s="18">
        <v>45471</v>
      </c>
      <c r="B836" t="s" s="13">
        <v>22</v>
      </c>
      <c r="C836" s="15">
        <v>425.5</v>
      </c>
      <c r="D836" s="15">
        <v>428</v>
      </c>
      <c r="E836" s="15">
        <v>423.5</v>
      </c>
      <c r="F836" s="15">
        <v>425.6</v>
      </c>
      <c r="G836" s="15">
        <v>425</v>
      </c>
      <c r="H836" s="15">
        <v>424.9</v>
      </c>
      <c r="I836" s="15">
        <v>425.74</v>
      </c>
      <c r="J836" s="15">
        <v>499.7</v>
      </c>
      <c r="K836" s="15">
        <v>399.35</v>
      </c>
      <c r="L836" s="15">
        <v>17866326</v>
      </c>
      <c r="M836" t="s" s="13">
        <v>9616</v>
      </c>
      <c r="N836" s="15">
        <v>173097</v>
      </c>
      <c r="O836" s="17" cm="1">
        <f t="array" ref="O836">(H836-H835)/H835</f>
        <v>-0.00164473684210526</v>
      </c>
    </row>
    <row r="837" ht="13.65" customHeight="1">
      <c r="A837" s="12">
        <v>45474</v>
      </c>
      <c r="B837" t="s" s="13">
        <v>22</v>
      </c>
      <c r="C837" s="15">
        <v>426.3</v>
      </c>
      <c r="D837" s="15">
        <v>430.25</v>
      </c>
      <c r="E837" s="15">
        <v>424.65</v>
      </c>
      <c r="F837" s="15">
        <v>424.9</v>
      </c>
      <c r="G837" s="15">
        <v>428.5</v>
      </c>
      <c r="H837" s="15">
        <v>429.05</v>
      </c>
      <c r="I837" s="15">
        <v>427.61</v>
      </c>
      <c r="J837" s="15">
        <v>499.7</v>
      </c>
      <c r="K837" s="15">
        <v>399.35</v>
      </c>
      <c r="L837" s="15">
        <v>12894747</v>
      </c>
      <c r="M837" t="s" s="13">
        <v>9617</v>
      </c>
      <c r="N837" s="15">
        <v>132870</v>
      </c>
      <c r="O837" s="17" cm="1">
        <f t="array" ref="O837">(H837-H836)/H836</f>
        <v>0.009767004000941401</v>
      </c>
    </row>
    <row r="838" ht="13.65" customHeight="1">
      <c r="A838" s="12">
        <v>45475</v>
      </c>
      <c r="B838" t="s" s="13">
        <v>22</v>
      </c>
      <c r="C838" s="15">
        <v>430</v>
      </c>
      <c r="D838" s="15">
        <v>430.65</v>
      </c>
      <c r="E838" s="15">
        <v>422.55</v>
      </c>
      <c r="F838" s="15">
        <v>429.05</v>
      </c>
      <c r="G838" s="15">
        <v>425.75</v>
      </c>
      <c r="H838" s="15">
        <v>425.5</v>
      </c>
      <c r="I838" s="15">
        <v>426.86</v>
      </c>
      <c r="J838" s="15">
        <v>499.7</v>
      </c>
      <c r="K838" s="15">
        <v>399.35</v>
      </c>
      <c r="L838" s="15">
        <v>10763335</v>
      </c>
      <c r="M838" t="s" s="13">
        <v>9618</v>
      </c>
      <c r="N838" s="15">
        <v>174096</v>
      </c>
      <c r="O838" s="17" cm="1">
        <f t="array" ref="O838">(H838-H837)/H837</f>
        <v>-0.008274093928446569</v>
      </c>
    </row>
    <row r="839" ht="13.65" customHeight="1">
      <c r="A839" s="12">
        <v>45476</v>
      </c>
      <c r="B839" t="s" s="13">
        <v>22</v>
      </c>
      <c r="C839" s="15">
        <v>426.1</v>
      </c>
      <c r="D839" s="15">
        <v>429.65</v>
      </c>
      <c r="E839" s="15">
        <v>425.5</v>
      </c>
      <c r="F839" s="15">
        <v>425.5</v>
      </c>
      <c r="G839" s="15">
        <v>428.5</v>
      </c>
      <c r="H839" s="15">
        <v>428.3</v>
      </c>
      <c r="I839" s="15">
        <v>427.88</v>
      </c>
      <c r="J839" s="15">
        <v>499.7</v>
      </c>
      <c r="K839" s="15">
        <v>399.35</v>
      </c>
      <c r="L839" s="15">
        <v>7159756</v>
      </c>
      <c r="M839" t="s" s="13">
        <v>9619</v>
      </c>
      <c r="N839" s="15">
        <v>116001</v>
      </c>
      <c r="O839" s="17" cm="1">
        <f t="array" ref="O839">(H839-H838)/H838</f>
        <v>0.00658049353701528</v>
      </c>
    </row>
    <row r="840" ht="13.65" customHeight="1">
      <c r="A840" s="12">
        <v>45477</v>
      </c>
      <c r="B840" t="s" s="13">
        <v>22</v>
      </c>
      <c r="C840" s="15">
        <v>430</v>
      </c>
      <c r="D840" s="15">
        <v>431.5</v>
      </c>
      <c r="E840" s="15">
        <v>427.05</v>
      </c>
      <c r="F840" s="15">
        <v>428.3</v>
      </c>
      <c r="G840" s="15">
        <v>429.25</v>
      </c>
      <c r="H840" s="15">
        <v>429.05</v>
      </c>
      <c r="I840" s="15">
        <v>429.39</v>
      </c>
      <c r="J840" s="15">
        <v>499.7</v>
      </c>
      <c r="K840" s="15">
        <v>399.35</v>
      </c>
      <c r="L840" s="15">
        <v>9127340</v>
      </c>
      <c r="M840" t="s" s="13">
        <v>9620</v>
      </c>
      <c r="N840" s="15">
        <v>125047</v>
      </c>
      <c r="O840" s="17" cm="1">
        <f t="array" ref="O840">(H840-H839)/H839</f>
        <v>0.00175110903572262</v>
      </c>
    </row>
    <row r="841" ht="13.65" customHeight="1">
      <c r="A841" s="12">
        <v>45478</v>
      </c>
      <c r="B841" t="s" s="13">
        <v>22</v>
      </c>
      <c r="C841" s="15">
        <v>429</v>
      </c>
      <c r="D841" s="15">
        <v>434</v>
      </c>
      <c r="E841" s="15">
        <v>427.6</v>
      </c>
      <c r="F841" s="15">
        <v>429.05</v>
      </c>
      <c r="G841" s="15">
        <v>433.5</v>
      </c>
      <c r="H841" s="15">
        <v>433.65</v>
      </c>
      <c r="I841" s="15">
        <v>431.98</v>
      </c>
      <c r="J841" s="15">
        <v>499.7</v>
      </c>
      <c r="K841" s="15">
        <v>399.35</v>
      </c>
      <c r="L841" s="15">
        <v>12929586</v>
      </c>
      <c r="M841" t="s" s="13">
        <v>9621</v>
      </c>
      <c r="N841" s="15">
        <v>151709</v>
      </c>
      <c r="O841" s="17" cm="1">
        <f t="array" ref="O841">(H841-H840)/H840</f>
        <v>0.0107213611467195</v>
      </c>
    </row>
    <row r="842" ht="13.65" customHeight="1">
      <c r="A842" s="12">
        <v>45481</v>
      </c>
      <c r="B842" t="s" s="13">
        <v>22</v>
      </c>
      <c r="C842" s="15">
        <v>435.15</v>
      </c>
      <c r="D842" s="15">
        <v>444.55</v>
      </c>
      <c r="E842" s="15">
        <v>433.65</v>
      </c>
      <c r="F842" s="15">
        <v>433.65</v>
      </c>
      <c r="G842" s="15">
        <v>443.8</v>
      </c>
      <c r="H842" s="15">
        <v>443.6</v>
      </c>
      <c r="I842" s="15">
        <v>439.76</v>
      </c>
      <c r="J842" s="15">
        <v>499.7</v>
      </c>
      <c r="K842" s="15">
        <v>399.35</v>
      </c>
      <c r="L842" s="15">
        <v>20521107</v>
      </c>
      <c r="M842" t="s" s="13">
        <v>9622</v>
      </c>
      <c r="N842" s="15">
        <v>194693</v>
      </c>
      <c r="O842" s="17" cm="1">
        <f t="array" ref="O842">(H842-H841)/H841</f>
        <v>0.0229447711287905</v>
      </c>
    </row>
    <row r="843" ht="13.65" customHeight="1">
      <c r="A843" s="12">
        <v>45482</v>
      </c>
      <c r="B843" t="s" s="13">
        <v>22</v>
      </c>
      <c r="C843" s="15">
        <v>447.6</v>
      </c>
      <c r="D843" s="15">
        <v>455</v>
      </c>
      <c r="E843" s="15">
        <v>444</v>
      </c>
      <c r="F843" s="15">
        <v>443.6</v>
      </c>
      <c r="G843" s="15">
        <v>451.5</v>
      </c>
      <c r="H843" s="15">
        <v>452.6</v>
      </c>
      <c r="I843" s="15">
        <v>450.54</v>
      </c>
      <c r="J843" s="15">
        <v>499.7</v>
      </c>
      <c r="K843" s="15">
        <v>399.35</v>
      </c>
      <c r="L843" s="15">
        <v>26470260</v>
      </c>
      <c r="M843" t="s" s="13">
        <v>9623</v>
      </c>
      <c r="N843" s="15">
        <v>240760</v>
      </c>
      <c r="O843" s="17" cm="1">
        <f t="array" ref="O843">(H843-H842)/H842</f>
        <v>0.0202885482416592</v>
      </c>
    </row>
    <row r="844" ht="13.65" customHeight="1">
      <c r="A844" s="18">
        <v>45483</v>
      </c>
      <c r="B844" t="s" s="13">
        <v>22</v>
      </c>
      <c r="C844" s="15">
        <v>453.7</v>
      </c>
      <c r="D844" s="15">
        <v>455.35</v>
      </c>
      <c r="E844" s="15">
        <v>446.5</v>
      </c>
      <c r="F844" s="15">
        <v>452.6</v>
      </c>
      <c r="G844" s="15">
        <v>450.3</v>
      </c>
      <c r="H844" s="15">
        <v>451.45</v>
      </c>
      <c r="I844" s="15">
        <v>450.95</v>
      </c>
      <c r="J844" s="15">
        <v>499.7</v>
      </c>
      <c r="K844" s="15">
        <v>399.35</v>
      </c>
      <c r="L844" s="15">
        <v>11618210</v>
      </c>
      <c r="M844" t="s" s="13">
        <v>9624</v>
      </c>
      <c r="N844" s="15">
        <v>155469</v>
      </c>
      <c r="O844" s="17" cm="1">
        <f t="array" ref="O844">(H844-H843)/H843</f>
        <v>-0.00254087494476359</v>
      </c>
    </row>
    <row r="845" ht="13.65" customHeight="1">
      <c r="A845" s="18">
        <v>45484</v>
      </c>
      <c r="B845" t="s" s="13">
        <v>22</v>
      </c>
      <c r="C845" s="15">
        <v>450</v>
      </c>
      <c r="D845" s="15">
        <v>459.5</v>
      </c>
      <c r="E845" s="15">
        <v>448.7</v>
      </c>
      <c r="F845" s="15">
        <v>451.45</v>
      </c>
      <c r="G845" s="15">
        <v>458.6</v>
      </c>
      <c r="H845" s="15">
        <v>458.65</v>
      </c>
      <c r="I845" s="15">
        <v>456.02</v>
      </c>
      <c r="J845" s="15">
        <v>499.7</v>
      </c>
      <c r="K845" s="15">
        <v>399.35</v>
      </c>
      <c r="L845" s="15">
        <v>18831345</v>
      </c>
      <c r="M845" t="s" s="13">
        <v>9625</v>
      </c>
      <c r="N845" s="15">
        <v>283781</v>
      </c>
      <c r="O845" s="17" cm="1">
        <f t="array" ref="O845">(H845-H844)/H844</f>
        <v>0.0159486100343338</v>
      </c>
    </row>
    <row r="846" ht="13.65" customHeight="1">
      <c r="A846" s="18">
        <v>45485</v>
      </c>
      <c r="B846" t="s" s="13">
        <v>22</v>
      </c>
      <c r="C846" s="15">
        <v>458.65</v>
      </c>
      <c r="D846" s="15">
        <v>463.25</v>
      </c>
      <c r="E846" s="15">
        <v>455.85</v>
      </c>
      <c r="F846" s="15">
        <v>458.65</v>
      </c>
      <c r="G846" s="15">
        <v>459.05</v>
      </c>
      <c r="H846" s="15">
        <v>459.05</v>
      </c>
      <c r="I846" s="15">
        <v>458.95</v>
      </c>
      <c r="J846" s="15">
        <v>499.7</v>
      </c>
      <c r="K846" s="15">
        <v>399.35</v>
      </c>
      <c r="L846" s="15">
        <v>18962800</v>
      </c>
      <c r="M846" t="s" s="13">
        <v>9626</v>
      </c>
      <c r="N846" s="15">
        <v>215367</v>
      </c>
      <c r="O846" s="17" cm="1">
        <f t="array" ref="O846">(H846-H845)/H845</f>
        <v>0.0008721247138340779</v>
      </c>
    </row>
    <row r="847" ht="13.65" customHeight="1">
      <c r="A847" s="18">
        <v>45488</v>
      </c>
      <c r="B847" t="s" s="13">
        <v>22</v>
      </c>
      <c r="C847" s="15">
        <v>459.05</v>
      </c>
      <c r="D847" s="15">
        <v>466.45</v>
      </c>
      <c r="E847" s="15">
        <v>457.2</v>
      </c>
      <c r="F847" s="15">
        <v>459.05</v>
      </c>
      <c r="G847" s="15">
        <v>462.05</v>
      </c>
      <c r="H847" s="15">
        <v>463.4</v>
      </c>
      <c r="I847" s="15">
        <v>462.88</v>
      </c>
      <c r="J847" s="15">
        <v>499.7</v>
      </c>
      <c r="K847" s="15">
        <v>399.35</v>
      </c>
      <c r="L847" s="15">
        <v>16251032</v>
      </c>
      <c r="M847" t="s" s="13">
        <v>9627</v>
      </c>
      <c r="N847" s="15">
        <v>154358</v>
      </c>
      <c r="O847" s="17" cm="1">
        <f t="array" ref="O847">(H847-H846)/H846</f>
        <v>0.009476091928983771</v>
      </c>
    </row>
    <row r="848" ht="13.65" customHeight="1">
      <c r="A848" s="18">
        <v>45489</v>
      </c>
      <c r="B848" t="s" s="13">
        <v>22</v>
      </c>
      <c r="C848" s="15">
        <v>463.45</v>
      </c>
      <c r="D848" s="15">
        <v>466.75</v>
      </c>
      <c r="E848" s="15">
        <v>461.4</v>
      </c>
      <c r="F848" s="15">
        <v>463.4</v>
      </c>
      <c r="G848" s="15">
        <v>465.7</v>
      </c>
      <c r="H848" s="15">
        <v>465.55</v>
      </c>
      <c r="I848" s="15">
        <v>464.53</v>
      </c>
      <c r="J848" s="15">
        <v>499.7</v>
      </c>
      <c r="K848" s="15">
        <v>399.35</v>
      </c>
      <c r="L848" s="15">
        <v>12996711</v>
      </c>
      <c r="M848" t="s" s="13">
        <v>9628</v>
      </c>
      <c r="N848" s="15">
        <v>137391</v>
      </c>
      <c r="O848" s="17" cm="1">
        <f t="array" ref="O848">(H848-H847)/H847</f>
        <v>0.00463962019853259</v>
      </c>
    </row>
    <row r="849" ht="13.65" customHeight="1">
      <c r="A849" s="18">
        <v>45491</v>
      </c>
      <c r="B849" t="s" s="13">
        <v>22</v>
      </c>
      <c r="C849" s="15">
        <v>463</v>
      </c>
      <c r="D849" s="15">
        <v>470.9</v>
      </c>
      <c r="E849" s="15">
        <v>462.65</v>
      </c>
      <c r="F849" s="15">
        <v>465.55</v>
      </c>
      <c r="G849" s="15">
        <v>470.5</v>
      </c>
      <c r="H849" s="15">
        <v>470.25</v>
      </c>
      <c r="I849" s="15">
        <v>467.91</v>
      </c>
      <c r="J849" s="15">
        <v>499.7</v>
      </c>
      <c r="K849" s="15">
        <v>399.35</v>
      </c>
      <c r="L849" s="15">
        <v>21094737</v>
      </c>
      <c r="M849" t="s" s="13">
        <v>9629</v>
      </c>
      <c r="N849" s="15">
        <v>196712</v>
      </c>
      <c r="O849" s="17" cm="1">
        <f t="array" ref="O849">(H849-H848)/H848</f>
        <v>0.0100955858661798</v>
      </c>
    </row>
    <row r="850" ht="13.65" customHeight="1">
      <c r="A850" s="18">
        <v>45492</v>
      </c>
      <c r="B850" t="s" s="13">
        <v>22</v>
      </c>
      <c r="C850" s="15">
        <v>471</v>
      </c>
      <c r="D850" s="15">
        <v>479.4</v>
      </c>
      <c r="E850" s="15">
        <v>469.4</v>
      </c>
      <c r="F850" s="15">
        <v>470.25</v>
      </c>
      <c r="G850" s="15">
        <v>473.15</v>
      </c>
      <c r="H850" s="15">
        <v>474.55</v>
      </c>
      <c r="I850" s="15">
        <v>474.65</v>
      </c>
      <c r="J850" s="15">
        <v>499.7</v>
      </c>
      <c r="K850" s="15">
        <v>399.35</v>
      </c>
      <c r="L850" s="15">
        <v>24977373</v>
      </c>
      <c r="M850" t="s" s="13">
        <v>9630</v>
      </c>
      <c r="N850" s="15">
        <v>268257</v>
      </c>
      <c r="O850" s="17" cm="1">
        <f t="array" ref="O850">(H850-H849)/H849</f>
        <v>0.00914407230196704</v>
      </c>
    </row>
    <row r="851" ht="13.65" customHeight="1">
      <c r="A851" s="18">
        <v>45495</v>
      </c>
      <c r="B851" t="s" s="13">
        <v>22</v>
      </c>
      <c r="C851" s="15">
        <v>474.6</v>
      </c>
      <c r="D851" s="15">
        <v>479.45</v>
      </c>
      <c r="E851" s="15">
        <v>465.85</v>
      </c>
      <c r="F851" s="15">
        <v>474.55</v>
      </c>
      <c r="G851" s="15">
        <v>466.3</v>
      </c>
      <c r="H851" s="15">
        <v>466.55</v>
      </c>
      <c r="I851" s="15">
        <v>470.1</v>
      </c>
      <c r="J851" s="15">
        <v>499.7</v>
      </c>
      <c r="K851" s="15">
        <v>399.35</v>
      </c>
      <c r="L851" s="15">
        <v>18066586</v>
      </c>
      <c r="M851" t="s" s="13">
        <v>9631</v>
      </c>
      <c r="N851" s="15">
        <v>232860</v>
      </c>
      <c r="O851" s="17" cm="1">
        <f t="array" ref="O851">(H851-H850)/H850</f>
        <v>-0.0168580760720683</v>
      </c>
    </row>
    <row r="852" ht="13.65" customHeight="1">
      <c r="A852" s="18">
        <v>45496</v>
      </c>
      <c r="B852" t="s" s="13">
        <v>22</v>
      </c>
      <c r="C852" s="15">
        <v>466.55</v>
      </c>
      <c r="D852" s="15">
        <v>497.4</v>
      </c>
      <c r="E852" s="15">
        <v>466.4</v>
      </c>
      <c r="F852" s="15">
        <v>466.55</v>
      </c>
      <c r="G852" s="15">
        <v>496.95</v>
      </c>
      <c r="H852" s="15">
        <v>492.2</v>
      </c>
      <c r="I852" s="15">
        <v>483.29</v>
      </c>
      <c r="J852" s="15">
        <v>499.7</v>
      </c>
      <c r="K852" s="15">
        <v>399.35</v>
      </c>
      <c r="L852" s="15">
        <v>54044423</v>
      </c>
      <c r="M852" t="s" s="13">
        <v>9632</v>
      </c>
      <c r="N852" s="15">
        <v>499337</v>
      </c>
      <c r="O852" s="17" cm="1">
        <f t="array" ref="O852">(H852-H851)/H851</f>
        <v>0.0549780302218412</v>
      </c>
    </row>
    <row r="853" ht="13.65" customHeight="1">
      <c r="A853" s="18">
        <v>45497</v>
      </c>
      <c r="B853" t="s" s="13">
        <v>22</v>
      </c>
      <c r="C853" s="15">
        <v>496</v>
      </c>
      <c r="D853" s="15">
        <v>510.65</v>
      </c>
      <c r="E853" s="15">
        <v>490.65</v>
      </c>
      <c r="F853" s="15">
        <v>492.2</v>
      </c>
      <c r="G853" s="15">
        <v>494</v>
      </c>
      <c r="H853" s="15">
        <v>494.05</v>
      </c>
      <c r="I853" s="15">
        <v>500.33</v>
      </c>
      <c r="J853" s="15">
        <v>510.65</v>
      </c>
      <c r="K853" s="15">
        <v>399.35</v>
      </c>
      <c r="L853" s="15">
        <v>42073323</v>
      </c>
      <c r="M853" t="s" s="13">
        <v>9633</v>
      </c>
      <c r="N853" s="15">
        <v>400376</v>
      </c>
      <c r="O853" s="17" cm="1">
        <f t="array" ref="O853">(H853-H852)/H852</f>
        <v>0.00375863470134092</v>
      </c>
    </row>
    <row r="854" ht="13.65" customHeight="1">
      <c r="A854" s="18">
        <v>45498</v>
      </c>
      <c r="B854" t="s" s="13">
        <v>22</v>
      </c>
      <c r="C854" s="15">
        <v>490</v>
      </c>
      <c r="D854" s="15">
        <v>496</v>
      </c>
      <c r="E854" s="15">
        <v>484.65</v>
      </c>
      <c r="F854" s="15">
        <v>494.05</v>
      </c>
      <c r="G854" s="15">
        <v>490.2</v>
      </c>
      <c r="H854" s="15">
        <v>489.95</v>
      </c>
      <c r="I854" s="15">
        <v>490.32</v>
      </c>
      <c r="J854" s="15">
        <v>510.65</v>
      </c>
      <c r="K854" s="15">
        <v>399.35</v>
      </c>
      <c r="L854" s="15">
        <v>17878994</v>
      </c>
      <c r="M854" t="s" s="13">
        <v>9634</v>
      </c>
      <c r="N854" s="15">
        <v>227325</v>
      </c>
      <c r="O854" s="17" cm="1">
        <f t="array" ref="O854">(H854-H853)/H853</f>
        <v>-0.00829875518672199</v>
      </c>
    </row>
    <row r="855" ht="13.65" customHeight="1">
      <c r="A855" s="18">
        <v>45499</v>
      </c>
      <c r="B855" t="s" s="13">
        <v>22</v>
      </c>
      <c r="C855" s="15">
        <v>494.05</v>
      </c>
      <c r="D855" s="15">
        <v>506.4</v>
      </c>
      <c r="E855" s="15">
        <v>487.4</v>
      </c>
      <c r="F855" s="15">
        <v>489.95</v>
      </c>
      <c r="G855" s="15">
        <v>501.55</v>
      </c>
      <c r="H855" s="15">
        <v>502.2</v>
      </c>
      <c r="I855" s="15">
        <v>498.22</v>
      </c>
      <c r="J855" s="15">
        <v>510.65</v>
      </c>
      <c r="K855" s="15">
        <v>399.35</v>
      </c>
      <c r="L855" s="15">
        <v>20736094</v>
      </c>
      <c r="M855" t="s" s="13">
        <v>9635</v>
      </c>
      <c r="N855" s="15">
        <v>204107</v>
      </c>
      <c r="O855" s="17" cm="1">
        <f t="array" ref="O855">(H855-H854)/H854</f>
        <v>0.0250025512807429</v>
      </c>
    </row>
    <row r="856" ht="13.65" customHeight="1">
      <c r="A856" s="18">
        <v>45502</v>
      </c>
      <c r="B856" t="s" s="13">
        <v>22</v>
      </c>
      <c r="C856" s="15">
        <v>505.5</v>
      </c>
      <c r="D856" s="15">
        <v>506.2</v>
      </c>
      <c r="E856" s="15">
        <v>494.05</v>
      </c>
      <c r="F856" s="15">
        <v>502.2</v>
      </c>
      <c r="G856" s="15">
        <v>496.25</v>
      </c>
      <c r="H856" s="15">
        <v>496.05</v>
      </c>
      <c r="I856" s="15">
        <v>498.4</v>
      </c>
      <c r="J856" s="15">
        <v>510.65</v>
      </c>
      <c r="K856" s="15">
        <v>399.35</v>
      </c>
      <c r="L856" s="15">
        <v>12496895</v>
      </c>
      <c r="M856" t="s" s="13">
        <v>9636</v>
      </c>
      <c r="N856" s="15">
        <v>159533</v>
      </c>
      <c r="O856" s="17" cm="1">
        <f t="array" ref="O856">(H856-H855)/H855</f>
        <v>-0.0122461170848268</v>
      </c>
    </row>
    <row r="857" ht="13.65" customHeight="1">
      <c r="A857" s="18">
        <v>45503</v>
      </c>
      <c r="B857" t="s" s="13">
        <v>22</v>
      </c>
      <c r="C857" s="15">
        <v>496.3</v>
      </c>
      <c r="D857" s="15">
        <v>497.8</v>
      </c>
      <c r="E857" s="15">
        <v>488.65</v>
      </c>
      <c r="F857" s="15">
        <v>496.05</v>
      </c>
      <c r="G857" s="15">
        <v>490.5</v>
      </c>
      <c r="H857" s="15">
        <v>489.9</v>
      </c>
      <c r="I857" s="15">
        <v>491.81</v>
      </c>
      <c r="J857" s="15">
        <v>510.65</v>
      </c>
      <c r="K857" s="15">
        <v>399.35</v>
      </c>
      <c r="L857" s="15">
        <v>13375906</v>
      </c>
      <c r="M857" t="s" s="13">
        <v>9637</v>
      </c>
      <c r="N857" s="15">
        <v>171911</v>
      </c>
      <c r="O857" s="17" cm="1">
        <f t="array" ref="O857">(H857-H856)/H856</f>
        <v>-0.0123979437556698</v>
      </c>
    </row>
    <row r="858" ht="13.65" customHeight="1">
      <c r="A858" s="18">
        <v>45504</v>
      </c>
      <c r="B858" t="s" s="13">
        <v>22</v>
      </c>
      <c r="C858" s="15">
        <v>492.45</v>
      </c>
      <c r="D858" s="15">
        <v>497.95</v>
      </c>
      <c r="E858" s="15">
        <v>490.5</v>
      </c>
      <c r="F858" s="15">
        <v>489.9</v>
      </c>
      <c r="G858" s="15">
        <v>495.5</v>
      </c>
      <c r="H858" s="15">
        <v>495.35</v>
      </c>
      <c r="I858" s="15">
        <v>494.03</v>
      </c>
      <c r="J858" s="15">
        <v>510.65</v>
      </c>
      <c r="K858" s="15">
        <v>399.35</v>
      </c>
      <c r="L858" s="15">
        <v>11538215</v>
      </c>
      <c r="M858" t="s" s="13">
        <v>9638</v>
      </c>
      <c r="N858" s="15">
        <v>184885</v>
      </c>
      <c r="O858" s="17" cm="1">
        <f t="array" ref="O858">(H858-H857)/H857</f>
        <v>0.0111247193304756</v>
      </c>
    </row>
    <row r="859" ht="13.65" customHeight="1">
      <c r="A859" s="12">
        <v>45505</v>
      </c>
      <c r="B859" t="s" s="13">
        <v>22</v>
      </c>
      <c r="C859" s="15">
        <v>495.95</v>
      </c>
      <c r="D859" s="15">
        <v>496.75</v>
      </c>
      <c r="E859" s="15">
        <v>490.95</v>
      </c>
      <c r="F859" s="15">
        <v>495.35</v>
      </c>
      <c r="G859" s="15">
        <v>493.05</v>
      </c>
      <c r="H859" s="15">
        <v>493.7</v>
      </c>
      <c r="I859" s="15">
        <v>493.72</v>
      </c>
      <c r="J859" s="15">
        <v>510.65</v>
      </c>
      <c r="K859" s="15">
        <v>399.35</v>
      </c>
      <c r="L859" s="15">
        <v>11665529</v>
      </c>
      <c r="M859" t="s" s="13">
        <v>9639</v>
      </c>
      <c r="N859" s="15">
        <v>167982</v>
      </c>
      <c r="O859" s="17" cm="1">
        <f t="array" ref="O859">(H859-H858)/H858</f>
        <v>-0.00333097809629555</v>
      </c>
    </row>
    <row r="860" ht="13.65" customHeight="1">
      <c r="A860" s="12">
        <v>45506</v>
      </c>
      <c r="B860" t="s" s="13">
        <v>22</v>
      </c>
      <c r="C860" s="15">
        <v>484.8</v>
      </c>
      <c r="D860" s="15">
        <v>499.45</v>
      </c>
      <c r="E860" s="15">
        <v>484.8</v>
      </c>
      <c r="F860" s="15">
        <v>493.7</v>
      </c>
      <c r="G860" s="15">
        <v>488.85</v>
      </c>
      <c r="H860" s="15">
        <v>489.1</v>
      </c>
      <c r="I860" s="15">
        <v>491.08</v>
      </c>
      <c r="J860" s="15">
        <v>510.65</v>
      </c>
      <c r="K860" s="15">
        <v>399.35</v>
      </c>
      <c r="L860" s="15">
        <v>21320064</v>
      </c>
      <c r="M860" t="s" s="13">
        <v>9640</v>
      </c>
      <c r="N860" s="15">
        <v>253754</v>
      </c>
      <c r="O860" s="17" cm="1">
        <f t="array" ref="O860">(H860-H859)/H859</f>
        <v>-0.009317399230301801</v>
      </c>
    </row>
    <row r="861" ht="13.65" customHeight="1">
      <c r="A861" s="12">
        <v>45509</v>
      </c>
      <c r="B861" t="s" s="13">
        <v>22</v>
      </c>
      <c r="C861" s="15">
        <v>480.05</v>
      </c>
      <c r="D861" s="15">
        <v>491.9</v>
      </c>
      <c r="E861" s="15">
        <v>479.55</v>
      </c>
      <c r="F861" s="15">
        <v>489.1</v>
      </c>
      <c r="G861" s="15">
        <v>485.9</v>
      </c>
      <c r="H861" s="15">
        <v>486</v>
      </c>
      <c r="I861" s="15">
        <v>485.81</v>
      </c>
      <c r="J861" s="15">
        <v>510.65</v>
      </c>
      <c r="K861" s="15">
        <v>399.35</v>
      </c>
      <c r="L861" s="15">
        <v>24094139</v>
      </c>
      <c r="M861" t="s" s="13">
        <v>9641</v>
      </c>
      <c r="N861" s="15">
        <v>240878</v>
      </c>
      <c r="O861" s="17" cm="1">
        <f t="array" ref="O861">(H861-H860)/H860</f>
        <v>-0.00633817215293396</v>
      </c>
    </row>
    <row r="862" ht="13.65" customHeight="1">
      <c r="A862" s="12">
        <v>45510</v>
      </c>
      <c r="B862" t="s" s="13">
        <v>22</v>
      </c>
      <c r="C862" s="15">
        <v>486.25</v>
      </c>
      <c r="D862" s="15">
        <v>491.7</v>
      </c>
      <c r="E862" s="15">
        <v>484.05</v>
      </c>
      <c r="F862" s="15">
        <v>486</v>
      </c>
      <c r="G862" s="15">
        <v>487.8</v>
      </c>
      <c r="H862" s="15">
        <v>486.3</v>
      </c>
      <c r="I862" s="15">
        <v>487.52</v>
      </c>
      <c r="J862" s="15">
        <v>510.65</v>
      </c>
      <c r="K862" s="15">
        <v>399.35</v>
      </c>
      <c r="L862" s="15">
        <v>13722855</v>
      </c>
      <c r="M862" t="s" s="13">
        <v>9642</v>
      </c>
      <c r="N862" s="15">
        <v>165576</v>
      </c>
      <c r="O862" s="17" cm="1">
        <f t="array" ref="O862">(H862-H861)/H861</f>
        <v>0.000617283950617284</v>
      </c>
    </row>
    <row r="863" ht="13.65" customHeight="1">
      <c r="A863" s="12">
        <v>45511</v>
      </c>
      <c r="B863" t="s" s="13">
        <v>22</v>
      </c>
      <c r="C863" s="15">
        <v>490</v>
      </c>
      <c r="D863" s="15">
        <v>495.6</v>
      </c>
      <c r="E863" s="15">
        <v>488.1</v>
      </c>
      <c r="F863" s="15">
        <v>486.3</v>
      </c>
      <c r="G863" s="15">
        <v>492.75</v>
      </c>
      <c r="H863" s="15">
        <v>492.65</v>
      </c>
      <c r="I863" s="15">
        <v>491.96</v>
      </c>
      <c r="J863" s="15">
        <v>510.65</v>
      </c>
      <c r="K863" s="15">
        <v>399.35</v>
      </c>
      <c r="L863" s="15">
        <v>10900585</v>
      </c>
      <c r="M863" t="s" s="13">
        <v>9643</v>
      </c>
      <c r="N863" s="15">
        <v>173490</v>
      </c>
      <c r="O863" s="17" cm="1">
        <f t="array" ref="O863">(H863-H862)/H862</f>
        <v>0.0130577832613613</v>
      </c>
    </row>
    <row r="864" ht="13.65" customHeight="1">
      <c r="A864" s="12">
        <v>45512</v>
      </c>
      <c r="B864" t="s" s="13">
        <v>22</v>
      </c>
      <c r="C864" s="15">
        <v>494</v>
      </c>
      <c r="D864" s="15">
        <v>498</v>
      </c>
      <c r="E864" s="15">
        <v>492.5</v>
      </c>
      <c r="F864" s="15">
        <v>492.65</v>
      </c>
      <c r="G864" s="15">
        <v>494.15</v>
      </c>
      <c r="H864" s="15">
        <v>494.75</v>
      </c>
      <c r="I864" s="15">
        <v>494.99</v>
      </c>
      <c r="J864" s="15">
        <v>510.65</v>
      </c>
      <c r="K864" s="15">
        <v>399.35</v>
      </c>
      <c r="L864" s="15">
        <v>20558134</v>
      </c>
      <c r="M864" t="s" s="13">
        <v>9644</v>
      </c>
      <c r="N864" s="15">
        <v>250724</v>
      </c>
      <c r="O864" s="17" cm="1">
        <f t="array" ref="O864">(H864-H863)/H863</f>
        <v>0.00426266111844108</v>
      </c>
    </row>
    <row r="865" ht="13.65" customHeight="1">
      <c r="A865" s="12">
        <v>45513</v>
      </c>
      <c r="B865" t="s" s="13">
        <v>22</v>
      </c>
      <c r="C865" s="15">
        <v>498</v>
      </c>
      <c r="D865" s="15">
        <v>498</v>
      </c>
      <c r="E865" s="15">
        <v>493.1</v>
      </c>
      <c r="F865" s="15">
        <v>494.75</v>
      </c>
      <c r="G865" s="15">
        <v>496.15</v>
      </c>
      <c r="H865" s="15">
        <v>495.9</v>
      </c>
      <c r="I865" s="15">
        <v>495.38</v>
      </c>
      <c r="J865" s="15">
        <v>510.65</v>
      </c>
      <c r="K865" s="15">
        <v>399.35</v>
      </c>
      <c r="L865" s="15">
        <v>9201793</v>
      </c>
      <c r="M865" t="s" s="13">
        <v>9645</v>
      </c>
      <c r="N865" s="15">
        <v>144367</v>
      </c>
      <c r="O865" s="17" cm="1">
        <f t="array" ref="O865">(H865-H864)/H864</f>
        <v>0.0023244062657908</v>
      </c>
    </row>
    <row r="866" ht="13.65" customHeight="1">
      <c r="A866" s="18">
        <v>45516</v>
      </c>
      <c r="B866" t="s" s="13">
        <v>22</v>
      </c>
      <c r="C866" s="15">
        <v>492</v>
      </c>
      <c r="D866" s="15">
        <v>500</v>
      </c>
      <c r="E866" s="15">
        <v>492</v>
      </c>
      <c r="F866" s="15">
        <v>495.9</v>
      </c>
      <c r="G866" s="15">
        <v>494.4</v>
      </c>
      <c r="H866" s="15">
        <v>494.6</v>
      </c>
      <c r="I866" s="15">
        <v>497.04</v>
      </c>
      <c r="J866" s="15">
        <v>510.65</v>
      </c>
      <c r="K866" s="15">
        <v>399.35</v>
      </c>
      <c r="L866" s="15">
        <v>9076097</v>
      </c>
      <c r="M866" t="s" s="13">
        <v>9646</v>
      </c>
      <c r="N866" s="15">
        <v>133143</v>
      </c>
      <c r="O866" s="17" cm="1">
        <f t="array" ref="O866">(H866-H865)/H865</f>
        <v>-0.00262149626940916</v>
      </c>
    </row>
    <row r="867" ht="13.65" customHeight="1">
      <c r="A867" s="18">
        <v>45517</v>
      </c>
      <c r="B867" t="s" s="13">
        <v>22</v>
      </c>
      <c r="C867" s="15">
        <v>495.95</v>
      </c>
      <c r="D867" s="15">
        <v>497.85</v>
      </c>
      <c r="E867" s="15">
        <v>488.25</v>
      </c>
      <c r="F867" s="15">
        <v>494.6</v>
      </c>
      <c r="G867" s="15">
        <v>491.5</v>
      </c>
      <c r="H867" s="15">
        <v>490</v>
      </c>
      <c r="I867" s="15">
        <v>493.29</v>
      </c>
      <c r="J867" s="15">
        <v>510.65</v>
      </c>
      <c r="K867" s="15">
        <v>399.35</v>
      </c>
      <c r="L867" s="15">
        <v>7757706</v>
      </c>
      <c r="M867" t="s" s="13">
        <v>9647</v>
      </c>
      <c r="N867" s="15">
        <v>119952</v>
      </c>
      <c r="O867" s="17" cm="1">
        <f t="array" ref="O867">(H867-H866)/H866</f>
        <v>-0.009300444803881921</v>
      </c>
    </row>
    <row r="868" ht="13.65" customHeight="1">
      <c r="A868" s="18">
        <v>45518</v>
      </c>
      <c r="B868" t="s" s="13">
        <v>22</v>
      </c>
      <c r="C868" s="15">
        <v>491.95</v>
      </c>
      <c r="D868" s="15">
        <v>499</v>
      </c>
      <c r="E868" s="15">
        <v>489.9</v>
      </c>
      <c r="F868" s="15">
        <v>490</v>
      </c>
      <c r="G868" s="15">
        <v>492.55</v>
      </c>
      <c r="H868" s="15">
        <v>492.2</v>
      </c>
      <c r="I868" s="15">
        <v>494.04</v>
      </c>
      <c r="J868" s="15">
        <v>510.65</v>
      </c>
      <c r="K868" s="15">
        <v>399.35</v>
      </c>
      <c r="L868" s="15">
        <v>9253598</v>
      </c>
      <c r="M868" t="s" s="13">
        <v>9648</v>
      </c>
      <c r="N868" s="15">
        <v>150643</v>
      </c>
      <c r="O868" s="17" cm="1">
        <f t="array" ref="O868">(H868-H867)/H867</f>
        <v>0.00448979591836735</v>
      </c>
    </row>
    <row r="869" ht="13.65" customHeight="1">
      <c r="A869" s="18">
        <v>45520</v>
      </c>
      <c r="B869" t="s" s="13">
        <v>22</v>
      </c>
      <c r="C869" s="15">
        <v>494.5</v>
      </c>
      <c r="D869" s="15">
        <v>504.2</v>
      </c>
      <c r="E869" s="15">
        <v>492.65</v>
      </c>
      <c r="F869" s="15">
        <v>492.2</v>
      </c>
      <c r="G869" s="15">
        <v>502.05</v>
      </c>
      <c r="H869" s="15">
        <v>502.65</v>
      </c>
      <c r="I869" s="15">
        <v>498.53</v>
      </c>
      <c r="J869" s="15">
        <v>510.65</v>
      </c>
      <c r="K869" s="15">
        <v>399.35</v>
      </c>
      <c r="L869" s="15">
        <v>13137392</v>
      </c>
      <c r="M869" t="s" s="13">
        <v>9649</v>
      </c>
      <c r="N869" s="15">
        <v>164043</v>
      </c>
      <c r="O869" s="17" cm="1">
        <f t="array" ref="O869">(H869-H868)/H868</f>
        <v>0.0212312068264933</v>
      </c>
    </row>
    <row r="870" ht="13.65" customHeight="1">
      <c r="A870" s="18">
        <v>45523</v>
      </c>
      <c r="B870" t="s" s="13">
        <v>22</v>
      </c>
      <c r="C870" s="15">
        <v>504.75</v>
      </c>
      <c r="D870" s="15">
        <v>509.3</v>
      </c>
      <c r="E870" s="15">
        <v>499.6</v>
      </c>
      <c r="F870" s="15">
        <v>502.65</v>
      </c>
      <c r="G870" s="15">
        <v>499.95</v>
      </c>
      <c r="H870" s="15">
        <v>501.45</v>
      </c>
      <c r="I870" s="15">
        <v>504.39</v>
      </c>
      <c r="J870" s="15">
        <v>510.65</v>
      </c>
      <c r="K870" s="15">
        <v>399.35</v>
      </c>
      <c r="L870" s="15">
        <v>10198725</v>
      </c>
      <c r="M870" t="s" s="13">
        <v>9650</v>
      </c>
      <c r="N870" s="15">
        <v>166648</v>
      </c>
      <c r="O870" s="17" cm="1">
        <f t="array" ref="O870">(H870-H869)/H869</f>
        <v>-0.00238734706057893</v>
      </c>
    </row>
    <row r="871" ht="13.65" customHeight="1">
      <c r="A871" s="18">
        <v>45524</v>
      </c>
      <c r="B871" t="s" s="13">
        <v>22</v>
      </c>
      <c r="C871" s="15">
        <v>501</v>
      </c>
      <c r="D871" s="15">
        <v>503.4</v>
      </c>
      <c r="E871" s="15">
        <v>497.7</v>
      </c>
      <c r="F871" s="15">
        <v>501.45</v>
      </c>
      <c r="G871" s="15">
        <v>498.5</v>
      </c>
      <c r="H871" s="15">
        <v>498.8</v>
      </c>
      <c r="I871" s="15">
        <v>499.95</v>
      </c>
      <c r="J871" s="15">
        <v>510.65</v>
      </c>
      <c r="K871" s="15">
        <v>399.35</v>
      </c>
      <c r="L871" s="15">
        <v>6633171</v>
      </c>
      <c r="M871" t="s" s="13">
        <v>9651</v>
      </c>
      <c r="N871" s="15">
        <v>115083</v>
      </c>
      <c r="O871" s="17" cm="1">
        <f t="array" ref="O871">(H871-H870)/H870</f>
        <v>-0.00528467444411207</v>
      </c>
    </row>
    <row r="872" ht="13.65" customHeight="1">
      <c r="A872" s="18">
        <v>45525</v>
      </c>
      <c r="B872" t="s" s="13">
        <v>22</v>
      </c>
      <c r="C872" s="15">
        <v>500</v>
      </c>
      <c r="D872" s="15">
        <v>509</v>
      </c>
      <c r="E872" s="15">
        <v>499.05</v>
      </c>
      <c r="F872" s="15">
        <v>498.8</v>
      </c>
      <c r="G872" s="15">
        <v>505.8</v>
      </c>
      <c r="H872" s="15">
        <v>505.4</v>
      </c>
      <c r="I872" s="15">
        <v>505.03</v>
      </c>
      <c r="J872" s="15">
        <v>510.65</v>
      </c>
      <c r="K872" s="15">
        <v>399.35</v>
      </c>
      <c r="L872" s="15">
        <v>8474830</v>
      </c>
      <c r="M872" t="s" s="13">
        <v>9652</v>
      </c>
      <c r="N872" s="15">
        <v>121930</v>
      </c>
      <c r="O872" s="17" cm="1">
        <f t="array" ref="O872">(H872-H871)/H871</f>
        <v>0.0132317562149158</v>
      </c>
    </row>
    <row r="873" ht="13.65" customHeight="1">
      <c r="A873" s="18">
        <v>45526</v>
      </c>
      <c r="B873" t="s" s="13">
        <v>22</v>
      </c>
      <c r="C873" s="15">
        <v>507.85</v>
      </c>
      <c r="D873" s="15">
        <v>508.5</v>
      </c>
      <c r="E873" s="15">
        <v>501.45</v>
      </c>
      <c r="F873" s="15">
        <v>505.4</v>
      </c>
      <c r="G873" s="15">
        <v>505.05</v>
      </c>
      <c r="H873" s="15">
        <v>504.55</v>
      </c>
      <c r="I873" s="15">
        <v>504.67</v>
      </c>
      <c r="J873" s="15">
        <v>510.65</v>
      </c>
      <c r="K873" s="15">
        <v>399.35</v>
      </c>
      <c r="L873" s="15">
        <v>8364290</v>
      </c>
      <c r="M873" t="s" s="13">
        <v>9653</v>
      </c>
      <c r="N873" s="15">
        <v>145029</v>
      </c>
      <c r="O873" s="17" cm="1">
        <f t="array" ref="O873">(H873-H872)/H872</f>
        <v>-0.0016818361693708</v>
      </c>
    </row>
    <row r="874" ht="13.65" customHeight="1">
      <c r="A874" s="18">
        <v>45527</v>
      </c>
      <c r="B874" t="s" s="13">
        <v>22</v>
      </c>
      <c r="C874" s="15">
        <v>505.05</v>
      </c>
      <c r="D874" s="15">
        <v>506.95</v>
      </c>
      <c r="E874" s="15">
        <v>499.95</v>
      </c>
      <c r="F874" s="15">
        <v>504.55</v>
      </c>
      <c r="G874" s="15">
        <v>505.4</v>
      </c>
      <c r="H874" s="15">
        <v>505.8</v>
      </c>
      <c r="I874" s="15">
        <v>504.2</v>
      </c>
      <c r="J874" s="15">
        <v>510.65</v>
      </c>
      <c r="K874" s="15">
        <v>399.35</v>
      </c>
      <c r="L874" s="15">
        <v>7891446</v>
      </c>
      <c r="M874" t="s" s="13">
        <v>9654</v>
      </c>
      <c r="N874" s="15">
        <v>108800</v>
      </c>
      <c r="O874" s="17" cm="1">
        <f t="array" ref="O874">(H874-H873)/H873</f>
        <v>0.00247745515806164</v>
      </c>
    </row>
    <row r="875" ht="13.65" customHeight="1">
      <c r="A875" s="18">
        <v>45530</v>
      </c>
      <c r="B875" t="s" s="13">
        <v>22</v>
      </c>
      <c r="C875" s="15">
        <v>506</v>
      </c>
      <c r="D875" s="15">
        <v>508</v>
      </c>
      <c r="E875" s="15">
        <v>502</v>
      </c>
      <c r="F875" s="15">
        <v>505.8</v>
      </c>
      <c r="G875" s="15">
        <v>505.7</v>
      </c>
      <c r="H875" s="15">
        <v>505.7</v>
      </c>
      <c r="I875" s="15">
        <v>505.93</v>
      </c>
      <c r="J875" s="15">
        <v>510.65</v>
      </c>
      <c r="K875" s="15">
        <v>399.35</v>
      </c>
      <c r="L875" s="15">
        <v>7825037</v>
      </c>
      <c r="M875" t="s" s="13">
        <v>9655</v>
      </c>
      <c r="N875" s="15">
        <v>148265</v>
      </c>
      <c r="O875" s="17" cm="1">
        <f t="array" ref="O875">(H875-H874)/H874</f>
        <v>-0.000197706603400554</v>
      </c>
    </row>
    <row r="876" ht="13.65" customHeight="1">
      <c r="A876" s="18">
        <v>45531</v>
      </c>
      <c r="B876" t="s" s="13">
        <v>22</v>
      </c>
      <c r="C876" s="15">
        <v>507.55</v>
      </c>
      <c r="D876" s="15">
        <v>507.6</v>
      </c>
      <c r="E876" s="15">
        <v>500</v>
      </c>
      <c r="F876" s="15">
        <v>505.7</v>
      </c>
      <c r="G876" s="15">
        <v>500.4</v>
      </c>
      <c r="H876" s="15">
        <v>500.6</v>
      </c>
      <c r="I876" s="15">
        <v>502.17</v>
      </c>
      <c r="J876" s="15">
        <v>510.65</v>
      </c>
      <c r="K876" s="15">
        <v>399.35</v>
      </c>
      <c r="L876" s="15">
        <v>7954114</v>
      </c>
      <c r="M876" t="s" s="13">
        <v>9656</v>
      </c>
      <c r="N876" s="15">
        <v>123723</v>
      </c>
      <c r="O876" s="17" cm="1">
        <f t="array" ref="O876">(H876-H875)/H875</f>
        <v>-0.0100850306505833</v>
      </c>
    </row>
    <row r="877" ht="13.65" customHeight="1">
      <c r="A877" s="18">
        <v>45532</v>
      </c>
      <c r="B877" t="s" s="13">
        <v>22</v>
      </c>
      <c r="C877" s="15">
        <v>500.4</v>
      </c>
      <c r="D877" s="15">
        <v>502.3</v>
      </c>
      <c r="E877" s="15">
        <v>496.5</v>
      </c>
      <c r="F877" s="15">
        <v>500.6</v>
      </c>
      <c r="G877" s="15">
        <v>500.15</v>
      </c>
      <c r="H877" s="15">
        <v>497.3</v>
      </c>
      <c r="I877" s="15">
        <v>498.8</v>
      </c>
      <c r="J877" s="15">
        <v>510.65</v>
      </c>
      <c r="K877" s="15">
        <v>399.35</v>
      </c>
      <c r="L877" s="15">
        <v>7782216</v>
      </c>
      <c r="M877" t="s" s="13">
        <v>9657</v>
      </c>
      <c r="N877" s="15">
        <v>128939</v>
      </c>
      <c r="O877" s="17" cm="1">
        <f t="array" ref="O877">(H877-H876)/H876</f>
        <v>-0.00659208949260887</v>
      </c>
    </row>
    <row r="878" ht="13.65" customHeight="1">
      <c r="A878" s="18">
        <v>45533</v>
      </c>
      <c r="B878" t="s" s="13">
        <v>22</v>
      </c>
      <c r="C878" s="15">
        <v>498</v>
      </c>
      <c r="D878" s="15">
        <v>507.7</v>
      </c>
      <c r="E878" s="15">
        <v>497.35</v>
      </c>
      <c r="F878" s="15">
        <v>497.3</v>
      </c>
      <c r="G878" s="15">
        <v>505</v>
      </c>
      <c r="H878" s="15">
        <v>505.1</v>
      </c>
      <c r="I878" s="15">
        <v>503.72</v>
      </c>
      <c r="J878" s="15">
        <v>510.65</v>
      </c>
      <c r="K878" s="15">
        <v>399.35</v>
      </c>
      <c r="L878" s="15">
        <v>18670632</v>
      </c>
      <c r="M878" t="s" s="13">
        <v>9658</v>
      </c>
      <c r="N878" s="15">
        <v>203893</v>
      </c>
      <c r="O878" s="17" cm="1">
        <f t="array" ref="O878">(H878-H877)/H877</f>
        <v>0.0156846973657752</v>
      </c>
    </row>
    <row r="879" ht="13.65" customHeight="1">
      <c r="A879" s="18">
        <v>45534</v>
      </c>
      <c r="B879" t="s" s="13">
        <v>22</v>
      </c>
      <c r="C879" s="15">
        <v>501.95</v>
      </c>
      <c r="D879" s="15">
        <v>509.15</v>
      </c>
      <c r="E879" s="15">
        <v>500.2</v>
      </c>
      <c r="F879" s="15">
        <v>505.1</v>
      </c>
      <c r="G879" s="15">
        <v>504</v>
      </c>
      <c r="H879" s="15">
        <v>501.9</v>
      </c>
      <c r="I879" s="15">
        <v>502.57</v>
      </c>
      <c r="J879" s="15">
        <v>510.65</v>
      </c>
      <c r="K879" s="15">
        <v>399.35</v>
      </c>
      <c r="L879" s="15">
        <v>14947670</v>
      </c>
      <c r="M879" t="s" s="13">
        <v>9659</v>
      </c>
      <c r="N879" s="15">
        <v>149051</v>
      </c>
      <c r="O879" s="17" cm="1">
        <f t="array" ref="O879">(H879-H878)/H878</f>
        <v>-0.00633537913284498</v>
      </c>
    </row>
    <row r="880" ht="13.65" customHeight="1">
      <c r="A880" s="12">
        <v>45537</v>
      </c>
      <c r="B880" t="s" s="13">
        <v>22</v>
      </c>
      <c r="C880" s="15">
        <v>504</v>
      </c>
      <c r="D880" s="15">
        <v>512.9</v>
      </c>
      <c r="E880" s="15">
        <v>503.3</v>
      </c>
      <c r="F880" s="15">
        <v>501.9</v>
      </c>
      <c r="G880" s="15">
        <v>509.85</v>
      </c>
      <c r="H880" s="15">
        <v>510.05</v>
      </c>
      <c r="I880" s="15">
        <v>509.98</v>
      </c>
      <c r="J880" s="15">
        <v>512.9</v>
      </c>
      <c r="K880" s="15">
        <v>399.35</v>
      </c>
      <c r="L880" s="15">
        <v>15885469</v>
      </c>
      <c r="M880" t="s" s="13">
        <v>9660</v>
      </c>
      <c r="N880" s="15">
        <v>215525</v>
      </c>
      <c r="O880" s="17" cm="1">
        <f t="array" ref="O880">(H880-H879)/H879</f>
        <v>0.0162382944809723</v>
      </c>
    </row>
    <row r="881" ht="13.65" customHeight="1">
      <c r="A881" s="12">
        <v>45538</v>
      </c>
      <c r="B881" t="s" s="13">
        <v>22</v>
      </c>
      <c r="C881" s="15">
        <v>510.05</v>
      </c>
      <c r="D881" s="15">
        <v>515.95</v>
      </c>
      <c r="E881" s="15">
        <v>507.9</v>
      </c>
      <c r="F881" s="15">
        <v>510.05</v>
      </c>
      <c r="G881" s="15">
        <v>508.6</v>
      </c>
      <c r="H881" s="15">
        <v>509.4</v>
      </c>
      <c r="I881" s="15">
        <v>512.5700000000001</v>
      </c>
      <c r="J881" s="15">
        <v>515.95</v>
      </c>
      <c r="K881" s="15">
        <v>399.35</v>
      </c>
      <c r="L881" s="15">
        <v>12018677</v>
      </c>
      <c r="M881" t="s" s="13">
        <v>9661</v>
      </c>
      <c r="N881" s="15">
        <v>186272</v>
      </c>
      <c r="O881" s="17" cm="1">
        <f t="array" ref="O881">(H881-H880)/H880</f>
        <v>-0.001274384864229</v>
      </c>
    </row>
    <row r="882" ht="13.65" customHeight="1">
      <c r="A882" s="12">
        <v>45539</v>
      </c>
      <c r="B882" t="s" s="13">
        <v>22</v>
      </c>
      <c r="C882" s="15">
        <v>500</v>
      </c>
      <c r="D882" s="15">
        <v>510.05</v>
      </c>
      <c r="E882" s="15">
        <v>499.95</v>
      </c>
      <c r="F882" s="15">
        <v>509.4</v>
      </c>
      <c r="G882" s="15">
        <v>507.45</v>
      </c>
      <c r="H882" s="15">
        <v>506.35</v>
      </c>
      <c r="I882" s="15">
        <v>506.14</v>
      </c>
      <c r="J882" s="15">
        <v>515.95</v>
      </c>
      <c r="K882" s="15">
        <v>399.35</v>
      </c>
      <c r="L882" s="15">
        <v>8414967</v>
      </c>
      <c r="M882" t="s" s="13">
        <v>9662</v>
      </c>
      <c r="N882" s="15">
        <v>144592</v>
      </c>
      <c r="O882" s="17" cm="1">
        <f t="array" ref="O882">(H882-H881)/H881</f>
        <v>-0.00598743619945033</v>
      </c>
    </row>
    <row r="883" ht="13.65" customHeight="1">
      <c r="A883" s="12">
        <v>45540</v>
      </c>
      <c r="B883" t="s" s="13">
        <v>22</v>
      </c>
      <c r="C883" s="15">
        <v>508.35</v>
      </c>
      <c r="D883" s="15">
        <v>511.9</v>
      </c>
      <c r="E883" s="15">
        <v>507.05</v>
      </c>
      <c r="F883" s="15">
        <v>506.35</v>
      </c>
      <c r="G883" s="15">
        <v>511.25</v>
      </c>
      <c r="H883" s="15">
        <v>511.2</v>
      </c>
      <c r="I883" s="15">
        <v>510.32</v>
      </c>
      <c r="J883" s="15">
        <v>515.95</v>
      </c>
      <c r="K883" s="15">
        <v>399.35</v>
      </c>
      <c r="L883" s="15">
        <v>10898888</v>
      </c>
      <c r="M883" t="s" s="13">
        <v>9663</v>
      </c>
      <c r="N883" s="15">
        <v>137332</v>
      </c>
      <c r="O883" s="17" cm="1">
        <f t="array" ref="O883">(H883-H882)/H882</f>
        <v>0.00957835489286067</v>
      </c>
    </row>
    <row r="884" ht="13.65" customHeight="1">
      <c r="A884" s="12">
        <v>45541</v>
      </c>
      <c r="B884" t="s" s="13">
        <v>22</v>
      </c>
      <c r="C884" s="15">
        <v>512</v>
      </c>
      <c r="D884" s="15">
        <v>512</v>
      </c>
      <c r="E884" s="15">
        <v>497.15</v>
      </c>
      <c r="F884" s="15">
        <v>511.2</v>
      </c>
      <c r="G884" s="15">
        <v>502.45</v>
      </c>
      <c r="H884" s="15">
        <v>501.7</v>
      </c>
      <c r="I884" s="15">
        <v>502.2</v>
      </c>
      <c r="J884" s="15">
        <v>515.95</v>
      </c>
      <c r="K884" s="15">
        <v>399.35</v>
      </c>
      <c r="L884" s="15">
        <v>13716752</v>
      </c>
      <c r="M884" t="s" s="13">
        <v>9664</v>
      </c>
      <c r="N884" s="15">
        <v>226806</v>
      </c>
      <c r="O884" s="17" cm="1">
        <f t="array" ref="O884">(H884-H883)/H883</f>
        <v>-0.0185837245696401</v>
      </c>
    </row>
    <row r="885" ht="13.65" customHeight="1">
      <c r="A885" s="12">
        <v>45544</v>
      </c>
      <c r="B885" t="s" s="13">
        <v>22</v>
      </c>
      <c r="C885" s="15">
        <v>502</v>
      </c>
      <c r="D885" s="15">
        <v>512.65</v>
      </c>
      <c r="E885" s="15">
        <v>500.35</v>
      </c>
      <c r="F885" s="15">
        <v>501.7</v>
      </c>
      <c r="G885" s="15">
        <v>511.5</v>
      </c>
      <c r="H885" s="15">
        <v>511.75</v>
      </c>
      <c r="I885" s="15">
        <v>509.47</v>
      </c>
      <c r="J885" s="15">
        <v>515.95</v>
      </c>
      <c r="K885" s="15">
        <v>399.35</v>
      </c>
      <c r="L885" s="15">
        <v>13736044</v>
      </c>
      <c r="M885" t="s" s="13">
        <v>9665</v>
      </c>
      <c r="N885" s="15">
        <v>191706</v>
      </c>
      <c r="O885" s="17" cm="1">
        <f t="array" ref="O885">(H885-H884)/H884</f>
        <v>0.0200318915686665</v>
      </c>
    </row>
    <row r="886" ht="13.65" customHeight="1">
      <c r="A886" s="18">
        <v>45545</v>
      </c>
      <c r="B886" t="s" s="13">
        <v>22</v>
      </c>
      <c r="C886" s="15">
        <v>511.9</v>
      </c>
      <c r="D886" s="15">
        <v>515</v>
      </c>
      <c r="E886" s="15">
        <v>508.75</v>
      </c>
      <c r="F886" s="15">
        <v>511.75</v>
      </c>
      <c r="G886" s="15">
        <v>512.9</v>
      </c>
      <c r="H886" s="15">
        <v>513.6</v>
      </c>
      <c r="I886" s="15">
        <v>512.86</v>
      </c>
      <c r="J886" s="15">
        <v>515.95</v>
      </c>
      <c r="K886" s="15">
        <v>399.35</v>
      </c>
      <c r="L886" s="15">
        <v>10911995</v>
      </c>
      <c r="M886" t="s" s="13">
        <v>9666</v>
      </c>
      <c r="N886" s="15">
        <v>173370</v>
      </c>
      <c r="O886" s="17" cm="1">
        <f t="array" ref="O886">(H886-H885)/H885</f>
        <v>0.00361504640937958</v>
      </c>
    </row>
    <row r="887" ht="13.65" customHeight="1">
      <c r="A887" s="18">
        <v>45546</v>
      </c>
      <c r="B887" t="s" s="13">
        <v>22</v>
      </c>
      <c r="C887" s="15">
        <v>513</v>
      </c>
      <c r="D887" s="15">
        <v>519.5</v>
      </c>
      <c r="E887" s="15">
        <v>511.95</v>
      </c>
      <c r="F887" s="15">
        <v>513.6</v>
      </c>
      <c r="G887" s="15">
        <v>513.1</v>
      </c>
      <c r="H887" s="15">
        <v>514.35</v>
      </c>
      <c r="I887" s="15">
        <v>516.48</v>
      </c>
      <c r="J887" s="15">
        <v>519.5</v>
      </c>
      <c r="K887" s="15">
        <v>399.35</v>
      </c>
      <c r="L887" s="15">
        <v>14922832</v>
      </c>
      <c r="M887" t="s" s="13">
        <v>9667</v>
      </c>
      <c r="N887" s="15">
        <v>258825</v>
      </c>
      <c r="O887" s="17" cm="1">
        <f t="array" ref="O887">(H887-H886)/H886</f>
        <v>0.00146028037383178</v>
      </c>
    </row>
    <row r="888" ht="13.65" customHeight="1">
      <c r="A888" s="18">
        <v>45547</v>
      </c>
      <c r="B888" t="s" s="13">
        <v>22</v>
      </c>
      <c r="C888" s="15">
        <v>515.1</v>
      </c>
      <c r="D888" s="15">
        <v>520.5</v>
      </c>
      <c r="E888" s="15">
        <v>508.55</v>
      </c>
      <c r="F888" s="15">
        <v>514.35</v>
      </c>
      <c r="G888" s="15">
        <v>518.05</v>
      </c>
      <c r="H888" s="15">
        <v>519.5</v>
      </c>
      <c r="I888" s="15">
        <v>515.6</v>
      </c>
      <c r="J888" s="15">
        <v>520.5</v>
      </c>
      <c r="K888" s="15">
        <v>399.35</v>
      </c>
      <c r="L888" s="15">
        <v>18377550</v>
      </c>
      <c r="M888" t="s" s="13">
        <v>9668</v>
      </c>
      <c r="N888" s="15">
        <v>208255</v>
      </c>
      <c r="O888" s="17" cm="1">
        <f t="array" ref="O888">(H888-H887)/H887</f>
        <v>0.0100126373092252</v>
      </c>
    </row>
    <row r="889" ht="13.65" customHeight="1">
      <c r="A889" s="18">
        <v>45548</v>
      </c>
      <c r="B889" t="s" s="13">
        <v>22</v>
      </c>
      <c r="C889" s="15">
        <v>519.5</v>
      </c>
      <c r="D889" s="15">
        <v>520</v>
      </c>
      <c r="E889" s="15">
        <v>512</v>
      </c>
      <c r="F889" s="15">
        <v>519.5</v>
      </c>
      <c r="G889" s="15">
        <v>513.65</v>
      </c>
      <c r="H889" s="15">
        <v>513.85</v>
      </c>
      <c r="I889" s="15">
        <v>513.8099999999999</v>
      </c>
      <c r="J889" s="15">
        <v>520.5</v>
      </c>
      <c r="K889" s="15">
        <v>399.35</v>
      </c>
      <c r="L889" s="15">
        <v>8825193</v>
      </c>
      <c r="M889" t="s" s="13">
        <v>9669</v>
      </c>
      <c r="N889" s="15">
        <v>139096</v>
      </c>
      <c r="O889" s="17" cm="1">
        <f t="array" ref="O889">(H889-H888)/H888</f>
        <v>-0.0108758421559192</v>
      </c>
    </row>
    <row r="890" ht="13.65" customHeight="1">
      <c r="A890" s="18">
        <v>45551</v>
      </c>
      <c r="B890" t="s" s="13">
        <v>22</v>
      </c>
      <c r="C890" s="15">
        <v>515.9</v>
      </c>
      <c r="D890" s="15">
        <v>517</v>
      </c>
      <c r="E890" s="15">
        <v>509.7</v>
      </c>
      <c r="F890" s="15">
        <v>513.85</v>
      </c>
      <c r="G890" s="15">
        <v>509.95</v>
      </c>
      <c r="H890" s="15">
        <v>511.1</v>
      </c>
      <c r="I890" s="15">
        <v>513.15</v>
      </c>
      <c r="J890" s="15">
        <v>520.5</v>
      </c>
      <c r="K890" s="15">
        <v>399.35</v>
      </c>
      <c r="L890" s="15">
        <v>7531604</v>
      </c>
      <c r="M890" t="s" s="13">
        <v>9670</v>
      </c>
      <c r="N890" s="15">
        <v>80552</v>
      </c>
      <c r="O890" s="17" cm="1">
        <f t="array" ref="O890">(H890-H889)/H889</f>
        <v>-0.00535175634912912</v>
      </c>
    </row>
    <row r="891" ht="13.65" customHeight="1">
      <c r="A891" s="18">
        <v>45552</v>
      </c>
      <c r="B891" t="s" s="13">
        <v>22</v>
      </c>
      <c r="C891" s="15">
        <v>511.05</v>
      </c>
      <c r="D891" s="15">
        <v>513.55</v>
      </c>
      <c r="E891" s="15">
        <v>506.25</v>
      </c>
      <c r="F891" s="15">
        <v>511.1</v>
      </c>
      <c r="G891" s="15">
        <v>508.25</v>
      </c>
      <c r="H891" s="15">
        <v>507.75</v>
      </c>
      <c r="I891" s="15">
        <v>508.55</v>
      </c>
      <c r="J891" s="15">
        <v>520.5</v>
      </c>
      <c r="K891" s="15">
        <v>399.35</v>
      </c>
      <c r="L891" s="15">
        <v>10486015</v>
      </c>
      <c r="M891" t="s" s="13">
        <v>9671</v>
      </c>
      <c r="N891" s="15">
        <v>113046</v>
      </c>
      <c r="O891" s="17" cm="1">
        <f t="array" ref="O891">(H891-H890)/H890</f>
        <v>-0.00655449031500685</v>
      </c>
    </row>
    <row r="892" ht="13.65" customHeight="1">
      <c r="A892" s="18">
        <v>45553</v>
      </c>
      <c r="B892" t="s" s="13">
        <v>22</v>
      </c>
      <c r="C892" s="15">
        <v>507.85</v>
      </c>
      <c r="D892" s="15">
        <v>512.4</v>
      </c>
      <c r="E892" s="15">
        <v>505.1</v>
      </c>
      <c r="F892" s="15">
        <v>507.75</v>
      </c>
      <c r="G892" s="15">
        <v>506.75</v>
      </c>
      <c r="H892" s="15">
        <v>507.35</v>
      </c>
      <c r="I892" s="15">
        <v>509.15</v>
      </c>
      <c r="J892" s="15">
        <v>520.5</v>
      </c>
      <c r="K892" s="15">
        <v>399.35</v>
      </c>
      <c r="L892" s="15">
        <v>5429619</v>
      </c>
      <c r="M892" t="s" s="13">
        <v>9672</v>
      </c>
      <c r="N892" s="15">
        <v>98908</v>
      </c>
      <c r="O892" s="17" cm="1">
        <f t="array" ref="O892">(H892-H891)/H891</f>
        <v>-0.000787789266371246</v>
      </c>
    </row>
    <row r="893" ht="13.65" customHeight="1">
      <c r="A893" s="18">
        <v>45554</v>
      </c>
      <c r="B893" t="s" s="13">
        <v>22</v>
      </c>
      <c r="C893" s="15">
        <v>510</v>
      </c>
      <c r="D893" s="15">
        <v>514.8</v>
      </c>
      <c r="E893" s="15">
        <v>507.5</v>
      </c>
      <c r="F893" s="15">
        <v>507.35</v>
      </c>
      <c r="G893" s="15">
        <v>508.6</v>
      </c>
      <c r="H893" s="15">
        <v>508.25</v>
      </c>
      <c r="I893" s="15">
        <v>510.59</v>
      </c>
      <c r="J893" s="15">
        <v>520.5</v>
      </c>
      <c r="K893" s="15">
        <v>399.35</v>
      </c>
      <c r="L893" s="15">
        <v>13925311</v>
      </c>
      <c r="M893" t="s" s="13">
        <v>9673</v>
      </c>
      <c r="N893" s="15">
        <v>226927</v>
      </c>
      <c r="O893" s="17" cm="1">
        <f t="array" ref="O893">(H893-H892)/H892</f>
        <v>0.00177392332709175</v>
      </c>
    </row>
    <row r="894" ht="13.65" customHeight="1">
      <c r="A894" s="18">
        <v>45555</v>
      </c>
      <c r="B894" t="s" s="13">
        <v>22</v>
      </c>
      <c r="C894" s="15">
        <v>512</v>
      </c>
      <c r="D894" s="15">
        <v>517.35</v>
      </c>
      <c r="E894" s="15">
        <v>508</v>
      </c>
      <c r="F894" s="15">
        <v>508.25</v>
      </c>
      <c r="G894" s="15">
        <v>514.15</v>
      </c>
      <c r="H894" s="15">
        <v>514.4</v>
      </c>
      <c r="I894" s="15">
        <v>513.97</v>
      </c>
      <c r="J894" s="15">
        <v>520.5</v>
      </c>
      <c r="K894" s="15">
        <v>399.35</v>
      </c>
      <c r="L894" s="15">
        <v>23808194</v>
      </c>
      <c r="M894" t="s" s="13">
        <v>9674</v>
      </c>
      <c r="N894" s="15">
        <v>231527</v>
      </c>
      <c r="O894" s="17" cm="1">
        <f t="array" ref="O894">(H894-H893)/H893</f>
        <v>0.0121003443187408</v>
      </c>
    </row>
    <row r="895" ht="13.65" customHeight="1">
      <c r="A895" s="18">
        <v>45558</v>
      </c>
      <c r="B895" t="s" s="13">
        <v>22</v>
      </c>
      <c r="C895" s="15">
        <v>515.45</v>
      </c>
      <c r="D895" s="15">
        <v>519.45</v>
      </c>
      <c r="E895" s="15">
        <v>513.6</v>
      </c>
      <c r="F895" s="15">
        <v>514.4</v>
      </c>
      <c r="G895" s="15">
        <v>516.75</v>
      </c>
      <c r="H895" s="15">
        <v>516.95</v>
      </c>
      <c r="I895" s="15">
        <v>516.88</v>
      </c>
      <c r="J895" s="15">
        <v>520.5</v>
      </c>
      <c r="K895" s="15">
        <v>399.35</v>
      </c>
      <c r="L895" s="15">
        <v>7804918</v>
      </c>
      <c r="M895" t="s" s="13">
        <v>9675</v>
      </c>
      <c r="N895" s="15">
        <v>130984</v>
      </c>
      <c r="O895" s="17" cm="1">
        <f t="array" ref="O895">(H895-H894)/H894</f>
        <v>0.00495723172628305</v>
      </c>
    </row>
    <row r="896" ht="13.65" customHeight="1">
      <c r="A896" s="18">
        <v>45559</v>
      </c>
      <c r="B896" t="s" s="13">
        <v>22</v>
      </c>
      <c r="C896" s="15">
        <v>517</v>
      </c>
      <c r="D896" s="15">
        <v>517.8</v>
      </c>
      <c r="E896" s="15">
        <v>514.15</v>
      </c>
      <c r="F896" s="15">
        <v>516.95</v>
      </c>
      <c r="G896" s="15">
        <v>515.5</v>
      </c>
      <c r="H896" s="15">
        <v>515.25</v>
      </c>
      <c r="I896" s="15">
        <v>515.47</v>
      </c>
      <c r="J896" s="15">
        <v>520.5</v>
      </c>
      <c r="K896" s="15">
        <v>399.35</v>
      </c>
      <c r="L896" s="15">
        <v>6755320</v>
      </c>
      <c r="M896" t="s" s="13">
        <v>9676</v>
      </c>
      <c r="N896" s="15">
        <v>121014</v>
      </c>
      <c r="O896" s="17" cm="1">
        <f t="array" ref="O896">(H896-H895)/H895</f>
        <v>-0.00328851919914885</v>
      </c>
    </row>
    <row r="897" ht="13.65" customHeight="1">
      <c r="A897" s="18">
        <v>45560</v>
      </c>
      <c r="B897" t="s" s="13">
        <v>22</v>
      </c>
      <c r="C897" s="15">
        <v>515.5</v>
      </c>
      <c r="D897" s="15">
        <v>519.3</v>
      </c>
      <c r="E897" s="15">
        <v>512.3</v>
      </c>
      <c r="F897" s="15">
        <v>515.25</v>
      </c>
      <c r="G897" s="15">
        <v>517.65</v>
      </c>
      <c r="H897" s="15">
        <v>517.55</v>
      </c>
      <c r="I897" s="15">
        <v>515.67</v>
      </c>
      <c r="J897" s="15">
        <v>520.5</v>
      </c>
      <c r="K897" s="15">
        <v>399.35</v>
      </c>
      <c r="L897" s="15">
        <v>8476223</v>
      </c>
      <c r="M897" t="s" s="13">
        <v>9677</v>
      </c>
      <c r="N897" s="15">
        <v>155236</v>
      </c>
      <c r="O897" s="17" cm="1">
        <f t="array" ref="O897">(H897-H896)/H896</f>
        <v>0.004463852498787</v>
      </c>
    </row>
    <row r="898" ht="13.65" customHeight="1">
      <c r="A898" s="18">
        <v>45561</v>
      </c>
      <c r="B898" t="s" s="13">
        <v>22</v>
      </c>
      <c r="C898" s="15">
        <v>517.65</v>
      </c>
      <c r="D898" s="15">
        <v>523.75</v>
      </c>
      <c r="E898" s="15">
        <v>517</v>
      </c>
      <c r="F898" s="15">
        <v>517.55</v>
      </c>
      <c r="G898" s="15">
        <v>522.25</v>
      </c>
      <c r="H898" s="15">
        <v>522.75</v>
      </c>
      <c r="I898" s="15">
        <v>521.1900000000001</v>
      </c>
      <c r="J898" s="15">
        <v>523.75</v>
      </c>
      <c r="K898" s="15">
        <v>399.35</v>
      </c>
      <c r="L898" s="15">
        <v>15489991</v>
      </c>
      <c r="M898" t="s" s="13">
        <v>9678</v>
      </c>
      <c r="N898" s="15">
        <v>203237</v>
      </c>
      <c r="O898" s="17" cm="1">
        <f t="array" ref="O898">(H898-H897)/H897</f>
        <v>0.0100473384214086</v>
      </c>
    </row>
    <row r="899" ht="13.65" customHeight="1">
      <c r="A899" s="18">
        <v>45562</v>
      </c>
      <c r="B899" t="s" s="13">
        <v>22</v>
      </c>
      <c r="C899" s="15">
        <v>520.25</v>
      </c>
      <c r="D899" s="15">
        <v>528.5</v>
      </c>
      <c r="E899" s="15">
        <v>520.25</v>
      </c>
      <c r="F899" s="15">
        <v>522.75</v>
      </c>
      <c r="G899" s="15">
        <v>521.7</v>
      </c>
      <c r="H899" s="15">
        <v>522.7</v>
      </c>
      <c r="I899" s="15">
        <v>524.14</v>
      </c>
      <c r="J899" s="15">
        <v>528.5</v>
      </c>
      <c r="K899" s="15">
        <v>399.35</v>
      </c>
      <c r="L899" s="15">
        <v>17251962</v>
      </c>
      <c r="M899" t="s" s="13">
        <v>9679</v>
      </c>
      <c r="N899" s="15">
        <v>169240</v>
      </c>
      <c r="O899" s="17" cm="1">
        <f t="array" ref="O899">(H899-H898)/H898</f>
        <v>-9.56480153036824e-05</v>
      </c>
    </row>
    <row r="900" ht="13.65" customHeight="1">
      <c r="A900" s="18">
        <v>45565</v>
      </c>
      <c r="B900" t="s" s="13">
        <v>22</v>
      </c>
      <c r="C900" s="15">
        <v>520.6</v>
      </c>
      <c r="D900" s="15">
        <v>524.35</v>
      </c>
      <c r="E900" s="15">
        <v>514.05</v>
      </c>
      <c r="F900" s="15">
        <v>522.7</v>
      </c>
      <c r="G900" s="15">
        <v>518.25</v>
      </c>
      <c r="H900" s="15">
        <v>518.15</v>
      </c>
      <c r="I900" s="15">
        <v>518.5599999999999</v>
      </c>
      <c r="J900" s="15">
        <v>528.5</v>
      </c>
      <c r="K900" s="15">
        <v>399.35</v>
      </c>
      <c r="L900" s="15">
        <v>10531347</v>
      </c>
      <c r="M900" t="s" s="13">
        <v>9680</v>
      </c>
      <c r="N900" s="15">
        <v>163844</v>
      </c>
      <c r="O900" s="17" cm="1">
        <f t="array" ref="O900">(H900-H899)/H899</f>
        <v>-0.008704801989669031</v>
      </c>
    </row>
    <row r="901" ht="13.65" customHeight="1">
      <c r="A901" s="12">
        <v>45566</v>
      </c>
      <c r="B901" t="s" s="13">
        <v>22</v>
      </c>
      <c r="C901" s="15">
        <v>518.15</v>
      </c>
      <c r="D901" s="15">
        <v>519.75</v>
      </c>
      <c r="E901" s="15">
        <v>514</v>
      </c>
      <c r="F901" s="15">
        <v>518.15</v>
      </c>
      <c r="G901" s="15">
        <v>516.5</v>
      </c>
      <c r="H901" s="15">
        <v>516.2</v>
      </c>
      <c r="I901" s="15">
        <v>515.9</v>
      </c>
      <c r="J901" s="15">
        <v>528.5</v>
      </c>
      <c r="K901" s="15">
        <v>399.35</v>
      </c>
      <c r="L901" s="15">
        <v>5089315</v>
      </c>
      <c r="M901" t="s" s="13">
        <v>9681</v>
      </c>
      <c r="N901" s="15">
        <v>109488</v>
      </c>
      <c r="O901" s="17" cm="1">
        <f t="array" ref="O901">(H901-H900)/H900</f>
        <v>-0.00376338898002509</v>
      </c>
    </row>
    <row r="902" ht="13.65" customHeight="1">
      <c r="A902" s="12">
        <v>45568</v>
      </c>
      <c r="B902" t="s" s="13">
        <v>22</v>
      </c>
      <c r="C902" s="15">
        <v>508.55</v>
      </c>
      <c r="D902" s="15">
        <v>515.7</v>
      </c>
      <c r="E902" s="15">
        <v>508.1</v>
      </c>
      <c r="F902" s="15">
        <v>516.2</v>
      </c>
      <c r="G902" s="15">
        <v>511.75</v>
      </c>
      <c r="H902" s="15">
        <v>512.75</v>
      </c>
      <c r="I902" s="15">
        <v>512.47</v>
      </c>
      <c r="J902" s="15">
        <v>528.5</v>
      </c>
      <c r="K902" s="15">
        <v>399.35</v>
      </c>
      <c r="L902" s="15">
        <v>15870147</v>
      </c>
      <c r="M902" t="s" s="13">
        <v>9682</v>
      </c>
      <c r="N902" s="15">
        <v>227553</v>
      </c>
      <c r="O902" s="17" cm="1">
        <f t="array" ref="O902">(H902-H901)/H901</f>
        <v>-0.00668345602479659</v>
      </c>
    </row>
    <row r="903" ht="13.65" customHeight="1">
      <c r="A903" s="12">
        <v>45569</v>
      </c>
      <c r="B903" t="s" s="13">
        <v>22</v>
      </c>
      <c r="C903" s="15">
        <v>510</v>
      </c>
      <c r="D903" s="15">
        <v>517.35</v>
      </c>
      <c r="E903" s="15">
        <v>501.55</v>
      </c>
      <c r="F903" s="15">
        <v>512.75</v>
      </c>
      <c r="G903" s="15">
        <v>504.75</v>
      </c>
      <c r="H903" s="15">
        <v>503.55</v>
      </c>
      <c r="I903" s="15">
        <v>509.93</v>
      </c>
      <c r="J903" s="15">
        <v>528.5</v>
      </c>
      <c r="K903" s="15">
        <v>399.35</v>
      </c>
      <c r="L903" s="15">
        <v>18228912</v>
      </c>
      <c r="M903" t="s" s="13">
        <v>9683</v>
      </c>
      <c r="N903" s="15">
        <v>292636</v>
      </c>
      <c r="O903" s="17" cm="1">
        <f t="array" ref="O903">(H903-H902)/H902</f>
        <v>-0.0179424670892248</v>
      </c>
    </row>
    <row r="904" ht="13.65" customHeight="1">
      <c r="A904" s="12">
        <v>45572</v>
      </c>
      <c r="B904" t="s" s="13">
        <v>22</v>
      </c>
      <c r="C904" s="15">
        <v>507</v>
      </c>
      <c r="D904" s="15">
        <v>514.95</v>
      </c>
      <c r="E904" s="15">
        <v>506.75</v>
      </c>
      <c r="F904" s="15">
        <v>503.55</v>
      </c>
      <c r="G904" s="15">
        <v>510</v>
      </c>
      <c r="H904" s="15">
        <v>510.2</v>
      </c>
      <c r="I904" s="15">
        <v>511.03</v>
      </c>
      <c r="J904" s="15">
        <v>528.5</v>
      </c>
      <c r="K904" s="15">
        <v>399.35</v>
      </c>
      <c r="L904" s="15">
        <v>16479772</v>
      </c>
      <c r="M904" t="s" s="13">
        <v>9684</v>
      </c>
      <c r="N904" s="15">
        <v>216682</v>
      </c>
      <c r="O904" s="17" cm="1">
        <f t="array" ref="O904">(H904-H903)/H903</f>
        <v>0.013206235726343</v>
      </c>
    </row>
    <row r="905" ht="13.65" customHeight="1">
      <c r="A905" s="12">
        <v>45573</v>
      </c>
      <c r="B905" t="s" s="13">
        <v>22</v>
      </c>
      <c r="C905" s="15">
        <v>510</v>
      </c>
      <c r="D905" s="15">
        <v>512.55</v>
      </c>
      <c r="E905" s="15">
        <v>506</v>
      </c>
      <c r="F905" s="15">
        <v>510.2</v>
      </c>
      <c r="G905" s="15">
        <v>508.5</v>
      </c>
      <c r="H905" s="15">
        <v>507.95</v>
      </c>
      <c r="I905" s="15">
        <v>508.84</v>
      </c>
      <c r="J905" s="15">
        <v>528.5</v>
      </c>
      <c r="K905" s="15">
        <v>399.35</v>
      </c>
      <c r="L905" s="15">
        <v>9502367</v>
      </c>
      <c r="M905" t="s" s="13">
        <v>9685</v>
      </c>
      <c r="N905" s="15">
        <v>140127</v>
      </c>
      <c r="O905" s="17" cm="1">
        <f t="array" ref="O905">(H905-H904)/H904</f>
        <v>-0.00441003528028224</v>
      </c>
    </row>
    <row r="906" ht="13.65" customHeight="1">
      <c r="A906" s="12">
        <v>45574</v>
      </c>
      <c r="B906" t="s" s="13">
        <v>22</v>
      </c>
      <c r="C906" s="15">
        <v>509.8</v>
      </c>
      <c r="D906" s="15">
        <v>509.8</v>
      </c>
      <c r="E906" s="15">
        <v>490.55</v>
      </c>
      <c r="F906" s="15">
        <v>507.95</v>
      </c>
      <c r="G906" s="15">
        <v>492.5</v>
      </c>
      <c r="H906" s="15">
        <v>491.7</v>
      </c>
      <c r="I906" s="15">
        <v>499.12</v>
      </c>
      <c r="J906" s="15">
        <v>528.5</v>
      </c>
      <c r="K906" s="15">
        <v>399.35</v>
      </c>
      <c r="L906" s="15">
        <v>23952459</v>
      </c>
      <c r="M906" t="s" s="13">
        <v>9686</v>
      </c>
      <c r="N906" s="15">
        <v>278280</v>
      </c>
      <c r="O906" s="17" cm="1">
        <f t="array" ref="O906">(H906-H905)/H905</f>
        <v>-0.0319913377300915</v>
      </c>
    </row>
    <row r="907" ht="13.65" customHeight="1">
      <c r="A907" s="18">
        <v>45575</v>
      </c>
      <c r="B907" t="s" s="13">
        <v>22</v>
      </c>
      <c r="C907" s="15">
        <v>495.35</v>
      </c>
      <c r="D907" s="15">
        <v>495.65</v>
      </c>
      <c r="E907" s="15">
        <v>489.45</v>
      </c>
      <c r="F907" s="15">
        <v>491.7</v>
      </c>
      <c r="G907" s="15">
        <v>493</v>
      </c>
      <c r="H907" s="15">
        <v>492.05</v>
      </c>
      <c r="I907" s="15">
        <v>492.72</v>
      </c>
      <c r="J907" s="15">
        <v>528.5</v>
      </c>
      <c r="K907" s="15">
        <v>399.35</v>
      </c>
      <c r="L907" s="15">
        <v>12799333</v>
      </c>
      <c r="M907" t="s" s="13">
        <v>9687</v>
      </c>
      <c r="N907" s="15">
        <v>199193</v>
      </c>
      <c r="O907" s="17" cm="1">
        <f t="array" ref="O907">(H907-H906)/H906</f>
        <v>0.000711816148057759</v>
      </c>
    </row>
    <row r="908" ht="13.65" customHeight="1">
      <c r="A908" s="18">
        <v>45576</v>
      </c>
      <c r="B908" t="s" s="13">
        <v>22</v>
      </c>
      <c r="C908" s="15">
        <v>493</v>
      </c>
      <c r="D908" s="15">
        <v>493.95</v>
      </c>
      <c r="E908" s="15">
        <v>487.4</v>
      </c>
      <c r="F908" s="15">
        <v>492.05</v>
      </c>
      <c r="G908" s="15">
        <v>488.95</v>
      </c>
      <c r="H908" s="15">
        <v>488.2</v>
      </c>
      <c r="I908" s="15">
        <v>489.06</v>
      </c>
      <c r="J908" s="15">
        <v>528.5</v>
      </c>
      <c r="K908" s="15">
        <v>399.35</v>
      </c>
      <c r="L908" s="15">
        <v>14394986</v>
      </c>
      <c r="M908" t="s" s="13">
        <v>9688</v>
      </c>
      <c r="N908" s="15">
        <v>158339</v>
      </c>
      <c r="O908" s="17" cm="1">
        <f t="array" ref="O908">(H908-H907)/H907</f>
        <v>-0.00782440808860888</v>
      </c>
    </row>
    <row r="909" ht="13.65" customHeight="1">
      <c r="A909" s="18">
        <v>45579</v>
      </c>
      <c r="B909" t="s" s="13">
        <v>22</v>
      </c>
      <c r="C909" s="15">
        <v>491</v>
      </c>
      <c r="D909" s="15">
        <v>499</v>
      </c>
      <c r="E909" s="15">
        <v>488.65</v>
      </c>
      <c r="F909" s="15">
        <v>488.2</v>
      </c>
      <c r="G909" s="15">
        <v>496.75</v>
      </c>
      <c r="H909" s="15">
        <v>496.95</v>
      </c>
      <c r="I909" s="15">
        <v>495.16</v>
      </c>
      <c r="J909" s="15">
        <v>528.5</v>
      </c>
      <c r="K909" s="15">
        <v>399.35</v>
      </c>
      <c r="L909" s="15">
        <v>6712103</v>
      </c>
      <c r="M909" t="s" s="13">
        <v>9689</v>
      </c>
      <c r="N909" s="15">
        <v>128200</v>
      </c>
      <c r="O909" s="17" cm="1">
        <f t="array" ref="O909">(H909-H908)/H908</f>
        <v>0.0179229823842687</v>
      </c>
    </row>
    <row r="910" ht="13.65" customHeight="1">
      <c r="A910" s="18">
        <v>45580</v>
      </c>
      <c r="B910" t="s" s="13">
        <v>22</v>
      </c>
      <c r="C910" s="15">
        <v>498</v>
      </c>
      <c r="D910" s="15">
        <v>499.4</v>
      </c>
      <c r="E910" s="15">
        <v>494.5</v>
      </c>
      <c r="F910" s="15">
        <v>496.95</v>
      </c>
      <c r="G910" s="15">
        <v>498</v>
      </c>
      <c r="H910" s="15">
        <v>498.55</v>
      </c>
      <c r="I910" s="15">
        <v>497.33</v>
      </c>
      <c r="J910" s="15">
        <v>528.5</v>
      </c>
      <c r="K910" s="15">
        <v>399.35</v>
      </c>
      <c r="L910" s="15">
        <v>8037662</v>
      </c>
      <c r="M910" t="s" s="13">
        <v>9690</v>
      </c>
      <c r="N910" s="15">
        <v>118170</v>
      </c>
      <c r="O910" s="17" cm="1">
        <f t="array" ref="O910">(H910-H909)/H909</f>
        <v>0.00321963980279706</v>
      </c>
    </row>
    <row r="911" ht="13.65" customHeight="1">
      <c r="A911" s="18">
        <v>45581</v>
      </c>
      <c r="B911" t="s" s="13">
        <v>22</v>
      </c>
      <c r="C911" s="15">
        <v>496</v>
      </c>
      <c r="D911" s="15">
        <v>498.85</v>
      </c>
      <c r="E911" s="15">
        <v>492.35</v>
      </c>
      <c r="F911" s="15">
        <v>498.55</v>
      </c>
      <c r="G911" s="15">
        <v>493.1</v>
      </c>
      <c r="H911" s="15">
        <v>493.2</v>
      </c>
      <c r="I911" s="15">
        <v>495.3</v>
      </c>
      <c r="J911" s="15">
        <v>528.5</v>
      </c>
      <c r="K911" s="15">
        <v>399.35</v>
      </c>
      <c r="L911" s="15">
        <v>6682083</v>
      </c>
      <c r="M911" t="s" s="13">
        <v>9691</v>
      </c>
      <c r="N911" s="15">
        <v>117691</v>
      </c>
      <c r="O911" s="17" cm="1">
        <f t="array" ref="O911">(H911-H910)/H910</f>
        <v>-0.0107311202487213</v>
      </c>
    </row>
    <row r="912" ht="13.65" customHeight="1">
      <c r="A912" s="18">
        <v>45582</v>
      </c>
      <c r="B912" t="s" s="13">
        <v>22</v>
      </c>
      <c r="C912" s="15">
        <v>495</v>
      </c>
      <c r="D912" s="15">
        <v>495</v>
      </c>
      <c r="E912" s="15">
        <v>488</v>
      </c>
      <c r="F912" s="15">
        <v>493.2</v>
      </c>
      <c r="G912" s="15">
        <v>489</v>
      </c>
      <c r="H912" s="15">
        <v>488.9</v>
      </c>
      <c r="I912" s="15">
        <v>490.71</v>
      </c>
      <c r="J912" s="15">
        <v>528.5</v>
      </c>
      <c r="K912" s="15">
        <v>399.35</v>
      </c>
      <c r="L912" s="15">
        <v>7385299</v>
      </c>
      <c r="M912" t="s" s="13">
        <v>9692</v>
      </c>
      <c r="N912" s="15">
        <v>106788</v>
      </c>
      <c r="O912" s="17" cm="1">
        <f t="array" ref="O912">(H912-H911)/H911</f>
        <v>-0.00871857258718573</v>
      </c>
    </row>
    <row r="913" ht="13.65" customHeight="1">
      <c r="A913" s="18">
        <v>45583</v>
      </c>
      <c r="B913" t="s" s="13">
        <v>22</v>
      </c>
      <c r="C913" s="15">
        <v>488.75</v>
      </c>
      <c r="D913" s="15">
        <v>491.55</v>
      </c>
      <c r="E913" s="15">
        <v>478.4</v>
      </c>
      <c r="F913" s="15">
        <v>488.9</v>
      </c>
      <c r="G913" s="15">
        <v>486.15</v>
      </c>
      <c r="H913" s="15">
        <v>486.7</v>
      </c>
      <c r="I913" s="15">
        <v>482.63</v>
      </c>
      <c r="J913" s="15">
        <v>528.5</v>
      </c>
      <c r="K913" s="15">
        <v>399.35</v>
      </c>
      <c r="L913" s="15">
        <v>21778099</v>
      </c>
      <c r="M913" t="s" s="13">
        <v>9693</v>
      </c>
      <c r="N913" s="15">
        <v>189101</v>
      </c>
      <c r="O913" s="17" cm="1">
        <f t="array" ref="O913">(H913-H912)/H912</f>
        <v>-0.00449989772959705</v>
      </c>
    </row>
    <row r="914" ht="13.65" customHeight="1">
      <c r="A914" s="18">
        <v>45586</v>
      </c>
      <c r="B914" t="s" s="13">
        <v>22</v>
      </c>
      <c r="C914" s="15">
        <v>486.7</v>
      </c>
      <c r="D914" s="15">
        <v>487.6</v>
      </c>
      <c r="E914" s="15">
        <v>477.35</v>
      </c>
      <c r="F914" s="15">
        <v>486.7</v>
      </c>
      <c r="G914" s="15">
        <v>483.1</v>
      </c>
      <c r="H914" s="15">
        <v>483.65</v>
      </c>
      <c r="I914" s="15">
        <v>483.4</v>
      </c>
      <c r="J914" s="15">
        <v>528.5</v>
      </c>
      <c r="K914" s="15">
        <v>399.35</v>
      </c>
      <c r="L914" s="15">
        <v>7395274</v>
      </c>
      <c r="M914" t="s" s="13">
        <v>9694</v>
      </c>
      <c r="N914" s="15">
        <v>135775</v>
      </c>
      <c r="O914" s="17" cm="1">
        <f t="array" ref="O914">(H914-H913)/H913</f>
        <v>-0.00626669406205054</v>
      </c>
    </row>
    <row r="915" ht="13.65" customHeight="1">
      <c r="A915" s="18">
        <v>45587</v>
      </c>
      <c r="B915" t="s" s="13">
        <v>22</v>
      </c>
      <c r="C915" s="15">
        <v>483.65</v>
      </c>
      <c r="D915" s="15">
        <v>488.4</v>
      </c>
      <c r="E915" s="15">
        <v>480.8</v>
      </c>
      <c r="F915" s="15">
        <v>483.65</v>
      </c>
      <c r="G915" s="15">
        <v>482.5</v>
      </c>
      <c r="H915" s="15">
        <v>481.8</v>
      </c>
      <c r="I915" s="15">
        <v>483.8</v>
      </c>
      <c r="J915" s="15">
        <v>528.5</v>
      </c>
      <c r="K915" s="15">
        <v>399.35</v>
      </c>
      <c r="L915" s="15">
        <v>12299288</v>
      </c>
      <c r="M915" t="s" s="13">
        <v>9695</v>
      </c>
      <c r="N915" s="15">
        <v>194079</v>
      </c>
      <c r="O915" s="17" cm="1">
        <f t="array" ref="O915">(H915-H914)/H914</f>
        <v>-0.00382508011992143</v>
      </c>
    </row>
    <row r="916" ht="13.65" customHeight="1">
      <c r="A916" s="18">
        <v>45588</v>
      </c>
      <c r="B916" t="s" s="13">
        <v>22</v>
      </c>
      <c r="C916" s="15">
        <v>481</v>
      </c>
      <c r="D916" s="15">
        <v>483.3</v>
      </c>
      <c r="E916" s="15">
        <v>479.5</v>
      </c>
      <c r="F916" s="15">
        <v>481.8</v>
      </c>
      <c r="G916" s="15">
        <v>480.7</v>
      </c>
      <c r="H916" s="15">
        <v>480.35</v>
      </c>
      <c r="I916" s="15">
        <v>480.88</v>
      </c>
      <c r="J916" s="15">
        <v>528.5</v>
      </c>
      <c r="K916" s="15">
        <v>399.35</v>
      </c>
      <c r="L916" s="15">
        <v>10162570</v>
      </c>
      <c r="M916" t="s" s="13">
        <v>9696</v>
      </c>
      <c r="N916" s="15">
        <v>130143</v>
      </c>
      <c r="O916" s="17" cm="1">
        <f t="array" ref="O916">(H916-H915)/H915</f>
        <v>-0.00300954753009548</v>
      </c>
    </row>
    <row r="917" ht="13.65" customHeight="1">
      <c r="A917" s="18">
        <v>45589</v>
      </c>
      <c r="B917" t="s" s="13">
        <v>22</v>
      </c>
      <c r="C917" s="15">
        <v>482</v>
      </c>
      <c r="D917" s="15">
        <v>482.4</v>
      </c>
      <c r="E917" s="15">
        <v>470</v>
      </c>
      <c r="F917" s="15">
        <v>480.35</v>
      </c>
      <c r="G917" s="15">
        <v>470.7</v>
      </c>
      <c r="H917" s="15">
        <v>471.7</v>
      </c>
      <c r="I917" s="15">
        <v>474.32</v>
      </c>
      <c r="J917" s="15">
        <v>528.5</v>
      </c>
      <c r="K917" s="15">
        <v>399.35</v>
      </c>
      <c r="L917" s="15">
        <v>13092399</v>
      </c>
      <c r="M917" t="s" s="13">
        <v>9697</v>
      </c>
      <c r="N917" s="15">
        <v>240152</v>
      </c>
      <c r="O917" s="17" cm="1">
        <f t="array" ref="O917">(H917-H916)/H916</f>
        <v>-0.018007702716769</v>
      </c>
    </row>
    <row r="918" ht="13.65" customHeight="1">
      <c r="A918" s="18">
        <v>45590</v>
      </c>
      <c r="B918" t="s" s="13">
        <v>22</v>
      </c>
      <c r="C918" s="15">
        <v>475.8</v>
      </c>
      <c r="D918" s="15">
        <v>493.5</v>
      </c>
      <c r="E918" s="15">
        <v>474.2</v>
      </c>
      <c r="F918" s="15">
        <v>471.7</v>
      </c>
      <c r="G918" s="15">
        <v>482.25</v>
      </c>
      <c r="H918" s="15">
        <v>482.3</v>
      </c>
      <c r="I918" s="15">
        <v>486.29</v>
      </c>
      <c r="J918" s="15">
        <v>528.5</v>
      </c>
      <c r="K918" s="15">
        <v>399.35</v>
      </c>
      <c r="L918" s="15">
        <v>30961625</v>
      </c>
      <c r="M918" t="s" s="13">
        <v>9698</v>
      </c>
      <c r="N918" s="15">
        <v>379810</v>
      </c>
      <c r="O918" s="17" cm="1">
        <f t="array" ref="O918">(H918-H917)/H917</f>
        <v>0.0224719101123596</v>
      </c>
    </row>
    <row r="919" ht="13.65" customHeight="1">
      <c r="A919" s="18">
        <v>45593</v>
      </c>
      <c r="B919" t="s" s="13">
        <v>22</v>
      </c>
      <c r="C919" s="15">
        <v>481.95</v>
      </c>
      <c r="D919" s="15">
        <v>485.9</v>
      </c>
      <c r="E919" s="15">
        <v>476</v>
      </c>
      <c r="F919" s="15">
        <v>482.3</v>
      </c>
      <c r="G919" s="15">
        <v>484</v>
      </c>
      <c r="H919" s="15">
        <v>484.15</v>
      </c>
      <c r="I919" s="15">
        <v>482.79</v>
      </c>
      <c r="J919" s="15">
        <v>528.5</v>
      </c>
      <c r="K919" s="15">
        <v>399.35</v>
      </c>
      <c r="L919" s="15">
        <v>8614446</v>
      </c>
      <c r="M919" t="s" s="13">
        <v>9699</v>
      </c>
      <c r="N919" s="15">
        <v>113970</v>
      </c>
      <c r="O919" s="17" cm="1">
        <f t="array" ref="O919">(H919-H918)/H918</f>
        <v>0.00383578685465478</v>
      </c>
    </row>
    <row r="920" ht="13.65" customHeight="1">
      <c r="A920" s="18">
        <v>45594</v>
      </c>
      <c r="B920" t="s" s="13">
        <v>22</v>
      </c>
      <c r="C920" s="15">
        <v>485</v>
      </c>
      <c r="D920" s="15">
        <v>489.2</v>
      </c>
      <c r="E920" s="15">
        <v>481.3</v>
      </c>
      <c r="F920" s="15">
        <v>484.15</v>
      </c>
      <c r="G920" s="15">
        <v>488</v>
      </c>
      <c r="H920" s="15">
        <v>487.95</v>
      </c>
      <c r="I920" s="15">
        <v>486.12</v>
      </c>
      <c r="J920" s="15">
        <v>528.5</v>
      </c>
      <c r="K920" s="15">
        <v>399.35</v>
      </c>
      <c r="L920" s="15">
        <v>6866704</v>
      </c>
      <c r="M920" t="s" s="13">
        <v>9700</v>
      </c>
      <c r="N920" s="15">
        <v>111564</v>
      </c>
      <c r="O920" s="17" cm="1">
        <f t="array" ref="O920">(H920-H919)/H919</f>
        <v>0.007848807187855</v>
      </c>
    </row>
    <row r="921" ht="13.65" customHeight="1">
      <c r="A921" s="18">
        <v>45595</v>
      </c>
      <c r="B921" t="s" s="13">
        <v>22</v>
      </c>
      <c r="C921" s="15">
        <v>487.95</v>
      </c>
      <c r="D921" s="15">
        <v>493.25</v>
      </c>
      <c r="E921" s="15">
        <v>486.5</v>
      </c>
      <c r="F921" s="15">
        <v>487.95</v>
      </c>
      <c r="G921" s="15">
        <v>491.8</v>
      </c>
      <c r="H921" s="15">
        <v>491.55</v>
      </c>
      <c r="I921" s="15">
        <v>490.85</v>
      </c>
      <c r="J921" s="15">
        <v>528.5</v>
      </c>
      <c r="K921" s="15">
        <v>399.35</v>
      </c>
      <c r="L921" s="15">
        <v>6393835</v>
      </c>
      <c r="M921" t="s" s="13">
        <v>9701</v>
      </c>
      <c r="N921" s="15">
        <v>92835</v>
      </c>
      <c r="O921" s="17" cm="1">
        <f t="array" ref="O921">(H921-H920)/H920</f>
        <v>0.00737780510298186</v>
      </c>
    </row>
    <row r="922" ht="13.65" customHeight="1">
      <c r="A922" s="18">
        <v>45596</v>
      </c>
      <c r="B922" t="s" s="13">
        <v>22</v>
      </c>
      <c r="C922" s="15">
        <v>492</v>
      </c>
      <c r="D922" s="15">
        <v>493</v>
      </c>
      <c r="E922" s="15">
        <v>484.7</v>
      </c>
      <c r="F922" s="15">
        <v>491.55</v>
      </c>
      <c r="G922" s="15">
        <v>489.25</v>
      </c>
      <c r="H922" s="15">
        <v>488.8</v>
      </c>
      <c r="I922" s="15">
        <v>487.8</v>
      </c>
      <c r="J922" s="15">
        <v>528.5</v>
      </c>
      <c r="K922" s="15">
        <v>399.35</v>
      </c>
      <c r="L922" s="15">
        <v>7810874</v>
      </c>
      <c r="M922" t="s" s="13">
        <v>9702</v>
      </c>
      <c r="N922" s="15">
        <v>161609</v>
      </c>
      <c r="O922" s="17" cm="1">
        <f t="array" ref="O922">(H922-H921)/H921</f>
        <v>-0.00559454785881396</v>
      </c>
    </row>
    <row r="923" ht="13.65" customHeight="1">
      <c r="A923" s="12">
        <v>45597</v>
      </c>
      <c r="B923" t="s" s="13">
        <v>22</v>
      </c>
      <c r="C923" s="15">
        <v>491</v>
      </c>
      <c r="D923" s="15">
        <v>492.1</v>
      </c>
      <c r="E923" s="15">
        <v>489.3</v>
      </c>
      <c r="F923" s="15">
        <v>488.8</v>
      </c>
      <c r="G923" s="15">
        <v>489.95</v>
      </c>
      <c r="H923" s="15">
        <v>490.3</v>
      </c>
      <c r="I923" s="15">
        <v>490.89</v>
      </c>
      <c r="J923" s="15">
        <v>528.5</v>
      </c>
      <c r="K923" s="15">
        <v>399.35</v>
      </c>
      <c r="L923" s="15">
        <v>1461602</v>
      </c>
      <c r="M923" t="s" s="13">
        <v>9703</v>
      </c>
      <c r="N923" s="15">
        <v>54687</v>
      </c>
      <c r="O923" s="17" cm="1">
        <f t="array" ref="O923">(H923-H922)/H922</f>
        <v>0.00306873977086743</v>
      </c>
    </row>
    <row r="924" ht="13.65" customHeight="1">
      <c r="A924" s="12">
        <v>45600</v>
      </c>
      <c r="B924" t="s" s="13">
        <v>22</v>
      </c>
      <c r="C924" s="15">
        <v>493.45</v>
      </c>
      <c r="D924" s="15">
        <v>493.45</v>
      </c>
      <c r="E924" s="15">
        <v>479.55</v>
      </c>
      <c r="F924" s="15">
        <v>490.3</v>
      </c>
      <c r="G924" s="15">
        <v>485.25</v>
      </c>
      <c r="H924" s="15">
        <v>484.6</v>
      </c>
      <c r="I924" s="15">
        <v>483.55</v>
      </c>
      <c r="J924" s="15">
        <v>528.5</v>
      </c>
      <c r="K924" s="15">
        <v>399.35</v>
      </c>
      <c r="L924" s="15">
        <v>8429731</v>
      </c>
      <c r="M924" t="s" s="13">
        <v>9704</v>
      </c>
      <c r="N924" s="15">
        <v>170904</v>
      </c>
      <c r="O924" s="17" cm="1">
        <f t="array" ref="O924">(H924-H923)/H923</f>
        <v>-0.0116255353864981</v>
      </c>
    </row>
    <row r="925" ht="13.65" customHeight="1">
      <c r="A925" s="12">
        <v>45601</v>
      </c>
      <c r="B925" t="s" s="13">
        <v>22</v>
      </c>
      <c r="C925" s="15">
        <v>482.95</v>
      </c>
      <c r="D925" s="15">
        <v>485.05</v>
      </c>
      <c r="E925" s="15">
        <v>476.95</v>
      </c>
      <c r="F925" s="15">
        <v>484.6</v>
      </c>
      <c r="G925" s="15">
        <v>480.95</v>
      </c>
      <c r="H925" s="15">
        <v>480.2</v>
      </c>
      <c r="I925" s="15">
        <v>479.98</v>
      </c>
      <c r="J925" s="15">
        <v>528.5</v>
      </c>
      <c r="K925" s="15">
        <v>399.35</v>
      </c>
      <c r="L925" s="15">
        <v>7327830</v>
      </c>
      <c r="M925" t="s" s="13">
        <v>9705</v>
      </c>
      <c r="N925" s="15">
        <v>150450</v>
      </c>
      <c r="O925" s="17" cm="1">
        <f t="array" ref="O925">(H925-H924)/H924</f>
        <v>-0.009079653322327691</v>
      </c>
    </row>
    <row r="926" ht="13.65" customHeight="1">
      <c r="A926" s="12">
        <v>45602</v>
      </c>
      <c r="B926" t="s" s="13">
        <v>22</v>
      </c>
      <c r="C926" s="15">
        <v>480.2</v>
      </c>
      <c r="D926" s="15">
        <v>484.4</v>
      </c>
      <c r="E926" s="15">
        <v>478</v>
      </c>
      <c r="F926" s="15">
        <v>480.2</v>
      </c>
      <c r="G926" s="15">
        <v>481.95</v>
      </c>
      <c r="H926" s="15">
        <v>481.1</v>
      </c>
      <c r="I926" s="15">
        <v>480.83</v>
      </c>
      <c r="J926" s="15">
        <v>528.5</v>
      </c>
      <c r="K926" s="15">
        <v>399.35</v>
      </c>
      <c r="L926" s="15">
        <v>11313985</v>
      </c>
      <c r="M926" t="s" s="13">
        <v>9706</v>
      </c>
      <c r="N926" s="15">
        <v>140673</v>
      </c>
      <c r="O926" s="17" cm="1">
        <f t="array" ref="O926">(H926-H925)/H925</f>
        <v>0.00187421907538526</v>
      </c>
    </row>
    <row r="927" ht="13.65" customHeight="1">
      <c r="A927" s="12">
        <v>45603</v>
      </c>
      <c r="B927" t="s" s="13">
        <v>22</v>
      </c>
      <c r="C927" s="15">
        <v>481.75</v>
      </c>
      <c r="D927" s="15">
        <v>482.7</v>
      </c>
      <c r="E927" s="15">
        <v>476.1</v>
      </c>
      <c r="F927" s="15">
        <v>481.1</v>
      </c>
      <c r="G927" s="15">
        <v>478</v>
      </c>
      <c r="H927" s="15">
        <v>477.9</v>
      </c>
      <c r="I927" s="15">
        <v>477.82</v>
      </c>
      <c r="J927" s="15">
        <v>528.5</v>
      </c>
      <c r="K927" s="15">
        <v>399.35</v>
      </c>
      <c r="L927" s="15">
        <v>8924280</v>
      </c>
      <c r="M927" t="s" s="13">
        <v>9707</v>
      </c>
      <c r="N927" s="15">
        <v>132407</v>
      </c>
      <c r="O927" s="17" cm="1">
        <f t="array" ref="O927">(H927-H926)/H926</f>
        <v>-0.00665142382041156</v>
      </c>
    </row>
    <row r="928" ht="13.65" customHeight="1">
      <c r="A928" s="12">
        <v>45604</v>
      </c>
      <c r="B928" t="s" s="13">
        <v>22</v>
      </c>
      <c r="C928" s="15">
        <v>477.9</v>
      </c>
      <c r="D928" s="15">
        <v>480.7</v>
      </c>
      <c r="E928" s="15">
        <v>474.6</v>
      </c>
      <c r="F928" s="15">
        <v>477.9</v>
      </c>
      <c r="G928" s="15">
        <v>478.8</v>
      </c>
      <c r="H928" s="15">
        <v>478.05</v>
      </c>
      <c r="I928" s="15">
        <v>477.78</v>
      </c>
      <c r="J928" s="15">
        <v>528.5</v>
      </c>
      <c r="K928" s="15">
        <v>399.35</v>
      </c>
      <c r="L928" s="15">
        <v>6090462</v>
      </c>
      <c r="M928" t="s" s="13">
        <v>9708</v>
      </c>
      <c r="N928" s="15">
        <v>105996</v>
      </c>
      <c r="O928" s="17" cm="1">
        <f t="array" ref="O928">(H928-H927)/H927</f>
        <v>0.000313873195229127</v>
      </c>
    </row>
    <row r="929" ht="13.65" customHeight="1">
      <c r="A929" s="18">
        <v>45607</v>
      </c>
      <c r="B929" t="s" s="13">
        <v>22</v>
      </c>
      <c r="C929" s="15">
        <v>478.05</v>
      </c>
      <c r="D929" s="15">
        <v>481.5</v>
      </c>
      <c r="E929" s="15">
        <v>474.1</v>
      </c>
      <c r="F929" s="15">
        <v>478.05</v>
      </c>
      <c r="G929" s="15">
        <v>477.3</v>
      </c>
      <c r="H929" s="15">
        <v>476.95</v>
      </c>
      <c r="I929" s="15">
        <v>478.38</v>
      </c>
      <c r="J929" s="15">
        <v>528.5</v>
      </c>
      <c r="K929" s="15">
        <v>399.35</v>
      </c>
      <c r="L929" s="15">
        <v>5488948</v>
      </c>
      <c r="M929" t="s" s="13">
        <v>9709</v>
      </c>
      <c r="N929" s="15">
        <v>123605</v>
      </c>
      <c r="O929" s="17" cm="1">
        <f t="array" ref="O929">(H929-H928)/H928</f>
        <v>-0.00230101453822822</v>
      </c>
    </row>
    <row r="930" ht="13.65" customHeight="1">
      <c r="A930" s="18">
        <v>45608</v>
      </c>
      <c r="B930" t="s" s="13">
        <v>22</v>
      </c>
      <c r="C930" s="15">
        <v>477.6</v>
      </c>
      <c r="D930" s="15">
        <v>477.95</v>
      </c>
      <c r="E930" s="15">
        <v>471.15</v>
      </c>
      <c r="F930" s="15">
        <v>476.95</v>
      </c>
      <c r="G930" s="15">
        <v>471.9</v>
      </c>
      <c r="H930" s="15">
        <v>472.85</v>
      </c>
      <c r="I930" s="15">
        <v>474.91</v>
      </c>
      <c r="J930" s="15">
        <v>528.5</v>
      </c>
      <c r="K930" s="15">
        <v>399.35</v>
      </c>
      <c r="L930" s="15">
        <v>5041916</v>
      </c>
      <c r="M930" t="s" s="13">
        <v>9710</v>
      </c>
      <c r="N930" s="15">
        <v>129476</v>
      </c>
      <c r="O930" s="17" cm="1">
        <f t="array" ref="O930">(H930-H929)/H929</f>
        <v>-0.00859628891917392</v>
      </c>
    </row>
    <row r="931" ht="13.65" customHeight="1">
      <c r="A931" s="18">
        <v>45609</v>
      </c>
      <c r="B931" t="s" s="13">
        <v>22</v>
      </c>
      <c r="C931" s="15">
        <v>470.05</v>
      </c>
      <c r="D931" s="15">
        <v>474.7</v>
      </c>
      <c r="E931" s="15">
        <v>468.25</v>
      </c>
      <c r="F931" s="15">
        <v>472.85</v>
      </c>
      <c r="G931" s="15">
        <v>472</v>
      </c>
      <c r="H931" s="15">
        <v>472.2</v>
      </c>
      <c r="I931" s="15">
        <v>471.96</v>
      </c>
      <c r="J931" s="15">
        <v>528.5</v>
      </c>
      <c r="K931" s="15">
        <v>399.35</v>
      </c>
      <c r="L931" s="15">
        <v>11120381</v>
      </c>
      <c r="M931" t="s" s="13">
        <v>9711</v>
      </c>
      <c r="N931" s="15">
        <v>188101</v>
      </c>
      <c r="O931" s="17" cm="1">
        <f t="array" ref="O931">(H931-H930)/H930</f>
        <v>-0.0013746431214973</v>
      </c>
    </row>
    <row r="932" ht="13.65" customHeight="1">
      <c r="A932" s="18">
        <v>45610</v>
      </c>
      <c r="B932" t="s" s="13">
        <v>22</v>
      </c>
      <c r="C932" s="15">
        <v>471.2</v>
      </c>
      <c r="D932" s="15">
        <v>472.95</v>
      </c>
      <c r="E932" s="15">
        <v>462.25</v>
      </c>
      <c r="F932" s="15">
        <v>472.2</v>
      </c>
      <c r="G932" s="15">
        <v>467</v>
      </c>
      <c r="H932" s="15">
        <v>465.95</v>
      </c>
      <c r="I932" s="15">
        <v>465.91</v>
      </c>
      <c r="J932" s="15">
        <v>528.5</v>
      </c>
      <c r="K932" s="15">
        <v>399.35</v>
      </c>
      <c r="L932" s="15">
        <v>11639562</v>
      </c>
      <c r="M932" t="s" s="13">
        <v>9712</v>
      </c>
      <c r="N932" s="15">
        <v>230824</v>
      </c>
      <c r="O932" s="17" cm="1">
        <f t="array" ref="O932">(H932-H931)/H931</f>
        <v>-0.0132359169843287</v>
      </c>
    </row>
    <row r="933" ht="13.65" customHeight="1">
      <c r="A933" s="18">
        <v>45614</v>
      </c>
      <c r="B933" t="s" s="13">
        <v>22</v>
      </c>
      <c r="C933" s="15">
        <v>466</v>
      </c>
      <c r="D933" s="15">
        <v>467.8</v>
      </c>
      <c r="E933" s="15">
        <v>462</v>
      </c>
      <c r="F933" s="15">
        <v>465.95</v>
      </c>
      <c r="G933" s="15">
        <v>467.4</v>
      </c>
      <c r="H933" s="15">
        <v>466.55</v>
      </c>
      <c r="I933" s="15">
        <v>464.79</v>
      </c>
      <c r="J933" s="15">
        <v>528.5</v>
      </c>
      <c r="K933" s="15">
        <v>399.35</v>
      </c>
      <c r="L933" s="15">
        <v>8135260</v>
      </c>
      <c r="M933" t="s" s="13">
        <v>9713</v>
      </c>
      <c r="N933" s="15">
        <v>183896</v>
      </c>
      <c r="O933" s="17" cm="1">
        <f t="array" ref="O933">(H933-H932)/H932</f>
        <v>0.00128769181242623</v>
      </c>
    </row>
    <row r="934" ht="13.65" customHeight="1">
      <c r="A934" s="18">
        <v>45615</v>
      </c>
      <c r="B934" t="s" s="13">
        <v>22</v>
      </c>
      <c r="C934" s="15">
        <v>468</v>
      </c>
      <c r="D934" s="15">
        <v>473.75</v>
      </c>
      <c r="E934" s="15">
        <v>466.25</v>
      </c>
      <c r="F934" s="15">
        <v>466.55</v>
      </c>
      <c r="G934" s="15">
        <v>466.6</v>
      </c>
      <c r="H934" s="15">
        <v>467.35</v>
      </c>
      <c r="I934" s="15">
        <v>471.03</v>
      </c>
      <c r="J934" s="15">
        <v>528.5</v>
      </c>
      <c r="K934" s="15">
        <v>399.35</v>
      </c>
      <c r="L934" s="15">
        <v>6857374</v>
      </c>
      <c r="M934" t="s" s="13">
        <v>9714</v>
      </c>
      <c r="N934" s="15">
        <v>111105</v>
      </c>
      <c r="O934" s="17" cm="1">
        <f t="array" ref="O934">(H934-H933)/H933</f>
        <v>0.00171471439288394</v>
      </c>
    </row>
    <row r="935" ht="13.65" customHeight="1">
      <c r="A935" s="18">
        <v>45617</v>
      </c>
      <c r="B935" t="s" s="13">
        <v>22</v>
      </c>
      <c r="C935" s="15">
        <v>461</v>
      </c>
      <c r="D935" s="15">
        <v>464.05</v>
      </c>
      <c r="E935" s="15">
        <v>455.4</v>
      </c>
      <c r="F935" s="15">
        <v>467.35</v>
      </c>
      <c r="G935" s="15">
        <v>457</v>
      </c>
      <c r="H935" s="15">
        <v>457.15</v>
      </c>
      <c r="I935" s="15">
        <v>458.53</v>
      </c>
      <c r="J935" s="15">
        <v>528.5</v>
      </c>
      <c r="K935" s="15">
        <v>399.35</v>
      </c>
      <c r="L935" s="15">
        <v>19559847</v>
      </c>
      <c r="M935" t="s" s="13">
        <v>9715</v>
      </c>
      <c r="N935" s="15">
        <v>236495</v>
      </c>
      <c r="O935" s="17" cm="1">
        <f t="array" ref="O935">(H935-H934)/H934</f>
        <v>-0.0218251845511929</v>
      </c>
    </row>
    <row r="936" ht="13.65" customHeight="1">
      <c r="A936" s="18">
        <v>45618</v>
      </c>
      <c r="B936" t="s" s="13">
        <v>22</v>
      </c>
      <c r="C936" s="15">
        <v>456.2</v>
      </c>
      <c r="D936" s="15">
        <v>476.5</v>
      </c>
      <c r="E936" s="15">
        <v>455.5</v>
      </c>
      <c r="F936" s="15">
        <v>457.15</v>
      </c>
      <c r="G936" s="15">
        <v>474</v>
      </c>
      <c r="H936" s="15">
        <v>474.65</v>
      </c>
      <c r="I936" s="15">
        <v>465.47</v>
      </c>
      <c r="J936" s="15">
        <v>528.5</v>
      </c>
      <c r="K936" s="15">
        <v>399.35</v>
      </c>
      <c r="L936" s="15">
        <v>19464568</v>
      </c>
      <c r="M936" t="s" s="13">
        <v>9716</v>
      </c>
      <c r="N936" s="15">
        <v>178132</v>
      </c>
      <c r="O936" s="17" cm="1">
        <f t="array" ref="O936">(H936-H935)/H935</f>
        <v>0.0382806518648146</v>
      </c>
    </row>
    <row r="937" ht="13.65" customHeight="1">
      <c r="A937" s="18">
        <v>45621</v>
      </c>
      <c r="B937" t="s" s="13">
        <v>22</v>
      </c>
      <c r="C937" s="15">
        <v>479</v>
      </c>
      <c r="D937" s="15">
        <v>482.2</v>
      </c>
      <c r="E937" s="15">
        <v>472.4</v>
      </c>
      <c r="F937" s="15">
        <v>474.65</v>
      </c>
      <c r="G937" s="15">
        <v>478.15</v>
      </c>
      <c r="H937" s="15">
        <v>476.8</v>
      </c>
      <c r="I937" s="15">
        <v>476.97</v>
      </c>
      <c r="J937" s="15">
        <v>528.5</v>
      </c>
      <c r="K937" s="15">
        <v>399.35</v>
      </c>
      <c r="L937" s="15">
        <v>13891991</v>
      </c>
      <c r="M937" t="s" s="13">
        <v>9717</v>
      </c>
      <c r="N937" s="15">
        <v>137597</v>
      </c>
      <c r="O937" s="17" cm="1">
        <f t="array" ref="O937">(H937-H936)/H936</f>
        <v>0.0045296534288423</v>
      </c>
    </row>
    <row r="938" ht="13.65" customHeight="1">
      <c r="A938" s="18">
        <v>45622</v>
      </c>
      <c r="B938" t="s" s="13">
        <v>22</v>
      </c>
      <c r="C938" s="15">
        <v>480</v>
      </c>
      <c r="D938" s="15">
        <v>482.65</v>
      </c>
      <c r="E938" s="15">
        <v>474.1</v>
      </c>
      <c r="F938" s="15">
        <v>476.8</v>
      </c>
      <c r="G938" s="15">
        <v>477</v>
      </c>
      <c r="H938" s="15">
        <v>477</v>
      </c>
      <c r="I938" s="15">
        <v>476.76</v>
      </c>
      <c r="J938" s="15">
        <v>528.5</v>
      </c>
      <c r="K938" s="15">
        <v>399.35</v>
      </c>
      <c r="L938" s="15">
        <v>6539846</v>
      </c>
      <c r="M938" t="s" s="13">
        <v>9718</v>
      </c>
      <c r="N938" s="15">
        <v>124209</v>
      </c>
      <c r="O938" s="17" cm="1">
        <f t="array" ref="O938">(H938-H937)/H937</f>
        <v>0.000419463087248322</v>
      </c>
    </row>
    <row r="939" ht="13.65" customHeight="1">
      <c r="A939" s="18">
        <v>45623</v>
      </c>
      <c r="B939" t="s" s="13">
        <v>22</v>
      </c>
      <c r="C939" s="15">
        <v>477.5</v>
      </c>
      <c r="D939" s="15">
        <v>480.1</v>
      </c>
      <c r="E939" s="15">
        <v>473</v>
      </c>
      <c r="F939" s="15">
        <v>477</v>
      </c>
      <c r="G939" s="15">
        <v>476.95</v>
      </c>
      <c r="H939" s="15">
        <v>476.95</v>
      </c>
      <c r="I939" s="15">
        <v>475.67</v>
      </c>
      <c r="J939" s="15">
        <v>528.5</v>
      </c>
      <c r="K939" s="15">
        <v>399.35</v>
      </c>
      <c r="L939" s="15">
        <v>7067013</v>
      </c>
      <c r="M939" t="s" s="13">
        <v>9719</v>
      </c>
      <c r="N939" s="15">
        <v>92526</v>
      </c>
      <c r="O939" s="17" cm="1">
        <f t="array" ref="O939">(H939-H938)/H938</f>
        <v>-0.00010482180293501</v>
      </c>
    </row>
    <row r="940" ht="13.65" customHeight="1">
      <c r="A940" s="18">
        <v>45624</v>
      </c>
      <c r="B940" t="s" s="13">
        <v>22</v>
      </c>
      <c r="C940" s="15">
        <v>477</v>
      </c>
      <c r="D940" s="15">
        <v>483.8</v>
      </c>
      <c r="E940" s="15">
        <v>470.55</v>
      </c>
      <c r="F940" s="15">
        <v>476.95</v>
      </c>
      <c r="G940" s="15">
        <v>475.55</v>
      </c>
      <c r="H940" s="15">
        <v>474.9</v>
      </c>
      <c r="I940" s="15">
        <v>476.02</v>
      </c>
      <c r="J940" s="15">
        <v>528.5</v>
      </c>
      <c r="K940" s="15">
        <v>399.35</v>
      </c>
      <c r="L940" s="15">
        <v>14412539</v>
      </c>
      <c r="M940" t="s" s="13">
        <v>9720</v>
      </c>
      <c r="N940" s="15">
        <v>197328</v>
      </c>
      <c r="O940" s="17" cm="1">
        <f t="array" ref="O940">(H940-H939)/H939</f>
        <v>-0.00429814445958696</v>
      </c>
    </row>
    <row r="941" ht="13.65" customHeight="1">
      <c r="A941" s="18">
        <v>45625</v>
      </c>
      <c r="B941" t="s" s="13">
        <v>22</v>
      </c>
      <c r="C941" s="15">
        <v>473.2</v>
      </c>
      <c r="D941" s="15">
        <v>478.9</v>
      </c>
      <c r="E941" s="15">
        <v>472.6</v>
      </c>
      <c r="F941" s="15">
        <v>474.9</v>
      </c>
      <c r="G941" s="15">
        <v>477</v>
      </c>
      <c r="H941" s="15">
        <v>476.75</v>
      </c>
      <c r="I941" s="15">
        <v>476.39</v>
      </c>
      <c r="J941" s="15">
        <v>528.5</v>
      </c>
      <c r="K941" s="15">
        <v>399.35</v>
      </c>
      <c r="L941" s="15">
        <v>8346687</v>
      </c>
      <c r="M941" t="s" s="13">
        <v>9721</v>
      </c>
      <c r="N941" s="15">
        <v>126718</v>
      </c>
      <c r="O941" s="17" cm="1">
        <f t="array" ref="O941">(H941-H940)/H940</f>
        <v>0.00389555695935987</v>
      </c>
    </row>
    <row r="942" ht="13.65" customHeight="1">
      <c r="A942" s="12">
        <v>45628</v>
      </c>
      <c r="B942" t="s" s="13">
        <v>22</v>
      </c>
      <c r="C942" s="15">
        <v>476</v>
      </c>
      <c r="D942" s="15">
        <v>479.3</v>
      </c>
      <c r="E942" s="15">
        <v>473.4</v>
      </c>
      <c r="F942" s="15">
        <v>476.75</v>
      </c>
      <c r="G942" s="15">
        <v>477.4</v>
      </c>
      <c r="H942" s="15">
        <v>477.2</v>
      </c>
      <c r="I942" s="15">
        <v>476.84</v>
      </c>
      <c r="J942" s="15">
        <v>528.5</v>
      </c>
      <c r="K942" s="15">
        <v>399.35</v>
      </c>
      <c r="L942" s="15">
        <v>5478598</v>
      </c>
      <c r="M942" t="s" s="13">
        <v>9722</v>
      </c>
      <c r="N942" s="15">
        <v>105775</v>
      </c>
      <c r="O942" s="17" cm="1">
        <f t="array" ref="O942">(H942-H941)/H941</f>
        <v>0.000943890928159413</v>
      </c>
    </row>
    <row r="943" ht="13.65" customHeight="1">
      <c r="A943" s="12">
        <v>45629</v>
      </c>
      <c r="B943" t="s" s="13">
        <v>22</v>
      </c>
      <c r="C943" s="15">
        <v>466</v>
      </c>
      <c r="D943" s="15">
        <v>473.4</v>
      </c>
      <c r="E943" s="15">
        <v>462.75</v>
      </c>
      <c r="F943" s="15">
        <v>477.2</v>
      </c>
      <c r="G943" s="15">
        <v>472.55</v>
      </c>
      <c r="H943" s="15">
        <v>472.55</v>
      </c>
      <c r="I943" s="15">
        <v>469.06</v>
      </c>
      <c r="J943" s="15">
        <v>528.5</v>
      </c>
      <c r="K943" s="15">
        <v>399.35</v>
      </c>
      <c r="L943" s="15">
        <v>22218251</v>
      </c>
      <c r="M943" t="s" s="13">
        <v>9723</v>
      </c>
      <c r="N943" s="15">
        <v>289294</v>
      </c>
      <c r="O943" s="17" cm="1">
        <f t="array" ref="O943">(H943-H942)/H942</f>
        <v>-0.00974434199497066</v>
      </c>
    </row>
    <row r="944" ht="13.65" customHeight="1">
      <c r="A944" s="12">
        <v>45630</v>
      </c>
      <c r="B944" t="s" s="13">
        <v>22</v>
      </c>
      <c r="C944" s="15">
        <v>474.4</v>
      </c>
      <c r="D944" s="15">
        <v>478.2</v>
      </c>
      <c r="E944" s="15">
        <v>466.4</v>
      </c>
      <c r="F944" s="15">
        <v>472.55</v>
      </c>
      <c r="G944" s="15">
        <v>467.2</v>
      </c>
      <c r="H944" s="15">
        <v>467.1</v>
      </c>
      <c r="I944" s="15">
        <v>470.88</v>
      </c>
      <c r="J944" s="15">
        <v>528.5</v>
      </c>
      <c r="K944" s="15">
        <v>399.35</v>
      </c>
      <c r="L944" s="15">
        <v>13439484</v>
      </c>
      <c r="M944" t="s" s="13">
        <v>9724</v>
      </c>
      <c r="N944" s="15">
        <v>184751</v>
      </c>
      <c r="O944" s="17" cm="1">
        <f t="array" ref="O944">(H944-H943)/H943</f>
        <v>-0.011533171093006</v>
      </c>
    </row>
    <row r="945" ht="13.65" customHeight="1">
      <c r="A945" s="12">
        <v>45631</v>
      </c>
      <c r="B945" t="s" s="13">
        <v>22</v>
      </c>
      <c r="C945" s="15">
        <v>467.55</v>
      </c>
      <c r="D945" s="15">
        <v>472.75</v>
      </c>
      <c r="E945" s="15">
        <v>462.5</v>
      </c>
      <c r="F945" s="15">
        <v>467.1</v>
      </c>
      <c r="G945" s="15">
        <v>467.7</v>
      </c>
      <c r="H945" s="15">
        <v>467.5</v>
      </c>
      <c r="I945" s="15">
        <v>468</v>
      </c>
      <c r="J945" s="15">
        <v>528.5</v>
      </c>
      <c r="K945" s="15">
        <v>399.35</v>
      </c>
      <c r="L945" s="15">
        <v>26415053</v>
      </c>
      <c r="M945" t="s" s="13">
        <v>9725</v>
      </c>
      <c r="N945" s="15">
        <v>280989</v>
      </c>
      <c r="O945" s="17" cm="1">
        <f t="array" ref="O945">(H945-H944)/H944</f>
        <v>0.0008563476771569261</v>
      </c>
    </row>
    <row r="946" ht="13.65" customHeight="1">
      <c r="A946" s="12">
        <v>45632</v>
      </c>
      <c r="B946" t="s" s="13">
        <v>22</v>
      </c>
      <c r="C946" s="15">
        <v>470</v>
      </c>
      <c r="D946" s="15">
        <v>474.95</v>
      </c>
      <c r="E946" s="15">
        <v>467.7</v>
      </c>
      <c r="F946" s="15">
        <v>467.5</v>
      </c>
      <c r="G946" s="15">
        <v>471.95</v>
      </c>
      <c r="H946" s="15">
        <v>471.15</v>
      </c>
      <c r="I946" s="15">
        <v>472.38</v>
      </c>
      <c r="J946" s="15">
        <v>528.5</v>
      </c>
      <c r="K946" s="15">
        <v>399.35</v>
      </c>
      <c r="L946" s="15">
        <v>7551407</v>
      </c>
      <c r="M946" t="s" s="13">
        <v>9726</v>
      </c>
      <c r="N946" s="15">
        <v>118458</v>
      </c>
      <c r="O946" s="17" cm="1">
        <f t="array" ref="O946">(H946-H945)/H945</f>
        <v>0.00780748663101604</v>
      </c>
    </row>
    <row r="947" ht="13.65" customHeight="1">
      <c r="A947" s="12">
        <v>45635</v>
      </c>
      <c r="B947" t="s" s="13">
        <v>22</v>
      </c>
      <c r="C947" s="15">
        <v>471.5</v>
      </c>
      <c r="D947" s="15">
        <v>472</v>
      </c>
      <c r="E947" s="15">
        <v>462.95</v>
      </c>
      <c r="F947" s="15">
        <v>471.15</v>
      </c>
      <c r="G947" s="15">
        <v>465.2</v>
      </c>
      <c r="H947" s="15">
        <v>464.95</v>
      </c>
      <c r="I947" s="15">
        <v>467.02</v>
      </c>
      <c r="J947" s="15">
        <v>528.5</v>
      </c>
      <c r="K947" s="15">
        <v>399.35</v>
      </c>
      <c r="L947" s="15">
        <v>11703384</v>
      </c>
      <c r="M947" t="s" s="13">
        <v>9727</v>
      </c>
      <c r="N947" s="15">
        <v>160632</v>
      </c>
      <c r="O947" s="17" cm="1">
        <f t="array" ref="O947">(H947-H946)/H946</f>
        <v>-0.0131592910962538</v>
      </c>
    </row>
    <row r="948" ht="13.65" customHeight="1">
      <c r="A948" s="18">
        <v>45636</v>
      </c>
      <c r="B948" t="s" s="13">
        <v>22</v>
      </c>
      <c r="C948" s="15">
        <v>465.35</v>
      </c>
      <c r="D948" s="15">
        <v>466.45</v>
      </c>
      <c r="E948" s="15">
        <v>462.6</v>
      </c>
      <c r="F948" s="15">
        <v>464.95</v>
      </c>
      <c r="G948" s="15">
        <v>465.35</v>
      </c>
      <c r="H948" s="15">
        <v>465.45</v>
      </c>
      <c r="I948" s="15">
        <v>464.64</v>
      </c>
      <c r="J948" s="15">
        <v>528.5</v>
      </c>
      <c r="K948" s="15">
        <v>399.35</v>
      </c>
      <c r="L948" s="15">
        <v>8823805</v>
      </c>
      <c r="M948" t="s" s="13">
        <v>9728</v>
      </c>
      <c r="N948" s="15">
        <v>137180</v>
      </c>
      <c r="O948" s="17" cm="1">
        <f t="array" ref="O948">(H948-H947)/H947</f>
        <v>0.00107538444994085</v>
      </c>
    </row>
    <row r="949" ht="13.65" customHeight="1">
      <c r="A949" s="18">
        <v>45637</v>
      </c>
      <c r="B949" t="s" s="13">
        <v>22</v>
      </c>
      <c r="C949" s="15">
        <v>467.2</v>
      </c>
      <c r="D949" s="15">
        <v>468.2</v>
      </c>
      <c r="E949" s="15">
        <v>464.7</v>
      </c>
      <c r="F949" s="15">
        <v>465.45</v>
      </c>
      <c r="G949" s="15">
        <v>465.25</v>
      </c>
      <c r="H949" s="15">
        <v>465.25</v>
      </c>
      <c r="I949" s="15">
        <v>466.13</v>
      </c>
      <c r="J949" s="15">
        <v>528.5</v>
      </c>
      <c r="K949" s="15">
        <v>399.35</v>
      </c>
      <c r="L949" s="15">
        <v>6745816</v>
      </c>
      <c r="M949" t="s" s="13">
        <v>9729</v>
      </c>
      <c r="N949" s="15">
        <v>108407</v>
      </c>
      <c r="O949" s="17" cm="1">
        <f t="array" ref="O949">(H949-H948)/H948</f>
        <v>-0.000429691696207971</v>
      </c>
    </row>
    <row r="950" ht="13.65" customHeight="1">
      <c r="A950" s="18">
        <v>45638</v>
      </c>
      <c r="B950" t="s" s="13">
        <v>22</v>
      </c>
      <c r="C950" s="15">
        <v>465.5</v>
      </c>
      <c r="D950" s="15">
        <v>467.9</v>
      </c>
      <c r="E950" s="15">
        <v>459.15</v>
      </c>
      <c r="F950" s="15">
        <v>465.25</v>
      </c>
      <c r="G950" s="15">
        <v>460.85</v>
      </c>
      <c r="H950" s="15">
        <v>460.6</v>
      </c>
      <c r="I950" s="15">
        <v>462.32</v>
      </c>
      <c r="J950" s="15">
        <v>528.5</v>
      </c>
      <c r="K950" s="15">
        <v>399.35</v>
      </c>
      <c r="L950" s="15">
        <v>12884401</v>
      </c>
      <c r="M950" t="s" s="13">
        <v>9730</v>
      </c>
      <c r="N950" s="15">
        <v>165742</v>
      </c>
      <c r="O950" s="17" cm="1">
        <f t="array" ref="O950">(H950-H949)/H949</f>
        <v>-0.00999462654486835</v>
      </c>
    </row>
    <row r="951" ht="13.65" customHeight="1">
      <c r="A951" s="18">
        <v>45639</v>
      </c>
      <c r="B951" t="s" s="13">
        <v>22</v>
      </c>
      <c r="C951" s="15">
        <v>460</v>
      </c>
      <c r="D951" s="15">
        <v>474.4</v>
      </c>
      <c r="E951" s="15">
        <v>451.65</v>
      </c>
      <c r="F951" s="15">
        <v>460.6</v>
      </c>
      <c r="G951" s="15">
        <v>471</v>
      </c>
      <c r="H951" s="15">
        <v>470</v>
      </c>
      <c r="I951" s="15">
        <v>464.46</v>
      </c>
      <c r="J951" s="15">
        <v>528.5</v>
      </c>
      <c r="K951" s="15">
        <v>399.35</v>
      </c>
      <c r="L951" s="15">
        <v>31753858</v>
      </c>
      <c r="M951" t="s" s="13">
        <v>9731</v>
      </c>
      <c r="N951" s="15">
        <v>249426</v>
      </c>
      <c r="O951" s="17" cm="1">
        <f t="array" ref="O951">(H951-H950)/H950</f>
        <v>0.0204081632653061</v>
      </c>
    </row>
    <row r="952" ht="13.65" customHeight="1">
      <c r="A952" s="18">
        <v>45642</v>
      </c>
      <c r="B952" t="s" s="13">
        <v>22</v>
      </c>
      <c r="C952" s="15">
        <v>470.25</v>
      </c>
      <c r="D952" s="15">
        <v>474.4</v>
      </c>
      <c r="E952" s="15">
        <v>468</v>
      </c>
      <c r="F952" s="15">
        <v>470</v>
      </c>
      <c r="G952" s="15">
        <v>470</v>
      </c>
      <c r="H952" s="15">
        <v>470.1</v>
      </c>
      <c r="I952" s="15">
        <v>470.12</v>
      </c>
      <c r="J952" s="15">
        <v>528.5</v>
      </c>
      <c r="K952" s="15">
        <v>399.35</v>
      </c>
      <c r="L952" s="15">
        <v>9007264</v>
      </c>
      <c r="M952" t="s" s="13">
        <v>9732</v>
      </c>
      <c r="N952" s="15">
        <v>153567</v>
      </c>
      <c r="O952" s="17" cm="1">
        <f t="array" ref="O952">(H952-H951)/H951</f>
        <v>0.000212765957446809</v>
      </c>
    </row>
    <row r="953" ht="13.65" customHeight="1">
      <c r="A953" s="18">
        <v>45643</v>
      </c>
      <c r="B953" t="s" s="13">
        <v>22</v>
      </c>
      <c r="C953" s="15">
        <v>470</v>
      </c>
      <c r="D953" s="15">
        <v>475.8</v>
      </c>
      <c r="E953" s="15">
        <v>463.05</v>
      </c>
      <c r="F953" s="15">
        <v>470.1</v>
      </c>
      <c r="G953" s="15">
        <v>470.7</v>
      </c>
      <c r="H953" s="15">
        <v>469.55</v>
      </c>
      <c r="I953" s="15">
        <v>470.32</v>
      </c>
      <c r="J953" s="15">
        <v>528.5</v>
      </c>
      <c r="K953" s="15">
        <v>399.35</v>
      </c>
      <c r="L953" s="15">
        <v>19844152</v>
      </c>
      <c r="M953" t="s" s="13">
        <v>9733</v>
      </c>
      <c r="N953" s="15">
        <v>235005</v>
      </c>
      <c r="O953" s="17" cm="1">
        <f t="array" ref="O953">(H953-H952)/H952</f>
        <v>-0.00116996383748139</v>
      </c>
    </row>
    <row r="954" ht="13.65" customHeight="1">
      <c r="A954" s="18">
        <v>45644</v>
      </c>
      <c r="B954" t="s" s="13">
        <v>22</v>
      </c>
      <c r="C954" s="15">
        <v>472.7</v>
      </c>
      <c r="D954" s="15">
        <v>473.8</v>
      </c>
      <c r="E954" s="15">
        <v>466.9</v>
      </c>
      <c r="F954" s="15">
        <v>469.55</v>
      </c>
      <c r="G954" s="15">
        <v>471.25</v>
      </c>
      <c r="H954" s="15">
        <v>470.5</v>
      </c>
      <c r="I954" s="15">
        <v>470.47</v>
      </c>
      <c r="J954" s="15">
        <v>528.5</v>
      </c>
      <c r="K954" s="15">
        <v>399.35</v>
      </c>
      <c r="L954" s="15">
        <v>12365167</v>
      </c>
      <c r="M954" t="s" s="13">
        <v>9734</v>
      </c>
      <c r="N954" s="15">
        <v>171373</v>
      </c>
      <c r="O954" s="17" cm="1">
        <f t="array" ref="O954">(H954-H953)/H953</f>
        <v>0.00202321371525929</v>
      </c>
    </row>
    <row r="955" ht="13.65" customHeight="1">
      <c r="A955" s="18">
        <v>45645</v>
      </c>
      <c r="B955" t="s" s="13">
        <v>22</v>
      </c>
      <c r="C955" s="15">
        <v>469</v>
      </c>
      <c r="D955" s="15">
        <v>474.35</v>
      </c>
      <c r="E955" s="15">
        <v>465.3</v>
      </c>
      <c r="F955" s="15">
        <v>470.5</v>
      </c>
      <c r="G955" s="15">
        <v>466</v>
      </c>
      <c r="H955" s="15">
        <v>466.55</v>
      </c>
      <c r="I955" s="15">
        <v>468.63</v>
      </c>
      <c r="J955" s="15">
        <v>528.5</v>
      </c>
      <c r="K955" s="15">
        <v>399.35</v>
      </c>
      <c r="L955" s="15">
        <v>14599270</v>
      </c>
      <c r="M955" t="s" s="13">
        <v>9735</v>
      </c>
      <c r="N955" s="15">
        <v>208360</v>
      </c>
      <c r="O955" s="17" cm="1">
        <f t="array" ref="O955">(H955-H954)/H954</f>
        <v>-0.00839532412327311</v>
      </c>
    </row>
    <row r="956" ht="13.65" customHeight="1">
      <c r="A956" s="18">
        <v>45646</v>
      </c>
      <c r="B956" t="s" s="13">
        <v>22</v>
      </c>
      <c r="C956" s="15">
        <v>466.5</v>
      </c>
      <c r="D956" s="15">
        <v>467.45</v>
      </c>
      <c r="E956" s="15">
        <v>459.3</v>
      </c>
      <c r="F956" s="15">
        <v>466.55</v>
      </c>
      <c r="G956" s="15">
        <v>465.65</v>
      </c>
      <c r="H956" s="15">
        <v>464.65</v>
      </c>
      <c r="I956" s="15">
        <v>463.94</v>
      </c>
      <c r="J956" s="15">
        <v>528.5</v>
      </c>
      <c r="K956" s="15">
        <v>399.35</v>
      </c>
      <c r="L956" s="15">
        <v>19481288</v>
      </c>
      <c r="M956" t="s" s="13">
        <v>9736</v>
      </c>
      <c r="N956" s="15">
        <v>241995</v>
      </c>
      <c r="O956" s="17" cm="1">
        <f t="array" ref="O956">(H956-H955)/H955</f>
        <v>-0.00407244668309935</v>
      </c>
    </row>
    <row r="957" ht="13.65" customHeight="1">
      <c r="A957" s="18">
        <v>45649</v>
      </c>
      <c r="B957" t="s" s="13">
        <v>22</v>
      </c>
      <c r="C957" s="15">
        <v>471.2</v>
      </c>
      <c r="D957" s="15">
        <v>477.7</v>
      </c>
      <c r="E957" s="15">
        <v>467.6</v>
      </c>
      <c r="F957" s="15">
        <v>464.65</v>
      </c>
      <c r="G957" s="15">
        <v>474.5</v>
      </c>
      <c r="H957" s="15">
        <v>474.25</v>
      </c>
      <c r="I957" s="15">
        <v>473.08</v>
      </c>
      <c r="J957" s="15">
        <v>528.5</v>
      </c>
      <c r="K957" s="15">
        <v>399.35</v>
      </c>
      <c r="L957" s="15">
        <v>18837469</v>
      </c>
      <c r="M957" t="s" s="13">
        <v>9737</v>
      </c>
      <c r="N957" s="15">
        <v>240219</v>
      </c>
      <c r="O957" s="17" cm="1">
        <f t="array" ref="O957">(H957-H956)/H956</f>
        <v>0.0206607123641451</v>
      </c>
    </row>
    <row r="958" ht="13.65" customHeight="1">
      <c r="A958" s="18">
        <v>45650</v>
      </c>
      <c r="B958" t="s" s="13">
        <v>22</v>
      </c>
      <c r="C958" s="15">
        <v>474.9</v>
      </c>
      <c r="D958" s="15">
        <v>480.25</v>
      </c>
      <c r="E958" s="15">
        <v>472.65</v>
      </c>
      <c r="F958" s="15">
        <v>474.25</v>
      </c>
      <c r="G958" s="15">
        <v>478.25</v>
      </c>
      <c r="H958" s="15">
        <v>478.45</v>
      </c>
      <c r="I958" s="15">
        <v>478.09</v>
      </c>
      <c r="J958" s="15">
        <v>528.5</v>
      </c>
      <c r="K958" s="15">
        <v>399.35</v>
      </c>
      <c r="L958" s="15">
        <v>11564497</v>
      </c>
      <c r="M958" t="s" s="13">
        <v>9738</v>
      </c>
      <c r="N958" s="15">
        <v>172646</v>
      </c>
      <c r="O958" s="17" cm="1">
        <f t="array" ref="O958">(H958-H957)/H957</f>
        <v>0.00885608856088561</v>
      </c>
    </row>
    <row r="959" ht="13.65" customHeight="1">
      <c r="A959" s="18">
        <v>45652</v>
      </c>
      <c r="B959" t="s" s="13">
        <v>22</v>
      </c>
      <c r="C959" s="15">
        <v>480.55</v>
      </c>
      <c r="D959" s="15">
        <v>481.85</v>
      </c>
      <c r="E959" s="15">
        <v>476</v>
      </c>
      <c r="F959" s="15">
        <v>478.45</v>
      </c>
      <c r="G959" s="15">
        <v>477</v>
      </c>
      <c r="H959" s="15">
        <v>476.95</v>
      </c>
      <c r="I959" s="15">
        <v>478.43</v>
      </c>
      <c r="J959" s="15">
        <v>528.5</v>
      </c>
      <c r="K959" s="15">
        <v>399.35</v>
      </c>
      <c r="L959" s="15">
        <v>8848065</v>
      </c>
      <c r="M959" t="s" s="13">
        <v>9739</v>
      </c>
      <c r="N959" s="15">
        <v>148089</v>
      </c>
      <c r="O959" s="17" cm="1">
        <f t="array" ref="O959">(H959-H958)/H958</f>
        <v>-0.00313512383739158</v>
      </c>
    </row>
    <row r="960" ht="13.65" customHeight="1">
      <c r="A960" s="18">
        <v>45653</v>
      </c>
      <c r="B960" t="s" s="13">
        <v>22</v>
      </c>
      <c r="C960" s="15">
        <v>479.75</v>
      </c>
      <c r="D960" s="15">
        <v>481.9</v>
      </c>
      <c r="E960" s="15">
        <v>476</v>
      </c>
      <c r="F960" s="15">
        <v>476.95</v>
      </c>
      <c r="G960" s="15">
        <v>479.7</v>
      </c>
      <c r="H960" s="15">
        <v>478.6</v>
      </c>
      <c r="I960" s="15">
        <v>479.17</v>
      </c>
      <c r="J960" s="15">
        <v>528.5</v>
      </c>
      <c r="K960" s="15">
        <v>399.35</v>
      </c>
      <c r="L960" s="15">
        <v>16279450</v>
      </c>
      <c r="M960" t="s" s="13">
        <v>9740</v>
      </c>
      <c r="N960" s="15">
        <v>166926</v>
      </c>
      <c r="O960" s="17" cm="1">
        <f t="array" ref="O960">(H960-H959)/H959</f>
        <v>0.00345948212600902</v>
      </c>
    </row>
    <row r="961" ht="13.65" customHeight="1">
      <c r="A961" s="18">
        <v>45656</v>
      </c>
      <c r="B961" t="s" s="13">
        <v>22</v>
      </c>
      <c r="C961" s="15">
        <v>480.75</v>
      </c>
      <c r="D961" s="15">
        <v>481.45</v>
      </c>
      <c r="E961" s="15">
        <v>476</v>
      </c>
      <c r="F961" s="15">
        <v>478.6</v>
      </c>
      <c r="G961" s="15">
        <v>476.8</v>
      </c>
      <c r="H961" s="15">
        <v>477</v>
      </c>
      <c r="I961" s="15">
        <v>478.45</v>
      </c>
      <c r="J961" s="15">
        <v>528.5</v>
      </c>
      <c r="K961" s="15">
        <v>399.35</v>
      </c>
      <c r="L961" s="15">
        <v>13074810</v>
      </c>
      <c r="M961" t="s" s="13">
        <v>9741</v>
      </c>
      <c r="N961" s="15">
        <v>158954</v>
      </c>
      <c r="O961" s="17" cm="1">
        <f t="array" ref="O961">(H961-H960)/H960</f>
        <v>-0.00334308399498537</v>
      </c>
    </row>
    <row r="962" ht="13.65" customHeight="1">
      <c r="A962" s="18">
        <v>45657</v>
      </c>
      <c r="B962" t="s" s="13">
        <v>22</v>
      </c>
      <c r="C962" s="15">
        <v>478.45</v>
      </c>
      <c r="D962" s="15">
        <v>484.65</v>
      </c>
      <c r="E962" s="15">
        <v>474.55</v>
      </c>
      <c r="F962" s="15">
        <v>477</v>
      </c>
      <c r="G962" s="15">
        <v>484.45</v>
      </c>
      <c r="H962" s="15">
        <v>483.65</v>
      </c>
      <c r="I962" s="15">
        <v>479.83</v>
      </c>
      <c r="J962" s="15">
        <v>528.5</v>
      </c>
      <c r="K962" s="15">
        <v>399.35</v>
      </c>
      <c r="L962" s="15">
        <v>13276195</v>
      </c>
      <c r="M962" t="s" s="13">
        <v>9742</v>
      </c>
      <c r="N962" s="15">
        <v>152025</v>
      </c>
      <c r="O962" s="17" cm="1">
        <f t="array" ref="O962">(H962-H961)/H961</f>
        <v>0.0139412997903564</v>
      </c>
    </row>
    <row r="963" ht="13.65" customHeight="1">
      <c r="A963" s="12">
        <v>45658</v>
      </c>
      <c r="B963" t="s" s="13">
        <v>22</v>
      </c>
      <c r="C963" s="15">
        <v>486</v>
      </c>
      <c r="D963" s="15">
        <v>486.85</v>
      </c>
      <c r="E963" s="15">
        <v>482.15</v>
      </c>
      <c r="F963" s="15">
        <v>483.65</v>
      </c>
      <c r="G963" s="15">
        <v>484.7</v>
      </c>
      <c r="H963" s="15">
        <v>483.95</v>
      </c>
      <c r="I963" s="15">
        <v>484.93</v>
      </c>
      <c r="J963" s="15">
        <v>528.5</v>
      </c>
      <c r="K963" s="15">
        <v>399.35</v>
      </c>
      <c r="L963" s="15">
        <v>18229128</v>
      </c>
      <c r="M963" t="s" s="13">
        <v>9743</v>
      </c>
      <c r="N963" s="15">
        <v>164587</v>
      </c>
      <c r="O963" s="17" cm="1">
        <f t="array" ref="O963">(H963-H962)/H962</f>
        <v>0.000620283262689962</v>
      </c>
    </row>
    <row r="964" ht="13.65" customHeight="1">
      <c r="A964" s="12">
        <v>45659</v>
      </c>
      <c r="B964" t="s" s="13">
        <v>22</v>
      </c>
      <c r="C964" s="15">
        <v>485.35</v>
      </c>
      <c r="D964" s="15">
        <v>490</v>
      </c>
      <c r="E964" s="15">
        <v>482.3</v>
      </c>
      <c r="F964" s="15">
        <v>483.95</v>
      </c>
      <c r="G964" s="15">
        <v>489.5</v>
      </c>
      <c r="H964" s="15">
        <v>489.05</v>
      </c>
      <c r="I964" s="15">
        <v>486.22</v>
      </c>
      <c r="J964" s="15">
        <v>528.5</v>
      </c>
      <c r="K964" s="15">
        <v>399.35</v>
      </c>
      <c r="L964" s="15">
        <v>26124980</v>
      </c>
      <c r="M964" t="s" s="13">
        <v>9744</v>
      </c>
      <c r="N964" s="15">
        <v>224779</v>
      </c>
      <c r="O964" s="17" cm="1">
        <f t="array" ref="O964">(H964-H963)/H963</f>
        <v>0.0105382787478045</v>
      </c>
    </row>
    <row r="965" ht="13.65" customHeight="1">
      <c r="A965" s="12">
        <v>45660</v>
      </c>
      <c r="B965" t="s" s="13">
        <v>22</v>
      </c>
      <c r="C965" s="15">
        <v>490.25</v>
      </c>
      <c r="D965" s="15">
        <v>491</v>
      </c>
      <c r="E965" s="15">
        <v>479.85</v>
      </c>
      <c r="F965" s="15">
        <v>489.05</v>
      </c>
      <c r="G965" s="15">
        <v>483.95</v>
      </c>
      <c r="H965" s="15">
        <v>481.6</v>
      </c>
      <c r="I965" s="15">
        <v>482.67</v>
      </c>
      <c r="J965" s="15">
        <v>528.5</v>
      </c>
      <c r="K965" s="15">
        <v>399.35</v>
      </c>
      <c r="L965" s="15">
        <v>37072992</v>
      </c>
      <c r="M965" t="s" s="13">
        <v>9745</v>
      </c>
      <c r="N965" s="15">
        <v>227193</v>
      </c>
      <c r="O965" s="17" cm="1">
        <f t="array" ref="O965">(H965-H964)/H964</f>
        <v>-0.0152336161946631</v>
      </c>
    </row>
    <row r="966" ht="13.65" customHeight="1">
      <c r="A966" s="12">
        <v>45663</v>
      </c>
      <c r="B966" t="s" s="13">
        <v>22</v>
      </c>
      <c r="C966" s="15">
        <v>455.6</v>
      </c>
      <c r="D966" s="15">
        <v>461.75</v>
      </c>
      <c r="E966" s="15">
        <v>441.25</v>
      </c>
      <c r="F966" s="15">
        <v>481.6</v>
      </c>
      <c r="G966" s="15">
        <v>445.35</v>
      </c>
      <c r="H966" s="15">
        <v>442.65</v>
      </c>
      <c r="I966" s="15">
        <v>450.15</v>
      </c>
      <c r="J966" s="15">
        <v>461.75</v>
      </c>
      <c r="K966" s="15">
        <v>441.25</v>
      </c>
      <c r="L966" s="15">
        <v>22009958</v>
      </c>
      <c r="M966" t="s" s="13">
        <v>9746</v>
      </c>
      <c r="N966" s="15">
        <v>286532</v>
      </c>
      <c r="O966" s="17" cm="1">
        <f t="array" ref="O966">(H966-H965)/H965</f>
        <v>-0.08087624584717611</v>
      </c>
    </row>
    <row r="967" ht="13.65" customHeight="1">
      <c r="A967" s="12">
        <v>45664</v>
      </c>
      <c r="B967" t="s" s="13">
        <v>22</v>
      </c>
      <c r="C967" s="15">
        <v>445.5</v>
      </c>
      <c r="D967" s="15">
        <v>447.6</v>
      </c>
      <c r="E967" s="15">
        <v>440.15</v>
      </c>
      <c r="F967" s="15">
        <v>442.65</v>
      </c>
      <c r="G967" s="15">
        <v>441.1</v>
      </c>
      <c r="H967" s="15">
        <v>441.1</v>
      </c>
      <c r="I967" s="15">
        <v>442.97</v>
      </c>
      <c r="J967" s="15">
        <v>461.75</v>
      </c>
      <c r="K967" s="15">
        <v>440.15</v>
      </c>
      <c r="L967" s="15">
        <v>14294780</v>
      </c>
      <c r="M967" t="s" s="13">
        <v>9747</v>
      </c>
      <c r="N967" s="15">
        <v>180441</v>
      </c>
      <c r="O967" s="17" cm="1">
        <f t="array" ref="O967">(H967-H966)/H966</f>
        <v>-0.00350163786287134</v>
      </c>
    </row>
    <row r="968" ht="13.65" customHeight="1">
      <c r="A968" s="12">
        <v>45665</v>
      </c>
      <c r="B968" t="s" s="13">
        <v>22</v>
      </c>
      <c r="C968" s="15">
        <v>443</v>
      </c>
      <c r="D968" s="15">
        <v>452.05</v>
      </c>
      <c r="E968" s="15">
        <v>437.1</v>
      </c>
      <c r="F968" s="15">
        <v>441.1</v>
      </c>
      <c r="G968" s="15">
        <v>449.65</v>
      </c>
      <c r="H968" s="15">
        <v>449.55</v>
      </c>
      <c r="I968" s="15">
        <v>444.83</v>
      </c>
      <c r="J968" s="15">
        <v>461.75</v>
      </c>
      <c r="K968" s="15">
        <v>437.1</v>
      </c>
      <c r="L968" s="15">
        <v>13482926</v>
      </c>
      <c r="M968" t="s" s="13">
        <v>9748</v>
      </c>
      <c r="N968" s="15">
        <v>163390</v>
      </c>
      <c r="O968" s="17" cm="1">
        <f t="array" ref="O968">(H968-H967)/H967</f>
        <v>0.0191566538199955</v>
      </c>
    </row>
    <row r="969" ht="13.65" customHeight="1">
      <c r="A969" s="12">
        <v>45666</v>
      </c>
      <c r="B969" t="s" s="13">
        <v>22</v>
      </c>
      <c r="C969" s="15">
        <v>449.4</v>
      </c>
      <c r="D969" s="15">
        <v>460.65</v>
      </c>
      <c r="E969" s="15">
        <v>446.05</v>
      </c>
      <c r="F969" s="15">
        <v>449.55</v>
      </c>
      <c r="G969" s="15">
        <v>450.45</v>
      </c>
      <c r="H969" s="15">
        <v>450.1</v>
      </c>
      <c r="I969" s="15">
        <v>452.64</v>
      </c>
      <c r="J969" s="15">
        <v>461.75</v>
      </c>
      <c r="K969" s="15">
        <v>437.1</v>
      </c>
      <c r="L969" s="15">
        <v>19732649</v>
      </c>
      <c r="M969" t="s" s="13">
        <v>9749</v>
      </c>
      <c r="N969" s="15">
        <v>214398</v>
      </c>
      <c r="O969" s="17" cm="1">
        <f t="array" ref="O969">(H969-H968)/H968</f>
        <v>0.00122344566789011</v>
      </c>
    </row>
    <row r="970" ht="13.65" customHeight="1">
      <c r="A970" s="18">
        <v>45667</v>
      </c>
      <c r="B970" t="s" s="13">
        <v>22</v>
      </c>
      <c r="C970" s="15">
        <v>449.95</v>
      </c>
      <c r="D970" s="15">
        <v>452</v>
      </c>
      <c r="E970" s="15">
        <v>442.5</v>
      </c>
      <c r="F970" s="15">
        <v>450.1</v>
      </c>
      <c r="G970" s="15">
        <v>443.85</v>
      </c>
      <c r="H970" s="15">
        <v>444.9</v>
      </c>
      <c r="I970" s="15">
        <v>445.59</v>
      </c>
      <c r="J970" s="15">
        <v>461.75</v>
      </c>
      <c r="K970" s="15">
        <v>437.1</v>
      </c>
      <c r="L970" s="15">
        <v>9145729</v>
      </c>
      <c r="M970" t="s" s="13">
        <v>9750</v>
      </c>
      <c r="N970" s="15">
        <v>169176</v>
      </c>
      <c r="O970" s="17" cm="1">
        <f t="array" ref="O970">(H970-H969)/H969</f>
        <v>-0.0115529882248389</v>
      </c>
    </row>
    <row r="971" ht="13.65" customHeight="1">
      <c r="A971" s="18">
        <v>45670</v>
      </c>
      <c r="B971" t="s" s="13">
        <v>22</v>
      </c>
      <c r="C971" s="15">
        <v>435</v>
      </c>
      <c r="D971" s="15">
        <v>444</v>
      </c>
      <c r="E971" s="15">
        <v>435</v>
      </c>
      <c r="F971" s="15">
        <v>444.9</v>
      </c>
      <c r="G971" s="15">
        <v>439</v>
      </c>
      <c r="H971" s="15">
        <v>439.05</v>
      </c>
      <c r="I971" s="15">
        <v>440.27</v>
      </c>
      <c r="J971" s="15">
        <v>461.75</v>
      </c>
      <c r="K971" s="15">
        <v>435</v>
      </c>
      <c r="L971" s="15">
        <v>17799607</v>
      </c>
      <c r="M971" t="s" s="13">
        <v>9751</v>
      </c>
      <c r="N971" s="15">
        <v>172276</v>
      </c>
      <c r="O971" s="17" cm="1">
        <f t="array" ref="O971">(H971-H970)/H970</f>
        <v>-0.0131490222521915</v>
      </c>
    </row>
    <row r="972" ht="13.65" customHeight="1">
      <c r="A972" s="18">
        <v>45671</v>
      </c>
      <c r="B972" t="s" s="13">
        <v>22</v>
      </c>
      <c r="C972" s="15">
        <v>441</v>
      </c>
      <c r="D972" s="15">
        <v>441.5</v>
      </c>
      <c r="E972" s="15">
        <v>435.85</v>
      </c>
      <c r="F972" s="15">
        <v>439.05</v>
      </c>
      <c r="G972" s="15">
        <v>436.95</v>
      </c>
      <c r="H972" s="15">
        <v>436.6</v>
      </c>
      <c r="I972" s="15">
        <v>438.04</v>
      </c>
      <c r="J972" s="15">
        <v>461.75</v>
      </c>
      <c r="K972" s="15">
        <v>435</v>
      </c>
      <c r="L972" s="15">
        <v>18048459</v>
      </c>
      <c r="M972" t="s" s="13">
        <v>9752</v>
      </c>
      <c r="N972" s="15">
        <v>233131</v>
      </c>
      <c r="O972" s="17" cm="1">
        <f t="array" ref="O972">(H972-H971)/H971</f>
        <v>-0.00558023004213643</v>
      </c>
    </row>
    <row r="973" ht="13.65" customHeight="1">
      <c r="A973" s="18">
        <v>45672</v>
      </c>
      <c r="B973" t="s" s="13">
        <v>22</v>
      </c>
      <c r="C973" s="15">
        <v>436.6</v>
      </c>
      <c r="D973" s="15">
        <v>441.8</v>
      </c>
      <c r="E973" s="15">
        <v>435.35</v>
      </c>
      <c r="F973" s="15">
        <v>436.6</v>
      </c>
      <c r="G973" s="15">
        <v>437</v>
      </c>
      <c r="H973" s="15">
        <v>437.35</v>
      </c>
      <c r="I973" s="15">
        <v>437.99</v>
      </c>
      <c r="J973" s="15">
        <v>461.75</v>
      </c>
      <c r="K973" s="15">
        <v>435</v>
      </c>
      <c r="L973" s="15">
        <v>9786805</v>
      </c>
      <c r="M973" t="s" s="13">
        <v>9753</v>
      </c>
      <c r="N973" s="15">
        <v>123376</v>
      </c>
      <c r="O973" s="17" cm="1">
        <f t="array" ref="O973">(H973-H972)/H972</f>
        <v>0.00171781951442968</v>
      </c>
    </row>
    <row r="974" ht="13.65" customHeight="1">
      <c r="A974" s="18">
        <v>45673</v>
      </c>
      <c r="B974" t="s" s="13">
        <v>22</v>
      </c>
      <c r="C974" s="15">
        <v>438.05</v>
      </c>
      <c r="D974" s="15">
        <v>439.45</v>
      </c>
      <c r="E974" s="15">
        <v>431.1</v>
      </c>
      <c r="F974" s="15">
        <v>437.35</v>
      </c>
      <c r="G974" s="15">
        <v>432.9</v>
      </c>
      <c r="H974" s="15">
        <v>432.85</v>
      </c>
      <c r="I974" s="15">
        <v>432.62</v>
      </c>
      <c r="J974" s="15">
        <v>461.75</v>
      </c>
      <c r="K974" s="15">
        <v>431.1</v>
      </c>
      <c r="L974" s="15">
        <v>15774070</v>
      </c>
      <c r="M974" t="s" s="13">
        <v>9754</v>
      </c>
      <c r="N974" s="15">
        <v>197000</v>
      </c>
      <c r="O974" s="17" cm="1">
        <f t="array" ref="O974">(H974-H973)/H973</f>
        <v>-0.0102892420258374</v>
      </c>
    </row>
    <row r="975" ht="13.65" customHeight="1">
      <c r="A975" s="18">
        <v>45674</v>
      </c>
      <c r="B975" t="s" s="13">
        <v>22</v>
      </c>
      <c r="C975" s="15">
        <v>433</v>
      </c>
      <c r="D975" s="15">
        <v>441.8</v>
      </c>
      <c r="E975" s="15">
        <v>432.5</v>
      </c>
      <c r="F975" s="15">
        <v>432.85</v>
      </c>
      <c r="G975" s="15">
        <v>439.65</v>
      </c>
      <c r="H975" s="15">
        <v>440.2</v>
      </c>
      <c r="I975" s="15">
        <v>438.78</v>
      </c>
      <c r="J975" s="15">
        <v>461.75</v>
      </c>
      <c r="K975" s="15">
        <v>431.1</v>
      </c>
      <c r="L975" s="15">
        <v>11270061</v>
      </c>
      <c r="M975" t="s" s="13">
        <v>9755</v>
      </c>
      <c r="N975" s="15">
        <v>119845</v>
      </c>
      <c r="O975" s="17" cm="1">
        <f t="array" ref="O975">(H975-H974)/H974</f>
        <v>0.0169804782257133</v>
      </c>
    </row>
    <row r="976" ht="13.65" customHeight="1">
      <c r="A976" s="18">
        <v>45677</v>
      </c>
      <c r="B976" t="s" s="13">
        <v>22</v>
      </c>
      <c r="C976" s="15">
        <v>439</v>
      </c>
      <c r="D976" s="15">
        <v>441.2</v>
      </c>
      <c r="E976" s="15">
        <v>436</v>
      </c>
      <c r="F976" s="15">
        <v>440.2</v>
      </c>
      <c r="G976" s="15">
        <v>437.45</v>
      </c>
      <c r="H976" s="15">
        <v>437.7</v>
      </c>
      <c r="I976" s="15">
        <v>437.61</v>
      </c>
      <c r="J976" s="15">
        <v>461.75</v>
      </c>
      <c r="K976" s="15">
        <v>431.1</v>
      </c>
      <c r="L976" s="15">
        <v>8742771</v>
      </c>
      <c r="M976" t="s" s="13">
        <v>9756</v>
      </c>
      <c r="N976" s="15">
        <v>152896</v>
      </c>
      <c r="O976" s="17" cm="1">
        <f t="array" ref="O976">(H976-H975)/H975</f>
        <v>-0.0056792367105861</v>
      </c>
    </row>
    <row r="977" ht="13.65" customHeight="1">
      <c r="A977" s="18">
        <v>45678</v>
      </c>
      <c r="B977" t="s" s="13">
        <v>22</v>
      </c>
      <c r="C977" s="15">
        <v>438</v>
      </c>
      <c r="D977" s="15">
        <v>447</v>
      </c>
      <c r="E977" s="15">
        <v>435.25</v>
      </c>
      <c r="F977" s="15">
        <v>437.7</v>
      </c>
      <c r="G977" s="15">
        <v>437.95</v>
      </c>
      <c r="H977" s="15">
        <v>437.55</v>
      </c>
      <c r="I977" s="15">
        <v>440.22</v>
      </c>
      <c r="J977" s="15">
        <v>461.75</v>
      </c>
      <c r="K977" s="15">
        <v>431.1</v>
      </c>
      <c r="L977" s="15">
        <v>15686500</v>
      </c>
      <c r="M977" t="s" s="13">
        <v>9757</v>
      </c>
      <c r="N977" s="15">
        <v>216692</v>
      </c>
      <c r="O977" s="17" cm="1">
        <f t="array" ref="O977">(H977-H976)/H976</f>
        <v>-0.000342700479780672</v>
      </c>
    </row>
    <row r="978" ht="13.65" customHeight="1">
      <c r="A978" s="18">
        <v>45679</v>
      </c>
      <c r="B978" t="s" s="13">
        <v>22</v>
      </c>
      <c r="C978" s="15">
        <v>439.9</v>
      </c>
      <c r="D978" s="15">
        <v>441.95</v>
      </c>
      <c r="E978" s="15">
        <v>436.55</v>
      </c>
      <c r="F978" s="15">
        <v>437.55</v>
      </c>
      <c r="G978" s="15">
        <v>436.75</v>
      </c>
      <c r="H978" s="15">
        <v>437</v>
      </c>
      <c r="I978" s="15">
        <v>438.79</v>
      </c>
      <c r="J978" s="15">
        <v>461.75</v>
      </c>
      <c r="K978" s="15">
        <v>431.1</v>
      </c>
      <c r="L978" s="15">
        <v>9619648</v>
      </c>
      <c r="M978" t="s" s="13">
        <v>9758</v>
      </c>
      <c r="N978" s="15">
        <v>133708</v>
      </c>
      <c r="O978" s="17" cm="1">
        <f t="array" ref="O978">(H978-H977)/H977</f>
        <v>-0.00125699920009142</v>
      </c>
    </row>
    <row r="979" ht="13.65" customHeight="1">
      <c r="A979" s="18">
        <v>45680</v>
      </c>
      <c r="B979" t="s" s="13">
        <v>22</v>
      </c>
      <c r="C979" s="15">
        <v>435</v>
      </c>
      <c r="D979" s="15">
        <v>441.85</v>
      </c>
      <c r="E979" s="15">
        <v>434.1</v>
      </c>
      <c r="F979" s="15">
        <v>437</v>
      </c>
      <c r="G979" s="15">
        <v>440.45</v>
      </c>
      <c r="H979" s="15">
        <v>440.2</v>
      </c>
      <c r="I979" s="15">
        <v>439.59</v>
      </c>
      <c r="J979" s="15">
        <v>461.75</v>
      </c>
      <c r="K979" s="15">
        <v>431.1</v>
      </c>
      <c r="L979" s="15">
        <v>8888248</v>
      </c>
      <c r="M979" t="s" s="13">
        <v>9759</v>
      </c>
      <c r="N979" s="15">
        <v>131321</v>
      </c>
      <c r="O979" s="17" cm="1">
        <f t="array" ref="O979">(H979-H978)/H978</f>
        <v>0.00732265446224256</v>
      </c>
    </row>
    <row r="980" ht="13.65" customHeight="1">
      <c r="A980" s="18">
        <v>45681</v>
      </c>
      <c r="B980" t="s" s="13">
        <v>22</v>
      </c>
      <c r="C980" s="15">
        <v>439.4</v>
      </c>
      <c r="D980" s="15">
        <v>445</v>
      </c>
      <c r="E980" s="15">
        <v>439.05</v>
      </c>
      <c r="F980" s="15">
        <v>440.2</v>
      </c>
      <c r="G980" s="15">
        <v>441.4</v>
      </c>
      <c r="H980" s="15">
        <v>441.6</v>
      </c>
      <c r="I980" s="15">
        <v>442.53</v>
      </c>
      <c r="J980" s="15">
        <v>461.75</v>
      </c>
      <c r="K980" s="15">
        <v>431.1</v>
      </c>
      <c r="L980" s="15">
        <v>9665384</v>
      </c>
      <c r="M980" t="s" s="13">
        <v>9760</v>
      </c>
      <c r="N980" s="15">
        <v>141694</v>
      </c>
      <c r="O980" s="17" cm="1">
        <f t="array" ref="O980">(H980-H979)/H979</f>
        <v>0.00318037255792821</v>
      </c>
    </row>
    <row r="981" ht="13.65" customHeight="1">
      <c r="A981" s="18">
        <v>45684</v>
      </c>
      <c r="B981" t="s" s="13">
        <v>22</v>
      </c>
      <c r="C981" s="15">
        <v>440.8</v>
      </c>
      <c r="D981" s="15">
        <v>445</v>
      </c>
      <c r="E981" s="15">
        <v>436.55</v>
      </c>
      <c r="F981" s="15">
        <v>441.6</v>
      </c>
      <c r="G981" s="15">
        <v>439.9</v>
      </c>
      <c r="H981" s="15">
        <v>440.1</v>
      </c>
      <c r="I981" s="15">
        <v>440.42</v>
      </c>
      <c r="J981" s="15">
        <v>461.75</v>
      </c>
      <c r="K981" s="15">
        <v>431.1</v>
      </c>
      <c r="L981" s="15">
        <v>10480203</v>
      </c>
      <c r="M981" t="s" s="13">
        <v>9761</v>
      </c>
      <c r="N981" s="15">
        <v>155397</v>
      </c>
      <c r="O981" s="17" cm="1">
        <f t="array" ref="O981">(H981-H980)/H980</f>
        <v>-0.00339673913043478</v>
      </c>
    </row>
    <row r="982" ht="13.65" customHeight="1">
      <c r="A982" s="18">
        <v>45685</v>
      </c>
      <c r="B982" t="s" s="13">
        <v>22</v>
      </c>
      <c r="C982" s="15">
        <v>440</v>
      </c>
      <c r="D982" s="15">
        <v>441.8</v>
      </c>
      <c r="E982" s="15">
        <v>434.5</v>
      </c>
      <c r="F982" s="15">
        <v>440.1</v>
      </c>
      <c r="G982" s="15">
        <v>434.65</v>
      </c>
      <c r="H982" s="15">
        <v>435.45</v>
      </c>
      <c r="I982" s="15">
        <v>437.14</v>
      </c>
      <c r="J982" s="15">
        <v>461.75</v>
      </c>
      <c r="K982" s="15">
        <v>431.1</v>
      </c>
      <c r="L982" s="15">
        <v>20813072</v>
      </c>
      <c r="M982" t="s" s="13">
        <v>9762</v>
      </c>
      <c r="N982" s="15">
        <v>174411</v>
      </c>
      <c r="O982" s="17" cm="1">
        <f t="array" ref="O982">(H982-H981)/H981</f>
        <v>-0.0105657805044308</v>
      </c>
    </row>
    <row r="983" ht="13.65" customHeight="1">
      <c r="A983" s="18">
        <v>45686</v>
      </c>
      <c r="B983" t="s" s="13">
        <v>22</v>
      </c>
      <c r="C983" s="15">
        <v>435.95</v>
      </c>
      <c r="D983" s="15">
        <v>437.5</v>
      </c>
      <c r="E983" s="15">
        <v>430.1</v>
      </c>
      <c r="F983" s="15">
        <v>435.45</v>
      </c>
      <c r="G983" s="15">
        <v>433.25</v>
      </c>
      <c r="H983" s="15">
        <v>433.35</v>
      </c>
      <c r="I983" s="15">
        <v>433.19</v>
      </c>
      <c r="J983" s="15">
        <v>461.75</v>
      </c>
      <c r="K983" s="15">
        <v>430.1</v>
      </c>
      <c r="L983" s="15">
        <v>15158510</v>
      </c>
      <c r="M983" t="s" s="13">
        <v>9763</v>
      </c>
      <c r="N983" s="15">
        <v>270156</v>
      </c>
      <c r="O983" s="17" cm="1">
        <f t="array" ref="O983">(H983-H982)/H982</f>
        <v>-0.00482259731312435</v>
      </c>
    </row>
    <row r="984" ht="13.65" customHeight="1">
      <c r="A984" s="18">
        <v>45687</v>
      </c>
      <c r="B984" t="s" s="13">
        <v>22</v>
      </c>
      <c r="C984" s="15">
        <v>433</v>
      </c>
      <c r="D984" s="15">
        <v>438</v>
      </c>
      <c r="E984" s="15">
        <v>431.45</v>
      </c>
      <c r="F984" s="15">
        <v>433.35</v>
      </c>
      <c r="G984" s="15">
        <v>436</v>
      </c>
      <c r="H984" s="15">
        <v>436.2</v>
      </c>
      <c r="I984" s="15">
        <v>434.97</v>
      </c>
      <c r="J984" s="15">
        <v>461.75</v>
      </c>
      <c r="K984" s="15">
        <v>430.1</v>
      </c>
      <c r="L984" s="15">
        <v>22496695</v>
      </c>
      <c r="M984" t="s" s="13">
        <v>9764</v>
      </c>
      <c r="N984" s="15">
        <v>206602</v>
      </c>
      <c r="O984" s="17" cm="1">
        <f t="array" ref="O984">(H984-H983)/H983</f>
        <v>0.006576670128072</v>
      </c>
    </row>
    <row r="985" ht="13.65" customHeight="1">
      <c r="A985" s="18">
        <v>45688</v>
      </c>
      <c r="B985" t="s" s="13">
        <v>22</v>
      </c>
      <c r="C985" s="15">
        <v>436.5</v>
      </c>
      <c r="D985" s="15">
        <v>448.2</v>
      </c>
      <c r="E985" s="15">
        <v>435.1</v>
      </c>
      <c r="F985" s="15">
        <v>436.2</v>
      </c>
      <c r="G985" s="15">
        <v>447.7</v>
      </c>
      <c r="H985" s="15">
        <v>447.5</v>
      </c>
      <c r="I985" s="15">
        <v>443.74</v>
      </c>
      <c r="J985" s="15">
        <v>461.75</v>
      </c>
      <c r="K985" s="15">
        <v>430.1</v>
      </c>
      <c r="L985" s="15">
        <v>13546181</v>
      </c>
      <c r="M985" t="s" s="13">
        <v>9765</v>
      </c>
      <c r="N985" s="15">
        <v>292498</v>
      </c>
      <c r="O985" s="17" cm="1">
        <f t="array" ref="O985">(H985-H984)/H984</f>
        <v>0.025905547913801</v>
      </c>
    </row>
    <row r="986" ht="13.65" customHeight="1">
      <c r="A986" s="12">
        <v>45689</v>
      </c>
      <c r="B986" t="s" s="13">
        <v>22</v>
      </c>
      <c r="C986" s="15">
        <v>448</v>
      </c>
      <c r="D986" s="15">
        <v>471.5</v>
      </c>
      <c r="E986" s="15">
        <v>439.55</v>
      </c>
      <c r="F986" s="15">
        <v>447.5</v>
      </c>
      <c r="G986" s="15">
        <v>461.55</v>
      </c>
      <c r="H986" s="15">
        <v>462.55</v>
      </c>
      <c r="I986" s="15">
        <v>459.22</v>
      </c>
      <c r="J986" s="15">
        <v>471.5</v>
      </c>
      <c r="K986" s="15">
        <v>430.1</v>
      </c>
      <c r="L986" s="15">
        <v>30393007</v>
      </c>
      <c r="M986" t="s" s="13">
        <v>9766</v>
      </c>
      <c r="N986" s="15">
        <v>308264</v>
      </c>
      <c r="O986" s="17" cm="1">
        <f t="array" ref="O986">(H986-H985)/H985</f>
        <v>0.0336312849162011</v>
      </c>
    </row>
    <row r="987" ht="13.65" customHeight="1">
      <c r="A987" s="12">
        <v>45691</v>
      </c>
      <c r="B987" t="s" s="13">
        <v>22</v>
      </c>
      <c r="C987" s="15">
        <v>462</v>
      </c>
      <c r="D987" s="15">
        <v>465.2</v>
      </c>
      <c r="E987" s="15">
        <v>452.3</v>
      </c>
      <c r="F987" s="15">
        <v>462.55</v>
      </c>
      <c r="G987" s="15">
        <v>453.5</v>
      </c>
      <c r="H987" s="15">
        <v>454.35</v>
      </c>
      <c r="I987" s="15">
        <v>457.77</v>
      </c>
      <c r="J987" s="15">
        <v>471.5</v>
      </c>
      <c r="K987" s="15">
        <v>430.1</v>
      </c>
      <c r="L987" s="15">
        <v>16991730</v>
      </c>
      <c r="M987" t="s" s="13">
        <v>9767</v>
      </c>
      <c r="N987" s="15">
        <v>278444</v>
      </c>
      <c r="O987" s="17" cm="1">
        <f t="array" ref="O987">(H987-H986)/H986</f>
        <v>-0.0177278132093828</v>
      </c>
    </row>
    <row r="988" ht="13.65" customHeight="1">
      <c r="A988" s="12">
        <v>45692</v>
      </c>
      <c r="B988" t="s" s="13">
        <v>22</v>
      </c>
      <c r="C988" s="15">
        <v>458</v>
      </c>
      <c r="D988" s="15">
        <v>460.35</v>
      </c>
      <c r="E988" s="15">
        <v>448.75</v>
      </c>
      <c r="F988" s="15">
        <v>454.35</v>
      </c>
      <c r="G988" s="15">
        <v>454.3</v>
      </c>
      <c r="H988" s="15">
        <v>455.15</v>
      </c>
      <c r="I988" s="15">
        <v>454.39</v>
      </c>
      <c r="J988" s="15">
        <v>471.5</v>
      </c>
      <c r="K988" s="15">
        <v>430.1</v>
      </c>
      <c r="L988" s="15">
        <v>18923681</v>
      </c>
      <c r="M988" t="s" s="13">
        <v>9768</v>
      </c>
      <c r="N988" s="15">
        <v>219082</v>
      </c>
      <c r="O988" s="17" cm="1">
        <f t="array" ref="O988">(H988-H987)/H987</f>
        <v>0.00176075712556399</v>
      </c>
    </row>
    <row r="989" ht="13.65" customHeight="1">
      <c r="A989" s="12">
        <v>45693</v>
      </c>
      <c r="B989" t="s" s="13">
        <v>22</v>
      </c>
      <c r="C989" s="15">
        <v>455.15</v>
      </c>
      <c r="D989" s="15">
        <v>455.85</v>
      </c>
      <c r="E989" s="15">
        <v>446.5</v>
      </c>
      <c r="F989" s="15">
        <v>455.15</v>
      </c>
      <c r="G989" s="15">
        <v>448.5</v>
      </c>
      <c r="H989" s="15">
        <v>448.15</v>
      </c>
      <c r="I989" s="15">
        <v>450.02</v>
      </c>
      <c r="J989" s="15">
        <v>471.5</v>
      </c>
      <c r="K989" s="15">
        <v>430.1</v>
      </c>
      <c r="L989" s="15">
        <v>12836283</v>
      </c>
      <c r="M989" t="s" s="13">
        <v>9769</v>
      </c>
      <c r="N989" s="15">
        <v>155466</v>
      </c>
      <c r="O989" s="17" cm="1">
        <f t="array" ref="O989">(H989-H988)/H988</f>
        <v>-0.0153795452048775</v>
      </c>
    </row>
    <row r="990" ht="13.65" customHeight="1">
      <c r="A990" s="12">
        <v>45694</v>
      </c>
      <c r="B990" t="s" s="13">
        <v>22</v>
      </c>
      <c r="C990" s="15">
        <v>450</v>
      </c>
      <c r="D990" s="15">
        <v>450</v>
      </c>
      <c r="E990" s="15">
        <v>438.2</v>
      </c>
      <c r="F990" s="15">
        <v>448.15</v>
      </c>
      <c r="G990" s="15">
        <v>442.75</v>
      </c>
      <c r="H990" s="15">
        <v>441.1</v>
      </c>
      <c r="I990" s="15">
        <v>441.65</v>
      </c>
      <c r="J990" s="15">
        <v>471.5</v>
      </c>
      <c r="K990" s="15">
        <v>430.1</v>
      </c>
      <c r="L990" s="15">
        <v>17469129</v>
      </c>
      <c r="M990" t="s" s="13">
        <v>9770</v>
      </c>
      <c r="N990" s="15">
        <v>164798</v>
      </c>
      <c r="O990" s="17" cm="1">
        <f t="array" ref="O990">(H990-H989)/H989</f>
        <v>-0.0157313399531407</v>
      </c>
    </row>
    <row r="991" ht="13.65" customHeight="1">
      <c r="A991" s="12">
        <v>45695</v>
      </c>
      <c r="B991" t="s" s="13">
        <v>22</v>
      </c>
      <c r="C991" s="15">
        <v>440</v>
      </c>
      <c r="D991" s="15">
        <v>445.5</v>
      </c>
      <c r="E991" s="15">
        <v>428.4</v>
      </c>
      <c r="F991" s="15">
        <v>441.1</v>
      </c>
      <c r="G991" s="15">
        <v>430.1</v>
      </c>
      <c r="H991" s="15">
        <v>430.85</v>
      </c>
      <c r="I991" s="15">
        <v>432.24</v>
      </c>
      <c r="J991" s="15">
        <v>471.5</v>
      </c>
      <c r="K991" s="15">
        <v>428.4</v>
      </c>
      <c r="L991" s="15">
        <v>18875982</v>
      </c>
      <c r="M991" t="s" s="13">
        <v>9771</v>
      </c>
      <c r="N991" s="15">
        <v>212183</v>
      </c>
      <c r="O991" s="17" cm="1">
        <f t="array" ref="O991">(H991-H990)/H990</f>
        <v>-0.0232373611425981</v>
      </c>
    </row>
    <row r="992" ht="13.65" customHeight="1">
      <c r="A992" s="18">
        <v>45698</v>
      </c>
      <c r="B992" t="s" s="13">
        <v>22</v>
      </c>
      <c r="C992" s="15">
        <v>427</v>
      </c>
      <c r="D992" s="15">
        <v>433.3</v>
      </c>
      <c r="E992" s="15">
        <v>426.5</v>
      </c>
      <c r="F992" s="15">
        <v>430.85</v>
      </c>
      <c r="G992" s="15">
        <v>427.7</v>
      </c>
      <c r="H992" s="15">
        <v>427.2</v>
      </c>
      <c r="I992" s="15">
        <v>428.76</v>
      </c>
      <c r="J992" s="15">
        <v>471.5</v>
      </c>
      <c r="K992" s="15">
        <v>426.5</v>
      </c>
      <c r="L992" s="15">
        <v>12227140</v>
      </c>
      <c r="M992" t="s" s="13">
        <v>9772</v>
      </c>
      <c r="N992" s="15">
        <v>156939</v>
      </c>
      <c r="O992" s="17" cm="1">
        <f t="array" ref="O992">(H992-H991)/H991</f>
        <v>-0.00847162585586631</v>
      </c>
    </row>
    <row r="993" ht="13.65" customHeight="1">
      <c r="A993" s="18">
        <v>45699</v>
      </c>
      <c r="B993" t="s" s="13">
        <v>22</v>
      </c>
      <c r="C993" s="15">
        <v>428.8</v>
      </c>
      <c r="D993" s="15">
        <v>430.55</v>
      </c>
      <c r="E993" s="15">
        <v>417.5</v>
      </c>
      <c r="F993" s="15">
        <v>427.2</v>
      </c>
      <c r="G993" s="15">
        <v>418.05</v>
      </c>
      <c r="H993" s="15">
        <v>418.3</v>
      </c>
      <c r="I993" s="15">
        <v>421.57</v>
      </c>
      <c r="J993" s="15">
        <v>471.5</v>
      </c>
      <c r="K993" s="15">
        <v>417.5</v>
      </c>
      <c r="L993" s="15">
        <v>14288751</v>
      </c>
      <c r="M993" t="s" s="13">
        <v>9773</v>
      </c>
      <c r="N993" s="15">
        <v>187384</v>
      </c>
      <c r="O993" s="17" cm="1">
        <f t="array" ref="O993">(H993-H992)/H992</f>
        <v>-0.0208333333333333</v>
      </c>
    </row>
    <row r="994" ht="13.65" customHeight="1">
      <c r="A994" s="18">
        <v>45700</v>
      </c>
      <c r="B994" t="s" s="13">
        <v>22</v>
      </c>
      <c r="C994" s="15">
        <v>413.15</v>
      </c>
      <c r="D994" s="15">
        <v>413.8</v>
      </c>
      <c r="E994" s="15">
        <v>407.6</v>
      </c>
      <c r="F994" s="15">
        <v>418.3</v>
      </c>
      <c r="G994" s="15">
        <v>411.2</v>
      </c>
      <c r="H994" s="15">
        <v>409.9</v>
      </c>
      <c r="I994" s="15">
        <v>410.36</v>
      </c>
      <c r="J994" s="15">
        <v>471.5</v>
      </c>
      <c r="K994" s="15">
        <v>407.6</v>
      </c>
      <c r="L994" s="15">
        <v>13884574</v>
      </c>
      <c r="M994" t="s" s="13">
        <v>9774</v>
      </c>
      <c r="N994" s="15">
        <v>207478</v>
      </c>
      <c r="O994" s="17" cm="1">
        <f t="array" ref="O994">(H994-H993)/H993</f>
        <v>-0.0200812813770022</v>
      </c>
    </row>
    <row r="995" ht="13.65" customHeight="1">
      <c r="A995" s="18">
        <v>45701</v>
      </c>
      <c r="B995" t="s" s="13">
        <v>22</v>
      </c>
      <c r="C995" s="15">
        <v>409.95</v>
      </c>
      <c r="D995" s="15">
        <v>413.95</v>
      </c>
      <c r="E995" s="15">
        <v>409</v>
      </c>
      <c r="F995" s="15">
        <v>409.9</v>
      </c>
      <c r="G995" s="15">
        <v>410</v>
      </c>
      <c r="H995" s="15">
        <v>409.7</v>
      </c>
      <c r="I995" s="15">
        <v>411.14</v>
      </c>
      <c r="J995" s="15">
        <v>471.5</v>
      </c>
      <c r="K995" s="15">
        <v>407.6</v>
      </c>
      <c r="L995" s="15">
        <v>12989029</v>
      </c>
      <c r="M995" t="s" s="13">
        <v>9775</v>
      </c>
      <c r="N995" s="15">
        <v>185598</v>
      </c>
      <c r="O995" s="17" cm="1">
        <f t="array" ref="O995">(H995-H994)/H994</f>
        <v>-0.000487923883874116</v>
      </c>
    </row>
    <row r="996" ht="13.65" customHeight="1">
      <c r="A996" s="18">
        <v>45702</v>
      </c>
      <c r="B996" t="s" s="13">
        <v>22</v>
      </c>
      <c r="C996" s="15">
        <v>411.75</v>
      </c>
      <c r="D996" s="15">
        <v>416.2</v>
      </c>
      <c r="E996" s="15">
        <v>408.4</v>
      </c>
      <c r="F996" s="15">
        <v>409.7</v>
      </c>
      <c r="G996" s="15">
        <v>410</v>
      </c>
      <c r="H996" s="15">
        <v>410.25</v>
      </c>
      <c r="I996" s="15">
        <v>411.41</v>
      </c>
      <c r="J996" s="15">
        <v>471.5</v>
      </c>
      <c r="K996" s="15">
        <v>407.6</v>
      </c>
      <c r="L996" s="15">
        <v>14124236</v>
      </c>
      <c r="M996" t="s" s="13">
        <v>9776</v>
      </c>
      <c r="N996" s="15">
        <v>199616</v>
      </c>
      <c r="O996" s="17" cm="1">
        <f t="array" ref="O996">(H996-H995)/H995</f>
        <v>0.00134244569196973</v>
      </c>
    </row>
    <row r="997" ht="13.65" customHeight="1">
      <c r="A997" s="18">
        <v>45705</v>
      </c>
      <c r="B997" t="s" s="13">
        <v>22</v>
      </c>
      <c r="C997" s="15">
        <v>409.8</v>
      </c>
      <c r="D997" s="15">
        <v>411.4</v>
      </c>
      <c r="E997" s="15">
        <v>406.75</v>
      </c>
      <c r="F997" s="15">
        <v>410.25</v>
      </c>
      <c r="G997" s="15">
        <v>408.6</v>
      </c>
      <c r="H997" s="15">
        <v>408.6</v>
      </c>
      <c r="I997" s="15">
        <v>408.96</v>
      </c>
      <c r="J997" s="15">
        <v>471.5</v>
      </c>
      <c r="K997" s="15">
        <v>406.75</v>
      </c>
      <c r="L997" s="15">
        <v>11975265</v>
      </c>
      <c r="M997" t="s" s="13">
        <v>9777</v>
      </c>
      <c r="N997" s="15">
        <v>285419</v>
      </c>
      <c r="O997" s="17" cm="1">
        <f t="array" ref="O997">(H997-H996)/H996</f>
        <v>-0.00402193784277879</v>
      </c>
    </row>
    <row r="998" ht="13.65" customHeight="1">
      <c r="A998" s="18">
        <v>45706</v>
      </c>
      <c r="B998" t="s" s="13">
        <v>22</v>
      </c>
      <c r="C998" s="15">
        <v>408</v>
      </c>
      <c r="D998" s="15">
        <v>410.85</v>
      </c>
      <c r="E998" s="15">
        <v>404</v>
      </c>
      <c r="F998" s="15">
        <v>408.6</v>
      </c>
      <c r="G998" s="15">
        <v>404.9</v>
      </c>
      <c r="H998" s="15">
        <v>405.25</v>
      </c>
      <c r="I998" s="15">
        <v>406.53</v>
      </c>
      <c r="J998" s="15">
        <v>471.5</v>
      </c>
      <c r="K998" s="15">
        <v>404</v>
      </c>
      <c r="L998" s="15">
        <v>12998403</v>
      </c>
      <c r="M998" t="s" s="13">
        <v>9778</v>
      </c>
      <c r="N998" s="15">
        <v>208753</v>
      </c>
      <c r="O998" s="17" cm="1">
        <f t="array" ref="O998">(H998-H997)/H997</f>
        <v>-0.00819872736172296</v>
      </c>
    </row>
    <row r="999" ht="13.65" customHeight="1">
      <c r="A999" s="18">
        <v>45707</v>
      </c>
      <c r="B999" t="s" s="13">
        <v>22</v>
      </c>
      <c r="C999" s="15">
        <v>404.8</v>
      </c>
      <c r="D999" s="15">
        <v>408.8</v>
      </c>
      <c r="E999" s="15">
        <v>404.5</v>
      </c>
      <c r="F999" s="15">
        <v>405.25</v>
      </c>
      <c r="G999" s="15">
        <v>406.2</v>
      </c>
      <c r="H999" s="15">
        <v>406.4</v>
      </c>
      <c r="I999" s="15">
        <v>406.89</v>
      </c>
      <c r="J999" s="15">
        <v>471.5</v>
      </c>
      <c r="K999" s="15">
        <v>404</v>
      </c>
      <c r="L999" s="15">
        <v>7079032</v>
      </c>
      <c r="M999" t="s" s="13">
        <v>9779</v>
      </c>
      <c r="N999" s="15">
        <v>88693</v>
      </c>
      <c r="O999" s="17" cm="1">
        <f t="array" ref="O999">(H999-H998)/H998</f>
        <v>0.00283775447254781</v>
      </c>
    </row>
    <row r="1000" ht="13.65" customHeight="1">
      <c r="A1000" s="18">
        <v>45708</v>
      </c>
      <c r="B1000" t="s" s="13">
        <v>22</v>
      </c>
      <c r="C1000" s="15">
        <v>399.95</v>
      </c>
      <c r="D1000" s="15">
        <v>403.9</v>
      </c>
      <c r="E1000" s="15">
        <v>396.2</v>
      </c>
      <c r="F1000" s="15">
        <v>406.4</v>
      </c>
      <c r="G1000" s="15">
        <v>402</v>
      </c>
      <c r="H1000" s="15">
        <v>402.05</v>
      </c>
      <c r="I1000" s="15">
        <v>401.31</v>
      </c>
      <c r="J1000" s="15">
        <v>471.5</v>
      </c>
      <c r="K1000" s="15">
        <v>396.2</v>
      </c>
      <c r="L1000" s="15">
        <v>15355585</v>
      </c>
      <c r="M1000" t="s" s="13">
        <v>9780</v>
      </c>
      <c r="N1000" s="15">
        <v>226856</v>
      </c>
      <c r="O1000" s="17" cm="1">
        <f t="array" ref="O1000">(H1000-H999)/H999</f>
        <v>-0.0107037401574803</v>
      </c>
    </row>
    <row r="1001" ht="13.65" customHeight="1">
      <c r="A1001" s="18">
        <v>45709</v>
      </c>
      <c r="B1001" t="s" s="13">
        <v>22</v>
      </c>
      <c r="C1001" s="15">
        <v>402.05</v>
      </c>
      <c r="D1001" s="15">
        <v>403.25</v>
      </c>
      <c r="E1001" s="15">
        <v>399.2</v>
      </c>
      <c r="F1001" s="15">
        <v>402.05</v>
      </c>
      <c r="G1001" s="15">
        <v>400.7</v>
      </c>
      <c r="H1001" s="15">
        <v>400.9</v>
      </c>
      <c r="I1001" s="15">
        <v>400.75</v>
      </c>
      <c r="J1001" s="15">
        <v>471.5</v>
      </c>
      <c r="K1001" s="15">
        <v>396.2</v>
      </c>
      <c r="L1001" s="15">
        <v>8240986</v>
      </c>
      <c r="M1001" t="s" s="13">
        <v>9781</v>
      </c>
      <c r="N1001" s="15">
        <v>175217</v>
      </c>
      <c r="O1001" s="17" cm="1">
        <f t="array" ref="O1001">(H1001-H1000)/H1000</f>
        <v>-0.00286034075363761</v>
      </c>
    </row>
    <row r="1002" ht="13.65" customHeight="1">
      <c r="A1002" s="18">
        <v>45712</v>
      </c>
      <c r="B1002" t="s" s="13">
        <v>22</v>
      </c>
      <c r="C1002" s="15">
        <v>400</v>
      </c>
      <c r="D1002" s="15">
        <v>403.4</v>
      </c>
      <c r="E1002" s="15">
        <v>398.75</v>
      </c>
      <c r="F1002" s="15">
        <v>400.9</v>
      </c>
      <c r="G1002" s="15">
        <v>402</v>
      </c>
      <c r="H1002" s="15">
        <v>401.9</v>
      </c>
      <c r="I1002" s="15">
        <v>401.96</v>
      </c>
      <c r="J1002" s="15">
        <v>471.5</v>
      </c>
      <c r="K1002" s="15">
        <v>396.2</v>
      </c>
      <c r="L1002" s="15">
        <v>7037625</v>
      </c>
      <c r="M1002" t="s" s="13">
        <v>9782</v>
      </c>
      <c r="N1002" s="15">
        <v>121155</v>
      </c>
      <c r="O1002" s="17" cm="1">
        <f t="array" ref="O1002">(H1002-H1001)/H1001</f>
        <v>0.00249438762783737</v>
      </c>
    </row>
    <row r="1003" ht="13.65" customHeight="1">
      <c r="A1003" s="18">
        <v>45713</v>
      </c>
      <c r="B1003" t="s" s="13">
        <v>22</v>
      </c>
      <c r="C1003" s="15">
        <v>402</v>
      </c>
      <c r="D1003" s="15">
        <v>407</v>
      </c>
      <c r="E1003" s="15">
        <v>400.5</v>
      </c>
      <c r="F1003" s="15">
        <v>401.9</v>
      </c>
      <c r="G1003" s="15">
        <v>404</v>
      </c>
      <c r="H1003" s="15">
        <v>404.85</v>
      </c>
      <c r="I1003" s="15">
        <v>404.11</v>
      </c>
      <c r="J1003" s="15">
        <v>471.5</v>
      </c>
      <c r="K1003" s="15">
        <v>396.2</v>
      </c>
      <c r="L1003" s="15">
        <v>15760891</v>
      </c>
      <c r="M1003" t="s" s="13">
        <v>9783</v>
      </c>
      <c r="N1003" s="15">
        <v>138641</v>
      </c>
      <c r="O1003" s="17" cm="1">
        <f t="array" ref="O1003">(H1003-H1002)/H1002</f>
        <v>0.00734013436178154</v>
      </c>
    </row>
    <row r="1004" ht="13.65" customHeight="1">
      <c r="A1004" s="18">
        <v>45715</v>
      </c>
      <c r="B1004" t="s" s="13">
        <v>22</v>
      </c>
      <c r="C1004" s="15">
        <v>404.85</v>
      </c>
      <c r="D1004" s="15">
        <v>406.5</v>
      </c>
      <c r="E1004" s="15">
        <v>399.5</v>
      </c>
      <c r="F1004" s="15">
        <v>404.85</v>
      </c>
      <c r="G1004" s="15">
        <v>401.5</v>
      </c>
      <c r="H1004" s="15">
        <v>401.6</v>
      </c>
      <c r="I1004" s="15">
        <v>401.75</v>
      </c>
      <c r="J1004" s="15">
        <v>471.5</v>
      </c>
      <c r="K1004" s="15">
        <v>396.2</v>
      </c>
      <c r="L1004" s="15">
        <v>19051003</v>
      </c>
      <c r="M1004" t="s" s="13">
        <v>9784</v>
      </c>
      <c r="N1004" s="15">
        <v>163369</v>
      </c>
      <c r="O1004" s="17" cm="1">
        <f t="array" ref="O1004">(H1004-H1003)/H1003</f>
        <v>-0.00802766456712363</v>
      </c>
    </row>
    <row r="1005" ht="13.65" customHeight="1">
      <c r="A1005" s="18">
        <v>45716</v>
      </c>
      <c r="B1005" t="s" s="13">
        <v>22</v>
      </c>
      <c r="C1005" s="15">
        <v>399</v>
      </c>
      <c r="D1005" s="15">
        <v>402.5</v>
      </c>
      <c r="E1005" s="15">
        <v>392.2</v>
      </c>
      <c r="F1005" s="15">
        <v>401.6</v>
      </c>
      <c r="G1005" s="15">
        <v>395.9</v>
      </c>
      <c r="H1005" s="15">
        <v>395</v>
      </c>
      <c r="I1005" s="15">
        <v>394.79</v>
      </c>
      <c r="J1005" s="15">
        <v>471.5</v>
      </c>
      <c r="K1005" s="15">
        <v>392.2</v>
      </c>
      <c r="L1005" s="15">
        <v>31954776</v>
      </c>
      <c r="M1005" t="s" s="13">
        <v>9785</v>
      </c>
      <c r="N1005" s="15">
        <v>244503</v>
      </c>
      <c r="O1005" s="17" cm="1">
        <f t="array" ref="O1005">(H1005-H1004)/H1004</f>
        <v>-0.0164342629482072</v>
      </c>
    </row>
    <row r="1006" ht="13.65" customHeight="1">
      <c r="A1006" s="12">
        <v>45719</v>
      </c>
      <c r="B1006" t="s" s="13">
        <v>22</v>
      </c>
      <c r="C1006" s="15">
        <v>395.95</v>
      </c>
      <c r="D1006" s="15">
        <v>399</v>
      </c>
      <c r="E1006" s="15">
        <v>391.2</v>
      </c>
      <c r="F1006" s="15">
        <v>395</v>
      </c>
      <c r="G1006" s="15">
        <v>397</v>
      </c>
      <c r="H1006" s="15">
        <v>397.45</v>
      </c>
      <c r="I1006" s="15">
        <v>396.98</v>
      </c>
      <c r="J1006" s="15">
        <v>471.5</v>
      </c>
      <c r="K1006" s="15">
        <v>391.2</v>
      </c>
      <c r="L1006" s="15">
        <v>10702826</v>
      </c>
      <c r="M1006" t="s" s="13">
        <v>9786</v>
      </c>
      <c r="N1006" s="15">
        <v>169634</v>
      </c>
      <c r="O1006" s="17" cm="1">
        <f t="array" ref="O1006">(H1006-H1005)/H1005</f>
        <v>0.00620253164556962</v>
      </c>
    </row>
    <row r="1007" ht="13.65" customHeight="1">
      <c r="A1007" s="12">
        <v>45720</v>
      </c>
      <c r="B1007" t="s" s="13">
        <v>22</v>
      </c>
      <c r="C1007" s="15">
        <v>395.4</v>
      </c>
      <c r="D1007" s="15">
        <v>397.2</v>
      </c>
      <c r="E1007" s="15">
        <v>392.85</v>
      </c>
      <c r="F1007" s="15">
        <v>397.45</v>
      </c>
      <c r="G1007" s="15">
        <v>394.45</v>
      </c>
      <c r="H1007" s="15">
        <v>394.85</v>
      </c>
      <c r="I1007" s="15">
        <v>394.38</v>
      </c>
      <c r="J1007" s="15">
        <v>471.5</v>
      </c>
      <c r="K1007" s="15">
        <v>391.2</v>
      </c>
      <c r="L1007" s="15">
        <v>13404774</v>
      </c>
      <c r="M1007" t="s" s="13">
        <v>9787</v>
      </c>
      <c r="N1007" s="15">
        <v>154199</v>
      </c>
      <c r="O1007" s="17" cm="1">
        <f t="array" ref="O1007">(H1007-H1006)/H1006</f>
        <v>-0.00654170335891307</v>
      </c>
    </row>
    <row r="1008" ht="13.65" customHeight="1">
      <c r="A1008" s="12">
        <v>45721</v>
      </c>
      <c r="B1008" t="s" s="13">
        <v>22</v>
      </c>
      <c r="C1008" s="15">
        <v>394.5</v>
      </c>
      <c r="D1008" s="15">
        <v>412.75</v>
      </c>
      <c r="E1008" s="15">
        <v>394.5</v>
      </c>
      <c r="F1008" s="15">
        <v>394.85</v>
      </c>
      <c r="G1008" s="15">
        <v>409.2</v>
      </c>
      <c r="H1008" s="15">
        <v>405.05</v>
      </c>
      <c r="I1008" s="15">
        <v>399.82</v>
      </c>
      <c r="J1008" s="15">
        <v>471.5</v>
      </c>
      <c r="K1008" s="15">
        <v>391.2</v>
      </c>
      <c r="L1008" s="15">
        <v>15665018</v>
      </c>
      <c r="M1008" t="s" s="13">
        <v>9788</v>
      </c>
      <c r="N1008" s="15">
        <v>169098</v>
      </c>
      <c r="O1008" s="17" cm="1">
        <f t="array" ref="O1008">(H1008-H1007)/H1007</f>
        <v>0.0258325946561986</v>
      </c>
    </row>
    <row r="1009" ht="13.65" customHeight="1">
      <c r="A1009" s="12">
        <v>45722</v>
      </c>
      <c r="B1009" t="s" s="13">
        <v>22</v>
      </c>
      <c r="C1009" s="15">
        <v>409.15</v>
      </c>
      <c r="D1009" s="15">
        <v>409.7</v>
      </c>
      <c r="E1009" s="15">
        <v>400.55</v>
      </c>
      <c r="F1009" s="15">
        <v>405.05</v>
      </c>
      <c r="G1009" s="15">
        <v>406.2</v>
      </c>
      <c r="H1009" s="15">
        <v>405.7</v>
      </c>
      <c r="I1009" s="15">
        <v>403.66</v>
      </c>
      <c r="J1009" s="15">
        <v>471.5</v>
      </c>
      <c r="K1009" s="15">
        <v>391.2</v>
      </c>
      <c r="L1009" s="15">
        <v>17869996</v>
      </c>
      <c r="M1009" t="s" s="13">
        <v>9789</v>
      </c>
      <c r="N1009" s="15">
        <v>170718</v>
      </c>
      <c r="O1009" s="17" cm="1">
        <f t="array" ref="O1009">(H1009-H1008)/H1008</f>
        <v>0.00160474015553635</v>
      </c>
    </row>
    <row r="1010" ht="13.65" customHeight="1">
      <c r="A1010" s="12">
        <v>45723</v>
      </c>
      <c r="B1010" t="s" s="13">
        <v>22</v>
      </c>
      <c r="C1010" s="15">
        <v>403.55</v>
      </c>
      <c r="D1010" s="15">
        <v>405.85</v>
      </c>
      <c r="E1010" s="15">
        <v>401.7</v>
      </c>
      <c r="F1010" s="15">
        <v>405.7</v>
      </c>
      <c r="G1010" s="15">
        <v>403.75</v>
      </c>
      <c r="H1010" s="15">
        <v>403.9</v>
      </c>
      <c r="I1010" s="15">
        <v>403.66</v>
      </c>
      <c r="J1010" s="15">
        <v>471.5</v>
      </c>
      <c r="K1010" s="15">
        <v>391.2</v>
      </c>
      <c r="L1010" s="15">
        <v>11180761</v>
      </c>
      <c r="M1010" t="s" s="13">
        <v>9790</v>
      </c>
      <c r="N1010" s="15">
        <v>129975</v>
      </c>
      <c r="O1010" s="17" cm="1">
        <f t="array" ref="O1010">(H1010-H1009)/H1009</f>
        <v>-0.00443677594281489</v>
      </c>
    </row>
    <row r="1011" ht="13.65" customHeight="1">
      <c r="A1011" s="18">
        <v>45726</v>
      </c>
      <c r="B1011" t="s" s="13">
        <v>22</v>
      </c>
      <c r="C1011" s="15">
        <v>401.05</v>
      </c>
      <c r="D1011" s="15">
        <v>406.85</v>
      </c>
      <c r="E1011" s="15">
        <v>400.4</v>
      </c>
      <c r="F1011" s="15">
        <v>403.9</v>
      </c>
      <c r="G1011" s="15">
        <v>404.8</v>
      </c>
      <c r="H1011" s="15">
        <v>405</v>
      </c>
      <c r="I1011" s="15">
        <v>404.7</v>
      </c>
      <c r="J1011" s="15">
        <v>471.5</v>
      </c>
      <c r="K1011" s="15">
        <v>391.2</v>
      </c>
      <c r="L1011" s="15">
        <v>9785018</v>
      </c>
      <c r="M1011" t="s" s="13">
        <v>9791</v>
      </c>
      <c r="N1011" s="15">
        <v>114078</v>
      </c>
      <c r="O1011" s="17" cm="1">
        <f t="array" ref="O1011">(H1011-H1010)/H1010</f>
        <v>0.00272344639762317</v>
      </c>
    </row>
    <row r="1012" ht="13.65" customHeight="1">
      <c r="A1012" s="18">
        <v>45727</v>
      </c>
      <c r="B1012" t="s" s="13">
        <v>22</v>
      </c>
      <c r="C1012" s="15">
        <v>401.5</v>
      </c>
      <c r="D1012" s="15">
        <v>408.4</v>
      </c>
      <c r="E1012" s="15">
        <v>401.2</v>
      </c>
      <c r="F1012" s="15">
        <v>405</v>
      </c>
      <c r="G1012" s="15">
        <v>406.2</v>
      </c>
      <c r="H1012" s="15">
        <v>406.2</v>
      </c>
      <c r="I1012" s="15">
        <v>406.58</v>
      </c>
      <c r="J1012" s="15">
        <v>471.5</v>
      </c>
      <c r="K1012" s="15">
        <v>391.2</v>
      </c>
      <c r="L1012" s="15">
        <v>11099475</v>
      </c>
      <c r="M1012" t="s" s="13">
        <v>9792</v>
      </c>
      <c r="N1012" s="15">
        <v>116862</v>
      </c>
      <c r="O1012" s="17" cm="1">
        <f t="array" ref="O1012">(H1012-H1011)/H1011</f>
        <v>0.00296296296296296</v>
      </c>
    </row>
    <row r="1013" ht="13.65" customHeight="1">
      <c r="A1013" s="18">
        <v>45728</v>
      </c>
      <c r="B1013" t="s" s="13">
        <v>22</v>
      </c>
      <c r="C1013" s="15">
        <v>406.4</v>
      </c>
      <c r="D1013" s="15">
        <v>413.3</v>
      </c>
      <c r="E1013" s="15">
        <v>404</v>
      </c>
      <c r="F1013" s="15">
        <v>406.2</v>
      </c>
      <c r="G1013" s="15">
        <v>412.55</v>
      </c>
      <c r="H1013" s="15">
        <v>412.4</v>
      </c>
      <c r="I1013" s="15">
        <v>409.75</v>
      </c>
      <c r="J1013" s="15">
        <v>471.5</v>
      </c>
      <c r="K1013" s="15">
        <v>391.2</v>
      </c>
      <c r="L1013" s="15">
        <v>13844306</v>
      </c>
      <c r="M1013" t="s" s="13">
        <v>9793</v>
      </c>
      <c r="N1013" s="15">
        <v>99237</v>
      </c>
      <c r="O1013" s="17" cm="1">
        <f t="array" ref="O1013">(H1013-H1012)/H1012</f>
        <v>0.0152634170359429</v>
      </c>
    </row>
    <row r="1014" ht="13.65" customHeight="1">
      <c r="A1014" s="18">
        <v>45729</v>
      </c>
      <c r="B1014" t="s" s="13">
        <v>22</v>
      </c>
      <c r="C1014" s="15">
        <v>413</v>
      </c>
      <c r="D1014" s="15">
        <v>414.4</v>
      </c>
      <c r="E1014" s="15">
        <v>408.2</v>
      </c>
      <c r="F1014" s="15">
        <v>412.4</v>
      </c>
      <c r="G1014" s="15">
        <v>411.45</v>
      </c>
      <c r="H1014" s="15">
        <v>412.05</v>
      </c>
      <c r="I1014" s="15">
        <v>412.4</v>
      </c>
      <c r="J1014" s="15">
        <v>471.5</v>
      </c>
      <c r="K1014" s="15">
        <v>391.2</v>
      </c>
      <c r="L1014" s="15">
        <v>8196569</v>
      </c>
      <c r="M1014" t="s" s="13">
        <v>9794</v>
      </c>
      <c r="N1014" s="15">
        <v>122083</v>
      </c>
      <c r="O1014" s="17" cm="1">
        <f t="array" ref="O1014">(H1014-H1013)/H1013</f>
        <v>-0.000848690591658584</v>
      </c>
    </row>
    <row r="1015" ht="13.65" customHeight="1">
      <c r="A1015" s="18">
        <v>45733</v>
      </c>
      <c r="B1015" t="s" s="13">
        <v>22</v>
      </c>
      <c r="C1015" s="15">
        <v>413</v>
      </c>
      <c r="D1015" s="15">
        <v>416.25</v>
      </c>
      <c r="E1015" s="15">
        <v>407</v>
      </c>
      <c r="F1015" s="15">
        <v>412.05</v>
      </c>
      <c r="G1015" s="15">
        <v>407.8</v>
      </c>
      <c r="H1015" s="15">
        <v>407.95</v>
      </c>
      <c r="I1015" s="15">
        <v>409.81</v>
      </c>
      <c r="J1015" s="15">
        <v>471.5</v>
      </c>
      <c r="K1015" s="15">
        <v>391.2</v>
      </c>
      <c r="L1015" s="15">
        <v>5257859</v>
      </c>
      <c r="M1015" t="s" s="13">
        <v>9795</v>
      </c>
      <c r="N1015" s="15">
        <v>87899</v>
      </c>
      <c r="O1015" s="17" cm="1">
        <f t="array" ref="O1015">(H1015-H1014)/H1014</f>
        <v>-0.00995024875621891</v>
      </c>
    </row>
    <row r="1016" ht="13.65" customHeight="1">
      <c r="A1016" s="18">
        <v>45734</v>
      </c>
      <c r="B1016" t="s" s="13">
        <v>22</v>
      </c>
      <c r="C1016" s="15">
        <v>410</v>
      </c>
      <c r="D1016" s="15">
        <v>411.95</v>
      </c>
      <c r="E1016" s="15">
        <v>407.75</v>
      </c>
      <c r="F1016" s="15">
        <v>407.95</v>
      </c>
      <c r="G1016" s="15">
        <v>409.5</v>
      </c>
      <c r="H1016" s="15">
        <v>409.1</v>
      </c>
      <c r="I1016" s="15">
        <v>409.5</v>
      </c>
      <c r="J1016" s="15">
        <v>471.5</v>
      </c>
      <c r="K1016" s="15">
        <v>391.2</v>
      </c>
      <c r="L1016" s="15">
        <v>13861897</v>
      </c>
      <c r="M1016" t="s" s="13">
        <v>9796</v>
      </c>
      <c r="N1016" s="15">
        <v>106364</v>
      </c>
      <c r="O1016" s="17" cm="1">
        <f t="array" ref="O1016">(H1016-H1015)/H1015</f>
        <v>0.00281897291334722</v>
      </c>
    </row>
    <row r="1017" ht="13.65" customHeight="1">
      <c r="A1017" s="18">
        <v>45735</v>
      </c>
      <c r="B1017" t="s" s="13">
        <v>22</v>
      </c>
      <c r="C1017" s="15">
        <v>410</v>
      </c>
      <c r="D1017" s="15">
        <v>410.75</v>
      </c>
      <c r="E1017" s="15">
        <v>402.6</v>
      </c>
      <c r="F1017" s="15">
        <v>409.1</v>
      </c>
      <c r="G1017" s="15">
        <v>403.4</v>
      </c>
      <c r="H1017" s="15">
        <v>403.05</v>
      </c>
      <c r="I1017" s="15">
        <v>404.51</v>
      </c>
      <c r="J1017" s="15">
        <v>471.5</v>
      </c>
      <c r="K1017" s="15">
        <v>391.2</v>
      </c>
      <c r="L1017" s="15">
        <v>12830387</v>
      </c>
      <c r="M1017" t="s" s="13">
        <v>9797</v>
      </c>
      <c r="N1017" s="15">
        <v>135494</v>
      </c>
      <c r="O1017" s="17" cm="1">
        <f t="array" ref="O1017">(H1017-H1016)/H1016</f>
        <v>-0.0147885602542166</v>
      </c>
    </row>
    <row r="1018" ht="13.65" customHeight="1">
      <c r="A1018" s="18">
        <v>45736</v>
      </c>
      <c r="B1018" t="s" s="13">
        <v>22</v>
      </c>
      <c r="C1018" s="15">
        <v>405</v>
      </c>
      <c r="D1018" s="15">
        <v>406.65</v>
      </c>
      <c r="E1018" s="15">
        <v>401.9</v>
      </c>
      <c r="F1018" s="15">
        <v>403.05</v>
      </c>
      <c r="G1018" s="15">
        <v>403.6</v>
      </c>
      <c r="H1018" s="15">
        <v>403.95</v>
      </c>
      <c r="I1018" s="15">
        <v>403.5</v>
      </c>
      <c r="J1018" s="15">
        <v>471.5</v>
      </c>
      <c r="K1018" s="15">
        <v>391.2</v>
      </c>
      <c r="L1018" s="15">
        <v>16994037</v>
      </c>
      <c r="M1018" t="s" s="13">
        <v>9798</v>
      </c>
      <c r="N1018" s="15">
        <v>125979</v>
      </c>
      <c r="O1018" s="17" cm="1">
        <f t="array" ref="O1018">(H1018-H1017)/H1017</f>
        <v>0.00223297357647934</v>
      </c>
    </row>
    <row r="1019" ht="13.65" customHeight="1">
      <c r="A1019" s="18">
        <v>45737</v>
      </c>
      <c r="B1019" t="s" s="13">
        <v>22</v>
      </c>
      <c r="C1019" s="15">
        <v>405.95</v>
      </c>
      <c r="D1019" s="15">
        <v>407.5</v>
      </c>
      <c r="E1019" s="15">
        <v>401.7</v>
      </c>
      <c r="F1019" s="15">
        <v>403.95</v>
      </c>
      <c r="G1019" s="15">
        <v>406.5</v>
      </c>
      <c r="H1019" s="15">
        <v>405.55</v>
      </c>
      <c r="I1019" s="15">
        <v>404.1</v>
      </c>
      <c r="J1019" s="15">
        <v>471.5</v>
      </c>
      <c r="K1019" s="15">
        <v>391.2</v>
      </c>
      <c r="L1019" s="15">
        <v>25302035</v>
      </c>
      <c r="M1019" t="s" s="13">
        <v>9799</v>
      </c>
      <c r="N1019" s="15">
        <v>130427</v>
      </c>
      <c r="O1019" s="17" cm="1">
        <f t="array" ref="O1019">(H1019-H1018)/H1018</f>
        <v>0.00396088624829806</v>
      </c>
    </row>
    <row r="1020" ht="13.65" customHeight="1">
      <c r="A1020" s="18">
        <v>45740</v>
      </c>
      <c r="B1020" t="s" s="13">
        <v>22</v>
      </c>
      <c r="C1020" s="15">
        <v>407</v>
      </c>
      <c r="D1020" s="15">
        <v>412.85</v>
      </c>
      <c r="E1020" s="15">
        <v>405.6</v>
      </c>
      <c r="F1020" s="15">
        <v>405.55</v>
      </c>
      <c r="G1020" s="15">
        <v>411</v>
      </c>
      <c r="H1020" s="15">
        <v>410.9</v>
      </c>
      <c r="I1020" s="15">
        <v>409.64</v>
      </c>
      <c r="J1020" s="15">
        <v>471.5</v>
      </c>
      <c r="K1020" s="15">
        <v>391.2</v>
      </c>
      <c r="L1020" s="15">
        <v>14362572</v>
      </c>
      <c r="M1020" t="s" s="13">
        <v>9800</v>
      </c>
      <c r="N1020" s="15">
        <v>138703</v>
      </c>
      <c r="O1020" s="17" cm="1">
        <f t="array" ref="O1020">(H1020-H1019)/H1019</f>
        <v>0.0131919615337196</v>
      </c>
    </row>
    <row r="1021" ht="13.65" customHeight="1">
      <c r="A1021" s="18">
        <v>45741</v>
      </c>
      <c r="B1021" t="s" s="13">
        <v>22</v>
      </c>
      <c r="C1021" s="15">
        <v>412</v>
      </c>
      <c r="D1021" s="15">
        <v>415.25</v>
      </c>
      <c r="E1021" s="15">
        <v>408.7</v>
      </c>
      <c r="F1021" s="15">
        <v>410.9</v>
      </c>
      <c r="G1021" s="15">
        <v>409.2</v>
      </c>
      <c r="H1021" s="15">
        <v>409.8</v>
      </c>
      <c r="I1021" s="15">
        <v>411.17</v>
      </c>
      <c r="J1021" s="15">
        <v>471.5</v>
      </c>
      <c r="K1021" s="15">
        <v>391.2</v>
      </c>
      <c r="L1021" s="15">
        <v>20338110</v>
      </c>
      <c r="M1021" t="s" s="13">
        <v>9801</v>
      </c>
      <c r="N1021" s="15">
        <v>138414</v>
      </c>
      <c r="O1021" s="17" cm="1">
        <f t="array" ref="O1021">(H1021-H1020)/H1020</f>
        <v>-0.00267705037722073</v>
      </c>
    </row>
    <row r="1022" ht="13.65" customHeight="1">
      <c r="A1022" s="18">
        <v>45742</v>
      </c>
      <c r="B1022" t="s" s="13">
        <v>22</v>
      </c>
      <c r="C1022" s="15">
        <v>410.3</v>
      </c>
      <c r="D1022" s="15">
        <v>411.2</v>
      </c>
      <c r="E1022" s="15">
        <v>406.25</v>
      </c>
      <c r="F1022" s="15">
        <v>409.8</v>
      </c>
      <c r="G1022" s="15">
        <v>407.4</v>
      </c>
      <c r="H1022" s="15">
        <v>407.35</v>
      </c>
      <c r="I1022" s="15">
        <v>409.03</v>
      </c>
      <c r="J1022" s="15">
        <v>471.5</v>
      </c>
      <c r="K1022" s="15">
        <v>391.2</v>
      </c>
      <c r="L1022" s="15">
        <v>13891436</v>
      </c>
      <c r="M1022" t="s" s="13">
        <v>9802</v>
      </c>
      <c r="N1022" s="15">
        <v>103317</v>
      </c>
      <c r="O1022" s="17" cm="1">
        <f t="array" ref="O1022">(H1022-H1021)/H1021</f>
        <v>-0.00597852611029771</v>
      </c>
    </row>
    <row r="1023" ht="13.65" customHeight="1">
      <c r="A1023" s="18">
        <v>45743</v>
      </c>
      <c r="B1023" t="s" s="13">
        <v>22</v>
      </c>
      <c r="C1023" s="15">
        <v>408</v>
      </c>
      <c r="D1023" s="15">
        <v>410.7</v>
      </c>
      <c r="E1023" s="15">
        <v>405.65</v>
      </c>
      <c r="F1023" s="15">
        <v>407.35</v>
      </c>
      <c r="G1023" s="15">
        <v>409.35</v>
      </c>
      <c r="H1023" s="15">
        <v>409.45</v>
      </c>
      <c r="I1023" s="15">
        <v>409.35</v>
      </c>
      <c r="J1023" s="15">
        <v>471.5</v>
      </c>
      <c r="K1023" s="15">
        <v>391.2</v>
      </c>
      <c r="L1023" s="15">
        <v>18642328</v>
      </c>
      <c r="M1023" t="s" s="13">
        <v>9803</v>
      </c>
      <c r="N1023" s="15">
        <v>153590</v>
      </c>
      <c r="O1023" s="17" cm="1">
        <f t="array" ref="O1023">(H1023-H1022)/H1022</f>
        <v>0.00515527187921934</v>
      </c>
    </row>
    <row r="1024" ht="13.65" customHeight="1">
      <c r="A1024" s="18">
        <v>45744</v>
      </c>
      <c r="B1024" t="s" s="13">
        <v>22</v>
      </c>
      <c r="C1024" s="15">
        <v>410.9</v>
      </c>
      <c r="D1024" s="15">
        <v>415.6</v>
      </c>
      <c r="E1024" s="15">
        <v>408.15</v>
      </c>
      <c r="F1024" s="15">
        <v>409.45</v>
      </c>
      <c r="G1024" s="15">
        <v>410.25</v>
      </c>
      <c r="H1024" s="15">
        <v>409.75</v>
      </c>
      <c r="I1024" s="15">
        <v>410.91</v>
      </c>
      <c r="J1024" s="15">
        <v>471.5</v>
      </c>
      <c r="K1024" s="15">
        <v>391.2</v>
      </c>
      <c r="L1024" s="15">
        <v>12981873</v>
      </c>
      <c r="M1024" t="s" s="13">
        <v>9804</v>
      </c>
      <c r="N1024" s="15">
        <v>114689</v>
      </c>
      <c r="O1024" s="17" cm="1">
        <f t="array" ref="O1024">(H1024-H1023)/H1023</f>
        <v>0.000732690194162901</v>
      </c>
    </row>
    <row r="1025" ht="13.65" customHeight="1">
      <c r="A1025" s="12">
        <v>45748</v>
      </c>
      <c r="B1025" t="s" s="13">
        <v>22</v>
      </c>
      <c r="C1025" s="15">
        <v>409.8</v>
      </c>
      <c r="D1025" s="15">
        <v>414.4</v>
      </c>
      <c r="E1025" s="15">
        <v>405.6</v>
      </c>
      <c r="F1025" s="15">
        <v>409.75</v>
      </c>
      <c r="G1025" s="15">
        <v>406.6</v>
      </c>
      <c r="H1025" s="15">
        <v>406.65</v>
      </c>
      <c r="I1025" s="15">
        <v>409.28</v>
      </c>
      <c r="J1025" s="15">
        <v>471.5</v>
      </c>
      <c r="K1025" s="15">
        <v>391.2</v>
      </c>
      <c r="L1025" s="15">
        <v>15206240</v>
      </c>
      <c r="M1025" t="s" s="13">
        <v>9805</v>
      </c>
      <c r="N1025" s="15">
        <v>127499</v>
      </c>
      <c r="O1025" s="17" cm="1">
        <f t="array" ref="O1025">(H1025-H1024)/H1024</f>
        <v>-0.00756558877364246</v>
      </c>
    </row>
    <row r="1026" ht="13.65" customHeight="1">
      <c r="A1026" s="21"/>
      <c r="B1026" s="21"/>
      <c r="C1026" s="21"/>
      <c r="D1026" s="21"/>
      <c r="E1026" s="21"/>
      <c r="F1026" s="21"/>
      <c r="G1026" s="21"/>
      <c r="H1026" s="21"/>
      <c r="I1026" s="21"/>
      <c r="J1026" s="21"/>
      <c r="K1026" s="21"/>
      <c r="L1026" s="21"/>
      <c r="M1026" s="21"/>
      <c r="N1026" s="21"/>
      <c r="O1026" s="8"/>
    </row>
    <row r="1027" ht="13.65" customHeight="1">
      <c r="A1027" s="8"/>
      <c r="B1027" s="8"/>
      <c r="C1027" s="8"/>
      <c r="D1027" s="8"/>
      <c r="E1027" s="8"/>
      <c r="F1027" s="8"/>
      <c r="G1027" s="8"/>
      <c r="H1027" s="8"/>
      <c r="I1027" s="8"/>
      <c r="J1027" s="8"/>
      <c r="K1027" s="8"/>
      <c r="L1027" s="8"/>
      <c r="M1027" s="8"/>
      <c r="N1027" t="s" s="7">
        <v>272</v>
      </c>
      <c r="O1027" s="22" cm="1">
        <f t="array" ref="O1027">AVERAGE(O776:O1025)</f>
        <v>-0.000111709344493007</v>
      </c>
    </row>
    <row r="1028" ht="13.65" customHeight="1">
      <c r="A1028" s="8"/>
      <c r="B1028" s="8"/>
      <c r="C1028" s="8"/>
      <c r="D1028" s="8"/>
      <c r="E1028" s="8"/>
      <c r="F1028" s="8"/>
      <c r="G1028" s="8"/>
      <c r="H1028" s="8"/>
      <c r="I1028" s="8"/>
      <c r="J1028" s="8"/>
      <c r="K1028" s="8"/>
      <c r="L1028" s="8"/>
      <c r="M1028" s="8"/>
      <c r="N1028" t="s" s="7">
        <v>527</v>
      </c>
      <c r="O1028" s="22" cm="1">
        <f t="array" ref="O1028">STDEV(O777:O1025)</f>
        <v>0.012764954336666</v>
      </c>
    </row>
    <row r="1029" ht="13.65" customHeight="1">
      <c r="A1029" s="8"/>
      <c r="B1029" s="8"/>
      <c r="C1029" s="8"/>
      <c r="D1029" s="8"/>
      <c r="E1029" s="8"/>
      <c r="F1029" s="8"/>
      <c r="G1029" s="8"/>
      <c r="H1029" s="8"/>
      <c r="I1029" s="8"/>
      <c r="J1029" s="8"/>
      <c r="K1029" s="8"/>
      <c r="L1029" s="8"/>
      <c r="M1029" s="8"/>
      <c r="N1029" t="s" s="7">
        <v>9060</v>
      </c>
      <c r="O1029" s="23" cm="1">
        <f t="array" ref="O1029">AVERAGE(L776:L1025)</f>
        <v>14330865.884</v>
      </c>
    </row>
    <row r="1030" ht="13.65" customHeight="1">
      <c r="A1030" s="8"/>
      <c r="B1030" s="8"/>
      <c r="C1030" s="8"/>
      <c r="D1030" s="8"/>
      <c r="E1030" s="8"/>
      <c r="F1030" s="8"/>
      <c r="G1030" s="8"/>
      <c r="H1030" s="8"/>
      <c r="I1030" s="8"/>
      <c r="J1030" s="8"/>
      <c r="K1030" s="8"/>
      <c r="L1030" s="8"/>
      <c r="M1030" s="8"/>
      <c r="N1030" t="s" s="7">
        <v>275</v>
      </c>
      <c r="O1030" s="23" cm="1">
        <f t="array" ref="O1030">IF(H1025&gt;H776,1,IF(H1025&lt;H776,-1,0))</f>
        <v>-1</v>
      </c>
    </row>
    <row r="1031" ht="13.65" customHeight="1">
      <c r="A1031" t="s" s="7">
        <v>1029</v>
      </c>
      <c r="B1031" s="8"/>
      <c r="C1031" s="8"/>
      <c r="D1031" s="8"/>
      <c r="E1031" s="8"/>
      <c r="F1031" s="8"/>
      <c r="G1031" s="8"/>
      <c r="H1031" s="8"/>
      <c r="I1031" s="8"/>
      <c r="J1031" s="8"/>
      <c r="K1031" s="8"/>
      <c r="L1031" s="8"/>
      <c r="M1031" s="8"/>
      <c r="N1031" t="s" s="7">
        <v>528</v>
      </c>
      <c r="O1031" s="22" cm="1">
        <f t="array" ref="O1031">(H1025-H776)/H776</f>
        <v>-0.0469885165221467</v>
      </c>
    </row>
    <row r="1032" ht="13.65" customHeight="1">
      <c r="A1032" s="9"/>
      <c r="B1032" s="9"/>
      <c r="C1032" s="9"/>
      <c r="D1032" s="9"/>
      <c r="E1032" s="9"/>
      <c r="F1032" s="9"/>
      <c r="G1032" s="9"/>
      <c r="H1032" s="9"/>
      <c r="I1032" s="9"/>
      <c r="J1032" s="9"/>
      <c r="K1032" s="9"/>
      <c r="L1032" s="9"/>
      <c r="M1032" s="9"/>
      <c r="N1032" s="9"/>
      <c r="O1032" s="8"/>
    </row>
    <row r="1033" ht="13.65" customHeight="1">
      <c r="A1033" t="s" s="10">
        <v>7</v>
      </c>
      <c r="B1033" t="s" s="10">
        <v>8</v>
      </c>
      <c r="C1033" t="s" s="10">
        <v>9</v>
      </c>
      <c r="D1033" t="s" s="10">
        <v>10</v>
      </c>
      <c r="E1033" t="s" s="10">
        <v>11</v>
      </c>
      <c r="F1033" t="s" s="10">
        <v>12</v>
      </c>
      <c r="G1033" t="s" s="10">
        <v>13</v>
      </c>
      <c r="H1033" t="s" s="10">
        <v>14</v>
      </c>
      <c r="I1033" t="s" s="10">
        <v>15</v>
      </c>
      <c r="J1033" t="s" s="10">
        <v>16</v>
      </c>
      <c r="K1033" t="s" s="10">
        <v>17</v>
      </c>
      <c r="L1033" t="s" s="10">
        <v>18</v>
      </c>
      <c r="M1033" t="s" s="10">
        <v>19</v>
      </c>
      <c r="N1033" t="s" s="10">
        <v>20</v>
      </c>
      <c r="O1033" t="s" s="11">
        <v>21</v>
      </c>
    </row>
    <row r="1034" ht="13.65" customHeight="1">
      <c r="A1034" s="12">
        <v>45748</v>
      </c>
      <c r="B1034" t="s" s="13">
        <v>22</v>
      </c>
      <c r="C1034" s="15">
        <v>409.8</v>
      </c>
      <c r="D1034" s="15">
        <v>414.4</v>
      </c>
      <c r="E1034" s="15">
        <v>405.6</v>
      </c>
      <c r="F1034" s="15">
        <v>409.75</v>
      </c>
      <c r="G1034" s="15">
        <v>406.6</v>
      </c>
      <c r="H1034" s="15">
        <v>406.65</v>
      </c>
      <c r="I1034" s="15">
        <v>409.28</v>
      </c>
      <c r="J1034" s="15">
        <v>471.5</v>
      </c>
      <c r="K1034" s="15">
        <v>391.2</v>
      </c>
      <c r="L1034" s="15">
        <v>15206240</v>
      </c>
      <c r="M1034" t="s" s="13">
        <v>9805</v>
      </c>
      <c r="N1034" s="15">
        <v>127499</v>
      </c>
      <c r="O1034" s="16"/>
    </row>
    <row r="1035" ht="13.65" customHeight="1">
      <c r="A1035" s="12">
        <v>45749</v>
      </c>
      <c r="B1035" t="s" s="13">
        <v>22</v>
      </c>
      <c r="C1035" s="15">
        <v>407.05</v>
      </c>
      <c r="D1035" s="15">
        <v>410</v>
      </c>
      <c r="E1035" s="15">
        <v>406.05</v>
      </c>
      <c r="F1035" s="15">
        <v>406.65</v>
      </c>
      <c r="G1035" s="15">
        <v>408.7</v>
      </c>
      <c r="H1035" s="15">
        <v>409.05</v>
      </c>
      <c r="I1035" s="15">
        <v>408.65</v>
      </c>
      <c r="J1035" s="15">
        <v>471.5</v>
      </c>
      <c r="K1035" s="15">
        <v>391.2</v>
      </c>
      <c r="L1035" s="15">
        <v>8001323</v>
      </c>
      <c r="M1035" t="s" s="13">
        <v>9806</v>
      </c>
      <c r="N1035" s="15">
        <v>72562</v>
      </c>
      <c r="O1035" s="17" cm="1">
        <f t="array" ref="O1035">(H1035-H1034)/H1034</f>
        <v>0.00590188122464035</v>
      </c>
    </row>
    <row r="1036" ht="13.65" customHeight="1">
      <c r="A1036" s="12">
        <v>45750</v>
      </c>
      <c r="B1036" t="s" s="13">
        <v>22</v>
      </c>
      <c r="C1036" s="15">
        <v>407.05</v>
      </c>
      <c r="D1036" s="15">
        <v>410.2</v>
      </c>
      <c r="E1036" s="15">
        <v>406.7</v>
      </c>
      <c r="F1036" s="15">
        <v>409.05</v>
      </c>
      <c r="G1036" s="15">
        <v>409</v>
      </c>
      <c r="H1036" s="15">
        <v>409.4</v>
      </c>
      <c r="I1036" s="15">
        <v>408.93</v>
      </c>
      <c r="J1036" s="15">
        <v>471.5</v>
      </c>
      <c r="K1036" s="15">
        <v>391.2</v>
      </c>
      <c r="L1036" s="15">
        <v>7059566</v>
      </c>
      <c r="M1036" t="s" s="13">
        <v>9807</v>
      </c>
      <c r="N1036" s="15">
        <v>78934</v>
      </c>
      <c r="O1036" s="17" cm="1">
        <f t="array" ref="O1036">(H1036-H1035)/H1035</f>
        <v>0.000855641119667522</v>
      </c>
    </row>
    <row r="1037" ht="13.65" customHeight="1">
      <c r="A1037" s="12">
        <v>45751</v>
      </c>
      <c r="B1037" t="s" s="13">
        <v>22</v>
      </c>
      <c r="C1037" s="15">
        <v>407.5</v>
      </c>
      <c r="D1037" s="15">
        <v>412.8</v>
      </c>
      <c r="E1037" s="15">
        <v>404.5</v>
      </c>
      <c r="F1037" s="15">
        <v>409.4</v>
      </c>
      <c r="G1037" s="15">
        <v>409.3</v>
      </c>
      <c r="H1037" s="15">
        <v>409.7</v>
      </c>
      <c r="I1037" s="15">
        <v>409.44</v>
      </c>
      <c r="J1037" s="15">
        <v>471.5</v>
      </c>
      <c r="K1037" s="15">
        <v>391.2</v>
      </c>
      <c r="L1037" s="15">
        <v>18627592</v>
      </c>
      <c r="M1037" t="s" s="13">
        <v>9808</v>
      </c>
      <c r="N1037" s="15">
        <v>149408</v>
      </c>
      <c r="O1037" s="17" cm="1">
        <f t="array" ref="O1037">(H1037-H1036)/H1036</f>
        <v>0.000732779677576942</v>
      </c>
    </row>
    <row r="1038" ht="13.65" customHeight="1">
      <c r="A1038" s="12">
        <v>45754</v>
      </c>
      <c r="B1038" t="s" s="13">
        <v>22</v>
      </c>
      <c r="C1038" s="15">
        <v>390.15</v>
      </c>
      <c r="D1038" s="15">
        <v>408.1</v>
      </c>
      <c r="E1038" s="15">
        <v>390.15</v>
      </c>
      <c r="F1038" s="15">
        <v>409.7</v>
      </c>
      <c r="G1038" s="15">
        <v>406.75</v>
      </c>
      <c r="H1038" s="15">
        <v>406.05</v>
      </c>
      <c r="I1038" s="15">
        <v>403.02</v>
      </c>
      <c r="J1038" s="15">
        <v>471.5</v>
      </c>
      <c r="K1038" s="15">
        <v>390.15</v>
      </c>
      <c r="L1038" s="15">
        <v>26762866</v>
      </c>
      <c r="M1038" t="s" s="13">
        <v>9809</v>
      </c>
      <c r="N1038" s="15">
        <v>307280</v>
      </c>
      <c r="O1038" s="17" cm="1">
        <f t="array" ref="O1038">(H1038-H1037)/H1037</f>
        <v>-0.00890895777398096</v>
      </c>
    </row>
    <row r="1039" ht="13.65" customHeight="1">
      <c r="A1039" s="12">
        <v>45755</v>
      </c>
      <c r="B1039" t="s" s="13">
        <v>22</v>
      </c>
      <c r="C1039" s="15">
        <v>411.9</v>
      </c>
      <c r="D1039" s="15">
        <v>415.8</v>
      </c>
      <c r="E1039" s="15">
        <v>407.25</v>
      </c>
      <c r="F1039" s="15">
        <v>406.05</v>
      </c>
      <c r="G1039" s="15">
        <v>413.5</v>
      </c>
      <c r="H1039" s="15">
        <v>412.55</v>
      </c>
      <c r="I1039" s="15">
        <v>411.57</v>
      </c>
      <c r="J1039" s="15">
        <v>471.5</v>
      </c>
      <c r="K1039" s="15">
        <v>390.15</v>
      </c>
      <c r="L1039" s="15">
        <v>18600796</v>
      </c>
      <c r="M1039" t="s" s="13">
        <v>9810</v>
      </c>
      <c r="N1039" s="15">
        <v>234584</v>
      </c>
      <c r="O1039" s="17" cm="1">
        <f t="array" ref="O1039">(H1039-H1038)/H1038</f>
        <v>0.0160078808028568</v>
      </c>
    </row>
    <row r="1040" ht="13.65" customHeight="1">
      <c r="A1040" s="12">
        <v>45756</v>
      </c>
      <c r="B1040" t="s" s="13">
        <v>22</v>
      </c>
      <c r="C1040" s="15">
        <v>413</v>
      </c>
      <c r="D1040" s="15">
        <v>419.05</v>
      </c>
      <c r="E1040" s="15">
        <v>411.25</v>
      </c>
      <c r="F1040" s="15">
        <v>412.55</v>
      </c>
      <c r="G1040" s="15">
        <v>416.15</v>
      </c>
      <c r="H1040" s="15">
        <v>416.3</v>
      </c>
      <c r="I1040" s="15">
        <v>416.41</v>
      </c>
      <c r="J1040" s="15">
        <v>471.5</v>
      </c>
      <c r="K1040" s="15">
        <v>390.15</v>
      </c>
      <c r="L1040" s="15">
        <v>21785572</v>
      </c>
      <c r="M1040" t="s" s="13">
        <v>9811</v>
      </c>
      <c r="N1040" s="15">
        <v>242191</v>
      </c>
      <c r="O1040" s="17" cm="1">
        <f t="array" ref="O1040">(H1040-H1039)/H1039</f>
        <v>0.00908980729608532</v>
      </c>
    </row>
    <row r="1041" ht="13.65" customHeight="1">
      <c r="A1041" s="18">
        <v>45758</v>
      </c>
      <c r="B1041" t="s" s="13">
        <v>22</v>
      </c>
      <c r="C1041" s="15">
        <v>420</v>
      </c>
      <c r="D1041" s="15">
        <v>422.45</v>
      </c>
      <c r="E1041" s="15">
        <v>417</v>
      </c>
      <c r="F1041" s="15">
        <v>416.3</v>
      </c>
      <c r="G1041" s="15">
        <v>422</v>
      </c>
      <c r="H1041" s="15">
        <v>421.55</v>
      </c>
      <c r="I1041" s="15">
        <v>420.4</v>
      </c>
      <c r="J1041" s="15">
        <v>471.5</v>
      </c>
      <c r="K1041" s="15">
        <v>390.15</v>
      </c>
      <c r="L1041" s="15">
        <v>8939356</v>
      </c>
      <c r="M1041" t="s" s="13">
        <v>9812</v>
      </c>
      <c r="N1041" s="15">
        <v>98015</v>
      </c>
      <c r="O1041" s="17" cm="1">
        <f t="array" ref="O1041">(H1041-H1040)/H1040</f>
        <v>0.0126110977660341</v>
      </c>
    </row>
    <row r="1042" ht="13.65" customHeight="1">
      <c r="A1042" s="18">
        <v>45762</v>
      </c>
      <c r="B1042" t="s" s="13">
        <v>22</v>
      </c>
      <c r="C1042" s="15">
        <v>429.2</v>
      </c>
      <c r="D1042" s="15">
        <v>429.2</v>
      </c>
      <c r="E1042" s="15">
        <v>419</v>
      </c>
      <c r="F1042" s="15">
        <v>421.55</v>
      </c>
      <c r="G1042" s="15">
        <v>420.35</v>
      </c>
      <c r="H1042" s="15">
        <v>420.4</v>
      </c>
      <c r="I1042" s="15">
        <v>421.35</v>
      </c>
      <c r="J1042" s="15">
        <v>471.5</v>
      </c>
      <c r="K1042" s="15">
        <v>390.15</v>
      </c>
      <c r="L1042" s="15">
        <v>11685880</v>
      </c>
      <c r="M1042" t="s" s="13">
        <v>9813</v>
      </c>
      <c r="N1042" s="15">
        <v>129742</v>
      </c>
      <c r="O1042" s="17" cm="1">
        <f t="array" ref="O1042">(H1042-H1041)/H1041</f>
        <v>-0.00272802751749496</v>
      </c>
    </row>
    <row r="1043" ht="13.65" customHeight="1">
      <c r="A1043" s="18">
        <v>45763</v>
      </c>
      <c r="B1043" t="s" s="13">
        <v>22</v>
      </c>
      <c r="C1043" s="15">
        <v>418</v>
      </c>
      <c r="D1043" s="15">
        <v>426.05</v>
      </c>
      <c r="E1043" s="15">
        <v>418</v>
      </c>
      <c r="F1043" s="15">
        <v>420.4</v>
      </c>
      <c r="G1043" s="15">
        <v>424.9</v>
      </c>
      <c r="H1043" s="15">
        <v>424.45</v>
      </c>
      <c r="I1043" s="15">
        <v>423.29</v>
      </c>
      <c r="J1043" s="15">
        <v>471.5</v>
      </c>
      <c r="K1043" s="15">
        <v>390.15</v>
      </c>
      <c r="L1043" s="15">
        <v>13034594</v>
      </c>
      <c r="M1043" t="s" s="13">
        <v>9814</v>
      </c>
      <c r="N1043" s="15">
        <v>115189</v>
      </c>
      <c r="O1043" s="17" cm="1">
        <f t="array" ref="O1043">(H1043-H1042)/H1042</f>
        <v>0.009633682207421499</v>
      </c>
    </row>
    <row r="1044" ht="13.65" customHeight="1">
      <c r="A1044" s="18">
        <v>45764</v>
      </c>
      <c r="B1044" t="s" s="13">
        <v>22</v>
      </c>
      <c r="C1044" s="15">
        <v>425</v>
      </c>
      <c r="D1044" s="15">
        <v>427.85</v>
      </c>
      <c r="E1044" s="15">
        <v>421.55</v>
      </c>
      <c r="F1044" s="15">
        <v>424.45</v>
      </c>
      <c r="G1044" s="15">
        <v>427</v>
      </c>
      <c r="H1044" s="15">
        <v>427.25</v>
      </c>
      <c r="I1044" s="15">
        <v>425.37</v>
      </c>
      <c r="J1044" s="15">
        <v>471.5</v>
      </c>
      <c r="K1044" s="15">
        <v>390.15</v>
      </c>
      <c r="L1044" s="15">
        <v>22410217</v>
      </c>
      <c r="M1044" t="s" s="13">
        <v>9815</v>
      </c>
      <c r="N1044" s="15">
        <v>222404</v>
      </c>
      <c r="O1044" s="17" cm="1">
        <f t="array" ref="O1044">(H1044-H1043)/H1043</f>
        <v>0.00659677229355637</v>
      </c>
    </row>
    <row r="1045" ht="13.65" customHeight="1">
      <c r="A1045" s="18">
        <v>45768</v>
      </c>
      <c r="B1045" t="s" s="13">
        <v>22</v>
      </c>
      <c r="C1045" s="15">
        <v>428.05</v>
      </c>
      <c r="D1045" s="15">
        <v>429.1</v>
      </c>
      <c r="E1045" s="15">
        <v>421.5</v>
      </c>
      <c r="F1045" s="15">
        <v>427.25</v>
      </c>
      <c r="G1045" s="15">
        <v>422.95</v>
      </c>
      <c r="H1045" s="15">
        <v>422.85</v>
      </c>
      <c r="I1045" s="15">
        <v>422.51</v>
      </c>
      <c r="J1045" s="15">
        <v>471.5</v>
      </c>
      <c r="K1045" s="15">
        <v>390.15</v>
      </c>
      <c r="L1045" s="15">
        <v>27388236</v>
      </c>
      <c r="M1045" t="s" s="13">
        <v>9816</v>
      </c>
      <c r="N1045" s="15">
        <v>218049</v>
      </c>
      <c r="O1045" s="17" cm="1">
        <f t="array" ref="O1045">(H1045-H1044)/H1044</f>
        <v>-0.0102984201287303</v>
      </c>
    </row>
    <row r="1046" ht="13.65" customHeight="1">
      <c r="A1046" s="18">
        <v>45769</v>
      </c>
      <c r="B1046" t="s" s="13">
        <v>22</v>
      </c>
      <c r="C1046" s="15">
        <v>425.95</v>
      </c>
      <c r="D1046" s="15">
        <v>434.8</v>
      </c>
      <c r="E1046" s="15">
        <v>423.55</v>
      </c>
      <c r="F1046" s="15">
        <v>422.85</v>
      </c>
      <c r="G1046" s="15">
        <v>432.85</v>
      </c>
      <c r="H1046" s="15">
        <v>433.6</v>
      </c>
      <c r="I1046" s="15">
        <v>427.96</v>
      </c>
      <c r="J1046" s="15">
        <v>471.5</v>
      </c>
      <c r="K1046" s="15">
        <v>390.15</v>
      </c>
      <c r="L1046" s="15">
        <v>32031936</v>
      </c>
      <c r="M1046" t="s" s="13">
        <v>9817</v>
      </c>
      <c r="N1046" s="15">
        <v>167601</v>
      </c>
      <c r="O1046" s="17" cm="1">
        <f t="array" ref="O1046">(H1046-H1045)/H1045</f>
        <v>0.0254227267352489</v>
      </c>
    </row>
    <row r="1047" ht="13.65" customHeight="1">
      <c r="A1047" s="18">
        <v>45770</v>
      </c>
      <c r="B1047" t="s" s="13">
        <v>22</v>
      </c>
      <c r="C1047" s="15">
        <v>436.2</v>
      </c>
      <c r="D1047" s="15">
        <v>437.45</v>
      </c>
      <c r="E1047" s="15">
        <v>428.85</v>
      </c>
      <c r="F1047" s="15">
        <v>433.6</v>
      </c>
      <c r="G1047" s="15">
        <v>430.15</v>
      </c>
      <c r="H1047" s="15">
        <v>430.85</v>
      </c>
      <c r="I1047" s="15">
        <v>431.14</v>
      </c>
      <c r="J1047" s="15">
        <v>471.5</v>
      </c>
      <c r="K1047" s="15">
        <v>390.15</v>
      </c>
      <c r="L1047" s="15">
        <v>19566317</v>
      </c>
      <c r="M1047" t="s" s="13">
        <v>9818</v>
      </c>
      <c r="N1047" s="15">
        <v>144472</v>
      </c>
      <c r="O1047" s="17" cm="1">
        <f t="array" ref="O1047">(H1047-H1046)/H1046</f>
        <v>-0.00634225092250923</v>
      </c>
    </row>
    <row r="1048" ht="13.65" customHeight="1">
      <c r="A1048" s="18">
        <v>45771</v>
      </c>
      <c r="B1048" t="s" s="13">
        <v>22</v>
      </c>
      <c r="C1048" s="15">
        <v>431.85</v>
      </c>
      <c r="D1048" s="15">
        <v>436.05</v>
      </c>
      <c r="E1048" s="15">
        <v>429.3</v>
      </c>
      <c r="F1048" s="15">
        <v>430.85</v>
      </c>
      <c r="G1048" s="15">
        <v>429.85</v>
      </c>
      <c r="H1048" s="15">
        <v>430.05</v>
      </c>
      <c r="I1048" s="15">
        <v>431.79</v>
      </c>
      <c r="J1048" s="15">
        <v>471.5</v>
      </c>
      <c r="K1048" s="15">
        <v>390.15</v>
      </c>
      <c r="L1048" s="15">
        <v>26064089</v>
      </c>
      <c r="M1048" t="s" s="13">
        <v>9819</v>
      </c>
      <c r="N1048" s="15">
        <v>134018</v>
      </c>
      <c r="O1048" s="17" cm="1">
        <f t="array" ref="O1048">(H1048-H1047)/H1047</f>
        <v>-0.00185679470813508</v>
      </c>
    </row>
    <row r="1049" ht="13.65" customHeight="1">
      <c r="A1049" s="18">
        <v>45772</v>
      </c>
      <c r="B1049" t="s" s="13">
        <v>22</v>
      </c>
      <c r="C1049" s="15">
        <v>430.05</v>
      </c>
      <c r="D1049" s="15">
        <v>432.7</v>
      </c>
      <c r="E1049" s="15">
        <v>423.3</v>
      </c>
      <c r="F1049" s="15">
        <v>430.05</v>
      </c>
      <c r="G1049" s="15">
        <v>427.6</v>
      </c>
      <c r="H1049" s="15">
        <v>427.8</v>
      </c>
      <c r="I1049" s="15">
        <v>425.99</v>
      </c>
      <c r="J1049" s="15">
        <v>471.5</v>
      </c>
      <c r="K1049" s="15">
        <v>390.15</v>
      </c>
      <c r="L1049" s="15">
        <v>22944377</v>
      </c>
      <c r="M1049" t="s" s="13">
        <v>9820</v>
      </c>
      <c r="N1049" s="15">
        <v>120877</v>
      </c>
      <c r="O1049" s="17" cm="1">
        <f t="array" ref="O1049">(H1049-H1048)/H1048</f>
        <v>-0.00523194977328218</v>
      </c>
    </row>
    <row r="1050" ht="13.65" customHeight="1">
      <c r="A1050" s="18">
        <v>45775</v>
      </c>
      <c r="B1050" t="s" s="13">
        <v>22</v>
      </c>
      <c r="C1050" s="15">
        <v>426.65</v>
      </c>
      <c r="D1050" s="15">
        <v>430.5</v>
      </c>
      <c r="E1050" s="15">
        <v>424.75</v>
      </c>
      <c r="F1050" s="15">
        <v>427.8</v>
      </c>
      <c r="G1050" s="15">
        <v>428.75</v>
      </c>
      <c r="H1050" s="15">
        <v>428.8</v>
      </c>
      <c r="I1050" s="15">
        <v>428.56</v>
      </c>
      <c r="J1050" s="15">
        <v>471.5</v>
      </c>
      <c r="K1050" s="15">
        <v>390.15</v>
      </c>
      <c r="L1050" s="15">
        <v>6287095</v>
      </c>
      <c r="M1050" t="s" s="13">
        <v>9821</v>
      </c>
      <c r="N1050" s="15">
        <v>73016</v>
      </c>
      <c r="O1050" s="17" cm="1">
        <f t="array" ref="O1050">(H1050-H1049)/H1049</f>
        <v>0.00233754090696587</v>
      </c>
    </row>
    <row r="1051" ht="13.65" customHeight="1">
      <c r="A1051" s="18">
        <v>45776</v>
      </c>
      <c r="B1051" t="s" s="13">
        <v>22</v>
      </c>
      <c r="C1051" s="15">
        <v>428.9</v>
      </c>
      <c r="D1051" s="15">
        <v>429.6</v>
      </c>
      <c r="E1051" s="15">
        <v>425</v>
      </c>
      <c r="F1051" s="15">
        <v>428.8</v>
      </c>
      <c r="G1051" s="15">
        <v>425.35</v>
      </c>
      <c r="H1051" s="15">
        <v>426</v>
      </c>
      <c r="I1051" s="15">
        <v>426.31</v>
      </c>
      <c r="J1051" s="15">
        <v>471.5</v>
      </c>
      <c r="K1051" s="15">
        <v>390.15</v>
      </c>
      <c r="L1051" s="15">
        <v>11189930</v>
      </c>
      <c r="M1051" t="s" s="13">
        <v>9822</v>
      </c>
      <c r="N1051" s="15">
        <v>228223</v>
      </c>
      <c r="O1051" s="17" cm="1">
        <f t="array" ref="O1051">(H1051-H1050)/H1050</f>
        <v>-0.00652985074626866</v>
      </c>
    </row>
    <row r="1052" ht="13.65" customHeight="1">
      <c r="A1052" s="18">
        <v>45777</v>
      </c>
      <c r="B1052" t="s" s="13">
        <v>22</v>
      </c>
      <c r="C1052" s="15">
        <v>427.4</v>
      </c>
      <c r="D1052" s="15">
        <v>429.3</v>
      </c>
      <c r="E1052" s="15">
        <v>422</v>
      </c>
      <c r="F1052" s="15">
        <v>426</v>
      </c>
      <c r="G1052" s="15">
        <v>425</v>
      </c>
      <c r="H1052" s="15">
        <v>425.8</v>
      </c>
      <c r="I1052" s="15">
        <v>426.72</v>
      </c>
      <c r="J1052" s="15">
        <v>471.5</v>
      </c>
      <c r="K1052" s="15">
        <v>390.15</v>
      </c>
      <c r="L1052" s="15">
        <v>10026546</v>
      </c>
      <c r="M1052" t="s" s="13">
        <v>9823</v>
      </c>
      <c r="N1052" s="15">
        <v>197832</v>
      </c>
      <c r="O1052" s="17" cm="1">
        <f t="array" ref="O1052">(H1052-H1051)/H1051</f>
        <v>-0.000469483568075117</v>
      </c>
    </row>
    <row r="1053" ht="13.65" customHeight="1">
      <c r="A1053" s="19">
        <v>45779</v>
      </c>
      <c r="B1053" t="s" s="13">
        <v>22</v>
      </c>
      <c r="C1053" s="15">
        <v>424.1</v>
      </c>
      <c r="D1053" s="15">
        <v>431.5</v>
      </c>
      <c r="E1053" s="15">
        <v>424.1</v>
      </c>
      <c r="F1053" s="15">
        <v>425.8</v>
      </c>
      <c r="G1053" s="15">
        <v>429.3</v>
      </c>
      <c r="H1053" s="15">
        <v>430.25</v>
      </c>
      <c r="I1053" s="15">
        <v>428.82</v>
      </c>
      <c r="J1053" s="15">
        <v>471.5</v>
      </c>
      <c r="K1053" s="15">
        <v>390.15</v>
      </c>
      <c r="L1053" s="15">
        <v>12769461</v>
      </c>
      <c r="M1053" t="s" s="13">
        <v>9824</v>
      </c>
      <c r="N1053" s="15">
        <v>115137</v>
      </c>
      <c r="O1053" s="17" cm="1">
        <f t="array" ref="O1053">(H1053-H1052)/H1052</f>
        <v>0.0104509159229685</v>
      </c>
    </row>
    <row r="1054" ht="13.65" customHeight="1">
      <c r="A1054" s="19">
        <v>45782</v>
      </c>
      <c r="B1054" t="s" s="13">
        <v>22</v>
      </c>
      <c r="C1054" s="15">
        <v>430.25</v>
      </c>
      <c r="D1054" s="15">
        <v>438.5</v>
      </c>
      <c r="E1054" s="15">
        <v>429.35</v>
      </c>
      <c r="F1054" s="15">
        <v>430.25</v>
      </c>
      <c r="G1054" s="15">
        <v>437.5</v>
      </c>
      <c r="H1054" s="15">
        <v>436.95</v>
      </c>
      <c r="I1054" s="15">
        <v>436.11</v>
      </c>
      <c r="J1054" s="15">
        <v>471.5</v>
      </c>
      <c r="K1054" s="15">
        <v>390.15</v>
      </c>
      <c r="L1054" s="15">
        <v>11525305</v>
      </c>
      <c r="M1054" t="s" s="13">
        <v>9825</v>
      </c>
      <c r="N1054" s="15">
        <v>117066</v>
      </c>
      <c r="O1054" s="17" cm="1">
        <f t="array" ref="O1054">(H1054-H1053)/H1053</f>
        <v>0.0155723416618245</v>
      </c>
    </row>
    <row r="1055" ht="13.65" customHeight="1">
      <c r="A1055" s="19">
        <v>45783</v>
      </c>
      <c r="B1055" t="s" s="13">
        <v>22</v>
      </c>
      <c r="C1055" s="15">
        <v>437.5</v>
      </c>
      <c r="D1055" s="15">
        <v>439.65</v>
      </c>
      <c r="E1055" s="15">
        <v>433</v>
      </c>
      <c r="F1055" s="15">
        <v>436.95</v>
      </c>
      <c r="G1055" s="15">
        <v>433.2</v>
      </c>
      <c r="H1055" s="15">
        <v>435.55</v>
      </c>
      <c r="I1055" s="15">
        <v>436.24</v>
      </c>
      <c r="J1055" s="15">
        <v>471.5</v>
      </c>
      <c r="K1055" s="15">
        <v>390.15</v>
      </c>
      <c r="L1055" s="15">
        <v>15026568</v>
      </c>
      <c r="M1055" t="s" s="13">
        <v>9826</v>
      </c>
      <c r="N1055" s="15">
        <v>133609</v>
      </c>
      <c r="O1055" s="17" cm="1">
        <f t="array" ref="O1055">(H1055-H1054)/H1054</f>
        <v>-0.00320402792081474</v>
      </c>
    </row>
    <row r="1056" ht="13.65" customHeight="1">
      <c r="A1056" s="19">
        <v>45784</v>
      </c>
      <c r="B1056" t="s" s="13">
        <v>22</v>
      </c>
      <c r="C1056" s="15">
        <v>433.4</v>
      </c>
      <c r="D1056" s="15">
        <v>435</v>
      </c>
      <c r="E1056" s="15">
        <v>429.7</v>
      </c>
      <c r="F1056" s="15">
        <v>435.55</v>
      </c>
      <c r="G1056" s="15">
        <v>430.15</v>
      </c>
      <c r="H1056" s="15">
        <v>431.15</v>
      </c>
      <c r="I1056" s="15">
        <v>431.77</v>
      </c>
      <c r="J1056" s="15">
        <v>471.5</v>
      </c>
      <c r="K1056" s="15">
        <v>390.15</v>
      </c>
      <c r="L1056" s="15">
        <v>9710361</v>
      </c>
      <c r="M1056" t="s" s="13">
        <v>9827</v>
      </c>
      <c r="N1056" s="15">
        <v>148037</v>
      </c>
      <c r="O1056" s="17" cm="1">
        <f t="array" ref="O1056">(H1056-H1055)/H1055</f>
        <v>-0.0101021696705315</v>
      </c>
    </row>
    <row r="1057" ht="13.65" customHeight="1">
      <c r="A1057" s="19">
        <v>45785</v>
      </c>
      <c r="B1057" t="s" s="13">
        <v>22</v>
      </c>
      <c r="C1057" s="15">
        <v>429</v>
      </c>
      <c r="D1057" s="15">
        <v>431.5</v>
      </c>
      <c r="E1057" s="15">
        <v>423.55</v>
      </c>
      <c r="F1057" s="15">
        <v>431.15</v>
      </c>
      <c r="G1057" s="15">
        <v>429.4</v>
      </c>
      <c r="H1057" s="15">
        <v>430.6</v>
      </c>
      <c r="I1057" s="15">
        <v>428.99</v>
      </c>
      <c r="J1057" s="15">
        <v>471.5</v>
      </c>
      <c r="K1057" s="15">
        <v>390.15</v>
      </c>
      <c r="L1057" s="15">
        <v>19937960</v>
      </c>
      <c r="M1057" t="s" s="13">
        <v>9828</v>
      </c>
      <c r="N1057" s="15">
        <v>173524</v>
      </c>
      <c r="O1057" s="17" cm="1">
        <f t="array" ref="O1057">(H1057-H1056)/H1056</f>
        <v>-0.00127565812362287</v>
      </c>
    </row>
    <row r="1058" ht="13.65" customHeight="1">
      <c r="A1058" s="19">
        <v>45786</v>
      </c>
      <c r="B1058" t="s" s="13">
        <v>22</v>
      </c>
      <c r="C1058" s="15">
        <v>425.95</v>
      </c>
      <c r="D1058" s="15">
        <v>429.15</v>
      </c>
      <c r="E1058" s="15">
        <v>423</v>
      </c>
      <c r="F1058" s="15">
        <v>430.6</v>
      </c>
      <c r="G1058" s="15">
        <v>424</v>
      </c>
      <c r="H1058" s="15">
        <v>423.55</v>
      </c>
      <c r="I1058" s="15">
        <v>425.58</v>
      </c>
      <c r="J1058" s="15">
        <v>471.5</v>
      </c>
      <c r="K1058" s="15">
        <v>390.15</v>
      </c>
      <c r="L1058" s="15">
        <v>8226512</v>
      </c>
      <c r="M1058" t="s" s="13">
        <v>9829</v>
      </c>
      <c r="N1058" s="15">
        <v>134382</v>
      </c>
      <c r="O1058" s="17" cm="1">
        <f t="array" ref="O1058">(H1058-H1057)/H1057</f>
        <v>-0.0163725034835114</v>
      </c>
    </row>
    <row r="1059" ht="13.65" customHeight="1">
      <c r="A1059" s="20">
        <v>45789</v>
      </c>
      <c r="B1059" t="s" s="13">
        <v>22</v>
      </c>
      <c r="C1059" s="15">
        <v>429.5</v>
      </c>
      <c r="D1059" s="15">
        <v>436.2</v>
      </c>
      <c r="E1059" s="15">
        <v>428.15</v>
      </c>
      <c r="F1059" s="15">
        <v>423.55</v>
      </c>
      <c r="G1059" s="15">
        <v>435.1</v>
      </c>
      <c r="H1059" s="15">
        <v>435.5</v>
      </c>
      <c r="I1059" s="15">
        <v>433.63</v>
      </c>
      <c r="J1059" s="15">
        <v>471.5</v>
      </c>
      <c r="K1059" s="15">
        <v>390.15</v>
      </c>
      <c r="L1059" s="15">
        <v>8031891</v>
      </c>
      <c r="M1059" t="s" s="13">
        <v>9830</v>
      </c>
      <c r="N1059" s="15">
        <v>78145</v>
      </c>
      <c r="O1059" s="17" cm="1">
        <f t="array" ref="O1059">(H1059-H1058)/H1058</f>
        <v>0.0282139062684453</v>
      </c>
    </row>
    <row r="1060" ht="13.65" customHeight="1">
      <c r="A1060" s="20">
        <v>45790</v>
      </c>
      <c r="B1060" t="s" s="13">
        <v>22</v>
      </c>
      <c r="C1060" s="15">
        <v>434.9</v>
      </c>
      <c r="D1060" s="15">
        <v>437.95</v>
      </c>
      <c r="E1060" s="15">
        <v>425.35</v>
      </c>
      <c r="F1060" s="15">
        <v>435.5</v>
      </c>
      <c r="G1060" s="15">
        <v>427.9</v>
      </c>
      <c r="H1060" s="15">
        <v>427.9</v>
      </c>
      <c r="I1060" s="15">
        <v>429.47</v>
      </c>
      <c r="J1060" s="15">
        <v>471.5</v>
      </c>
      <c r="K1060" s="15">
        <v>390.15</v>
      </c>
      <c r="L1060" s="15">
        <v>14976369</v>
      </c>
      <c r="M1060" t="s" s="13">
        <v>9831</v>
      </c>
      <c r="N1060" s="15">
        <v>153294</v>
      </c>
      <c r="O1060" s="17" cm="1">
        <f t="array" ref="O1060">(H1060-H1059)/H1059</f>
        <v>-0.017451205510907</v>
      </c>
    </row>
    <row r="1061" ht="13.65" customHeight="1">
      <c r="A1061" s="20">
        <v>45791</v>
      </c>
      <c r="B1061" t="s" s="13">
        <v>22</v>
      </c>
      <c r="C1061" s="15">
        <v>427.1</v>
      </c>
      <c r="D1061" s="15">
        <v>431.85</v>
      </c>
      <c r="E1061" s="15">
        <v>425.9</v>
      </c>
      <c r="F1061" s="15">
        <v>427.9</v>
      </c>
      <c r="G1061" s="15">
        <v>429.05</v>
      </c>
      <c r="H1061" s="15">
        <v>429.1</v>
      </c>
      <c r="I1061" s="15">
        <v>428.65</v>
      </c>
      <c r="J1061" s="15">
        <v>471.5</v>
      </c>
      <c r="K1061" s="15">
        <v>390.15</v>
      </c>
      <c r="L1061" s="15">
        <v>9557309</v>
      </c>
      <c r="M1061" t="s" s="13">
        <v>9832</v>
      </c>
      <c r="N1061" s="15">
        <v>96326</v>
      </c>
      <c r="O1061" s="17" cm="1">
        <f t="array" ref="O1061">(H1061-H1060)/H1060</f>
        <v>0.00280439354989484</v>
      </c>
    </row>
    <row r="1062" ht="13.65" customHeight="1">
      <c r="A1062" s="20">
        <v>45792</v>
      </c>
      <c r="B1062" t="s" s="13">
        <v>22</v>
      </c>
      <c r="C1062" s="15">
        <v>429.1</v>
      </c>
      <c r="D1062" s="15">
        <v>435.4</v>
      </c>
      <c r="E1062" s="15">
        <v>426</v>
      </c>
      <c r="F1062" s="15">
        <v>429.1</v>
      </c>
      <c r="G1062" s="15">
        <v>432</v>
      </c>
      <c r="H1062" s="15">
        <v>432.65</v>
      </c>
      <c r="I1062" s="15">
        <v>431.14</v>
      </c>
      <c r="J1062" s="15">
        <v>471.5</v>
      </c>
      <c r="K1062" s="15">
        <v>390.15</v>
      </c>
      <c r="L1062" s="15">
        <v>24263510</v>
      </c>
      <c r="M1062" t="s" s="13">
        <v>9833</v>
      </c>
      <c r="N1062" s="15">
        <v>173965</v>
      </c>
      <c r="O1062" s="17" cm="1">
        <f t="array" ref="O1062">(H1062-H1061)/H1061</f>
        <v>0.00827312980657189</v>
      </c>
    </row>
    <row r="1063" ht="13.65" customHeight="1">
      <c r="A1063" s="20">
        <v>45793</v>
      </c>
      <c r="B1063" t="s" s="13">
        <v>22</v>
      </c>
      <c r="C1063" s="15">
        <v>434.9</v>
      </c>
      <c r="D1063" s="15">
        <v>436.2</v>
      </c>
      <c r="E1063" s="15">
        <v>432.1</v>
      </c>
      <c r="F1063" s="15">
        <v>432.65</v>
      </c>
      <c r="G1063" s="15">
        <v>435.6</v>
      </c>
      <c r="H1063" s="15">
        <v>435.7</v>
      </c>
      <c r="I1063" s="15">
        <v>434.74</v>
      </c>
      <c r="J1063" s="15">
        <v>471.5</v>
      </c>
      <c r="K1063" s="15">
        <v>390.15</v>
      </c>
      <c r="L1063" s="15">
        <v>16402035</v>
      </c>
      <c r="M1063" t="s" s="13">
        <v>9834</v>
      </c>
      <c r="N1063" s="15">
        <v>105849</v>
      </c>
      <c r="O1063" s="17" cm="1">
        <f t="array" ref="O1063">(H1063-H1062)/H1062</f>
        <v>0.0070495781809777</v>
      </c>
    </row>
    <row r="1064" ht="13.65" customHeight="1">
      <c r="A1064" s="20">
        <v>45796</v>
      </c>
      <c r="B1064" t="s" s="13">
        <v>22</v>
      </c>
      <c r="C1064" s="15">
        <v>435</v>
      </c>
      <c r="D1064" s="15">
        <v>438.5</v>
      </c>
      <c r="E1064" s="15">
        <v>432.65</v>
      </c>
      <c r="F1064" s="15">
        <v>435.7</v>
      </c>
      <c r="G1064" s="15">
        <v>436.1</v>
      </c>
      <c r="H1064" s="15">
        <v>435.35</v>
      </c>
      <c r="I1064" s="15">
        <v>435</v>
      </c>
      <c r="J1064" s="15">
        <v>471.5</v>
      </c>
      <c r="K1064" s="15">
        <v>390.15</v>
      </c>
      <c r="L1064" s="15">
        <v>7543854</v>
      </c>
      <c r="M1064" t="s" s="13">
        <v>9835</v>
      </c>
      <c r="N1064" s="15">
        <v>104429</v>
      </c>
      <c r="O1064" s="17" cm="1">
        <f t="array" ref="O1064">(H1064-H1063)/H1063</f>
        <v>-0.000803305026394308</v>
      </c>
    </row>
    <row r="1065" ht="13.65" customHeight="1">
      <c r="A1065" s="20">
        <v>45797</v>
      </c>
      <c r="B1065" t="s" s="13">
        <v>22</v>
      </c>
      <c r="C1065" s="15">
        <v>437</v>
      </c>
      <c r="D1065" s="15">
        <v>440.8</v>
      </c>
      <c r="E1065" s="15">
        <v>432.9</v>
      </c>
      <c r="F1065" s="15">
        <v>435.35</v>
      </c>
      <c r="G1065" s="15">
        <v>435.4</v>
      </c>
      <c r="H1065" s="15">
        <v>434.9</v>
      </c>
      <c r="I1065" s="15">
        <v>436.58</v>
      </c>
      <c r="J1065" s="15">
        <v>471.5</v>
      </c>
      <c r="K1065" s="15">
        <v>390.15</v>
      </c>
      <c r="L1065" s="15">
        <v>9868414</v>
      </c>
      <c r="M1065" t="s" s="13">
        <v>9836</v>
      </c>
      <c r="N1065" s="15">
        <v>103234</v>
      </c>
      <c r="O1065" s="17" cm="1">
        <f t="array" ref="O1065">(H1065-H1064)/H1064</f>
        <v>-0.00103365108533364</v>
      </c>
    </row>
    <row r="1066" ht="13.65" customHeight="1">
      <c r="A1066" s="20">
        <v>45798</v>
      </c>
      <c r="B1066" t="s" s="13">
        <v>22</v>
      </c>
      <c r="C1066" s="15">
        <v>436.6</v>
      </c>
      <c r="D1066" s="15">
        <v>438.2</v>
      </c>
      <c r="E1066" s="15">
        <v>432</v>
      </c>
      <c r="F1066" s="15">
        <v>434.9</v>
      </c>
      <c r="G1066" s="15">
        <v>432.4</v>
      </c>
      <c r="H1066" s="15">
        <v>433</v>
      </c>
      <c r="I1066" s="15">
        <v>435.04</v>
      </c>
      <c r="J1066" s="15">
        <v>471.5</v>
      </c>
      <c r="K1066" s="15">
        <v>390.15</v>
      </c>
      <c r="L1066" s="15">
        <v>5776672</v>
      </c>
      <c r="M1066" t="s" s="13">
        <v>9837</v>
      </c>
      <c r="N1066" s="15">
        <v>64175</v>
      </c>
      <c r="O1066" s="17" cm="1">
        <f t="array" ref="O1066">(H1066-H1065)/H1065</f>
        <v>-0.00436882041848701</v>
      </c>
    </row>
    <row r="1067" ht="13.65" customHeight="1">
      <c r="A1067" s="20">
        <v>45799</v>
      </c>
      <c r="B1067" t="s" s="13">
        <v>22</v>
      </c>
      <c r="C1067" s="15">
        <v>433</v>
      </c>
      <c r="D1067" s="15">
        <v>433</v>
      </c>
      <c r="E1067" s="15">
        <v>422.9</v>
      </c>
      <c r="F1067" s="15">
        <v>433</v>
      </c>
      <c r="G1067" s="15">
        <v>425.5</v>
      </c>
      <c r="H1067" s="15">
        <v>426.1</v>
      </c>
      <c r="I1067" s="15">
        <v>425.53</v>
      </c>
      <c r="J1067" s="15">
        <v>471.5</v>
      </c>
      <c r="K1067" s="15">
        <v>390.15</v>
      </c>
      <c r="L1067" s="15">
        <v>19451749</v>
      </c>
      <c r="M1067" t="s" s="13">
        <v>9838</v>
      </c>
      <c r="N1067" s="15">
        <v>172555</v>
      </c>
      <c r="O1067" s="17" cm="1">
        <f t="array" ref="O1067">(H1067-H1066)/H1066</f>
        <v>-0.0159353348729792</v>
      </c>
    </row>
    <row r="1068" ht="13.65" customHeight="1">
      <c r="A1068" s="20">
        <v>45800</v>
      </c>
      <c r="B1068" t="s" s="13">
        <v>22</v>
      </c>
      <c r="C1068" s="15">
        <v>434</v>
      </c>
      <c r="D1068" s="15">
        <v>439</v>
      </c>
      <c r="E1068" s="15">
        <v>429</v>
      </c>
      <c r="F1068" s="15">
        <v>426.1</v>
      </c>
      <c r="G1068" s="15">
        <v>436</v>
      </c>
      <c r="H1068" s="15">
        <v>436.3</v>
      </c>
      <c r="I1068" s="15">
        <v>435.32</v>
      </c>
      <c r="J1068" s="15">
        <v>471.5</v>
      </c>
      <c r="K1068" s="15">
        <v>390.15</v>
      </c>
      <c r="L1068" s="15">
        <v>18536884</v>
      </c>
      <c r="M1068" t="s" s="13">
        <v>9839</v>
      </c>
      <c r="N1068" s="15">
        <v>180589</v>
      </c>
      <c r="O1068" s="17" cm="1">
        <f t="array" ref="O1068">(H1068-H1067)/H1067</f>
        <v>0.0239380427129782</v>
      </c>
    </row>
    <row r="1069" ht="13.65" customHeight="1">
      <c r="A1069" s="20">
        <v>45803</v>
      </c>
      <c r="B1069" t="s" s="13">
        <v>22</v>
      </c>
      <c r="C1069" s="15">
        <v>438.25</v>
      </c>
      <c r="D1069" s="15">
        <v>443.55</v>
      </c>
      <c r="E1069" s="15">
        <v>436.75</v>
      </c>
      <c r="F1069" s="15">
        <v>436.3</v>
      </c>
      <c r="G1069" s="15">
        <v>442.9</v>
      </c>
      <c r="H1069" s="15">
        <v>442.9</v>
      </c>
      <c r="I1069" s="15">
        <v>440.19</v>
      </c>
      <c r="J1069" s="15">
        <v>471.5</v>
      </c>
      <c r="K1069" s="15">
        <v>390.15</v>
      </c>
      <c r="L1069" s="15">
        <v>13107662</v>
      </c>
      <c r="M1069" t="s" s="13">
        <v>9840</v>
      </c>
      <c r="N1069" s="15">
        <v>107919</v>
      </c>
      <c r="O1069" s="17" cm="1">
        <f t="array" ref="O1069">(H1069-H1068)/H1068</f>
        <v>0.0151272060508824</v>
      </c>
    </row>
    <row r="1070" ht="13.65" customHeight="1">
      <c r="A1070" s="20">
        <v>45804</v>
      </c>
      <c r="B1070" t="s" s="13">
        <v>22</v>
      </c>
      <c r="C1070" s="15">
        <v>442.9</v>
      </c>
      <c r="D1070" s="15">
        <v>444.2</v>
      </c>
      <c r="E1070" s="15">
        <v>430.85</v>
      </c>
      <c r="F1070" s="15">
        <v>442.9</v>
      </c>
      <c r="G1070" s="15">
        <v>434.7</v>
      </c>
      <c r="H1070" s="15">
        <v>433.9</v>
      </c>
      <c r="I1070" s="15">
        <v>436.39</v>
      </c>
      <c r="J1070" s="15">
        <v>471.5</v>
      </c>
      <c r="K1070" s="15">
        <v>390.15</v>
      </c>
      <c r="L1070" s="15">
        <v>26986022</v>
      </c>
      <c r="M1070" t="s" s="13">
        <v>9841</v>
      </c>
      <c r="N1070" s="15">
        <v>224458</v>
      </c>
      <c r="O1070" s="17" cm="1">
        <f t="array" ref="O1070">(H1070-H1069)/H1069</f>
        <v>-0.0203206141341161</v>
      </c>
    </row>
    <row r="1071" ht="13.65" customHeight="1">
      <c r="A1071" s="20">
        <v>45805</v>
      </c>
      <c r="B1071" t="s" s="13">
        <v>22</v>
      </c>
      <c r="C1071" s="15">
        <v>417.7</v>
      </c>
      <c r="D1071" s="15">
        <v>422.6</v>
      </c>
      <c r="E1071" s="15">
        <v>413</v>
      </c>
      <c r="F1071" s="15">
        <v>433.9</v>
      </c>
      <c r="G1071" s="15">
        <v>421</v>
      </c>
      <c r="H1071" s="15">
        <v>420.2</v>
      </c>
      <c r="I1071" s="15">
        <v>415.08</v>
      </c>
      <c r="J1071" s="15">
        <v>471.5</v>
      </c>
      <c r="K1071" s="15">
        <v>390.15</v>
      </c>
      <c r="L1071" s="15">
        <v>431851622</v>
      </c>
      <c r="M1071" t="s" s="13">
        <v>9842</v>
      </c>
      <c r="N1071" s="15">
        <v>413487</v>
      </c>
      <c r="O1071" s="17" cm="1">
        <f t="array" ref="O1071">(H1071-H1070)/H1070</f>
        <v>-0.0315740954136898</v>
      </c>
    </row>
    <row r="1072" ht="13.65" customHeight="1">
      <c r="A1072" s="20">
        <v>45806</v>
      </c>
      <c r="B1072" t="s" s="13">
        <v>22</v>
      </c>
      <c r="C1072" s="15">
        <v>422</v>
      </c>
      <c r="D1072" s="15">
        <v>422.8</v>
      </c>
      <c r="E1072" s="15">
        <v>416.6</v>
      </c>
      <c r="F1072" s="15">
        <v>420.2</v>
      </c>
      <c r="G1072" s="15">
        <v>419.35</v>
      </c>
      <c r="H1072" s="15">
        <v>418.75</v>
      </c>
      <c r="I1072" s="15">
        <v>418.44</v>
      </c>
      <c r="J1072" s="15">
        <v>471.5</v>
      </c>
      <c r="K1072" s="15">
        <v>390.15</v>
      </c>
      <c r="L1072" s="15">
        <v>21478547</v>
      </c>
      <c r="M1072" t="s" s="13">
        <v>9843</v>
      </c>
      <c r="N1072" s="15">
        <v>201763</v>
      </c>
      <c r="O1072" s="17" cm="1">
        <f t="array" ref="O1072">(H1072-H1071)/H1071</f>
        <v>-0.00345073774393146</v>
      </c>
    </row>
    <row r="1073" ht="13.65" customHeight="1">
      <c r="A1073" s="20">
        <v>45807</v>
      </c>
      <c r="B1073" t="s" s="13">
        <v>22</v>
      </c>
      <c r="C1073" s="15">
        <v>419.1</v>
      </c>
      <c r="D1073" s="15">
        <v>420.05</v>
      </c>
      <c r="E1073" s="15">
        <v>416.4</v>
      </c>
      <c r="F1073" s="15">
        <v>418.75</v>
      </c>
      <c r="G1073" s="15">
        <v>418.75</v>
      </c>
      <c r="H1073" s="15">
        <v>418.05</v>
      </c>
      <c r="I1073" s="15">
        <v>417.87</v>
      </c>
      <c r="J1073" s="15">
        <v>471.5</v>
      </c>
      <c r="K1073" s="15">
        <v>390.15</v>
      </c>
      <c r="L1073" s="15">
        <v>30656239</v>
      </c>
      <c r="M1073" t="s" s="13">
        <v>9844</v>
      </c>
      <c r="N1073" s="15">
        <v>159932</v>
      </c>
      <c r="O1073" s="17" cm="1">
        <f t="array" ref="O1073">(H1073-H1072)/H1072</f>
        <v>-0.00167164179104478</v>
      </c>
    </row>
    <row r="1074" ht="13.65" customHeight="1">
      <c r="A1074" s="12">
        <v>45810</v>
      </c>
      <c r="B1074" t="s" s="13">
        <v>22</v>
      </c>
      <c r="C1074" s="15">
        <v>418.3</v>
      </c>
      <c r="D1074" s="15">
        <v>420.45</v>
      </c>
      <c r="E1074" s="15">
        <v>414.55</v>
      </c>
      <c r="F1074" s="15">
        <v>418.05</v>
      </c>
      <c r="G1074" s="15">
        <v>418.5</v>
      </c>
      <c r="H1074" s="15">
        <v>419.3</v>
      </c>
      <c r="I1074" s="15">
        <v>418.16</v>
      </c>
      <c r="J1074" s="15">
        <v>471.5</v>
      </c>
      <c r="K1074" s="15">
        <v>390.15</v>
      </c>
      <c r="L1074" s="15">
        <v>14973380</v>
      </c>
      <c r="M1074" t="s" s="13">
        <v>9845</v>
      </c>
      <c r="N1074" s="15">
        <v>165410</v>
      </c>
      <c r="O1074" s="17" cm="1">
        <f t="array" ref="O1074">(H1074-H1073)/H1073</f>
        <v>0.00299007295778017</v>
      </c>
    </row>
    <row r="1075" ht="13.65" customHeight="1">
      <c r="A1075" s="12">
        <v>45811</v>
      </c>
      <c r="B1075" t="s" s="13">
        <v>22</v>
      </c>
      <c r="C1075" s="15">
        <v>419</v>
      </c>
      <c r="D1075" s="15">
        <v>421.7</v>
      </c>
      <c r="E1075" s="15">
        <v>415.65</v>
      </c>
      <c r="F1075" s="15">
        <v>419.3</v>
      </c>
      <c r="G1075" s="15">
        <v>417</v>
      </c>
      <c r="H1075" s="15">
        <v>416.95</v>
      </c>
      <c r="I1075" s="15">
        <v>418.03</v>
      </c>
      <c r="J1075" s="15">
        <v>471.5</v>
      </c>
      <c r="K1075" s="15">
        <v>390.15</v>
      </c>
      <c r="L1075" s="15">
        <v>13216486</v>
      </c>
      <c r="M1075" t="s" s="13">
        <v>9846</v>
      </c>
      <c r="N1075" s="15">
        <v>140901</v>
      </c>
      <c r="O1075" s="17" cm="1">
        <f t="array" ref="O1075">(H1075-H1074)/H1074</f>
        <v>-0.00560457906033866</v>
      </c>
    </row>
    <row r="1076" ht="13.65" customHeight="1">
      <c r="A1076" s="12">
        <v>45812</v>
      </c>
      <c r="B1076" t="s" s="13">
        <v>22</v>
      </c>
      <c r="C1076" s="15">
        <v>417.15</v>
      </c>
      <c r="D1076" s="15">
        <v>419</v>
      </c>
      <c r="E1076" s="15">
        <v>415.95</v>
      </c>
      <c r="F1076" s="15">
        <v>416.95</v>
      </c>
      <c r="G1076" s="15">
        <v>416.8</v>
      </c>
      <c r="H1076" s="15">
        <v>417</v>
      </c>
      <c r="I1076" s="15">
        <v>417.14</v>
      </c>
      <c r="J1076" s="15">
        <v>471.5</v>
      </c>
      <c r="K1076" s="15">
        <v>390.15</v>
      </c>
      <c r="L1076" s="15">
        <v>12598933</v>
      </c>
      <c r="M1076" t="s" s="13">
        <v>9847</v>
      </c>
      <c r="N1076" s="15">
        <v>116476</v>
      </c>
      <c r="O1076" s="17" cm="1">
        <f t="array" ref="O1076">(H1076-H1075)/H1075</f>
        <v>0.000119918455450294</v>
      </c>
    </row>
    <row r="1077" ht="13.65" customHeight="1">
      <c r="A1077" s="12">
        <v>45813</v>
      </c>
      <c r="B1077" t="s" s="13">
        <v>22</v>
      </c>
      <c r="C1077" s="15">
        <v>418.5</v>
      </c>
      <c r="D1077" s="15">
        <v>420.95</v>
      </c>
      <c r="E1077" s="15">
        <v>415.75</v>
      </c>
      <c r="F1077" s="15">
        <v>417</v>
      </c>
      <c r="G1077" s="15">
        <v>419.45</v>
      </c>
      <c r="H1077" s="15">
        <v>419.1</v>
      </c>
      <c r="I1077" s="15">
        <v>418.56</v>
      </c>
      <c r="J1077" s="15">
        <v>471.5</v>
      </c>
      <c r="K1077" s="15">
        <v>390.15</v>
      </c>
      <c r="L1077" s="15">
        <v>13212523</v>
      </c>
      <c r="M1077" t="s" s="13">
        <v>9848</v>
      </c>
      <c r="N1077" s="15">
        <v>125958</v>
      </c>
      <c r="O1077" s="17" cm="1">
        <f t="array" ref="O1077">(H1077-H1076)/H1076</f>
        <v>0.00503597122302158</v>
      </c>
    </row>
    <row r="1078" ht="13.65" customHeight="1">
      <c r="A1078" s="12">
        <v>45814</v>
      </c>
      <c r="B1078" t="s" s="13">
        <v>22</v>
      </c>
      <c r="C1078" s="15">
        <v>420.3</v>
      </c>
      <c r="D1078" s="15">
        <v>421.3</v>
      </c>
      <c r="E1078" s="15">
        <v>419</v>
      </c>
      <c r="F1078" s="15">
        <v>419.1</v>
      </c>
      <c r="G1078" s="15">
        <v>421.05</v>
      </c>
      <c r="H1078" s="15">
        <v>421.05</v>
      </c>
      <c r="I1078" s="15">
        <v>420.36</v>
      </c>
      <c r="J1078" s="15">
        <v>471.5</v>
      </c>
      <c r="K1078" s="15">
        <v>390.15</v>
      </c>
      <c r="L1078" s="15">
        <v>8774988</v>
      </c>
      <c r="M1078" t="s" s="13">
        <v>9849</v>
      </c>
      <c r="N1078" s="15">
        <v>135147</v>
      </c>
      <c r="O1078" s="17" cm="1">
        <f t="array" ref="O1078">(H1078-H1077)/H1077</f>
        <v>0.00465282748747316</v>
      </c>
    </row>
    <row r="1079" ht="13.65" customHeight="1">
      <c r="A1079" s="12">
        <v>45817</v>
      </c>
      <c r="B1079" t="s" s="13">
        <v>22</v>
      </c>
      <c r="C1079" s="15">
        <v>422</v>
      </c>
      <c r="D1079" s="15">
        <v>423.6</v>
      </c>
      <c r="E1079" s="15">
        <v>420.5</v>
      </c>
      <c r="F1079" s="15">
        <v>421.05</v>
      </c>
      <c r="G1079" s="15">
        <v>423</v>
      </c>
      <c r="H1079" s="15">
        <v>423.05</v>
      </c>
      <c r="I1079" s="15">
        <v>422.61</v>
      </c>
      <c r="J1079" s="15">
        <v>471.5</v>
      </c>
      <c r="K1079" s="15">
        <v>390.15</v>
      </c>
      <c r="L1079" s="15">
        <v>10473123</v>
      </c>
      <c r="M1079" t="s" s="13">
        <v>9850</v>
      </c>
      <c r="N1079" s="15">
        <v>152980</v>
      </c>
      <c r="O1079" s="17" cm="1">
        <f t="array" ref="O1079">(H1079-H1078)/H1078</f>
        <v>0.00475002968768555</v>
      </c>
    </row>
    <row r="1080" ht="13.65" customHeight="1">
      <c r="A1080" s="18">
        <v>45818</v>
      </c>
      <c r="B1080" t="s" s="13">
        <v>22</v>
      </c>
      <c r="C1080" s="15">
        <v>424.5</v>
      </c>
      <c r="D1080" s="15">
        <v>428.55</v>
      </c>
      <c r="E1080" s="15">
        <v>423.05</v>
      </c>
      <c r="F1080" s="15">
        <v>423.05</v>
      </c>
      <c r="G1080" s="15">
        <v>427.65</v>
      </c>
      <c r="H1080" s="15">
        <v>427</v>
      </c>
      <c r="I1080" s="15">
        <v>426.58</v>
      </c>
      <c r="J1080" s="15">
        <v>471.5</v>
      </c>
      <c r="K1080" s="15">
        <v>390.15</v>
      </c>
      <c r="L1080" s="15">
        <v>13041075</v>
      </c>
      <c r="M1080" t="s" s="13">
        <v>9851</v>
      </c>
      <c r="N1080" s="15">
        <v>170097</v>
      </c>
      <c r="O1080" s="17" cm="1">
        <f t="array" ref="O1080">(H1080-H1079)/H1079</f>
        <v>0.00933695780640586</v>
      </c>
    </row>
    <row r="1081" ht="13.65" customHeight="1">
      <c r="A1081" s="18">
        <v>45819</v>
      </c>
      <c r="B1081" t="s" s="13">
        <v>22</v>
      </c>
      <c r="C1081" s="15">
        <v>428</v>
      </c>
      <c r="D1081" s="15">
        <v>428.1</v>
      </c>
      <c r="E1081" s="15">
        <v>424.85</v>
      </c>
      <c r="F1081" s="15">
        <v>427</v>
      </c>
      <c r="G1081" s="15">
        <v>425.55</v>
      </c>
      <c r="H1081" s="15">
        <v>426.15</v>
      </c>
      <c r="I1081" s="15">
        <v>426.47</v>
      </c>
      <c r="J1081" s="15">
        <v>471.5</v>
      </c>
      <c r="K1081" s="15">
        <v>390.15</v>
      </c>
      <c r="L1081" s="15">
        <v>20789182</v>
      </c>
      <c r="M1081" t="s" s="13">
        <v>9852</v>
      </c>
      <c r="N1081" s="15">
        <v>148079</v>
      </c>
      <c r="O1081" s="17" cm="1">
        <f t="array" ref="O1081">(H1081-H1080)/H1080</f>
        <v>-0.00199063231850117</v>
      </c>
    </row>
    <row r="1082" ht="13.65" customHeight="1">
      <c r="A1082" s="18">
        <v>45820</v>
      </c>
      <c r="B1082" t="s" s="13">
        <v>22</v>
      </c>
      <c r="C1082" s="15">
        <v>427</v>
      </c>
      <c r="D1082" s="15">
        <v>427.2</v>
      </c>
      <c r="E1082" s="15">
        <v>419.55</v>
      </c>
      <c r="F1082" s="15">
        <v>426.15</v>
      </c>
      <c r="G1082" s="15">
        <v>420.95</v>
      </c>
      <c r="H1082" s="15">
        <v>421</v>
      </c>
      <c r="I1082" s="15">
        <v>421.78</v>
      </c>
      <c r="J1082" s="15">
        <v>471.5</v>
      </c>
      <c r="K1082" s="15">
        <v>390.15</v>
      </c>
      <c r="L1082" s="15">
        <v>18508835</v>
      </c>
      <c r="M1082" t="s" s="13">
        <v>9853</v>
      </c>
      <c r="N1082" s="15">
        <v>250912</v>
      </c>
      <c r="O1082" s="17" cm="1">
        <f t="array" ref="O1082">(H1082-H1081)/H1081</f>
        <v>-0.0120849466150417</v>
      </c>
    </row>
    <row r="1083" ht="13.65" customHeight="1">
      <c r="A1083" s="18">
        <v>45821</v>
      </c>
      <c r="B1083" t="s" s="13">
        <v>22</v>
      </c>
      <c r="C1083" s="15">
        <v>415</v>
      </c>
      <c r="D1083" s="15">
        <v>419.35</v>
      </c>
      <c r="E1083" s="15">
        <v>413.5</v>
      </c>
      <c r="F1083" s="15">
        <v>421</v>
      </c>
      <c r="G1083" s="15">
        <v>413.95</v>
      </c>
      <c r="H1083" s="15">
        <v>413.9</v>
      </c>
      <c r="I1083" s="15">
        <v>416.29</v>
      </c>
      <c r="J1083" s="15">
        <v>471.5</v>
      </c>
      <c r="K1083" s="15">
        <v>390.15</v>
      </c>
      <c r="L1083" s="15">
        <v>17873926</v>
      </c>
      <c r="M1083" t="s" s="13">
        <v>9854</v>
      </c>
      <c r="N1083" s="15">
        <v>163341</v>
      </c>
      <c r="O1083" s="17" cm="1">
        <f t="array" ref="O1083">(H1083-H1082)/H1082</f>
        <v>-0.0168646080760095</v>
      </c>
    </row>
    <row r="1084" ht="13.65" customHeight="1">
      <c r="A1084" s="18">
        <v>45824</v>
      </c>
      <c r="B1084" t="s" s="13">
        <v>22</v>
      </c>
      <c r="C1084" s="15">
        <v>414.95</v>
      </c>
      <c r="D1084" s="15">
        <v>418.9</v>
      </c>
      <c r="E1084" s="15">
        <v>413.25</v>
      </c>
      <c r="F1084" s="15">
        <v>413.9</v>
      </c>
      <c r="G1084" s="15">
        <v>418.65</v>
      </c>
      <c r="H1084" s="15">
        <v>418.2</v>
      </c>
      <c r="I1084" s="15">
        <v>417.32</v>
      </c>
      <c r="J1084" s="15">
        <v>471.5</v>
      </c>
      <c r="K1084" s="15">
        <v>390.15</v>
      </c>
      <c r="L1084" s="15">
        <v>7006629</v>
      </c>
      <c r="M1084" t="s" s="13">
        <v>9855</v>
      </c>
      <c r="N1084" s="15">
        <v>101302</v>
      </c>
      <c r="O1084" s="17" cm="1">
        <f t="array" ref="O1084">(H1084-H1083)/H1083</f>
        <v>0.0103889828460981</v>
      </c>
    </row>
    <row r="1085" ht="13.65" customHeight="1">
      <c r="A1085" s="18">
        <v>45825</v>
      </c>
      <c r="B1085" t="s" s="13">
        <v>22</v>
      </c>
      <c r="C1085" s="15">
        <v>418.1</v>
      </c>
      <c r="D1085" s="15">
        <v>419.05</v>
      </c>
      <c r="E1085" s="15">
        <v>415.7</v>
      </c>
      <c r="F1085" s="15">
        <v>418.2</v>
      </c>
      <c r="G1085" s="15">
        <v>417.05</v>
      </c>
      <c r="H1085" s="15">
        <v>417.4</v>
      </c>
      <c r="I1085" s="15">
        <v>417.33</v>
      </c>
      <c r="J1085" s="15">
        <v>471.5</v>
      </c>
      <c r="K1085" s="15">
        <v>390.15</v>
      </c>
      <c r="L1085" s="15">
        <v>9028406</v>
      </c>
      <c r="M1085" t="s" s="13">
        <v>9856</v>
      </c>
      <c r="N1085" s="15">
        <v>115094</v>
      </c>
      <c r="O1085" s="17" cm="1">
        <f t="array" ref="O1085">(H1085-H1084)/H1084</f>
        <v>-0.00191296030607365</v>
      </c>
    </row>
    <row r="1086" ht="13.65" customHeight="1">
      <c r="A1086" s="18">
        <v>45826</v>
      </c>
      <c r="B1086" t="s" s="13">
        <v>22</v>
      </c>
      <c r="C1086" s="15">
        <v>417</v>
      </c>
      <c r="D1086" s="15">
        <v>418.45</v>
      </c>
      <c r="E1086" s="15">
        <v>414.9</v>
      </c>
      <c r="F1086" s="15">
        <v>417.4</v>
      </c>
      <c r="G1086" s="15">
        <v>415.6</v>
      </c>
      <c r="H1086" s="15">
        <v>415.9</v>
      </c>
      <c r="I1086" s="15">
        <v>416.11</v>
      </c>
      <c r="J1086" s="15">
        <v>471.5</v>
      </c>
      <c r="K1086" s="15">
        <v>390.15</v>
      </c>
      <c r="L1086" s="15">
        <v>8036215</v>
      </c>
      <c r="M1086" t="s" s="13">
        <v>9857</v>
      </c>
      <c r="N1086" s="15">
        <v>126035</v>
      </c>
      <c r="O1086" s="17" cm="1">
        <f t="array" ref="O1086">(H1086-H1085)/H1085</f>
        <v>-0.00359367513176809</v>
      </c>
    </row>
    <row r="1087" ht="13.65" customHeight="1">
      <c r="A1087" s="18">
        <v>45827</v>
      </c>
      <c r="B1087" t="s" s="13">
        <v>22</v>
      </c>
      <c r="C1087" s="15">
        <v>415.65</v>
      </c>
      <c r="D1087" s="15">
        <v>418.25</v>
      </c>
      <c r="E1087" s="15">
        <v>414.8</v>
      </c>
      <c r="F1087" s="15">
        <v>415.9</v>
      </c>
      <c r="G1087" s="15">
        <v>415.8</v>
      </c>
      <c r="H1087" s="15">
        <v>416</v>
      </c>
      <c r="I1087" s="15">
        <v>416.72</v>
      </c>
      <c r="J1087" s="15">
        <v>471.5</v>
      </c>
      <c r="K1087" s="15">
        <v>390.15</v>
      </c>
      <c r="L1087" s="15">
        <v>12601006</v>
      </c>
      <c r="M1087" t="s" s="13">
        <v>9858</v>
      </c>
      <c r="N1087" s="15">
        <v>91846</v>
      </c>
      <c r="O1087" s="17" cm="1">
        <f t="array" ref="O1087">(H1087-H1086)/H1086</f>
        <v>0.000240442414041837</v>
      </c>
    </row>
    <row r="1088" ht="13.65" customHeight="1">
      <c r="A1088" s="18">
        <v>45828</v>
      </c>
      <c r="B1088" t="s" s="13">
        <v>22</v>
      </c>
      <c r="C1088" s="15">
        <v>416</v>
      </c>
      <c r="D1088" s="15">
        <v>419.5</v>
      </c>
      <c r="E1088" s="15">
        <v>416</v>
      </c>
      <c r="F1088" s="15">
        <v>416</v>
      </c>
      <c r="G1088" s="15">
        <v>417.25</v>
      </c>
      <c r="H1088" s="15">
        <v>418.55</v>
      </c>
      <c r="I1088" s="15">
        <v>418.46</v>
      </c>
      <c r="J1088" s="15">
        <v>471.5</v>
      </c>
      <c r="K1088" s="15">
        <v>390.15</v>
      </c>
      <c r="L1088" s="15">
        <v>13203184</v>
      </c>
      <c r="M1088" t="s" s="13">
        <v>9859</v>
      </c>
      <c r="N1088" s="15">
        <v>110675</v>
      </c>
      <c r="O1088" s="17" cm="1">
        <f t="array" ref="O1088">(H1088-H1087)/H1087</f>
        <v>0.00612980769230769</v>
      </c>
    </row>
    <row r="1089" ht="13.65" customHeight="1">
      <c r="A1089" s="18">
        <v>45831</v>
      </c>
      <c r="B1089" t="s" s="13">
        <v>22</v>
      </c>
      <c r="C1089" s="15">
        <v>417</v>
      </c>
      <c r="D1089" s="15">
        <v>417.5</v>
      </c>
      <c r="E1089" s="15">
        <v>411.75</v>
      </c>
      <c r="F1089" s="15">
        <v>418.55</v>
      </c>
      <c r="G1089" s="15">
        <v>413.4</v>
      </c>
      <c r="H1089" s="15">
        <v>413.9</v>
      </c>
      <c r="I1089" s="15">
        <v>415</v>
      </c>
      <c r="J1089" s="15">
        <v>471.5</v>
      </c>
      <c r="K1089" s="15">
        <v>390.15</v>
      </c>
      <c r="L1089" s="15">
        <v>14839890</v>
      </c>
      <c r="M1089" t="s" s="13">
        <v>9860</v>
      </c>
      <c r="N1089" s="15">
        <v>171311</v>
      </c>
      <c r="O1089" s="17" cm="1">
        <f t="array" ref="O1089">(H1089-H1088)/H1088</f>
        <v>-0.0111097837773265</v>
      </c>
    </row>
    <row r="1090" ht="13.65" customHeight="1">
      <c r="A1090" s="18">
        <v>45832</v>
      </c>
      <c r="B1090" t="s" s="13">
        <v>22</v>
      </c>
      <c r="C1090" s="15">
        <v>416.9</v>
      </c>
      <c r="D1090" s="15">
        <v>420.65</v>
      </c>
      <c r="E1090" s="15">
        <v>413.75</v>
      </c>
      <c r="F1090" s="15">
        <v>413.9</v>
      </c>
      <c r="G1090" s="15">
        <v>414.55</v>
      </c>
      <c r="H1090" s="15">
        <v>414.35</v>
      </c>
      <c r="I1090" s="15">
        <v>416.39</v>
      </c>
      <c r="J1090" s="15">
        <v>471.5</v>
      </c>
      <c r="K1090" s="15">
        <v>390.15</v>
      </c>
      <c r="L1090" s="15">
        <v>16690068</v>
      </c>
      <c r="M1090" t="s" s="13">
        <v>9861</v>
      </c>
      <c r="N1090" s="15">
        <v>201406</v>
      </c>
      <c r="O1090" s="17" cm="1">
        <f t="array" ref="O1090">(H1090-H1089)/H1089</f>
        <v>0.00108721913505678</v>
      </c>
    </row>
    <row r="1091" ht="13.65" customHeight="1">
      <c r="A1091" s="18">
        <v>45833</v>
      </c>
      <c r="B1091" t="s" s="13">
        <v>22</v>
      </c>
      <c r="C1091" s="15">
        <v>416.4</v>
      </c>
      <c r="D1091" s="15">
        <v>418.15</v>
      </c>
      <c r="E1091" s="15">
        <v>415.1</v>
      </c>
      <c r="F1091" s="15">
        <v>414.35</v>
      </c>
      <c r="G1091" s="15">
        <v>416.1</v>
      </c>
      <c r="H1091" s="15">
        <v>416.35</v>
      </c>
      <c r="I1091" s="15">
        <v>416.89</v>
      </c>
      <c r="J1091" s="15">
        <v>471.5</v>
      </c>
      <c r="K1091" s="15">
        <v>390.15</v>
      </c>
      <c r="L1091" s="15">
        <v>9946718</v>
      </c>
      <c r="M1091" t="s" s="13">
        <v>9862</v>
      </c>
      <c r="N1091" s="15">
        <v>150780</v>
      </c>
      <c r="O1091" s="17" cm="1">
        <f t="array" ref="O1091">(H1091-H1090)/H1090</f>
        <v>0.00482683721491493</v>
      </c>
    </row>
    <row r="1092" ht="13.65" customHeight="1">
      <c r="A1092" s="18">
        <v>45834</v>
      </c>
      <c r="B1092" t="s" s="13">
        <v>22</v>
      </c>
      <c r="C1092" s="15">
        <v>417.2</v>
      </c>
      <c r="D1092" s="15">
        <v>420.9</v>
      </c>
      <c r="E1092" s="15">
        <v>416.25</v>
      </c>
      <c r="F1092" s="15">
        <v>416.35</v>
      </c>
      <c r="G1092" s="15">
        <v>420</v>
      </c>
      <c r="H1092" s="15">
        <v>420.3</v>
      </c>
      <c r="I1092" s="15">
        <v>418.46</v>
      </c>
      <c r="J1092" s="15">
        <v>471.5</v>
      </c>
      <c r="K1092" s="15">
        <v>390.15</v>
      </c>
      <c r="L1092" s="15">
        <v>13703918</v>
      </c>
      <c r="M1092" t="s" s="13">
        <v>9863</v>
      </c>
      <c r="N1092" s="15">
        <v>248476</v>
      </c>
      <c r="O1092" s="17" cm="1">
        <f t="array" ref="O1092">(H1092-H1091)/H1091</f>
        <v>0.00948721027981266</v>
      </c>
    </row>
    <row r="1093" ht="13.65" customHeight="1">
      <c r="A1093" s="18">
        <v>45835</v>
      </c>
      <c r="B1093" t="s" s="13">
        <v>22</v>
      </c>
      <c r="C1093" s="15">
        <v>421</v>
      </c>
      <c r="D1093" s="15">
        <v>422</v>
      </c>
      <c r="E1093" s="15">
        <v>417.8</v>
      </c>
      <c r="F1093" s="15">
        <v>420.3</v>
      </c>
      <c r="G1093" s="15">
        <v>420</v>
      </c>
      <c r="H1093" s="15">
        <v>418.65</v>
      </c>
      <c r="I1093" s="15">
        <v>419.38</v>
      </c>
      <c r="J1093" s="15">
        <v>471.5</v>
      </c>
      <c r="K1093" s="15">
        <v>390.15</v>
      </c>
      <c r="L1093" s="15">
        <v>21409935</v>
      </c>
      <c r="M1093" t="s" s="13">
        <v>9864</v>
      </c>
      <c r="N1093" s="15">
        <v>138937</v>
      </c>
      <c r="O1093" s="17" cm="1">
        <f t="array" ref="O1093">(H1093-H1092)/H1092</f>
        <v>-0.00392576730906495</v>
      </c>
    </row>
    <row r="1094" ht="13.65" customHeight="1">
      <c r="A1094" s="18">
        <v>45838</v>
      </c>
      <c r="B1094" t="s" s="13">
        <v>22</v>
      </c>
      <c r="C1094" s="15">
        <v>419.8</v>
      </c>
      <c r="D1094" s="15">
        <v>420.75</v>
      </c>
      <c r="E1094" s="15">
        <v>415.8</v>
      </c>
      <c r="F1094" s="15">
        <v>418.65</v>
      </c>
      <c r="G1094" s="15">
        <v>416.3</v>
      </c>
      <c r="H1094" s="15">
        <v>416.45</v>
      </c>
      <c r="I1094" s="15">
        <v>417.37</v>
      </c>
      <c r="J1094" s="15">
        <v>471.5</v>
      </c>
      <c r="K1094" s="15">
        <v>390.15</v>
      </c>
      <c r="L1094" s="15">
        <v>12317124</v>
      </c>
      <c r="M1094" t="s" s="13">
        <v>9865</v>
      </c>
      <c r="N1094" s="15">
        <v>145533</v>
      </c>
      <c r="O1094" s="17" cm="1">
        <f t="array" ref="O1094">(H1094-H1093)/H1093</f>
        <v>-0.00525498626537681</v>
      </c>
    </row>
    <row r="1095" ht="13.65" customHeight="1">
      <c r="A1095" s="12">
        <v>45839</v>
      </c>
      <c r="B1095" t="s" s="13">
        <v>22</v>
      </c>
      <c r="C1095" s="15">
        <v>417</v>
      </c>
      <c r="D1095" s="15">
        <v>418.85</v>
      </c>
      <c r="E1095" s="15">
        <v>414.9</v>
      </c>
      <c r="F1095" s="15">
        <v>416.45</v>
      </c>
      <c r="G1095" s="15">
        <v>415.1</v>
      </c>
      <c r="H1095" s="15">
        <v>415.1</v>
      </c>
      <c r="I1095" s="15">
        <v>416.37</v>
      </c>
      <c r="J1095" s="15">
        <v>471.5</v>
      </c>
      <c r="K1095" s="15">
        <v>390.15</v>
      </c>
      <c r="L1095" s="15">
        <v>13670465</v>
      </c>
      <c r="M1095" t="s" s="13">
        <v>9866</v>
      </c>
      <c r="N1095" s="15">
        <v>135207</v>
      </c>
      <c r="O1095" s="17" cm="1">
        <f t="array" ref="O1095">(H1095-H1094)/H1094</f>
        <v>-0.00324168567655181</v>
      </c>
    </row>
    <row r="1096" ht="13.65" customHeight="1">
      <c r="A1096" s="12">
        <v>45840</v>
      </c>
      <c r="B1096" t="s" s="13">
        <v>22</v>
      </c>
      <c r="C1096" s="15">
        <v>416.9</v>
      </c>
      <c r="D1096" s="15">
        <v>416.9</v>
      </c>
      <c r="E1096" s="15">
        <v>411.7</v>
      </c>
      <c r="F1096" s="15">
        <v>415.1</v>
      </c>
      <c r="G1096" s="15">
        <v>413.2</v>
      </c>
      <c r="H1096" s="15">
        <v>412.95</v>
      </c>
      <c r="I1096" s="15">
        <v>413.58</v>
      </c>
      <c r="J1096" s="15">
        <v>471.5</v>
      </c>
      <c r="K1096" s="15">
        <v>390.15</v>
      </c>
      <c r="L1096" s="15">
        <v>15990899</v>
      </c>
      <c r="M1096" t="s" s="13">
        <v>9867</v>
      </c>
      <c r="N1096" s="15">
        <v>148675</v>
      </c>
      <c r="O1096" s="17" cm="1">
        <f t="array" ref="O1096">(H1096-H1095)/H1095</f>
        <v>-0.00517947482534329</v>
      </c>
    </row>
    <row r="1097" ht="13.65" customHeight="1">
      <c r="A1097" s="12">
        <v>45841</v>
      </c>
      <c r="B1097" t="s" s="13">
        <v>22</v>
      </c>
      <c r="C1097" s="15">
        <v>414</v>
      </c>
      <c r="D1097" s="15">
        <v>416</v>
      </c>
      <c r="E1097" s="15">
        <v>411.25</v>
      </c>
      <c r="F1097" s="15">
        <v>412.95</v>
      </c>
      <c r="G1097" s="15">
        <v>413.9</v>
      </c>
      <c r="H1097" s="15">
        <v>413.35</v>
      </c>
      <c r="I1097" s="15">
        <v>413.57</v>
      </c>
      <c r="J1097" s="15">
        <v>471.5</v>
      </c>
      <c r="K1097" s="15">
        <v>390.15</v>
      </c>
      <c r="L1097" s="15">
        <v>14185298</v>
      </c>
      <c r="M1097" t="s" s="13">
        <v>9868</v>
      </c>
      <c r="N1097" s="15">
        <v>142804</v>
      </c>
      <c r="O1097" s="17" cm="1">
        <f t="array" ref="O1097">(H1097-H1096)/H1096</f>
        <v>0.000968640271219276</v>
      </c>
    </row>
    <row r="1098" ht="13.65" customHeight="1">
      <c r="A1098" s="12">
        <v>45842</v>
      </c>
      <c r="B1098" t="s" s="13">
        <v>22</v>
      </c>
      <c r="C1098" s="15">
        <v>414.9</v>
      </c>
      <c r="D1098" s="15">
        <v>415</v>
      </c>
      <c r="E1098" s="15">
        <v>411.75</v>
      </c>
      <c r="F1098" s="15">
        <v>413.35</v>
      </c>
      <c r="G1098" s="15">
        <v>412.7</v>
      </c>
      <c r="H1098" s="15">
        <v>412.55</v>
      </c>
      <c r="I1098" s="15">
        <v>412.8</v>
      </c>
      <c r="J1098" s="15">
        <v>471.5</v>
      </c>
      <c r="K1098" s="15">
        <v>390.15</v>
      </c>
      <c r="L1098" s="15">
        <v>8256733</v>
      </c>
      <c r="M1098" t="s" s="13">
        <v>9869</v>
      </c>
      <c r="N1098" s="15">
        <v>103880</v>
      </c>
      <c r="O1098" s="17" cm="1">
        <f t="array" ref="O1098">(H1098-H1097)/H1097</f>
        <v>-0.00193540583041006</v>
      </c>
    </row>
    <row r="1099" ht="13.65" customHeight="1">
      <c r="A1099" s="12">
        <v>45845</v>
      </c>
      <c r="B1099" t="s" s="13">
        <v>22</v>
      </c>
      <c r="C1099" s="15">
        <v>413</v>
      </c>
      <c r="D1099" s="15">
        <v>417.2</v>
      </c>
      <c r="E1099" s="15">
        <v>412</v>
      </c>
      <c r="F1099" s="15">
        <v>412.55</v>
      </c>
      <c r="G1099" s="15">
        <v>416.5</v>
      </c>
      <c r="H1099" s="15">
        <v>416.15</v>
      </c>
      <c r="I1099" s="15">
        <v>415.88</v>
      </c>
      <c r="J1099" s="15">
        <v>471.5</v>
      </c>
      <c r="K1099" s="15">
        <v>390.15</v>
      </c>
      <c r="L1099" s="15">
        <v>6845218</v>
      </c>
      <c r="M1099" t="s" s="13">
        <v>9870</v>
      </c>
      <c r="N1099" s="15">
        <v>120392</v>
      </c>
      <c r="O1099" s="17" cm="1">
        <f t="array" ref="O1099">(H1099-H1098)/H1098</f>
        <v>0.00872621500424191</v>
      </c>
    </row>
    <row r="1100" ht="13.65" customHeight="1">
      <c r="A1100" s="12">
        <v>45846</v>
      </c>
      <c r="B1100" t="s" s="13">
        <v>22</v>
      </c>
      <c r="C1100" s="15">
        <v>416.15</v>
      </c>
      <c r="D1100" s="15">
        <v>418.1</v>
      </c>
      <c r="E1100" s="15">
        <v>414.65</v>
      </c>
      <c r="F1100" s="15">
        <v>416.15</v>
      </c>
      <c r="G1100" s="15">
        <v>418</v>
      </c>
      <c r="H1100" s="15">
        <v>417.2</v>
      </c>
      <c r="I1100" s="15">
        <v>416.46</v>
      </c>
      <c r="J1100" s="15">
        <v>471.5</v>
      </c>
      <c r="K1100" s="15">
        <v>390.15</v>
      </c>
      <c r="L1100" s="15">
        <v>6807192</v>
      </c>
      <c r="M1100" t="s" s="13">
        <v>9871</v>
      </c>
      <c r="N1100" s="15">
        <v>76566</v>
      </c>
      <c r="O1100" s="17" cm="1">
        <f t="array" ref="O1100">(H1100-H1099)/H1099</f>
        <v>0.00252312867956266</v>
      </c>
    </row>
    <row r="1101" ht="13.65" customHeight="1">
      <c r="A1101" s="12">
        <v>45847</v>
      </c>
      <c r="B1101" t="s" s="13">
        <v>22</v>
      </c>
      <c r="C1101" s="15">
        <v>416.2</v>
      </c>
      <c r="D1101" s="15">
        <v>420.3</v>
      </c>
      <c r="E1101" s="15">
        <v>415.45</v>
      </c>
      <c r="F1101" s="15">
        <v>417.2</v>
      </c>
      <c r="G1101" s="15">
        <v>419.1</v>
      </c>
      <c r="H1101" s="15">
        <v>419.45</v>
      </c>
      <c r="I1101" s="15">
        <v>419.08</v>
      </c>
      <c r="J1101" s="15">
        <v>471.5</v>
      </c>
      <c r="K1101" s="15">
        <v>390.15</v>
      </c>
      <c r="L1101" s="15">
        <v>9930533</v>
      </c>
      <c r="M1101" t="s" s="13">
        <v>9872</v>
      </c>
      <c r="N1101" s="15">
        <v>146808</v>
      </c>
      <c r="O1101" s="17" cm="1">
        <f t="array" ref="O1101">(H1101-H1100)/H1100</f>
        <v>0.00539309683604986</v>
      </c>
    </row>
    <row r="1102" ht="13.65" customHeight="1">
      <c r="A1102" s="18">
        <v>45848</v>
      </c>
      <c r="B1102" t="s" s="13">
        <v>22</v>
      </c>
      <c r="C1102" s="15">
        <v>420.3</v>
      </c>
      <c r="D1102" s="15">
        <v>420.3</v>
      </c>
      <c r="E1102" s="15">
        <v>416.4</v>
      </c>
      <c r="F1102" s="15">
        <v>419.45</v>
      </c>
      <c r="G1102" s="15">
        <v>416.65</v>
      </c>
      <c r="H1102" s="15">
        <v>416.85</v>
      </c>
      <c r="I1102" s="15">
        <v>417.61</v>
      </c>
      <c r="J1102" s="15">
        <v>471.5</v>
      </c>
      <c r="K1102" s="15">
        <v>390.15</v>
      </c>
      <c r="L1102" s="15">
        <v>6220360</v>
      </c>
      <c r="M1102" t="s" s="13">
        <v>9873</v>
      </c>
      <c r="N1102" s="15">
        <v>76333</v>
      </c>
      <c r="O1102" s="17" cm="1">
        <f t="array" ref="O1102">(H1102-H1101)/H1101</f>
        <v>-0.00619859339611396</v>
      </c>
    </row>
    <row r="1103" ht="13.65" customHeight="1">
      <c r="A1103" s="18">
        <v>45849</v>
      </c>
      <c r="B1103" t="s" s="13">
        <v>22</v>
      </c>
      <c r="C1103" s="15">
        <v>417</v>
      </c>
      <c r="D1103" s="15">
        <v>418.05</v>
      </c>
      <c r="E1103" s="15">
        <v>415.5</v>
      </c>
      <c r="F1103" s="15">
        <v>416.85</v>
      </c>
      <c r="G1103" s="15">
        <v>416.65</v>
      </c>
      <c r="H1103" s="15">
        <v>416.8</v>
      </c>
      <c r="I1103" s="15">
        <v>416.92</v>
      </c>
      <c r="J1103" s="15">
        <v>471.5</v>
      </c>
      <c r="K1103" s="15">
        <v>390.15</v>
      </c>
      <c r="L1103" s="15">
        <v>8578844</v>
      </c>
      <c r="M1103" t="s" s="13">
        <v>9874</v>
      </c>
      <c r="N1103" s="15">
        <v>96778</v>
      </c>
      <c r="O1103" s="17" cm="1">
        <f t="array" ref="O1103">(H1103-H1102)/H1102</f>
        <v>-0.000119947223221782</v>
      </c>
    </row>
    <row r="1104" ht="13.65" customHeight="1">
      <c r="A1104" s="18">
        <v>45852</v>
      </c>
      <c r="B1104" t="s" s="13">
        <v>22</v>
      </c>
      <c r="C1104" s="15">
        <v>417.05</v>
      </c>
      <c r="D1104" s="15">
        <v>419.95</v>
      </c>
      <c r="E1104" s="15">
        <v>416.55</v>
      </c>
      <c r="F1104" s="15">
        <v>416.8</v>
      </c>
      <c r="G1104" s="15">
        <v>419.35</v>
      </c>
      <c r="H1104" s="15">
        <v>419.4</v>
      </c>
      <c r="I1104" s="15">
        <v>418.9</v>
      </c>
      <c r="J1104" s="15">
        <v>471.5</v>
      </c>
      <c r="K1104" s="15">
        <v>390.15</v>
      </c>
      <c r="L1104" s="15">
        <v>6896989</v>
      </c>
      <c r="M1104" t="s" s="13">
        <v>9875</v>
      </c>
      <c r="N1104" s="15">
        <v>94592</v>
      </c>
      <c r="O1104" s="17" cm="1">
        <f t="array" ref="O1104">(H1104-H1103)/H1103</f>
        <v>0.00623800383877159</v>
      </c>
    </row>
    <row r="1105" ht="13.65" customHeight="1">
      <c r="A1105" s="18">
        <v>45853</v>
      </c>
      <c r="B1105" t="s" s="13">
        <v>22</v>
      </c>
      <c r="C1105" s="15">
        <v>420.9</v>
      </c>
      <c r="D1105" s="15">
        <v>422.4</v>
      </c>
      <c r="E1105" s="15">
        <v>419</v>
      </c>
      <c r="F1105" s="15">
        <v>419.4</v>
      </c>
      <c r="G1105" s="15">
        <v>422.3</v>
      </c>
      <c r="H1105" s="15">
        <v>422.1</v>
      </c>
      <c r="I1105" s="15">
        <v>421.37</v>
      </c>
      <c r="J1105" s="15">
        <v>471.5</v>
      </c>
      <c r="K1105" s="15">
        <v>390.15</v>
      </c>
      <c r="L1105" s="15">
        <v>8532755</v>
      </c>
      <c r="M1105" t="s" s="13">
        <v>9876</v>
      </c>
      <c r="N1105" s="15">
        <v>112643</v>
      </c>
      <c r="O1105" s="17" cm="1">
        <f t="array" ref="O1105">(H1105-H1104)/H1104</f>
        <v>0.00643776824034335</v>
      </c>
    </row>
    <row r="1106" ht="13.65" customHeight="1">
      <c r="A1106" s="18">
        <v>45854</v>
      </c>
      <c r="B1106" t="s" s="13">
        <v>22</v>
      </c>
      <c r="C1106" s="15">
        <v>422.1</v>
      </c>
      <c r="D1106" s="15">
        <v>425.45</v>
      </c>
      <c r="E1106" s="15">
        <v>420.3</v>
      </c>
      <c r="F1106" s="15">
        <v>422.1</v>
      </c>
      <c r="G1106" s="15">
        <v>424.4</v>
      </c>
      <c r="H1106" s="15">
        <v>424.6</v>
      </c>
      <c r="I1106" s="15">
        <v>423.52</v>
      </c>
      <c r="J1106" s="15">
        <v>471.5</v>
      </c>
      <c r="K1106" s="15">
        <v>390.15</v>
      </c>
      <c r="L1106" s="15">
        <v>9780773</v>
      </c>
      <c r="M1106" t="s" s="13">
        <v>9877</v>
      </c>
      <c r="N1106" s="15">
        <v>91064</v>
      </c>
      <c r="O1106" s="17" cm="1">
        <f t="array" ref="O1106">(H1106-H1105)/H1105</f>
        <v>0.00592276711679697</v>
      </c>
    </row>
    <row r="1107" ht="13.65" customHeight="1">
      <c r="A1107" s="18">
        <v>45855</v>
      </c>
      <c r="B1107" t="s" s="13">
        <v>22</v>
      </c>
      <c r="C1107" s="15">
        <v>425.8</v>
      </c>
      <c r="D1107" s="15">
        <v>425.9</v>
      </c>
      <c r="E1107" s="15">
        <v>423</v>
      </c>
      <c r="F1107" s="15">
        <v>424.6</v>
      </c>
      <c r="G1107" s="15">
        <v>423.25</v>
      </c>
      <c r="H1107" s="15">
        <v>423.95</v>
      </c>
      <c r="I1107" s="15">
        <v>424.62</v>
      </c>
      <c r="J1107" s="15">
        <v>471.5</v>
      </c>
      <c r="K1107" s="15">
        <v>390.15</v>
      </c>
      <c r="L1107" s="15">
        <v>7240795</v>
      </c>
      <c r="M1107" t="s" s="13">
        <v>9878</v>
      </c>
      <c r="N1107" s="15">
        <v>85266</v>
      </c>
      <c r="O1107" s="17" cm="1">
        <f t="array" ref="O1107">(H1107-H1106)/H1106</f>
        <v>-0.001530852567122</v>
      </c>
    </row>
    <row r="1108" ht="13.65" customHeight="1">
      <c r="A1108" s="18">
        <v>45856</v>
      </c>
      <c r="B1108" t="s" s="13">
        <v>22</v>
      </c>
      <c r="C1108" s="15">
        <v>425.2</v>
      </c>
      <c r="D1108" s="15">
        <v>425.2</v>
      </c>
      <c r="E1108" s="15">
        <v>420.1</v>
      </c>
      <c r="F1108" s="15">
        <v>423.95</v>
      </c>
      <c r="G1108" s="15">
        <v>422</v>
      </c>
      <c r="H1108" s="15">
        <v>422.75</v>
      </c>
      <c r="I1108" s="15">
        <v>422.22</v>
      </c>
      <c r="J1108" s="15">
        <v>471.5</v>
      </c>
      <c r="K1108" s="15">
        <v>390.15</v>
      </c>
      <c r="L1108" s="15">
        <v>6730256</v>
      </c>
      <c r="M1108" t="s" s="13">
        <v>9879</v>
      </c>
      <c r="N1108" s="15">
        <v>82551</v>
      </c>
      <c r="O1108" s="17" cm="1">
        <f t="array" ref="O1108">(H1108-H1107)/H1107</f>
        <v>-0.00283052246727208</v>
      </c>
    </row>
    <row r="1109" ht="13.65" customHeight="1">
      <c r="A1109" s="18">
        <v>45859</v>
      </c>
      <c r="B1109" t="s" s="13">
        <v>22</v>
      </c>
      <c r="C1109" s="15">
        <v>422</v>
      </c>
      <c r="D1109" s="15">
        <v>422.75</v>
      </c>
      <c r="E1109" s="15">
        <v>418.4</v>
      </c>
      <c r="F1109" s="15">
        <v>422.75</v>
      </c>
      <c r="G1109" s="15">
        <v>420.3</v>
      </c>
      <c r="H1109" s="15">
        <v>420.1</v>
      </c>
      <c r="I1109" s="15">
        <v>420.55</v>
      </c>
      <c r="J1109" s="15">
        <v>471.5</v>
      </c>
      <c r="K1109" s="15">
        <v>390.15</v>
      </c>
      <c r="L1109" s="15">
        <v>4822343</v>
      </c>
      <c r="M1109" t="s" s="13">
        <v>9880</v>
      </c>
      <c r="N1109" s="15">
        <v>85747</v>
      </c>
      <c r="O1109" s="17" cm="1">
        <f t="array" ref="O1109">(H1109-H1108)/H1108</f>
        <v>-0.00626848018923714</v>
      </c>
    </row>
    <row r="1110" ht="13.65" customHeight="1">
      <c r="A1110" s="18">
        <v>45860</v>
      </c>
      <c r="B1110" t="s" s="13">
        <v>22</v>
      </c>
      <c r="C1110" s="15">
        <v>420.1</v>
      </c>
      <c r="D1110" s="15">
        <v>420.4</v>
      </c>
      <c r="E1110" s="15">
        <v>415.2</v>
      </c>
      <c r="F1110" s="15">
        <v>420.1</v>
      </c>
      <c r="G1110" s="15">
        <v>415.95</v>
      </c>
      <c r="H1110" s="15">
        <v>416</v>
      </c>
      <c r="I1110" s="15">
        <v>416.82</v>
      </c>
      <c r="J1110" s="15">
        <v>471.5</v>
      </c>
      <c r="K1110" s="15">
        <v>390.15</v>
      </c>
      <c r="L1110" s="15">
        <v>9869507</v>
      </c>
      <c r="M1110" t="s" s="13">
        <v>9881</v>
      </c>
      <c r="N1110" s="15">
        <v>117437</v>
      </c>
      <c r="O1110" s="17" cm="1">
        <f t="array" ref="O1110">(H1110-H1109)/H1109</f>
        <v>-0.009759581052130451</v>
      </c>
    </row>
    <row r="1111" ht="13.65" customHeight="1">
      <c r="A1111" s="18">
        <v>45861</v>
      </c>
      <c r="B1111" t="s" s="13">
        <v>22</v>
      </c>
      <c r="C1111" s="15">
        <v>417.1</v>
      </c>
      <c r="D1111" s="15">
        <v>417.9</v>
      </c>
      <c r="E1111" s="15">
        <v>414</v>
      </c>
      <c r="F1111" s="15">
        <v>416</v>
      </c>
      <c r="G1111" s="15">
        <v>415</v>
      </c>
      <c r="H1111" s="15">
        <v>414.95</v>
      </c>
      <c r="I1111" s="15">
        <v>415.04</v>
      </c>
      <c r="J1111" s="15">
        <v>471.5</v>
      </c>
      <c r="K1111" s="15">
        <v>390.15</v>
      </c>
      <c r="L1111" s="15">
        <v>12196187</v>
      </c>
      <c r="M1111" t="s" s="13">
        <v>9882</v>
      </c>
      <c r="N1111" s="15">
        <v>99775</v>
      </c>
      <c r="O1111" s="17" cm="1">
        <f t="array" ref="O1111">(H1111-H1110)/H1110</f>
        <v>-0.00252403846153846</v>
      </c>
    </row>
    <row r="1112" ht="13.65" customHeight="1">
      <c r="A1112" s="18">
        <v>45862</v>
      </c>
      <c r="B1112" t="s" s="13">
        <v>22</v>
      </c>
      <c r="C1112" s="15">
        <v>415.85</v>
      </c>
      <c r="D1112" s="15">
        <v>415.85</v>
      </c>
      <c r="E1112" s="15">
        <v>409.45</v>
      </c>
      <c r="F1112" s="15">
        <v>414.95</v>
      </c>
      <c r="G1112" s="15">
        <v>410</v>
      </c>
      <c r="H1112" s="15">
        <v>409.95</v>
      </c>
      <c r="I1112" s="15">
        <v>411.42</v>
      </c>
      <c r="J1112" s="15">
        <v>471.5</v>
      </c>
      <c r="K1112" s="15">
        <v>390.15</v>
      </c>
      <c r="L1112" s="15">
        <v>9005157</v>
      </c>
      <c r="M1112" t="s" s="13">
        <v>9883</v>
      </c>
      <c r="N1112" s="15">
        <v>132378</v>
      </c>
      <c r="O1112" s="17" cm="1">
        <f t="array" ref="O1112">(H1112-H1111)/H1111</f>
        <v>-0.0120496445354862</v>
      </c>
    </row>
    <row r="1113" ht="13.65" customHeight="1">
      <c r="A1113" s="18">
        <v>45863</v>
      </c>
      <c r="B1113" t="s" s="13">
        <v>22</v>
      </c>
      <c r="C1113" s="15">
        <v>410</v>
      </c>
      <c r="D1113" s="15">
        <v>410.25</v>
      </c>
      <c r="E1113" s="15">
        <v>407.75</v>
      </c>
      <c r="F1113" s="15">
        <v>409.95</v>
      </c>
      <c r="G1113" s="15">
        <v>409.6</v>
      </c>
      <c r="H1113" s="15">
        <v>409.4</v>
      </c>
      <c r="I1113" s="15">
        <v>409.17</v>
      </c>
      <c r="J1113" s="15">
        <v>471.5</v>
      </c>
      <c r="K1113" s="15">
        <v>390.15</v>
      </c>
      <c r="L1113" s="15">
        <v>5824089</v>
      </c>
      <c r="M1113" t="s" s="13">
        <v>9884</v>
      </c>
      <c r="N1113" s="15">
        <v>100941</v>
      </c>
      <c r="O1113" s="17" cm="1">
        <f t="array" ref="O1113">(H1113-H1112)/H1112</f>
        <v>-0.0013416270276863</v>
      </c>
    </row>
    <row r="1114" ht="13.65" customHeight="1">
      <c r="A1114" s="18">
        <v>45866</v>
      </c>
      <c r="B1114" t="s" s="13">
        <v>22</v>
      </c>
      <c r="C1114" s="15">
        <v>410.8</v>
      </c>
      <c r="D1114" s="15">
        <v>410.85</v>
      </c>
      <c r="E1114" s="15">
        <v>408.6</v>
      </c>
      <c r="F1114" s="15">
        <v>409.4</v>
      </c>
      <c r="G1114" s="15">
        <v>409.8</v>
      </c>
      <c r="H1114" s="15">
        <v>409.9</v>
      </c>
      <c r="I1114" s="15">
        <v>409.88</v>
      </c>
      <c r="J1114" s="15">
        <v>471.5</v>
      </c>
      <c r="K1114" s="15">
        <v>390.15</v>
      </c>
      <c r="L1114" s="15">
        <v>8123337</v>
      </c>
      <c r="M1114" t="s" s="13">
        <v>9885</v>
      </c>
      <c r="N1114" s="15">
        <v>86106</v>
      </c>
      <c r="O1114" s="17" cm="1">
        <f t="array" ref="O1114">(H1114-H1113)/H1113</f>
        <v>0.00122129946262824</v>
      </c>
    </row>
    <row r="1115" ht="13.65" customHeight="1">
      <c r="A1115" s="18">
        <v>45867</v>
      </c>
      <c r="B1115" t="s" s="13">
        <v>22</v>
      </c>
      <c r="C1115" s="15">
        <v>410</v>
      </c>
      <c r="D1115" s="15">
        <v>411.4</v>
      </c>
      <c r="E1115" s="15">
        <v>408</v>
      </c>
      <c r="F1115" s="15">
        <v>409.9</v>
      </c>
      <c r="G1115" s="15">
        <v>408.2</v>
      </c>
      <c r="H1115" s="15">
        <v>408.45</v>
      </c>
      <c r="I1115" s="15">
        <v>409.3</v>
      </c>
      <c r="J1115" s="15">
        <v>471.5</v>
      </c>
      <c r="K1115" s="15">
        <v>390.15</v>
      </c>
      <c r="L1115" s="15">
        <v>6811772</v>
      </c>
      <c r="M1115" t="s" s="13">
        <v>9886</v>
      </c>
      <c r="N1115" s="15">
        <v>97448</v>
      </c>
      <c r="O1115" s="17" cm="1">
        <f t="array" ref="O1115">(H1115-H1114)/H1114</f>
        <v>-0.00353744815808734</v>
      </c>
    </row>
    <row r="1116" ht="13.65" customHeight="1">
      <c r="A1116" s="18">
        <v>45868</v>
      </c>
      <c r="B1116" t="s" s="13">
        <v>22</v>
      </c>
      <c r="C1116" s="15">
        <v>409</v>
      </c>
      <c r="D1116" s="15">
        <v>409.3</v>
      </c>
      <c r="E1116" s="15">
        <v>405.75</v>
      </c>
      <c r="F1116" s="15">
        <v>408.45</v>
      </c>
      <c r="G1116" s="15">
        <v>407.8</v>
      </c>
      <c r="H1116" s="15">
        <v>407.6</v>
      </c>
      <c r="I1116" s="15">
        <v>407.37</v>
      </c>
      <c r="J1116" s="15">
        <v>471.5</v>
      </c>
      <c r="K1116" s="15">
        <v>390.15</v>
      </c>
      <c r="L1116" s="15">
        <v>10915863</v>
      </c>
      <c r="M1116" t="s" s="13">
        <v>9887</v>
      </c>
      <c r="N1116" s="15">
        <v>102742</v>
      </c>
      <c r="O1116" s="17" cm="1">
        <f t="array" ref="O1116">(H1116-H1115)/H1115</f>
        <v>-0.00208103807075529</v>
      </c>
    </row>
    <row r="1117" ht="13.65" customHeight="1">
      <c r="A1117" s="18">
        <v>45869</v>
      </c>
      <c r="B1117" t="s" s="13">
        <v>22</v>
      </c>
      <c r="C1117" s="15">
        <v>405.95</v>
      </c>
      <c r="D1117" s="15">
        <v>414</v>
      </c>
      <c r="E1117" s="15">
        <v>405.55</v>
      </c>
      <c r="F1117" s="15">
        <v>407.6</v>
      </c>
      <c r="G1117" s="15">
        <v>411.7</v>
      </c>
      <c r="H1117" s="15">
        <v>411.95</v>
      </c>
      <c r="I1117" s="15">
        <v>410.46</v>
      </c>
      <c r="J1117" s="15">
        <v>471.5</v>
      </c>
      <c r="K1117" s="15">
        <v>390.15</v>
      </c>
      <c r="L1117" s="15">
        <v>19364174</v>
      </c>
      <c r="M1117" t="s" s="13">
        <v>9888</v>
      </c>
      <c r="N1117" s="15">
        <v>145541</v>
      </c>
      <c r="O1117" s="17" cm="1">
        <f t="array" ref="O1117">(H1117-H1116)/H1116</f>
        <v>0.0106722276741904</v>
      </c>
    </row>
    <row r="1118" ht="13.65" customHeight="1">
      <c r="A1118" s="12">
        <v>45870</v>
      </c>
      <c r="B1118" t="s" s="13">
        <v>22</v>
      </c>
      <c r="C1118" s="15">
        <v>412.4</v>
      </c>
      <c r="D1118" s="15">
        <v>419.35</v>
      </c>
      <c r="E1118" s="15">
        <v>411.8</v>
      </c>
      <c r="F1118" s="15">
        <v>411.95</v>
      </c>
      <c r="G1118" s="15">
        <v>416.6</v>
      </c>
      <c r="H1118" s="15">
        <v>416.45</v>
      </c>
      <c r="I1118" s="15">
        <v>416.54</v>
      </c>
      <c r="J1118" s="15">
        <v>471.5</v>
      </c>
      <c r="K1118" s="15">
        <v>390.15</v>
      </c>
      <c r="L1118" s="15">
        <v>14324065</v>
      </c>
      <c r="M1118" t="s" s="13">
        <v>9889</v>
      </c>
      <c r="N1118" s="15">
        <v>143905</v>
      </c>
      <c r="O1118" s="17" cm="1">
        <f t="array" ref="O1118">(H1118-H1117)/H1117</f>
        <v>0.0109236557834689</v>
      </c>
    </row>
    <row r="1119" ht="13.65" customHeight="1">
      <c r="A1119" s="12">
        <v>45873</v>
      </c>
      <c r="B1119" t="s" s="13">
        <v>22</v>
      </c>
      <c r="C1119" s="15">
        <v>420.2</v>
      </c>
      <c r="D1119" s="15">
        <v>422.5</v>
      </c>
      <c r="E1119" s="15">
        <v>415.1</v>
      </c>
      <c r="F1119" s="15">
        <v>416.45</v>
      </c>
      <c r="G1119" s="15">
        <v>416.65</v>
      </c>
      <c r="H1119" s="15">
        <v>416.85</v>
      </c>
      <c r="I1119" s="15">
        <v>417.96</v>
      </c>
      <c r="J1119" s="15">
        <v>471.5</v>
      </c>
      <c r="K1119" s="15">
        <v>390.15</v>
      </c>
      <c r="L1119" s="15">
        <v>18352458</v>
      </c>
      <c r="M1119" t="s" s="13">
        <v>9890</v>
      </c>
      <c r="N1119" s="15">
        <v>346053</v>
      </c>
      <c r="O1119" s="17" cm="1">
        <f t="array" ref="O1119">(H1119-H1118)/H1118</f>
        <v>0.000960499459719054</v>
      </c>
    </row>
    <row r="1120" ht="13.65" customHeight="1">
      <c r="A1120" s="12">
        <v>45874</v>
      </c>
      <c r="B1120" t="s" s="13">
        <v>22</v>
      </c>
      <c r="C1120" s="15">
        <v>417.2</v>
      </c>
      <c r="D1120" s="15">
        <v>417.95</v>
      </c>
      <c r="E1120" s="15">
        <v>413</v>
      </c>
      <c r="F1120" s="15">
        <v>416.85</v>
      </c>
      <c r="G1120" s="15">
        <v>413.8</v>
      </c>
      <c r="H1120" s="15">
        <v>414.15</v>
      </c>
      <c r="I1120" s="15">
        <v>414.33</v>
      </c>
      <c r="J1120" s="15">
        <v>471.5</v>
      </c>
      <c r="K1120" s="15">
        <v>390.15</v>
      </c>
      <c r="L1120" s="15">
        <v>8495104</v>
      </c>
      <c r="M1120" t="s" s="13">
        <v>9891</v>
      </c>
      <c r="N1120" s="15">
        <v>147684</v>
      </c>
      <c r="O1120" s="17" cm="1">
        <f t="array" ref="O1120">(H1120-H1119)/H1119</f>
        <v>-0.00647715005397625</v>
      </c>
    </row>
    <row r="1121" ht="13.65" customHeight="1">
      <c r="A1121" s="12">
        <v>45875</v>
      </c>
      <c r="B1121" t="s" s="13">
        <v>22</v>
      </c>
      <c r="C1121" s="15">
        <v>414.15</v>
      </c>
      <c r="D1121" s="15">
        <v>415</v>
      </c>
      <c r="E1121" s="15">
        <v>410.5</v>
      </c>
      <c r="F1121" s="15">
        <v>414.15</v>
      </c>
      <c r="G1121" s="15">
        <v>412.2</v>
      </c>
      <c r="H1121" s="15">
        <v>412</v>
      </c>
      <c r="I1121" s="15">
        <v>411.74</v>
      </c>
      <c r="J1121" s="15">
        <v>471.5</v>
      </c>
      <c r="K1121" s="15">
        <v>390.15</v>
      </c>
      <c r="L1121" s="15">
        <v>9080543</v>
      </c>
      <c r="M1121" t="s" s="13">
        <v>9892</v>
      </c>
      <c r="N1121" s="15">
        <v>123746</v>
      </c>
      <c r="O1121" s="17" cm="1">
        <f t="array" ref="O1121">(H1121-H1120)/H1120</f>
        <v>-0.00519135578896535</v>
      </c>
    </row>
    <row r="1122" ht="13.65" customHeight="1">
      <c r="A1122" s="12">
        <v>45876</v>
      </c>
      <c r="B1122" t="s" s="13">
        <v>22</v>
      </c>
      <c r="C1122" s="15">
        <v>412</v>
      </c>
      <c r="D1122" s="15">
        <v>414.75</v>
      </c>
      <c r="E1122" s="15">
        <v>411.65</v>
      </c>
      <c r="F1122" s="15">
        <v>412</v>
      </c>
      <c r="G1122" s="15">
        <v>413.8</v>
      </c>
      <c r="H1122" s="15">
        <v>413.6</v>
      </c>
      <c r="I1122" s="15">
        <v>413.34</v>
      </c>
      <c r="J1122" s="15">
        <v>471.5</v>
      </c>
      <c r="K1122" s="15">
        <v>390.15</v>
      </c>
      <c r="L1122" s="15">
        <v>11514878</v>
      </c>
      <c r="M1122" t="s" s="13">
        <v>9893</v>
      </c>
      <c r="N1122" s="15">
        <v>107647</v>
      </c>
      <c r="O1122" s="17" cm="1">
        <f t="array" ref="O1122">(H1122-H1121)/H1121</f>
        <v>0.00388349514563107</v>
      </c>
    </row>
    <row r="1123" ht="13.65" customHeight="1">
      <c r="A1123" s="12">
        <v>45877</v>
      </c>
      <c r="B1123" t="s" s="13">
        <v>22</v>
      </c>
      <c r="C1123" s="15">
        <v>413.9</v>
      </c>
      <c r="D1123" s="15">
        <v>415.35</v>
      </c>
      <c r="E1123" s="15">
        <v>412.95</v>
      </c>
      <c r="F1123" s="15">
        <v>413.6</v>
      </c>
      <c r="G1123" s="15">
        <v>414.45</v>
      </c>
      <c r="H1123" s="15">
        <v>414.5</v>
      </c>
      <c r="I1123" s="15">
        <v>414.32</v>
      </c>
      <c r="J1123" s="15">
        <v>471.5</v>
      </c>
      <c r="K1123" s="15">
        <v>390.15</v>
      </c>
      <c r="L1123" s="15">
        <v>9814361</v>
      </c>
      <c r="M1123" t="s" s="13">
        <v>9894</v>
      </c>
      <c r="N1123" s="15">
        <v>95336</v>
      </c>
      <c r="O1123" s="17" cm="1">
        <f t="array" ref="O1123">(H1123-H1122)/H1122</f>
        <v>0.00217601547388781</v>
      </c>
    </row>
    <row r="1124" ht="13.65" customHeight="1">
      <c r="A1124" s="18">
        <v>45880</v>
      </c>
      <c r="B1124" t="s" s="13">
        <v>22</v>
      </c>
      <c r="C1124" s="15">
        <v>414.5</v>
      </c>
      <c r="D1124" s="15">
        <v>417</v>
      </c>
      <c r="E1124" s="15">
        <v>414</v>
      </c>
      <c r="F1124" s="15">
        <v>414.5</v>
      </c>
      <c r="G1124" s="15">
        <v>417</v>
      </c>
      <c r="H1124" s="15">
        <v>416.85</v>
      </c>
      <c r="I1124" s="15">
        <v>416.05</v>
      </c>
      <c r="J1124" s="15">
        <v>471.5</v>
      </c>
      <c r="K1124" s="15">
        <v>390.15</v>
      </c>
      <c r="L1124" s="15">
        <v>8514272</v>
      </c>
      <c r="M1124" t="s" s="13">
        <v>9895</v>
      </c>
      <c r="N1124" s="15">
        <v>111986</v>
      </c>
      <c r="O1124" s="17" cm="1">
        <f t="array" ref="O1124">(H1124-H1123)/H1123</f>
        <v>0.00566948130277443</v>
      </c>
    </row>
    <row r="1125" ht="13.65" customHeight="1">
      <c r="A1125" s="18">
        <v>45881</v>
      </c>
      <c r="B1125" t="s" s="13">
        <v>22</v>
      </c>
      <c r="C1125" s="15">
        <v>417</v>
      </c>
      <c r="D1125" s="15">
        <v>419.8</v>
      </c>
      <c r="E1125" s="15">
        <v>415.3</v>
      </c>
      <c r="F1125" s="15">
        <v>416.85</v>
      </c>
      <c r="G1125" s="15">
        <v>416.1</v>
      </c>
      <c r="H1125" s="15">
        <v>416.35</v>
      </c>
      <c r="I1125" s="15">
        <v>417.43</v>
      </c>
      <c r="J1125" s="15">
        <v>471.5</v>
      </c>
      <c r="K1125" s="15">
        <v>390.15</v>
      </c>
      <c r="L1125" s="15">
        <v>13635738</v>
      </c>
      <c r="M1125" t="s" s="13">
        <v>9896</v>
      </c>
      <c r="N1125" s="15">
        <v>105553</v>
      </c>
      <c r="O1125" s="17" cm="1">
        <f t="array" ref="O1125">(H1125-H1124)/H1124</f>
        <v>-0.00119947223221782</v>
      </c>
    </row>
    <row r="1126" ht="13.65" customHeight="1">
      <c r="A1126" s="18">
        <v>45882</v>
      </c>
      <c r="B1126" t="s" s="13">
        <v>22</v>
      </c>
      <c r="C1126" s="15">
        <v>417.2</v>
      </c>
      <c r="D1126" s="15">
        <v>417.5</v>
      </c>
      <c r="E1126" s="15">
        <v>413.6</v>
      </c>
      <c r="F1126" s="15">
        <v>416.35</v>
      </c>
      <c r="G1126" s="15">
        <v>414.2</v>
      </c>
      <c r="H1126" s="15">
        <v>414.1</v>
      </c>
      <c r="I1126" s="15">
        <v>414.82</v>
      </c>
      <c r="J1126" s="15">
        <v>471.5</v>
      </c>
      <c r="K1126" s="15">
        <v>390.15</v>
      </c>
      <c r="L1126" s="15">
        <v>10874910</v>
      </c>
      <c r="M1126" t="s" s="13">
        <v>9897</v>
      </c>
      <c r="N1126" s="15">
        <v>86765</v>
      </c>
      <c r="O1126" s="17" cm="1">
        <f t="array" ref="O1126">(H1126-H1125)/H1125</f>
        <v>-0.00540410712141227</v>
      </c>
    </row>
    <row r="1127" ht="13.65" customHeight="1">
      <c r="A1127" s="18">
        <v>45883</v>
      </c>
      <c r="B1127" t="s" s="13">
        <v>22</v>
      </c>
      <c r="C1127" s="15">
        <v>414.25</v>
      </c>
      <c r="D1127" s="15">
        <v>415.05</v>
      </c>
      <c r="E1127" s="15">
        <v>411</v>
      </c>
      <c r="F1127" s="15">
        <v>414.1</v>
      </c>
      <c r="G1127" s="15">
        <v>411.45</v>
      </c>
      <c r="H1127" s="15">
        <v>411.45</v>
      </c>
      <c r="I1127" s="15">
        <v>412.48</v>
      </c>
      <c r="J1127" s="15">
        <v>471.5</v>
      </c>
      <c r="K1127" s="15">
        <v>390.15</v>
      </c>
      <c r="L1127" s="15">
        <v>9580361</v>
      </c>
      <c r="M1127" t="s" s="13">
        <v>9898</v>
      </c>
      <c r="N1127" s="15">
        <v>122767</v>
      </c>
      <c r="O1127" s="17" cm="1">
        <f t="array" ref="O1127">(H1127-H1126)/H1126</f>
        <v>-0.00639942042984786</v>
      </c>
    </row>
    <row r="1128" ht="13.65" customHeight="1">
      <c r="A1128" s="18">
        <v>45887</v>
      </c>
      <c r="B1128" t="s" s="13">
        <v>22</v>
      </c>
      <c r="C1128" s="15">
        <v>413</v>
      </c>
      <c r="D1128" s="15">
        <v>413.7</v>
      </c>
      <c r="E1128" s="15">
        <v>404.85</v>
      </c>
      <c r="F1128" s="15">
        <v>411.45</v>
      </c>
      <c r="G1128" s="15">
        <v>405.3</v>
      </c>
      <c r="H1128" s="15">
        <v>406.3</v>
      </c>
      <c r="I1128" s="15">
        <v>408.7</v>
      </c>
      <c r="J1128" s="15">
        <v>471.5</v>
      </c>
      <c r="K1128" s="15">
        <v>390.15</v>
      </c>
      <c r="L1128" s="15">
        <v>30950814</v>
      </c>
      <c r="M1128" t="s" s="13">
        <v>9899</v>
      </c>
      <c r="N1128" s="15">
        <v>193343</v>
      </c>
      <c r="O1128" s="17" cm="1">
        <f t="array" ref="O1128">(H1128-H1127)/H1127</f>
        <v>-0.0125167091991737</v>
      </c>
    </row>
    <row r="1129" ht="13.65" customHeight="1">
      <c r="A1129" s="18">
        <v>45888</v>
      </c>
      <c r="B1129" t="s" s="13">
        <v>22</v>
      </c>
      <c r="C1129" s="15">
        <v>406.35</v>
      </c>
      <c r="D1129" s="15">
        <v>409.4</v>
      </c>
      <c r="E1129" s="15">
        <v>404.5</v>
      </c>
      <c r="F1129" s="15">
        <v>406.3</v>
      </c>
      <c r="G1129" s="15">
        <v>409.1</v>
      </c>
      <c r="H1129" s="15">
        <v>409.1</v>
      </c>
      <c r="I1129" s="15">
        <v>406.86</v>
      </c>
      <c r="J1129" s="15">
        <v>471.5</v>
      </c>
      <c r="K1129" s="15">
        <v>390.15</v>
      </c>
      <c r="L1129" s="15">
        <v>16681331</v>
      </c>
      <c r="M1129" t="s" s="13">
        <v>9900</v>
      </c>
      <c r="N1129" s="15">
        <v>175005</v>
      </c>
      <c r="O1129" s="17" cm="1">
        <f t="array" ref="O1129">(H1129-H1128)/H1128</f>
        <v>0.00689145951267536</v>
      </c>
    </row>
    <row r="1130" ht="13.65" customHeight="1">
      <c r="A1130" s="18">
        <v>45889</v>
      </c>
      <c r="B1130" t="s" s="13">
        <v>22</v>
      </c>
      <c r="C1130" s="15">
        <v>409.1</v>
      </c>
      <c r="D1130" s="15">
        <v>410.25</v>
      </c>
      <c r="E1130" s="15">
        <v>405.45</v>
      </c>
      <c r="F1130" s="15">
        <v>409.1</v>
      </c>
      <c r="G1130" s="15">
        <v>406.25</v>
      </c>
      <c r="H1130" s="15">
        <v>406.05</v>
      </c>
      <c r="I1130" s="15">
        <v>407.87</v>
      </c>
      <c r="J1130" s="15">
        <v>471.5</v>
      </c>
      <c r="K1130" s="15">
        <v>390.15</v>
      </c>
      <c r="L1130" s="15">
        <v>18188129</v>
      </c>
      <c r="M1130" t="s" s="13">
        <v>9901</v>
      </c>
      <c r="N1130" s="15">
        <v>158846</v>
      </c>
      <c r="O1130" s="17" cm="1">
        <f t="array" ref="O1130">(H1130-H1129)/H1129</f>
        <v>-0.00745538988022488</v>
      </c>
    </row>
    <row r="1131" ht="13.65" customHeight="1">
      <c r="A1131" s="18">
        <v>45890</v>
      </c>
      <c r="B1131" t="s" s="13">
        <v>22</v>
      </c>
      <c r="C1131" s="15">
        <v>406.05</v>
      </c>
      <c r="D1131" s="15">
        <v>406.85</v>
      </c>
      <c r="E1131" s="15">
        <v>403.35</v>
      </c>
      <c r="F1131" s="15">
        <v>406.05</v>
      </c>
      <c r="G1131" s="15">
        <v>406</v>
      </c>
      <c r="H1131" s="15">
        <v>405.55</v>
      </c>
      <c r="I1131" s="15">
        <v>405.69</v>
      </c>
      <c r="J1131" s="15">
        <v>471.5</v>
      </c>
      <c r="K1131" s="15">
        <v>390.15</v>
      </c>
      <c r="L1131" s="15">
        <v>15028966</v>
      </c>
      <c r="M1131" t="s" s="13">
        <v>9902</v>
      </c>
      <c r="N1131" s="15">
        <v>182931</v>
      </c>
      <c r="O1131" s="17" cm="1">
        <f t="array" ref="O1131">(H1131-H1130)/H1130</f>
        <v>-0.0012313754463736</v>
      </c>
    </row>
    <row r="1132" ht="13.65" customHeight="1">
      <c r="A1132" s="18">
        <v>45891</v>
      </c>
      <c r="B1132" t="s" s="13">
        <v>22</v>
      </c>
      <c r="C1132" s="15">
        <v>406</v>
      </c>
      <c r="D1132" s="15">
        <v>406.5</v>
      </c>
      <c r="E1132" s="15">
        <v>397.5</v>
      </c>
      <c r="F1132" s="15">
        <v>405.55</v>
      </c>
      <c r="G1132" s="15">
        <v>398.3</v>
      </c>
      <c r="H1132" s="15">
        <v>398.3</v>
      </c>
      <c r="I1132" s="15">
        <v>399.91</v>
      </c>
      <c r="J1132" s="15">
        <v>471.5</v>
      </c>
      <c r="K1132" s="15">
        <v>390.15</v>
      </c>
      <c r="L1132" s="15">
        <v>13087624</v>
      </c>
      <c r="M1132" t="s" s="13">
        <v>9903</v>
      </c>
      <c r="N1132" s="15">
        <v>204639</v>
      </c>
      <c r="O1132" s="17" cm="1">
        <f t="array" ref="O1132">(H1132-H1131)/H1131</f>
        <v>-0.017876957218592</v>
      </c>
    </row>
    <row r="1133" ht="13.65" customHeight="1">
      <c r="A1133" s="18">
        <v>45894</v>
      </c>
      <c r="B1133" t="s" s="13">
        <v>22</v>
      </c>
      <c r="C1133" s="15">
        <v>399</v>
      </c>
      <c r="D1133" s="15">
        <v>400.55</v>
      </c>
      <c r="E1133" s="15">
        <v>396.25</v>
      </c>
      <c r="F1133" s="15">
        <v>398.3</v>
      </c>
      <c r="G1133" s="15">
        <v>399.15</v>
      </c>
      <c r="H1133" s="15">
        <v>399.35</v>
      </c>
      <c r="I1133" s="15">
        <v>399.17</v>
      </c>
      <c r="J1133" s="15">
        <v>471.5</v>
      </c>
      <c r="K1133" s="15">
        <v>390.15</v>
      </c>
      <c r="L1133" s="15">
        <v>10440286</v>
      </c>
      <c r="M1133" t="s" s="13">
        <v>9904</v>
      </c>
      <c r="N1133" s="15">
        <v>142577</v>
      </c>
      <c r="O1133" s="17" cm="1">
        <f t="array" ref="O1133">(H1133-H1132)/H1132</f>
        <v>0.00263620386643234</v>
      </c>
    </row>
    <row r="1134" ht="13.65" customHeight="1">
      <c r="A1134" s="18">
        <v>45895</v>
      </c>
      <c r="B1134" t="s" s="13">
        <v>22</v>
      </c>
      <c r="C1134" s="15">
        <v>399.3</v>
      </c>
      <c r="D1134" s="15">
        <v>405.4</v>
      </c>
      <c r="E1134" s="15">
        <v>398.4</v>
      </c>
      <c r="F1134" s="15">
        <v>399.35</v>
      </c>
      <c r="G1134" s="15">
        <v>403.35</v>
      </c>
      <c r="H1134" s="15">
        <v>403.35</v>
      </c>
      <c r="I1134" s="15">
        <v>402.3</v>
      </c>
      <c r="J1134" s="15">
        <v>471.5</v>
      </c>
      <c r="K1134" s="15">
        <v>390.15</v>
      </c>
      <c r="L1134" s="15">
        <v>13715752</v>
      </c>
      <c r="M1134" t="s" s="13">
        <v>9905</v>
      </c>
      <c r="N1134" s="15">
        <v>180641</v>
      </c>
      <c r="O1134" s="17" cm="1">
        <f t="array" ref="O1134">(H1134-H1133)/H1133</f>
        <v>0.01001627644923</v>
      </c>
    </row>
    <row r="1135" ht="13.65" customHeight="1">
      <c r="A1135" s="18">
        <v>45897</v>
      </c>
      <c r="B1135" t="s" s="13">
        <v>22</v>
      </c>
      <c r="C1135" s="15">
        <v>404.5</v>
      </c>
      <c r="D1135" s="15">
        <v>404.5</v>
      </c>
      <c r="E1135" s="15">
        <v>400</v>
      </c>
      <c r="F1135" s="15">
        <v>403.35</v>
      </c>
      <c r="G1135" s="15">
        <v>400.8</v>
      </c>
      <c r="H1135" s="15">
        <v>400.9</v>
      </c>
      <c r="I1135" s="15">
        <v>401.4</v>
      </c>
      <c r="J1135" s="15">
        <v>471.5</v>
      </c>
      <c r="K1135" s="15">
        <v>390.15</v>
      </c>
      <c r="L1135" s="15">
        <v>12471719</v>
      </c>
      <c r="M1135" t="s" s="13">
        <v>9906</v>
      </c>
      <c r="N1135" s="15">
        <v>165609</v>
      </c>
      <c r="O1135" s="17" cm="1">
        <f t="array" ref="O1135">(H1135-H1134)/H1134</f>
        <v>-0.00607412916821619</v>
      </c>
    </row>
    <row r="1136" ht="13.65" customHeight="1">
      <c r="A1136" s="18">
        <v>45898</v>
      </c>
      <c r="B1136" t="s" s="13">
        <v>22</v>
      </c>
      <c r="C1136" s="15">
        <v>402</v>
      </c>
      <c r="D1136" s="15">
        <v>410.45</v>
      </c>
      <c r="E1136" s="15">
        <v>401.9</v>
      </c>
      <c r="F1136" s="15">
        <v>400.9</v>
      </c>
      <c r="G1136" s="15">
        <v>409.5</v>
      </c>
      <c r="H1136" s="15">
        <v>409.75</v>
      </c>
      <c r="I1136" s="15">
        <v>407.54</v>
      </c>
      <c r="J1136" s="15">
        <v>471.5</v>
      </c>
      <c r="K1136" s="15">
        <v>390.15</v>
      </c>
      <c r="L1136" s="15">
        <v>25255050</v>
      </c>
      <c r="M1136" t="s" s="13">
        <v>9907</v>
      </c>
      <c r="N1136" s="15">
        <v>152907</v>
      </c>
      <c r="O1136" s="17" cm="1">
        <f t="array" ref="O1136">(H1136-H1135)/H1135</f>
        <v>0.0220753305063607</v>
      </c>
    </row>
    <row r="1137" ht="13.65" customHeight="1">
      <c r="A1137" s="12">
        <v>45901</v>
      </c>
      <c r="B1137" t="s" s="13">
        <v>22</v>
      </c>
      <c r="C1137" s="15">
        <v>409.75</v>
      </c>
      <c r="D1137" s="15">
        <v>410.2</v>
      </c>
      <c r="E1137" s="15">
        <v>405</v>
      </c>
      <c r="F1137" s="15">
        <v>409.75</v>
      </c>
      <c r="G1137" s="15">
        <v>405.55</v>
      </c>
      <c r="H1137" s="15">
        <v>405.85</v>
      </c>
      <c r="I1137" s="15">
        <v>406.32</v>
      </c>
      <c r="J1137" s="15">
        <v>471.5</v>
      </c>
      <c r="K1137" s="15">
        <v>390.15</v>
      </c>
      <c r="L1137" s="15">
        <v>12268090</v>
      </c>
      <c r="M1137" t="s" s="13">
        <v>9908</v>
      </c>
      <c r="N1137" s="15">
        <v>169790</v>
      </c>
      <c r="O1137" s="17" cm="1">
        <f t="array" ref="O1137">(H1137-H1136)/H1136</f>
        <v>-0.00951799877974375</v>
      </c>
    </row>
    <row r="1138" ht="13.65" customHeight="1">
      <c r="A1138" s="12">
        <v>45902</v>
      </c>
      <c r="B1138" t="s" s="13">
        <v>22</v>
      </c>
      <c r="C1138" s="15">
        <v>406.55</v>
      </c>
      <c r="D1138" s="15">
        <v>407.85</v>
      </c>
      <c r="E1138" s="15">
        <v>404.45</v>
      </c>
      <c r="F1138" s="15">
        <v>405.85</v>
      </c>
      <c r="G1138" s="15">
        <v>407</v>
      </c>
      <c r="H1138" s="15">
        <v>406.75</v>
      </c>
      <c r="I1138" s="15">
        <v>406.37</v>
      </c>
      <c r="J1138" s="15">
        <v>471.5</v>
      </c>
      <c r="K1138" s="15">
        <v>390.15</v>
      </c>
      <c r="L1138" s="15">
        <v>19808255</v>
      </c>
      <c r="M1138" t="s" s="13">
        <v>9909</v>
      </c>
      <c r="N1138" s="15">
        <v>224334</v>
      </c>
      <c r="O1138" s="17" cm="1">
        <f t="array" ref="O1138">(H1138-H1137)/H1137</f>
        <v>0.00221756806701983</v>
      </c>
    </row>
    <row r="1139" ht="13.65" customHeight="1">
      <c r="A1139" s="12">
        <v>45903</v>
      </c>
      <c r="B1139" t="s" s="13">
        <v>22</v>
      </c>
      <c r="C1139" s="15">
        <v>408.5</v>
      </c>
      <c r="D1139" s="15">
        <v>413.25</v>
      </c>
      <c r="E1139" s="15">
        <v>407.3</v>
      </c>
      <c r="F1139" s="15">
        <v>406.75</v>
      </c>
      <c r="G1139" s="15">
        <v>411.1</v>
      </c>
      <c r="H1139" s="15">
        <v>411.75</v>
      </c>
      <c r="I1139" s="15">
        <v>410.55</v>
      </c>
      <c r="J1139" s="15">
        <v>471.5</v>
      </c>
      <c r="K1139" s="15">
        <v>390.15</v>
      </c>
      <c r="L1139" s="15">
        <v>12936588</v>
      </c>
      <c r="M1139" t="s" s="13">
        <v>9910</v>
      </c>
      <c r="N1139" s="15">
        <v>118422</v>
      </c>
      <c r="O1139" s="17" cm="1">
        <f t="array" ref="O1139">(H1139-H1138)/H1138</f>
        <v>0.0122925629993854</v>
      </c>
    </row>
    <row r="1140" ht="13.65" customHeight="1">
      <c r="A1140" s="12">
        <v>45904</v>
      </c>
      <c r="B1140" t="s" s="13">
        <v>22</v>
      </c>
      <c r="C1140" s="15">
        <v>423.95</v>
      </c>
      <c r="D1140" s="15">
        <v>427</v>
      </c>
      <c r="E1140" s="15">
        <v>415</v>
      </c>
      <c r="F1140" s="15">
        <v>411.75</v>
      </c>
      <c r="G1140" s="15">
        <v>415.75</v>
      </c>
      <c r="H1140" s="15">
        <v>415.9</v>
      </c>
      <c r="I1140" s="15">
        <v>418.56</v>
      </c>
      <c r="J1140" s="15">
        <v>471.5</v>
      </c>
      <c r="K1140" s="15">
        <v>390.15</v>
      </c>
      <c r="L1140" s="15">
        <v>27274123</v>
      </c>
      <c r="M1140" t="s" s="13">
        <v>9911</v>
      </c>
      <c r="N1140" s="15">
        <v>271564</v>
      </c>
      <c r="O1140" s="17" cm="1">
        <f t="array" ref="O1140">(H1140-H1139)/H1139</f>
        <v>0.0100789313904068</v>
      </c>
    </row>
    <row r="1141" ht="13.65" customHeight="1">
      <c r="A1141" s="12">
        <v>45905</v>
      </c>
      <c r="B1141" t="s" s="13">
        <v>22</v>
      </c>
      <c r="C1141" s="15">
        <v>416.9</v>
      </c>
      <c r="D1141" s="15">
        <v>417</v>
      </c>
      <c r="E1141" s="15">
        <v>404.4</v>
      </c>
      <c r="F1141" s="15">
        <v>415.9</v>
      </c>
      <c r="G1141" s="15">
        <v>407.9</v>
      </c>
      <c r="H1141" s="15">
        <v>407.35</v>
      </c>
      <c r="I1141" s="15">
        <v>406.82</v>
      </c>
      <c r="J1141" s="15">
        <v>471.5</v>
      </c>
      <c r="K1141" s="15">
        <v>390.15</v>
      </c>
      <c r="L1141" s="15">
        <v>16000675</v>
      </c>
      <c r="M1141" t="s" s="13">
        <v>9912</v>
      </c>
      <c r="N1141" s="15">
        <v>213298</v>
      </c>
      <c r="O1141" s="17" cm="1">
        <f t="array" ref="O1141">(H1141-H1140)/H1140</f>
        <v>-0.0205578264005771</v>
      </c>
    </row>
    <row r="1142" ht="13.65" customHeight="1">
      <c r="A1142" s="12">
        <v>45908</v>
      </c>
      <c r="B1142" t="s" s="13">
        <v>22</v>
      </c>
      <c r="C1142" s="15">
        <v>407.45</v>
      </c>
      <c r="D1142" s="15">
        <v>410.55</v>
      </c>
      <c r="E1142" s="15">
        <v>406.8</v>
      </c>
      <c r="F1142" s="15">
        <v>407.35</v>
      </c>
      <c r="G1142" s="15">
        <v>408.4</v>
      </c>
      <c r="H1142" s="15">
        <v>407.55</v>
      </c>
      <c r="I1142" s="15">
        <v>408.21</v>
      </c>
      <c r="J1142" s="15">
        <v>471.5</v>
      </c>
      <c r="K1142" s="15">
        <v>390.15</v>
      </c>
      <c r="L1142" s="15">
        <v>7419022</v>
      </c>
      <c r="M1142" t="s" s="13">
        <v>9913</v>
      </c>
      <c r="N1142" s="15">
        <v>113635</v>
      </c>
      <c r="O1142" s="17" cm="1">
        <f t="array" ref="O1142">(H1142-H1141)/H1141</f>
        <v>0.0004909782742113659</v>
      </c>
    </row>
    <row r="1143" ht="13.65" customHeight="1">
      <c r="A1143" s="12">
        <v>45909</v>
      </c>
      <c r="B1143" t="s" s="13">
        <v>22</v>
      </c>
      <c r="C1143" s="15">
        <v>408.5</v>
      </c>
      <c r="D1143" s="15">
        <v>410.95</v>
      </c>
      <c r="E1143" s="15">
        <v>407.4</v>
      </c>
      <c r="F1143" s="15">
        <v>407.55</v>
      </c>
      <c r="G1143" s="15">
        <v>410</v>
      </c>
      <c r="H1143" s="15">
        <v>410.05</v>
      </c>
      <c r="I1143" s="15">
        <v>409.78</v>
      </c>
      <c r="J1143" s="15">
        <v>471.5</v>
      </c>
      <c r="K1143" s="15">
        <v>390.15</v>
      </c>
      <c r="L1143" s="15">
        <v>8825896</v>
      </c>
      <c r="M1143" t="s" s="13">
        <v>9914</v>
      </c>
      <c r="N1143" s="15">
        <v>88691</v>
      </c>
      <c r="O1143" s="17" cm="1">
        <f t="array" ref="O1143">(H1143-H1142)/H1142</f>
        <v>0.00613421666053245</v>
      </c>
    </row>
    <row r="1144" ht="13.65" customHeight="1">
      <c r="A1144" s="18">
        <v>45910</v>
      </c>
      <c r="B1144" t="s" s="13">
        <v>22</v>
      </c>
      <c r="C1144" s="15">
        <v>411</v>
      </c>
      <c r="D1144" s="15">
        <v>413.7</v>
      </c>
      <c r="E1144" s="15">
        <v>408.95</v>
      </c>
      <c r="F1144" s="15">
        <v>410.05</v>
      </c>
      <c r="G1144" s="15">
        <v>413</v>
      </c>
      <c r="H1144" s="15">
        <v>413.05</v>
      </c>
      <c r="I1144" s="15">
        <v>411.25</v>
      </c>
      <c r="J1144" s="15">
        <v>471.5</v>
      </c>
      <c r="K1144" s="15">
        <v>390.15</v>
      </c>
      <c r="L1144" s="15">
        <v>9252397</v>
      </c>
      <c r="M1144" t="s" s="13">
        <v>9915</v>
      </c>
      <c r="N1144" s="15">
        <v>141806</v>
      </c>
      <c r="O1144" s="17" cm="1">
        <f t="array" ref="O1144">(H1144-H1143)/H1143</f>
        <v>0.00731618095354225</v>
      </c>
    </row>
    <row r="1145" ht="13.65" customHeight="1">
      <c r="A1145" s="18">
        <v>45911</v>
      </c>
      <c r="B1145" t="s" s="13">
        <v>22</v>
      </c>
      <c r="C1145" s="15">
        <v>413.05</v>
      </c>
      <c r="D1145" s="15">
        <v>416.7</v>
      </c>
      <c r="E1145" s="15">
        <v>412.45</v>
      </c>
      <c r="F1145" s="15">
        <v>413.05</v>
      </c>
      <c r="G1145" s="15">
        <v>415.35</v>
      </c>
      <c r="H1145" s="15">
        <v>415.05</v>
      </c>
      <c r="I1145" s="15">
        <v>415.51</v>
      </c>
      <c r="J1145" s="15">
        <v>471.5</v>
      </c>
      <c r="K1145" s="15">
        <v>390.15</v>
      </c>
      <c r="L1145" s="15">
        <v>8274406</v>
      </c>
      <c r="M1145" t="s" s="13">
        <v>9916</v>
      </c>
      <c r="N1145" s="15">
        <v>195524</v>
      </c>
      <c r="O1145" s="17" cm="1">
        <f t="array" ref="O1145">(H1145-H1144)/H1144</f>
        <v>0.00484202881007142</v>
      </c>
    </row>
    <row r="1146" ht="13.65" customHeight="1">
      <c r="A1146" s="18">
        <v>45912</v>
      </c>
      <c r="B1146" t="s" s="13">
        <v>22</v>
      </c>
      <c r="C1146" s="15">
        <v>415.35</v>
      </c>
      <c r="D1146" s="15">
        <v>417.05</v>
      </c>
      <c r="E1146" s="15">
        <v>412.85</v>
      </c>
      <c r="F1146" s="15">
        <v>415.05</v>
      </c>
      <c r="G1146" s="15">
        <v>413.55</v>
      </c>
      <c r="H1146" s="15">
        <v>413.75</v>
      </c>
      <c r="I1146" s="15">
        <v>414.89</v>
      </c>
      <c r="J1146" s="15">
        <v>471.5</v>
      </c>
      <c r="K1146" s="15">
        <v>390.15</v>
      </c>
      <c r="L1146" s="15">
        <v>7803379</v>
      </c>
      <c r="M1146" t="s" s="13">
        <v>9917</v>
      </c>
      <c r="N1146" s="15">
        <v>78225</v>
      </c>
      <c r="O1146" s="17" cm="1">
        <f t="array" ref="O1146">(H1146-H1145)/H1145</f>
        <v>-0.0031321527526804</v>
      </c>
    </row>
    <row r="1147" ht="13.65" customHeight="1">
      <c r="A1147" s="18">
        <v>45915</v>
      </c>
      <c r="B1147" t="s" s="13">
        <v>22</v>
      </c>
      <c r="C1147" s="15">
        <v>413.05</v>
      </c>
      <c r="D1147" s="15">
        <v>414.3</v>
      </c>
      <c r="E1147" s="15">
        <v>411.75</v>
      </c>
      <c r="F1147" s="15">
        <v>413.75</v>
      </c>
      <c r="G1147" s="15">
        <v>412.8</v>
      </c>
      <c r="H1147" s="15">
        <v>412.65</v>
      </c>
      <c r="I1147" s="15">
        <v>413.05</v>
      </c>
      <c r="J1147" s="15">
        <v>471.5</v>
      </c>
      <c r="K1147" s="15">
        <v>390.15</v>
      </c>
      <c r="L1147" s="15">
        <v>5707331</v>
      </c>
      <c r="M1147" t="s" s="13">
        <v>9918</v>
      </c>
      <c r="N1147" s="15">
        <v>91972</v>
      </c>
      <c r="O1147" s="17" cm="1">
        <f t="array" ref="O1147">(H1147-H1146)/H1146</f>
        <v>-0.00265861027190332</v>
      </c>
    </row>
    <row r="1148" ht="13.65" customHeight="1">
      <c r="A1148" s="18">
        <v>45916</v>
      </c>
      <c r="B1148" t="s" s="13">
        <v>22</v>
      </c>
      <c r="C1148" s="15">
        <v>413.2</v>
      </c>
      <c r="D1148" s="15">
        <v>414.35</v>
      </c>
      <c r="E1148" s="15">
        <v>412</v>
      </c>
      <c r="F1148" s="15">
        <v>412.65</v>
      </c>
      <c r="G1148" s="15">
        <v>413.65</v>
      </c>
      <c r="H1148" s="15">
        <v>413.1</v>
      </c>
      <c r="I1148" s="15">
        <v>413.12</v>
      </c>
      <c r="J1148" s="15">
        <v>471.5</v>
      </c>
      <c r="K1148" s="15">
        <v>390.15</v>
      </c>
      <c r="L1148" s="15">
        <v>8239087</v>
      </c>
      <c r="M1148" t="s" s="13">
        <v>9919</v>
      </c>
      <c r="N1148" s="15">
        <v>97899</v>
      </c>
      <c r="O1148" s="17" cm="1">
        <f t="array" ref="O1148">(H1148-H1147)/H1147</f>
        <v>0.00109051254089422</v>
      </c>
    </row>
    <row r="1149" ht="13.65" customHeight="1">
      <c r="A1149" s="18">
        <v>45917</v>
      </c>
      <c r="B1149" t="s" s="13">
        <v>22</v>
      </c>
      <c r="C1149" s="15">
        <v>413.95</v>
      </c>
      <c r="D1149" s="15">
        <v>414.6</v>
      </c>
      <c r="E1149" s="15">
        <v>408.05</v>
      </c>
      <c r="F1149" s="15">
        <v>413.1</v>
      </c>
      <c r="G1149" s="15">
        <v>410.05</v>
      </c>
      <c r="H1149" s="15">
        <v>409.3</v>
      </c>
      <c r="I1149" s="15">
        <v>410.17</v>
      </c>
      <c r="J1149" s="15">
        <v>471.5</v>
      </c>
      <c r="K1149" s="15">
        <v>390.15</v>
      </c>
      <c r="L1149" s="15">
        <v>14113882</v>
      </c>
      <c r="M1149" t="s" s="13">
        <v>9920</v>
      </c>
      <c r="N1149" s="15">
        <v>147228</v>
      </c>
      <c r="O1149" s="17" cm="1">
        <f t="array" ref="O1149">(H1149-H1148)/H1148</f>
        <v>-0.00919874122488502</v>
      </c>
    </row>
    <row r="1150" ht="13.65" customHeight="1">
      <c r="A1150" s="18">
        <v>45918</v>
      </c>
      <c r="B1150" t="s" s="13">
        <v>22</v>
      </c>
      <c r="C1150" s="15">
        <v>411.35</v>
      </c>
      <c r="D1150" s="15">
        <v>413.05</v>
      </c>
      <c r="E1150" s="15">
        <v>410.1</v>
      </c>
      <c r="F1150" s="15">
        <v>409.3</v>
      </c>
      <c r="G1150" s="15">
        <v>412.5</v>
      </c>
      <c r="H1150" s="15">
        <v>411.55</v>
      </c>
      <c r="I1150" s="15">
        <v>411.51</v>
      </c>
      <c r="J1150" s="15">
        <v>471.5</v>
      </c>
      <c r="K1150" s="15">
        <v>390.15</v>
      </c>
      <c r="L1150" s="15">
        <v>15647808</v>
      </c>
      <c r="M1150" t="s" s="13">
        <v>9921</v>
      </c>
      <c r="N1150" s="15">
        <v>105500</v>
      </c>
      <c r="O1150" s="17" cm="1">
        <f t="array" ref="O1150">(H1150-H1149)/H1149</f>
        <v>0.00549719032494503</v>
      </c>
    </row>
    <row r="1151" ht="13.65" customHeight="1">
      <c r="A1151" s="18">
        <v>45919</v>
      </c>
      <c r="B1151" t="s" s="13">
        <v>22</v>
      </c>
      <c r="C1151" s="15">
        <v>411.55</v>
      </c>
      <c r="D1151" s="15">
        <v>412.6</v>
      </c>
      <c r="E1151" s="15">
        <v>408.95</v>
      </c>
      <c r="F1151" s="15">
        <v>411.55</v>
      </c>
      <c r="G1151" s="15">
        <v>410</v>
      </c>
      <c r="H1151" s="15">
        <v>410.65</v>
      </c>
      <c r="I1151" s="15">
        <v>410.47</v>
      </c>
      <c r="J1151" s="15">
        <v>471.5</v>
      </c>
      <c r="K1151" s="15">
        <v>390.15</v>
      </c>
      <c r="L1151" s="15">
        <v>19505321</v>
      </c>
      <c r="M1151" t="s" s="13">
        <v>9922</v>
      </c>
      <c r="N1151" s="15">
        <v>119041</v>
      </c>
      <c r="O1151" s="17" cm="1">
        <f t="array" ref="O1151">(H1151-H1150)/H1150</f>
        <v>-0.00218685457417082</v>
      </c>
    </row>
    <row r="1152" ht="13.65" customHeight="1">
      <c r="A1152" s="18">
        <v>45922</v>
      </c>
      <c r="B1152" t="s" s="13">
        <v>22</v>
      </c>
      <c r="C1152" s="15">
        <v>410.65</v>
      </c>
      <c r="D1152" s="15">
        <v>411</v>
      </c>
      <c r="E1152" s="15">
        <v>406.05</v>
      </c>
      <c r="F1152" s="15">
        <v>410.65</v>
      </c>
      <c r="G1152" s="15">
        <v>407</v>
      </c>
      <c r="H1152" s="15">
        <v>406.95</v>
      </c>
      <c r="I1152" s="15">
        <v>408.02</v>
      </c>
      <c r="J1152" s="15">
        <v>471.5</v>
      </c>
      <c r="K1152" s="15">
        <v>390.15</v>
      </c>
      <c r="L1152" s="15">
        <v>8930779</v>
      </c>
      <c r="M1152" t="s" s="13">
        <v>9923</v>
      </c>
      <c r="N1152" s="15">
        <v>128779</v>
      </c>
      <c r="O1152" s="17" cm="1">
        <f t="array" ref="O1152">(H1152-H1151)/H1151</f>
        <v>-0.009010105929623769</v>
      </c>
    </row>
    <row r="1153" ht="13.65" customHeight="1">
      <c r="A1153" s="18">
        <v>45923</v>
      </c>
      <c r="B1153" t="s" s="13">
        <v>22</v>
      </c>
      <c r="C1153" s="15">
        <v>407.1</v>
      </c>
      <c r="D1153" s="15">
        <v>408.1</v>
      </c>
      <c r="E1153" s="15">
        <v>402.1</v>
      </c>
      <c r="F1153" s="15">
        <v>406.95</v>
      </c>
      <c r="G1153" s="15">
        <v>404</v>
      </c>
      <c r="H1153" s="15">
        <v>403.2</v>
      </c>
      <c r="I1153" s="15">
        <v>403.67</v>
      </c>
      <c r="J1153" s="15">
        <v>471.5</v>
      </c>
      <c r="K1153" s="15">
        <v>390.15</v>
      </c>
      <c r="L1153" s="15">
        <v>14936357</v>
      </c>
      <c r="M1153" t="s" s="13">
        <v>9924</v>
      </c>
      <c r="N1153" s="15">
        <v>165353</v>
      </c>
      <c r="O1153" s="17" cm="1">
        <f t="array" ref="O1153">(H1153-H1152)/H1152</f>
        <v>-0.009214891264283079</v>
      </c>
    </row>
    <row r="1154" ht="13.65" customHeight="1">
      <c r="A1154" s="18">
        <v>45924</v>
      </c>
      <c r="B1154" t="s" s="13">
        <v>22</v>
      </c>
      <c r="C1154" s="15">
        <v>403.2</v>
      </c>
      <c r="D1154" s="15">
        <v>404.65</v>
      </c>
      <c r="E1154" s="15">
        <v>400.7</v>
      </c>
      <c r="F1154" s="15">
        <v>403.2</v>
      </c>
      <c r="G1154" s="15">
        <v>401</v>
      </c>
      <c r="H1154" s="15">
        <v>401</v>
      </c>
      <c r="I1154" s="15">
        <v>401.65</v>
      </c>
      <c r="J1154" s="15">
        <v>471.5</v>
      </c>
      <c r="K1154" s="15">
        <v>390.15</v>
      </c>
      <c r="L1154" s="15">
        <v>12380865</v>
      </c>
      <c r="M1154" t="s" s="13">
        <v>9925</v>
      </c>
      <c r="N1154" s="15">
        <v>117613</v>
      </c>
      <c r="O1154" s="17" cm="1">
        <f t="array" ref="O1154">(H1154-H1153)/H1153</f>
        <v>-0.00545634920634921</v>
      </c>
    </row>
    <row r="1155" ht="13.65" customHeight="1">
      <c r="A1155" s="18">
        <v>45925</v>
      </c>
      <c r="B1155" t="s" s="13">
        <v>22</v>
      </c>
      <c r="C1155" s="15">
        <v>401.45</v>
      </c>
      <c r="D1155" s="15">
        <v>403</v>
      </c>
      <c r="E1155" s="15">
        <v>398</v>
      </c>
      <c r="F1155" s="15">
        <v>401</v>
      </c>
      <c r="G1155" s="15">
        <v>400.45</v>
      </c>
      <c r="H1155" s="15">
        <v>400.1</v>
      </c>
      <c r="I1155" s="15">
        <v>400.05</v>
      </c>
      <c r="J1155" s="15">
        <v>471.5</v>
      </c>
      <c r="K1155" s="15">
        <v>390.15</v>
      </c>
      <c r="L1155" s="15">
        <v>22006368</v>
      </c>
      <c r="M1155" t="s" s="13">
        <v>9926</v>
      </c>
      <c r="N1155" s="15">
        <v>174393</v>
      </c>
      <c r="O1155" s="17" cm="1">
        <f t="array" ref="O1155">(H1155-H1154)/H1154</f>
        <v>-0.00224438902743142</v>
      </c>
    </row>
    <row r="1156" ht="13.65" customHeight="1">
      <c r="A1156" s="18">
        <v>45926</v>
      </c>
      <c r="B1156" t="s" s="13">
        <v>22</v>
      </c>
      <c r="C1156" s="15">
        <v>400.1</v>
      </c>
      <c r="D1156" s="15">
        <v>405.9</v>
      </c>
      <c r="E1156" s="15">
        <v>399.8</v>
      </c>
      <c r="F1156" s="15">
        <v>400.1</v>
      </c>
      <c r="G1156" s="15">
        <v>405</v>
      </c>
      <c r="H1156" s="15">
        <v>405.1</v>
      </c>
      <c r="I1156" s="15">
        <v>403.62</v>
      </c>
      <c r="J1156" s="15">
        <v>471.5</v>
      </c>
      <c r="K1156" s="15">
        <v>390.15</v>
      </c>
      <c r="L1156" s="15">
        <v>14414044</v>
      </c>
      <c r="M1156" t="s" s="13">
        <v>9927</v>
      </c>
      <c r="N1156" s="15">
        <v>120767</v>
      </c>
      <c r="O1156" s="17" cm="1">
        <f t="array" ref="O1156">(H1156-H1155)/H1155</f>
        <v>0.0124968757810547</v>
      </c>
    </row>
    <row r="1157" ht="13.65" customHeight="1">
      <c r="A1157" s="18">
        <v>45929</v>
      </c>
      <c r="B1157" t="s" s="13">
        <v>22</v>
      </c>
      <c r="C1157" s="15">
        <v>406.9</v>
      </c>
      <c r="D1157" s="15">
        <v>408</v>
      </c>
      <c r="E1157" s="15">
        <v>403.2</v>
      </c>
      <c r="F1157" s="15">
        <v>405.1</v>
      </c>
      <c r="G1157" s="15">
        <v>404.4</v>
      </c>
      <c r="H1157" s="15">
        <v>407.25</v>
      </c>
      <c r="I1157" s="15">
        <v>406.55</v>
      </c>
      <c r="J1157" s="15">
        <v>471.5</v>
      </c>
      <c r="K1157" s="15">
        <v>390.15</v>
      </c>
      <c r="L1157" s="15">
        <v>19717660</v>
      </c>
      <c r="M1157" t="s" s="13">
        <v>9928</v>
      </c>
      <c r="N1157" s="15">
        <v>138356</v>
      </c>
      <c r="O1157" s="17" cm="1">
        <f t="array" ref="O1157">(H1157-H1156)/H1156</f>
        <v>0.00530733152308072</v>
      </c>
    </row>
    <row r="1158" ht="13.65" customHeight="1">
      <c r="A1158" s="18">
        <v>45930</v>
      </c>
      <c r="B1158" t="s" s="13">
        <v>22</v>
      </c>
      <c r="C1158" s="15">
        <v>406.75</v>
      </c>
      <c r="D1158" s="15">
        <v>406.75</v>
      </c>
      <c r="E1158" s="15">
        <v>400.4</v>
      </c>
      <c r="F1158" s="15">
        <v>407.25</v>
      </c>
      <c r="G1158" s="15">
        <v>401.7</v>
      </c>
      <c r="H1158" s="15">
        <v>401.55</v>
      </c>
      <c r="I1158" s="15">
        <v>402.22</v>
      </c>
      <c r="J1158" s="15">
        <v>471.5</v>
      </c>
      <c r="K1158" s="15">
        <v>390.15</v>
      </c>
      <c r="L1158" s="15">
        <v>9465490</v>
      </c>
      <c r="M1158" t="s" s="13">
        <v>9929</v>
      </c>
      <c r="N1158" s="15">
        <v>135011</v>
      </c>
      <c r="O1158" s="17" cm="1">
        <f t="array" ref="O1158">(H1158-H1157)/H1157</f>
        <v>-0.0139963167587477</v>
      </c>
    </row>
    <row r="1159" ht="13.65" customHeight="1">
      <c r="A1159" s="12">
        <v>45931</v>
      </c>
      <c r="B1159" t="s" s="13">
        <v>22</v>
      </c>
      <c r="C1159" s="15">
        <v>402.35</v>
      </c>
      <c r="D1159" s="15">
        <v>406</v>
      </c>
      <c r="E1159" s="15">
        <v>399.75</v>
      </c>
      <c r="F1159" s="15">
        <v>401.55</v>
      </c>
      <c r="G1159" s="15">
        <v>404.9</v>
      </c>
      <c r="H1159" s="15">
        <v>405.6</v>
      </c>
      <c r="I1159" s="15">
        <v>403.72</v>
      </c>
      <c r="J1159" s="15">
        <v>471.5</v>
      </c>
      <c r="K1159" s="15">
        <v>390.15</v>
      </c>
      <c r="L1159" s="15">
        <v>17643039</v>
      </c>
      <c r="M1159" t="s" s="13">
        <v>9930</v>
      </c>
      <c r="N1159" s="15">
        <v>116986</v>
      </c>
      <c r="O1159" s="17" cm="1">
        <f t="array" ref="O1159">(H1159-H1158)/H1158</f>
        <v>0.0100859170713485</v>
      </c>
    </row>
    <row r="1160" ht="13.65" customHeight="1">
      <c r="A1160" s="12">
        <v>45933</v>
      </c>
      <c r="B1160" t="s" s="13">
        <v>22</v>
      </c>
      <c r="C1160" s="15">
        <v>404.9</v>
      </c>
      <c r="D1160" s="15">
        <v>405.5</v>
      </c>
      <c r="E1160" s="15">
        <v>402.3</v>
      </c>
      <c r="F1160" s="15">
        <v>405.6</v>
      </c>
      <c r="G1160" s="15">
        <v>404.6</v>
      </c>
      <c r="H1160" s="15">
        <v>404.3</v>
      </c>
      <c r="I1160" s="15">
        <v>404.32</v>
      </c>
      <c r="J1160" s="15">
        <v>471.5</v>
      </c>
      <c r="K1160" s="15">
        <v>390.15</v>
      </c>
      <c r="L1160" s="15">
        <v>16987141</v>
      </c>
      <c r="M1160" t="s" s="13">
        <v>9931</v>
      </c>
      <c r="N1160" s="15">
        <v>119898</v>
      </c>
      <c r="O1160" s="17" cm="1">
        <f t="array" ref="O1160">(H1160-H1159)/H1159</f>
        <v>-0.00320512820512821</v>
      </c>
    </row>
    <row r="1161" ht="13.65" customHeight="1">
      <c r="A1161" s="12">
        <v>45936</v>
      </c>
      <c r="B1161" t="s" s="13">
        <v>22</v>
      </c>
      <c r="C1161" s="15">
        <v>403</v>
      </c>
      <c r="D1161" s="15">
        <v>403.9</v>
      </c>
      <c r="E1161" s="15">
        <v>399.8</v>
      </c>
      <c r="F1161" s="15">
        <v>404.3</v>
      </c>
      <c r="G1161" s="15">
        <v>401.1</v>
      </c>
      <c r="H1161" s="15">
        <v>400.75</v>
      </c>
      <c r="I1161" s="15">
        <v>400.71</v>
      </c>
      <c r="J1161" s="15">
        <v>471.5</v>
      </c>
      <c r="K1161" s="15">
        <v>390.15</v>
      </c>
      <c r="L1161" s="15">
        <v>13989077</v>
      </c>
      <c r="M1161" t="s" s="13">
        <v>9932</v>
      </c>
      <c r="N1161" s="15">
        <v>119696</v>
      </c>
      <c r="O1161" s="17" cm="1">
        <f t="array" ref="O1161">(H1161-H1160)/H1160</f>
        <v>-0.00878060845906505</v>
      </c>
    </row>
    <row r="1162" ht="13.65" customHeight="1">
      <c r="A1162" s="12">
        <v>45937</v>
      </c>
      <c r="B1162" t="s" s="13">
        <v>22</v>
      </c>
      <c r="C1162" s="15">
        <v>402.5</v>
      </c>
      <c r="D1162" s="15">
        <v>402.6</v>
      </c>
      <c r="E1162" s="15">
        <v>399.5</v>
      </c>
      <c r="F1162" s="15">
        <v>400.75</v>
      </c>
      <c r="G1162" s="15">
        <v>399.9</v>
      </c>
      <c r="H1162" s="15">
        <v>399.8</v>
      </c>
      <c r="I1162" s="15">
        <v>400.47</v>
      </c>
      <c r="J1162" s="15">
        <v>471.5</v>
      </c>
      <c r="K1162" s="15">
        <v>390.15</v>
      </c>
      <c r="L1162" s="15">
        <v>12298968</v>
      </c>
      <c r="M1162" t="s" s="13">
        <v>9933</v>
      </c>
      <c r="N1162" s="15">
        <v>128812</v>
      </c>
      <c r="O1162" s="17" cm="1">
        <f t="array" ref="O1162">(H1162-H1161)/H1161</f>
        <v>-0.00237055520898316</v>
      </c>
    </row>
    <row r="1163" ht="13.65" customHeight="1">
      <c r="A1163" s="12">
        <v>45938</v>
      </c>
      <c r="B1163" t="s" s="13">
        <v>22</v>
      </c>
      <c r="C1163" s="15">
        <v>400</v>
      </c>
      <c r="D1163" s="15">
        <v>401.75</v>
      </c>
      <c r="E1163" s="15">
        <v>398</v>
      </c>
      <c r="F1163" s="15">
        <v>399.8</v>
      </c>
      <c r="G1163" s="15">
        <v>399.5</v>
      </c>
      <c r="H1163" s="15">
        <v>399.75</v>
      </c>
      <c r="I1163" s="15">
        <v>399.5</v>
      </c>
      <c r="J1163" s="15">
        <v>471.5</v>
      </c>
      <c r="K1163" s="15">
        <v>390.15</v>
      </c>
      <c r="L1163" s="15">
        <v>8402463</v>
      </c>
      <c r="M1163" t="s" s="13">
        <v>9934</v>
      </c>
      <c r="N1163" s="15">
        <v>93216</v>
      </c>
      <c r="O1163" s="17" cm="1">
        <f t="array" ref="O1163">(H1163-H1162)/H1162</f>
        <v>-0.000125062531265633</v>
      </c>
    </row>
    <row r="1164" ht="13.65" customHeight="1">
      <c r="A1164" s="12">
        <v>45939</v>
      </c>
      <c r="B1164" t="s" s="13">
        <v>22</v>
      </c>
      <c r="C1164" s="15">
        <v>399</v>
      </c>
      <c r="D1164" s="15">
        <v>401.4</v>
      </c>
      <c r="E1164" s="15">
        <v>398.95</v>
      </c>
      <c r="F1164" s="15">
        <v>399.75</v>
      </c>
      <c r="G1164" s="15">
        <v>399.3</v>
      </c>
      <c r="H1164" s="15">
        <v>399.9</v>
      </c>
      <c r="I1164" s="15">
        <v>399.97</v>
      </c>
      <c r="J1164" s="15">
        <v>471.5</v>
      </c>
      <c r="K1164" s="15">
        <v>390.15</v>
      </c>
      <c r="L1164" s="15">
        <v>15656267</v>
      </c>
      <c r="M1164" t="s" s="13">
        <v>9935</v>
      </c>
      <c r="N1164" s="15">
        <v>127019</v>
      </c>
      <c r="O1164" s="17" cm="1">
        <f t="array" ref="O1164">(H1164-H1163)/H1163</f>
        <v>0.000375234521575985</v>
      </c>
    </row>
    <row r="1165" ht="13.65" customHeight="1">
      <c r="A1165" s="18">
        <v>45940</v>
      </c>
      <c r="B1165" t="s" s="13">
        <v>22</v>
      </c>
      <c r="C1165" s="15">
        <v>400.45</v>
      </c>
      <c r="D1165" s="15">
        <v>403.85</v>
      </c>
      <c r="E1165" s="15">
        <v>399.5</v>
      </c>
      <c r="F1165" s="15">
        <v>399.9</v>
      </c>
      <c r="G1165" s="15">
        <v>402.5</v>
      </c>
      <c r="H1165" s="15">
        <v>402.8</v>
      </c>
      <c r="I1165" s="15">
        <v>402.29</v>
      </c>
      <c r="J1165" s="15">
        <v>471.5</v>
      </c>
      <c r="K1165" s="15">
        <v>390.15</v>
      </c>
      <c r="L1165" s="15">
        <v>15085738</v>
      </c>
      <c r="M1165" t="s" s="13">
        <v>9936</v>
      </c>
      <c r="N1165" s="15">
        <v>115991</v>
      </c>
      <c r="O1165" s="17" cm="1">
        <f t="array" ref="O1165">(H1165-H1164)/H1164</f>
        <v>0.00725181295323831</v>
      </c>
    </row>
    <row r="1166" ht="13.65" customHeight="1">
      <c r="A1166" s="18">
        <v>45943</v>
      </c>
      <c r="B1166" t="s" s="13">
        <v>22</v>
      </c>
      <c r="C1166" s="15">
        <v>400</v>
      </c>
      <c r="D1166" s="15">
        <v>400.95</v>
      </c>
      <c r="E1166" s="15">
        <v>398.55</v>
      </c>
      <c r="F1166" s="15">
        <v>402.8</v>
      </c>
      <c r="G1166" s="15">
        <v>399.4</v>
      </c>
      <c r="H1166" s="15">
        <v>399.25</v>
      </c>
      <c r="I1166" s="15">
        <v>399.67</v>
      </c>
      <c r="J1166" s="15">
        <v>471.5</v>
      </c>
      <c r="K1166" s="15">
        <v>390.15</v>
      </c>
      <c r="L1166" s="15">
        <v>9508594</v>
      </c>
      <c r="M1166" t="s" s="13">
        <v>9937</v>
      </c>
      <c r="N1166" s="15">
        <v>172792</v>
      </c>
      <c r="O1166" s="17" cm="1">
        <f t="array" ref="O1166">(H1166-H1165)/H1165</f>
        <v>-0.008813306852035749</v>
      </c>
    </row>
    <row r="1167" ht="13.65" customHeight="1">
      <c r="A1167" s="18">
        <v>45944</v>
      </c>
      <c r="B1167" t="s" s="13">
        <v>22</v>
      </c>
      <c r="C1167" s="15">
        <v>400</v>
      </c>
      <c r="D1167" s="15">
        <v>400.85</v>
      </c>
      <c r="E1167" s="15">
        <v>396.2</v>
      </c>
      <c r="F1167" s="15">
        <v>399.25</v>
      </c>
      <c r="G1167" s="15">
        <v>396.7</v>
      </c>
      <c r="H1167" s="15">
        <v>396.8</v>
      </c>
      <c r="I1167" s="15">
        <v>397.77</v>
      </c>
      <c r="J1167" s="15">
        <v>471.5</v>
      </c>
      <c r="K1167" s="15">
        <v>390.15</v>
      </c>
      <c r="L1167" s="15">
        <v>10291102</v>
      </c>
      <c r="M1167" t="s" s="13">
        <v>9938</v>
      </c>
      <c r="N1167" s="15">
        <v>155469</v>
      </c>
      <c r="O1167" s="17" cm="1">
        <f t="array" ref="O1167">(H1167-H1166)/H1166</f>
        <v>-0.00613650594865373</v>
      </c>
    </row>
    <row r="1168" ht="13.65" customHeight="1">
      <c r="A1168" s="18">
        <v>45945</v>
      </c>
      <c r="B1168" t="s" s="13">
        <v>22</v>
      </c>
      <c r="C1168" s="15">
        <v>398</v>
      </c>
      <c r="D1168" s="15">
        <v>400.85</v>
      </c>
      <c r="E1168" s="15">
        <v>397.25</v>
      </c>
      <c r="F1168" s="15">
        <v>396.8</v>
      </c>
      <c r="G1168" s="15">
        <v>400.3</v>
      </c>
      <c r="H1168" s="15">
        <v>399.9</v>
      </c>
      <c r="I1168" s="15">
        <v>399.77</v>
      </c>
      <c r="J1168" s="15">
        <v>471.5</v>
      </c>
      <c r="K1168" s="15">
        <v>390.15</v>
      </c>
      <c r="L1168" s="15">
        <v>16043867</v>
      </c>
      <c r="M1168" t="s" s="13">
        <v>9939</v>
      </c>
      <c r="N1168" s="15">
        <v>107335</v>
      </c>
      <c r="O1168" s="17" cm="1">
        <f t="array" ref="O1168">(H1168-H1167)/H1167</f>
        <v>0.0078125</v>
      </c>
    </row>
    <row r="1169" ht="13.65" customHeight="1">
      <c r="A1169" s="18">
        <v>45946</v>
      </c>
      <c r="B1169" t="s" s="13">
        <v>22</v>
      </c>
      <c r="C1169" s="15">
        <v>401</v>
      </c>
      <c r="D1169" s="15">
        <v>406</v>
      </c>
      <c r="E1169" s="15">
        <v>399.55</v>
      </c>
      <c r="F1169" s="15">
        <v>399.9</v>
      </c>
      <c r="G1169" s="15">
        <v>405.45</v>
      </c>
      <c r="H1169" s="15">
        <v>405.15</v>
      </c>
      <c r="I1169" s="15">
        <v>403</v>
      </c>
      <c r="J1169" s="15">
        <v>471.5</v>
      </c>
      <c r="K1169" s="15">
        <v>390.15</v>
      </c>
      <c r="L1169" s="15">
        <v>22962049</v>
      </c>
      <c r="M1169" t="s" s="13">
        <v>9940</v>
      </c>
      <c r="N1169" s="15">
        <v>161737</v>
      </c>
      <c r="O1169" s="17" cm="1">
        <f t="array" ref="O1169">(H1169-H1168)/H1168</f>
        <v>0.0131282820705176</v>
      </c>
    </row>
    <row r="1170" ht="13.65" customHeight="1">
      <c r="A1170" s="18">
        <v>45947</v>
      </c>
      <c r="B1170" t="s" s="13">
        <v>22</v>
      </c>
      <c r="C1170" s="15">
        <v>405.35</v>
      </c>
      <c r="D1170" s="15">
        <v>413.85</v>
      </c>
      <c r="E1170" s="15">
        <v>405.25</v>
      </c>
      <c r="F1170" s="15">
        <v>405.15</v>
      </c>
      <c r="G1170" s="15">
        <v>411.4</v>
      </c>
      <c r="H1170" s="15">
        <v>412.15</v>
      </c>
      <c r="I1170" s="15">
        <v>411.42</v>
      </c>
      <c r="J1170" s="15">
        <v>471.5</v>
      </c>
      <c r="K1170" s="15">
        <v>390.15</v>
      </c>
      <c r="L1170" s="15">
        <v>21071344</v>
      </c>
      <c r="M1170" t="s" s="13">
        <v>9941</v>
      </c>
      <c r="N1170" s="15">
        <v>155146</v>
      </c>
      <c r="O1170" s="17" cm="1">
        <f t="array" ref="O1170">(H1170-H1169)/H1169</f>
        <v>0.0172775515241269</v>
      </c>
    </row>
    <row r="1171" ht="13.65" customHeight="1">
      <c r="A1171" s="18">
        <v>45950</v>
      </c>
      <c r="B1171" t="s" s="13">
        <v>22</v>
      </c>
      <c r="C1171" s="15">
        <v>412.55</v>
      </c>
      <c r="D1171" s="15">
        <v>414.85</v>
      </c>
      <c r="E1171" s="15">
        <v>411.3</v>
      </c>
      <c r="F1171" s="15">
        <v>412.15</v>
      </c>
      <c r="G1171" s="15">
        <v>412.6</v>
      </c>
      <c r="H1171" s="15">
        <v>413.05</v>
      </c>
      <c r="I1171" s="15">
        <v>412.96</v>
      </c>
      <c r="J1171" s="15">
        <v>471.5</v>
      </c>
      <c r="K1171" s="15">
        <v>390.15</v>
      </c>
      <c r="L1171" s="15">
        <v>13083621</v>
      </c>
      <c r="M1171" t="s" s="13">
        <v>9942</v>
      </c>
      <c r="N1171" s="15">
        <v>126249</v>
      </c>
      <c r="O1171" s="17" cm="1">
        <f t="array" ref="O1171">(H1171-H1170)/H1170</f>
        <v>0.0021836709935703</v>
      </c>
    </row>
    <row r="1172" ht="13.65" customHeight="1">
      <c r="A1172" s="18">
        <v>45951</v>
      </c>
      <c r="B1172" t="s" s="13">
        <v>22</v>
      </c>
      <c r="C1172" s="15">
        <v>413.5</v>
      </c>
      <c r="D1172" s="15">
        <v>413.95</v>
      </c>
      <c r="E1172" s="15">
        <v>412.35</v>
      </c>
      <c r="F1172" s="15">
        <v>413.05</v>
      </c>
      <c r="G1172" s="15">
        <v>412.5</v>
      </c>
      <c r="H1172" s="15">
        <v>412.85</v>
      </c>
      <c r="I1172" s="15">
        <v>412.93</v>
      </c>
      <c r="J1172" s="15">
        <v>471.5</v>
      </c>
      <c r="K1172" s="15">
        <v>390.15</v>
      </c>
      <c r="L1172" s="15">
        <v>1142130</v>
      </c>
      <c r="M1172" t="s" s="13">
        <v>9943</v>
      </c>
      <c r="N1172" s="15">
        <v>38260</v>
      </c>
      <c r="O1172" s="17" cm="1">
        <f t="array" ref="O1172">(H1172-H1171)/H1171</f>
        <v>-0.000484202881007142</v>
      </c>
    </row>
    <row r="1173" ht="13.65" customHeight="1">
      <c r="A1173" s="18">
        <v>45953</v>
      </c>
      <c r="B1173" t="s" s="13">
        <v>22</v>
      </c>
      <c r="C1173" s="15">
        <v>416</v>
      </c>
      <c r="D1173" s="15">
        <v>420.45</v>
      </c>
      <c r="E1173" s="15">
        <v>413.55</v>
      </c>
      <c r="F1173" s="15">
        <v>412.85</v>
      </c>
      <c r="G1173" s="15">
        <v>416.25</v>
      </c>
      <c r="H1173" s="15">
        <v>415.95</v>
      </c>
      <c r="I1173" s="15">
        <v>417.33</v>
      </c>
      <c r="J1173" s="15">
        <v>471.5</v>
      </c>
      <c r="K1173" s="15">
        <v>390.15</v>
      </c>
      <c r="L1173" s="15">
        <v>24305990</v>
      </c>
      <c r="M1173" t="s" s="13">
        <v>9944</v>
      </c>
      <c r="N1173" s="15">
        <v>189470</v>
      </c>
      <c r="O1173" s="17" cm="1">
        <f t="array" ref="O1173">(H1173-H1172)/H1172</f>
        <v>0.00750878042872714</v>
      </c>
    </row>
    <row r="1174" ht="13.65" customHeight="1">
      <c r="A1174" s="18">
        <v>45954</v>
      </c>
      <c r="B1174" t="s" s="13">
        <v>22</v>
      </c>
      <c r="C1174" s="15">
        <v>415.95</v>
      </c>
      <c r="D1174" s="15">
        <v>417.95</v>
      </c>
      <c r="E1174" s="15">
        <v>413.45</v>
      </c>
      <c r="F1174" s="15">
        <v>415.95</v>
      </c>
      <c r="G1174" s="15">
        <v>417.8</v>
      </c>
      <c r="H1174" s="15">
        <v>416.8</v>
      </c>
      <c r="I1174" s="15">
        <v>415.51</v>
      </c>
      <c r="J1174" s="15">
        <v>471.5</v>
      </c>
      <c r="K1174" s="15">
        <v>390.15</v>
      </c>
      <c r="L1174" s="15">
        <v>14935678</v>
      </c>
      <c r="M1174" t="s" s="13">
        <v>9945</v>
      </c>
      <c r="N1174" s="15">
        <v>114037</v>
      </c>
      <c r="O1174" s="17" cm="1">
        <f t="array" ref="O1174">(H1174-H1173)/H1173</f>
        <v>0.00204351484553432</v>
      </c>
    </row>
    <row r="1175" ht="13.65" customHeight="1">
      <c r="A1175" s="18">
        <v>45957</v>
      </c>
      <c r="B1175" t="s" s="13">
        <v>22</v>
      </c>
      <c r="C1175" s="15">
        <v>417</v>
      </c>
      <c r="D1175" s="15">
        <v>422.7</v>
      </c>
      <c r="E1175" s="15">
        <v>416.6</v>
      </c>
      <c r="F1175" s="15">
        <v>416.8</v>
      </c>
      <c r="G1175" s="15">
        <v>421</v>
      </c>
      <c r="H1175" s="15">
        <v>420.65</v>
      </c>
      <c r="I1175" s="15">
        <v>420.58</v>
      </c>
      <c r="J1175" s="15">
        <v>471.5</v>
      </c>
      <c r="K1175" s="15">
        <v>390.15</v>
      </c>
      <c r="L1175" s="15">
        <v>11603679</v>
      </c>
      <c r="M1175" t="s" s="13">
        <v>9946</v>
      </c>
      <c r="N1175" s="15">
        <v>115318</v>
      </c>
      <c r="O1175" s="17" cm="1">
        <f t="array" ref="O1175">(H1175-H1174)/H1174</f>
        <v>0.00923704414587332</v>
      </c>
    </row>
    <row r="1176" ht="13.65" customHeight="1">
      <c r="A1176" s="18">
        <v>45958</v>
      </c>
      <c r="B1176" t="s" s="13">
        <v>22</v>
      </c>
      <c r="C1176" s="15">
        <v>420.5</v>
      </c>
      <c r="D1176" s="15">
        <v>421.65</v>
      </c>
      <c r="E1176" s="15">
        <v>415.9</v>
      </c>
      <c r="F1176" s="15">
        <v>420.65</v>
      </c>
      <c r="G1176" s="15">
        <v>417.85</v>
      </c>
      <c r="H1176" s="15">
        <v>417.9</v>
      </c>
      <c r="I1176" s="15">
        <v>417.96</v>
      </c>
      <c r="J1176" s="15">
        <v>471.5</v>
      </c>
      <c r="K1176" s="15">
        <v>390.15</v>
      </c>
      <c r="L1176" s="15">
        <v>17163147</v>
      </c>
      <c r="M1176" t="s" s="13">
        <v>9947</v>
      </c>
      <c r="N1176" s="15">
        <v>147046</v>
      </c>
      <c r="O1176" s="17" cm="1">
        <f t="array" ref="O1176">(H1176-H1175)/H1175</f>
        <v>-0.00653750148579579</v>
      </c>
    </row>
    <row r="1177" ht="13.65" customHeight="1">
      <c r="A1177" s="18">
        <v>45959</v>
      </c>
      <c r="B1177" t="s" s="13">
        <v>22</v>
      </c>
      <c r="C1177" s="15">
        <v>418.2</v>
      </c>
      <c r="D1177" s="15">
        <v>422.2</v>
      </c>
      <c r="E1177" s="15">
        <v>416.05</v>
      </c>
      <c r="F1177" s="15">
        <v>417.9</v>
      </c>
      <c r="G1177" s="15">
        <v>421.85</v>
      </c>
      <c r="H1177" s="15">
        <v>421.6</v>
      </c>
      <c r="I1177" s="15">
        <v>419.47</v>
      </c>
      <c r="J1177" s="15">
        <v>471.5</v>
      </c>
      <c r="K1177" s="15">
        <v>390.15</v>
      </c>
      <c r="L1177" s="15">
        <v>11470661</v>
      </c>
      <c r="M1177" t="s" s="13">
        <v>9948</v>
      </c>
      <c r="N1177" s="15">
        <v>126826</v>
      </c>
      <c r="O1177" s="17" cm="1">
        <f t="array" ref="O1177">(H1177-H1176)/H1176</f>
        <v>0.00885379277339076</v>
      </c>
    </row>
    <row r="1178" ht="13.65" customHeight="1">
      <c r="A1178" s="18">
        <v>45960</v>
      </c>
      <c r="B1178" t="s" s="13">
        <v>22</v>
      </c>
      <c r="C1178" s="15">
        <v>421.6</v>
      </c>
      <c r="D1178" s="15">
        <v>421.7</v>
      </c>
      <c r="E1178" s="15">
        <v>416.15</v>
      </c>
      <c r="F1178" s="15">
        <v>421.6</v>
      </c>
      <c r="G1178" s="15">
        <v>419.35</v>
      </c>
      <c r="H1178" s="15">
        <v>418.75</v>
      </c>
      <c r="I1178" s="15">
        <v>419.29</v>
      </c>
      <c r="J1178" s="15">
        <v>471.5</v>
      </c>
      <c r="K1178" s="15">
        <v>390.15</v>
      </c>
      <c r="L1178" s="15">
        <v>12938674</v>
      </c>
      <c r="M1178" t="s" s="13">
        <v>9949</v>
      </c>
      <c r="N1178" s="15">
        <v>128633</v>
      </c>
      <c r="O1178" s="17" cm="1">
        <f t="array" ref="O1178">(H1178-H1177)/H1177</f>
        <v>-0.00675996204933586</v>
      </c>
    </row>
    <row r="1179" ht="13.65" customHeight="1">
      <c r="A1179" s="18">
        <v>45961</v>
      </c>
      <c r="B1179" t="s" s="13">
        <v>22</v>
      </c>
      <c r="C1179" s="15">
        <v>420.5</v>
      </c>
      <c r="D1179" s="15">
        <v>426.4</v>
      </c>
      <c r="E1179" s="15">
        <v>418.2</v>
      </c>
      <c r="F1179" s="15">
        <v>418.75</v>
      </c>
      <c r="G1179" s="15">
        <v>419.95</v>
      </c>
      <c r="H1179" s="15">
        <v>420.35</v>
      </c>
      <c r="I1179" s="15">
        <v>422.45</v>
      </c>
      <c r="J1179" s="15">
        <v>471.5</v>
      </c>
      <c r="K1179" s="15">
        <v>390.15</v>
      </c>
      <c r="L1179" s="15">
        <v>18599864</v>
      </c>
      <c r="M1179" t="s" s="13">
        <v>9950</v>
      </c>
      <c r="N1179" s="15">
        <v>203655</v>
      </c>
      <c r="O1179" s="17" cm="1">
        <f t="array" ref="O1179">(H1179-H1178)/H1178</f>
        <v>0.00382089552238806</v>
      </c>
    </row>
    <row r="1180" ht="13.65" customHeight="1">
      <c r="A1180" s="12">
        <v>45964</v>
      </c>
      <c r="B1180" t="s" s="13">
        <v>22</v>
      </c>
      <c r="C1180" s="15">
        <v>419.95</v>
      </c>
      <c r="D1180" s="15">
        <v>421.65</v>
      </c>
      <c r="E1180" s="15">
        <v>413.3</v>
      </c>
      <c r="F1180" s="15">
        <v>420.35</v>
      </c>
      <c r="G1180" s="15">
        <v>414</v>
      </c>
      <c r="H1180" s="15">
        <v>413.95</v>
      </c>
      <c r="I1180" s="15">
        <v>415.71</v>
      </c>
      <c r="J1180" s="15">
        <v>471.5</v>
      </c>
      <c r="K1180" s="15">
        <v>390.15</v>
      </c>
      <c r="L1180" s="15">
        <v>7635440</v>
      </c>
      <c r="M1180" t="s" s="13">
        <v>9951</v>
      </c>
      <c r="N1180" s="15">
        <v>168846</v>
      </c>
      <c r="O1180" s="17" cm="1">
        <f t="array" ref="O1180">(H1180-H1179)/H1179</f>
        <v>-0.0152254073985964</v>
      </c>
    </row>
    <row r="1181" ht="13.65" customHeight="1">
      <c r="A1181" s="12">
        <v>45965</v>
      </c>
      <c r="B1181" t="s" s="13">
        <v>22</v>
      </c>
      <c r="C1181" s="15">
        <v>414</v>
      </c>
      <c r="D1181" s="15">
        <v>414.5</v>
      </c>
      <c r="E1181" s="15">
        <v>408.35</v>
      </c>
      <c r="F1181" s="15">
        <v>413.95</v>
      </c>
      <c r="G1181" s="15">
        <v>408.8</v>
      </c>
      <c r="H1181" s="15">
        <v>408.9</v>
      </c>
      <c r="I1181" s="15">
        <v>410.16</v>
      </c>
      <c r="J1181" s="15">
        <v>471.5</v>
      </c>
      <c r="K1181" s="15">
        <v>390.15</v>
      </c>
      <c r="L1181" s="15">
        <v>10085404</v>
      </c>
      <c r="M1181" t="s" s="13">
        <v>9952</v>
      </c>
      <c r="N1181" s="15">
        <v>140114</v>
      </c>
      <c r="O1181" s="17" cm="1">
        <f t="array" ref="O1181">(H1181-H1180)/H1180</f>
        <v>-0.012199541007368</v>
      </c>
    </row>
    <row r="1182" ht="13.65" customHeight="1">
      <c r="A1182" s="12">
        <v>45967</v>
      </c>
      <c r="B1182" t="s" s="13">
        <v>22</v>
      </c>
      <c r="C1182" s="15">
        <v>410</v>
      </c>
      <c r="D1182" s="15">
        <v>413.3</v>
      </c>
      <c r="E1182" s="15">
        <v>406.55</v>
      </c>
      <c r="F1182" s="15">
        <v>408.9</v>
      </c>
      <c r="G1182" s="15">
        <v>408.5</v>
      </c>
      <c r="H1182" s="15">
        <v>407.5</v>
      </c>
      <c r="I1182" s="15">
        <v>408.26</v>
      </c>
      <c r="J1182" s="15">
        <v>471.5</v>
      </c>
      <c r="K1182" s="15">
        <v>390.15</v>
      </c>
      <c r="L1182" s="15">
        <v>10095563</v>
      </c>
      <c r="M1182" t="s" s="13">
        <v>9953</v>
      </c>
      <c r="N1182" s="15">
        <v>146248</v>
      </c>
      <c r="O1182" s="17" cm="1">
        <f t="array" ref="O1182">(H1182-H1181)/H1181</f>
        <v>-0.00342382000489117</v>
      </c>
    </row>
    <row r="1183" ht="13.65" customHeight="1">
      <c r="A1183" s="12">
        <v>45968</v>
      </c>
      <c r="B1183" t="s" s="13">
        <v>22</v>
      </c>
      <c r="C1183" s="15">
        <v>406.05</v>
      </c>
      <c r="D1183" s="15">
        <v>409.1</v>
      </c>
      <c r="E1183" s="15">
        <v>403.1</v>
      </c>
      <c r="F1183" s="15">
        <v>407.5</v>
      </c>
      <c r="G1183" s="15">
        <v>404.4</v>
      </c>
      <c r="H1183" s="15">
        <v>404.05</v>
      </c>
      <c r="I1183" s="15">
        <v>405.13</v>
      </c>
      <c r="J1183" s="15">
        <v>471.5</v>
      </c>
      <c r="K1183" s="15">
        <v>390.15</v>
      </c>
      <c r="L1183" s="15">
        <v>8411611</v>
      </c>
      <c r="M1183" t="s" s="13">
        <v>9954</v>
      </c>
      <c r="N1183" s="15">
        <v>92747</v>
      </c>
      <c r="O1183" s="17" cm="1">
        <f t="array" ref="O1183">(H1183-H1182)/H1182</f>
        <v>-0.00846625766871166</v>
      </c>
    </row>
    <row r="1184" ht="13.65" customHeight="1">
      <c r="A1184" s="18">
        <v>45971</v>
      </c>
      <c r="B1184" t="s" s="13">
        <v>22</v>
      </c>
      <c r="C1184" s="15">
        <v>404.05</v>
      </c>
      <c r="D1184" s="15">
        <v>407.1</v>
      </c>
      <c r="E1184" s="15">
        <v>403.65</v>
      </c>
      <c r="F1184" s="15">
        <v>404.05</v>
      </c>
      <c r="G1184" s="15">
        <v>406</v>
      </c>
      <c r="H1184" s="15">
        <v>405.55</v>
      </c>
      <c r="I1184" s="15">
        <v>405.75</v>
      </c>
      <c r="J1184" s="15">
        <v>471.5</v>
      </c>
      <c r="K1184" s="15">
        <v>390.15</v>
      </c>
      <c r="L1184" s="15">
        <v>6650003</v>
      </c>
      <c r="M1184" t="s" s="13">
        <v>9955</v>
      </c>
      <c r="N1184" s="15">
        <v>128591</v>
      </c>
      <c r="O1184" s="17" cm="1">
        <f t="array" ref="O1184">(H1184-H1183)/H1183</f>
        <v>0.00371241183021903</v>
      </c>
    </row>
    <row r="1185" ht="13.65" customHeight="1">
      <c r="A1185" s="18">
        <v>45972</v>
      </c>
      <c r="B1185" t="s" s="13">
        <v>22</v>
      </c>
      <c r="C1185" s="15">
        <v>406</v>
      </c>
      <c r="D1185" s="15">
        <v>408.05</v>
      </c>
      <c r="E1185" s="15">
        <v>404.6</v>
      </c>
      <c r="F1185" s="15">
        <v>405.55</v>
      </c>
      <c r="G1185" s="15">
        <v>407.2</v>
      </c>
      <c r="H1185" s="15">
        <v>406.85</v>
      </c>
      <c r="I1185" s="15">
        <v>406.29</v>
      </c>
      <c r="J1185" s="15">
        <v>471.5</v>
      </c>
      <c r="K1185" s="15">
        <v>390.15</v>
      </c>
      <c r="L1185" s="15">
        <v>12005318</v>
      </c>
      <c r="M1185" t="s" s="13">
        <v>9956</v>
      </c>
      <c r="N1185" s="15">
        <v>97321</v>
      </c>
      <c r="O1185" s="17" cm="1">
        <f t="array" ref="O1185">(H1185-H1184)/H1184</f>
        <v>0.00320552336333374</v>
      </c>
    </row>
    <row r="1186" ht="13.65" customHeight="1">
      <c r="A1186" s="18">
        <v>45973</v>
      </c>
      <c r="B1186" t="s" s="13">
        <v>22</v>
      </c>
      <c r="C1186" s="15">
        <v>408</v>
      </c>
      <c r="D1186" s="15">
        <v>408.1</v>
      </c>
      <c r="E1186" s="15">
        <v>405.55</v>
      </c>
      <c r="F1186" s="15">
        <v>406.85</v>
      </c>
      <c r="G1186" s="15">
        <v>407.4</v>
      </c>
      <c r="H1186" s="15">
        <v>407</v>
      </c>
      <c r="I1186" s="15">
        <v>406.82</v>
      </c>
      <c r="J1186" s="15">
        <v>471.5</v>
      </c>
      <c r="K1186" s="15">
        <v>390.15</v>
      </c>
      <c r="L1186" s="15">
        <v>7987236</v>
      </c>
      <c r="M1186" t="s" s="13">
        <v>9957</v>
      </c>
      <c r="N1186" s="15">
        <v>107940</v>
      </c>
      <c r="O1186" s="17" cm="1">
        <f t="array" ref="O1186">(H1186-H1185)/H1185</f>
        <v>0.000368686248002949</v>
      </c>
    </row>
    <row r="1187" ht="13.65" customHeight="1">
      <c r="A1187" s="18">
        <v>45974</v>
      </c>
      <c r="B1187" t="s" s="13">
        <v>22</v>
      </c>
      <c r="C1187" s="15">
        <v>407</v>
      </c>
      <c r="D1187" s="15">
        <v>407.5</v>
      </c>
      <c r="E1187" s="15">
        <v>404.5</v>
      </c>
      <c r="F1187" s="15">
        <v>407</v>
      </c>
      <c r="G1187" s="15">
        <v>406.5</v>
      </c>
      <c r="H1187" s="15">
        <v>405.7</v>
      </c>
      <c r="I1187" s="15">
        <v>406.31</v>
      </c>
      <c r="J1187" s="15">
        <v>471.5</v>
      </c>
      <c r="K1187" s="15">
        <v>390.15</v>
      </c>
      <c r="L1187" s="15">
        <v>6617185</v>
      </c>
      <c r="M1187" t="s" s="13">
        <v>9958</v>
      </c>
      <c r="N1187" s="15">
        <v>90395</v>
      </c>
      <c r="O1187" s="17" cm="1">
        <f t="array" ref="O1187">(H1187-H1186)/H1186</f>
        <v>-0.00319410319410319</v>
      </c>
    </row>
    <row r="1188" ht="13.65" customHeight="1">
      <c r="A1188" s="18">
        <v>45975</v>
      </c>
      <c r="B1188" t="s" s="13">
        <v>22</v>
      </c>
      <c r="C1188" s="15">
        <v>404.7</v>
      </c>
      <c r="D1188" s="15">
        <v>408.75</v>
      </c>
      <c r="E1188" s="15">
        <v>400.1</v>
      </c>
      <c r="F1188" s="15">
        <v>405.7</v>
      </c>
      <c r="G1188" s="15">
        <v>408.25</v>
      </c>
      <c r="H1188" s="15">
        <v>408.15</v>
      </c>
      <c r="I1188" s="15">
        <v>401.39</v>
      </c>
      <c r="J1188" s="15">
        <v>471.5</v>
      </c>
      <c r="K1188" s="15">
        <v>390.15</v>
      </c>
      <c r="L1188" s="15">
        <v>64020258</v>
      </c>
      <c r="M1188" t="s" s="13">
        <v>9959</v>
      </c>
      <c r="N1188" s="15">
        <v>151924</v>
      </c>
      <c r="O1188" s="17" cm="1">
        <f t="array" ref="O1188">(H1188-H1187)/H1187</f>
        <v>0.00603894503327582</v>
      </c>
    </row>
    <row r="1189" ht="13.65" customHeight="1">
      <c r="A1189" s="18">
        <v>45978</v>
      </c>
      <c r="B1189" t="s" s="13">
        <v>22</v>
      </c>
      <c r="C1189" s="15">
        <v>409.75</v>
      </c>
      <c r="D1189" s="15">
        <v>412</v>
      </c>
      <c r="E1189" s="15">
        <v>406</v>
      </c>
      <c r="F1189" s="15">
        <v>408.15</v>
      </c>
      <c r="G1189" s="15">
        <v>407.5</v>
      </c>
      <c r="H1189" s="15">
        <v>407.1</v>
      </c>
      <c r="I1189" s="15">
        <v>407.38</v>
      </c>
      <c r="J1189" s="15">
        <v>471.5</v>
      </c>
      <c r="K1189" s="15">
        <v>390.15</v>
      </c>
      <c r="L1189" s="15">
        <v>7855399</v>
      </c>
      <c r="M1189" t="s" s="13">
        <v>9960</v>
      </c>
      <c r="N1189" s="15">
        <v>114679</v>
      </c>
      <c r="O1189" s="17" cm="1">
        <f t="array" ref="O1189">(H1189-H1188)/H1188</f>
        <v>-0.00257258360896729</v>
      </c>
    </row>
    <row r="1190" ht="13.65" customHeight="1">
      <c r="A1190" s="18">
        <v>45979</v>
      </c>
      <c r="B1190" t="s" s="13">
        <v>22</v>
      </c>
      <c r="C1190" s="15">
        <v>408.25</v>
      </c>
      <c r="D1190" s="15">
        <v>409.8</v>
      </c>
      <c r="E1190" s="15">
        <v>404.55</v>
      </c>
      <c r="F1190" s="15">
        <v>407.1</v>
      </c>
      <c r="G1190" s="15">
        <v>405.7</v>
      </c>
      <c r="H1190" s="15">
        <v>405.85</v>
      </c>
      <c r="I1190" s="15">
        <v>405.64</v>
      </c>
      <c r="J1190" s="15">
        <v>471.5</v>
      </c>
      <c r="K1190" s="15">
        <v>390.15</v>
      </c>
      <c r="L1190" s="15">
        <v>7661681</v>
      </c>
      <c r="M1190" t="s" s="13">
        <v>9961</v>
      </c>
      <c r="N1190" s="15">
        <v>92029</v>
      </c>
      <c r="O1190" s="17" cm="1">
        <f t="array" ref="O1190">(H1190-H1189)/H1189</f>
        <v>-0.00307049864898059</v>
      </c>
    </row>
    <row r="1191" ht="13.65" customHeight="1">
      <c r="A1191" s="18">
        <v>45980</v>
      </c>
      <c r="B1191" t="s" s="13">
        <v>22</v>
      </c>
      <c r="C1191" s="15">
        <v>404.85</v>
      </c>
      <c r="D1191" s="15">
        <v>405.55</v>
      </c>
      <c r="E1191" s="15">
        <v>402.8</v>
      </c>
      <c r="F1191" s="15">
        <v>405.85</v>
      </c>
      <c r="G1191" s="15">
        <v>403.7</v>
      </c>
      <c r="H1191" s="15">
        <v>403.55</v>
      </c>
      <c r="I1191" s="15">
        <v>403.68</v>
      </c>
      <c r="J1191" s="15">
        <v>471.5</v>
      </c>
      <c r="K1191" s="15">
        <v>390.15</v>
      </c>
      <c r="L1191" s="15">
        <v>7882450</v>
      </c>
      <c r="M1191" t="s" s="13">
        <v>9962</v>
      </c>
      <c r="N1191" s="15">
        <v>134281</v>
      </c>
      <c r="O1191" s="17" cm="1">
        <f t="array" ref="O1191">(H1191-H1190)/H1190</f>
        <v>-0.00566711839349513</v>
      </c>
    </row>
    <row r="1192" ht="13.65" customHeight="1">
      <c r="A1192" s="18">
        <v>45981</v>
      </c>
      <c r="B1192" t="s" s="13">
        <v>22</v>
      </c>
      <c r="C1192" s="15">
        <v>403.55</v>
      </c>
      <c r="D1192" s="15">
        <v>407</v>
      </c>
      <c r="E1192" s="15">
        <v>403.25</v>
      </c>
      <c r="F1192" s="15">
        <v>403.55</v>
      </c>
      <c r="G1192" s="15">
        <v>405.6</v>
      </c>
      <c r="H1192" s="15">
        <v>405.45</v>
      </c>
      <c r="I1192" s="15">
        <v>405.55</v>
      </c>
      <c r="J1192" s="15">
        <v>471.5</v>
      </c>
      <c r="K1192" s="15">
        <v>390.15</v>
      </c>
      <c r="L1192" s="15">
        <v>6693410</v>
      </c>
      <c r="M1192" t="s" s="13">
        <v>9963</v>
      </c>
      <c r="N1192" s="15">
        <v>108333</v>
      </c>
      <c r="O1192" s="17" cm="1">
        <f t="array" ref="O1192">(H1192-H1191)/H1191</f>
        <v>0.00470821459546525</v>
      </c>
    </row>
    <row r="1193" ht="13.65" customHeight="1">
      <c r="A1193" s="18">
        <v>45982</v>
      </c>
      <c r="B1193" t="s" s="13">
        <v>22</v>
      </c>
      <c r="C1193" s="15">
        <v>405</v>
      </c>
      <c r="D1193" s="15">
        <v>408.5</v>
      </c>
      <c r="E1193" s="15">
        <v>404.7</v>
      </c>
      <c r="F1193" s="15">
        <v>405.45</v>
      </c>
      <c r="G1193" s="15">
        <v>408</v>
      </c>
      <c r="H1193" s="15">
        <v>407.85</v>
      </c>
      <c r="I1193" s="15">
        <v>407.28</v>
      </c>
      <c r="J1193" s="15">
        <v>471.5</v>
      </c>
      <c r="K1193" s="15">
        <v>390.15</v>
      </c>
      <c r="L1193" s="15">
        <v>5808131</v>
      </c>
      <c r="M1193" t="s" s="13">
        <v>9964</v>
      </c>
      <c r="N1193" s="15">
        <v>92059</v>
      </c>
      <c r="O1193" s="17" cm="1">
        <f t="array" ref="O1193">(H1193-H1192)/H1192</f>
        <v>0.00591934887162412</v>
      </c>
    </row>
    <row r="1194" ht="13.65" customHeight="1">
      <c r="A1194" s="18">
        <v>45985</v>
      </c>
      <c r="B1194" t="s" s="13">
        <v>22</v>
      </c>
      <c r="C1194" s="15">
        <v>408.4</v>
      </c>
      <c r="D1194" s="15">
        <v>408.8</v>
      </c>
      <c r="E1194" s="15">
        <v>402.85</v>
      </c>
      <c r="F1194" s="15">
        <v>407.85</v>
      </c>
      <c r="G1194" s="15">
        <v>404.2</v>
      </c>
      <c r="H1194" s="15">
        <v>403.55</v>
      </c>
      <c r="I1194" s="15">
        <v>404.39</v>
      </c>
      <c r="J1194" s="15">
        <v>471.5</v>
      </c>
      <c r="K1194" s="15">
        <v>390.15</v>
      </c>
      <c r="L1194" s="15">
        <v>11037491</v>
      </c>
      <c r="M1194" t="s" s="13">
        <v>9965</v>
      </c>
      <c r="N1194" s="15">
        <v>128280</v>
      </c>
      <c r="O1194" s="17" cm="1">
        <f t="array" ref="O1194">(H1194-H1193)/H1193</f>
        <v>-0.0105430918229741</v>
      </c>
    </row>
    <row r="1195" ht="13.65" customHeight="1">
      <c r="A1195" s="18">
        <v>45986</v>
      </c>
      <c r="B1195" t="s" s="13">
        <v>22</v>
      </c>
      <c r="C1195" s="15">
        <v>403.55</v>
      </c>
      <c r="D1195" s="15">
        <v>404.5</v>
      </c>
      <c r="E1195" s="15">
        <v>400.1</v>
      </c>
      <c r="F1195" s="15">
        <v>403.55</v>
      </c>
      <c r="G1195" s="15">
        <v>400.4</v>
      </c>
      <c r="H1195" s="15">
        <v>400.8</v>
      </c>
      <c r="I1195" s="15">
        <v>402.29</v>
      </c>
      <c r="J1195" s="15">
        <v>471.5</v>
      </c>
      <c r="K1195" s="15">
        <v>390.15</v>
      </c>
      <c r="L1195" s="15">
        <v>8199785</v>
      </c>
      <c r="M1195" t="s" s="13">
        <v>9966</v>
      </c>
      <c r="N1195" s="15">
        <v>114076</v>
      </c>
      <c r="O1195" s="17" cm="1">
        <f t="array" ref="O1195">(H1195-H1194)/H1194</f>
        <v>-0.00681452112501549</v>
      </c>
    </row>
    <row r="1196" ht="13.65" customHeight="1">
      <c r="A1196" s="18">
        <v>45987</v>
      </c>
      <c r="B1196" t="s" s="13">
        <v>22</v>
      </c>
      <c r="C1196" s="15">
        <v>401</v>
      </c>
      <c r="D1196" s="15">
        <v>403.95</v>
      </c>
      <c r="E1196" s="15">
        <v>400.95</v>
      </c>
      <c r="F1196" s="15">
        <v>400.8</v>
      </c>
      <c r="G1196" s="15">
        <v>402.55</v>
      </c>
      <c r="H1196" s="15">
        <v>402.3</v>
      </c>
      <c r="I1196" s="15">
        <v>402.6</v>
      </c>
      <c r="J1196" s="15">
        <v>471.5</v>
      </c>
      <c r="K1196" s="15">
        <v>390.15</v>
      </c>
      <c r="L1196" s="15">
        <v>11443953</v>
      </c>
      <c r="M1196" t="s" s="13">
        <v>9967</v>
      </c>
      <c r="N1196" s="15">
        <v>107847</v>
      </c>
      <c r="O1196" s="17" cm="1">
        <f t="array" ref="O1196">(H1196-H1195)/H1195</f>
        <v>0.00374251497005988</v>
      </c>
    </row>
    <row r="1197" ht="13.65" customHeight="1">
      <c r="A1197" s="18">
        <v>45988</v>
      </c>
      <c r="B1197" t="s" s="13">
        <v>22</v>
      </c>
      <c r="C1197" s="15">
        <v>403.5</v>
      </c>
      <c r="D1197" s="15">
        <v>405.95</v>
      </c>
      <c r="E1197" s="15">
        <v>402.1</v>
      </c>
      <c r="F1197" s="15">
        <v>402.3</v>
      </c>
      <c r="G1197" s="15">
        <v>405</v>
      </c>
      <c r="H1197" s="15">
        <v>404.3</v>
      </c>
      <c r="I1197" s="15">
        <v>403.22</v>
      </c>
      <c r="J1197" s="15">
        <v>471.5</v>
      </c>
      <c r="K1197" s="15">
        <v>390.15</v>
      </c>
      <c r="L1197" s="15">
        <v>8679529</v>
      </c>
      <c r="M1197" t="s" s="13">
        <v>9968</v>
      </c>
      <c r="N1197" s="15">
        <v>105551</v>
      </c>
      <c r="O1197" s="17" cm="1">
        <f t="array" ref="O1197">(H1197-H1196)/H1196</f>
        <v>0.00497141436738752</v>
      </c>
    </row>
    <row r="1198" ht="13.65" customHeight="1">
      <c r="A1198" s="18">
        <v>45989</v>
      </c>
      <c r="B1198" t="s" s="13">
        <v>22</v>
      </c>
      <c r="C1198" s="15">
        <v>404.3</v>
      </c>
      <c r="D1198" s="15">
        <v>405</v>
      </c>
      <c r="E1198" s="15">
        <v>402.5</v>
      </c>
      <c r="F1198" s="15">
        <v>404.3</v>
      </c>
      <c r="G1198" s="15">
        <v>404.3</v>
      </c>
      <c r="H1198" s="15">
        <v>404.25</v>
      </c>
      <c r="I1198" s="15">
        <v>403.67</v>
      </c>
      <c r="J1198" s="15">
        <v>471.5</v>
      </c>
      <c r="K1198" s="15">
        <v>390.15</v>
      </c>
      <c r="L1198" s="15">
        <v>6883500</v>
      </c>
      <c r="M1198" t="s" s="13">
        <v>9969</v>
      </c>
      <c r="N1198" s="15">
        <v>104754</v>
      </c>
      <c r="O1198" s="17" cm="1">
        <f t="array" ref="O1198">(H1198-H1197)/H1197</f>
        <v>-0.000123670541676973</v>
      </c>
    </row>
    <row r="1199" ht="13.65" customHeight="1">
      <c r="A1199" s="12">
        <v>45992</v>
      </c>
      <c r="B1199" t="s" s="13">
        <v>22</v>
      </c>
      <c r="C1199" s="15">
        <v>402.8</v>
      </c>
      <c r="D1199" s="15">
        <v>405.5</v>
      </c>
      <c r="E1199" s="15">
        <v>398.2</v>
      </c>
      <c r="F1199" s="15">
        <v>404.25</v>
      </c>
      <c r="G1199" s="15">
        <v>404.05</v>
      </c>
      <c r="H1199" s="15">
        <v>404.25</v>
      </c>
      <c r="I1199" s="15">
        <v>402.48</v>
      </c>
      <c r="J1199" s="15">
        <v>471.5</v>
      </c>
      <c r="K1199" s="15">
        <v>390.15</v>
      </c>
      <c r="L1199" s="15">
        <v>13442658</v>
      </c>
      <c r="M1199" t="s" s="13">
        <v>9970</v>
      </c>
      <c r="N1199" s="15">
        <v>204438</v>
      </c>
      <c r="O1199" s="17" cm="1">
        <f t="array" ref="O1199">(H1199-H1198)/H1198</f>
        <v>0</v>
      </c>
    </row>
    <row r="1200" ht="13.65" customHeight="1">
      <c r="A1200" s="12">
        <v>45993</v>
      </c>
      <c r="B1200" t="s" s="13">
        <v>22</v>
      </c>
      <c r="C1200" s="15">
        <v>404.25</v>
      </c>
      <c r="D1200" s="15">
        <v>405.5</v>
      </c>
      <c r="E1200" s="15">
        <v>400.5</v>
      </c>
      <c r="F1200" s="15">
        <v>404.25</v>
      </c>
      <c r="G1200" s="15">
        <v>401.7</v>
      </c>
      <c r="H1200" s="15">
        <v>400.95</v>
      </c>
      <c r="I1200" s="15">
        <v>401.68</v>
      </c>
      <c r="J1200" s="15">
        <v>471.5</v>
      </c>
      <c r="K1200" s="15">
        <v>390.15</v>
      </c>
      <c r="L1200" s="15">
        <v>8093808</v>
      </c>
      <c r="M1200" t="s" s="13">
        <v>9971</v>
      </c>
      <c r="N1200" s="15">
        <v>112342</v>
      </c>
      <c r="O1200" s="17" cm="1">
        <f t="array" ref="O1200">(H1200-H1199)/H1199</f>
        <v>-0.00816326530612245</v>
      </c>
    </row>
    <row r="1201" ht="13.65" customHeight="1">
      <c r="A1201" s="12">
        <v>45994</v>
      </c>
      <c r="B1201" t="s" s="13">
        <v>22</v>
      </c>
      <c r="C1201" s="15">
        <v>401.7</v>
      </c>
      <c r="D1201" s="15">
        <v>402.2</v>
      </c>
      <c r="E1201" s="15">
        <v>398.85</v>
      </c>
      <c r="F1201" s="15">
        <v>400.95</v>
      </c>
      <c r="G1201" s="15">
        <v>400.7</v>
      </c>
      <c r="H1201" s="15">
        <v>400.5</v>
      </c>
      <c r="I1201" s="15">
        <v>400.33</v>
      </c>
      <c r="J1201" s="15">
        <v>471.5</v>
      </c>
      <c r="K1201" s="15">
        <v>390.15</v>
      </c>
      <c r="L1201" s="15">
        <v>10772192</v>
      </c>
      <c r="M1201" t="s" s="13">
        <v>9972</v>
      </c>
      <c r="N1201" s="15">
        <v>145572</v>
      </c>
      <c r="O1201" s="17" cm="1">
        <f t="array" ref="O1201">(H1201-H1200)/H1200</f>
        <v>-0.00112233445566779</v>
      </c>
    </row>
    <row r="1202" ht="13.65" customHeight="1">
      <c r="A1202" s="12">
        <v>45995</v>
      </c>
      <c r="B1202" t="s" s="13">
        <v>22</v>
      </c>
      <c r="C1202" s="15">
        <v>400.1</v>
      </c>
      <c r="D1202" s="15">
        <v>403.55</v>
      </c>
      <c r="E1202" s="15">
        <v>399.05</v>
      </c>
      <c r="F1202" s="15">
        <v>400.5</v>
      </c>
      <c r="G1202" s="15">
        <v>403.25</v>
      </c>
      <c r="H1202" s="15">
        <v>403.05</v>
      </c>
      <c r="I1202" s="15">
        <v>402.09</v>
      </c>
      <c r="J1202" s="15">
        <v>471.5</v>
      </c>
      <c r="K1202" s="15">
        <v>390.15</v>
      </c>
      <c r="L1202" s="15">
        <v>8057989</v>
      </c>
      <c r="M1202" t="s" s="13">
        <v>9973</v>
      </c>
      <c r="N1202" s="15">
        <v>100529</v>
      </c>
      <c r="O1202" s="17" cm="1">
        <f t="array" ref="O1202">(H1202-H1201)/H1201</f>
        <v>0.00636704119850187</v>
      </c>
    </row>
    <row r="1203" ht="13.65" customHeight="1">
      <c r="A1203" s="12">
        <v>45996</v>
      </c>
      <c r="B1203" t="s" s="13">
        <v>22</v>
      </c>
      <c r="C1203" s="15">
        <v>403.05</v>
      </c>
      <c r="D1203" s="15">
        <v>405.35</v>
      </c>
      <c r="E1203" s="15">
        <v>402</v>
      </c>
      <c r="F1203" s="15">
        <v>403.05</v>
      </c>
      <c r="G1203" s="15">
        <v>404.6</v>
      </c>
      <c r="H1203" s="15">
        <v>404.95</v>
      </c>
      <c r="I1203" s="15">
        <v>404.12</v>
      </c>
      <c r="J1203" s="15">
        <v>471.5</v>
      </c>
      <c r="K1203" s="15">
        <v>390.15</v>
      </c>
      <c r="L1203" s="15">
        <v>4419747</v>
      </c>
      <c r="M1203" t="s" s="13">
        <v>9974</v>
      </c>
      <c r="N1203" s="15">
        <v>73360</v>
      </c>
      <c r="O1203" s="17" cm="1">
        <f t="array" ref="O1203">(H1203-H1202)/H1202</f>
        <v>0.00471405532812306</v>
      </c>
    </row>
    <row r="1204" ht="13.65" customHeight="1">
      <c r="A1204" s="12">
        <v>45999</v>
      </c>
      <c r="B1204" t="s" s="13">
        <v>22</v>
      </c>
      <c r="C1204" s="15">
        <v>404.95</v>
      </c>
      <c r="D1204" s="15">
        <v>405.25</v>
      </c>
      <c r="E1204" s="15">
        <v>400.55</v>
      </c>
      <c r="F1204" s="15">
        <v>404.95</v>
      </c>
      <c r="G1204" s="15">
        <v>402</v>
      </c>
      <c r="H1204" s="15">
        <v>402.3</v>
      </c>
      <c r="I1204" s="15">
        <v>402.89</v>
      </c>
      <c r="J1204" s="15">
        <v>471.5</v>
      </c>
      <c r="K1204" s="15">
        <v>390.15</v>
      </c>
      <c r="L1204" s="15">
        <v>6056866</v>
      </c>
      <c r="M1204" t="s" s="13">
        <v>9975</v>
      </c>
      <c r="N1204" s="15">
        <v>101139</v>
      </c>
      <c r="O1204" s="17" cm="1">
        <f t="array" ref="O1204">(H1204-H1203)/H1203</f>
        <v>-0.00654401777997284</v>
      </c>
    </row>
    <row r="1205" ht="13.65" customHeight="1">
      <c r="A1205" s="12">
        <v>46000</v>
      </c>
      <c r="B1205" t="s" s="13">
        <v>22</v>
      </c>
      <c r="C1205" s="15">
        <v>402</v>
      </c>
      <c r="D1205" s="15">
        <v>404.5</v>
      </c>
      <c r="E1205" s="15">
        <v>400</v>
      </c>
      <c r="F1205" s="15">
        <v>402.3</v>
      </c>
      <c r="G1205" s="15">
        <v>401.25</v>
      </c>
      <c r="H1205" s="15">
        <v>401.05</v>
      </c>
      <c r="I1205" s="15">
        <v>402.28</v>
      </c>
      <c r="J1205" s="15">
        <v>471.5</v>
      </c>
      <c r="K1205" s="15">
        <v>390.15</v>
      </c>
      <c r="L1205" s="15">
        <v>9426717</v>
      </c>
      <c r="M1205" t="s" s="13">
        <v>9976</v>
      </c>
      <c r="N1205" s="15">
        <v>119643</v>
      </c>
      <c r="O1205" s="17" cm="1">
        <f t="array" ref="O1205">(H1205-H1204)/H1204</f>
        <v>-0.0031071339796172</v>
      </c>
    </row>
    <row r="1206" ht="13.65" customHeight="1">
      <c r="A1206" s="18">
        <v>46001</v>
      </c>
      <c r="B1206" t="s" s="13">
        <v>22</v>
      </c>
      <c r="C1206" s="15">
        <v>401.1</v>
      </c>
      <c r="D1206" s="15">
        <v>404.4</v>
      </c>
      <c r="E1206" s="15">
        <v>401</v>
      </c>
      <c r="F1206" s="15">
        <v>401.05</v>
      </c>
      <c r="G1206" s="15">
        <v>403.05</v>
      </c>
      <c r="H1206" s="15">
        <v>403.15</v>
      </c>
      <c r="I1206" s="15">
        <v>403.31</v>
      </c>
      <c r="J1206" s="15">
        <v>471.5</v>
      </c>
      <c r="K1206" s="15">
        <v>390.15</v>
      </c>
      <c r="L1206" s="15">
        <v>6969146</v>
      </c>
      <c r="M1206" t="s" s="13">
        <v>9977</v>
      </c>
      <c r="N1206" s="15">
        <v>106280</v>
      </c>
      <c r="O1206" s="17" cm="1">
        <f t="array" ref="O1206">(H1206-H1205)/H1205</f>
        <v>0.00523625483106845</v>
      </c>
    </row>
    <row r="1207" ht="13.65" customHeight="1">
      <c r="A1207" s="18">
        <v>46002</v>
      </c>
      <c r="B1207" t="s" s="13">
        <v>22</v>
      </c>
      <c r="C1207" s="15">
        <v>403.15</v>
      </c>
      <c r="D1207" s="15">
        <v>404</v>
      </c>
      <c r="E1207" s="15">
        <v>401.1</v>
      </c>
      <c r="F1207" s="15">
        <v>403.15</v>
      </c>
      <c r="G1207" s="15">
        <v>403</v>
      </c>
      <c r="H1207" s="15">
        <v>402.9</v>
      </c>
      <c r="I1207" s="15">
        <v>402.4</v>
      </c>
      <c r="J1207" s="15">
        <v>471.5</v>
      </c>
      <c r="K1207" s="15">
        <v>390.15</v>
      </c>
      <c r="L1207" s="15">
        <v>6980147</v>
      </c>
      <c r="M1207" t="s" s="13">
        <v>9978</v>
      </c>
      <c r="N1207" s="15">
        <v>99653</v>
      </c>
      <c r="O1207" s="17" cm="1">
        <f t="array" ref="O1207">(H1207-H1206)/H1206</f>
        <v>-0.0006201165819174</v>
      </c>
    </row>
    <row r="1208" ht="13.65" customHeight="1">
      <c r="A1208" s="18">
        <v>46003</v>
      </c>
      <c r="B1208" t="s" s="13">
        <v>22</v>
      </c>
      <c r="C1208" s="15">
        <v>402.9</v>
      </c>
      <c r="D1208" s="15">
        <v>404</v>
      </c>
      <c r="E1208" s="15">
        <v>399.85</v>
      </c>
      <c r="F1208" s="15">
        <v>402.9</v>
      </c>
      <c r="G1208" s="15">
        <v>400.7</v>
      </c>
      <c r="H1208" s="15">
        <v>400.1</v>
      </c>
      <c r="I1208" s="15">
        <v>400.55</v>
      </c>
      <c r="J1208" s="15">
        <v>471.5</v>
      </c>
      <c r="K1208" s="15">
        <v>390.15</v>
      </c>
      <c r="L1208" s="15">
        <v>12407516</v>
      </c>
      <c r="M1208" t="s" s="13">
        <v>9979</v>
      </c>
      <c r="N1208" s="15">
        <v>115410</v>
      </c>
      <c r="O1208" s="17" cm="1">
        <f t="array" ref="O1208">(H1208-H1207)/H1207</f>
        <v>-0.00694961528915364</v>
      </c>
    </row>
    <row r="1209" ht="13.65" customHeight="1">
      <c r="A1209" s="18">
        <v>46006</v>
      </c>
      <c r="B1209" t="s" s="13">
        <v>22</v>
      </c>
      <c r="C1209" s="15">
        <v>400.1</v>
      </c>
      <c r="D1209" s="15">
        <v>403.35</v>
      </c>
      <c r="E1209" s="15">
        <v>399.5</v>
      </c>
      <c r="F1209" s="15">
        <v>400.1</v>
      </c>
      <c r="G1209" s="15">
        <v>402</v>
      </c>
      <c r="H1209" s="15">
        <v>402.3</v>
      </c>
      <c r="I1209" s="15">
        <v>401.8</v>
      </c>
      <c r="J1209" s="15">
        <v>471.5</v>
      </c>
      <c r="K1209" s="15">
        <v>390.15</v>
      </c>
      <c r="L1209" s="15">
        <v>7756564</v>
      </c>
      <c r="M1209" t="s" s="13">
        <v>9980</v>
      </c>
      <c r="N1209" s="15">
        <v>96420</v>
      </c>
      <c r="O1209" s="17" cm="1">
        <f t="array" ref="O1209">(H1209-H1208)/H1208</f>
        <v>0.00549862534366408</v>
      </c>
    </row>
    <row r="1210" ht="13.65" customHeight="1">
      <c r="A1210" s="18">
        <v>46007</v>
      </c>
      <c r="B1210" t="s" s="13">
        <v>22</v>
      </c>
      <c r="C1210" s="15">
        <v>401.4</v>
      </c>
      <c r="D1210" s="15">
        <v>405.75</v>
      </c>
      <c r="E1210" s="15">
        <v>401.05</v>
      </c>
      <c r="F1210" s="15">
        <v>402.3</v>
      </c>
      <c r="G1210" s="15">
        <v>402</v>
      </c>
      <c r="H1210" s="15">
        <v>401.7</v>
      </c>
      <c r="I1210" s="15">
        <v>403.11</v>
      </c>
      <c r="J1210" s="15">
        <v>471.5</v>
      </c>
      <c r="K1210" s="15">
        <v>390.15</v>
      </c>
      <c r="L1210" s="15">
        <v>12347384</v>
      </c>
      <c r="M1210" t="s" s="13">
        <v>9981</v>
      </c>
      <c r="N1210" s="15">
        <v>120140</v>
      </c>
      <c r="O1210" s="17" cm="1">
        <f t="array" ref="O1210">(H1210-H1209)/H1209</f>
        <v>-0.00149142431021626</v>
      </c>
    </row>
    <row r="1211" ht="13.65" customHeight="1">
      <c r="A1211" s="18">
        <v>46008</v>
      </c>
      <c r="B1211" t="s" s="13">
        <v>22</v>
      </c>
      <c r="C1211" s="15">
        <v>401</v>
      </c>
      <c r="D1211" s="15">
        <v>403.1</v>
      </c>
      <c r="E1211" s="15">
        <v>399.1</v>
      </c>
      <c r="F1211" s="15">
        <v>401.7</v>
      </c>
      <c r="G1211" s="15">
        <v>400.25</v>
      </c>
      <c r="H1211" s="15">
        <v>399.8</v>
      </c>
      <c r="I1211" s="15">
        <v>400.53</v>
      </c>
      <c r="J1211" s="15">
        <v>471.5</v>
      </c>
      <c r="K1211" s="15">
        <v>390.15</v>
      </c>
      <c r="L1211" s="15">
        <v>8087490</v>
      </c>
      <c r="M1211" t="s" s="13">
        <v>9982</v>
      </c>
      <c r="N1211" s="15">
        <v>117330</v>
      </c>
      <c r="O1211" s="17" cm="1">
        <f t="array" ref="O1211">(H1211-H1210)/H1210</f>
        <v>-0.00472989793378143</v>
      </c>
    </row>
    <row r="1212" ht="13.65" customHeight="1">
      <c r="A1212" s="18">
        <v>46009</v>
      </c>
      <c r="B1212" t="s" s="13">
        <v>22</v>
      </c>
      <c r="C1212" s="15">
        <v>400</v>
      </c>
      <c r="D1212" s="15">
        <v>401.95</v>
      </c>
      <c r="E1212" s="15">
        <v>399.85</v>
      </c>
      <c r="F1212" s="15">
        <v>399.8</v>
      </c>
      <c r="G1212" s="15">
        <v>400.85</v>
      </c>
      <c r="H1212" s="15">
        <v>400.4</v>
      </c>
      <c r="I1212" s="15">
        <v>400.74</v>
      </c>
      <c r="J1212" s="15">
        <v>471.5</v>
      </c>
      <c r="K1212" s="15">
        <v>390.15</v>
      </c>
      <c r="L1212" s="15">
        <v>7227668</v>
      </c>
      <c r="M1212" t="s" s="13">
        <v>9983</v>
      </c>
      <c r="N1212" s="15">
        <v>106780</v>
      </c>
      <c r="O1212" s="17" cm="1">
        <f t="array" ref="O1212">(H1212-H1211)/H1211</f>
        <v>0.00150075037518759</v>
      </c>
    </row>
    <row r="1213" ht="13.65" customHeight="1">
      <c r="A1213" s="18">
        <v>46010</v>
      </c>
      <c r="B1213" t="s" s="13">
        <v>22</v>
      </c>
      <c r="C1213" s="15">
        <v>400.25</v>
      </c>
      <c r="D1213" s="15">
        <v>402.65</v>
      </c>
      <c r="E1213" s="15">
        <v>400.25</v>
      </c>
      <c r="F1213" s="15">
        <v>400.4</v>
      </c>
      <c r="G1213" s="15">
        <v>400.9</v>
      </c>
      <c r="H1213" s="15">
        <v>401.05</v>
      </c>
      <c r="I1213" s="15">
        <v>401.39</v>
      </c>
      <c r="J1213" s="15">
        <v>471.5</v>
      </c>
      <c r="K1213" s="15">
        <v>390.15</v>
      </c>
      <c r="L1213" s="15">
        <v>10654835</v>
      </c>
      <c r="M1213" t="s" s="13">
        <v>9984</v>
      </c>
      <c r="N1213" s="15">
        <v>138048</v>
      </c>
      <c r="O1213" s="17" cm="1">
        <f t="array" ref="O1213">(H1213-H1212)/H1212</f>
        <v>0.00162337662337662</v>
      </c>
    </row>
    <row r="1214" ht="13.65" customHeight="1">
      <c r="A1214" s="18">
        <v>46013</v>
      </c>
      <c r="B1214" t="s" s="13">
        <v>22</v>
      </c>
      <c r="C1214" s="15">
        <v>401.6</v>
      </c>
      <c r="D1214" s="15">
        <v>403.65</v>
      </c>
      <c r="E1214" s="15">
        <v>401.2</v>
      </c>
      <c r="F1214" s="15">
        <v>401.05</v>
      </c>
      <c r="G1214" s="15">
        <v>402.85</v>
      </c>
      <c r="H1214" s="15">
        <v>402.7</v>
      </c>
      <c r="I1214" s="15">
        <v>402.79</v>
      </c>
      <c r="J1214" s="15">
        <v>471.5</v>
      </c>
      <c r="K1214" s="15">
        <v>390.15</v>
      </c>
      <c r="L1214" s="15">
        <v>6847871</v>
      </c>
      <c r="M1214" t="s" s="13">
        <v>9985</v>
      </c>
      <c r="N1214" s="15">
        <v>96410</v>
      </c>
      <c r="O1214" s="17" cm="1">
        <f t="array" ref="O1214">(H1214-H1213)/H1213</f>
        <v>0.00411420022441092</v>
      </c>
    </row>
    <row r="1215" ht="13.65" customHeight="1">
      <c r="A1215" s="18">
        <v>46014</v>
      </c>
      <c r="B1215" t="s" s="13">
        <v>22</v>
      </c>
      <c r="C1215" s="15">
        <v>402.5</v>
      </c>
      <c r="D1215" s="15">
        <v>408.9</v>
      </c>
      <c r="E1215" s="15">
        <v>401.8</v>
      </c>
      <c r="F1215" s="15">
        <v>402.7</v>
      </c>
      <c r="G1215" s="15">
        <v>408.85</v>
      </c>
      <c r="H1215" s="15">
        <v>407.35</v>
      </c>
      <c r="I1215" s="15">
        <v>405.66</v>
      </c>
      <c r="J1215" s="15">
        <v>471.5</v>
      </c>
      <c r="K1215" s="15">
        <v>390.15</v>
      </c>
      <c r="L1215" s="15">
        <v>10081997</v>
      </c>
      <c r="M1215" t="s" s="13">
        <v>9986</v>
      </c>
      <c r="N1215" s="15">
        <v>158483</v>
      </c>
      <c r="O1215" s="17" cm="1">
        <f t="array" ref="O1215">(H1215-H1214)/H1214</f>
        <v>0.0115470573628011</v>
      </c>
    </row>
    <row r="1216" ht="13.65" customHeight="1">
      <c r="A1216" s="18">
        <v>46015</v>
      </c>
      <c r="B1216" t="s" s="13">
        <v>22</v>
      </c>
      <c r="C1216" s="15">
        <v>407.95</v>
      </c>
      <c r="D1216" s="15">
        <v>409.5</v>
      </c>
      <c r="E1216" s="15">
        <v>405.65</v>
      </c>
      <c r="F1216" s="15">
        <v>407.35</v>
      </c>
      <c r="G1216" s="15">
        <v>406.8</v>
      </c>
      <c r="H1216" s="15">
        <v>406.6</v>
      </c>
      <c r="I1216" s="15">
        <v>407.18</v>
      </c>
      <c r="J1216" s="15">
        <v>471.5</v>
      </c>
      <c r="K1216" s="15">
        <v>390.15</v>
      </c>
      <c r="L1216" s="15">
        <v>5777430</v>
      </c>
      <c r="M1216" t="s" s="13">
        <v>9987</v>
      </c>
      <c r="N1216" s="15">
        <v>73260</v>
      </c>
      <c r="O1216" s="17" cm="1">
        <f t="array" ref="O1216">(H1216-H1215)/H1215</f>
        <v>-0.00184116852829262</v>
      </c>
    </row>
    <row r="1217" ht="13.65" customHeight="1">
      <c r="A1217" s="18">
        <v>46017</v>
      </c>
      <c r="B1217" t="s" s="13">
        <v>22</v>
      </c>
      <c r="C1217" s="15">
        <v>406.5</v>
      </c>
      <c r="D1217" s="15">
        <v>407.15</v>
      </c>
      <c r="E1217" s="15">
        <v>403.85</v>
      </c>
      <c r="F1217" s="15">
        <v>406.6</v>
      </c>
      <c r="G1217" s="15">
        <v>404.9</v>
      </c>
      <c r="H1217" s="15">
        <v>404.15</v>
      </c>
      <c r="I1217" s="15">
        <v>404.63</v>
      </c>
      <c r="J1217" s="15">
        <v>471.5</v>
      </c>
      <c r="K1217" s="15">
        <v>390.15</v>
      </c>
      <c r="L1217" s="15">
        <v>3152453</v>
      </c>
      <c r="M1217" t="s" s="13">
        <v>9988</v>
      </c>
      <c r="N1217" s="15">
        <v>76263</v>
      </c>
      <c r="O1217" s="17" cm="1">
        <f t="array" ref="O1217">(H1217-H1216)/H1216</f>
        <v>-0.00602557796360059</v>
      </c>
    </row>
    <row r="1218" ht="13.65" customHeight="1">
      <c r="A1218" s="18">
        <v>46020</v>
      </c>
      <c r="B1218" t="s" s="13">
        <v>22</v>
      </c>
      <c r="C1218" s="15">
        <v>404.1</v>
      </c>
      <c r="D1218" s="15">
        <v>404.8</v>
      </c>
      <c r="E1218" s="15">
        <v>401.45</v>
      </c>
      <c r="F1218" s="15">
        <v>404.15</v>
      </c>
      <c r="G1218" s="15">
        <v>402.95</v>
      </c>
      <c r="H1218" s="15">
        <v>402.6</v>
      </c>
      <c r="I1218" s="15">
        <v>402.55</v>
      </c>
      <c r="J1218" s="15">
        <v>471.5</v>
      </c>
      <c r="K1218" s="15">
        <v>390.15</v>
      </c>
      <c r="L1218" s="15">
        <v>6647710</v>
      </c>
      <c r="M1218" t="s" s="13">
        <v>9989</v>
      </c>
      <c r="N1218" s="15">
        <v>90644</v>
      </c>
      <c r="O1218" s="17" cm="1">
        <f t="array" ref="O1218">(H1218-H1217)/H1217</f>
        <v>-0.00383520969936905</v>
      </c>
    </row>
    <row r="1219" ht="13.65" customHeight="1">
      <c r="A1219" s="18">
        <v>46021</v>
      </c>
      <c r="B1219" t="s" s="13">
        <v>22</v>
      </c>
      <c r="C1219" s="15">
        <v>403</v>
      </c>
      <c r="D1219" s="15">
        <v>403.45</v>
      </c>
      <c r="E1219" s="15">
        <v>400.3</v>
      </c>
      <c r="F1219" s="15">
        <v>402.6</v>
      </c>
      <c r="G1219" s="15">
        <v>401.1</v>
      </c>
      <c r="H1219" s="15">
        <v>400.6</v>
      </c>
      <c r="I1219" s="15">
        <v>401.22</v>
      </c>
      <c r="J1219" s="15">
        <v>471.5</v>
      </c>
      <c r="K1219" s="15">
        <v>390.15</v>
      </c>
      <c r="L1219" s="15">
        <v>12340527</v>
      </c>
      <c r="M1219" t="s" s="13">
        <v>9990</v>
      </c>
      <c r="N1219" s="15">
        <v>134214</v>
      </c>
      <c r="O1219" s="17" cm="1">
        <f t="array" ref="O1219">(H1219-H1218)/H1218</f>
        <v>-0.00496770988574267</v>
      </c>
    </row>
    <row r="1220" ht="13.65" customHeight="1">
      <c r="A1220" s="18">
        <v>46022</v>
      </c>
      <c r="B1220" t="s" s="13">
        <v>22</v>
      </c>
      <c r="C1220" s="15">
        <v>401.1</v>
      </c>
      <c r="D1220" s="15">
        <v>403.75</v>
      </c>
      <c r="E1220" s="15">
        <v>400.85</v>
      </c>
      <c r="F1220" s="15">
        <v>400.6</v>
      </c>
      <c r="G1220" s="15">
        <v>402.7</v>
      </c>
      <c r="H1220" s="15">
        <v>403</v>
      </c>
      <c r="I1220" s="15">
        <v>402.81</v>
      </c>
      <c r="J1220" s="15">
        <v>471.5</v>
      </c>
      <c r="K1220" s="15">
        <v>390.15</v>
      </c>
      <c r="L1220" s="15">
        <v>9945109</v>
      </c>
      <c r="M1220" t="s" s="13">
        <v>9991</v>
      </c>
      <c r="N1220" s="15">
        <v>93789</v>
      </c>
      <c r="O1220" s="17" cm="1">
        <f t="array" ref="O1220">(H1220-H1219)/H1219</f>
        <v>0.00599101347978033</v>
      </c>
    </row>
    <row r="1221" ht="13.65" customHeight="1">
      <c r="A1221" s="12">
        <v>46023</v>
      </c>
      <c r="B1221" t="s" s="13">
        <v>22</v>
      </c>
      <c r="C1221" s="15">
        <v>402.7</v>
      </c>
      <c r="D1221" s="15">
        <v>402.7</v>
      </c>
      <c r="E1221" s="15">
        <v>362.7</v>
      </c>
      <c r="F1221" s="15">
        <v>403</v>
      </c>
      <c r="G1221" s="15">
        <v>363.95</v>
      </c>
      <c r="H1221" s="15">
        <v>363.85</v>
      </c>
      <c r="I1221" s="15">
        <v>374.71</v>
      </c>
      <c r="J1221" s="15">
        <v>471.5</v>
      </c>
      <c r="K1221" s="15">
        <v>362.7</v>
      </c>
      <c r="L1221" s="15">
        <v>282626710</v>
      </c>
      <c r="M1221" t="s" s="13">
        <v>9992</v>
      </c>
      <c r="N1221" s="15">
        <v>1497861</v>
      </c>
      <c r="O1221" s="17" cm="1">
        <f t="array" ref="O1221">(H1221-H1220)/H1220</f>
        <v>-0.09714640198511169</v>
      </c>
    </row>
    <row r="1222" ht="13.65" customHeight="1">
      <c r="A1222" s="12">
        <v>46024</v>
      </c>
      <c r="B1222" t="s" s="13">
        <v>22</v>
      </c>
      <c r="C1222" s="15">
        <v>360</v>
      </c>
      <c r="D1222" s="15">
        <v>360</v>
      </c>
      <c r="E1222" s="15">
        <v>345.25</v>
      </c>
      <c r="F1222" s="15">
        <v>363.85</v>
      </c>
      <c r="G1222" s="15">
        <v>350.1</v>
      </c>
      <c r="H1222" s="15">
        <v>350.05</v>
      </c>
      <c r="I1222" s="15">
        <v>349.61</v>
      </c>
      <c r="J1222" s="15">
        <v>471.5</v>
      </c>
      <c r="K1222" s="15">
        <v>345.25</v>
      </c>
      <c r="L1222" s="15">
        <v>118790358</v>
      </c>
      <c r="M1222" t="s" s="13">
        <v>9993</v>
      </c>
      <c r="N1222" s="15">
        <v>911774</v>
      </c>
      <c r="O1222" s="17" cm="1">
        <f t="array" ref="O1222">(H1222-H1221)/H1221</f>
        <v>-0.0379277174659887</v>
      </c>
    </row>
    <row r="1223" ht="13.65" customHeight="1">
      <c r="A1223" s="12">
        <v>46027</v>
      </c>
      <c r="B1223" t="s" s="13">
        <v>22</v>
      </c>
      <c r="C1223" s="15">
        <v>350.2</v>
      </c>
      <c r="D1223" s="15">
        <v>353.95</v>
      </c>
      <c r="E1223" s="15">
        <v>346.05</v>
      </c>
      <c r="F1223" s="15">
        <v>350.05</v>
      </c>
      <c r="G1223" s="15">
        <v>349.6</v>
      </c>
      <c r="H1223" s="15">
        <v>349.7</v>
      </c>
      <c r="I1223" s="15">
        <v>350.61</v>
      </c>
      <c r="J1223" s="15">
        <v>471.5</v>
      </c>
      <c r="K1223" s="15">
        <v>345.25</v>
      </c>
      <c r="L1223" s="15">
        <v>48358124</v>
      </c>
      <c r="M1223" t="s" s="13">
        <v>9994</v>
      </c>
      <c r="N1223" s="15">
        <v>449885</v>
      </c>
      <c r="O1223" s="17" cm="1">
        <f t="array" ref="O1223">(H1223-H1222)/H1222</f>
        <v>-0.0009998571632623911</v>
      </c>
    </row>
    <row r="1224" ht="13.65" customHeight="1">
      <c r="A1224" s="12">
        <v>46028</v>
      </c>
      <c r="B1224" t="s" s="13">
        <v>22</v>
      </c>
      <c r="C1224" s="15">
        <v>350.25</v>
      </c>
      <c r="D1224" s="15">
        <v>350.7</v>
      </c>
      <c r="E1224" s="15">
        <v>337.75</v>
      </c>
      <c r="F1224" s="15">
        <v>349.7</v>
      </c>
      <c r="G1224" s="15">
        <v>343.25</v>
      </c>
      <c r="H1224" s="15">
        <v>342.45</v>
      </c>
      <c r="I1224" s="15">
        <v>342.54</v>
      </c>
      <c r="J1224" s="15">
        <v>471.5</v>
      </c>
      <c r="K1224" s="15">
        <v>337.75</v>
      </c>
      <c r="L1224" s="15">
        <v>72582738</v>
      </c>
      <c r="M1224" t="s" s="13">
        <v>9995</v>
      </c>
      <c r="N1224" s="15">
        <v>618090</v>
      </c>
      <c r="O1224" s="17" cm="1">
        <f t="array" ref="O1224">(H1224-H1223)/H1223</f>
        <v>-0.0207320560480412</v>
      </c>
    </row>
    <row r="1225" ht="13.65" customHeight="1">
      <c r="A1225" s="12">
        <v>46029</v>
      </c>
      <c r="B1225" t="s" s="13">
        <v>22</v>
      </c>
      <c r="C1225" s="15">
        <v>343</v>
      </c>
      <c r="D1225" s="15">
        <v>344.55</v>
      </c>
      <c r="E1225" s="15">
        <v>339.3</v>
      </c>
      <c r="F1225" s="15">
        <v>342.45</v>
      </c>
      <c r="G1225" s="15">
        <v>341.75</v>
      </c>
      <c r="H1225" s="15">
        <v>341.25</v>
      </c>
      <c r="I1225" s="15">
        <v>341.74</v>
      </c>
      <c r="J1225" s="15">
        <v>471.5</v>
      </c>
      <c r="K1225" s="15">
        <v>337.75</v>
      </c>
      <c r="L1225" s="15">
        <v>29440734</v>
      </c>
      <c r="M1225" t="s" s="13">
        <v>9996</v>
      </c>
      <c r="N1225" s="15">
        <v>385259</v>
      </c>
      <c r="O1225" s="17" cm="1">
        <f t="array" ref="O1225">(H1225-H1224)/H1224</f>
        <v>-0.00350416119141481</v>
      </c>
    </row>
    <row r="1226" ht="13.65" customHeight="1">
      <c r="A1226" s="12">
        <v>46030</v>
      </c>
      <c r="B1226" t="s" s="13">
        <v>22</v>
      </c>
      <c r="C1226" s="15">
        <v>341.5</v>
      </c>
      <c r="D1226" s="15">
        <v>345.15</v>
      </c>
      <c r="E1226" s="15">
        <v>339.05</v>
      </c>
      <c r="F1226" s="15">
        <v>341.25</v>
      </c>
      <c r="G1226" s="15">
        <v>340.5</v>
      </c>
      <c r="H1226" s="15">
        <v>340.9</v>
      </c>
      <c r="I1226" s="15">
        <v>341.13</v>
      </c>
      <c r="J1226" s="15">
        <v>471.5</v>
      </c>
      <c r="K1226" s="15">
        <v>337.75</v>
      </c>
      <c r="L1226" s="15">
        <v>36706319</v>
      </c>
      <c r="M1226" t="s" s="13">
        <v>9997</v>
      </c>
      <c r="N1226" s="15">
        <v>317166</v>
      </c>
      <c r="O1226" s="17" cm="1">
        <f t="array" ref="O1226">(H1226-H1225)/H1225</f>
        <v>-0.00102564102564103</v>
      </c>
    </row>
    <row r="1227" ht="13.65" customHeight="1">
      <c r="A1227" s="12">
        <v>46031</v>
      </c>
      <c r="B1227" t="s" s="13">
        <v>22</v>
      </c>
      <c r="C1227" s="15">
        <v>340.9</v>
      </c>
      <c r="D1227" s="15">
        <v>341</v>
      </c>
      <c r="E1227" s="15">
        <v>336.1</v>
      </c>
      <c r="F1227" s="15">
        <v>340.9</v>
      </c>
      <c r="G1227" s="15">
        <v>338.25</v>
      </c>
      <c r="H1227" s="15">
        <v>337.15</v>
      </c>
      <c r="I1227" s="15">
        <v>338.09</v>
      </c>
      <c r="J1227" s="15">
        <v>471.5</v>
      </c>
      <c r="K1227" s="15">
        <v>336.1</v>
      </c>
      <c r="L1227" s="15">
        <v>35193201</v>
      </c>
      <c r="M1227" t="s" s="13">
        <v>9998</v>
      </c>
      <c r="N1227" s="15">
        <v>430291</v>
      </c>
      <c r="O1227" s="17" cm="1">
        <f t="array" ref="O1227">(H1227-H1226)/H1226</f>
        <v>-0.0110002933411558</v>
      </c>
    </row>
    <row r="1228" ht="13.65" customHeight="1">
      <c r="A1228" s="18">
        <v>46034</v>
      </c>
      <c r="B1228" t="s" s="13">
        <v>22</v>
      </c>
      <c r="C1228" s="15">
        <v>338.25</v>
      </c>
      <c r="D1228" s="15">
        <v>339.5</v>
      </c>
      <c r="E1228" s="15">
        <v>335.8</v>
      </c>
      <c r="F1228" s="15">
        <v>337.15</v>
      </c>
      <c r="G1228" s="15">
        <v>338</v>
      </c>
      <c r="H1228" s="15">
        <v>338.4</v>
      </c>
      <c r="I1228" s="15">
        <v>337.78</v>
      </c>
      <c r="J1228" s="15">
        <v>471.5</v>
      </c>
      <c r="K1228" s="15">
        <v>335.8</v>
      </c>
      <c r="L1228" s="15">
        <v>16156143</v>
      </c>
      <c r="M1228" t="s" s="13">
        <v>9999</v>
      </c>
      <c r="N1228" s="15">
        <v>213285</v>
      </c>
      <c r="O1228" s="17" cm="1">
        <f t="array" ref="O1228">(H1228-H1227)/H1227</f>
        <v>0.00370754856888625</v>
      </c>
    </row>
    <row r="1229" ht="13.65" customHeight="1">
      <c r="A1229" s="18">
        <v>46035</v>
      </c>
      <c r="B1229" t="s" s="13">
        <v>22</v>
      </c>
      <c r="C1229" s="15">
        <v>339</v>
      </c>
      <c r="D1229" s="15">
        <v>339.5</v>
      </c>
      <c r="E1229" s="15">
        <v>333.7</v>
      </c>
      <c r="F1229" s="15">
        <v>338.4</v>
      </c>
      <c r="G1229" s="15">
        <v>334.3</v>
      </c>
      <c r="H1229" s="15">
        <v>334.7</v>
      </c>
      <c r="I1229" s="15">
        <v>335.34</v>
      </c>
      <c r="J1229" s="15">
        <v>471.5</v>
      </c>
      <c r="K1229" s="15">
        <v>333.7</v>
      </c>
      <c r="L1229" s="15">
        <v>24922339</v>
      </c>
      <c r="M1229" t="s" s="13">
        <v>10000</v>
      </c>
      <c r="N1229" s="15">
        <v>237948</v>
      </c>
      <c r="O1229" s="17" cm="1">
        <f t="array" ref="O1229">(H1229-H1228)/H1228</f>
        <v>-0.0109338061465721</v>
      </c>
    </row>
    <row r="1230" ht="13.65" customHeight="1">
      <c r="A1230" s="18">
        <v>46036</v>
      </c>
      <c r="B1230" t="s" s="13">
        <v>22</v>
      </c>
      <c r="C1230" s="15">
        <v>336</v>
      </c>
      <c r="D1230" s="15">
        <v>336</v>
      </c>
      <c r="E1230" s="15">
        <v>333.45</v>
      </c>
      <c r="F1230" s="15">
        <v>334.7</v>
      </c>
      <c r="G1230" s="15">
        <v>334.85</v>
      </c>
      <c r="H1230" s="15">
        <v>334.75</v>
      </c>
      <c r="I1230" s="15">
        <v>334.9</v>
      </c>
      <c r="J1230" s="15">
        <v>471.5</v>
      </c>
      <c r="K1230" s="15">
        <v>333.45</v>
      </c>
      <c r="L1230" s="15">
        <v>14913422</v>
      </c>
      <c r="M1230" t="s" s="13">
        <v>10001</v>
      </c>
      <c r="N1230" s="15">
        <v>206398</v>
      </c>
      <c r="O1230" s="17" cm="1">
        <f t="array" ref="O1230">(H1230-H1229)/H1229</f>
        <v>0.000149387511204063</v>
      </c>
    </row>
    <row r="1231" ht="13.65" customHeight="1">
      <c r="A1231" s="18">
        <v>46038</v>
      </c>
      <c r="B1231" t="s" s="13">
        <v>22</v>
      </c>
      <c r="C1231" s="15">
        <v>337.5</v>
      </c>
      <c r="D1231" s="15">
        <v>337.5</v>
      </c>
      <c r="E1231" s="15">
        <v>328.55</v>
      </c>
      <c r="F1231" s="15">
        <v>334.75</v>
      </c>
      <c r="G1231" s="15">
        <v>329</v>
      </c>
      <c r="H1231" s="15">
        <v>329.2</v>
      </c>
      <c r="I1231" s="15">
        <v>331.06</v>
      </c>
      <c r="J1231" s="15">
        <v>471.5</v>
      </c>
      <c r="K1231" s="15">
        <v>328.55</v>
      </c>
      <c r="L1231" s="15">
        <v>30526898</v>
      </c>
      <c r="M1231" t="s" s="13">
        <v>10002</v>
      </c>
      <c r="N1231" s="15">
        <v>344862</v>
      </c>
      <c r="O1231" s="17" cm="1">
        <f t="array" ref="O1231">(H1231-H1230)/H1230</f>
        <v>-0.0165795369678865</v>
      </c>
    </row>
    <row r="1232" ht="13.65" customHeight="1">
      <c r="A1232" s="18">
        <v>46041</v>
      </c>
      <c r="B1232" t="s" s="13">
        <v>22</v>
      </c>
      <c r="C1232" s="15">
        <v>330</v>
      </c>
      <c r="D1232" s="15">
        <v>334.65</v>
      </c>
      <c r="E1232" s="15">
        <v>327.3</v>
      </c>
      <c r="F1232" s="15">
        <v>329.2</v>
      </c>
      <c r="G1232" s="15">
        <v>332.8</v>
      </c>
      <c r="H1232" s="15">
        <v>333.2</v>
      </c>
      <c r="I1232" s="15">
        <v>331.9</v>
      </c>
      <c r="J1232" s="15">
        <v>471.5</v>
      </c>
      <c r="K1232" s="15">
        <v>327.3</v>
      </c>
      <c r="L1232" s="15">
        <v>15507440</v>
      </c>
      <c r="M1232" t="s" s="13">
        <v>10003</v>
      </c>
      <c r="N1232" s="15">
        <v>182190</v>
      </c>
      <c r="O1232" s="17" cm="1">
        <f t="array" ref="O1232">(H1232-H1231)/H1231</f>
        <v>0.0121506682867558</v>
      </c>
    </row>
    <row r="1233" ht="13.65" customHeight="1">
      <c r="A1233" s="18">
        <v>46042</v>
      </c>
      <c r="B1233" t="s" s="13">
        <v>22</v>
      </c>
      <c r="C1233" s="15">
        <v>334.05</v>
      </c>
      <c r="D1233" s="15">
        <v>334.5</v>
      </c>
      <c r="E1233" s="15">
        <v>325.5</v>
      </c>
      <c r="F1233" s="15">
        <v>333.2</v>
      </c>
      <c r="G1233" s="15">
        <v>326.15</v>
      </c>
      <c r="H1233" s="15">
        <v>326.3</v>
      </c>
      <c r="I1233" s="15">
        <v>329.59</v>
      </c>
      <c r="J1233" s="15">
        <v>471.5</v>
      </c>
      <c r="K1233" s="15">
        <v>325.5</v>
      </c>
      <c r="L1233" s="15">
        <v>18771011</v>
      </c>
      <c r="M1233" t="s" s="13">
        <v>10004</v>
      </c>
      <c r="N1233" s="15">
        <v>224010</v>
      </c>
      <c r="O1233" s="17" cm="1">
        <f t="array" ref="O1233">(H1233-H1232)/H1232</f>
        <v>-0.0207082833133253</v>
      </c>
    </row>
    <row r="1234" ht="13.65" customHeight="1">
      <c r="A1234" s="18">
        <v>46043</v>
      </c>
      <c r="B1234" t="s" s="13">
        <v>22</v>
      </c>
      <c r="C1234" s="15">
        <v>326</v>
      </c>
      <c r="D1234" s="15">
        <v>329.3</v>
      </c>
      <c r="E1234" s="15">
        <v>324.35</v>
      </c>
      <c r="F1234" s="15">
        <v>326.3</v>
      </c>
      <c r="G1234" s="15">
        <v>325.05</v>
      </c>
      <c r="H1234" s="15">
        <v>324.75</v>
      </c>
      <c r="I1234" s="15">
        <v>326.02</v>
      </c>
      <c r="J1234" s="15">
        <v>471.5</v>
      </c>
      <c r="K1234" s="15">
        <v>324.35</v>
      </c>
      <c r="L1234" s="15">
        <v>14177965</v>
      </c>
      <c r="M1234" t="s" s="13">
        <v>10005</v>
      </c>
      <c r="N1234" s="15">
        <v>212066</v>
      </c>
      <c r="O1234" s="17" cm="1">
        <f t="array" ref="O1234">(H1234-H1233)/H1233</f>
        <v>-0.00475022984983144</v>
      </c>
    </row>
    <row r="1235" ht="13.65" customHeight="1">
      <c r="A1235" s="18">
        <v>46044</v>
      </c>
      <c r="B1235" t="s" s="13">
        <v>22</v>
      </c>
      <c r="C1235" s="15">
        <v>326.1</v>
      </c>
      <c r="D1235" s="15">
        <v>328.7</v>
      </c>
      <c r="E1235" s="15">
        <v>321.05</v>
      </c>
      <c r="F1235" s="15">
        <v>324.75</v>
      </c>
      <c r="G1235" s="15">
        <v>325.55</v>
      </c>
      <c r="H1235" s="15">
        <v>324.85</v>
      </c>
      <c r="I1235" s="15">
        <v>325.12</v>
      </c>
      <c r="J1235" s="15">
        <v>471.5</v>
      </c>
      <c r="K1235" s="15">
        <v>321.05</v>
      </c>
      <c r="L1235" s="15">
        <v>18622852</v>
      </c>
      <c r="M1235" t="s" s="13">
        <v>10006</v>
      </c>
      <c r="N1235" s="15">
        <v>214762</v>
      </c>
      <c r="O1235" s="17" cm="1">
        <f t="array" ref="O1235">(H1235-H1234)/H1234</f>
        <v>0.000307929176289453</v>
      </c>
    </row>
    <row r="1236" ht="13.65" customHeight="1">
      <c r="A1236" s="18">
        <v>46045</v>
      </c>
      <c r="B1236" t="s" s="13">
        <v>22</v>
      </c>
      <c r="C1236" s="15">
        <v>325.55</v>
      </c>
      <c r="D1236" s="15">
        <v>326.4</v>
      </c>
      <c r="E1236" s="15">
        <v>322.7</v>
      </c>
      <c r="F1236" s="15">
        <v>324.85</v>
      </c>
      <c r="G1236" s="15">
        <v>323</v>
      </c>
      <c r="H1236" s="15">
        <v>323.4</v>
      </c>
      <c r="I1236" s="15">
        <v>324.48</v>
      </c>
      <c r="J1236" s="15">
        <v>471.5</v>
      </c>
      <c r="K1236" s="15">
        <v>321.05</v>
      </c>
      <c r="L1236" s="15">
        <v>11950089</v>
      </c>
      <c r="M1236" t="s" s="13">
        <v>10007</v>
      </c>
      <c r="N1236" s="15">
        <v>147883</v>
      </c>
      <c r="O1236" s="17" cm="1">
        <f t="array" ref="O1236">(H1236-H1235)/H1235</f>
        <v>-0.00446359858396183</v>
      </c>
    </row>
    <row r="1237" ht="13.65" customHeight="1">
      <c r="A1237" s="18">
        <v>46049</v>
      </c>
      <c r="B1237" t="s" s="13">
        <v>22</v>
      </c>
      <c r="C1237" s="15">
        <v>323.6</v>
      </c>
      <c r="D1237" s="15">
        <v>324.7</v>
      </c>
      <c r="E1237" s="15">
        <v>317.85</v>
      </c>
      <c r="F1237" s="15">
        <v>323.4</v>
      </c>
      <c r="G1237" s="15">
        <v>319.8</v>
      </c>
      <c r="H1237" s="15">
        <v>318.65</v>
      </c>
      <c r="I1237" s="15">
        <v>320.05</v>
      </c>
      <c r="J1237" s="15">
        <v>471.5</v>
      </c>
      <c r="K1237" s="15">
        <v>317.85</v>
      </c>
      <c r="L1237" s="15">
        <v>47847784</v>
      </c>
      <c r="M1237" t="s" s="13">
        <v>10008</v>
      </c>
      <c r="N1237" s="15">
        <v>291334</v>
      </c>
      <c r="O1237" s="17" cm="1">
        <f t="array" ref="O1237">(H1237-H1236)/H1236</f>
        <v>-0.0146876932591218</v>
      </c>
    </row>
    <row r="1238" ht="13.65" customHeight="1">
      <c r="A1238" s="18">
        <v>46050</v>
      </c>
      <c r="B1238" t="s" s="13">
        <v>22</v>
      </c>
      <c r="C1238" s="15">
        <v>319.95</v>
      </c>
      <c r="D1238" s="15">
        <v>323.7</v>
      </c>
      <c r="E1238" s="15">
        <v>319.35</v>
      </c>
      <c r="F1238" s="15">
        <v>318.65</v>
      </c>
      <c r="G1238" s="15">
        <v>321.4</v>
      </c>
      <c r="H1238" s="15">
        <v>321.15</v>
      </c>
      <c r="I1238" s="15">
        <v>321.1</v>
      </c>
      <c r="J1238" s="15">
        <v>471.5</v>
      </c>
      <c r="K1238" s="15">
        <v>317.85</v>
      </c>
      <c r="L1238" s="15">
        <v>28400238</v>
      </c>
      <c r="M1238" t="s" s="13">
        <v>10009</v>
      </c>
      <c r="N1238" s="15">
        <v>175716</v>
      </c>
      <c r="O1238" s="17" cm="1">
        <f t="array" ref="O1238">(H1238-H1237)/H1237</f>
        <v>0.007845598619174639</v>
      </c>
    </row>
    <row r="1239" ht="13.65" customHeight="1">
      <c r="A1239" s="18">
        <v>46051</v>
      </c>
      <c r="B1239" t="s" s="13">
        <v>22</v>
      </c>
      <c r="C1239" s="15">
        <v>322.6</v>
      </c>
      <c r="D1239" s="15">
        <v>322.6</v>
      </c>
      <c r="E1239" s="15">
        <v>318.05</v>
      </c>
      <c r="F1239" s="15">
        <v>321.15</v>
      </c>
      <c r="G1239" s="15">
        <v>318.8</v>
      </c>
      <c r="H1239" s="15">
        <v>318.6</v>
      </c>
      <c r="I1239" s="15">
        <v>318.98</v>
      </c>
      <c r="J1239" s="15">
        <v>471.5</v>
      </c>
      <c r="K1239" s="15">
        <v>317.85</v>
      </c>
      <c r="L1239" s="15">
        <v>17719420</v>
      </c>
      <c r="M1239" t="s" s="13">
        <v>10010</v>
      </c>
      <c r="N1239" s="15">
        <v>167761</v>
      </c>
      <c r="O1239" s="17" cm="1">
        <f t="array" ref="O1239">(H1239-H1238)/H1238</f>
        <v>-0.007940214852872491</v>
      </c>
    </row>
    <row r="1240" ht="13.65" customHeight="1">
      <c r="A1240" s="18">
        <v>46052</v>
      </c>
      <c r="B1240" t="s" s="13">
        <v>22</v>
      </c>
      <c r="C1240" s="15">
        <v>318.8</v>
      </c>
      <c r="D1240" s="15">
        <v>325.15</v>
      </c>
      <c r="E1240" s="15">
        <v>316.45</v>
      </c>
      <c r="F1240" s="15">
        <v>318.6</v>
      </c>
      <c r="G1240" s="15">
        <v>322.3</v>
      </c>
      <c r="H1240" s="15">
        <v>322.15</v>
      </c>
      <c r="I1240" s="15">
        <v>321.82</v>
      </c>
      <c r="J1240" s="15">
        <v>471.5</v>
      </c>
      <c r="K1240" s="15">
        <v>316.45</v>
      </c>
      <c r="L1240" s="15">
        <v>41975824</v>
      </c>
      <c r="M1240" t="s" s="13">
        <v>10011</v>
      </c>
      <c r="N1240" s="15">
        <v>255515</v>
      </c>
      <c r="O1240" s="17" cm="1">
        <f t="array" ref="O1240">(H1240-H1239)/H1239</f>
        <v>0.011142498430634</v>
      </c>
    </row>
    <row r="1241" ht="13.65" customHeight="1">
      <c r="A1241" s="12">
        <v>46054</v>
      </c>
      <c r="B1241" t="s" s="13">
        <v>22</v>
      </c>
      <c r="C1241" s="15">
        <v>324.6</v>
      </c>
      <c r="D1241" s="15">
        <v>324.6</v>
      </c>
      <c r="E1241" s="15">
        <v>306.05</v>
      </c>
      <c r="F1241" s="15">
        <v>322.15</v>
      </c>
      <c r="G1241" s="15">
        <v>308.15</v>
      </c>
      <c r="H1241" s="15">
        <v>309.45</v>
      </c>
      <c r="I1241" s="15">
        <v>314.62</v>
      </c>
      <c r="J1241" s="15">
        <v>471.5</v>
      </c>
      <c r="K1241" s="15">
        <v>306.05</v>
      </c>
      <c r="L1241" s="15">
        <v>33278995</v>
      </c>
      <c r="M1241" t="s" s="13">
        <v>10012</v>
      </c>
      <c r="N1241" s="15">
        <v>352370</v>
      </c>
      <c r="O1241" s="17" cm="1">
        <f t="array" ref="O1241">(H1241-H1240)/H1240</f>
        <v>-0.0394226292099953</v>
      </c>
    </row>
    <row r="1242" ht="13.65" customHeight="1">
      <c r="A1242" s="12">
        <v>46055</v>
      </c>
      <c r="B1242" t="s" s="13">
        <v>22</v>
      </c>
      <c r="C1242" s="15">
        <v>309.45</v>
      </c>
      <c r="D1242" s="15">
        <v>315.4</v>
      </c>
      <c r="E1242" s="15">
        <v>302</v>
      </c>
      <c r="F1242" s="15">
        <v>309.45</v>
      </c>
      <c r="G1242" s="15">
        <v>314.55</v>
      </c>
      <c r="H1242" s="15">
        <v>314.7</v>
      </c>
      <c r="I1242" s="15">
        <v>308.57</v>
      </c>
      <c r="J1242" s="15">
        <v>465.2</v>
      </c>
      <c r="K1242" s="15">
        <v>302</v>
      </c>
      <c r="L1242" s="15">
        <v>35227572</v>
      </c>
      <c r="M1242" t="s" s="13">
        <v>10013</v>
      </c>
      <c r="N1242" s="15">
        <v>365578</v>
      </c>
      <c r="O1242" s="17" cm="1">
        <f t="array" ref="O1242">(H1242-H1241)/H1241</f>
        <v>0.016965584100824</v>
      </c>
    </row>
    <row r="1243" ht="13.65" customHeight="1">
      <c r="A1243" s="12">
        <v>46056</v>
      </c>
      <c r="B1243" t="s" s="13">
        <v>22</v>
      </c>
      <c r="C1243" s="15">
        <v>321.2</v>
      </c>
      <c r="D1243" s="15">
        <v>324.75</v>
      </c>
      <c r="E1243" s="15">
        <v>311.6</v>
      </c>
      <c r="F1243" s="15">
        <v>314.7</v>
      </c>
      <c r="G1243" s="15">
        <v>316.95</v>
      </c>
      <c r="H1243" s="15">
        <v>316.65</v>
      </c>
      <c r="I1243" s="15">
        <v>315.87</v>
      </c>
      <c r="J1243" s="15">
        <v>465.2</v>
      </c>
      <c r="K1243" s="15">
        <v>302</v>
      </c>
      <c r="L1243" s="15">
        <v>33168353</v>
      </c>
      <c r="M1243" t="s" s="13">
        <v>10014</v>
      </c>
      <c r="N1243" s="15">
        <v>252922</v>
      </c>
      <c r="O1243" s="17" cm="1">
        <f t="array" ref="O1243">(H1243-H1242)/H1242</f>
        <v>0.00619637750238322</v>
      </c>
    </row>
    <row r="1244" ht="13.65" customHeight="1">
      <c r="A1244" s="12">
        <v>46057</v>
      </c>
      <c r="B1244" t="s" s="13">
        <v>22</v>
      </c>
      <c r="C1244" s="15">
        <v>312.5</v>
      </c>
      <c r="D1244" s="15">
        <v>314.95</v>
      </c>
      <c r="E1244" s="15">
        <v>311.35</v>
      </c>
      <c r="F1244" s="15">
        <v>316.65</v>
      </c>
      <c r="G1244" s="15">
        <v>313.85</v>
      </c>
      <c r="H1244" s="15">
        <v>313.85</v>
      </c>
      <c r="I1244" s="15">
        <v>313.67</v>
      </c>
      <c r="J1244" s="15">
        <v>465.2</v>
      </c>
      <c r="K1244" s="15">
        <v>302</v>
      </c>
      <c r="L1244" s="15">
        <v>11196759</v>
      </c>
      <c r="M1244" t="s" s="13">
        <v>10015</v>
      </c>
      <c r="N1244" s="15">
        <v>171556</v>
      </c>
      <c r="O1244" s="17" cm="1">
        <f t="array" ref="O1244">(H1244-H1243)/H1243</f>
        <v>-0.00884257066161377</v>
      </c>
    </row>
    <row r="1245" ht="13.65" customHeight="1">
      <c r="A1245" s="12">
        <v>46058</v>
      </c>
      <c r="B1245" t="s" s="13">
        <v>22</v>
      </c>
      <c r="C1245" s="15">
        <v>313.95</v>
      </c>
      <c r="D1245" s="15">
        <v>315.35</v>
      </c>
      <c r="E1245" s="15">
        <v>309.3</v>
      </c>
      <c r="F1245" s="15">
        <v>313.85</v>
      </c>
      <c r="G1245" s="15">
        <v>310.1</v>
      </c>
      <c r="H1245" s="15">
        <v>310.2</v>
      </c>
      <c r="I1245" s="15">
        <v>310.96</v>
      </c>
      <c r="J1245" s="15">
        <v>465.2</v>
      </c>
      <c r="K1245" s="15">
        <v>302</v>
      </c>
      <c r="L1245" s="15">
        <v>15816704</v>
      </c>
      <c r="M1245" t="s" s="13">
        <v>10016</v>
      </c>
      <c r="N1245" s="15">
        <v>263742</v>
      </c>
      <c r="O1245" s="17" cm="1">
        <f t="array" ref="O1245">(H1245-H1244)/H1244</f>
        <v>-0.0116297594392226</v>
      </c>
    </row>
    <row r="1246" ht="13.65" customHeight="1">
      <c r="A1246" s="12">
        <v>46059</v>
      </c>
      <c r="B1246" t="s" s="13">
        <v>22</v>
      </c>
      <c r="C1246" s="15">
        <v>310</v>
      </c>
      <c r="D1246" s="15">
        <v>327.7</v>
      </c>
      <c r="E1246" s="15">
        <v>308.3</v>
      </c>
      <c r="F1246" s="15">
        <v>310.2</v>
      </c>
      <c r="G1246" s="15">
        <v>326.35</v>
      </c>
      <c r="H1246" s="15">
        <v>325.8</v>
      </c>
      <c r="I1246" s="15">
        <v>322.67</v>
      </c>
      <c r="J1246" s="15">
        <v>465.2</v>
      </c>
      <c r="K1246" s="15">
        <v>302</v>
      </c>
      <c r="L1246" s="15">
        <v>68057745</v>
      </c>
      <c r="M1246" t="s" s="13">
        <v>10017</v>
      </c>
      <c r="N1246" s="15">
        <v>358377</v>
      </c>
      <c r="O1246" s="17" cm="1">
        <f t="array" ref="O1246">(H1246-H1245)/H1245</f>
        <v>0.0502901353965184</v>
      </c>
    </row>
    <row r="1247" ht="13.65" customHeight="1">
      <c r="A1247" s="12">
        <v>46062</v>
      </c>
      <c r="B1247" t="s" s="13">
        <v>22</v>
      </c>
      <c r="C1247" s="15">
        <v>327.95</v>
      </c>
      <c r="D1247" s="15">
        <v>328.7</v>
      </c>
      <c r="E1247" s="15">
        <v>321.65</v>
      </c>
      <c r="F1247" s="15">
        <v>325.8</v>
      </c>
      <c r="G1247" s="15">
        <v>322.7</v>
      </c>
      <c r="H1247" s="15">
        <v>322.8</v>
      </c>
      <c r="I1247" s="15">
        <v>323.66</v>
      </c>
      <c r="J1247" s="15">
        <v>444.2</v>
      </c>
      <c r="K1247" s="15">
        <v>302</v>
      </c>
      <c r="L1247" s="15">
        <v>20059198</v>
      </c>
      <c r="M1247" t="s" s="13">
        <v>10018</v>
      </c>
      <c r="N1247" s="15">
        <v>169853</v>
      </c>
      <c r="O1247" s="17" cm="1">
        <f t="array" ref="O1247">(H1247-H1246)/H1246</f>
        <v>-0.00920810313075506</v>
      </c>
    </row>
    <row r="1248" ht="13.65" customHeight="1">
      <c r="A1248" s="18">
        <v>46063</v>
      </c>
      <c r="B1248" t="s" s="13">
        <v>22</v>
      </c>
      <c r="C1248" s="15">
        <v>323</v>
      </c>
      <c r="D1248" s="15">
        <v>323.55</v>
      </c>
      <c r="E1248" s="15">
        <v>320.75</v>
      </c>
      <c r="F1248" s="15">
        <v>322.8</v>
      </c>
      <c r="G1248" s="15">
        <v>321.25</v>
      </c>
      <c r="H1248" s="15">
        <v>321.4</v>
      </c>
      <c r="I1248" s="15">
        <v>321.76</v>
      </c>
      <c r="J1248" s="15">
        <v>444.2</v>
      </c>
      <c r="K1248" s="15">
        <v>302</v>
      </c>
      <c r="L1248" s="15">
        <v>11489090</v>
      </c>
      <c r="M1248" t="s" s="13">
        <v>10019</v>
      </c>
      <c r="N1248" s="15">
        <v>146227</v>
      </c>
      <c r="O1248" s="17" cm="1">
        <f t="array" ref="O1248">(H1248-H1247)/H1247</f>
        <v>-0.00433705080545229</v>
      </c>
    </row>
    <row r="1249" ht="13.65" customHeight="1">
      <c r="A1249" s="18">
        <v>46064</v>
      </c>
      <c r="B1249" t="s" s="13">
        <v>22</v>
      </c>
      <c r="C1249" s="15">
        <v>321.95</v>
      </c>
      <c r="D1249" s="15">
        <v>322.2</v>
      </c>
      <c r="E1249" s="15">
        <v>316.3</v>
      </c>
      <c r="F1249" s="15">
        <v>321.4</v>
      </c>
      <c r="G1249" s="15">
        <v>318.1</v>
      </c>
      <c r="H1249" s="15">
        <v>318.25</v>
      </c>
      <c r="I1249" s="15">
        <v>317.45</v>
      </c>
      <c r="J1249" s="15">
        <v>444.2</v>
      </c>
      <c r="K1249" s="15">
        <v>302</v>
      </c>
      <c r="L1249" s="15">
        <v>24843366</v>
      </c>
      <c r="M1249" t="s" s="13">
        <v>10020</v>
      </c>
      <c r="N1249" s="15">
        <v>168577</v>
      </c>
      <c r="O1249" s="17" cm="1">
        <f t="array" ref="O1249">(H1249-H1248)/H1248</f>
        <v>-0.00980087118855009</v>
      </c>
    </row>
    <row r="1250" ht="13.65" customHeight="1">
      <c r="A1250" s="18">
        <v>46065</v>
      </c>
      <c r="B1250" t="s" s="13">
        <v>22</v>
      </c>
      <c r="C1250" s="15">
        <v>317.3</v>
      </c>
      <c r="D1250" s="15">
        <v>320.4</v>
      </c>
      <c r="E1250" s="15">
        <v>316.9</v>
      </c>
      <c r="F1250" s="15">
        <v>318.25</v>
      </c>
      <c r="G1250" s="15">
        <v>317.5</v>
      </c>
      <c r="H1250" s="15">
        <v>317.45</v>
      </c>
      <c r="I1250" s="15">
        <v>318.28</v>
      </c>
      <c r="J1250" s="15">
        <v>444.2</v>
      </c>
      <c r="K1250" s="15">
        <v>302</v>
      </c>
      <c r="L1250" s="15">
        <v>13294561</v>
      </c>
      <c r="M1250" t="s" s="13">
        <v>10021</v>
      </c>
      <c r="N1250" s="15">
        <v>155726</v>
      </c>
      <c r="O1250" s="17" cm="1">
        <f t="array" ref="O1250">(H1250-H1249)/H1249</f>
        <v>-0.00251374705420267</v>
      </c>
    </row>
    <row r="1251" ht="13.65" customHeight="1">
      <c r="A1251" s="18">
        <v>46066</v>
      </c>
      <c r="B1251" t="s" s="13">
        <v>22</v>
      </c>
      <c r="C1251" s="15">
        <v>316</v>
      </c>
      <c r="D1251" s="15">
        <v>318.4</v>
      </c>
      <c r="E1251" s="15">
        <v>313.25</v>
      </c>
      <c r="F1251" s="15">
        <v>317.45</v>
      </c>
      <c r="G1251" s="15">
        <v>313.6</v>
      </c>
      <c r="H1251" s="15">
        <v>313.75</v>
      </c>
      <c r="I1251" s="15">
        <v>315.37</v>
      </c>
      <c r="J1251" s="15">
        <v>444.2</v>
      </c>
      <c r="K1251" s="15">
        <v>302</v>
      </c>
      <c r="L1251" s="15">
        <v>8730618</v>
      </c>
      <c r="M1251" t="s" s="13">
        <v>10022</v>
      </c>
      <c r="N1251" s="15">
        <v>131785</v>
      </c>
      <c r="O1251" s="17" cm="1">
        <f t="array" ref="O1251">(H1251-H1250)/H1250</f>
        <v>-0.011655378799811</v>
      </c>
    </row>
    <row r="1252" ht="13.65" customHeight="1">
      <c r="A1252" s="18">
        <v>46069</v>
      </c>
      <c r="B1252" t="s" s="13">
        <v>22</v>
      </c>
      <c r="C1252" s="15">
        <v>313.75</v>
      </c>
      <c r="D1252" s="15">
        <v>318.25</v>
      </c>
      <c r="E1252" s="15">
        <v>313.15</v>
      </c>
      <c r="F1252" s="15">
        <v>313.75</v>
      </c>
      <c r="G1252" s="15">
        <v>318.1</v>
      </c>
      <c r="H1252" s="15">
        <v>317.95</v>
      </c>
      <c r="I1252" s="15">
        <v>316.61</v>
      </c>
      <c r="J1252" s="15">
        <v>444.2</v>
      </c>
      <c r="K1252" s="15">
        <v>302</v>
      </c>
      <c r="L1252" s="15">
        <v>11693763</v>
      </c>
      <c r="M1252" t="s" s="13">
        <v>10023</v>
      </c>
      <c r="N1252" s="15">
        <v>132407</v>
      </c>
      <c r="O1252" s="17" cm="1">
        <f t="array" ref="O1252">(H1252-H1251)/H1251</f>
        <v>0.0133864541832669</v>
      </c>
    </row>
    <row r="1253" ht="13.65" customHeight="1">
      <c r="A1253" s="18">
        <v>46070</v>
      </c>
      <c r="B1253" t="s" s="13">
        <v>22</v>
      </c>
      <c r="C1253" s="15">
        <v>318.45</v>
      </c>
      <c r="D1253" s="15">
        <v>328.05</v>
      </c>
      <c r="E1253" s="15">
        <v>318.15</v>
      </c>
      <c r="F1253" s="15">
        <v>317.95</v>
      </c>
      <c r="G1253" s="15">
        <v>325.4</v>
      </c>
      <c r="H1253" s="15">
        <v>325.45</v>
      </c>
      <c r="I1253" s="15">
        <v>324.94</v>
      </c>
      <c r="J1253" s="15">
        <v>444.2</v>
      </c>
      <c r="K1253" s="15">
        <v>302</v>
      </c>
      <c r="L1253" s="15">
        <v>39360672</v>
      </c>
      <c r="M1253" t="s" s="13">
        <v>10024</v>
      </c>
      <c r="N1253" s="15">
        <v>246283</v>
      </c>
      <c r="O1253" s="17" cm="1">
        <f t="array" ref="O1253">(H1253-H1252)/H1252</f>
        <v>0.0235886145620381</v>
      </c>
    </row>
    <row r="1254" ht="13.65" customHeight="1">
      <c r="A1254" s="18">
        <v>46071</v>
      </c>
      <c r="B1254" t="s" s="13">
        <v>22</v>
      </c>
      <c r="C1254" s="15">
        <v>326</v>
      </c>
      <c r="D1254" s="15">
        <v>332.95</v>
      </c>
      <c r="E1254" s="15">
        <v>324.8</v>
      </c>
      <c r="F1254" s="15">
        <v>325.45</v>
      </c>
      <c r="G1254" s="15">
        <v>332.65</v>
      </c>
      <c r="H1254" s="15">
        <v>332.45</v>
      </c>
      <c r="I1254" s="15">
        <v>330.36</v>
      </c>
      <c r="J1254" s="15">
        <v>444.2</v>
      </c>
      <c r="K1254" s="15">
        <v>302</v>
      </c>
      <c r="L1254" s="15">
        <v>35473203</v>
      </c>
      <c r="M1254" t="s" s="13">
        <v>10025</v>
      </c>
      <c r="N1254" s="15">
        <v>228303</v>
      </c>
      <c r="O1254" s="17" cm="1">
        <f t="array" ref="O1254">(H1254-H1253)/H1253</f>
        <v>0.0215086802888308</v>
      </c>
    </row>
    <row r="1255" ht="13.65" customHeight="1">
      <c r="A1255" s="18">
        <v>46072</v>
      </c>
      <c r="B1255" t="s" s="13">
        <v>22</v>
      </c>
      <c r="C1255" s="15">
        <v>334.05</v>
      </c>
      <c r="D1255" s="15">
        <v>334.25</v>
      </c>
      <c r="E1255" s="15">
        <v>325</v>
      </c>
      <c r="F1255" s="15">
        <v>332.45</v>
      </c>
      <c r="G1255" s="15">
        <v>325.8</v>
      </c>
      <c r="H1255" s="15">
        <v>326</v>
      </c>
      <c r="I1255" s="15">
        <v>329.01</v>
      </c>
      <c r="J1255" s="15">
        <v>444.2</v>
      </c>
      <c r="K1255" s="15">
        <v>302</v>
      </c>
      <c r="L1255" s="15">
        <v>19911747</v>
      </c>
      <c r="M1255" t="s" s="13">
        <v>10026</v>
      </c>
      <c r="N1255" s="15">
        <v>169746</v>
      </c>
      <c r="O1255" s="17" cm="1">
        <f t="array" ref="O1255">(H1255-H1254)/H1254</f>
        <v>-0.019401413746428</v>
      </c>
    </row>
    <row r="1256" ht="13.65" customHeight="1">
      <c r="A1256" s="18">
        <v>46073</v>
      </c>
      <c r="B1256" t="s" s="13">
        <v>22</v>
      </c>
      <c r="C1256" s="15">
        <v>325.05</v>
      </c>
      <c r="D1256" s="15">
        <v>327.85</v>
      </c>
      <c r="E1256" s="15">
        <v>325.05</v>
      </c>
      <c r="F1256" s="15">
        <v>326</v>
      </c>
      <c r="G1256" s="15">
        <v>327.2</v>
      </c>
      <c r="H1256" s="15">
        <v>327</v>
      </c>
      <c r="I1256" s="15">
        <v>326.79</v>
      </c>
      <c r="J1256" s="15">
        <v>444.2</v>
      </c>
      <c r="K1256" s="15">
        <v>302</v>
      </c>
      <c r="L1256" s="15">
        <v>11282027</v>
      </c>
      <c r="M1256" t="s" s="13">
        <v>10027</v>
      </c>
      <c r="N1256" s="15">
        <v>95724</v>
      </c>
      <c r="O1256" s="17" cm="1">
        <f t="array" ref="O1256">(H1256-H1255)/H1255</f>
        <v>0.00306748466257669</v>
      </c>
    </row>
    <row r="1257" ht="13.65" customHeight="1">
      <c r="A1257" s="18">
        <v>46076</v>
      </c>
      <c r="B1257" t="s" s="13">
        <v>22</v>
      </c>
      <c r="C1257" s="15">
        <v>327</v>
      </c>
      <c r="D1257" s="15">
        <v>328.1</v>
      </c>
      <c r="E1257" s="15">
        <v>324.4</v>
      </c>
      <c r="F1257" s="15">
        <v>327</v>
      </c>
      <c r="G1257" s="15">
        <v>325.65</v>
      </c>
      <c r="H1257" s="15">
        <v>325.4</v>
      </c>
      <c r="I1257" s="15">
        <v>325.58</v>
      </c>
      <c r="J1257" s="15">
        <v>444.2</v>
      </c>
      <c r="K1257" s="15">
        <v>302</v>
      </c>
      <c r="L1257" s="15">
        <v>13486092</v>
      </c>
      <c r="M1257" t="s" s="13">
        <v>10028</v>
      </c>
      <c r="N1257" s="15">
        <v>118812</v>
      </c>
      <c r="O1257" s="17" cm="1">
        <f t="array" ref="O1257">(H1257-H1256)/H1256</f>
        <v>-0.00489296636085627</v>
      </c>
    </row>
    <row r="1258" ht="13.65" customHeight="1">
      <c r="A1258" s="18">
        <v>46077</v>
      </c>
      <c r="B1258" t="s" s="13">
        <v>22</v>
      </c>
      <c r="C1258" s="15">
        <v>324</v>
      </c>
      <c r="D1258" s="15">
        <v>325.4</v>
      </c>
      <c r="E1258" s="15">
        <v>322.05</v>
      </c>
      <c r="F1258" s="15">
        <v>325.4</v>
      </c>
      <c r="G1258" s="15">
        <v>324.2</v>
      </c>
      <c r="H1258" s="15">
        <v>323.5</v>
      </c>
      <c r="I1258" s="15">
        <v>323.47</v>
      </c>
      <c r="J1258" s="15">
        <v>444.2</v>
      </c>
      <c r="K1258" s="15">
        <v>302</v>
      </c>
      <c r="L1258" s="15">
        <v>13135859</v>
      </c>
      <c r="M1258" t="s" s="13">
        <v>10029</v>
      </c>
      <c r="N1258" s="15">
        <v>170638</v>
      </c>
      <c r="O1258" s="17" cm="1">
        <f t="array" ref="O1258">(H1258-H1257)/H1257</f>
        <v>-0.00583896742470805</v>
      </c>
    </row>
    <row r="1259" ht="13.65" customHeight="1">
      <c r="A1259" s="18">
        <v>46078</v>
      </c>
      <c r="B1259" t="s" s="13">
        <v>22</v>
      </c>
      <c r="C1259" s="15">
        <v>325.5</v>
      </c>
      <c r="D1259" s="15">
        <v>326.6</v>
      </c>
      <c r="E1259" s="15">
        <v>318.1</v>
      </c>
      <c r="F1259" s="15">
        <v>323.5</v>
      </c>
      <c r="G1259" s="15">
        <v>319.2</v>
      </c>
      <c r="H1259" s="15">
        <v>319.75</v>
      </c>
      <c r="I1259" s="15">
        <v>321.05</v>
      </c>
      <c r="J1259" s="15">
        <v>444.2</v>
      </c>
      <c r="K1259" s="15">
        <v>302</v>
      </c>
      <c r="L1259" s="15">
        <v>13492101</v>
      </c>
      <c r="M1259" t="s" s="13">
        <v>10030</v>
      </c>
      <c r="N1259" s="15">
        <v>143953</v>
      </c>
      <c r="O1259" s="17" cm="1">
        <f t="array" ref="O1259">(H1259-H1258)/H1258</f>
        <v>-0.0115919629057187</v>
      </c>
    </row>
    <row r="1260" ht="13.65" customHeight="1">
      <c r="A1260" s="18">
        <v>46079</v>
      </c>
      <c r="B1260" t="s" s="13">
        <v>22</v>
      </c>
      <c r="C1260" s="15">
        <v>320</v>
      </c>
      <c r="D1260" s="15">
        <v>321.4</v>
      </c>
      <c r="E1260" s="15">
        <v>317.6</v>
      </c>
      <c r="F1260" s="15">
        <v>319.75</v>
      </c>
      <c r="G1260" s="15">
        <v>318.45</v>
      </c>
      <c r="H1260" s="15">
        <v>318.3</v>
      </c>
      <c r="I1260" s="15">
        <v>318.98</v>
      </c>
      <c r="J1260" s="15">
        <v>444.2</v>
      </c>
      <c r="K1260" s="15">
        <v>302</v>
      </c>
      <c r="L1260" s="15">
        <v>11270119</v>
      </c>
      <c r="M1260" t="s" s="13">
        <v>10031</v>
      </c>
      <c r="N1260" s="15">
        <v>166420</v>
      </c>
      <c r="O1260" s="17" cm="1">
        <f t="array" ref="O1260">(H1260-H1259)/H1259</f>
        <v>-0.00453479280688038</v>
      </c>
    </row>
    <row r="1261" ht="13.65" customHeight="1">
      <c r="A1261" s="18">
        <v>46080</v>
      </c>
      <c r="B1261" t="s" s="13">
        <v>22</v>
      </c>
      <c r="C1261" s="15">
        <v>316</v>
      </c>
      <c r="D1261" s="15">
        <v>317.75</v>
      </c>
      <c r="E1261" s="15">
        <v>312.65</v>
      </c>
      <c r="F1261" s="15">
        <v>318.3</v>
      </c>
      <c r="G1261" s="15">
        <v>314.2</v>
      </c>
      <c r="H1261" s="15">
        <v>313.6</v>
      </c>
      <c r="I1261" s="15">
        <v>314.74</v>
      </c>
      <c r="J1261" s="15">
        <v>444.2</v>
      </c>
      <c r="K1261" s="15">
        <v>302</v>
      </c>
      <c r="L1261" s="15">
        <v>13892595</v>
      </c>
      <c r="M1261" t="s" s="13">
        <v>10032</v>
      </c>
      <c r="N1261" s="15">
        <v>188463</v>
      </c>
      <c r="O1261" s="17" cm="1">
        <f t="array" ref="O1261">(H1261-H1260)/H1260</f>
        <v>-0.0147659440779139</v>
      </c>
    </row>
    <row r="1262" ht="13.65" customHeight="1">
      <c r="A1262" s="12">
        <v>46083</v>
      </c>
      <c r="B1262" t="s" s="13">
        <v>22</v>
      </c>
      <c r="C1262" s="15">
        <v>307</v>
      </c>
      <c r="D1262" s="15">
        <v>315.75</v>
      </c>
      <c r="E1262" s="15">
        <v>307</v>
      </c>
      <c r="F1262" s="15">
        <v>313.6</v>
      </c>
      <c r="G1262" s="15">
        <v>314.7</v>
      </c>
      <c r="H1262" s="15">
        <v>314.9</v>
      </c>
      <c r="I1262" s="15">
        <v>313.07</v>
      </c>
      <c r="J1262" s="15">
        <v>444.2</v>
      </c>
      <c r="K1262" s="15">
        <v>302</v>
      </c>
      <c r="L1262" s="15">
        <v>22194311</v>
      </c>
      <c r="M1262" t="s" s="13">
        <v>10033</v>
      </c>
      <c r="N1262" s="15">
        <v>250280</v>
      </c>
      <c r="O1262" s="17" cm="1">
        <f t="array" ref="O1262">(H1262-H1261)/H1261</f>
        <v>0.00414540816326531</v>
      </c>
    </row>
    <row r="1263" ht="13.65" customHeight="1">
      <c r="A1263" s="12">
        <v>46085</v>
      </c>
      <c r="B1263" t="s" s="13">
        <v>22</v>
      </c>
      <c r="C1263" s="15">
        <v>310.6</v>
      </c>
      <c r="D1263" s="15">
        <v>315.5</v>
      </c>
      <c r="E1263" s="15">
        <v>310.5</v>
      </c>
      <c r="F1263" s="15">
        <v>314.9</v>
      </c>
      <c r="G1263" s="15">
        <v>311.95</v>
      </c>
      <c r="H1263" s="15">
        <v>311.95</v>
      </c>
      <c r="I1263" s="15">
        <v>312.43</v>
      </c>
      <c r="J1263" s="15">
        <v>444.2</v>
      </c>
      <c r="K1263" s="15">
        <v>302</v>
      </c>
      <c r="L1263" s="15">
        <v>24165489</v>
      </c>
      <c r="M1263" t="s" s="13">
        <v>10034</v>
      </c>
      <c r="N1263" s="15">
        <v>281005</v>
      </c>
      <c r="O1263" s="17" cm="1">
        <f t="array" ref="O1263">(H1263-H1262)/H1262</f>
        <v>-0.009368053350269931</v>
      </c>
    </row>
    <row r="1264" ht="13.65" customHeight="1">
      <c r="A1264" s="12">
        <v>46086</v>
      </c>
      <c r="B1264" t="s" s="13">
        <v>22</v>
      </c>
      <c r="C1264" s="15">
        <v>312.2</v>
      </c>
      <c r="D1264" s="15">
        <v>313.6</v>
      </c>
      <c r="E1264" s="15">
        <v>308.2</v>
      </c>
      <c r="F1264" s="15">
        <v>311.95</v>
      </c>
      <c r="G1264" s="15">
        <v>311.65</v>
      </c>
      <c r="H1264" s="15">
        <v>311.5</v>
      </c>
      <c r="I1264" s="15">
        <v>310.7</v>
      </c>
      <c r="J1264" s="15">
        <v>444.2</v>
      </c>
      <c r="K1264" s="15">
        <v>302</v>
      </c>
      <c r="L1264" s="15">
        <v>19938009</v>
      </c>
      <c r="M1264" t="s" s="13">
        <v>10035</v>
      </c>
      <c r="N1264" s="15">
        <v>206179</v>
      </c>
      <c r="O1264" s="17" cm="1">
        <f t="array" ref="O1264">(H1264-H1263)/H1263</f>
        <v>-0.0014425388684084</v>
      </c>
    </row>
    <row r="1265" ht="13.65" customHeight="1">
      <c r="A1265" s="12">
        <v>46087</v>
      </c>
      <c r="B1265" t="s" s="13">
        <v>22</v>
      </c>
      <c r="C1265" s="15">
        <v>310.05</v>
      </c>
      <c r="D1265" s="15">
        <v>312.3</v>
      </c>
      <c r="E1265" s="15">
        <v>309.2</v>
      </c>
      <c r="F1265" s="15">
        <v>311.5</v>
      </c>
      <c r="G1265" s="15">
        <v>309.95</v>
      </c>
      <c r="H1265" s="15">
        <v>309.7</v>
      </c>
      <c r="I1265" s="15">
        <v>310.4</v>
      </c>
      <c r="J1265" s="15">
        <v>444.2</v>
      </c>
      <c r="K1265" s="15">
        <v>302</v>
      </c>
      <c r="L1265" s="15">
        <v>21288269</v>
      </c>
      <c r="M1265" t="s" s="13">
        <v>10036</v>
      </c>
      <c r="N1265" s="15">
        <v>212819</v>
      </c>
      <c r="O1265" s="17" cm="1">
        <f t="array" ref="O1265">(H1265-H1264)/H1264</f>
        <v>-0.0057784911717496</v>
      </c>
    </row>
    <row r="1266" ht="13.65" customHeight="1">
      <c r="A1266" s="12">
        <v>46090</v>
      </c>
      <c r="B1266" t="s" s="13">
        <v>22</v>
      </c>
      <c r="C1266" s="15">
        <v>305</v>
      </c>
      <c r="D1266" s="15">
        <v>307.2</v>
      </c>
      <c r="E1266" s="15">
        <v>303.6</v>
      </c>
      <c r="F1266" s="15">
        <v>309.7</v>
      </c>
      <c r="G1266" s="15">
        <v>305</v>
      </c>
      <c r="H1266" s="15">
        <v>306</v>
      </c>
      <c r="I1266" s="15">
        <v>305.17</v>
      </c>
      <c r="J1266" s="15">
        <v>444.2</v>
      </c>
      <c r="K1266" s="15">
        <v>302</v>
      </c>
      <c r="L1266" s="15">
        <v>14084931</v>
      </c>
      <c r="M1266" t="s" s="13">
        <v>10037</v>
      </c>
      <c r="N1266" s="15">
        <v>190235</v>
      </c>
      <c r="O1266" s="17" cm="1">
        <f t="array" ref="O1266">(H1266-H1265)/H1265</f>
        <v>-0.0119470455279303</v>
      </c>
    </row>
    <row r="1267" ht="13.65" customHeight="1">
      <c r="A1267" s="18">
        <v>46091</v>
      </c>
      <c r="B1267" t="s" s="13">
        <v>22</v>
      </c>
      <c r="C1267" s="15">
        <v>309</v>
      </c>
      <c r="D1267" s="15">
        <v>310</v>
      </c>
      <c r="E1267" s="15">
        <v>303.75</v>
      </c>
      <c r="F1267" s="15">
        <v>306</v>
      </c>
      <c r="G1267" s="15">
        <v>309.5</v>
      </c>
      <c r="H1267" s="15">
        <v>309.05</v>
      </c>
      <c r="I1267" s="15">
        <v>306.71</v>
      </c>
      <c r="J1267" s="15">
        <v>444.2</v>
      </c>
      <c r="K1267" s="15">
        <v>302</v>
      </c>
      <c r="L1267" s="15">
        <v>18352950</v>
      </c>
      <c r="M1267" t="s" s="13">
        <v>10038</v>
      </c>
      <c r="N1267" s="15">
        <v>156365</v>
      </c>
      <c r="O1267" s="17" cm="1">
        <f t="array" ref="O1267">(H1267-H1266)/H1266</f>
        <v>0.00996732026143791</v>
      </c>
    </row>
    <row r="1268" ht="13.65" customHeight="1">
      <c r="A1268" s="18">
        <v>46092</v>
      </c>
      <c r="B1268" t="s" s="13">
        <v>22</v>
      </c>
      <c r="C1268" s="15">
        <v>309.05</v>
      </c>
      <c r="D1268" s="15">
        <v>310.65</v>
      </c>
      <c r="E1268" s="15">
        <v>307.7</v>
      </c>
      <c r="F1268" s="15">
        <v>309.05</v>
      </c>
      <c r="G1268" s="15">
        <v>308.9</v>
      </c>
      <c r="H1268" s="15">
        <v>309</v>
      </c>
      <c r="I1268" s="15">
        <v>309.01</v>
      </c>
      <c r="J1268" s="15">
        <v>444.2</v>
      </c>
      <c r="K1268" s="15">
        <v>302</v>
      </c>
      <c r="L1268" s="15">
        <v>14842485</v>
      </c>
      <c r="M1268" t="s" s="13">
        <v>10039</v>
      </c>
      <c r="N1268" s="15">
        <v>194139</v>
      </c>
      <c r="O1268" s="17" cm="1">
        <f t="array" ref="O1268">(H1268-H1267)/H1267</f>
        <v>-0.000161786118751011</v>
      </c>
    </row>
    <row r="1269" ht="13.65" customHeight="1">
      <c r="A1269" s="18">
        <v>46093</v>
      </c>
      <c r="B1269" t="s" s="13">
        <v>22</v>
      </c>
      <c r="C1269" s="15">
        <v>307.05</v>
      </c>
      <c r="D1269" s="15">
        <v>308</v>
      </c>
      <c r="E1269" s="15">
        <v>302.85</v>
      </c>
      <c r="F1269" s="15">
        <v>309</v>
      </c>
      <c r="G1269" s="15">
        <v>303.8</v>
      </c>
      <c r="H1269" s="15">
        <v>304.1</v>
      </c>
      <c r="I1269" s="15">
        <v>305.89</v>
      </c>
      <c r="J1269" s="15">
        <v>444.2</v>
      </c>
      <c r="K1269" s="15">
        <v>302</v>
      </c>
      <c r="L1269" s="15">
        <v>23319679</v>
      </c>
      <c r="M1269" t="s" s="13">
        <v>10040</v>
      </c>
      <c r="N1269" s="15">
        <v>209187</v>
      </c>
      <c r="O1269" s="17" cm="1">
        <f t="array" ref="O1269">(H1269-H1268)/H1268</f>
        <v>-0.0158576051779935</v>
      </c>
    </row>
    <row r="1270" ht="13.65" customHeight="1">
      <c r="A1270" s="18">
        <v>46094</v>
      </c>
      <c r="B1270" t="s" s="13">
        <v>22</v>
      </c>
      <c r="C1270" s="15">
        <v>304</v>
      </c>
      <c r="D1270" s="15">
        <v>306</v>
      </c>
      <c r="E1270" s="15">
        <v>300.65</v>
      </c>
      <c r="F1270" s="15">
        <v>304.1</v>
      </c>
      <c r="G1270" s="15">
        <v>301.9</v>
      </c>
      <c r="H1270" s="15">
        <v>301.45</v>
      </c>
      <c r="I1270" s="15">
        <v>302.8</v>
      </c>
      <c r="J1270" s="15">
        <v>444.2</v>
      </c>
      <c r="K1270" s="15">
        <v>300.65</v>
      </c>
      <c r="L1270" s="15">
        <v>25659996</v>
      </c>
      <c r="M1270" t="s" s="13">
        <v>10041</v>
      </c>
      <c r="N1270" s="15">
        <v>245554</v>
      </c>
      <c r="O1270" s="17" cm="1">
        <f t="array" ref="O1270">(H1270-H1269)/H1269</f>
        <v>-0.00871423873725748</v>
      </c>
    </row>
    <row r="1271" ht="13.65" customHeight="1">
      <c r="A1271" s="18">
        <v>46097</v>
      </c>
      <c r="B1271" t="s" s="13">
        <v>22</v>
      </c>
      <c r="C1271" s="15">
        <v>302.55</v>
      </c>
      <c r="D1271" s="15">
        <v>309.45</v>
      </c>
      <c r="E1271" s="15">
        <v>302</v>
      </c>
      <c r="F1271" s="15">
        <v>301.45</v>
      </c>
      <c r="G1271" s="15">
        <v>307.45</v>
      </c>
      <c r="H1271" s="15">
        <v>308.25</v>
      </c>
      <c r="I1271" s="15">
        <v>305.48</v>
      </c>
      <c r="J1271" s="15">
        <v>444.2</v>
      </c>
      <c r="K1271" s="15">
        <v>300.65</v>
      </c>
      <c r="L1271" s="15">
        <v>37472204</v>
      </c>
      <c r="M1271" t="s" s="13">
        <v>10042</v>
      </c>
      <c r="N1271" s="15">
        <v>222548</v>
      </c>
      <c r="O1271" s="17" cm="1">
        <f t="array" ref="O1271">(H1271-H1270)/H1270</f>
        <v>0.0225576380826008</v>
      </c>
    </row>
    <row r="1272" ht="13.65" customHeight="1">
      <c r="A1272" s="18">
        <v>46098</v>
      </c>
      <c r="B1272" t="s" s="13">
        <v>22</v>
      </c>
      <c r="C1272" s="15">
        <v>309.95</v>
      </c>
      <c r="D1272" s="15">
        <v>309.95</v>
      </c>
      <c r="E1272" s="15">
        <v>304.05</v>
      </c>
      <c r="F1272" s="15">
        <v>308.25</v>
      </c>
      <c r="G1272" s="15">
        <v>304.45</v>
      </c>
      <c r="H1272" s="15">
        <v>304.85</v>
      </c>
      <c r="I1272" s="15">
        <v>306.07</v>
      </c>
      <c r="J1272" s="15">
        <v>444.2</v>
      </c>
      <c r="K1272" s="15">
        <v>300.65</v>
      </c>
      <c r="L1272" s="15">
        <v>25649286</v>
      </c>
      <c r="M1272" t="s" s="13">
        <v>10043</v>
      </c>
      <c r="N1272" s="15">
        <v>200983</v>
      </c>
      <c r="O1272" s="17" cm="1">
        <f t="array" ref="O1272">(H1272-H1271)/H1271</f>
        <v>-0.0110300081103001</v>
      </c>
    </row>
    <row r="1273" ht="13.65" customHeight="1">
      <c r="A1273" s="18">
        <v>46099</v>
      </c>
      <c r="B1273" t="s" s="13">
        <v>22</v>
      </c>
      <c r="C1273" s="15">
        <v>305.9</v>
      </c>
      <c r="D1273" s="15">
        <v>306.95</v>
      </c>
      <c r="E1273" s="15">
        <v>303.5</v>
      </c>
      <c r="F1273" s="15">
        <v>304.85</v>
      </c>
      <c r="G1273" s="15">
        <v>304</v>
      </c>
      <c r="H1273" s="15">
        <v>304.05</v>
      </c>
      <c r="I1273" s="15">
        <v>305</v>
      </c>
      <c r="J1273" s="15">
        <v>444.2</v>
      </c>
      <c r="K1273" s="15">
        <v>300.65</v>
      </c>
      <c r="L1273" s="15">
        <v>16702554</v>
      </c>
      <c r="M1273" t="s" s="13">
        <v>10044</v>
      </c>
      <c r="N1273" s="15">
        <v>138882</v>
      </c>
      <c r="O1273" s="17" cm="1">
        <f t="array" ref="O1273">(H1273-H1272)/H1272</f>
        <v>-0.00262424143021158</v>
      </c>
    </row>
    <row r="1274" ht="13.65" customHeight="1">
      <c r="A1274" s="18">
        <v>46100</v>
      </c>
      <c r="B1274" t="s" s="13">
        <v>22</v>
      </c>
      <c r="C1274" s="15">
        <v>301.5</v>
      </c>
      <c r="D1274" s="15">
        <v>305.5</v>
      </c>
      <c r="E1274" s="15">
        <v>297.1</v>
      </c>
      <c r="F1274" s="15">
        <v>304.05</v>
      </c>
      <c r="G1274" s="15">
        <v>299.1</v>
      </c>
      <c r="H1274" s="15">
        <v>298</v>
      </c>
      <c r="I1274" s="15">
        <v>299.77</v>
      </c>
      <c r="J1274" s="15">
        <v>444.2</v>
      </c>
      <c r="K1274" s="15">
        <v>297.1</v>
      </c>
      <c r="L1274" s="15">
        <v>17851126</v>
      </c>
      <c r="M1274" t="s" s="13">
        <v>10045</v>
      </c>
      <c r="N1274" s="15">
        <v>246450</v>
      </c>
      <c r="O1274" s="17" cm="1">
        <f t="array" ref="O1274">(H1274-H1273)/H1273</f>
        <v>-0.0198980430850189</v>
      </c>
    </row>
    <row r="1275" ht="13.65" customHeight="1">
      <c r="A1275" s="18">
        <v>46101</v>
      </c>
      <c r="B1275" t="s" s="13">
        <v>22</v>
      </c>
      <c r="C1275" s="15">
        <v>301.05</v>
      </c>
      <c r="D1275" s="15">
        <v>308.75</v>
      </c>
      <c r="E1275" s="15">
        <v>298.15</v>
      </c>
      <c r="F1275" s="15">
        <v>298</v>
      </c>
      <c r="G1275" s="15">
        <v>299.8</v>
      </c>
      <c r="H1275" s="15">
        <v>299.95</v>
      </c>
      <c r="I1275" s="15">
        <v>303.3</v>
      </c>
      <c r="J1275" s="15">
        <v>444.2</v>
      </c>
      <c r="K1275" s="15">
        <v>297.1</v>
      </c>
      <c r="L1275" s="15">
        <v>58679529</v>
      </c>
      <c r="M1275" t="s" s="13">
        <v>10046</v>
      </c>
      <c r="N1275" s="15">
        <v>341612</v>
      </c>
      <c r="O1275" s="17" cm="1">
        <f t="array" ref="O1275">(H1275-H1274)/H1274</f>
        <v>0.00654362416107383</v>
      </c>
    </row>
    <row r="1276" ht="13.65" customHeight="1">
      <c r="A1276" s="18">
        <v>46104</v>
      </c>
      <c r="B1276" t="s" s="13">
        <v>22</v>
      </c>
      <c r="C1276" s="15">
        <v>298.9</v>
      </c>
      <c r="D1276" s="15">
        <v>299</v>
      </c>
      <c r="E1276" s="15">
        <v>289.55</v>
      </c>
      <c r="F1276" s="15">
        <v>299.95</v>
      </c>
      <c r="G1276" s="15">
        <v>290.95</v>
      </c>
      <c r="H1276" s="15">
        <v>290.45</v>
      </c>
      <c r="I1276" s="15">
        <v>291.99</v>
      </c>
      <c r="J1276" s="15">
        <v>444.2</v>
      </c>
      <c r="K1276" s="15">
        <v>289.55</v>
      </c>
      <c r="L1276" s="15">
        <v>31788160</v>
      </c>
      <c r="M1276" t="s" s="13">
        <v>10047</v>
      </c>
      <c r="N1276" s="15">
        <v>379322</v>
      </c>
      <c r="O1276" s="17" cm="1">
        <f t="array" ref="O1276">(H1276-H1275)/H1275</f>
        <v>-0.0316719453242207</v>
      </c>
    </row>
    <row r="1277" ht="13.65" customHeight="1">
      <c r="A1277" s="18">
        <v>46105</v>
      </c>
      <c r="B1277" t="s" s="13">
        <v>22</v>
      </c>
      <c r="C1277" s="15">
        <v>295.95</v>
      </c>
      <c r="D1277" s="15">
        <v>296</v>
      </c>
      <c r="E1277" s="15">
        <v>288.75</v>
      </c>
      <c r="F1277" s="15">
        <v>290.45</v>
      </c>
      <c r="G1277" s="15">
        <v>292.3</v>
      </c>
      <c r="H1277" s="15">
        <v>291.25</v>
      </c>
      <c r="I1277" s="15">
        <v>290.76</v>
      </c>
      <c r="J1277" s="15">
        <v>444.2</v>
      </c>
      <c r="K1277" s="15">
        <v>288.75</v>
      </c>
      <c r="L1277" s="15">
        <v>33335721</v>
      </c>
      <c r="M1277" t="s" s="13">
        <v>10048</v>
      </c>
      <c r="N1277" s="15">
        <v>221679</v>
      </c>
      <c r="O1277" s="17" cm="1">
        <f t="array" ref="O1277">(H1277-H1276)/H1276</f>
        <v>0.00275434670339129</v>
      </c>
    </row>
    <row r="1278" ht="13.65" customHeight="1">
      <c r="A1278" s="18">
        <v>46106</v>
      </c>
      <c r="B1278" t="s" s="13">
        <v>22</v>
      </c>
      <c r="C1278" s="15">
        <v>292.7</v>
      </c>
      <c r="D1278" s="15">
        <v>298.5</v>
      </c>
      <c r="E1278" s="15">
        <v>292.25</v>
      </c>
      <c r="F1278" s="15">
        <v>291.25</v>
      </c>
      <c r="G1278" s="15">
        <v>295.75</v>
      </c>
      <c r="H1278" s="15">
        <v>295.7</v>
      </c>
      <c r="I1278" s="15">
        <v>296.42</v>
      </c>
      <c r="J1278" s="15">
        <v>444.2</v>
      </c>
      <c r="K1278" s="15">
        <v>288.75</v>
      </c>
      <c r="L1278" s="15">
        <v>26184716</v>
      </c>
      <c r="M1278" t="s" s="13">
        <v>10049</v>
      </c>
      <c r="N1278" s="15">
        <v>181458</v>
      </c>
      <c r="O1278" s="17" cm="1">
        <f t="array" ref="O1278">(H1278-H1277)/H1277</f>
        <v>0.0152789699570815</v>
      </c>
    </row>
    <row r="1279" ht="13.65" customHeight="1">
      <c r="A1279" s="18">
        <v>46108</v>
      </c>
      <c r="B1279" t="s" s="13">
        <v>22</v>
      </c>
      <c r="C1279" s="15">
        <v>294.7</v>
      </c>
      <c r="D1279" s="15">
        <v>296.85</v>
      </c>
      <c r="E1279" s="15">
        <v>291.55</v>
      </c>
      <c r="F1279" s="15">
        <v>295.7</v>
      </c>
      <c r="G1279" s="15">
        <v>294.55</v>
      </c>
      <c r="H1279" s="15">
        <v>294.7</v>
      </c>
      <c r="I1279" s="15">
        <v>294.29</v>
      </c>
      <c r="J1279" s="15">
        <v>444.2</v>
      </c>
      <c r="K1279" s="15">
        <v>288.75</v>
      </c>
      <c r="L1279" s="15">
        <v>22179022</v>
      </c>
      <c r="M1279" t="s" s="13">
        <v>10050</v>
      </c>
      <c r="N1279" s="15">
        <v>181894</v>
      </c>
      <c r="O1279" s="17" cm="1">
        <f t="array" ref="O1279">(H1279-H1278)/H1278</f>
        <v>-0.00338180588434224</v>
      </c>
    </row>
    <row r="1280" ht="13.65" customHeight="1">
      <c r="A1280" s="18">
        <v>46111</v>
      </c>
      <c r="B1280" t="s" s="13">
        <v>22</v>
      </c>
      <c r="C1280" s="15">
        <v>293.6</v>
      </c>
      <c r="D1280" s="15">
        <v>294.45</v>
      </c>
      <c r="E1280" s="15">
        <v>287</v>
      </c>
      <c r="F1280" s="15">
        <v>294.7</v>
      </c>
      <c r="G1280" s="15">
        <v>288.5</v>
      </c>
      <c r="H1280" s="15">
        <v>287.7</v>
      </c>
      <c r="I1280" s="15">
        <v>290.13</v>
      </c>
      <c r="J1280" s="15">
        <v>444.2</v>
      </c>
      <c r="K1280" s="15">
        <v>287</v>
      </c>
      <c r="L1280" s="15">
        <v>24586921</v>
      </c>
      <c r="M1280" t="s" s="13">
        <v>10051</v>
      </c>
      <c r="N1280" s="15">
        <v>212496</v>
      </c>
      <c r="O1280" s="17" cm="1">
        <f t="array" ref="O1280">(H1280-H1279)/H1279</f>
        <v>-0.0237529691211401</v>
      </c>
    </row>
    <row r="1281" ht="13.65" customHeight="1">
      <c r="A1281" s="12">
        <v>46113</v>
      </c>
      <c r="B1281" t="s" s="13">
        <v>22</v>
      </c>
      <c r="C1281" s="15">
        <v>293</v>
      </c>
      <c r="D1281" s="15">
        <v>294.45</v>
      </c>
      <c r="E1281" s="15">
        <v>290.9</v>
      </c>
      <c r="F1281" s="15">
        <v>287.7</v>
      </c>
      <c r="G1281" s="15">
        <v>292.2</v>
      </c>
      <c r="H1281" s="15">
        <v>291.7</v>
      </c>
      <c r="I1281" s="15">
        <v>292.47</v>
      </c>
      <c r="J1281" s="15">
        <v>444.2</v>
      </c>
      <c r="K1281" s="15">
        <v>287</v>
      </c>
      <c r="L1281" s="15">
        <v>18604340</v>
      </c>
      <c r="M1281" t="s" s="13">
        <v>10052</v>
      </c>
      <c r="N1281" s="15">
        <v>140075</v>
      </c>
      <c r="O1281" s="17" cm="1">
        <f t="array" ref="O1281">(H1281-H1280)/H1280</f>
        <v>0.0139033715676051</v>
      </c>
    </row>
    <row r="1282" ht="13.65" customHeight="1">
      <c r="A1282" s="21"/>
      <c r="B1282" s="21"/>
      <c r="C1282" s="21"/>
      <c r="D1282" s="21"/>
      <c r="E1282" s="21"/>
      <c r="F1282" s="21"/>
      <c r="G1282" s="21"/>
      <c r="H1282" s="21"/>
      <c r="I1282" s="21"/>
      <c r="J1282" s="21"/>
      <c r="K1282" s="21"/>
      <c r="L1282" s="21"/>
      <c r="M1282" s="21"/>
      <c r="N1282" s="21"/>
      <c r="O1282" s="8"/>
    </row>
    <row r="1283" ht="13.65" customHeight="1">
      <c r="A1283" s="8"/>
      <c r="B1283" s="8"/>
      <c r="C1283" s="8"/>
      <c r="D1283" s="8"/>
      <c r="E1283" s="8"/>
      <c r="F1283" s="8"/>
      <c r="G1283" s="8"/>
      <c r="H1283" s="8"/>
      <c r="I1283" s="8"/>
      <c r="J1283" s="8"/>
      <c r="K1283" s="8"/>
      <c r="L1283" s="8"/>
      <c r="M1283" s="8"/>
      <c r="N1283" t="s" s="7">
        <v>272</v>
      </c>
      <c r="O1283" s="22" cm="1">
        <f t="array" ref="O1283">AVERAGE(O1034:O1281)</f>
        <v>-0.00126795063340446</v>
      </c>
    </row>
    <row r="1284" ht="13.65" customHeight="1">
      <c r="A1284" s="8"/>
      <c r="B1284" s="8"/>
      <c r="C1284" s="8"/>
      <c r="D1284" s="8"/>
      <c r="E1284" s="8"/>
      <c r="F1284" s="8"/>
      <c r="G1284" s="8"/>
      <c r="H1284" s="8"/>
      <c r="I1284" s="8"/>
      <c r="J1284" s="8"/>
      <c r="K1284" s="8"/>
      <c r="L1284" s="8"/>
      <c r="M1284" s="8"/>
      <c r="N1284" t="s" s="7">
        <v>527</v>
      </c>
      <c r="O1284" s="22" cm="1">
        <f t="array" ref="O1284">STDEV(O1035:O1281)</f>
        <v>0.0122632020624467</v>
      </c>
    </row>
    <row r="1285" ht="13.65" customHeight="1">
      <c r="A1285" s="8"/>
      <c r="B1285" s="8"/>
      <c r="C1285" s="8"/>
      <c r="D1285" s="8"/>
      <c r="E1285" s="8"/>
      <c r="F1285" s="8"/>
      <c r="G1285" s="8"/>
      <c r="H1285" s="8"/>
      <c r="I1285" s="8"/>
      <c r="J1285" s="8"/>
      <c r="K1285" s="8"/>
      <c r="L1285" s="8"/>
      <c r="M1285" s="8"/>
      <c r="N1285" t="s" s="7">
        <v>9060</v>
      </c>
      <c r="O1285" s="23" cm="1">
        <f t="array" ref="O1285">AVERAGE(L1034:L1281)</f>
        <v>19014667.141129</v>
      </c>
    </row>
    <row r="1286" ht="13.65" customHeight="1">
      <c r="A1286" s="8"/>
      <c r="B1286" s="8"/>
      <c r="C1286" s="8"/>
      <c r="D1286" s="8"/>
      <c r="E1286" s="8"/>
      <c r="F1286" s="8"/>
      <c r="G1286" s="8"/>
      <c r="H1286" s="8"/>
      <c r="I1286" s="8"/>
      <c r="J1286" s="8"/>
      <c r="K1286" s="8"/>
      <c r="L1286" s="8"/>
      <c r="M1286" s="8"/>
      <c r="N1286" t="s" s="7">
        <v>275</v>
      </c>
      <c r="O1286" s="23" cm="1">
        <f t="array" ref="O1286">IF(H1281&gt;H1034,1,IF(H1281&lt;H1034,-1,0))</f>
        <v>-1</v>
      </c>
    </row>
    <row r="1287" ht="13.65" customHeight="1">
      <c r="A1287" s="8"/>
      <c r="B1287" s="8"/>
      <c r="C1287" s="8"/>
      <c r="D1287" s="8"/>
      <c r="E1287" s="8"/>
      <c r="F1287" s="8"/>
      <c r="G1287" s="8"/>
      <c r="H1287" s="8"/>
      <c r="I1287" s="8"/>
      <c r="J1287" s="8"/>
      <c r="K1287" s="8"/>
      <c r="L1287" s="8"/>
      <c r="M1287" s="8"/>
      <c r="N1287" t="s" s="7">
        <v>528</v>
      </c>
      <c r="O1287" s="22" cm="1">
        <f t="array" ref="O1287">(H1281-H1034)/H1034</f>
        <v>-0.282675519488504</v>
      </c>
    </row>
    <row r="1288" ht="13.65" customHeight="1">
      <c r="A1288" s="8"/>
      <c r="B1288" s="8"/>
      <c r="C1288" s="8"/>
      <c r="D1288" s="8"/>
      <c r="E1288" s="8"/>
      <c r="F1288" s="8"/>
      <c r="G1288" s="8"/>
      <c r="H1288" s="8"/>
      <c r="I1288" s="8"/>
      <c r="J1288" s="8"/>
      <c r="K1288" s="8"/>
      <c r="L1288" s="8"/>
      <c r="M1288" s="8"/>
      <c r="N1288" s="8"/>
      <c r="O1288" s="8"/>
    </row>
    <row r="1289" ht="13.65" customHeight="1">
      <c r="A1289" s="8"/>
      <c r="B1289" s="8"/>
      <c r="C1289" s="8"/>
      <c r="D1289" s="8"/>
      <c r="E1289" s="8"/>
      <c r="F1289" s="8"/>
      <c r="G1289" s="8"/>
      <c r="H1289" s="8"/>
      <c r="I1289" s="8"/>
      <c r="J1289" s="8"/>
      <c r="K1289" s="8"/>
      <c r="L1289" s="8"/>
      <c r="M1289" s="8"/>
      <c r="N1289" s="8"/>
      <c r="O1289" s="8"/>
    </row>
    <row r="1290" ht="13.65" customHeight="1">
      <c r="A1290" s="8"/>
      <c r="B1290" s="8"/>
      <c r="C1290" s="8"/>
      <c r="D1290" s="8"/>
      <c r="E1290" s="8"/>
      <c r="F1290" s="8"/>
      <c r="G1290" s="8"/>
      <c r="H1290" s="8"/>
      <c r="I1290" s="8"/>
      <c r="J1290" s="8"/>
      <c r="K1290" s="8"/>
      <c r="L1290" s="8"/>
      <c r="M1290" s="8"/>
      <c r="N1290" s="8"/>
      <c r="O1290" s="8"/>
    </row>
    <row r="1291" ht="13.65" customHeight="1">
      <c r="A1291" s="8"/>
      <c r="B1291" s="8"/>
      <c r="C1291" s="8"/>
      <c r="D1291" s="8"/>
      <c r="E1291" s="8"/>
      <c r="F1291" s="8"/>
      <c r="G1291" s="8"/>
      <c r="H1291" s="8"/>
      <c r="I1291" s="8"/>
      <c r="J1291" s="8"/>
      <c r="K1291" s="8"/>
      <c r="L1291" s="8"/>
      <c r="M1291" s="8"/>
      <c r="N1291" s="8"/>
      <c r="O1291" s="8"/>
    </row>
    <row r="1292" ht="13.65" customHeight="1">
      <c r="A1292" s="8"/>
      <c r="B1292" s="8"/>
      <c r="C1292" s="8"/>
      <c r="D1292" s="8"/>
      <c r="E1292" s="8"/>
      <c r="F1292" s="8"/>
      <c r="G1292" s="8"/>
      <c r="H1292" s="8"/>
      <c r="I1292" s="8"/>
      <c r="J1292" s="8"/>
      <c r="K1292" s="8"/>
      <c r="L1292" s="8"/>
      <c r="M1292" s="8"/>
      <c r="N1292" s="8"/>
      <c r="O1292" s="8"/>
    </row>
    <row r="1293" ht="13.65" customHeight="1">
      <c r="A1293" s="8"/>
      <c r="B1293" s="8"/>
      <c r="C1293" s="8"/>
      <c r="D1293" s="8"/>
      <c r="E1293" s="8"/>
      <c r="F1293" s="8"/>
      <c r="G1293" s="8"/>
      <c r="H1293" s="8"/>
      <c r="I1293" s="8"/>
      <c r="J1293" s="8"/>
      <c r="K1293" s="8"/>
      <c r="L1293" s="8"/>
      <c r="M1293" s="8"/>
      <c r="N1293" s="8"/>
      <c r="O1293" s="8"/>
    </row>
    <row r="1294" ht="13.65" customHeight="1">
      <c r="A1294" s="8"/>
      <c r="B1294" s="8"/>
      <c r="C1294" s="8"/>
      <c r="D1294" s="8"/>
      <c r="E1294" s="8"/>
      <c r="F1294" s="8"/>
      <c r="G1294" s="8"/>
      <c r="H1294" s="8"/>
      <c r="I1294" s="8"/>
      <c r="J1294" s="8"/>
      <c r="K1294" s="8"/>
      <c r="L1294" s="8"/>
      <c r="M1294" s="8"/>
      <c r="N1294" s="8"/>
      <c r="O1294" s="8"/>
    </row>
    <row r="1295" ht="13.65" customHeight="1">
      <c r="A1295" s="8"/>
      <c r="B1295" s="8"/>
      <c r="C1295" s="8"/>
      <c r="D1295" s="8"/>
      <c r="E1295" s="8"/>
      <c r="F1295" s="8"/>
      <c r="G1295" s="8"/>
      <c r="H1295" s="8"/>
      <c r="I1295" s="8"/>
      <c r="J1295" s="8"/>
      <c r="K1295" s="8"/>
      <c r="L1295" s="8"/>
      <c r="M1295" s="8"/>
      <c r="N1295" s="8"/>
      <c r="O1295" s="8"/>
    </row>
    <row r="1296" ht="13.65" customHeight="1">
      <c r="A1296" s="8"/>
      <c r="B1296" s="8"/>
      <c r="C1296" s="8"/>
      <c r="D1296" s="8"/>
      <c r="E1296" s="8"/>
      <c r="F1296" s="8"/>
      <c r="G1296" s="8"/>
      <c r="H1296" s="8"/>
      <c r="I1296" s="8"/>
      <c r="J1296" s="8"/>
      <c r="K1296" s="8"/>
      <c r="L1296" s="8"/>
      <c r="M1296" s="8"/>
      <c r="N1296" s="8"/>
      <c r="O1296" s="8"/>
    </row>
    <row r="1297" ht="13.65" customHeight="1">
      <c r="A1297" s="8"/>
      <c r="B1297" s="8"/>
      <c r="C1297" s="8"/>
      <c r="D1297" s="8"/>
      <c r="E1297" s="8"/>
      <c r="F1297" s="8"/>
      <c r="G1297" s="8"/>
      <c r="H1297" s="8"/>
      <c r="I1297" s="8"/>
      <c r="J1297" s="8"/>
      <c r="K1297" s="8"/>
      <c r="L1297" s="8"/>
      <c r="M1297" s="8"/>
      <c r="N1297" s="8"/>
      <c r="O1297" s="8"/>
    </row>
    <row r="1298" ht="13.65" customHeight="1">
      <c r="A1298" s="8"/>
      <c r="B1298" s="8"/>
      <c r="C1298" s="8"/>
      <c r="D1298" s="8"/>
      <c r="E1298" s="8"/>
      <c r="F1298" s="8"/>
      <c r="G1298" s="8"/>
      <c r="H1298" s="8"/>
      <c r="I1298" s="8"/>
      <c r="J1298" s="8"/>
      <c r="K1298" s="8"/>
      <c r="L1298" s="8"/>
      <c r="M1298" s="8"/>
      <c r="N1298" s="8"/>
      <c r="O1298" s="8"/>
    </row>
    <row r="1299" ht="13.65" customHeight="1">
      <c r="A1299" s="8"/>
      <c r="B1299" s="8"/>
      <c r="C1299" s="8"/>
      <c r="D1299" s="8"/>
      <c r="E1299" s="8"/>
      <c r="F1299" s="8"/>
      <c r="G1299" s="8"/>
      <c r="H1299" s="8"/>
      <c r="I1299" s="8"/>
      <c r="J1299" s="8"/>
      <c r="K1299" s="8"/>
      <c r="L1299" s="8"/>
      <c r="M1299" s="8"/>
      <c r="N1299" s="8"/>
      <c r="O1299" s="8"/>
    </row>
    <row r="1300" ht="13.65" customHeight="1">
      <c r="A1300" s="8"/>
      <c r="B1300" s="8"/>
      <c r="C1300" s="8"/>
      <c r="D1300" s="8"/>
      <c r="E1300" s="8"/>
      <c r="F1300" s="8"/>
      <c r="G1300" s="8"/>
      <c r="H1300" s="8"/>
      <c r="I1300" s="8"/>
      <c r="J1300" s="8"/>
      <c r="K1300" s="8"/>
      <c r="L1300" s="8"/>
      <c r="M1300" s="8"/>
      <c r="N1300" s="8"/>
      <c r="O1300" s="8"/>
    </row>
    <row r="1301" ht="13.65" customHeight="1">
      <c r="A1301" s="8"/>
      <c r="B1301" s="8"/>
      <c r="C1301" s="8"/>
      <c r="D1301" s="8"/>
      <c r="E1301" s="8"/>
      <c r="F1301" s="8"/>
      <c r="G1301" s="8"/>
      <c r="H1301" s="8"/>
      <c r="I1301" s="8"/>
      <c r="J1301" s="8"/>
      <c r="K1301" s="8"/>
      <c r="L1301" s="8"/>
      <c r="M1301" s="8"/>
      <c r="N1301" s="8"/>
      <c r="O1301" s="8"/>
    </row>
    <row r="1302" ht="13.65" customHeight="1">
      <c r="A1302" s="8"/>
      <c r="B1302" s="8"/>
      <c r="C1302" s="8"/>
      <c r="D1302" s="8"/>
      <c r="E1302" s="8"/>
      <c r="F1302" s="8"/>
      <c r="G1302" s="8"/>
      <c r="H1302" s="8"/>
      <c r="I1302" s="8"/>
      <c r="J1302" s="8"/>
      <c r="K1302" s="8"/>
      <c r="L1302" s="8"/>
      <c r="M1302" s="8"/>
      <c r="N1302" s="8"/>
      <c r="O1302" s="8"/>
    </row>
    <row r="1303" ht="13.65" customHeight="1">
      <c r="A1303" s="8"/>
      <c r="B1303" s="8"/>
      <c r="C1303" s="8"/>
      <c r="D1303" s="8"/>
      <c r="E1303" s="8"/>
      <c r="F1303" s="8"/>
      <c r="G1303" s="8"/>
      <c r="H1303" s="8"/>
      <c r="I1303" s="8"/>
      <c r="J1303" s="8"/>
      <c r="K1303" s="8"/>
      <c r="L1303" s="8"/>
      <c r="M1303" s="8"/>
      <c r="N1303" s="8"/>
      <c r="O1303" s="8"/>
    </row>
    <row r="1304" ht="13.65" customHeight="1">
      <c r="A1304" s="8"/>
      <c r="B1304" s="8"/>
      <c r="C1304" s="8"/>
      <c r="D1304" s="8"/>
      <c r="E1304" s="8"/>
      <c r="F1304" s="8"/>
      <c r="G1304" s="8"/>
      <c r="H1304" s="8"/>
      <c r="I1304" s="8"/>
      <c r="J1304" s="8"/>
      <c r="K1304" s="8"/>
      <c r="L1304" s="8"/>
      <c r="M1304" s="8"/>
      <c r="N1304" s="8"/>
      <c r="O1304" s="8"/>
    </row>
    <row r="1305" ht="13.65" customHeight="1">
      <c r="A1305" s="8"/>
      <c r="B1305" s="8"/>
      <c r="C1305" s="8"/>
      <c r="D1305" s="8"/>
      <c r="E1305" s="8"/>
      <c r="F1305" s="8"/>
      <c r="G1305" s="8"/>
      <c r="H1305" s="8"/>
      <c r="I1305" s="8"/>
      <c r="J1305" s="8"/>
      <c r="K1305" s="8"/>
      <c r="L1305" s="8"/>
      <c r="M1305" s="8"/>
      <c r="N1305" s="8"/>
      <c r="O1305" s="8"/>
    </row>
    <row r="1306" ht="13.65" customHeight="1">
      <c r="A1306" s="8"/>
      <c r="B1306" s="8"/>
      <c r="C1306" s="8"/>
      <c r="D1306" s="8"/>
      <c r="E1306" s="8"/>
      <c r="F1306" s="8"/>
      <c r="G1306" s="8"/>
      <c r="H1306" s="8"/>
      <c r="I1306" s="8"/>
      <c r="J1306" s="8"/>
      <c r="K1306" s="8"/>
      <c r="L1306" s="8"/>
      <c r="M1306" s="8"/>
      <c r="N1306" s="8"/>
      <c r="O1306" s="8"/>
    </row>
    <row r="1307" ht="13.65" customHeight="1">
      <c r="A1307" s="8"/>
      <c r="B1307" s="8"/>
      <c r="C1307" s="8"/>
      <c r="D1307" s="8"/>
      <c r="E1307" s="8"/>
      <c r="F1307" s="8"/>
      <c r="G1307" s="8"/>
      <c r="H1307" s="8"/>
      <c r="I1307" s="8"/>
      <c r="J1307" s="8"/>
      <c r="K1307" s="8"/>
      <c r="L1307" s="8"/>
      <c r="M1307" s="8"/>
      <c r="N1307" s="8"/>
      <c r="O1307" s="8"/>
    </row>
    <row r="1308" ht="13.65" customHeight="1">
      <c r="A1308" s="8"/>
      <c r="B1308" s="8"/>
      <c r="C1308" s="8"/>
      <c r="D1308" s="8"/>
      <c r="E1308" s="8"/>
      <c r="F1308" s="8"/>
      <c r="G1308" s="8"/>
      <c r="H1308" s="8"/>
      <c r="I1308" s="8"/>
      <c r="J1308" s="8"/>
      <c r="K1308" s="8"/>
      <c r="L1308" s="8"/>
      <c r="M1308" s="8"/>
      <c r="N1308" s="8"/>
      <c r="O1308" s="8"/>
    </row>
    <row r="1309" ht="13.65" customHeight="1">
      <c r="A1309" s="8"/>
      <c r="B1309" s="8"/>
      <c r="C1309" s="8"/>
      <c r="D1309" s="8"/>
      <c r="E1309" s="8"/>
      <c r="F1309" s="8"/>
      <c r="G1309" s="8"/>
      <c r="H1309" s="8"/>
      <c r="I1309" s="8"/>
      <c r="J1309" s="8"/>
      <c r="K1309" s="8"/>
      <c r="L1309" s="8"/>
      <c r="M1309" s="8"/>
      <c r="N1309" s="8"/>
      <c r="O1309" s="8"/>
    </row>
    <row r="1310" ht="13.65" customHeight="1">
      <c r="A1310" s="8"/>
      <c r="B1310" s="8"/>
      <c r="C1310" s="8"/>
      <c r="D1310" s="8"/>
      <c r="E1310" s="8"/>
      <c r="F1310" s="8"/>
      <c r="G1310" s="8"/>
      <c r="H1310" s="8"/>
      <c r="I1310" s="8"/>
      <c r="J1310" s="8"/>
      <c r="K1310" s="8"/>
      <c r="L1310" s="8"/>
      <c r="M1310" s="8"/>
      <c r="N1310" s="8"/>
      <c r="O1310" s="8"/>
    </row>
    <row r="1311" ht="13.65" customHeight="1">
      <c r="A1311" s="8"/>
      <c r="B1311" s="8"/>
      <c r="C1311" s="8"/>
      <c r="D1311" s="8"/>
      <c r="E1311" s="8"/>
      <c r="F1311" s="8"/>
      <c r="G1311" s="8"/>
      <c r="H1311" s="8"/>
      <c r="I1311" s="8"/>
      <c r="J1311" s="8"/>
      <c r="K1311" s="8"/>
      <c r="L1311" s="8"/>
      <c r="M1311" s="8"/>
      <c r="N1311" s="8"/>
      <c r="O1311" s="8"/>
    </row>
    <row r="1312" ht="13.65" customHeight="1">
      <c r="A1312" s="8"/>
      <c r="B1312" s="8"/>
      <c r="C1312" s="8"/>
      <c r="D1312" s="8"/>
      <c r="E1312" s="8"/>
      <c r="F1312" s="8"/>
      <c r="G1312" s="8"/>
      <c r="H1312" s="8"/>
      <c r="I1312" s="8"/>
      <c r="J1312" s="8"/>
      <c r="K1312" s="8"/>
      <c r="L1312" s="8"/>
      <c r="M1312" s="8"/>
      <c r="N1312" s="8"/>
      <c r="O1312" s="8"/>
    </row>
    <row r="1313" ht="13.65" customHeight="1">
      <c r="A1313" s="8"/>
      <c r="B1313" s="8"/>
      <c r="C1313" s="8"/>
      <c r="D1313" s="8"/>
      <c r="E1313" s="8"/>
      <c r="F1313" s="8"/>
      <c r="G1313" s="8"/>
      <c r="H1313" s="8"/>
      <c r="I1313" s="8"/>
      <c r="J1313" s="8"/>
      <c r="K1313" s="8"/>
      <c r="L1313" s="8"/>
      <c r="M1313" s="8"/>
      <c r="N1313" s="8"/>
      <c r="O1313" s="8"/>
    </row>
    <row r="1314" ht="13.65" customHeight="1">
      <c r="A1314" s="8"/>
      <c r="B1314" s="8"/>
      <c r="C1314" s="8"/>
      <c r="D1314" s="8"/>
      <c r="E1314" s="8"/>
      <c r="F1314" s="8"/>
      <c r="G1314" s="8"/>
      <c r="H1314" s="8"/>
      <c r="I1314" s="8"/>
      <c r="J1314" s="8"/>
      <c r="K1314" s="8"/>
      <c r="L1314" s="8"/>
      <c r="M1314" s="8"/>
      <c r="N1314" s="8"/>
      <c r="O1314" s="8"/>
    </row>
    <row r="1315" ht="13.65" customHeight="1">
      <c r="A1315" s="8"/>
      <c r="B1315" s="8"/>
      <c r="C1315" s="8"/>
      <c r="D1315" s="8"/>
      <c r="E1315" s="8"/>
      <c r="F1315" s="8"/>
      <c r="G1315" s="8"/>
      <c r="H1315" s="8"/>
      <c r="I1315" s="8"/>
      <c r="J1315" s="8"/>
      <c r="K1315" s="8"/>
      <c r="L1315" s="8"/>
      <c r="M1315" s="8"/>
      <c r="N1315" s="8"/>
      <c r="O1315" s="8"/>
    </row>
    <row r="1316" ht="13.65" customHeight="1">
      <c r="A1316" s="8"/>
      <c r="B1316" s="8"/>
      <c r="C1316" s="8"/>
      <c r="D1316" s="8"/>
      <c r="E1316" s="8"/>
      <c r="F1316" s="8"/>
      <c r="G1316" s="8"/>
      <c r="H1316" s="8"/>
      <c r="I1316" s="8"/>
      <c r="J1316" s="8"/>
      <c r="K1316" s="8"/>
      <c r="L1316" s="8"/>
      <c r="M1316" s="8"/>
      <c r="N1316" s="8"/>
      <c r="O1316" s="8"/>
    </row>
    <row r="1317" ht="13.65" customHeight="1">
      <c r="A1317" s="8"/>
      <c r="B1317" s="8"/>
      <c r="C1317" s="8"/>
      <c r="D1317" s="8"/>
      <c r="E1317" s="8"/>
      <c r="F1317" s="8"/>
      <c r="G1317" s="8"/>
      <c r="H1317" s="8"/>
      <c r="I1317" s="8"/>
      <c r="J1317" s="8"/>
      <c r="K1317" s="8"/>
      <c r="L1317" s="8"/>
      <c r="M1317" s="8"/>
      <c r="N1317" s="8"/>
      <c r="O1317" s="8"/>
    </row>
    <row r="1318" ht="13.65" customHeight="1">
      <c r="A1318" s="8"/>
      <c r="B1318" s="8"/>
      <c r="C1318" s="8"/>
      <c r="D1318" s="8"/>
      <c r="E1318" s="8"/>
      <c r="F1318" s="8"/>
      <c r="G1318" s="8"/>
      <c r="H1318" s="8"/>
      <c r="I1318" s="8"/>
      <c r="J1318" s="8"/>
      <c r="K1318" s="8"/>
      <c r="L1318" s="8"/>
      <c r="M1318" s="8"/>
      <c r="N1318" s="8"/>
      <c r="O1318" s="8"/>
    </row>
    <row r="1319" ht="13.65" customHeight="1">
      <c r="A1319" s="8"/>
      <c r="B1319" s="8"/>
      <c r="C1319" s="8"/>
      <c r="D1319" s="8"/>
      <c r="E1319" s="8"/>
      <c r="F1319" s="8"/>
      <c r="G1319" s="8"/>
      <c r="H1319" s="8"/>
      <c r="I1319" s="8"/>
      <c r="J1319" s="8"/>
      <c r="K1319" s="8"/>
      <c r="L1319" s="8"/>
      <c r="M1319" s="8"/>
      <c r="N1319" s="8"/>
      <c r="O1319" s="8"/>
    </row>
    <row r="1320" ht="13.65" customHeight="1">
      <c r="A1320" s="8"/>
      <c r="B1320" s="8"/>
      <c r="C1320" s="8"/>
      <c r="D1320" s="8"/>
      <c r="E1320" s="8"/>
      <c r="F1320" s="8"/>
      <c r="G1320" s="8"/>
      <c r="H1320" s="8"/>
      <c r="I1320" s="8"/>
      <c r="J1320" s="8"/>
      <c r="K1320" s="8"/>
      <c r="L1320" s="8"/>
      <c r="M1320" s="8"/>
      <c r="N1320" s="8"/>
      <c r="O1320" s="8"/>
    </row>
    <row r="1321" ht="13.65" customHeight="1">
      <c r="A1321" s="8"/>
      <c r="B1321" s="8"/>
      <c r="C1321" s="8"/>
      <c r="D1321" s="8"/>
      <c r="E1321" s="8"/>
      <c r="F1321" s="8"/>
      <c r="G1321" s="8"/>
      <c r="H1321" s="8"/>
      <c r="I1321" s="8"/>
      <c r="J1321" s="8"/>
      <c r="K1321" s="8"/>
      <c r="L1321" s="8"/>
      <c r="M1321" s="8"/>
      <c r="N1321" s="8"/>
      <c r="O1321" s="8"/>
    </row>
    <row r="1322" ht="13.65" customHeight="1">
      <c r="A1322" s="8"/>
      <c r="B1322" s="8"/>
      <c r="C1322" s="8"/>
      <c r="D1322" s="8"/>
      <c r="E1322" s="8"/>
      <c r="F1322" s="8"/>
      <c r="G1322" s="8"/>
      <c r="H1322" s="8"/>
      <c r="I1322" s="8"/>
      <c r="J1322" s="8"/>
      <c r="K1322" s="8"/>
      <c r="L1322" s="8"/>
      <c r="M1322" s="8"/>
      <c r="N1322" s="8"/>
      <c r="O1322" s="8"/>
    </row>
    <row r="1323" ht="13.65" customHeight="1">
      <c r="A1323" s="8"/>
      <c r="B1323" s="8"/>
      <c r="C1323" s="8"/>
      <c r="D1323" s="8"/>
      <c r="E1323" s="8"/>
      <c r="F1323" s="8"/>
      <c r="G1323" s="8"/>
      <c r="H1323" s="8"/>
      <c r="I1323" s="8"/>
      <c r="J1323" s="8"/>
      <c r="K1323" s="8"/>
      <c r="L1323" s="8"/>
      <c r="M1323" s="8"/>
      <c r="N1323" s="8"/>
      <c r="O1323" s="8"/>
    </row>
    <row r="1324" ht="13.65" customHeight="1">
      <c r="A1324" s="8"/>
      <c r="B1324" s="8"/>
      <c r="C1324" s="8"/>
      <c r="D1324" s="8"/>
      <c r="E1324" s="8"/>
      <c r="F1324" s="8"/>
      <c r="G1324" s="8"/>
      <c r="H1324" s="8"/>
      <c r="I1324" s="8"/>
      <c r="J1324" s="8"/>
      <c r="K1324" s="8"/>
      <c r="L1324" s="8"/>
      <c r="M1324" s="8"/>
      <c r="N1324" s="8"/>
      <c r="O1324" s="8"/>
    </row>
    <row r="1325" ht="13.65" customHeight="1">
      <c r="A1325" s="8"/>
      <c r="B1325" s="8"/>
      <c r="C1325" s="8"/>
      <c r="D1325" s="8"/>
      <c r="E1325" s="8"/>
      <c r="F1325" s="8"/>
      <c r="G1325" s="8"/>
      <c r="H1325" s="8"/>
      <c r="I1325" s="8"/>
      <c r="J1325" s="8"/>
      <c r="K1325" s="8"/>
      <c r="L1325" s="8"/>
      <c r="M1325" s="8"/>
      <c r="N1325" s="8"/>
      <c r="O1325" s="8"/>
    </row>
    <row r="1326" ht="13.65" customHeight="1">
      <c r="A1326" s="8"/>
      <c r="B1326" s="8"/>
      <c r="C1326" s="8"/>
      <c r="D1326" s="8"/>
      <c r="E1326" s="8"/>
      <c r="F1326" s="8"/>
      <c r="G1326" s="8"/>
      <c r="H1326" s="8"/>
      <c r="I1326" s="8"/>
      <c r="J1326" s="8"/>
      <c r="K1326" s="8"/>
      <c r="L1326" s="8"/>
      <c r="M1326" s="8"/>
      <c r="N1326" s="8"/>
      <c r="O1326" s="8"/>
    </row>
    <row r="1327" ht="13.65" customHeight="1">
      <c r="A1327" s="8"/>
      <c r="B1327" s="8"/>
      <c r="C1327" s="8"/>
      <c r="D1327" s="8"/>
      <c r="E1327" s="8"/>
      <c r="F1327" s="8"/>
      <c r="G1327" s="8"/>
      <c r="H1327" s="8"/>
      <c r="I1327" s="8"/>
      <c r="J1327" s="8"/>
      <c r="K1327" s="8"/>
      <c r="L1327" s="8"/>
      <c r="M1327" s="8"/>
      <c r="N1327" s="8"/>
      <c r="O1327" s="8"/>
    </row>
    <row r="1328" ht="13.65" customHeight="1">
      <c r="A1328" s="8"/>
      <c r="B1328" s="8"/>
      <c r="C1328" s="8"/>
      <c r="D1328" s="8"/>
      <c r="E1328" s="8"/>
      <c r="F1328" s="8"/>
      <c r="G1328" s="8"/>
      <c r="H1328" s="8"/>
      <c r="I1328" s="8"/>
      <c r="J1328" s="8"/>
      <c r="K1328" s="8"/>
      <c r="L1328" s="8"/>
      <c r="M1328" s="8"/>
      <c r="N1328" s="8"/>
      <c r="O1328" s="8"/>
    </row>
    <row r="1329" ht="13.65" customHeight="1">
      <c r="A1329" s="8"/>
      <c r="B1329" s="8"/>
      <c r="C1329" s="8"/>
      <c r="D1329" s="8"/>
      <c r="E1329" s="8"/>
      <c r="F1329" s="8"/>
      <c r="G1329" s="8"/>
      <c r="H1329" s="8"/>
      <c r="I1329" s="8"/>
      <c r="J1329" s="8"/>
      <c r="K1329" s="8"/>
      <c r="L1329" s="8"/>
      <c r="M1329" s="8"/>
      <c r="N1329" s="8"/>
      <c r="O1329" s="8"/>
    </row>
    <row r="1330" ht="13.65" customHeight="1">
      <c r="A1330" s="8"/>
      <c r="B1330" s="8"/>
      <c r="C1330" s="8"/>
      <c r="D1330" s="8"/>
      <c r="E1330" s="8"/>
      <c r="F1330" s="8"/>
      <c r="G1330" s="8"/>
      <c r="H1330" s="8"/>
      <c r="I1330" s="8"/>
      <c r="J1330" s="8"/>
      <c r="K1330" s="8"/>
      <c r="L1330" s="8"/>
      <c r="M1330" s="8"/>
      <c r="N1330" s="8"/>
      <c r="O1330" s="8"/>
    </row>
    <row r="1331" ht="13.65" customHeight="1">
      <c r="A1331" s="8"/>
      <c r="B1331" s="8"/>
      <c r="C1331" s="8"/>
      <c r="D1331" s="8"/>
      <c r="E1331" s="8"/>
      <c r="F1331" s="8"/>
      <c r="G1331" s="8"/>
      <c r="H1331" s="8"/>
      <c r="I1331" s="8"/>
      <c r="J1331" s="8"/>
      <c r="K1331" s="8"/>
      <c r="L1331" s="8"/>
      <c r="M1331" s="8"/>
      <c r="N1331" s="8"/>
      <c r="O1331" s="8"/>
    </row>
    <row r="1332" ht="13.65" customHeight="1">
      <c r="A1332" s="8"/>
      <c r="B1332" s="8"/>
      <c r="C1332" s="8"/>
      <c r="D1332" s="8"/>
      <c r="E1332" s="8"/>
      <c r="F1332" s="8"/>
      <c r="G1332" s="8"/>
      <c r="H1332" s="8"/>
      <c r="I1332" s="8"/>
      <c r="J1332" s="8"/>
      <c r="K1332" s="8"/>
      <c r="L1332" s="8"/>
      <c r="M1332" s="8"/>
      <c r="N1332" s="8"/>
      <c r="O1332" s="8"/>
    </row>
    <row r="1333" ht="13.65" customHeight="1">
      <c r="A1333" s="8"/>
      <c r="B1333" s="8"/>
      <c r="C1333" s="8"/>
      <c r="D1333" s="8"/>
      <c r="E1333" s="8"/>
      <c r="F1333" s="8"/>
      <c r="G1333" s="8"/>
      <c r="H1333" s="8"/>
      <c r="I1333" s="8"/>
      <c r="J1333" s="8"/>
      <c r="K1333" s="8"/>
      <c r="L1333" s="8"/>
      <c r="M1333" s="8"/>
      <c r="N1333" s="8"/>
      <c r="O1333" s="8"/>
    </row>
    <row r="1334" ht="13.65" customHeight="1">
      <c r="A1334" s="8"/>
      <c r="B1334" s="8"/>
      <c r="C1334" s="8"/>
      <c r="D1334" s="8"/>
      <c r="E1334" s="8"/>
      <c r="F1334" s="8"/>
      <c r="G1334" s="8"/>
      <c r="H1334" s="8"/>
      <c r="I1334" s="8"/>
      <c r="J1334" s="8"/>
      <c r="K1334" s="8"/>
      <c r="L1334" s="8"/>
      <c r="M1334" s="8"/>
      <c r="N1334" s="8"/>
      <c r="O1334" s="8"/>
    </row>
    <row r="1335" ht="13.65" customHeight="1">
      <c r="A1335" s="8"/>
      <c r="B1335" s="8"/>
      <c r="C1335" s="8"/>
      <c r="D1335" s="8"/>
      <c r="E1335" s="8"/>
      <c r="F1335" s="8"/>
      <c r="G1335" s="8"/>
      <c r="H1335" s="8"/>
      <c r="I1335" s="8"/>
      <c r="J1335" s="8"/>
      <c r="K1335" s="8"/>
      <c r="L1335" s="8"/>
      <c r="M1335" s="8"/>
      <c r="N1335" s="8"/>
      <c r="O1335" s="8"/>
    </row>
    <row r="1336" ht="13.65" customHeight="1">
      <c r="A1336" s="8"/>
      <c r="B1336" s="8"/>
      <c r="C1336" s="8"/>
      <c r="D1336" s="8"/>
      <c r="E1336" s="8"/>
      <c r="F1336" s="8"/>
      <c r="G1336" s="8"/>
      <c r="H1336" s="8"/>
      <c r="I1336" s="8"/>
      <c r="J1336" s="8"/>
      <c r="K1336" s="8"/>
      <c r="L1336" s="8"/>
      <c r="M1336" s="8"/>
      <c r="N1336" s="8"/>
      <c r="O1336" s="8"/>
    </row>
    <row r="1337" ht="13.65" customHeight="1">
      <c r="A1337" s="8"/>
      <c r="B1337" s="8"/>
      <c r="C1337" s="8"/>
      <c r="D1337" s="8"/>
      <c r="E1337" s="8"/>
      <c r="F1337" s="8"/>
      <c r="G1337" s="8"/>
      <c r="H1337" s="8"/>
      <c r="I1337" s="8"/>
      <c r="J1337" s="8"/>
      <c r="K1337" s="8"/>
      <c r="L1337" s="8"/>
      <c r="M1337" s="8"/>
      <c r="N1337" s="8"/>
      <c r="O1337" s="8"/>
    </row>
    <row r="1338" ht="13.65" customHeight="1">
      <c r="A1338" s="8"/>
      <c r="B1338" s="8"/>
      <c r="C1338" s="8"/>
      <c r="D1338" s="8"/>
      <c r="E1338" s="8"/>
      <c r="F1338" s="8"/>
      <c r="G1338" s="8"/>
      <c r="H1338" s="8"/>
      <c r="I1338" s="8"/>
      <c r="J1338" s="8"/>
      <c r="K1338" s="8"/>
      <c r="L1338" s="8"/>
      <c r="M1338" s="8"/>
      <c r="N1338" s="8"/>
      <c r="O1338" s="8"/>
    </row>
    <row r="1339" ht="13.65" customHeight="1">
      <c r="A1339" s="8"/>
      <c r="B1339" s="8"/>
      <c r="C1339" s="8"/>
      <c r="D1339" s="8"/>
      <c r="E1339" s="8"/>
      <c r="F1339" s="8"/>
      <c r="G1339" s="8"/>
      <c r="H1339" s="8"/>
      <c r="I1339" s="8"/>
      <c r="J1339" s="8"/>
      <c r="K1339" s="8"/>
      <c r="L1339" s="8"/>
      <c r="M1339" s="8"/>
      <c r="N1339" s="8"/>
      <c r="O1339" s="8"/>
    </row>
    <row r="1340" ht="13.65" customHeight="1">
      <c r="A1340" s="8"/>
      <c r="B1340" s="8"/>
      <c r="C1340" s="8"/>
      <c r="D1340" s="8"/>
      <c r="E1340" s="8"/>
      <c r="F1340" s="8"/>
      <c r="G1340" s="8"/>
      <c r="H1340" s="8"/>
      <c r="I1340" s="8"/>
      <c r="J1340" s="8"/>
      <c r="K1340" s="8"/>
      <c r="L1340" s="8"/>
      <c r="M1340" s="8"/>
      <c r="N1340" s="8"/>
      <c r="O1340" s="8"/>
    </row>
    <row r="1341" ht="13.65" customHeight="1">
      <c r="A1341" s="8"/>
      <c r="B1341" s="8"/>
      <c r="C1341" s="8"/>
      <c r="D1341" s="8"/>
      <c r="E1341" s="8"/>
      <c r="F1341" s="8"/>
      <c r="G1341" s="8"/>
      <c r="H1341" s="8"/>
      <c r="I1341" s="8"/>
      <c r="J1341" s="8"/>
      <c r="K1341" s="8"/>
      <c r="L1341" s="8"/>
      <c r="M1341" s="8"/>
      <c r="N1341" s="8"/>
      <c r="O1341" s="8"/>
    </row>
    <row r="1342" ht="13.65" customHeight="1">
      <c r="A1342" s="8"/>
      <c r="B1342" s="8"/>
      <c r="C1342" s="8"/>
      <c r="D1342" s="8"/>
      <c r="E1342" s="8"/>
      <c r="F1342" s="8"/>
      <c r="G1342" s="8"/>
      <c r="H1342" s="8"/>
      <c r="I1342" s="8"/>
      <c r="J1342" s="8"/>
      <c r="K1342" s="8"/>
      <c r="L1342" s="8"/>
      <c r="M1342" s="8"/>
      <c r="N1342" s="8"/>
      <c r="O1342" s="8"/>
    </row>
    <row r="1343" ht="13.65" customHeight="1">
      <c r="A1343" s="8"/>
      <c r="B1343" s="8"/>
      <c r="C1343" s="8"/>
      <c r="D1343" s="8"/>
      <c r="E1343" s="8"/>
      <c r="F1343" s="8"/>
      <c r="G1343" s="8"/>
      <c r="H1343" s="8"/>
      <c r="I1343" s="8"/>
      <c r="J1343" s="8"/>
      <c r="K1343" s="8"/>
      <c r="L1343" s="8"/>
      <c r="M1343" s="8"/>
      <c r="N1343" s="8"/>
      <c r="O1343" s="8"/>
    </row>
    <row r="1344" ht="13.65" customHeight="1">
      <c r="A1344" s="8"/>
      <c r="B1344" s="8"/>
      <c r="C1344" s="8"/>
      <c r="D1344" s="8"/>
      <c r="E1344" s="8"/>
      <c r="F1344" s="8"/>
      <c r="G1344" s="8"/>
      <c r="H1344" s="8"/>
      <c r="I1344" s="8"/>
      <c r="J1344" s="8"/>
      <c r="K1344" s="8"/>
      <c r="L1344" s="8"/>
      <c r="M1344" s="8"/>
      <c r="N1344" s="8"/>
      <c r="O1344" s="8"/>
    </row>
    <row r="1345" ht="13.65" customHeight="1">
      <c r="A1345" s="8"/>
      <c r="B1345" s="8"/>
      <c r="C1345" s="8"/>
      <c r="D1345" s="8"/>
      <c r="E1345" s="8"/>
      <c r="F1345" s="8"/>
      <c r="G1345" s="8"/>
      <c r="H1345" s="8"/>
      <c r="I1345" s="8"/>
      <c r="J1345" s="8"/>
      <c r="K1345" s="8"/>
      <c r="L1345" s="8"/>
      <c r="M1345" s="8"/>
      <c r="N1345" s="8"/>
      <c r="O1345" s="8"/>
    </row>
    <row r="1346" ht="13.65" customHeight="1">
      <c r="A1346" s="8"/>
      <c r="B1346" s="8"/>
      <c r="C1346" s="8"/>
      <c r="D1346" s="8"/>
      <c r="E1346" s="8"/>
      <c r="F1346" s="8"/>
      <c r="G1346" s="8"/>
      <c r="H1346" s="8"/>
      <c r="I1346" s="8"/>
      <c r="J1346" s="8"/>
      <c r="K1346" s="8"/>
      <c r="L1346" s="8"/>
      <c r="M1346" s="8"/>
      <c r="N1346" s="8"/>
      <c r="O1346" s="8"/>
    </row>
    <row r="1347" ht="13.65" customHeight="1">
      <c r="A1347" s="8"/>
      <c r="B1347" s="8"/>
      <c r="C1347" s="8"/>
      <c r="D1347" s="8"/>
      <c r="E1347" s="8"/>
      <c r="F1347" s="8"/>
      <c r="G1347" s="8"/>
      <c r="H1347" s="8"/>
      <c r="I1347" s="8"/>
      <c r="J1347" s="8"/>
      <c r="K1347" s="8"/>
      <c r="L1347" s="8"/>
      <c r="M1347" s="8"/>
      <c r="N1347" s="8"/>
      <c r="O1347" s="8"/>
    </row>
    <row r="1348" ht="13.65" customHeight="1">
      <c r="A1348" s="8"/>
      <c r="B1348" s="8"/>
      <c r="C1348" s="8"/>
      <c r="D1348" s="8"/>
      <c r="E1348" s="8"/>
      <c r="F1348" s="8"/>
      <c r="G1348" s="8"/>
      <c r="H1348" s="8"/>
      <c r="I1348" s="8"/>
      <c r="J1348" s="8"/>
      <c r="K1348" s="8"/>
      <c r="L1348" s="8"/>
      <c r="M1348" s="8"/>
      <c r="N1348" s="8"/>
      <c r="O1348" s="8"/>
    </row>
    <row r="1349" ht="13.65" customHeight="1">
      <c r="A1349" s="8"/>
      <c r="B1349" s="8"/>
      <c r="C1349" s="8"/>
      <c r="D1349" s="8"/>
      <c r="E1349" s="8"/>
      <c r="F1349" s="8"/>
      <c r="G1349" s="8"/>
      <c r="H1349" s="8"/>
      <c r="I1349" s="8"/>
      <c r="J1349" s="8"/>
      <c r="K1349" s="8"/>
      <c r="L1349" s="8"/>
      <c r="M1349" s="8"/>
      <c r="N1349" s="8"/>
      <c r="O1349" s="8"/>
    </row>
    <row r="1350" ht="13.65" customHeight="1">
      <c r="A1350" s="8"/>
      <c r="B1350" s="8"/>
      <c r="C1350" s="8"/>
      <c r="D1350" s="8"/>
      <c r="E1350" s="8"/>
      <c r="F1350" s="8"/>
      <c r="G1350" s="8"/>
      <c r="H1350" s="8"/>
      <c r="I1350" s="8"/>
      <c r="J1350" s="8"/>
      <c r="K1350" s="8"/>
      <c r="L1350" s="8"/>
      <c r="M1350" s="8"/>
      <c r="N1350" s="8"/>
      <c r="O1350" s="8"/>
    </row>
    <row r="1351" ht="13.65" customHeight="1">
      <c r="A1351" s="8"/>
      <c r="B1351" s="8"/>
      <c r="C1351" s="8"/>
      <c r="D1351" s="8"/>
      <c r="E1351" s="8"/>
      <c r="F1351" s="8"/>
      <c r="G1351" s="8"/>
      <c r="H1351" s="8"/>
      <c r="I1351" s="8"/>
      <c r="J1351" s="8"/>
      <c r="K1351" s="8"/>
      <c r="L1351" s="8"/>
      <c r="M1351" s="8"/>
      <c r="N1351" s="8"/>
      <c r="O1351" s="8"/>
    </row>
    <row r="1352" ht="13.65" customHeight="1">
      <c r="A1352" s="8"/>
      <c r="B1352" s="8"/>
      <c r="C1352" s="8"/>
      <c r="D1352" s="8"/>
      <c r="E1352" s="8"/>
      <c r="F1352" s="8"/>
      <c r="G1352" s="8"/>
      <c r="H1352" s="8"/>
      <c r="I1352" s="8"/>
      <c r="J1352" s="8"/>
      <c r="K1352" s="8"/>
      <c r="L1352" s="8"/>
      <c r="M1352" s="8"/>
      <c r="N1352" s="8"/>
      <c r="O1352" s="8"/>
    </row>
    <row r="1353" ht="13.65" customHeight="1">
      <c r="A1353" s="8"/>
      <c r="B1353" s="8"/>
      <c r="C1353" s="8"/>
      <c r="D1353" s="8"/>
      <c r="E1353" s="8"/>
      <c r="F1353" s="8"/>
      <c r="G1353" s="8"/>
      <c r="H1353" s="8"/>
      <c r="I1353" s="8"/>
      <c r="J1353" s="8"/>
      <c r="K1353" s="8"/>
      <c r="L1353" s="8"/>
      <c r="M1353" s="8"/>
      <c r="N1353" s="8"/>
      <c r="O1353" s="8"/>
    </row>
    <row r="1354" ht="13.65" customHeight="1">
      <c r="A1354" s="8"/>
      <c r="B1354" s="8"/>
      <c r="C1354" s="8"/>
      <c r="D1354" s="8"/>
      <c r="E1354" s="8"/>
      <c r="F1354" s="8"/>
      <c r="G1354" s="8"/>
      <c r="H1354" s="8"/>
      <c r="I1354" s="8"/>
      <c r="J1354" s="8"/>
      <c r="K1354" s="8"/>
      <c r="L1354" s="8"/>
      <c r="M1354" s="8"/>
      <c r="N1354" s="8"/>
      <c r="O1354" s="8"/>
    </row>
    <row r="1355" ht="13.65" customHeight="1">
      <c r="A1355" s="8"/>
      <c r="B1355" s="8"/>
      <c r="C1355" s="8"/>
      <c r="D1355" s="8"/>
      <c r="E1355" s="8"/>
      <c r="F1355" s="8"/>
      <c r="G1355" s="8"/>
      <c r="H1355" s="8"/>
      <c r="I1355" s="8"/>
      <c r="J1355" s="8"/>
      <c r="K1355" s="8"/>
      <c r="L1355" s="8"/>
      <c r="M1355" s="8"/>
      <c r="N1355" s="8"/>
      <c r="O1355" s="8"/>
    </row>
    <row r="1356" ht="13.65" customHeight="1">
      <c r="A1356" s="8"/>
      <c r="B1356" s="8"/>
      <c r="C1356" s="8"/>
      <c r="D1356" s="8"/>
      <c r="E1356" s="8"/>
      <c r="F1356" s="8"/>
      <c r="G1356" s="8"/>
      <c r="H1356" s="8"/>
      <c r="I1356" s="8"/>
      <c r="J1356" s="8"/>
      <c r="K1356" s="8"/>
      <c r="L1356" s="8"/>
      <c r="M1356" s="8"/>
      <c r="N1356" s="8"/>
      <c r="O1356" s="8"/>
    </row>
    <row r="1357" ht="13.65" customHeight="1">
      <c r="A1357" s="8"/>
      <c r="B1357" s="8"/>
      <c r="C1357" s="8"/>
      <c r="D1357" s="8"/>
      <c r="E1357" s="8"/>
      <c r="F1357" s="8"/>
      <c r="G1357" s="8"/>
      <c r="H1357" s="8"/>
      <c r="I1357" s="8"/>
      <c r="J1357" s="8"/>
      <c r="K1357" s="8"/>
      <c r="L1357" s="8"/>
      <c r="M1357" s="8"/>
      <c r="N1357" s="8"/>
      <c r="O1357" s="8"/>
    </row>
    <row r="1358" ht="13.65" customHeight="1">
      <c r="A1358" s="8"/>
      <c r="B1358" s="8"/>
      <c r="C1358" s="8"/>
      <c r="D1358" s="8"/>
      <c r="E1358" s="8"/>
      <c r="F1358" s="8"/>
      <c r="G1358" s="8"/>
      <c r="H1358" s="8"/>
      <c r="I1358" s="8"/>
      <c r="J1358" s="8"/>
      <c r="K1358" s="8"/>
      <c r="L1358" s="8"/>
      <c r="M1358" s="8"/>
      <c r="N1358" s="8"/>
      <c r="O1358" s="8"/>
    </row>
    <row r="1359" ht="13.65" customHeight="1">
      <c r="A1359" s="8"/>
      <c r="B1359" s="8"/>
      <c r="C1359" s="8"/>
      <c r="D1359" s="8"/>
      <c r="E1359" s="8"/>
      <c r="F1359" s="8"/>
      <c r="G1359" s="8"/>
      <c r="H1359" s="8"/>
      <c r="I1359" s="8"/>
      <c r="J1359" s="8"/>
      <c r="K1359" s="8"/>
      <c r="L1359" s="8"/>
      <c r="M1359" s="8"/>
      <c r="N1359" s="8"/>
      <c r="O1359" s="8"/>
    </row>
    <row r="1360" ht="13.65" customHeight="1">
      <c r="A1360" s="8"/>
      <c r="B1360" s="8"/>
      <c r="C1360" s="8"/>
      <c r="D1360" s="8"/>
      <c r="E1360" s="8"/>
      <c r="F1360" s="8"/>
      <c r="G1360" s="8"/>
      <c r="H1360" s="8"/>
      <c r="I1360" s="8"/>
      <c r="J1360" s="8"/>
      <c r="K1360" s="8"/>
      <c r="L1360" s="8"/>
      <c r="M1360" s="8"/>
      <c r="N1360" s="8"/>
      <c r="O1360" s="8"/>
    </row>
    <row r="1361" ht="13.65" customHeight="1">
      <c r="A1361" s="8"/>
      <c r="B1361" s="8"/>
      <c r="C1361" s="8"/>
      <c r="D1361" s="8"/>
      <c r="E1361" s="8"/>
      <c r="F1361" s="8"/>
      <c r="G1361" s="8"/>
      <c r="H1361" s="8"/>
      <c r="I1361" s="8"/>
      <c r="J1361" s="8"/>
      <c r="K1361" s="8"/>
      <c r="L1361" s="8"/>
      <c r="M1361" s="8"/>
      <c r="N1361" s="8"/>
      <c r="O1361" s="8"/>
    </row>
    <row r="1362" ht="13.65" customHeight="1">
      <c r="A1362" s="8"/>
      <c r="B1362" s="8"/>
      <c r="C1362" s="8"/>
      <c r="D1362" s="8"/>
      <c r="E1362" s="8"/>
      <c r="F1362" s="8"/>
      <c r="G1362" s="8"/>
      <c r="H1362" s="8"/>
      <c r="I1362" s="8"/>
      <c r="J1362" s="8"/>
      <c r="K1362" s="8"/>
      <c r="L1362" s="8"/>
      <c r="M1362" s="8"/>
      <c r="N1362" s="8"/>
      <c r="O1362" s="8"/>
    </row>
    <row r="1363" ht="13.65" customHeight="1">
      <c r="A1363" s="8"/>
      <c r="B1363" s="8"/>
      <c r="C1363" s="8"/>
      <c r="D1363" s="8"/>
      <c r="E1363" s="8"/>
      <c r="F1363" s="8"/>
      <c r="G1363" s="8"/>
      <c r="H1363" s="8"/>
      <c r="I1363" s="8"/>
      <c r="J1363" s="8"/>
      <c r="K1363" s="8"/>
      <c r="L1363" s="8"/>
      <c r="M1363" s="8"/>
      <c r="N1363" s="8"/>
      <c r="O1363" s="8"/>
    </row>
    <row r="1364" ht="13.65" customHeight="1">
      <c r="A1364" s="8"/>
      <c r="B1364" s="8"/>
      <c r="C1364" s="8"/>
      <c r="D1364" s="8"/>
      <c r="E1364" s="8"/>
      <c r="F1364" s="8"/>
      <c r="G1364" s="8"/>
      <c r="H1364" s="8"/>
      <c r="I1364" s="8"/>
      <c r="J1364" s="8"/>
      <c r="K1364" s="8"/>
      <c r="L1364" s="8"/>
      <c r="M1364" s="8"/>
      <c r="N1364" s="8"/>
      <c r="O1364" s="8"/>
    </row>
    <row r="1365" ht="13.65" customHeight="1">
      <c r="A1365" s="8"/>
      <c r="B1365" s="8"/>
      <c r="C1365" s="8"/>
      <c r="D1365" s="8"/>
      <c r="E1365" s="8"/>
      <c r="F1365" s="8"/>
      <c r="G1365" s="8"/>
      <c r="H1365" s="8"/>
      <c r="I1365" s="8"/>
      <c r="J1365" s="8"/>
      <c r="K1365" s="8"/>
      <c r="L1365" s="8"/>
      <c r="M1365" s="8"/>
      <c r="N1365" s="8"/>
      <c r="O1365" s="8"/>
    </row>
    <row r="1366" ht="13.65" customHeight="1">
      <c r="A1366" s="8"/>
      <c r="B1366" s="8"/>
      <c r="C1366" s="8"/>
      <c r="D1366" s="8"/>
      <c r="E1366" s="8"/>
      <c r="F1366" s="8"/>
      <c r="G1366" s="8"/>
      <c r="H1366" s="8"/>
      <c r="I1366" s="8"/>
      <c r="J1366" s="8"/>
      <c r="K1366" s="8"/>
      <c r="L1366" s="8"/>
      <c r="M1366" s="8"/>
      <c r="N1366" s="8"/>
      <c r="O1366" s="8"/>
    </row>
    <row r="1367" ht="13.65" customHeight="1">
      <c r="A1367" s="8"/>
      <c r="B1367" s="8"/>
      <c r="C1367" s="8"/>
      <c r="D1367" s="8"/>
      <c r="E1367" s="8"/>
      <c r="F1367" s="8"/>
      <c r="G1367" s="8"/>
      <c r="H1367" s="8"/>
      <c r="I1367" s="8"/>
      <c r="J1367" s="8"/>
      <c r="K1367" s="8"/>
      <c r="L1367" s="8"/>
      <c r="M1367" s="8"/>
      <c r="N1367" s="8"/>
      <c r="O1367" s="8"/>
    </row>
    <row r="1368" ht="13.65" customHeight="1">
      <c r="A1368" s="8"/>
      <c r="B1368" s="8"/>
      <c r="C1368" s="8"/>
      <c r="D1368" s="8"/>
      <c r="E1368" s="8"/>
      <c r="F1368" s="8"/>
      <c r="G1368" s="8"/>
      <c r="H1368" s="8"/>
      <c r="I1368" s="8"/>
      <c r="J1368" s="8"/>
      <c r="K1368" s="8"/>
      <c r="L1368" s="8"/>
      <c r="M1368" s="8"/>
      <c r="N1368" s="8"/>
      <c r="O1368" s="8"/>
    </row>
    <row r="1369" ht="13.65" customHeight="1">
      <c r="A1369" s="8"/>
      <c r="B1369" s="8"/>
      <c r="C1369" s="8"/>
      <c r="D1369" s="8"/>
      <c r="E1369" s="8"/>
      <c r="F1369" s="8"/>
      <c r="G1369" s="8"/>
      <c r="H1369" s="8"/>
      <c r="I1369" s="8"/>
      <c r="J1369" s="8"/>
      <c r="K1369" s="8"/>
      <c r="L1369" s="8"/>
      <c r="M1369" s="8"/>
      <c r="N1369" s="8"/>
      <c r="O1369" s="8"/>
    </row>
    <row r="1370" ht="13.65" customHeight="1">
      <c r="A1370" s="8"/>
      <c r="B1370" s="8"/>
      <c r="C1370" s="8"/>
      <c r="D1370" s="8"/>
      <c r="E1370" s="8"/>
      <c r="F1370" s="8"/>
      <c r="G1370" s="8"/>
      <c r="H1370" s="8"/>
      <c r="I1370" s="8"/>
      <c r="J1370" s="8"/>
      <c r="K1370" s="8"/>
      <c r="L1370" s="8"/>
      <c r="M1370" s="8"/>
      <c r="N1370" s="8"/>
      <c r="O1370" s="8"/>
    </row>
    <row r="1371" ht="13.65" customHeight="1">
      <c r="A1371" s="8"/>
      <c r="B1371" s="8"/>
      <c r="C1371" s="8"/>
      <c r="D1371" s="8"/>
      <c r="E1371" s="8"/>
      <c r="F1371" s="8"/>
      <c r="G1371" s="8"/>
      <c r="H1371" s="8"/>
      <c r="I1371" s="8"/>
      <c r="J1371" s="8"/>
      <c r="K1371" s="8"/>
      <c r="L1371" s="8"/>
      <c r="M1371" s="8"/>
      <c r="N1371" s="8"/>
      <c r="O1371" s="8"/>
    </row>
    <row r="1372" ht="13.65" customHeight="1">
      <c r="A1372" s="8"/>
      <c r="B1372" s="8"/>
      <c r="C1372" s="8"/>
      <c r="D1372" s="8"/>
      <c r="E1372" s="8"/>
      <c r="F1372" s="8"/>
      <c r="G1372" s="8"/>
      <c r="H1372" s="8"/>
      <c r="I1372" s="8"/>
      <c r="J1372" s="8"/>
      <c r="K1372" s="8"/>
      <c r="L1372" s="8"/>
      <c r="M1372" s="8"/>
      <c r="N1372" s="8"/>
      <c r="O1372" s="8"/>
    </row>
    <row r="1373" ht="13.65" customHeight="1">
      <c r="A1373" s="8"/>
      <c r="B1373" s="8"/>
      <c r="C1373" s="8"/>
      <c r="D1373" s="8"/>
      <c r="E1373" s="8"/>
      <c r="F1373" s="8"/>
      <c r="G1373" s="8"/>
      <c r="H1373" s="8"/>
      <c r="I1373" s="8"/>
      <c r="J1373" s="8"/>
      <c r="K1373" s="8"/>
      <c r="L1373" s="8"/>
      <c r="M1373" s="8"/>
      <c r="N1373" s="8"/>
      <c r="O1373" s="8"/>
    </row>
    <row r="1374" ht="13.65" customHeight="1">
      <c r="A1374" s="8"/>
      <c r="B1374" s="8"/>
      <c r="C1374" s="8"/>
      <c r="D1374" s="8"/>
      <c r="E1374" s="8"/>
      <c r="F1374" s="8"/>
      <c r="G1374" s="8"/>
      <c r="H1374" s="8"/>
      <c r="I1374" s="8"/>
      <c r="J1374" s="8"/>
      <c r="K1374" s="8"/>
      <c r="L1374" s="8"/>
      <c r="M1374" s="8"/>
      <c r="N1374" s="8"/>
      <c r="O1374" s="8"/>
    </row>
    <row r="1375" ht="13.65" customHeight="1">
      <c r="A1375" s="8"/>
      <c r="B1375" s="8"/>
      <c r="C1375" s="8"/>
      <c r="D1375" s="8"/>
      <c r="E1375" s="8"/>
      <c r="F1375" s="8"/>
      <c r="G1375" s="8"/>
      <c r="H1375" s="8"/>
      <c r="I1375" s="8"/>
      <c r="J1375" s="8"/>
      <c r="K1375" s="8"/>
      <c r="L1375" s="8"/>
      <c r="M1375" s="8"/>
      <c r="N1375" s="8"/>
      <c r="O1375" s="8"/>
    </row>
    <row r="1376" ht="13.65" customHeight="1">
      <c r="A1376" s="8"/>
      <c r="B1376" s="8"/>
      <c r="C1376" s="8"/>
      <c r="D1376" s="8"/>
      <c r="E1376" s="8"/>
      <c r="F1376" s="8"/>
      <c r="G1376" s="8"/>
      <c r="H1376" s="8"/>
      <c r="I1376" s="8"/>
      <c r="J1376" s="8"/>
      <c r="K1376" s="8"/>
      <c r="L1376" s="8"/>
      <c r="M1376" s="8"/>
      <c r="N1376" s="8"/>
      <c r="O1376" s="8"/>
    </row>
    <row r="1377" ht="13.65" customHeight="1">
      <c r="A1377" s="8"/>
      <c r="B1377" s="8"/>
      <c r="C1377" s="8"/>
      <c r="D1377" s="8"/>
      <c r="E1377" s="8"/>
      <c r="F1377" s="8"/>
      <c r="G1377" s="8"/>
      <c r="H1377" s="8"/>
      <c r="I1377" s="8"/>
      <c r="J1377" s="8"/>
      <c r="K1377" s="8"/>
      <c r="L1377" s="8"/>
      <c r="M1377" s="8"/>
      <c r="N1377" s="8"/>
      <c r="O1377" s="8"/>
    </row>
    <row r="1378" ht="13.65" customHeight="1">
      <c r="A1378" s="8"/>
      <c r="B1378" s="8"/>
      <c r="C1378" s="8"/>
      <c r="D1378" s="8"/>
      <c r="E1378" s="8"/>
      <c r="F1378" s="8"/>
      <c r="G1378" s="8"/>
      <c r="H1378" s="8"/>
      <c r="I1378" s="8"/>
      <c r="J1378" s="8"/>
      <c r="K1378" s="8"/>
      <c r="L1378" s="8"/>
      <c r="M1378" s="8"/>
      <c r="N1378" s="8"/>
      <c r="O1378" s="8"/>
    </row>
    <row r="1379" ht="13.65" customHeight="1">
      <c r="A1379" s="8"/>
      <c r="B1379" s="8"/>
      <c r="C1379" s="8"/>
      <c r="D1379" s="8"/>
      <c r="E1379" s="8"/>
      <c r="F1379" s="8"/>
      <c r="G1379" s="8"/>
      <c r="H1379" s="8"/>
      <c r="I1379" s="8"/>
      <c r="J1379" s="8"/>
      <c r="K1379" s="8"/>
      <c r="L1379" s="8"/>
      <c r="M1379" s="8"/>
      <c r="N1379" s="8"/>
      <c r="O1379" s="8"/>
    </row>
    <row r="1380" ht="13.65" customHeight="1">
      <c r="A1380" s="8"/>
      <c r="B1380" s="8"/>
      <c r="C1380" s="8"/>
      <c r="D1380" s="8"/>
      <c r="E1380" s="8"/>
      <c r="F1380" s="8"/>
      <c r="G1380" s="8"/>
      <c r="H1380" s="8"/>
      <c r="I1380" s="8"/>
      <c r="J1380" s="8"/>
      <c r="K1380" s="8"/>
      <c r="L1380" s="8"/>
      <c r="M1380" s="8"/>
      <c r="N1380" s="8"/>
      <c r="O1380" s="8"/>
    </row>
    <row r="1381" ht="13.65" customHeight="1">
      <c r="A1381" s="8"/>
      <c r="B1381" s="8"/>
      <c r="C1381" s="8"/>
      <c r="D1381" s="8"/>
      <c r="E1381" s="8"/>
      <c r="F1381" s="8"/>
      <c r="G1381" s="8"/>
      <c r="H1381" s="8"/>
      <c r="I1381" s="8"/>
      <c r="J1381" s="8"/>
      <c r="K1381" s="8"/>
      <c r="L1381" s="8"/>
      <c r="M1381" s="8"/>
      <c r="N1381" s="8"/>
      <c r="O1381" s="8"/>
    </row>
    <row r="1382" ht="13.65" customHeight="1">
      <c r="A1382" s="8"/>
      <c r="B1382" s="8"/>
      <c r="C1382" s="8"/>
      <c r="D1382" s="8"/>
      <c r="E1382" s="8"/>
      <c r="F1382" s="8"/>
      <c r="G1382" s="8"/>
      <c r="H1382" s="8"/>
      <c r="I1382" s="8"/>
      <c r="J1382" s="8"/>
      <c r="K1382" s="8"/>
      <c r="L1382" s="8"/>
      <c r="M1382" s="8"/>
      <c r="N1382" s="8"/>
      <c r="O1382" s="8"/>
    </row>
    <row r="1383" ht="13.65" customHeight="1">
      <c r="A1383" s="8"/>
      <c r="B1383" s="8"/>
      <c r="C1383" s="8"/>
      <c r="D1383" s="8"/>
      <c r="E1383" s="8"/>
      <c r="F1383" s="8"/>
      <c r="G1383" s="8"/>
      <c r="H1383" s="8"/>
      <c r="I1383" s="8"/>
      <c r="J1383" s="8"/>
      <c r="K1383" s="8"/>
      <c r="L1383" s="8"/>
      <c r="M1383" s="8"/>
      <c r="N1383" s="8"/>
      <c r="O1383" s="8"/>
    </row>
    <row r="1384" ht="13.65" customHeight="1">
      <c r="A1384" s="8"/>
      <c r="B1384" s="8"/>
      <c r="C1384" s="8"/>
      <c r="D1384" s="8"/>
      <c r="E1384" s="8"/>
      <c r="F1384" s="8"/>
      <c r="G1384" s="8"/>
      <c r="H1384" s="8"/>
      <c r="I1384" s="8"/>
      <c r="J1384" s="8"/>
      <c r="K1384" s="8"/>
      <c r="L1384" s="8"/>
      <c r="M1384" s="8"/>
      <c r="N1384" s="8"/>
      <c r="O1384" s="8"/>
    </row>
    <row r="1385" ht="13.65" customHeight="1">
      <c r="A1385" s="8"/>
      <c r="B1385" s="8"/>
      <c r="C1385" s="8"/>
      <c r="D1385" s="8"/>
      <c r="E1385" s="8"/>
      <c r="F1385" s="8"/>
      <c r="G1385" s="8"/>
      <c r="H1385" s="8"/>
      <c r="I1385" s="8"/>
      <c r="J1385" s="8"/>
      <c r="K1385" s="8"/>
      <c r="L1385" s="8"/>
      <c r="M1385" s="8"/>
      <c r="N1385" s="8"/>
      <c r="O1385" s="8"/>
    </row>
    <row r="1386" ht="13.65" customHeight="1">
      <c r="A1386" s="8"/>
      <c r="B1386" s="8"/>
      <c r="C1386" s="8"/>
      <c r="D1386" s="8"/>
      <c r="E1386" s="8"/>
      <c r="F1386" s="8"/>
      <c r="G1386" s="8"/>
      <c r="H1386" s="8"/>
      <c r="I1386" s="8"/>
      <c r="J1386" s="8"/>
      <c r="K1386" s="8"/>
      <c r="L1386" s="8"/>
      <c r="M1386" s="8"/>
      <c r="N1386" s="8"/>
      <c r="O1386" s="8"/>
    </row>
    <row r="1387" ht="13.65" customHeight="1">
      <c r="A1387" s="8"/>
      <c r="B1387" s="8"/>
      <c r="C1387" s="8"/>
      <c r="D1387" s="8"/>
      <c r="E1387" s="8"/>
      <c r="F1387" s="8"/>
      <c r="G1387" s="8"/>
      <c r="H1387" s="8"/>
      <c r="I1387" s="8"/>
      <c r="J1387" s="8"/>
      <c r="K1387" s="8"/>
      <c r="L1387" s="8"/>
      <c r="M1387" s="8"/>
      <c r="N1387" s="8"/>
      <c r="O1387" s="8"/>
    </row>
    <row r="1388" ht="13.65" customHeight="1">
      <c r="A1388" s="8"/>
      <c r="B1388" s="8"/>
      <c r="C1388" s="8"/>
      <c r="D1388" s="8"/>
      <c r="E1388" s="8"/>
      <c r="F1388" s="8"/>
      <c r="G1388" s="8"/>
      <c r="H1388" s="8"/>
      <c r="I1388" s="8"/>
      <c r="J1388" s="8"/>
      <c r="K1388" s="8"/>
      <c r="L1388" s="8"/>
      <c r="M1388" s="8"/>
      <c r="N1388" s="8"/>
      <c r="O1388" s="8"/>
    </row>
    <row r="1389" ht="13.65" customHeight="1">
      <c r="A1389" s="8"/>
      <c r="B1389" s="8"/>
      <c r="C1389" s="8"/>
      <c r="D1389" s="8"/>
      <c r="E1389" s="8"/>
      <c r="F1389" s="8"/>
      <c r="G1389" s="8"/>
      <c r="H1389" s="8"/>
      <c r="I1389" s="8"/>
      <c r="J1389" s="8"/>
      <c r="K1389" s="8"/>
      <c r="L1389" s="8"/>
      <c r="M1389" s="8"/>
      <c r="N1389" s="8"/>
      <c r="O1389" s="8"/>
    </row>
    <row r="1390" ht="13.65" customHeight="1">
      <c r="A1390" s="8"/>
      <c r="B1390" s="8"/>
      <c r="C1390" s="8"/>
      <c r="D1390" s="8"/>
      <c r="E1390" s="8"/>
      <c r="F1390" s="8"/>
      <c r="G1390" s="8"/>
      <c r="H1390" s="8"/>
      <c r="I1390" s="8"/>
      <c r="J1390" s="8"/>
      <c r="K1390" s="8"/>
      <c r="L1390" s="8"/>
      <c r="M1390" s="8"/>
      <c r="N1390" s="8"/>
      <c r="O1390" s="8"/>
    </row>
    <row r="1391" ht="13.65" customHeight="1">
      <c r="A1391" s="8"/>
      <c r="B1391" s="8"/>
      <c r="C1391" s="8"/>
      <c r="D1391" s="8"/>
      <c r="E1391" s="8"/>
      <c r="F1391" s="8"/>
      <c r="G1391" s="8"/>
      <c r="H1391" s="8"/>
      <c r="I1391" s="8"/>
      <c r="J1391" s="8"/>
      <c r="K1391" s="8"/>
      <c r="L1391" s="8"/>
      <c r="M1391" s="8"/>
      <c r="N1391" s="8"/>
      <c r="O1391" s="8"/>
    </row>
    <row r="1392" ht="13.65" customHeight="1">
      <c r="A1392" s="8"/>
      <c r="B1392" s="8"/>
      <c r="C1392" s="8"/>
      <c r="D1392" s="8"/>
      <c r="E1392" s="8"/>
      <c r="F1392" s="8"/>
      <c r="G1392" s="8"/>
      <c r="H1392" s="8"/>
      <c r="I1392" s="8"/>
      <c r="J1392" s="8"/>
      <c r="K1392" s="8"/>
      <c r="L1392" s="8"/>
      <c r="M1392" s="8"/>
      <c r="N1392" s="8"/>
      <c r="O1392" s="8"/>
    </row>
    <row r="1393" ht="13.65" customHeight="1">
      <c r="A1393" s="8"/>
      <c r="B1393" s="8"/>
      <c r="C1393" s="8"/>
      <c r="D1393" s="8"/>
      <c r="E1393" s="8"/>
      <c r="F1393" s="8"/>
      <c r="G1393" s="8"/>
      <c r="H1393" s="8"/>
      <c r="I1393" s="8"/>
      <c r="J1393" s="8"/>
      <c r="K1393" s="8"/>
      <c r="L1393" s="8"/>
      <c r="M1393" s="8"/>
      <c r="N1393" s="8"/>
      <c r="O1393" s="8"/>
    </row>
    <row r="1394" ht="13.65" customHeight="1">
      <c r="A1394" s="8"/>
      <c r="B1394" s="8"/>
      <c r="C1394" s="8"/>
      <c r="D1394" s="8"/>
      <c r="E1394" s="8"/>
      <c r="F1394" s="8"/>
      <c r="G1394" s="8"/>
      <c r="H1394" s="8"/>
      <c r="I1394" s="8"/>
      <c r="J1394" s="8"/>
      <c r="K1394" s="8"/>
      <c r="L1394" s="8"/>
      <c r="M1394" s="8"/>
      <c r="N1394" s="8"/>
      <c r="O1394" s="8"/>
    </row>
    <row r="1395" ht="13.65" customHeight="1">
      <c r="A1395" s="8"/>
      <c r="B1395" s="8"/>
      <c r="C1395" s="8"/>
      <c r="D1395" s="8"/>
      <c r="E1395" s="8"/>
      <c r="F1395" s="8"/>
      <c r="G1395" s="8"/>
      <c r="H1395" s="8"/>
      <c r="I1395" s="8"/>
      <c r="J1395" s="8"/>
      <c r="K1395" s="8"/>
      <c r="L1395" s="8"/>
      <c r="M1395" s="8"/>
      <c r="N1395" s="8"/>
      <c r="O1395" s="8"/>
    </row>
    <row r="1396" ht="13.65" customHeight="1">
      <c r="A1396" s="8"/>
      <c r="B1396" s="8"/>
      <c r="C1396" s="8"/>
      <c r="D1396" s="8"/>
      <c r="E1396" s="8"/>
      <c r="F1396" s="8"/>
      <c r="G1396" s="8"/>
      <c r="H1396" s="8"/>
      <c r="I1396" s="8"/>
      <c r="J1396" s="8"/>
      <c r="K1396" s="8"/>
      <c r="L1396" s="8"/>
      <c r="M1396" s="8"/>
      <c r="N1396" s="8"/>
      <c r="O1396" s="8"/>
    </row>
    <row r="1397" ht="13.65" customHeight="1">
      <c r="A1397" s="8"/>
      <c r="B1397" s="8"/>
      <c r="C1397" s="8"/>
      <c r="D1397" s="8"/>
      <c r="E1397" s="8"/>
      <c r="F1397" s="8"/>
      <c r="G1397" s="8"/>
      <c r="H1397" s="8"/>
      <c r="I1397" s="8"/>
      <c r="J1397" s="8"/>
      <c r="K1397" s="8"/>
      <c r="L1397" s="8"/>
      <c r="M1397" s="8"/>
      <c r="N1397" s="8"/>
      <c r="O1397" s="8"/>
    </row>
    <row r="1398" ht="13.65" customHeight="1">
      <c r="A1398" s="8"/>
      <c r="B1398" s="8"/>
      <c r="C1398" s="8"/>
      <c r="D1398" s="8"/>
      <c r="E1398" s="8"/>
      <c r="F1398" s="8"/>
      <c r="G1398" s="8"/>
      <c r="H1398" s="8"/>
      <c r="I1398" s="8"/>
      <c r="J1398" s="8"/>
      <c r="K1398" s="8"/>
      <c r="L1398" s="8"/>
      <c r="M1398" s="8"/>
      <c r="N1398" s="8"/>
      <c r="O1398" s="8"/>
    </row>
    <row r="1399" ht="13.65" customHeight="1">
      <c r="A1399" s="8"/>
      <c r="B1399" s="8"/>
      <c r="C1399" s="8"/>
      <c r="D1399" s="8"/>
      <c r="E1399" s="8"/>
      <c r="F1399" s="8"/>
      <c r="G1399" s="8"/>
      <c r="H1399" s="8"/>
      <c r="I1399" s="8"/>
      <c r="J1399" s="8"/>
      <c r="K1399" s="8"/>
      <c r="L1399" s="8"/>
      <c r="M1399" s="8"/>
      <c r="N1399" s="8"/>
      <c r="O1399" s="8"/>
    </row>
    <row r="1400" ht="13.65" customHeight="1">
      <c r="A1400" s="8"/>
      <c r="B1400" s="8"/>
      <c r="C1400" s="8"/>
      <c r="D1400" s="8"/>
      <c r="E1400" s="8"/>
      <c r="F1400" s="8"/>
      <c r="G1400" s="8"/>
      <c r="H1400" s="8"/>
      <c r="I1400" s="8"/>
      <c r="J1400" s="8"/>
      <c r="K1400" s="8"/>
      <c r="L1400" s="8"/>
      <c r="M1400" s="8"/>
      <c r="N1400" s="8"/>
      <c r="O1400" s="8"/>
    </row>
    <row r="1401" ht="13.65" customHeight="1">
      <c r="A1401" s="8"/>
      <c r="B1401" s="8"/>
      <c r="C1401" s="8"/>
      <c r="D1401" s="8"/>
      <c r="E1401" s="8"/>
      <c r="F1401" s="8"/>
      <c r="G1401" s="8"/>
      <c r="H1401" s="8"/>
      <c r="I1401" s="8"/>
      <c r="J1401" s="8"/>
      <c r="K1401" s="8"/>
      <c r="L1401" s="8"/>
      <c r="M1401" s="8"/>
      <c r="N1401" s="8"/>
      <c r="O1401" s="8"/>
    </row>
    <row r="1402" ht="13.65" customHeight="1">
      <c r="A1402" s="8"/>
      <c r="B1402" s="8"/>
      <c r="C1402" s="8"/>
      <c r="D1402" s="8"/>
      <c r="E1402" s="8"/>
      <c r="F1402" s="8"/>
      <c r="G1402" s="8"/>
      <c r="H1402" s="8"/>
      <c r="I1402" s="8"/>
      <c r="J1402" s="8"/>
      <c r="K1402" s="8"/>
      <c r="L1402" s="8"/>
      <c r="M1402" s="8"/>
      <c r="N1402" s="8"/>
      <c r="O1402" s="8"/>
    </row>
    <row r="1403" ht="13.65" customHeight="1">
      <c r="A1403" s="8"/>
      <c r="B1403" s="8"/>
      <c r="C1403" s="8"/>
      <c r="D1403" s="8"/>
      <c r="E1403" s="8"/>
      <c r="F1403" s="8"/>
      <c r="G1403" s="8"/>
      <c r="H1403" s="8"/>
      <c r="I1403" s="8"/>
      <c r="J1403" s="8"/>
      <c r="K1403" s="8"/>
      <c r="L1403" s="8"/>
      <c r="M1403" s="8"/>
      <c r="N1403" s="8"/>
      <c r="O1403" s="8"/>
    </row>
    <row r="1404" ht="13.65" customHeight="1">
      <c r="A1404" s="8"/>
      <c r="B1404" s="8"/>
      <c r="C1404" s="8"/>
      <c r="D1404" s="8"/>
      <c r="E1404" s="8"/>
      <c r="F1404" s="8"/>
      <c r="G1404" s="8"/>
      <c r="H1404" s="8"/>
      <c r="I1404" s="8"/>
      <c r="J1404" s="8"/>
      <c r="K1404" s="8"/>
      <c r="L1404" s="8"/>
      <c r="M1404" s="8"/>
      <c r="N1404" s="8"/>
      <c r="O1404" s="8"/>
    </row>
    <row r="1405" ht="13.65" customHeight="1">
      <c r="A1405" s="8"/>
      <c r="B1405" s="8"/>
      <c r="C1405" s="8"/>
      <c r="D1405" s="8"/>
      <c r="E1405" s="8"/>
      <c r="F1405" s="8"/>
      <c r="G1405" s="8"/>
      <c r="H1405" s="8"/>
      <c r="I1405" s="8"/>
      <c r="J1405" s="8"/>
      <c r="K1405" s="8"/>
      <c r="L1405" s="8"/>
      <c r="M1405" s="8"/>
      <c r="N1405" s="8"/>
      <c r="O1405" s="8"/>
    </row>
    <row r="1406" ht="13.65" customHeight="1">
      <c r="A1406" s="8"/>
      <c r="B1406" s="8"/>
      <c r="C1406" s="8"/>
      <c r="D1406" s="8"/>
      <c r="E1406" s="8"/>
      <c r="F1406" s="8"/>
      <c r="G1406" s="8"/>
      <c r="H1406" s="8"/>
      <c r="I1406" s="8"/>
      <c r="J1406" s="8"/>
      <c r="K1406" s="8"/>
      <c r="L1406" s="8"/>
      <c r="M1406" s="8"/>
      <c r="N1406" s="8"/>
      <c r="O1406" s="8"/>
    </row>
    <row r="1407" ht="13.65" customHeight="1">
      <c r="A1407" s="8"/>
      <c r="B1407" s="8"/>
      <c r="C1407" s="8"/>
      <c r="D1407" s="8"/>
      <c r="E1407" s="8"/>
      <c r="F1407" s="8"/>
      <c r="G1407" s="8"/>
      <c r="H1407" s="8"/>
      <c r="I1407" s="8"/>
      <c r="J1407" s="8"/>
      <c r="K1407" s="8"/>
      <c r="L1407" s="8"/>
      <c r="M1407" s="8"/>
      <c r="N1407" s="8"/>
      <c r="O1407" s="8"/>
    </row>
    <row r="1408" ht="13.65" customHeight="1">
      <c r="A1408" s="8"/>
      <c r="B1408" s="8"/>
      <c r="C1408" s="8"/>
      <c r="D1408" s="8"/>
      <c r="E1408" s="8"/>
      <c r="F1408" s="8"/>
      <c r="G1408" s="8"/>
      <c r="H1408" s="8"/>
      <c r="I1408" s="8"/>
      <c r="J1408" s="8"/>
      <c r="K1408" s="8"/>
      <c r="L1408" s="8"/>
      <c r="M1408" s="8"/>
      <c r="N1408" s="8"/>
      <c r="O1408" s="8"/>
    </row>
    <row r="1409" ht="13.65" customHeight="1">
      <c r="A1409" s="8"/>
      <c r="B1409" s="8"/>
      <c r="C1409" s="8"/>
      <c r="D1409" s="8"/>
      <c r="E1409" s="8"/>
      <c r="F1409" s="8"/>
      <c r="G1409" s="8"/>
      <c r="H1409" s="8"/>
      <c r="I1409" s="8"/>
      <c r="J1409" s="8"/>
      <c r="K1409" s="8"/>
      <c r="L1409" s="8"/>
      <c r="M1409" s="8"/>
      <c r="N1409" s="8"/>
      <c r="O1409" s="8"/>
    </row>
    <row r="1410" ht="13.65" customHeight="1">
      <c r="A1410" s="8"/>
      <c r="B1410" s="8"/>
      <c r="C1410" s="8"/>
      <c r="D1410" s="8"/>
      <c r="E1410" s="8"/>
      <c r="F1410" s="8"/>
      <c r="G1410" s="8"/>
      <c r="H1410" s="8"/>
      <c r="I1410" s="8"/>
      <c r="J1410" s="8"/>
      <c r="K1410" s="8"/>
      <c r="L1410" s="8"/>
      <c r="M1410" s="8"/>
      <c r="N1410" s="8"/>
      <c r="O1410" s="8"/>
    </row>
    <row r="1411" ht="13.65" customHeight="1">
      <c r="A1411" s="8"/>
      <c r="B1411" s="8"/>
      <c r="C1411" s="8"/>
      <c r="D1411" s="8"/>
      <c r="E1411" s="8"/>
      <c r="F1411" s="8"/>
      <c r="G1411" s="8"/>
      <c r="H1411" s="8"/>
      <c r="I1411" s="8"/>
      <c r="J1411" s="8"/>
      <c r="K1411" s="8"/>
      <c r="L1411" s="8"/>
      <c r="M1411" s="8"/>
      <c r="N1411" s="8"/>
      <c r="O1411" s="8"/>
    </row>
    <row r="1412" ht="13.65" customHeight="1">
      <c r="A1412" s="8"/>
      <c r="B1412" s="8"/>
      <c r="C1412" s="8"/>
      <c r="D1412" s="8"/>
      <c r="E1412" s="8"/>
      <c r="F1412" s="8"/>
      <c r="G1412" s="8"/>
      <c r="H1412" s="8"/>
      <c r="I1412" s="8"/>
      <c r="J1412" s="8"/>
      <c r="K1412" s="8"/>
      <c r="L1412" s="8"/>
      <c r="M1412" s="8"/>
      <c r="N1412" s="8"/>
      <c r="O1412" s="8"/>
    </row>
    <row r="1413" ht="13.65" customHeight="1">
      <c r="A1413" s="8"/>
      <c r="B1413" s="8"/>
      <c r="C1413" s="8"/>
      <c r="D1413" s="8"/>
      <c r="E1413" s="8"/>
      <c r="F1413" s="8"/>
      <c r="G1413" s="8"/>
      <c r="H1413" s="8"/>
      <c r="I1413" s="8"/>
      <c r="J1413" s="8"/>
      <c r="K1413" s="8"/>
      <c r="L1413" s="8"/>
      <c r="M1413" s="8"/>
      <c r="N1413" s="8"/>
      <c r="O1413" s="8"/>
    </row>
    <row r="1414" ht="13.65" customHeight="1">
      <c r="A1414" s="8"/>
      <c r="B1414" s="8"/>
      <c r="C1414" s="8"/>
      <c r="D1414" s="8"/>
      <c r="E1414" s="8"/>
      <c r="F1414" s="8"/>
      <c r="G1414" s="8"/>
      <c r="H1414" s="8"/>
      <c r="I1414" s="8"/>
      <c r="J1414" s="8"/>
      <c r="K1414" s="8"/>
      <c r="L1414" s="8"/>
      <c r="M1414" s="8"/>
      <c r="N1414" s="8"/>
      <c r="O1414" s="8"/>
    </row>
    <row r="1415" ht="13.65" customHeight="1">
      <c r="A1415" s="8"/>
      <c r="B1415" s="8"/>
      <c r="C1415" s="8"/>
      <c r="D1415" s="8"/>
      <c r="E1415" s="8"/>
      <c r="F1415" s="8"/>
      <c r="G1415" s="8"/>
      <c r="H1415" s="8"/>
      <c r="I1415" s="8"/>
      <c r="J1415" s="8"/>
      <c r="K1415" s="8"/>
      <c r="L1415" s="8"/>
      <c r="M1415" s="8"/>
      <c r="N1415" s="8"/>
      <c r="O1415" s="8"/>
    </row>
    <row r="1416" ht="13.65" customHeight="1">
      <c r="A1416" s="8"/>
      <c r="B1416" s="8"/>
      <c r="C1416" s="8"/>
      <c r="D1416" s="8"/>
      <c r="E1416" s="8"/>
      <c r="F1416" s="8"/>
      <c r="G1416" s="8"/>
      <c r="H1416" s="8"/>
      <c r="I1416" s="8"/>
      <c r="J1416" s="8"/>
      <c r="K1416" s="8"/>
      <c r="L1416" s="8"/>
      <c r="M1416" s="8"/>
      <c r="N1416" s="8"/>
      <c r="O1416" s="8"/>
    </row>
    <row r="1417" ht="13.65" customHeight="1">
      <c r="A1417" s="8"/>
      <c r="B1417" s="8"/>
      <c r="C1417" s="8"/>
      <c r="D1417" s="8"/>
      <c r="E1417" s="8"/>
      <c r="F1417" s="8"/>
      <c r="G1417" s="8"/>
      <c r="H1417" s="8"/>
      <c r="I1417" s="8"/>
      <c r="J1417" s="8"/>
      <c r="K1417" s="8"/>
      <c r="L1417" s="8"/>
      <c r="M1417" s="8"/>
      <c r="N1417" s="8"/>
      <c r="O1417" s="8"/>
    </row>
    <row r="1418" ht="13.65" customHeight="1">
      <c r="A1418" s="8"/>
      <c r="B1418" s="8"/>
      <c r="C1418" s="8"/>
      <c r="D1418" s="8"/>
      <c r="E1418" s="8"/>
      <c r="F1418" s="8"/>
      <c r="G1418" s="8"/>
      <c r="H1418" s="8"/>
      <c r="I1418" s="8"/>
      <c r="J1418" s="8"/>
      <c r="K1418" s="8"/>
      <c r="L1418" s="8"/>
      <c r="M1418" s="8"/>
      <c r="N1418" s="8"/>
      <c r="O1418" s="8"/>
    </row>
    <row r="1419" ht="13.65" customHeight="1">
      <c r="A1419" s="8"/>
      <c r="B1419" s="8"/>
      <c r="C1419" s="8"/>
      <c r="D1419" s="8"/>
      <c r="E1419" s="8"/>
      <c r="F1419" s="8"/>
      <c r="G1419" s="8"/>
      <c r="H1419" s="8"/>
      <c r="I1419" s="8"/>
      <c r="J1419" s="8"/>
      <c r="K1419" s="8"/>
      <c r="L1419" s="8"/>
      <c r="M1419" s="8"/>
      <c r="N1419" s="8"/>
      <c r="O1419" s="8"/>
    </row>
    <row r="1420" ht="13.65" customHeight="1">
      <c r="A1420" s="8"/>
      <c r="B1420" s="8"/>
      <c r="C1420" s="8"/>
      <c r="D1420" s="8"/>
      <c r="E1420" s="8"/>
      <c r="F1420" s="8"/>
      <c r="G1420" s="8"/>
      <c r="H1420" s="8"/>
      <c r="I1420" s="8"/>
      <c r="J1420" s="8"/>
      <c r="K1420" s="8"/>
      <c r="L1420" s="8"/>
      <c r="M1420" s="8"/>
      <c r="N1420" s="8"/>
      <c r="O1420" s="8"/>
    </row>
    <row r="1421" ht="13.65" customHeight="1">
      <c r="A1421" s="8"/>
      <c r="B1421" s="8"/>
      <c r="C1421" s="8"/>
      <c r="D1421" s="8"/>
      <c r="E1421" s="8"/>
      <c r="F1421" s="8"/>
      <c r="G1421" s="8"/>
      <c r="H1421" s="8"/>
      <c r="I1421" s="8"/>
      <c r="J1421" s="8"/>
      <c r="K1421" s="8"/>
      <c r="L1421" s="8"/>
      <c r="M1421" s="8"/>
      <c r="N1421" s="8"/>
      <c r="O1421" s="8"/>
    </row>
    <row r="1422" ht="13.65" customHeight="1">
      <c r="A1422" s="8"/>
      <c r="B1422" s="8"/>
      <c r="C1422" s="8"/>
      <c r="D1422" s="8"/>
      <c r="E1422" s="8"/>
      <c r="F1422" s="8"/>
      <c r="G1422" s="8"/>
      <c r="H1422" s="8"/>
      <c r="I1422" s="8"/>
      <c r="J1422" s="8"/>
      <c r="K1422" s="8"/>
      <c r="L1422" s="8"/>
      <c r="M1422" s="8"/>
      <c r="N1422" s="8"/>
      <c r="O1422" s="8"/>
    </row>
    <row r="1423" ht="13.65" customHeight="1">
      <c r="A1423" s="8"/>
      <c r="B1423" s="8"/>
      <c r="C1423" s="8"/>
      <c r="D1423" s="8"/>
      <c r="E1423" s="8"/>
      <c r="F1423" s="8"/>
      <c r="G1423" s="8"/>
      <c r="H1423" s="8"/>
      <c r="I1423" s="8"/>
      <c r="J1423" s="8"/>
      <c r="K1423" s="8"/>
      <c r="L1423" s="8"/>
      <c r="M1423" s="8"/>
      <c r="N1423" s="8"/>
      <c r="O1423" s="8"/>
    </row>
    <row r="1424" ht="13.65" customHeight="1">
      <c r="A1424" s="8"/>
      <c r="B1424" s="8"/>
      <c r="C1424" s="8"/>
      <c r="D1424" s="8"/>
      <c r="E1424" s="8"/>
      <c r="F1424" s="8"/>
      <c r="G1424" s="8"/>
      <c r="H1424" s="8"/>
      <c r="I1424" s="8"/>
      <c r="J1424" s="8"/>
      <c r="K1424" s="8"/>
      <c r="L1424" s="8"/>
      <c r="M1424" s="8"/>
      <c r="N1424" s="8"/>
      <c r="O1424" s="8"/>
    </row>
    <row r="1425" ht="13.65" customHeight="1">
      <c r="A1425" s="8"/>
      <c r="B1425" s="8"/>
      <c r="C1425" s="8"/>
      <c r="D1425" s="8"/>
      <c r="E1425" s="8"/>
      <c r="F1425" s="8"/>
      <c r="G1425" s="8"/>
      <c r="H1425" s="8"/>
      <c r="I1425" s="8"/>
      <c r="J1425" s="8"/>
      <c r="K1425" s="8"/>
      <c r="L1425" s="8"/>
      <c r="M1425" s="8"/>
      <c r="N1425" s="8"/>
      <c r="O1425" s="8"/>
    </row>
    <row r="1426" ht="13.65" customHeight="1">
      <c r="A1426" s="8"/>
      <c r="B1426" s="8"/>
      <c r="C1426" s="8"/>
      <c r="D1426" s="8"/>
      <c r="E1426" s="8"/>
      <c r="F1426" s="8"/>
      <c r="G1426" s="8"/>
      <c r="H1426" s="8"/>
      <c r="I1426" s="8"/>
      <c r="J1426" s="8"/>
      <c r="K1426" s="8"/>
      <c r="L1426" s="8"/>
      <c r="M1426" s="8"/>
      <c r="N1426" s="8"/>
      <c r="O1426" s="8"/>
    </row>
    <row r="1427" ht="13.65" customHeight="1">
      <c r="A1427" s="8"/>
      <c r="B1427" s="8"/>
      <c r="C1427" s="8"/>
      <c r="D1427" s="8"/>
      <c r="E1427" s="8"/>
      <c r="F1427" s="8"/>
      <c r="G1427" s="8"/>
      <c r="H1427" s="8"/>
      <c r="I1427" s="8"/>
      <c r="J1427" s="8"/>
      <c r="K1427" s="8"/>
      <c r="L1427" s="8"/>
      <c r="M1427" s="8"/>
      <c r="N1427" s="8"/>
      <c r="O1427" s="8"/>
    </row>
    <row r="1428" ht="13.65" customHeight="1">
      <c r="A1428" s="8"/>
      <c r="B1428" s="8"/>
      <c r="C1428" s="8"/>
      <c r="D1428" s="8"/>
      <c r="E1428" s="8"/>
      <c r="F1428" s="8"/>
      <c r="G1428" s="8"/>
      <c r="H1428" s="8"/>
      <c r="I1428" s="8"/>
      <c r="J1428" s="8"/>
      <c r="K1428" s="8"/>
      <c r="L1428" s="8"/>
      <c r="M1428" s="8"/>
      <c r="N1428" s="8"/>
      <c r="O1428" s="8"/>
    </row>
    <row r="1429" ht="13.65" customHeight="1">
      <c r="A1429" s="8"/>
      <c r="B1429" s="8"/>
      <c r="C1429" s="8"/>
      <c r="D1429" s="8"/>
      <c r="E1429" s="8"/>
      <c r="F1429" s="8"/>
      <c r="G1429" s="8"/>
      <c r="H1429" s="8"/>
      <c r="I1429" s="8"/>
      <c r="J1429" s="8"/>
      <c r="K1429" s="8"/>
      <c r="L1429" s="8"/>
      <c r="M1429" s="8"/>
      <c r="N1429" s="8"/>
      <c r="O1429" s="8"/>
    </row>
    <row r="1430" ht="13.65" customHeight="1">
      <c r="A1430" s="8"/>
      <c r="B1430" s="8"/>
      <c r="C1430" s="8"/>
      <c r="D1430" s="8"/>
      <c r="E1430" s="8"/>
      <c r="F1430" s="8"/>
      <c r="G1430" s="8"/>
      <c r="H1430" s="8"/>
      <c r="I1430" s="8"/>
      <c r="J1430" s="8"/>
      <c r="K1430" s="8"/>
      <c r="L1430" s="8"/>
      <c r="M1430" s="8"/>
      <c r="N1430" s="8"/>
      <c r="O1430" s="8"/>
    </row>
    <row r="1431" ht="13.65" customHeight="1">
      <c r="A1431" s="8"/>
      <c r="B1431" s="8"/>
      <c r="C1431" s="8"/>
      <c r="D1431" s="8"/>
      <c r="E1431" s="8"/>
      <c r="F1431" s="8"/>
      <c r="G1431" s="8"/>
      <c r="H1431" s="8"/>
      <c r="I1431" s="8"/>
      <c r="J1431" s="8"/>
      <c r="K1431" s="8"/>
      <c r="L1431" s="8"/>
      <c r="M1431" s="8"/>
      <c r="N1431" s="8"/>
      <c r="O1431" s="8"/>
    </row>
    <row r="1432" ht="13.65" customHeight="1">
      <c r="A1432" s="8"/>
      <c r="B1432" s="8"/>
      <c r="C1432" s="8"/>
      <c r="D1432" s="8"/>
      <c r="E1432" s="8"/>
      <c r="F1432" s="8"/>
      <c r="G1432" s="8"/>
      <c r="H1432" s="8"/>
      <c r="I1432" s="8"/>
      <c r="J1432" s="8"/>
      <c r="K1432" s="8"/>
      <c r="L1432" s="8"/>
      <c r="M1432" s="8"/>
      <c r="N1432" s="8"/>
      <c r="O1432" s="8"/>
    </row>
    <row r="1433" ht="13.65" customHeight="1">
      <c r="A1433" s="8"/>
      <c r="B1433" s="8"/>
      <c r="C1433" s="8"/>
      <c r="D1433" s="8"/>
      <c r="E1433" s="8"/>
      <c r="F1433" s="8"/>
      <c r="G1433" s="8"/>
      <c r="H1433" s="8"/>
      <c r="I1433" s="8"/>
      <c r="J1433" s="8"/>
      <c r="K1433" s="8"/>
      <c r="L1433" s="8"/>
      <c r="M1433" s="8"/>
      <c r="N1433" s="8"/>
      <c r="O1433" s="8"/>
    </row>
    <row r="1434" ht="13.65" customHeight="1">
      <c r="A1434" s="8"/>
      <c r="B1434" s="8"/>
      <c r="C1434" s="8"/>
      <c r="D1434" s="8"/>
      <c r="E1434" s="8"/>
      <c r="F1434" s="8"/>
      <c r="G1434" s="8"/>
      <c r="H1434" s="8"/>
      <c r="I1434" s="8"/>
      <c r="J1434" s="8"/>
      <c r="K1434" s="8"/>
      <c r="L1434" s="8"/>
      <c r="M1434" s="8"/>
      <c r="N1434" s="8"/>
      <c r="O1434" s="8"/>
    </row>
    <row r="1435" ht="13.65" customHeight="1">
      <c r="A1435" s="8"/>
      <c r="B1435" s="8"/>
      <c r="C1435" s="8"/>
      <c r="D1435" s="8"/>
      <c r="E1435" s="8"/>
      <c r="F1435" s="8"/>
      <c r="G1435" s="8"/>
      <c r="H1435" s="8"/>
      <c r="I1435" s="8"/>
      <c r="J1435" s="8"/>
      <c r="K1435" s="8"/>
      <c r="L1435" s="8"/>
      <c r="M1435" s="8"/>
      <c r="N1435" s="8"/>
      <c r="O1435" s="8"/>
    </row>
    <row r="1436" ht="13.65" customHeight="1">
      <c r="A1436" s="8"/>
      <c r="B1436" s="8"/>
      <c r="C1436" s="8"/>
      <c r="D1436" s="8"/>
      <c r="E1436" s="8"/>
      <c r="F1436" s="8"/>
      <c r="G1436" s="8"/>
      <c r="H1436" s="8"/>
      <c r="I1436" s="8"/>
      <c r="J1436" s="8"/>
      <c r="K1436" s="8"/>
      <c r="L1436" s="8"/>
      <c r="M1436" s="8"/>
      <c r="N1436" s="8"/>
      <c r="O1436" s="8"/>
    </row>
    <row r="1437" ht="13.65" customHeight="1">
      <c r="A1437" s="8"/>
      <c r="B1437" s="8"/>
      <c r="C1437" s="8"/>
      <c r="D1437" s="8"/>
      <c r="E1437" s="8"/>
      <c r="F1437" s="8"/>
      <c r="G1437" s="8"/>
      <c r="H1437" s="8"/>
      <c r="I1437" s="8"/>
      <c r="J1437" s="8"/>
      <c r="K1437" s="8"/>
      <c r="L1437" s="8"/>
      <c r="M1437" s="8"/>
      <c r="N1437" s="8"/>
      <c r="O1437" s="8"/>
    </row>
    <row r="1438" ht="13.65" customHeight="1">
      <c r="A1438" s="8"/>
      <c r="B1438" s="8"/>
      <c r="C1438" s="8"/>
      <c r="D1438" s="8"/>
      <c r="E1438" s="8"/>
      <c r="F1438" s="8"/>
      <c r="G1438" s="8"/>
      <c r="H1438" s="8"/>
      <c r="I1438" s="8"/>
      <c r="J1438" s="8"/>
      <c r="K1438" s="8"/>
      <c r="L1438" s="8"/>
      <c r="M1438" s="8"/>
      <c r="N1438" s="8"/>
      <c r="O1438" s="8"/>
    </row>
    <row r="1439" ht="13.65" customHeight="1">
      <c r="A1439" s="8"/>
      <c r="B1439" s="8"/>
      <c r="C1439" s="8"/>
      <c r="D1439" s="8"/>
      <c r="E1439" s="8"/>
      <c r="F1439" s="8"/>
      <c r="G1439" s="8"/>
      <c r="H1439" s="8"/>
      <c r="I1439" s="8"/>
      <c r="J1439" s="8"/>
      <c r="K1439" s="8"/>
      <c r="L1439" s="8"/>
      <c r="M1439" s="8"/>
      <c r="N1439" s="8"/>
      <c r="O1439" s="8"/>
    </row>
    <row r="1440" ht="13.65" customHeight="1">
      <c r="A1440" s="8"/>
      <c r="B1440" s="8"/>
      <c r="C1440" s="8"/>
      <c r="D1440" s="8"/>
      <c r="E1440" s="8"/>
      <c r="F1440" s="8"/>
      <c r="G1440" s="8"/>
      <c r="H1440" s="8"/>
      <c r="I1440" s="8"/>
      <c r="J1440" s="8"/>
      <c r="K1440" s="8"/>
      <c r="L1440" s="8"/>
      <c r="M1440" s="8"/>
      <c r="N1440" s="8"/>
      <c r="O1440" s="8"/>
    </row>
    <row r="1441" ht="13.65" customHeight="1">
      <c r="A1441" s="8"/>
      <c r="B1441" s="8"/>
      <c r="C1441" s="8"/>
      <c r="D1441" s="8"/>
      <c r="E1441" s="8"/>
      <c r="F1441" s="8"/>
      <c r="G1441" s="8"/>
      <c r="H1441" s="8"/>
      <c r="I1441" s="8"/>
      <c r="J1441" s="8"/>
      <c r="K1441" s="8"/>
      <c r="L1441" s="8"/>
      <c r="M1441" s="8"/>
      <c r="N1441" s="8"/>
      <c r="O1441" s="8"/>
    </row>
    <row r="1442" ht="13.65" customHeight="1">
      <c r="A1442" s="8"/>
      <c r="B1442" s="8"/>
      <c r="C1442" s="8"/>
      <c r="D1442" s="8"/>
      <c r="E1442" s="8"/>
      <c r="F1442" s="8"/>
      <c r="G1442" s="8"/>
      <c r="H1442" s="8"/>
      <c r="I1442" s="8"/>
      <c r="J1442" s="8"/>
      <c r="K1442" s="8"/>
      <c r="L1442" s="8"/>
      <c r="M1442" s="8"/>
      <c r="N1442" s="8"/>
      <c r="O1442" s="8"/>
    </row>
    <row r="1443" ht="13.65" customHeight="1">
      <c r="A1443" s="8"/>
      <c r="B1443" s="8"/>
      <c r="C1443" s="8"/>
      <c r="D1443" s="8"/>
      <c r="E1443" s="8"/>
      <c r="F1443" s="8"/>
      <c r="G1443" s="8"/>
      <c r="H1443" s="8"/>
      <c r="I1443" s="8"/>
      <c r="J1443" s="8"/>
      <c r="K1443" s="8"/>
      <c r="L1443" s="8"/>
      <c r="M1443" s="8"/>
      <c r="N1443" s="8"/>
      <c r="O1443" s="8"/>
    </row>
    <row r="1444" ht="13.65" customHeight="1">
      <c r="A1444" s="8"/>
      <c r="B1444" s="8"/>
      <c r="C1444" s="8"/>
      <c r="D1444" s="8"/>
      <c r="E1444" s="8"/>
      <c r="F1444" s="8"/>
      <c r="G1444" s="8"/>
      <c r="H1444" s="8"/>
      <c r="I1444" s="8"/>
      <c r="J1444" s="8"/>
      <c r="K1444" s="8"/>
      <c r="L1444" s="8"/>
      <c r="M1444" s="8"/>
      <c r="N1444" s="8"/>
      <c r="O1444" s="8"/>
    </row>
    <row r="1445" ht="13.65" customHeight="1">
      <c r="A1445" s="8"/>
      <c r="B1445" s="8"/>
      <c r="C1445" s="8"/>
      <c r="D1445" s="8"/>
      <c r="E1445" s="8"/>
      <c r="F1445" s="8"/>
      <c r="G1445" s="8"/>
      <c r="H1445" s="8"/>
      <c r="I1445" s="8"/>
      <c r="J1445" s="8"/>
      <c r="K1445" s="8"/>
      <c r="L1445" s="8"/>
      <c r="M1445" s="8"/>
      <c r="N1445" s="8"/>
      <c r="O1445" s="8"/>
    </row>
    <row r="1446" ht="13.65" customHeight="1">
      <c r="A1446" s="8"/>
      <c r="B1446" s="8"/>
      <c r="C1446" s="8"/>
      <c r="D1446" s="8"/>
      <c r="E1446" s="8"/>
      <c r="F1446" s="8"/>
      <c r="G1446" s="8"/>
      <c r="H1446" s="8"/>
      <c r="I1446" s="8"/>
      <c r="J1446" s="8"/>
      <c r="K1446" s="8"/>
      <c r="L1446" s="8"/>
      <c r="M1446" s="8"/>
      <c r="N1446" s="8"/>
      <c r="O1446" s="8"/>
    </row>
    <row r="1447" ht="13.65" customHeight="1">
      <c r="A1447" s="8"/>
      <c r="B1447" s="8"/>
      <c r="C1447" s="8"/>
      <c r="D1447" s="8"/>
      <c r="E1447" s="8"/>
      <c r="F1447" s="8"/>
      <c r="G1447" s="8"/>
      <c r="H1447" s="8"/>
      <c r="I1447" s="8"/>
      <c r="J1447" s="8"/>
      <c r="K1447" s="8"/>
      <c r="L1447" s="8"/>
      <c r="M1447" s="8"/>
      <c r="N1447" s="8"/>
      <c r="O1447" s="8"/>
    </row>
    <row r="1448" ht="13.65" customHeight="1">
      <c r="A1448" s="8"/>
      <c r="B1448" s="8"/>
      <c r="C1448" s="8"/>
      <c r="D1448" s="8"/>
      <c r="E1448" s="8"/>
      <c r="F1448" s="8"/>
      <c r="G1448" s="8"/>
      <c r="H1448" s="8"/>
      <c r="I1448" s="8"/>
      <c r="J1448" s="8"/>
      <c r="K1448" s="8"/>
      <c r="L1448" s="8"/>
      <c r="M1448" s="8"/>
      <c r="N1448" s="8"/>
      <c r="O1448" s="8"/>
    </row>
    <row r="1449" ht="13.65" customHeight="1">
      <c r="A1449" s="8"/>
      <c r="B1449" s="8"/>
      <c r="C1449" s="8"/>
      <c r="D1449" s="8"/>
      <c r="E1449" s="8"/>
      <c r="F1449" s="8"/>
      <c r="G1449" s="8"/>
      <c r="H1449" s="8"/>
      <c r="I1449" s="8"/>
      <c r="J1449" s="8"/>
      <c r="K1449" s="8"/>
      <c r="L1449" s="8"/>
      <c r="M1449" s="8"/>
      <c r="N1449" s="8"/>
      <c r="O1449" s="8"/>
    </row>
    <row r="1450" ht="13.65" customHeight="1">
      <c r="A1450" s="8"/>
      <c r="B1450" s="8"/>
      <c r="C1450" s="8"/>
      <c r="D1450" s="8"/>
      <c r="E1450" s="8"/>
      <c r="F1450" s="8"/>
      <c r="G1450" s="8"/>
      <c r="H1450" s="8"/>
      <c r="I1450" s="8"/>
      <c r="J1450" s="8"/>
      <c r="K1450" s="8"/>
      <c r="L1450" s="8"/>
      <c r="M1450" s="8"/>
      <c r="N1450" s="8"/>
      <c r="O1450" s="8"/>
    </row>
    <row r="1451" ht="13.65" customHeight="1">
      <c r="A1451" s="8"/>
      <c r="B1451" s="8"/>
      <c r="C1451" s="8"/>
      <c r="D1451" s="8"/>
      <c r="E1451" s="8"/>
      <c r="F1451" s="8"/>
      <c r="G1451" s="8"/>
      <c r="H1451" s="8"/>
      <c r="I1451" s="8"/>
      <c r="J1451" s="8"/>
      <c r="K1451" s="8"/>
      <c r="L1451" s="8"/>
      <c r="M1451" s="8"/>
      <c r="N1451" s="8"/>
      <c r="O1451" s="8"/>
    </row>
    <row r="1452" ht="13.65" customHeight="1">
      <c r="A1452" s="8"/>
      <c r="B1452" s="8"/>
      <c r="C1452" s="8"/>
      <c r="D1452" s="8"/>
      <c r="E1452" s="8"/>
      <c r="F1452" s="8"/>
      <c r="G1452" s="8"/>
      <c r="H1452" s="8"/>
      <c r="I1452" s="8"/>
      <c r="J1452" s="8"/>
      <c r="K1452" s="8"/>
      <c r="L1452" s="8"/>
      <c r="M1452" s="8"/>
      <c r="N1452" s="8"/>
      <c r="O1452" s="8"/>
    </row>
    <row r="1453" ht="13.65" customHeight="1">
      <c r="A1453" s="8"/>
      <c r="B1453" s="8"/>
      <c r="C1453" s="8"/>
      <c r="D1453" s="8"/>
      <c r="E1453" s="8"/>
      <c r="F1453" s="8"/>
      <c r="G1453" s="8"/>
      <c r="H1453" s="8"/>
      <c r="I1453" s="8"/>
      <c r="J1453" s="8"/>
      <c r="K1453" s="8"/>
      <c r="L1453" s="8"/>
      <c r="M1453" s="8"/>
      <c r="N1453" s="8"/>
      <c r="O1453" s="8"/>
    </row>
    <row r="1454" ht="13.65" customHeight="1">
      <c r="A1454" s="8"/>
      <c r="B1454" s="8"/>
      <c r="C1454" s="8"/>
      <c r="D1454" s="8"/>
      <c r="E1454" s="8"/>
      <c r="F1454" s="8"/>
      <c r="G1454" s="8"/>
      <c r="H1454" s="8"/>
      <c r="I1454" s="8"/>
      <c r="J1454" s="8"/>
      <c r="K1454" s="8"/>
      <c r="L1454" s="8"/>
      <c r="M1454" s="8"/>
      <c r="N1454" s="8"/>
      <c r="O1454" s="8"/>
    </row>
    <row r="1455" ht="13.65" customHeight="1">
      <c r="A1455" s="8"/>
      <c r="B1455" s="8"/>
      <c r="C1455" s="8"/>
      <c r="D1455" s="8"/>
      <c r="E1455" s="8"/>
      <c r="F1455" s="8"/>
      <c r="G1455" s="8"/>
      <c r="H1455" s="8"/>
      <c r="I1455" s="8"/>
      <c r="J1455" s="8"/>
      <c r="K1455" s="8"/>
      <c r="L1455" s="8"/>
      <c r="M1455" s="8"/>
      <c r="N1455" s="8"/>
      <c r="O1455" s="8"/>
    </row>
    <row r="1456" ht="13.65" customHeight="1">
      <c r="A1456" s="8"/>
      <c r="B1456" s="8"/>
      <c r="C1456" s="8"/>
      <c r="D1456" s="8"/>
      <c r="E1456" s="8"/>
      <c r="F1456" s="8"/>
      <c r="G1456" s="8"/>
      <c r="H1456" s="8"/>
      <c r="I1456" s="8"/>
      <c r="J1456" s="8"/>
      <c r="K1456" s="8"/>
      <c r="L1456" s="8"/>
      <c r="M1456" s="8"/>
      <c r="N1456" s="8"/>
      <c r="O1456" s="8"/>
    </row>
    <row r="1457" ht="13.65" customHeight="1">
      <c r="A1457" s="8"/>
      <c r="B1457" s="8"/>
      <c r="C1457" s="8"/>
      <c r="D1457" s="8"/>
      <c r="E1457" s="8"/>
      <c r="F1457" s="8"/>
      <c r="G1457" s="8"/>
      <c r="H1457" s="8"/>
      <c r="I1457" s="8"/>
      <c r="J1457" s="8"/>
      <c r="K1457" s="8"/>
      <c r="L1457" s="8"/>
      <c r="M1457" s="8"/>
      <c r="N1457" s="8"/>
      <c r="O1457" s="8"/>
    </row>
    <row r="1458" ht="13.65" customHeight="1">
      <c r="A1458" s="8"/>
      <c r="B1458" s="8"/>
      <c r="C1458" s="8"/>
      <c r="D1458" s="8"/>
      <c r="E1458" s="8"/>
      <c r="F1458" s="8"/>
      <c r="G1458" s="8"/>
      <c r="H1458" s="8"/>
      <c r="I1458" s="8"/>
      <c r="J1458" s="8"/>
      <c r="K1458" s="8"/>
      <c r="L1458" s="8"/>
      <c r="M1458" s="8"/>
      <c r="N1458" s="8"/>
      <c r="O1458" s="8"/>
    </row>
    <row r="1459" ht="13.65" customHeight="1">
      <c r="A1459" s="8"/>
      <c r="B1459" s="8"/>
      <c r="C1459" s="8"/>
      <c r="D1459" s="8"/>
      <c r="E1459" s="8"/>
      <c r="F1459" s="8"/>
      <c r="G1459" s="8"/>
      <c r="H1459" s="8"/>
      <c r="I1459" s="8"/>
      <c r="J1459" s="8"/>
      <c r="K1459" s="8"/>
      <c r="L1459" s="8"/>
      <c r="M1459" s="8"/>
      <c r="N1459" s="8"/>
      <c r="O1459" s="8"/>
    </row>
    <row r="1460" ht="13.65" customHeight="1">
      <c r="A1460" s="8"/>
      <c r="B1460" s="8"/>
      <c r="C1460" s="8"/>
      <c r="D1460" s="8"/>
      <c r="E1460" s="8"/>
      <c r="F1460" s="8"/>
      <c r="G1460" s="8"/>
      <c r="H1460" s="8"/>
      <c r="I1460" s="8"/>
      <c r="J1460" s="8"/>
      <c r="K1460" s="8"/>
      <c r="L1460" s="8"/>
      <c r="M1460" s="8"/>
      <c r="N1460" s="8"/>
      <c r="O1460" s="8"/>
    </row>
    <row r="1461" ht="13.65" customHeight="1">
      <c r="A1461" s="8"/>
      <c r="B1461" s="8"/>
      <c r="C1461" s="8"/>
      <c r="D1461" s="8"/>
      <c r="E1461" s="8"/>
      <c r="F1461" s="8"/>
      <c r="G1461" s="8"/>
      <c r="H1461" s="8"/>
      <c r="I1461" s="8"/>
      <c r="J1461" s="8"/>
      <c r="K1461" s="8"/>
      <c r="L1461" s="8"/>
      <c r="M1461" s="8"/>
      <c r="N1461" s="8"/>
      <c r="O1461" s="8"/>
    </row>
    <row r="1462" ht="13.65" customHeight="1">
      <c r="A1462" s="8"/>
      <c r="B1462" s="8"/>
      <c r="C1462" s="8"/>
      <c r="D1462" s="8"/>
      <c r="E1462" s="8"/>
      <c r="F1462" s="8"/>
      <c r="G1462" s="8"/>
      <c r="H1462" s="8"/>
      <c r="I1462" s="8"/>
      <c r="J1462" s="8"/>
      <c r="K1462" s="8"/>
      <c r="L1462" s="8"/>
      <c r="M1462" s="8"/>
      <c r="N1462" s="8"/>
      <c r="O1462" s="8"/>
    </row>
    <row r="1463" ht="13.65" customHeight="1">
      <c r="A1463" s="8"/>
      <c r="B1463" s="8"/>
      <c r="C1463" s="8"/>
      <c r="D1463" s="8"/>
      <c r="E1463" s="8"/>
      <c r="F1463" s="8"/>
      <c r="G1463" s="8"/>
      <c r="H1463" s="8"/>
      <c r="I1463" s="8"/>
      <c r="J1463" s="8"/>
      <c r="K1463" s="8"/>
      <c r="L1463" s="8"/>
      <c r="M1463" s="8"/>
      <c r="N1463" s="8"/>
      <c r="O1463" s="8"/>
    </row>
    <row r="1464" ht="13.65" customHeight="1">
      <c r="A1464" s="8"/>
      <c r="B1464" s="8"/>
      <c r="C1464" s="8"/>
      <c r="D1464" s="8"/>
      <c r="E1464" s="8"/>
      <c r="F1464" s="8"/>
      <c r="G1464" s="8"/>
      <c r="H1464" s="8"/>
      <c r="I1464" s="8"/>
      <c r="J1464" s="8"/>
      <c r="K1464" s="8"/>
      <c r="L1464" s="8"/>
      <c r="M1464" s="8"/>
      <c r="N1464" s="8"/>
      <c r="O1464" s="8"/>
    </row>
    <row r="1465" ht="13.65" customHeight="1">
      <c r="A1465" s="8"/>
      <c r="B1465" s="8"/>
      <c r="C1465" s="8"/>
      <c r="D1465" s="8"/>
      <c r="E1465" s="8"/>
      <c r="F1465" s="8"/>
      <c r="G1465" s="8"/>
      <c r="H1465" s="8"/>
      <c r="I1465" s="8"/>
      <c r="J1465" s="8"/>
      <c r="K1465" s="8"/>
      <c r="L1465" s="8"/>
      <c r="M1465" s="8"/>
      <c r="N1465" s="8"/>
      <c r="O1465" s="8"/>
    </row>
    <row r="1466" ht="13.65" customHeight="1">
      <c r="A1466" s="8"/>
      <c r="B1466" s="8"/>
      <c r="C1466" s="8"/>
      <c r="D1466" s="8"/>
      <c r="E1466" s="8"/>
      <c r="F1466" s="8"/>
      <c r="G1466" s="8"/>
      <c r="H1466" s="8"/>
      <c r="I1466" s="8"/>
      <c r="J1466" s="8"/>
      <c r="K1466" s="8"/>
      <c r="L1466" s="8"/>
      <c r="M1466" s="8"/>
      <c r="N1466" s="8"/>
      <c r="O1466" s="8"/>
    </row>
    <row r="1467" ht="13.65" customHeight="1">
      <c r="A1467" s="8"/>
      <c r="B1467" s="8"/>
      <c r="C1467" s="8"/>
      <c r="D1467" s="8"/>
      <c r="E1467" s="8"/>
      <c r="F1467" s="8"/>
      <c r="G1467" s="8"/>
      <c r="H1467" s="8"/>
      <c r="I1467" s="8"/>
      <c r="J1467" s="8"/>
      <c r="K1467" s="8"/>
      <c r="L1467" s="8"/>
      <c r="M1467" s="8"/>
      <c r="N1467" s="8"/>
      <c r="O1467" s="8"/>
    </row>
    <row r="1468" ht="13.65" customHeight="1">
      <c r="A1468" s="8"/>
      <c r="B1468" s="8"/>
      <c r="C1468" s="8"/>
      <c r="D1468" s="8"/>
      <c r="E1468" s="8"/>
      <c r="F1468" s="8"/>
      <c r="G1468" s="8"/>
      <c r="H1468" s="8"/>
      <c r="I1468" s="8"/>
      <c r="J1468" s="8"/>
      <c r="K1468" s="8"/>
      <c r="L1468" s="8"/>
      <c r="M1468" s="8"/>
      <c r="N1468" s="8"/>
      <c r="O1468" s="8"/>
    </row>
    <row r="1469" ht="13.65" customHeight="1">
      <c r="A1469" s="8"/>
      <c r="B1469" s="8"/>
      <c r="C1469" s="8"/>
      <c r="D1469" s="8"/>
      <c r="E1469" s="8"/>
      <c r="F1469" s="8"/>
      <c r="G1469" s="8"/>
      <c r="H1469" s="8"/>
      <c r="I1469" s="8"/>
      <c r="J1469" s="8"/>
      <c r="K1469" s="8"/>
      <c r="L1469" s="8"/>
      <c r="M1469" s="8"/>
      <c r="N1469" s="8"/>
      <c r="O1469" s="8"/>
    </row>
    <row r="1470" ht="13.65" customHeight="1">
      <c r="A1470" s="8"/>
      <c r="B1470" s="8"/>
      <c r="C1470" s="8"/>
      <c r="D1470" s="8"/>
      <c r="E1470" s="8"/>
      <c r="F1470" s="8"/>
      <c r="G1470" s="8"/>
      <c r="H1470" s="8"/>
      <c r="I1470" s="8"/>
      <c r="J1470" s="8"/>
      <c r="K1470" s="8"/>
      <c r="L1470" s="8"/>
      <c r="M1470" s="8"/>
      <c r="N1470" s="8"/>
      <c r="O1470" s="8"/>
    </row>
    <row r="1471" ht="13.65" customHeight="1">
      <c r="A1471" s="8"/>
      <c r="B1471" s="8"/>
      <c r="C1471" s="8"/>
      <c r="D1471" s="8"/>
      <c r="E1471" s="8"/>
      <c r="F1471" s="8"/>
      <c r="G1471" s="8"/>
      <c r="H1471" s="8"/>
      <c r="I1471" s="8"/>
      <c r="J1471" s="8"/>
      <c r="K1471" s="8"/>
      <c r="L1471" s="8"/>
      <c r="M1471" s="8"/>
      <c r="N1471" s="8"/>
      <c r="O1471" s="8"/>
    </row>
    <row r="1472" ht="13.65" customHeight="1">
      <c r="A1472" s="8"/>
      <c r="B1472" s="8"/>
      <c r="C1472" s="8"/>
      <c r="D1472" s="8"/>
      <c r="E1472" s="8"/>
      <c r="F1472" s="8"/>
      <c r="G1472" s="8"/>
      <c r="H1472" s="8"/>
      <c r="I1472" s="8"/>
      <c r="J1472" s="8"/>
      <c r="K1472" s="8"/>
      <c r="L1472" s="8"/>
      <c r="M1472" s="8"/>
      <c r="N1472" s="8"/>
      <c r="O1472" s="8"/>
    </row>
    <row r="1473" ht="13.65" customHeight="1">
      <c r="A1473" s="8"/>
      <c r="B1473" s="8"/>
      <c r="C1473" s="8"/>
      <c r="D1473" s="8"/>
      <c r="E1473" s="8"/>
      <c r="F1473" s="8"/>
      <c r="G1473" s="8"/>
      <c r="H1473" s="8"/>
      <c r="I1473" s="8"/>
      <c r="J1473" s="8"/>
      <c r="K1473" s="8"/>
      <c r="L1473" s="8"/>
      <c r="M1473" s="8"/>
      <c r="N1473" s="8"/>
      <c r="O1473" s="8"/>
    </row>
    <row r="1474" ht="13.65" customHeight="1">
      <c r="A1474" s="8"/>
      <c r="B1474" s="8"/>
      <c r="C1474" s="8"/>
      <c r="D1474" s="8"/>
      <c r="E1474" s="8"/>
      <c r="F1474" s="8"/>
      <c r="G1474" s="8"/>
      <c r="H1474" s="8"/>
      <c r="I1474" s="8"/>
      <c r="J1474" s="8"/>
      <c r="K1474" s="8"/>
      <c r="L1474" s="8"/>
      <c r="M1474" s="8"/>
      <c r="N1474" s="8"/>
      <c r="O1474" s="8"/>
    </row>
    <row r="1475" ht="13.65" customHeight="1">
      <c r="A1475" s="8"/>
      <c r="B1475" s="8"/>
      <c r="C1475" s="8"/>
      <c r="D1475" s="8"/>
      <c r="E1475" s="8"/>
      <c r="F1475" s="8"/>
      <c r="G1475" s="8"/>
      <c r="H1475" s="8"/>
      <c r="I1475" s="8"/>
      <c r="J1475" s="8"/>
      <c r="K1475" s="8"/>
      <c r="L1475" s="8"/>
      <c r="M1475" s="8"/>
      <c r="N1475" s="8"/>
      <c r="O1475" s="8"/>
    </row>
    <row r="1476" ht="13.65" customHeight="1">
      <c r="A1476" s="8"/>
      <c r="B1476" s="8"/>
      <c r="C1476" s="8"/>
      <c r="D1476" s="8"/>
      <c r="E1476" s="8"/>
      <c r="F1476" s="8"/>
      <c r="G1476" s="8"/>
      <c r="H1476" s="8"/>
      <c r="I1476" s="8"/>
      <c r="J1476" s="8"/>
      <c r="K1476" s="8"/>
      <c r="L1476" s="8"/>
      <c r="M1476" s="8"/>
      <c r="N1476" s="8"/>
      <c r="O1476" s="8"/>
    </row>
    <row r="1477" ht="13.65" customHeight="1">
      <c r="A1477" s="8"/>
      <c r="B1477" s="8"/>
      <c r="C1477" s="8"/>
      <c r="D1477" s="8"/>
      <c r="E1477" s="8"/>
      <c r="F1477" s="8"/>
      <c r="G1477" s="8"/>
      <c r="H1477" s="8"/>
      <c r="I1477" s="8"/>
      <c r="J1477" s="8"/>
      <c r="K1477" s="8"/>
      <c r="L1477" s="8"/>
      <c r="M1477" s="8"/>
      <c r="N1477" s="8"/>
      <c r="O1477" s="8"/>
    </row>
    <row r="1478" ht="13.65" customHeight="1">
      <c r="A1478" s="8"/>
      <c r="B1478" s="8"/>
      <c r="C1478" s="8"/>
      <c r="D1478" s="8"/>
      <c r="E1478" s="8"/>
      <c r="F1478" s="8"/>
      <c r="G1478" s="8"/>
      <c r="H1478" s="8"/>
      <c r="I1478" s="8"/>
      <c r="J1478" s="8"/>
      <c r="K1478" s="8"/>
      <c r="L1478" s="8"/>
      <c r="M1478" s="8"/>
      <c r="N1478" s="8"/>
      <c r="O1478" s="8"/>
    </row>
    <row r="1479" ht="13.65" customHeight="1">
      <c r="A1479" s="8"/>
      <c r="B1479" s="8"/>
      <c r="C1479" s="8"/>
      <c r="D1479" s="8"/>
      <c r="E1479" s="8"/>
      <c r="F1479" s="8"/>
      <c r="G1479" s="8"/>
      <c r="H1479" s="8"/>
      <c r="I1479" s="8"/>
      <c r="J1479" s="8"/>
      <c r="K1479" s="8"/>
      <c r="L1479" s="8"/>
      <c r="M1479" s="8"/>
      <c r="N1479" s="8"/>
      <c r="O1479" s="8"/>
    </row>
    <row r="1480" ht="13.65" customHeight="1">
      <c r="A1480" s="8"/>
      <c r="B1480" s="8"/>
      <c r="C1480" s="8"/>
      <c r="D1480" s="8"/>
      <c r="E1480" s="8"/>
      <c r="F1480" s="8"/>
      <c r="G1480" s="8"/>
      <c r="H1480" s="8"/>
      <c r="I1480" s="8"/>
      <c r="J1480" s="8"/>
      <c r="K1480" s="8"/>
      <c r="L1480" s="8"/>
      <c r="M1480" s="8"/>
      <c r="N1480" s="8"/>
      <c r="O1480" s="8"/>
    </row>
    <row r="1481" ht="13.65" customHeight="1">
      <c r="A1481" s="8"/>
      <c r="B1481" s="8"/>
      <c r="C1481" s="8"/>
      <c r="D1481" s="8"/>
      <c r="E1481" s="8"/>
      <c r="F1481" s="8"/>
      <c r="G1481" s="8"/>
      <c r="H1481" s="8"/>
      <c r="I1481" s="8"/>
      <c r="J1481" s="8"/>
      <c r="K1481" s="8"/>
      <c r="L1481" s="8"/>
      <c r="M1481" s="8"/>
      <c r="N1481" s="8"/>
      <c r="O1481" s="8"/>
    </row>
    <row r="1482" ht="13.65" customHeight="1">
      <c r="A1482" s="8"/>
      <c r="B1482" s="8"/>
      <c r="C1482" s="8"/>
      <c r="D1482" s="8"/>
      <c r="E1482" s="8"/>
      <c r="F1482" s="8"/>
      <c r="G1482" s="8"/>
      <c r="H1482" s="8"/>
      <c r="I1482" s="8"/>
      <c r="J1482" s="8"/>
      <c r="K1482" s="8"/>
      <c r="L1482" s="8"/>
      <c r="M1482" s="8"/>
      <c r="N1482" s="8"/>
      <c r="O1482" s="8"/>
    </row>
    <row r="1483" ht="13.65" customHeight="1">
      <c r="A1483" s="8"/>
      <c r="B1483" s="8"/>
      <c r="C1483" s="8"/>
      <c r="D1483" s="8"/>
      <c r="E1483" s="8"/>
      <c r="F1483" s="8"/>
      <c r="G1483" s="8"/>
      <c r="H1483" s="8"/>
      <c r="I1483" s="8"/>
      <c r="J1483" s="8"/>
      <c r="K1483" s="8"/>
      <c r="L1483" s="8"/>
      <c r="M1483" s="8"/>
      <c r="N1483" s="8"/>
      <c r="O1483" s="8"/>
    </row>
    <row r="1484" ht="13.65" customHeight="1">
      <c r="A1484" s="8"/>
      <c r="B1484" s="8"/>
      <c r="C1484" s="8"/>
      <c r="D1484" s="8"/>
      <c r="E1484" s="8"/>
      <c r="F1484" s="8"/>
      <c r="G1484" s="8"/>
      <c r="H1484" s="8"/>
      <c r="I1484" s="8"/>
      <c r="J1484" s="8"/>
      <c r="K1484" s="8"/>
      <c r="L1484" s="8"/>
      <c r="M1484" s="8"/>
      <c r="N1484" s="8"/>
      <c r="O1484" s="8"/>
    </row>
    <row r="1485" ht="13.65" customHeight="1">
      <c r="A1485" s="8"/>
      <c r="B1485" s="8"/>
      <c r="C1485" s="8"/>
      <c r="D1485" s="8"/>
      <c r="E1485" s="8"/>
      <c r="F1485" s="8"/>
      <c r="G1485" s="8"/>
      <c r="H1485" s="8"/>
      <c r="I1485" s="8"/>
      <c r="J1485" s="8"/>
      <c r="K1485" s="8"/>
      <c r="L1485" s="8"/>
      <c r="M1485" s="8"/>
      <c r="N1485" s="8"/>
      <c r="O1485" s="8"/>
    </row>
    <row r="1486" ht="13.65" customHeight="1">
      <c r="A1486" s="8"/>
      <c r="B1486" s="8"/>
      <c r="C1486" s="8"/>
      <c r="D1486" s="8"/>
      <c r="E1486" s="8"/>
      <c r="F1486" s="8"/>
      <c r="G1486" s="8"/>
      <c r="H1486" s="8"/>
      <c r="I1486" s="8"/>
      <c r="J1486" s="8"/>
      <c r="K1486" s="8"/>
      <c r="L1486" s="8"/>
      <c r="M1486" s="8"/>
      <c r="N1486" s="8"/>
      <c r="O1486" s="8"/>
    </row>
    <row r="1487" ht="13.65" customHeight="1">
      <c r="A1487" s="8"/>
      <c r="B1487" s="8"/>
      <c r="C1487" s="8"/>
      <c r="D1487" s="8"/>
      <c r="E1487" s="8"/>
      <c r="F1487" s="8"/>
      <c r="G1487" s="8"/>
      <c r="H1487" s="8"/>
      <c r="I1487" s="8"/>
      <c r="J1487" s="8"/>
      <c r="K1487" s="8"/>
      <c r="L1487" s="8"/>
      <c r="M1487" s="8"/>
      <c r="N1487" s="8"/>
      <c r="O1487" s="8"/>
    </row>
    <row r="1488" ht="13.65" customHeight="1">
      <c r="A1488" s="8"/>
      <c r="B1488" s="8"/>
      <c r="C1488" s="8"/>
      <c r="D1488" s="8"/>
      <c r="E1488" s="8"/>
      <c r="F1488" s="8"/>
      <c r="G1488" s="8"/>
      <c r="H1488" s="8"/>
      <c r="I1488" s="8"/>
      <c r="J1488" s="8"/>
      <c r="K1488" s="8"/>
      <c r="L1488" s="8"/>
      <c r="M1488" s="8"/>
      <c r="N1488" s="8"/>
      <c r="O1488" s="8"/>
    </row>
    <row r="1489" ht="13.65" customHeight="1">
      <c r="A1489" s="8"/>
      <c r="B1489" s="8"/>
      <c r="C1489" s="8"/>
      <c r="D1489" s="8"/>
      <c r="E1489" s="8"/>
      <c r="F1489" s="8"/>
      <c r="G1489" s="8"/>
      <c r="H1489" s="8"/>
      <c r="I1489" s="8"/>
      <c r="J1489" s="8"/>
      <c r="K1489" s="8"/>
      <c r="L1489" s="8"/>
      <c r="M1489" s="8"/>
      <c r="N1489" s="8"/>
      <c r="O1489" s="8"/>
    </row>
    <row r="1490" ht="13.65" customHeight="1">
      <c r="A1490" s="8"/>
      <c r="B1490" s="8"/>
      <c r="C1490" s="8"/>
      <c r="D1490" s="8"/>
      <c r="E1490" s="8"/>
      <c r="F1490" s="8"/>
      <c r="G1490" s="8"/>
      <c r="H1490" s="8"/>
      <c r="I1490" s="8"/>
      <c r="J1490" s="8"/>
      <c r="K1490" s="8"/>
      <c r="L1490" s="8"/>
      <c r="M1490" s="8"/>
      <c r="N1490" s="8"/>
      <c r="O1490" s="8"/>
    </row>
    <row r="1491" ht="13.65" customHeight="1">
      <c r="A1491" s="8"/>
      <c r="B1491" s="8"/>
      <c r="C1491" s="8"/>
      <c r="D1491" s="8"/>
      <c r="E1491" s="8"/>
      <c r="F1491" s="8"/>
      <c r="G1491" s="8"/>
      <c r="H1491" s="8"/>
      <c r="I1491" s="8"/>
      <c r="J1491" s="8"/>
      <c r="K1491" s="8"/>
      <c r="L1491" s="8"/>
      <c r="M1491" s="8"/>
      <c r="N1491" s="8"/>
      <c r="O1491" s="8"/>
    </row>
    <row r="1492" ht="13.65" customHeight="1">
      <c r="A1492" s="8"/>
      <c r="B1492" s="8"/>
      <c r="C1492" s="8"/>
      <c r="D1492" s="8"/>
      <c r="E1492" s="8"/>
      <c r="F1492" s="8"/>
      <c r="G1492" s="8"/>
      <c r="H1492" s="8"/>
      <c r="I1492" s="8"/>
      <c r="J1492" s="8"/>
      <c r="K1492" s="8"/>
      <c r="L1492" s="8"/>
      <c r="M1492" s="8"/>
      <c r="N1492" s="8"/>
      <c r="O1492" s="8"/>
    </row>
    <row r="1493" ht="13.65" customHeight="1">
      <c r="A1493" s="8"/>
      <c r="B1493" s="8"/>
      <c r="C1493" s="8"/>
      <c r="D1493" s="8"/>
      <c r="E1493" s="8"/>
      <c r="F1493" s="8"/>
      <c r="G1493" s="8"/>
      <c r="H1493" s="8"/>
      <c r="I1493" s="8"/>
      <c r="J1493" s="8"/>
      <c r="K1493" s="8"/>
      <c r="L1493" s="8"/>
      <c r="M1493" s="8"/>
      <c r="N1493" s="8"/>
      <c r="O1493" s="8"/>
    </row>
    <row r="1494" ht="13.65" customHeight="1">
      <c r="A1494" s="8"/>
      <c r="B1494" s="8"/>
      <c r="C1494" s="8"/>
      <c r="D1494" s="8"/>
      <c r="E1494" s="8"/>
      <c r="F1494" s="8"/>
      <c r="G1494" s="8"/>
      <c r="H1494" s="8"/>
      <c r="I1494" s="8"/>
      <c r="J1494" s="8"/>
      <c r="K1494" s="8"/>
      <c r="L1494" s="8"/>
      <c r="M1494" s="8"/>
      <c r="N1494" s="8"/>
      <c r="O1494" s="8"/>
    </row>
    <row r="1495" ht="13.65" customHeight="1">
      <c r="A1495" s="8"/>
      <c r="B1495" s="8"/>
      <c r="C1495" s="8"/>
      <c r="D1495" s="8"/>
      <c r="E1495" s="8"/>
      <c r="F1495" s="8"/>
      <c r="G1495" s="8"/>
      <c r="H1495" s="8"/>
      <c r="I1495" s="8"/>
      <c r="J1495" s="8"/>
      <c r="K1495" s="8"/>
      <c r="L1495" s="8"/>
      <c r="M1495" s="8"/>
      <c r="N1495" s="8"/>
      <c r="O1495" s="8"/>
    </row>
    <row r="1496" ht="13.65" customHeight="1">
      <c r="A1496" s="8"/>
      <c r="B1496" s="8"/>
      <c r="C1496" s="8"/>
      <c r="D1496" s="8"/>
      <c r="E1496" s="8"/>
      <c r="F1496" s="8"/>
      <c r="G1496" s="8"/>
      <c r="H1496" s="8"/>
      <c r="I1496" s="8"/>
      <c r="J1496" s="8"/>
      <c r="K1496" s="8"/>
      <c r="L1496" s="8"/>
      <c r="M1496" s="8"/>
      <c r="N1496" s="8"/>
      <c r="O1496" s="8"/>
    </row>
    <row r="1497" ht="13.65" customHeight="1">
      <c r="A1497" s="8"/>
      <c r="B1497" s="8"/>
      <c r="C1497" s="8"/>
      <c r="D1497" s="8"/>
      <c r="E1497" s="8"/>
      <c r="F1497" s="8"/>
      <c r="G1497" s="8"/>
      <c r="H1497" s="8"/>
      <c r="I1497" s="8"/>
      <c r="J1497" s="8"/>
      <c r="K1497" s="8"/>
      <c r="L1497" s="8"/>
      <c r="M1497" s="8"/>
      <c r="N1497" s="8"/>
      <c r="O1497" s="8"/>
    </row>
    <row r="1498" ht="13.65" customHeight="1">
      <c r="A1498" s="8"/>
      <c r="B1498" s="8"/>
      <c r="C1498" s="8"/>
      <c r="D1498" s="8"/>
      <c r="E1498" s="8"/>
      <c r="F1498" s="8"/>
      <c r="G1498" s="8"/>
      <c r="H1498" s="8"/>
      <c r="I1498" s="8"/>
      <c r="J1498" s="8"/>
      <c r="K1498" s="8"/>
      <c r="L1498" s="8"/>
      <c r="M1498" s="8"/>
      <c r="N1498" s="8"/>
      <c r="O1498" s="8"/>
    </row>
    <row r="1499" ht="13.65" customHeight="1">
      <c r="A1499" s="8"/>
      <c r="B1499" s="8"/>
      <c r="C1499" s="8"/>
      <c r="D1499" s="8"/>
      <c r="E1499" s="8"/>
      <c r="F1499" s="8"/>
      <c r="G1499" s="8"/>
      <c r="H1499" s="8"/>
      <c r="I1499" s="8"/>
      <c r="J1499" s="8"/>
      <c r="K1499" s="8"/>
      <c r="L1499" s="8"/>
      <c r="M1499" s="8"/>
      <c r="N1499" s="8"/>
      <c r="O1499" s="8"/>
    </row>
    <row r="1500" ht="13.65" customHeight="1">
      <c r="A1500" s="8"/>
      <c r="B1500" s="8"/>
      <c r="C1500" s="8"/>
      <c r="D1500" s="8"/>
      <c r="E1500" s="8"/>
      <c r="F1500" s="8"/>
      <c r="G1500" s="8"/>
      <c r="H1500" s="8"/>
      <c r="I1500" s="8"/>
      <c r="J1500" s="8"/>
      <c r="K1500" s="8"/>
      <c r="L1500" s="8"/>
      <c r="M1500" s="8"/>
      <c r="N1500" s="8"/>
      <c r="O1500" s="8"/>
    </row>
    <row r="1501" ht="13.65" customHeight="1">
      <c r="A1501" s="8"/>
      <c r="B1501" s="8"/>
      <c r="C1501" s="8"/>
      <c r="D1501" s="8"/>
      <c r="E1501" s="8"/>
      <c r="F1501" s="8"/>
      <c r="G1501" s="8"/>
      <c r="H1501" s="8"/>
      <c r="I1501" s="8"/>
      <c r="J1501" s="8"/>
      <c r="K1501" s="8"/>
      <c r="L1501" s="8"/>
      <c r="M1501" s="8"/>
      <c r="N1501" s="8"/>
      <c r="O1501" s="8"/>
    </row>
    <row r="1502" ht="13.65" customHeight="1">
      <c r="A1502" s="8"/>
      <c r="B1502" s="8"/>
      <c r="C1502" s="8"/>
      <c r="D1502" s="8"/>
      <c r="E1502" s="8"/>
      <c r="F1502" s="8"/>
      <c r="G1502" s="8"/>
      <c r="H1502" s="8"/>
      <c r="I1502" s="8"/>
      <c r="J1502" s="8"/>
      <c r="K1502" s="8"/>
      <c r="L1502" s="8"/>
      <c r="M1502" s="8"/>
      <c r="N1502" s="8"/>
      <c r="O1502" s="8"/>
    </row>
    <row r="1503" ht="13.65" customHeight="1">
      <c r="A1503" s="8"/>
      <c r="B1503" s="8"/>
      <c r="C1503" s="8"/>
      <c r="D1503" s="8"/>
      <c r="E1503" s="8"/>
      <c r="F1503" s="8"/>
      <c r="G1503" s="8"/>
      <c r="H1503" s="8"/>
      <c r="I1503" s="8"/>
      <c r="J1503" s="8"/>
      <c r="K1503" s="8"/>
      <c r="L1503" s="8"/>
      <c r="M1503" s="8"/>
      <c r="N1503" s="8"/>
      <c r="O1503" s="8"/>
    </row>
    <row r="1504" ht="13.65" customHeight="1">
      <c r="A1504" s="8"/>
      <c r="B1504" s="8"/>
      <c r="C1504" s="8"/>
      <c r="D1504" s="8"/>
      <c r="E1504" s="8"/>
      <c r="F1504" s="8"/>
      <c r="G1504" s="8"/>
      <c r="H1504" s="8"/>
      <c r="I1504" s="8"/>
      <c r="J1504" s="8"/>
      <c r="K1504" s="8"/>
      <c r="L1504" s="8"/>
      <c r="M1504" s="8"/>
      <c r="N1504" s="8"/>
      <c r="O1504" s="8"/>
    </row>
    <row r="1505" ht="13.65" customHeight="1">
      <c r="A1505" s="8"/>
      <c r="B1505" s="8"/>
      <c r="C1505" s="8"/>
      <c r="D1505" s="8"/>
      <c r="E1505" s="8"/>
      <c r="F1505" s="8"/>
      <c r="G1505" s="8"/>
      <c r="H1505" s="8"/>
      <c r="I1505" s="8"/>
      <c r="J1505" s="8"/>
      <c r="K1505" s="8"/>
      <c r="L1505" s="8"/>
      <c r="M1505" s="8"/>
      <c r="N1505" s="8"/>
      <c r="O1505" s="8"/>
    </row>
    <row r="1506" ht="13.65" customHeight="1">
      <c r="A1506" s="8"/>
      <c r="B1506" s="8"/>
      <c r="C1506" s="8"/>
      <c r="D1506" s="8"/>
      <c r="E1506" s="8"/>
      <c r="F1506" s="8"/>
      <c r="G1506" s="8"/>
      <c r="H1506" s="8"/>
      <c r="I1506" s="8"/>
      <c r="J1506" s="8"/>
      <c r="K1506" s="8"/>
      <c r="L1506" s="8"/>
      <c r="M1506" s="8"/>
      <c r="N1506" s="8"/>
      <c r="O1506" s="8"/>
    </row>
    <row r="1507" ht="13.65" customHeight="1">
      <c r="A1507" s="8"/>
      <c r="B1507" s="8"/>
      <c r="C1507" s="8"/>
      <c r="D1507" s="8"/>
      <c r="E1507" s="8"/>
      <c r="F1507" s="8"/>
      <c r="G1507" s="8"/>
      <c r="H1507" s="8"/>
      <c r="I1507" s="8"/>
      <c r="J1507" s="8"/>
      <c r="K1507" s="8"/>
      <c r="L1507" s="8"/>
      <c r="M1507" s="8"/>
      <c r="N1507" s="8"/>
      <c r="O1507" s="8"/>
    </row>
    <row r="1508" ht="13.65" customHeight="1">
      <c r="A1508" s="8"/>
      <c r="B1508" s="8"/>
      <c r="C1508" s="8"/>
      <c r="D1508" s="8"/>
      <c r="E1508" s="8"/>
      <c r="F1508" s="8"/>
      <c r="G1508" s="8"/>
      <c r="H1508" s="8"/>
      <c r="I1508" s="8"/>
      <c r="J1508" s="8"/>
      <c r="K1508" s="8"/>
      <c r="L1508" s="8"/>
      <c r="M1508" s="8"/>
      <c r="N1508" s="8"/>
      <c r="O1508" s="8"/>
    </row>
    <row r="1509" ht="13.65" customHeight="1">
      <c r="A1509" s="8"/>
      <c r="B1509" s="8"/>
      <c r="C1509" s="8"/>
      <c r="D1509" s="8"/>
      <c r="E1509" s="8"/>
      <c r="F1509" s="8"/>
      <c r="G1509" s="8"/>
      <c r="H1509" s="8"/>
      <c r="I1509" s="8"/>
      <c r="J1509" s="8"/>
      <c r="K1509" s="8"/>
      <c r="L1509" s="8"/>
      <c r="M1509" s="8"/>
      <c r="N1509" s="8"/>
      <c r="O1509" s="8"/>
    </row>
    <row r="1510" ht="13.65" customHeight="1">
      <c r="A1510" s="8"/>
      <c r="B1510" s="8"/>
      <c r="C1510" s="8"/>
      <c r="D1510" s="8"/>
      <c r="E1510" s="8"/>
      <c r="F1510" s="8"/>
      <c r="G1510" s="8"/>
      <c r="H1510" s="8"/>
      <c r="I1510" s="8"/>
      <c r="J1510" s="8"/>
      <c r="K1510" s="8"/>
      <c r="L1510" s="8"/>
      <c r="M1510" s="8"/>
      <c r="N1510" s="8"/>
      <c r="O1510" s="8"/>
    </row>
    <row r="1511" ht="13.65" customHeight="1">
      <c r="A1511" s="8"/>
      <c r="B1511" s="8"/>
      <c r="C1511" s="8"/>
      <c r="D1511" s="8"/>
      <c r="E1511" s="8"/>
      <c r="F1511" s="8"/>
      <c r="G1511" s="8"/>
      <c r="H1511" s="8"/>
      <c r="I1511" s="8"/>
      <c r="J1511" s="8"/>
      <c r="K1511" s="8"/>
      <c r="L1511" s="8"/>
      <c r="M1511" s="8"/>
      <c r="N1511" s="8"/>
      <c r="O1511" s="8"/>
    </row>
    <row r="1512" ht="13.65" customHeight="1">
      <c r="A1512" s="8"/>
      <c r="B1512" s="8"/>
      <c r="C1512" s="8"/>
      <c r="D1512" s="8"/>
      <c r="E1512" s="8"/>
      <c r="F1512" s="8"/>
      <c r="G1512" s="8"/>
      <c r="H1512" s="8"/>
      <c r="I1512" s="8"/>
      <c r="J1512" s="8"/>
      <c r="K1512" s="8"/>
      <c r="L1512" s="8"/>
      <c r="M1512" s="8"/>
      <c r="N1512" s="8"/>
      <c r="O1512" s="8"/>
    </row>
    <row r="1513" ht="13.65" customHeight="1">
      <c r="A1513" s="8"/>
      <c r="B1513" s="8"/>
      <c r="C1513" s="8"/>
      <c r="D1513" s="8"/>
      <c r="E1513" s="8"/>
      <c r="F1513" s="8"/>
      <c r="G1513" s="8"/>
      <c r="H1513" s="8"/>
      <c r="I1513" s="8"/>
      <c r="J1513" s="8"/>
      <c r="K1513" s="8"/>
      <c r="L1513" s="8"/>
      <c r="M1513" s="8"/>
      <c r="N1513" s="8"/>
      <c r="O1513" s="8"/>
    </row>
    <row r="1514" ht="13.65" customHeight="1">
      <c r="A1514" s="8"/>
      <c r="B1514" s="8"/>
      <c r="C1514" s="8"/>
      <c r="D1514" s="8"/>
      <c r="E1514" s="8"/>
      <c r="F1514" s="8"/>
      <c r="G1514" s="8"/>
      <c r="H1514" s="8"/>
      <c r="I1514" s="8"/>
      <c r="J1514" s="8"/>
      <c r="K1514" s="8"/>
      <c r="L1514" s="8"/>
      <c r="M1514" s="8"/>
      <c r="N1514" s="8"/>
      <c r="O1514" s="8"/>
    </row>
    <row r="1515" ht="13.65" customHeight="1">
      <c r="A1515" s="8"/>
      <c r="B1515" s="8"/>
      <c r="C1515" s="8"/>
      <c r="D1515" s="8"/>
      <c r="E1515" s="8"/>
      <c r="F1515" s="8"/>
      <c r="G1515" s="8"/>
      <c r="H1515" s="8"/>
      <c r="I1515" s="8"/>
      <c r="J1515" s="8"/>
      <c r="K1515" s="8"/>
      <c r="L1515" s="8"/>
      <c r="M1515" s="8"/>
      <c r="N1515" s="8"/>
      <c r="O1515" s="8"/>
    </row>
    <row r="1516" ht="13.65" customHeight="1">
      <c r="A1516" s="8"/>
      <c r="B1516" s="8"/>
      <c r="C1516" s="8"/>
      <c r="D1516" s="8"/>
      <c r="E1516" s="8"/>
      <c r="F1516" s="8"/>
      <c r="G1516" s="8"/>
      <c r="H1516" s="8"/>
      <c r="I1516" s="8"/>
      <c r="J1516" s="8"/>
      <c r="K1516" s="8"/>
      <c r="L1516" s="8"/>
      <c r="M1516" s="8"/>
      <c r="N1516" s="8"/>
      <c r="O1516" s="8"/>
    </row>
    <row r="1517" ht="13.65" customHeight="1">
      <c r="A1517" s="8"/>
      <c r="B1517" s="8"/>
      <c r="C1517" s="8"/>
      <c r="D1517" s="8"/>
      <c r="E1517" s="8"/>
      <c r="F1517" s="8"/>
      <c r="G1517" s="8"/>
      <c r="H1517" s="8"/>
      <c r="I1517" s="8"/>
      <c r="J1517" s="8"/>
      <c r="K1517" s="8"/>
      <c r="L1517" s="8"/>
      <c r="M1517" s="8"/>
      <c r="N1517" s="8"/>
      <c r="O1517" s="8"/>
    </row>
    <row r="1518" ht="13.65" customHeight="1">
      <c r="A1518" s="8"/>
      <c r="B1518" s="8"/>
      <c r="C1518" s="8"/>
      <c r="D1518" s="8"/>
      <c r="E1518" s="8"/>
      <c r="F1518" s="8"/>
      <c r="G1518" s="8"/>
      <c r="H1518" s="8"/>
      <c r="I1518" s="8"/>
      <c r="J1518" s="8"/>
      <c r="K1518" s="8"/>
      <c r="L1518" s="8"/>
      <c r="M1518" s="8"/>
      <c r="N1518" s="8"/>
      <c r="O1518" s="8"/>
    </row>
    <row r="1519" ht="13.65" customHeight="1">
      <c r="A1519" s="8"/>
      <c r="B1519" s="8"/>
      <c r="C1519" s="8"/>
      <c r="D1519" s="8"/>
      <c r="E1519" s="8"/>
      <c r="F1519" s="8"/>
      <c r="G1519" s="8"/>
      <c r="H1519" s="8"/>
      <c r="I1519" s="8"/>
      <c r="J1519" s="8"/>
      <c r="K1519" s="8"/>
      <c r="L1519" s="8"/>
      <c r="M1519" s="8"/>
      <c r="N1519" s="8"/>
      <c r="O1519" s="8"/>
    </row>
    <row r="1520" ht="13.65" customHeight="1">
      <c r="A1520" s="8"/>
      <c r="B1520" s="8"/>
      <c r="C1520" s="8"/>
      <c r="D1520" s="8"/>
      <c r="E1520" s="8"/>
      <c r="F1520" s="8"/>
      <c r="G1520" s="8"/>
      <c r="H1520" s="8"/>
      <c r="I1520" s="8"/>
      <c r="J1520" s="8"/>
      <c r="K1520" s="8"/>
      <c r="L1520" s="8"/>
      <c r="M1520" s="8"/>
      <c r="N1520" s="8"/>
      <c r="O1520" s="8"/>
    </row>
    <row r="1521" ht="13.65" customHeight="1">
      <c r="A1521" s="8"/>
      <c r="B1521" s="8"/>
      <c r="C1521" s="8"/>
      <c r="D1521" s="8"/>
      <c r="E1521" s="8"/>
      <c r="F1521" s="8"/>
      <c r="G1521" s="8"/>
      <c r="H1521" s="8"/>
      <c r="I1521" s="8"/>
      <c r="J1521" s="8"/>
      <c r="K1521" s="8"/>
      <c r="L1521" s="8"/>
      <c r="M1521" s="8"/>
      <c r="N1521" s="8"/>
      <c r="O1521" s="8"/>
    </row>
    <row r="1522" ht="13.65" customHeight="1">
      <c r="A1522" s="8"/>
      <c r="B1522" s="8"/>
      <c r="C1522" s="8"/>
      <c r="D1522" s="8"/>
      <c r="E1522" s="8"/>
      <c r="F1522" s="8"/>
      <c r="G1522" s="8"/>
      <c r="H1522" s="8"/>
      <c r="I1522" s="8"/>
      <c r="J1522" s="8"/>
      <c r="K1522" s="8"/>
      <c r="L1522" s="8"/>
      <c r="M1522" s="8"/>
      <c r="N1522" s="8"/>
      <c r="O1522" s="8"/>
    </row>
    <row r="1523" ht="13.65" customHeight="1">
      <c r="A1523" s="8"/>
      <c r="B1523" s="8"/>
      <c r="C1523" s="8"/>
      <c r="D1523" s="8"/>
      <c r="E1523" s="8"/>
      <c r="F1523" s="8"/>
      <c r="G1523" s="8"/>
      <c r="H1523" s="8"/>
      <c r="I1523" s="8"/>
      <c r="J1523" s="8"/>
      <c r="K1523" s="8"/>
      <c r="L1523" s="8"/>
      <c r="M1523" s="8"/>
      <c r="N1523" s="8"/>
      <c r="O1523" s="8"/>
    </row>
    <row r="1524" ht="13.65" customHeight="1">
      <c r="A1524" s="8"/>
      <c r="B1524" s="8"/>
      <c r="C1524" s="8"/>
      <c r="D1524" s="8"/>
      <c r="E1524" s="8"/>
      <c r="F1524" s="8"/>
      <c r="G1524" s="8"/>
      <c r="H1524" s="8"/>
      <c r="I1524" s="8"/>
      <c r="J1524" s="8"/>
      <c r="K1524" s="8"/>
      <c r="L1524" s="8"/>
      <c r="M1524" s="8"/>
      <c r="N1524" s="8"/>
      <c r="O1524" s="8"/>
    </row>
    <row r="1525" ht="13.65" customHeight="1">
      <c r="A1525" s="8"/>
      <c r="B1525" s="8"/>
      <c r="C1525" s="8"/>
      <c r="D1525" s="8"/>
      <c r="E1525" s="8"/>
      <c r="F1525" s="8"/>
      <c r="G1525" s="8"/>
      <c r="H1525" s="8"/>
      <c r="I1525" s="8"/>
      <c r="J1525" s="8"/>
      <c r="K1525" s="8"/>
      <c r="L1525" s="8"/>
      <c r="M1525" s="8"/>
      <c r="N1525" s="8"/>
      <c r="O1525" s="8"/>
    </row>
    <row r="1526" ht="13.65" customHeight="1">
      <c r="A1526" s="8"/>
      <c r="B1526" s="8"/>
      <c r="C1526" s="8"/>
      <c r="D1526" s="8"/>
      <c r="E1526" s="8"/>
      <c r="F1526" s="8"/>
      <c r="G1526" s="8"/>
      <c r="H1526" s="8"/>
      <c r="I1526" s="8"/>
      <c r="J1526" s="8"/>
      <c r="K1526" s="8"/>
      <c r="L1526" s="8"/>
      <c r="M1526" s="8"/>
      <c r="N1526" s="8"/>
      <c r="O1526" s="8"/>
    </row>
    <row r="1527" ht="13.65" customHeight="1">
      <c r="A1527" s="8"/>
      <c r="B1527" s="8"/>
      <c r="C1527" s="8"/>
      <c r="D1527" s="8"/>
      <c r="E1527" s="8"/>
      <c r="F1527" s="8"/>
      <c r="G1527" s="8"/>
      <c r="H1527" s="8"/>
      <c r="I1527" s="8"/>
      <c r="J1527" s="8"/>
      <c r="K1527" s="8"/>
      <c r="L1527" s="8"/>
      <c r="M1527" s="8"/>
      <c r="N1527" s="8"/>
      <c r="O1527" s="8"/>
    </row>
    <row r="1528" ht="13.65" customHeight="1">
      <c r="A1528" s="8"/>
      <c r="B1528" s="8"/>
      <c r="C1528" s="8"/>
      <c r="D1528" s="8"/>
      <c r="E1528" s="8"/>
      <c r="F1528" s="8"/>
      <c r="G1528" s="8"/>
      <c r="H1528" s="8"/>
      <c r="I1528" s="8"/>
      <c r="J1528" s="8"/>
      <c r="K1528" s="8"/>
      <c r="L1528" s="8"/>
      <c r="M1528" s="8"/>
      <c r="N1528" s="8"/>
      <c r="O1528" s="8"/>
    </row>
    <row r="1529" ht="13.65" customHeight="1">
      <c r="A1529" s="8"/>
      <c r="B1529" s="8"/>
      <c r="C1529" s="8"/>
      <c r="D1529" s="8"/>
      <c r="E1529" s="8"/>
      <c r="F1529" s="8"/>
      <c r="G1529" s="8"/>
      <c r="H1529" s="8"/>
      <c r="I1529" s="8"/>
      <c r="J1529" s="8"/>
      <c r="K1529" s="8"/>
      <c r="L1529" s="8"/>
      <c r="M1529" s="8"/>
      <c r="N1529" s="8"/>
      <c r="O1529" s="8"/>
    </row>
    <row r="1530" ht="13.65" customHeight="1">
      <c r="A1530" s="8"/>
      <c r="B1530" s="8"/>
      <c r="C1530" s="8"/>
      <c r="D1530" s="8"/>
      <c r="E1530" s="8"/>
      <c r="F1530" s="8"/>
      <c r="G1530" s="8"/>
      <c r="H1530" s="8"/>
      <c r="I1530" s="8"/>
      <c r="J1530" s="8"/>
      <c r="K1530" s="8"/>
      <c r="L1530" s="8"/>
      <c r="M1530" s="8"/>
      <c r="N1530" s="8"/>
      <c r="O1530" s="8"/>
    </row>
    <row r="1531" ht="13.65" customHeight="1">
      <c r="A1531" s="8"/>
      <c r="B1531" s="8"/>
      <c r="C1531" s="8"/>
      <c r="D1531" s="8"/>
      <c r="E1531" s="8"/>
      <c r="F1531" s="8"/>
      <c r="G1531" s="8"/>
      <c r="H1531" s="8"/>
      <c r="I1531" s="8"/>
      <c r="J1531" s="8"/>
      <c r="K1531" s="8"/>
      <c r="L1531" s="8"/>
      <c r="M1531" s="8"/>
      <c r="N1531" s="8"/>
      <c r="O1531" s="8"/>
    </row>
    <row r="1532" ht="13.65" customHeight="1">
      <c r="A1532" s="8"/>
      <c r="B1532" s="8"/>
      <c r="C1532" s="8"/>
      <c r="D1532" s="8"/>
      <c r="E1532" s="8"/>
      <c r="F1532" s="8"/>
      <c r="G1532" s="8"/>
      <c r="H1532" s="8"/>
      <c r="I1532" s="8"/>
      <c r="J1532" s="8"/>
      <c r="K1532" s="8"/>
      <c r="L1532" s="8"/>
      <c r="M1532" s="8"/>
      <c r="N1532" s="8"/>
      <c r="O1532" s="8"/>
    </row>
    <row r="1533" ht="13.65" customHeight="1">
      <c r="A1533" s="8"/>
      <c r="B1533" s="8"/>
      <c r="C1533" s="8"/>
      <c r="D1533" s="8"/>
      <c r="E1533" s="8"/>
      <c r="F1533" s="8"/>
      <c r="G1533" s="8"/>
      <c r="H1533" s="8"/>
      <c r="I1533" s="8"/>
      <c r="J1533" s="8"/>
      <c r="K1533" s="8"/>
      <c r="L1533" s="8"/>
      <c r="M1533" s="8"/>
      <c r="N1533" s="8"/>
      <c r="O1533" s="8"/>
    </row>
    <row r="1534" ht="13.65" customHeight="1">
      <c r="A1534" s="8"/>
      <c r="B1534" s="8"/>
      <c r="C1534" s="8"/>
      <c r="D1534" s="8"/>
      <c r="E1534" s="8"/>
      <c r="F1534" s="8"/>
      <c r="G1534" s="8"/>
      <c r="H1534" s="8"/>
      <c r="I1534" s="8"/>
      <c r="J1534" s="8"/>
      <c r="K1534" s="8"/>
      <c r="L1534" s="8"/>
      <c r="M1534" s="8"/>
      <c r="N1534" s="8"/>
      <c r="O1534" s="8"/>
    </row>
    <row r="1535" ht="13.65" customHeight="1">
      <c r="A1535" s="8"/>
      <c r="B1535" s="8"/>
      <c r="C1535" s="8"/>
      <c r="D1535" s="8"/>
      <c r="E1535" s="8"/>
      <c r="F1535" s="8"/>
      <c r="G1535" s="8"/>
      <c r="H1535" s="8"/>
      <c r="I1535" s="8"/>
      <c r="J1535" s="8"/>
      <c r="K1535" s="8"/>
      <c r="L1535" s="8"/>
      <c r="M1535" s="8"/>
      <c r="N1535" s="8"/>
      <c r="O1535" s="8"/>
    </row>
    <row r="1536" ht="13.65" customHeight="1">
      <c r="A1536" s="8"/>
      <c r="B1536" s="8"/>
      <c r="C1536" s="8"/>
      <c r="D1536" s="8"/>
      <c r="E1536" s="8"/>
      <c r="F1536" s="8"/>
      <c r="G1536" s="8"/>
      <c r="H1536" s="8"/>
      <c r="I1536" s="8"/>
      <c r="J1536" s="8"/>
      <c r="K1536" s="8"/>
      <c r="L1536" s="8"/>
      <c r="M1536" s="8"/>
      <c r="N1536" s="8"/>
      <c r="O1536" s="8"/>
    </row>
    <row r="1537" ht="13.65" customHeight="1">
      <c r="A1537" s="8"/>
      <c r="B1537" s="8"/>
      <c r="C1537" s="8"/>
      <c r="D1537" s="8"/>
      <c r="E1537" s="8"/>
      <c r="F1537" s="8"/>
      <c r="G1537" s="8"/>
      <c r="H1537" s="8"/>
      <c r="I1537" s="8"/>
      <c r="J1537" s="8"/>
      <c r="K1537" s="8"/>
      <c r="L1537" s="8"/>
      <c r="M1537" s="8"/>
      <c r="N1537" s="8"/>
      <c r="O1537" s="8"/>
    </row>
    <row r="1538" ht="13.65" customHeight="1">
      <c r="A1538" s="8"/>
      <c r="B1538" s="8"/>
      <c r="C1538" s="8"/>
      <c r="D1538" s="8"/>
      <c r="E1538" s="8"/>
      <c r="F1538" s="8"/>
      <c r="G1538" s="8"/>
      <c r="H1538" s="8"/>
      <c r="I1538" s="8"/>
      <c r="J1538" s="8"/>
      <c r="K1538" s="8"/>
      <c r="L1538" s="8"/>
      <c r="M1538" s="8"/>
      <c r="N1538" s="8"/>
      <c r="O1538" s="8"/>
    </row>
    <row r="1539" ht="13.65" customHeight="1">
      <c r="A1539" s="8"/>
      <c r="B1539" s="8"/>
      <c r="C1539" s="8"/>
      <c r="D1539" s="8"/>
      <c r="E1539" s="8"/>
      <c r="F1539" s="8"/>
      <c r="G1539" s="8"/>
      <c r="H1539" s="8"/>
      <c r="I1539" s="8"/>
      <c r="J1539" s="8"/>
      <c r="K1539" s="8"/>
      <c r="L1539" s="8"/>
      <c r="M1539" s="8"/>
      <c r="N1539" s="8"/>
      <c r="O1539" s="8"/>
    </row>
    <row r="1540" ht="13.65" customHeight="1">
      <c r="A1540" s="8"/>
      <c r="B1540" s="8"/>
      <c r="C1540" s="8"/>
      <c r="D1540" s="8"/>
      <c r="E1540" s="8"/>
      <c r="F1540" s="8"/>
      <c r="G1540" s="8"/>
      <c r="H1540" s="8"/>
      <c r="I1540" s="8"/>
      <c r="J1540" s="8"/>
      <c r="K1540" s="8"/>
      <c r="L1540" s="8"/>
      <c r="M1540" s="8"/>
      <c r="N1540" s="8"/>
      <c r="O1540" s="8"/>
    </row>
    <row r="1541" ht="13.65" customHeight="1">
      <c r="A1541" s="8"/>
      <c r="B1541" s="8"/>
      <c r="C1541" s="8"/>
      <c r="D1541" s="8"/>
      <c r="E1541" s="8"/>
      <c r="F1541" s="8"/>
      <c r="G1541" s="8"/>
      <c r="H1541" s="8"/>
      <c r="I1541" s="8"/>
      <c r="J1541" s="8"/>
      <c r="K1541" s="8"/>
      <c r="L1541" s="8"/>
      <c r="M1541" s="8"/>
      <c r="N1541" s="8"/>
      <c r="O1541" s="8"/>
    </row>
    <row r="1542" ht="13.65" customHeight="1">
      <c r="A1542" s="8"/>
      <c r="B1542" s="8"/>
      <c r="C1542" s="8"/>
      <c r="D1542" s="8"/>
      <c r="E1542" s="8"/>
      <c r="F1542" s="8"/>
      <c r="G1542" s="8"/>
      <c r="H1542" s="8"/>
      <c r="I1542" s="8"/>
      <c r="J1542" s="8"/>
      <c r="K1542" s="8"/>
      <c r="L1542" s="8"/>
      <c r="M1542" s="8"/>
      <c r="N1542" s="8"/>
      <c r="O1542" s="8"/>
    </row>
    <row r="1543" ht="13.65" customHeight="1">
      <c r="A1543" s="8"/>
      <c r="B1543" s="8"/>
      <c r="C1543" s="8"/>
      <c r="D1543" s="8"/>
      <c r="E1543" s="8"/>
      <c r="F1543" s="8"/>
      <c r="G1543" s="8"/>
      <c r="H1543" s="8"/>
      <c r="I1543" s="8"/>
      <c r="J1543" s="8"/>
      <c r="K1543" s="8"/>
      <c r="L1543" s="8"/>
      <c r="M1543" s="8"/>
      <c r="N1543" s="8"/>
      <c r="O1543" s="8"/>
    </row>
    <row r="1544" ht="13.65" customHeight="1">
      <c r="A1544" s="8"/>
      <c r="B1544" s="8"/>
      <c r="C1544" s="8"/>
      <c r="D1544" s="8"/>
      <c r="E1544" s="8"/>
      <c r="F1544" s="8"/>
      <c r="G1544" s="8"/>
      <c r="H1544" s="8"/>
      <c r="I1544" s="8"/>
      <c r="J1544" s="8"/>
      <c r="K1544" s="8"/>
      <c r="L1544" s="8"/>
      <c r="M1544" s="8"/>
      <c r="N1544" s="8"/>
      <c r="O1544" s="8"/>
    </row>
    <row r="1545" ht="13.65" customHeight="1">
      <c r="A1545" s="8"/>
      <c r="B1545" s="8"/>
      <c r="C1545" s="8"/>
      <c r="D1545" s="8"/>
      <c r="E1545" s="8"/>
      <c r="F1545" s="8"/>
      <c r="G1545" s="8"/>
      <c r="H1545" s="8"/>
      <c r="I1545" s="8"/>
      <c r="J1545" s="8"/>
      <c r="K1545" s="8"/>
      <c r="L1545" s="8"/>
      <c r="M1545" s="8"/>
      <c r="N1545" s="8"/>
      <c r="O1545" s="8"/>
    </row>
    <row r="1546" ht="13.65" customHeight="1">
      <c r="A1546" s="8"/>
      <c r="B1546" s="8"/>
      <c r="C1546" s="8"/>
      <c r="D1546" s="8"/>
      <c r="E1546" s="8"/>
      <c r="F1546" s="8"/>
      <c r="G1546" s="8"/>
      <c r="H1546" s="8"/>
      <c r="I1546" s="8"/>
      <c r="J1546" s="8"/>
      <c r="K1546" s="8"/>
      <c r="L1546" s="8"/>
      <c r="M1546" s="8"/>
      <c r="N1546" s="8"/>
      <c r="O1546" s="8"/>
    </row>
    <row r="1547" ht="13.65" customHeight="1">
      <c r="A1547" s="8"/>
      <c r="B1547" s="8"/>
      <c r="C1547" s="8"/>
      <c r="D1547" s="8"/>
      <c r="E1547" s="8"/>
      <c r="F1547" s="8"/>
      <c r="G1547" s="8"/>
      <c r="H1547" s="8"/>
      <c r="I1547" s="8"/>
      <c r="J1547" s="8"/>
      <c r="K1547" s="8"/>
      <c r="L1547" s="8"/>
      <c r="M1547" s="8"/>
      <c r="N1547" s="8"/>
      <c r="O1547" s="8"/>
    </row>
    <row r="1548" ht="13.65" customHeight="1">
      <c r="A1548" s="8"/>
      <c r="B1548" s="8"/>
      <c r="C1548" s="8"/>
      <c r="D1548" s="8"/>
      <c r="E1548" s="8"/>
      <c r="F1548" s="8"/>
      <c r="G1548" s="8"/>
      <c r="H1548" s="8"/>
      <c r="I1548" s="8"/>
      <c r="J1548" s="8"/>
      <c r="K1548" s="8"/>
      <c r="L1548" s="8"/>
      <c r="M1548" s="8"/>
      <c r="N1548" s="8"/>
      <c r="O1548" s="8"/>
    </row>
    <row r="1549" ht="13.65" customHeight="1">
      <c r="A1549" s="8"/>
      <c r="B1549" s="8"/>
      <c r="C1549" s="8"/>
      <c r="D1549" s="8"/>
      <c r="E1549" s="8"/>
      <c r="F1549" s="8"/>
      <c r="G1549" s="8"/>
      <c r="H1549" s="8"/>
      <c r="I1549" s="8"/>
      <c r="J1549" s="8"/>
      <c r="K1549" s="8"/>
      <c r="L1549" s="8"/>
      <c r="M1549" s="8"/>
      <c r="N1549" s="8"/>
      <c r="O1549" s="8"/>
    </row>
    <row r="1550" ht="13.65" customHeight="1">
      <c r="A1550" s="8"/>
      <c r="B1550" s="8"/>
      <c r="C1550" s="8"/>
      <c r="D1550" s="8"/>
      <c r="E1550" s="8"/>
      <c r="F1550" s="8"/>
      <c r="G1550" s="8"/>
      <c r="H1550" s="8"/>
      <c r="I1550" s="8"/>
      <c r="J1550" s="8"/>
      <c r="K1550" s="8"/>
      <c r="L1550" s="8"/>
      <c r="M1550" s="8"/>
      <c r="N1550" s="8"/>
      <c r="O1550" s="8"/>
    </row>
    <row r="1551" ht="13.65" customHeight="1">
      <c r="A1551" s="8"/>
      <c r="B1551" s="8"/>
      <c r="C1551" s="8"/>
      <c r="D1551" s="8"/>
      <c r="E1551" s="8"/>
      <c r="F1551" s="8"/>
      <c r="G1551" s="8"/>
      <c r="H1551" s="8"/>
      <c r="I1551" s="8"/>
      <c r="J1551" s="8"/>
      <c r="K1551" s="8"/>
      <c r="L1551" s="8"/>
      <c r="M1551" s="8"/>
      <c r="N1551" s="8"/>
      <c r="O1551" s="8"/>
    </row>
    <row r="1552" ht="13.65" customHeight="1">
      <c r="A1552" s="8"/>
      <c r="B1552" s="8"/>
      <c r="C1552" s="8"/>
      <c r="D1552" s="8"/>
      <c r="E1552" s="8"/>
      <c r="F1552" s="8"/>
      <c r="G1552" s="8"/>
      <c r="H1552" s="8"/>
      <c r="I1552" s="8"/>
      <c r="J1552" s="8"/>
      <c r="K1552" s="8"/>
      <c r="L1552" s="8"/>
      <c r="M1552" s="8"/>
      <c r="N1552" s="8"/>
      <c r="O1552" s="8"/>
    </row>
    <row r="1553" ht="13.65" customHeight="1">
      <c r="A1553" s="8"/>
      <c r="B1553" s="8"/>
      <c r="C1553" s="8"/>
      <c r="D1553" s="8"/>
      <c r="E1553" s="8"/>
      <c r="F1553" s="8"/>
      <c r="G1553" s="8"/>
      <c r="H1553" s="8"/>
      <c r="I1553" s="8"/>
      <c r="J1553" s="8"/>
      <c r="K1553" s="8"/>
      <c r="L1553" s="8"/>
      <c r="M1553" s="8"/>
      <c r="N1553" s="8"/>
      <c r="O1553" s="8"/>
    </row>
    <row r="1554" ht="13.65" customHeight="1">
      <c r="A1554" s="8"/>
      <c r="B1554" s="8"/>
      <c r="C1554" s="8"/>
      <c r="D1554" s="8"/>
      <c r="E1554" s="8"/>
      <c r="F1554" s="8"/>
      <c r="G1554" s="8"/>
      <c r="H1554" s="8"/>
      <c r="I1554" s="8"/>
      <c r="J1554" s="8"/>
      <c r="K1554" s="8"/>
      <c r="L1554" s="8"/>
      <c r="M1554" s="8"/>
      <c r="N1554" s="8"/>
      <c r="O1554" s="8"/>
    </row>
    <row r="1555" ht="13.65" customHeight="1">
      <c r="A1555" s="8"/>
      <c r="B1555" s="8"/>
      <c r="C1555" s="8"/>
      <c r="D1555" s="8"/>
      <c r="E1555" s="8"/>
      <c r="F1555" s="8"/>
      <c r="G1555" s="8"/>
      <c r="H1555" s="8"/>
      <c r="I1555" s="8"/>
      <c r="J1555" s="8"/>
      <c r="K1555" s="8"/>
      <c r="L1555" s="8"/>
      <c r="M1555" s="8"/>
      <c r="N1555" s="8"/>
      <c r="O1555" s="8"/>
    </row>
    <row r="1556" ht="13.65" customHeight="1">
      <c r="A1556" s="8"/>
      <c r="B1556" s="8"/>
      <c r="C1556" s="8"/>
      <c r="D1556" s="8"/>
      <c r="E1556" s="8"/>
      <c r="F1556" s="8"/>
      <c r="G1556" s="8"/>
      <c r="H1556" s="8"/>
      <c r="I1556" s="8"/>
      <c r="J1556" s="8"/>
      <c r="K1556" s="8"/>
      <c r="L1556" s="8"/>
      <c r="M1556" s="8"/>
      <c r="N1556" s="8"/>
      <c r="O1556" s="8"/>
    </row>
    <row r="1557" ht="13.65" customHeight="1">
      <c r="A1557" s="8"/>
      <c r="B1557" s="8"/>
      <c r="C1557" s="8"/>
      <c r="D1557" s="8"/>
      <c r="E1557" s="8"/>
      <c r="F1557" s="8"/>
      <c r="G1557" s="8"/>
      <c r="H1557" s="8"/>
      <c r="I1557" s="8"/>
      <c r="J1557" s="8"/>
      <c r="K1557" s="8"/>
      <c r="L1557" s="8"/>
      <c r="M1557" s="8"/>
      <c r="N1557" s="8"/>
      <c r="O1557" s="8"/>
    </row>
    <row r="1558" ht="13.65" customHeight="1">
      <c r="A1558" s="8"/>
      <c r="B1558" s="8"/>
      <c r="C1558" s="8"/>
      <c r="D1558" s="8"/>
      <c r="E1558" s="8"/>
      <c r="F1558" s="8"/>
      <c r="G1558" s="8"/>
      <c r="H1558" s="8"/>
      <c r="I1558" s="8"/>
      <c r="J1558" s="8"/>
      <c r="K1558" s="8"/>
      <c r="L1558" s="8"/>
      <c r="M1558" s="8"/>
      <c r="N1558" s="8"/>
      <c r="O1558" s="8"/>
    </row>
    <row r="1559" ht="13.65" customHeight="1">
      <c r="A1559" s="8"/>
      <c r="B1559" s="8"/>
      <c r="C1559" s="8"/>
      <c r="D1559" s="8"/>
      <c r="E1559" s="8"/>
      <c r="F1559" s="8"/>
      <c r="G1559" s="8"/>
      <c r="H1559" s="8"/>
      <c r="I1559" s="8"/>
      <c r="J1559" s="8"/>
      <c r="K1559" s="8"/>
      <c r="L1559" s="8"/>
      <c r="M1559" s="8"/>
      <c r="N1559" s="8"/>
      <c r="O1559" s="8"/>
    </row>
    <row r="1560" ht="13.65" customHeight="1">
      <c r="A1560" s="8"/>
      <c r="B1560" s="8"/>
      <c r="C1560" s="8"/>
      <c r="D1560" s="8"/>
      <c r="E1560" s="8"/>
      <c r="F1560" s="8"/>
      <c r="G1560" s="8"/>
      <c r="H1560" s="8"/>
      <c r="I1560" s="8"/>
      <c r="J1560" s="8"/>
      <c r="K1560" s="8"/>
      <c r="L1560" s="8"/>
      <c r="M1560" s="8"/>
      <c r="N1560" s="8"/>
      <c r="O1560" s="8"/>
    </row>
    <row r="1561" ht="13.65" customHeight="1">
      <c r="A1561" s="8"/>
      <c r="B1561" s="8"/>
      <c r="C1561" s="8"/>
      <c r="D1561" s="8"/>
      <c r="E1561" s="8"/>
      <c r="F1561" s="8"/>
      <c r="G1561" s="8"/>
      <c r="H1561" s="8"/>
      <c r="I1561" s="8"/>
      <c r="J1561" s="8"/>
      <c r="K1561" s="8"/>
      <c r="L1561" s="8"/>
      <c r="M1561" s="8"/>
      <c r="N1561" s="8"/>
      <c r="O1561" s="8"/>
    </row>
    <row r="1562" ht="13.65" customHeight="1">
      <c r="A1562" s="8"/>
      <c r="B1562" s="8"/>
      <c r="C1562" s="8"/>
      <c r="D1562" s="8"/>
      <c r="E1562" s="8"/>
      <c r="F1562" s="8"/>
      <c r="G1562" s="8"/>
      <c r="H1562" s="8"/>
      <c r="I1562" s="8"/>
      <c r="J1562" s="8"/>
      <c r="K1562" s="8"/>
      <c r="L1562" s="8"/>
      <c r="M1562" s="8"/>
      <c r="N1562" s="8"/>
      <c r="O1562" s="8"/>
    </row>
    <row r="1563" ht="13.65" customHeight="1">
      <c r="A1563" s="8"/>
      <c r="B1563" s="8"/>
      <c r="C1563" s="8"/>
      <c r="D1563" s="8"/>
      <c r="E1563" s="8"/>
      <c r="F1563" s="8"/>
      <c r="G1563" s="8"/>
      <c r="H1563" s="8"/>
      <c r="I1563" s="8"/>
      <c r="J1563" s="8"/>
      <c r="K1563" s="8"/>
      <c r="L1563" s="8"/>
      <c r="M1563" s="8"/>
      <c r="N1563" s="8"/>
      <c r="O1563" s="8"/>
    </row>
    <row r="1564" ht="13.65" customHeight="1">
      <c r="A1564" s="8"/>
      <c r="B1564" s="8"/>
      <c r="C1564" s="8"/>
      <c r="D1564" s="8"/>
      <c r="E1564" s="8"/>
      <c r="F1564" s="8"/>
      <c r="G1564" s="8"/>
      <c r="H1564" s="8"/>
      <c r="I1564" s="8"/>
      <c r="J1564" s="8"/>
      <c r="K1564" s="8"/>
      <c r="L1564" s="8"/>
      <c r="M1564" s="8"/>
      <c r="N1564" s="8"/>
      <c r="O1564" s="8"/>
    </row>
    <row r="1565" ht="13.65" customHeight="1">
      <c r="A1565" s="8"/>
      <c r="B1565" s="8"/>
      <c r="C1565" s="8"/>
      <c r="D1565" s="8"/>
      <c r="E1565" s="8"/>
      <c r="F1565" s="8"/>
      <c r="G1565" s="8"/>
      <c r="H1565" s="8"/>
      <c r="I1565" s="8"/>
      <c r="J1565" s="8"/>
      <c r="K1565" s="8"/>
      <c r="L1565" s="8"/>
      <c r="M1565" s="8"/>
      <c r="N1565" s="8"/>
      <c r="O1565" s="8"/>
    </row>
    <row r="1566" ht="13.65" customHeight="1">
      <c r="A1566" s="8"/>
      <c r="B1566" s="8"/>
      <c r="C1566" s="8"/>
      <c r="D1566" s="8"/>
      <c r="E1566" s="8"/>
      <c r="F1566" s="8"/>
      <c r="G1566" s="8"/>
      <c r="H1566" s="8"/>
      <c r="I1566" s="8"/>
      <c r="J1566" s="8"/>
      <c r="K1566" s="8"/>
      <c r="L1566" s="8"/>
      <c r="M1566" s="8"/>
      <c r="N1566" s="8"/>
      <c r="O1566" s="8"/>
    </row>
    <row r="1567" ht="13.65" customHeight="1">
      <c r="A1567" s="8"/>
      <c r="B1567" s="8"/>
      <c r="C1567" s="8"/>
      <c r="D1567" s="8"/>
      <c r="E1567" s="8"/>
      <c r="F1567" s="8"/>
      <c r="G1567" s="8"/>
      <c r="H1567" s="8"/>
      <c r="I1567" s="8"/>
      <c r="J1567" s="8"/>
      <c r="K1567" s="8"/>
      <c r="L1567" s="8"/>
      <c r="M1567" s="8"/>
      <c r="N1567" s="8"/>
      <c r="O1567" s="8"/>
    </row>
    <row r="1568" ht="13.65" customHeight="1">
      <c r="A1568" s="8"/>
      <c r="B1568" s="8"/>
      <c r="C1568" s="8"/>
      <c r="D1568" s="8"/>
      <c r="E1568" s="8"/>
      <c r="F1568" s="8"/>
      <c r="G1568" s="8"/>
      <c r="H1568" s="8"/>
      <c r="I1568" s="8"/>
      <c r="J1568" s="8"/>
      <c r="K1568" s="8"/>
      <c r="L1568" s="8"/>
      <c r="M1568" s="8"/>
      <c r="N1568" s="8"/>
      <c r="O1568" s="8"/>
    </row>
    <row r="1569" ht="13.65" customHeight="1">
      <c r="A1569" s="8"/>
      <c r="B1569" s="8"/>
      <c r="C1569" s="8"/>
      <c r="D1569" s="8"/>
      <c r="E1569" s="8"/>
      <c r="F1569" s="8"/>
      <c r="G1569" s="8"/>
      <c r="H1569" s="8"/>
      <c r="I1569" s="8"/>
      <c r="J1569" s="8"/>
      <c r="K1569" s="8"/>
      <c r="L1569" s="8"/>
      <c r="M1569" s="8"/>
      <c r="N1569" s="8"/>
      <c r="O1569" s="8"/>
    </row>
    <row r="1570" ht="13.65" customHeight="1">
      <c r="A1570" s="8"/>
      <c r="B1570" s="8"/>
      <c r="C1570" s="8"/>
      <c r="D1570" s="8"/>
      <c r="E1570" s="8"/>
      <c r="F1570" s="8"/>
      <c r="G1570" s="8"/>
      <c r="H1570" s="8"/>
      <c r="I1570" s="8"/>
      <c r="J1570" s="8"/>
      <c r="K1570" s="8"/>
      <c r="L1570" s="8"/>
      <c r="M1570" s="8"/>
      <c r="N1570" s="8"/>
      <c r="O1570" s="8"/>
    </row>
    <row r="1571" ht="13.65" customHeight="1">
      <c r="A1571" s="8"/>
      <c r="B1571" s="8"/>
      <c r="C1571" s="8"/>
      <c r="D1571" s="8"/>
      <c r="E1571" s="8"/>
      <c r="F1571" s="8"/>
      <c r="G1571" s="8"/>
      <c r="H1571" s="8"/>
      <c r="I1571" s="8"/>
      <c r="J1571" s="8"/>
      <c r="K1571" s="8"/>
      <c r="L1571" s="8"/>
      <c r="M1571" s="8"/>
      <c r="N1571" s="8"/>
      <c r="O1571" s="8"/>
    </row>
    <row r="1572" ht="13.65" customHeight="1">
      <c r="A1572" s="8"/>
      <c r="B1572" s="8"/>
      <c r="C1572" s="8"/>
      <c r="D1572" s="8"/>
      <c r="E1572" s="8"/>
      <c r="F1572" s="8"/>
      <c r="G1572" s="8"/>
      <c r="H1572" s="8"/>
      <c r="I1572" s="8"/>
      <c r="J1572" s="8"/>
      <c r="K1572" s="8"/>
      <c r="L1572" s="8"/>
      <c r="M1572" s="8"/>
      <c r="N1572" s="8"/>
      <c r="O1572" s="8"/>
    </row>
    <row r="1573" ht="13.65" customHeight="1">
      <c r="A1573" s="8"/>
      <c r="B1573" s="8"/>
      <c r="C1573" s="8"/>
      <c r="D1573" s="8"/>
      <c r="E1573" s="8"/>
      <c r="F1573" s="8"/>
      <c r="G1573" s="8"/>
      <c r="H1573" s="8"/>
      <c r="I1573" s="8"/>
      <c r="J1573" s="8"/>
      <c r="K1573" s="8"/>
      <c r="L1573" s="8"/>
      <c r="M1573" s="8"/>
      <c r="N1573" s="8"/>
      <c r="O1573" s="8"/>
    </row>
    <row r="1574" ht="13.65" customHeight="1">
      <c r="A1574" s="8"/>
      <c r="B1574" s="8"/>
      <c r="C1574" s="8"/>
      <c r="D1574" s="8"/>
      <c r="E1574" s="8"/>
      <c r="F1574" s="8"/>
      <c r="G1574" s="8"/>
      <c r="H1574" s="8"/>
      <c r="I1574" s="8"/>
      <c r="J1574" s="8"/>
      <c r="K1574" s="8"/>
      <c r="L1574" s="8"/>
      <c r="M1574" s="8"/>
      <c r="N1574" s="8"/>
      <c r="O1574" s="8"/>
    </row>
    <row r="1575" ht="13.65" customHeight="1">
      <c r="A1575" s="8"/>
      <c r="B1575" s="8"/>
      <c r="C1575" s="8"/>
      <c r="D1575" s="8"/>
      <c r="E1575" s="8"/>
      <c r="F1575" s="8"/>
      <c r="G1575" s="8"/>
      <c r="H1575" s="8"/>
      <c r="I1575" s="8"/>
      <c r="J1575" s="8"/>
      <c r="K1575" s="8"/>
      <c r="L1575" s="8"/>
      <c r="M1575" s="8"/>
      <c r="N1575" s="8"/>
      <c r="O1575" s="8"/>
    </row>
    <row r="1576" ht="13.65" customHeight="1">
      <c r="A1576" s="8"/>
      <c r="B1576" s="8"/>
      <c r="C1576" s="8"/>
      <c r="D1576" s="8"/>
      <c r="E1576" s="8"/>
      <c r="F1576" s="8"/>
      <c r="G1576" s="8"/>
      <c r="H1576" s="8"/>
      <c r="I1576" s="8"/>
      <c r="J1576" s="8"/>
      <c r="K1576" s="8"/>
      <c r="L1576" s="8"/>
      <c r="M1576" s="8"/>
      <c r="N1576" s="8"/>
      <c r="O1576" s="8"/>
    </row>
    <row r="1577" ht="13.65" customHeight="1">
      <c r="A1577" s="8"/>
      <c r="B1577" s="8"/>
      <c r="C1577" s="8"/>
      <c r="D1577" s="8"/>
      <c r="E1577" s="8"/>
      <c r="F1577" s="8"/>
      <c r="G1577" s="8"/>
      <c r="H1577" s="8"/>
      <c r="I1577" s="8"/>
      <c r="J1577" s="8"/>
      <c r="K1577" s="8"/>
      <c r="L1577" s="8"/>
      <c r="M1577" s="8"/>
      <c r="N1577" s="8"/>
      <c r="O1577" s="8"/>
    </row>
    <row r="1578" ht="13.65" customHeight="1">
      <c r="A1578" s="8"/>
      <c r="B1578" s="8"/>
      <c r="C1578" s="8"/>
      <c r="D1578" s="8"/>
      <c r="E1578" s="8"/>
      <c r="F1578" s="8"/>
      <c r="G1578" s="8"/>
      <c r="H1578" s="8"/>
      <c r="I1578" s="8"/>
      <c r="J1578" s="8"/>
      <c r="K1578" s="8"/>
      <c r="L1578" s="8"/>
      <c r="M1578" s="8"/>
      <c r="N1578" s="8"/>
      <c r="O1578" s="8"/>
    </row>
    <row r="1579" ht="13.65" customHeight="1">
      <c r="A1579" s="8"/>
      <c r="B1579" s="8"/>
      <c r="C1579" s="8"/>
      <c r="D1579" s="8"/>
      <c r="E1579" s="8"/>
      <c r="F1579" s="8"/>
      <c r="G1579" s="8"/>
      <c r="H1579" s="8"/>
      <c r="I1579" s="8"/>
      <c r="J1579" s="8"/>
      <c r="K1579" s="8"/>
      <c r="L1579" s="8"/>
      <c r="M1579" s="8"/>
      <c r="N1579" s="8"/>
      <c r="O1579" s="8"/>
    </row>
    <row r="1580" ht="13.65" customHeight="1">
      <c r="A1580" s="8"/>
      <c r="B1580" s="8"/>
      <c r="C1580" s="8"/>
      <c r="D1580" s="8"/>
      <c r="E1580" s="8"/>
      <c r="F1580" s="8"/>
      <c r="G1580" s="8"/>
      <c r="H1580" s="8"/>
      <c r="I1580" s="8"/>
      <c r="J1580" s="8"/>
      <c r="K1580" s="8"/>
      <c r="L1580" s="8"/>
      <c r="M1580" s="8"/>
      <c r="N1580" s="8"/>
      <c r="O1580" s="8"/>
    </row>
    <row r="1581" ht="13.65" customHeight="1">
      <c r="A1581" s="8"/>
      <c r="B1581" s="8"/>
      <c r="C1581" s="8"/>
      <c r="D1581" s="8"/>
      <c r="E1581" s="8"/>
      <c r="F1581" s="8"/>
      <c r="G1581" s="8"/>
      <c r="H1581" s="8"/>
      <c r="I1581" s="8"/>
      <c r="J1581" s="8"/>
      <c r="K1581" s="8"/>
      <c r="L1581" s="8"/>
      <c r="M1581" s="8"/>
      <c r="N1581" s="8"/>
      <c r="O1581" s="8"/>
    </row>
    <row r="1582" ht="13.65" customHeight="1">
      <c r="A1582" s="8"/>
      <c r="B1582" s="8"/>
      <c r="C1582" s="8"/>
      <c r="D1582" s="8"/>
      <c r="E1582" s="8"/>
      <c r="F1582" s="8"/>
      <c r="G1582" s="8"/>
      <c r="H1582" s="8"/>
      <c r="I1582" s="8"/>
      <c r="J1582" s="8"/>
      <c r="K1582" s="8"/>
      <c r="L1582" s="8"/>
      <c r="M1582" s="8"/>
      <c r="N1582" s="8"/>
      <c r="O1582" s="8"/>
    </row>
    <row r="1583" ht="13.65" customHeight="1">
      <c r="A1583" s="8"/>
      <c r="B1583" s="8"/>
      <c r="C1583" s="8"/>
      <c r="D1583" s="8"/>
      <c r="E1583" s="8"/>
      <c r="F1583" s="8"/>
      <c r="G1583" s="8"/>
      <c r="H1583" s="8"/>
      <c r="I1583" s="8"/>
      <c r="J1583" s="8"/>
      <c r="K1583" s="8"/>
      <c r="L1583" s="8"/>
      <c r="M1583" s="8"/>
      <c r="N1583" s="8"/>
      <c r="O1583" s="8"/>
    </row>
    <row r="1584" ht="13.65" customHeight="1">
      <c r="A1584" s="8"/>
      <c r="B1584" s="8"/>
      <c r="C1584" s="8"/>
      <c r="D1584" s="8"/>
      <c r="E1584" s="8"/>
      <c r="F1584" s="8"/>
      <c r="G1584" s="8"/>
      <c r="H1584" s="8"/>
      <c r="I1584" s="8"/>
      <c r="J1584" s="8"/>
      <c r="K1584" s="8"/>
      <c r="L1584" s="8"/>
      <c r="M1584" s="8"/>
      <c r="N1584" s="8"/>
      <c r="O1584" s="8"/>
    </row>
    <row r="1585" ht="13.65" customHeight="1">
      <c r="A1585" s="8"/>
      <c r="B1585" s="8"/>
      <c r="C1585" s="8"/>
      <c r="D1585" s="8"/>
      <c r="E1585" s="8"/>
      <c r="F1585" s="8"/>
      <c r="G1585" s="8"/>
      <c r="H1585" s="8"/>
      <c r="I1585" s="8"/>
      <c r="J1585" s="8"/>
      <c r="K1585" s="8"/>
      <c r="L1585" s="8"/>
      <c r="M1585" s="8"/>
      <c r="N1585" s="8"/>
      <c r="O1585" s="8"/>
    </row>
    <row r="1586" ht="13.65" customHeight="1">
      <c r="A1586" s="8"/>
      <c r="B1586" s="8"/>
      <c r="C1586" s="8"/>
      <c r="D1586" s="8"/>
      <c r="E1586" s="8"/>
      <c r="F1586" s="8"/>
      <c r="G1586" s="8"/>
      <c r="H1586" s="8"/>
      <c r="I1586" s="8"/>
      <c r="J1586" s="8"/>
      <c r="K1586" s="8"/>
      <c r="L1586" s="8"/>
      <c r="M1586" s="8"/>
      <c r="N1586" s="8"/>
      <c r="O1586" s="8"/>
    </row>
    <row r="1587" ht="13.65" customHeight="1">
      <c r="A1587" s="8"/>
      <c r="B1587" s="8"/>
      <c r="C1587" s="8"/>
      <c r="D1587" s="8"/>
      <c r="E1587" s="8"/>
      <c r="F1587" s="8"/>
      <c r="G1587" s="8"/>
      <c r="H1587" s="8"/>
      <c r="I1587" s="8"/>
      <c r="J1587" s="8"/>
      <c r="K1587" s="8"/>
      <c r="L1587" s="8"/>
      <c r="M1587" s="8"/>
      <c r="N1587" s="8"/>
      <c r="O1587" s="8"/>
    </row>
    <row r="1588" ht="13.65" customHeight="1">
      <c r="A1588" s="8"/>
      <c r="B1588" s="8"/>
      <c r="C1588" s="8"/>
      <c r="D1588" s="8"/>
      <c r="E1588" s="8"/>
      <c r="F1588" s="8"/>
      <c r="G1588" s="8"/>
      <c r="H1588" s="8"/>
      <c r="I1588" s="8"/>
      <c r="J1588" s="8"/>
      <c r="K1588" s="8"/>
      <c r="L1588" s="8"/>
      <c r="M1588" s="8"/>
      <c r="N1588" s="8"/>
      <c r="O1588" s="8"/>
    </row>
    <row r="1589" ht="13.65" customHeight="1">
      <c r="A1589" s="8"/>
      <c r="B1589" s="8"/>
      <c r="C1589" s="8"/>
      <c r="D1589" s="8"/>
      <c r="E1589" s="8"/>
      <c r="F1589" s="8"/>
      <c r="G1589" s="8"/>
      <c r="H1589" s="8"/>
      <c r="I1589" s="8"/>
      <c r="J1589" s="8"/>
      <c r="K1589" s="8"/>
      <c r="L1589" s="8"/>
      <c r="M1589" s="8"/>
      <c r="N1589" s="8"/>
      <c r="O1589" s="8"/>
    </row>
    <row r="1590" ht="13.65" customHeight="1">
      <c r="A1590" s="8"/>
      <c r="B1590" s="8"/>
      <c r="C1590" s="8"/>
      <c r="D1590" s="8"/>
      <c r="E1590" s="8"/>
      <c r="F1590" s="8"/>
      <c r="G1590" s="8"/>
      <c r="H1590" s="8"/>
      <c r="I1590" s="8"/>
      <c r="J1590" s="8"/>
      <c r="K1590" s="8"/>
      <c r="L1590" s="8"/>
      <c r="M1590" s="8"/>
      <c r="N1590" s="8"/>
      <c r="O1590" s="8"/>
    </row>
    <row r="1591" ht="13.65" customHeight="1">
      <c r="A1591" s="8"/>
      <c r="B1591" s="8"/>
      <c r="C1591" s="8"/>
      <c r="D1591" s="8"/>
      <c r="E1591" s="8"/>
      <c r="F1591" s="8"/>
      <c r="G1591" s="8"/>
      <c r="H1591" s="8"/>
      <c r="I1591" s="8"/>
      <c r="J1591" s="8"/>
      <c r="K1591" s="8"/>
      <c r="L1591" s="8"/>
      <c r="M1591" s="8"/>
      <c r="N1591" s="8"/>
      <c r="O1591" s="8"/>
    </row>
    <row r="1592" ht="13.65" customHeight="1">
      <c r="A1592" s="8"/>
      <c r="B1592" s="8"/>
      <c r="C1592" s="8"/>
      <c r="D1592" s="8"/>
      <c r="E1592" s="8"/>
      <c r="F1592" s="8"/>
      <c r="G1592" s="8"/>
      <c r="H1592" s="8"/>
      <c r="I1592" s="8"/>
      <c r="J1592" s="8"/>
      <c r="K1592" s="8"/>
      <c r="L1592" s="8"/>
      <c r="M1592" s="8"/>
      <c r="N1592" s="8"/>
      <c r="O1592" s="8"/>
    </row>
    <row r="1593" ht="13.65" customHeight="1">
      <c r="A1593" s="8"/>
      <c r="B1593" s="8"/>
      <c r="C1593" s="8"/>
      <c r="D1593" s="8"/>
      <c r="E1593" s="8"/>
      <c r="F1593" s="8"/>
      <c r="G1593" s="8"/>
      <c r="H1593" s="8"/>
      <c r="I1593" s="8"/>
      <c r="J1593" s="8"/>
      <c r="K1593" s="8"/>
      <c r="L1593" s="8"/>
      <c r="M1593" s="8"/>
      <c r="N1593" s="8"/>
      <c r="O1593" s="8"/>
    </row>
    <row r="1594" ht="13.65" customHeight="1">
      <c r="A1594" s="8"/>
      <c r="B1594" s="8"/>
      <c r="C1594" s="8"/>
      <c r="D1594" s="8"/>
      <c r="E1594" s="8"/>
      <c r="F1594" s="8"/>
      <c r="G1594" s="8"/>
      <c r="H1594" s="8"/>
      <c r="I1594" s="8"/>
      <c r="J1594" s="8"/>
      <c r="K1594" s="8"/>
      <c r="L1594" s="8"/>
      <c r="M1594" s="8"/>
      <c r="N1594" s="8"/>
      <c r="O1594" s="8"/>
    </row>
    <row r="1595" ht="13.65" customHeight="1">
      <c r="A1595" s="8"/>
      <c r="B1595" s="8"/>
      <c r="C1595" s="8"/>
      <c r="D1595" s="8"/>
      <c r="E1595" s="8"/>
      <c r="F1595" s="8"/>
      <c r="G1595" s="8"/>
      <c r="H1595" s="8"/>
      <c r="I1595" s="8"/>
      <c r="J1595" s="8"/>
      <c r="K1595" s="8"/>
      <c r="L1595" s="8"/>
      <c r="M1595" s="8"/>
      <c r="N1595" s="8"/>
      <c r="O1595" s="8"/>
    </row>
    <row r="1596" ht="13.65" customHeight="1">
      <c r="A1596" s="8"/>
      <c r="B1596" s="8"/>
      <c r="C1596" s="8"/>
      <c r="D1596" s="8"/>
      <c r="E1596" s="8"/>
      <c r="F1596" s="8"/>
      <c r="G1596" s="8"/>
      <c r="H1596" s="8"/>
      <c r="I1596" s="8"/>
      <c r="J1596" s="8"/>
      <c r="K1596" s="8"/>
      <c r="L1596" s="8"/>
      <c r="M1596" s="8"/>
      <c r="N1596" s="8"/>
      <c r="O1596" s="8"/>
    </row>
    <row r="1597" ht="13.65" customHeight="1">
      <c r="A1597" s="8"/>
      <c r="B1597" s="8"/>
      <c r="C1597" s="8"/>
      <c r="D1597" s="8"/>
      <c r="E1597" s="8"/>
      <c r="F1597" s="8"/>
      <c r="G1597" s="8"/>
      <c r="H1597" s="8"/>
      <c r="I1597" s="8"/>
      <c r="J1597" s="8"/>
      <c r="K1597" s="8"/>
      <c r="L1597" s="8"/>
      <c r="M1597" s="8"/>
      <c r="N1597" s="8"/>
      <c r="O1597" s="8"/>
    </row>
    <row r="1598" ht="13.65" customHeight="1">
      <c r="A1598" s="8"/>
      <c r="B1598" s="8"/>
      <c r="C1598" s="8"/>
      <c r="D1598" s="8"/>
      <c r="E1598" s="8"/>
      <c r="F1598" s="8"/>
      <c r="G1598" s="8"/>
      <c r="H1598" s="8"/>
      <c r="I1598" s="8"/>
      <c r="J1598" s="8"/>
      <c r="K1598" s="8"/>
      <c r="L1598" s="8"/>
      <c r="M1598" s="8"/>
      <c r="N1598" s="8"/>
      <c r="O1598" s="8"/>
    </row>
    <row r="1599" ht="13.65" customHeight="1">
      <c r="A1599" s="8"/>
      <c r="B1599" s="8"/>
      <c r="C1599" s="8"/>
      <c r="D1599" s="8"/>
      <c r="E1599" s="8"/>
      <c r="F1599" s="8"/>
      <c r="G1599" s="8"/>
      <c r="H1599" s="8"/>
      <c r="I1599" s="8"/>
      <c r="J1599" s="8"/>
      <c r="K1599" s="8"/>
      <c r="L1599" s="8"/>
      <c r="M1599" s="8"/>
      <c r="N1599" s="8"/>
      <c r="O1599" s="8"/>
    </row>
    <row r="1600" ht="13.65" customHeight="1">
      <c r="A1600" s="8"/>
      <c r="B1600" s="8"/>
      <c r="C1600" s="8"/>
      <c r="D1600" s="8"/>
      <c r="E1600" s="8"/>
      <c r="F1600" s="8"/>
      <c r="G1600" s="8"/>
      <c r="H1600" s="8"/>
      <c r="I1600" s="8"/>
      <c r="J1600" s="8"/>
      <c r="K1600" s="8"/>
      <c r="L1600" s="8"/>
      <c r="M1600" s="8"/>
      <c r="N1600" s="8"/>
      <c r="O1600" s="8"/>
    </row>
    <row r="1601" ht="13.65" customHeight="1">
      <c r="A1601" s="8"/>
      <c r="B1601" s="8"/>
      <c r="C1601" s="8"/>
      <c r="D1601" s="8"/>
      <c r="E1601" s="8"/>
      <c r="F1601" s="8"/>
      <c r="G1601" s="8"/>
      <c r="H1601" s="8"/>
      <c r="I1601" s="8"/>
      <c r="J1601" s="8"/>
      <c r="K1601" s="8"/>
      <c r="L1601" s="8"/>
      <c r="M1601" s="8"/>
      <c r="N1601" s="8"/>
      <c r="O1601" s="8"/>
    </row>
    <row r="1602" ht="13.65" customHeight="1">
      <c r="A1602" s="8"/>
      <c r="B1602" s="8"/>
      <c r="C1602" s="8"/>
      <c r="D1602" s="8"/>
      <c r="E1602" s="8"/>
      <c r="F1602" s="8"/>
      <c r="G1602" s="8"/>
      <c r="H1602" s="8"/>
      <c r="I1602" s="8"/>
      <c r="J1602" s="8"/>
      <c r="K1602" s="8"/>
      <c r="L1602" s="8"/>
      <c r="M1602" s="8"/>
      <c r="N1602" s="8"/>
      <c r="O1602" s="8"/>
    </row>
    <row r="1603" ht="13.65" customHeight="1">
      <c r="A1603" s="8"/>
      <c r="B1603" s="8"/>
      <c r="C1603" s="8"/>
      <c r="D1603" s="8"/>
      <c r="E1603" s="8"/>
      <c r="F1603" s="8"/>
      <c r="G1603" s="8"/>
      <c r="H1603" s="8"/>
      <c r="I1603" s="8"/>
      <c r="J1603" s="8"/>
      <c r="K1603" s="8"/>
      <c r="L1603" s="8"/>
      <c r="M1603" s="8"/>
      <c r="N1603" s="8"/>
      <c r="O1603" s="8"/>
    </row>
    <row r="1604" ht="13.65" customHeight="1">
      <c r="A1604" s="8"/>
      <c r="B1604" s="8"/>
      <c r="C1604" s="8"/>
      <c r="D1604" s="8"/>
      <c r="E1604" s="8"/>
      <c r="F1604" s="8"/>
      <c r="G1604" s="8"/>
      <c r="H1604" s="8"/>
      <c r="I1604" s="8"/>
      <c r="J1604" s="8"/>
      <c r="K1604" s="8"/>
      <c r="L1604" s="8"/>
      <c r="M1604" s="8"/>
      <c r="N1604" s="8"/>
      <c r="O1604" s="8"/>
    </row>
    <row r="1605" ht="13.65" customHeight="1">
      <c r="A1605" s="8"/>
      <c r="B1605" s="8"/>
      <c r="C1605" s="8"/>
      <c r="D1605" s="8"/>
      <c r="E1605" s="8"/>
      <c r="F1605" s="8"/>
      <c r="G1605" s="8"/>
      <c r="H1605" s="8"/>
      <c r="I1605" s="8"/>
      <c r="J1605" s="8"/>
      <c r="K1605" s="8"/>
      <c r="L1605" s="8"/>
      <c r="M1605" s="8"/>
      <c r="N1605" s="8"/>
      <c r="O1605" s="8"/>
    </row>
    <row r="1606" ht="13.65" customHeight="1">
      <c r="A1606" s="8"/>
      <c r="B1606" s="8"/>
      <c r="C1606" s="8"/>
      <c r="D1606" s="8"/>
      <c r="E1606" s="8"/>
      <c r="F1606" s="8"/>
      <c r="G1606" s="8"/>
      <c r="H1606" s="8"/>
      <c r="I1606" s="8"/>
      <c r="J1606" s="8"/>
      <c r="K1606" s="8"/>
      <c r="L1606" s="8"/>
      <c r="M1606" s="8"/>
      <c r="N1606" s="8"/>
      <c r="O1606" s="8"/>
    </row>
    <row r="1607" ht="13.65" customHeight="1">
      <c r="A1607" s="8"/>
      <c r="B1607" s="8"/>
      <c r="C1607" s="8"/>
      <c r="D1607" s="8"/>
      <c r="E1607" s="8"/>
      <c r="F1607" s="8"/>
      <c r="G1607" s="8"/>
      <c r="H1607" s="8"/>
      <c r="I1607" s="8"/>
      <c r="J1607" s="8"/>
      <c r="K1607" s="8"/>
      <c r="L1607" s="8"/>
      <c r="M1607" s="8"/>
      <c r="N1607" s="8"/>
      <c r="O1607" s="8"/>
    </row>
    <row r="1608" ht="13.65" customHeight="1">
      <c r="A1608" s="8"/>
      <c r="B1608" s="8"/>
      <c r="C1608" s="8"/>
      <c r="D1608" s="8"/>
      <c r="E1608" s="8"/>
      <c r="F1608" s="8"/>
      <c r="G1608" s="8"/>
      <c r="H1608" s="8"/>
      <c r="I1608" s="8"/>
      <c r="J1608" s="8"/>
      <c r="K1608" s="8"/>
      <c r="L1608" s="8"/>
      <c r="M1608" s="8"/>
      <c r="N1608" s="8"/>
      <c r="O1608" s="8"/>
    </row>
    <row r="1609" ht="13.65" customHeight="1">
      <c r="A1609" s="8"/>
      <c r="B1609" s="8"/>
      <c r="C1609" s="8"/>
      <c r="D1609" s="8"/>
      <c r="E1609" s="8"/>
      <c r="F1609" s="8"/>
      <c r="G1609" s="8"/>
      <c r="H1609" s="8"/>
      <c r="I1609" s="8"/>
      <c r="J1609" s="8"/>
      <c r="K1609" s="8"/>
      <c r="L1609" s="8"/>
      <c r="M1609" s="8"/>
      <c r="N1609" s="8"/>
      <c r="O1609" s="8"/>
    </row>
    <row r="1610" ht="13.65" customHeight="1">
      <c r="A1610" s="8"/>
      <c r="B1610" s="8"/>
      <c r="C1610" s="8"/>
      <c r="D1610" s="8"/>
      <c r="E1610" s="8"/>
      <c r="F1610" s="8"/>
      <c r="G1610" s="8"/>
      <c r="H1610" s="8"/>
      <c r="I1610" s="8"/>
      <c r="J1610" s="8"/>
      <c r="K1610" s="8"/>
      <c r="L1610" s="8"/>
      <c r="M1610" s="8"/>
      <c r="N1610" s="8"/>
      <c r="O1610" s="8"/>
    </row>
    <row r="1611" ht="13.65" customHeight="1">
      <c r="A1611" s="8"/>
      <c r="B1611" s="8"/>
      <c r="C1611" s="8"/>
      <c r="D1611" s="8"/>
      <c r="E1611" s="8"/>
      <c r="F1611" s="8"/>
      <c r="G1611" s="8"/>
      <c r="H1611" s="8"/>
      <c r="I1611" s="8"/>
      <c r="J1611" s="8"/>
      <c r="K1611" s="8"/>
      <c r="L1611" s="8"/>
      <c r="M1611" s="8"/>
      <c r="N1611" s="8"/>
      <c r="O1611" s="8"/>
    </row>
    <row r="1612" ht="13.65" customHeight="1">
      <c r="A1612" s="8"/>
      <c r="B1612" s="8"/>
      <c r="C1612" s="8"/>
      <c r="D1612" s="8"/>
      <c r="E1612" s="8"/>
      <c r="F1612" s="8"/>
      <c r="G1612" s="8"/>
      <c r="H1612" s="8"/>
      <c r="I1612" s="8"/>
      <c r="J1612" s="8"/>
      <c r="K1612" s="8"/>
      <c r="L1612" s="8"/>
      <c r="M1612" s="8"/>
      <c r="N1612" s="8"/>
      <c r="O1612" s="8"/>
    </row>
    <row r="1613" ht="13.65" customHeight="1">
      <c r="A1613" s="8"/>
      <c r="B1613" s="8"/>
      <c r="C1613" s="8"/>
      <c r="D1613" s="8"/>
      <c r="E1613" s="8"/>
      <c r="F1613" s="8"/>
      <c r="G1613" s="8"/>
      <c r="H1613" s="8"/>
      <c r="I1613" s="8"/>
      <c r="J1613" s="8"/>
      <c r="K1613" s="8"/>
      <c r="L1613" s="8"/>
      <c r="M1613" s="8"/>
      <c r="N1613" s="8"/>
      <c r="O1613" s="8"/>
    </row>
    <row r="1614" ht="13.65" customHeight="1">
      <c r="A1614" s="8"/>
      <c r="B1614" s="8"/>
      <c r="C1614" s="8"/>
      <c r="D1614" s="8"/>
      <c r="E1614" s="8"/>
      <c r="F1614" s="8"/>
      <c r="G1614" s="8"/>
      <c r="H1614" s="8"/>
      <c r="I1614" s="8"/>
      <c r="J1614" s="8"/>
      <c r="K1614" s="8"/>
      <c r="L1614" s="8"/>
      <c r="M1614" s="8"/>
      <c r="N1614" s="8"/>
      <c r="O1614" s="8"/>
    </row>
    <row r="1615" ht="13.65" customHeight="1">
      <c r="A1615" s="8"/>
      <c r="B1615" s="8"/>
      <c r="C1615" s="8"/>
      <c r="D1615" s="8"/>
      <c r="E1615" s="8"/>
      <c r="F1615" s="8"/>
      <c r="G1615" s="8"/>
      <c r="H1615" s="8"/>
      <c r="I1615" s="8"/>
      <c r="J1615" s="8"/>
      <c r="K1615" s="8"/>
      <c r="L1615" s="8"/>
      <c r="M1615" s="8"/>
      <c r="N1615" s="8"/>
      <c r="O1615" s="8"/>
    </row>
    <row r="1616" ht="13.65" customHeight="1">
      <c r="A1616" s="8"/>
      <c r="B1616" s="8"/>
      <c r="C1616" s="8"/>
      <c r="D1616" s="8"/>
      <c r="E1616" s="8"/>
      <c r="F1616" s="8"/>
      <c r="G1616" s="8"/>
      <c r="H1616" s="8"/>
      <c r="I1616" s="8"/>
      <c r="J1616" s="8"/>
      <c r="K1616" s="8"/>
      <c r="L1616" s="8"/>
      <c r="M1616" s="8"/>
      <c r="N1616" s="8"/>
      <c r="O1616" s="8"/>
    </row>
    <row r="1617" ht="13.65" customHeight="1">
      <c r="A1617" s="8"/>
      <c r="B1617" s="8"/>
      <c r="C1617" s="8"/>
      <c r="D1617" s="8"/>
      <c r="E1617" s="8"/>
      <c r="F1617" s="8"/>
      <c r="G1617" s="8"/>
      <c r="H1617" s="8"/>
      <c r="I1617" s="8"/>
      <c r="J1617" s="8"/>
      <c r="K1617" s="8"/>
      <c r="L1617" s="8"/>
      <c r="M1617" s="8"/>
      <c r="N1617" s="8"/>
      <c r="O1617" s="8"/>
    </row>
    <row r="1618" ht="13.65" customHeight="1">
      <c r="A1618" s="8"/>
      <c r="B1618" s="8"/>
      <c r="C1618" s="8"/>
      <c r="D1618" s="8"/>
      <c r="E1618" s="8"/>
      <c r="F1618" s="8"/>
      <c r="G1618" s="8"/>
      <c r="H1618" s="8"/>
      <c r="I1618" s="8"/>
      <c r="J1618" s="8"/>
      <c r="K1618" s="8"/>
      <c r="L1618" s="8"/>
      <c r="M1618" s="8"/>
      <c r="N1618" s="8"/>
      <c r="O1618" s="8"/>
    </row>
    <row r="1619" ht="13.65" customHeight="1">
      <c r="A1619" s="8"/>
      <c r="B1619" s="8"/>
      <c r="C1619" s="8"/>
      <c r="D1619" s="8"/>
      <c r="E1619" s="8"/>
      <c r="F1619" s="8"/>
      <c r="G1619" s="8"/>
      <c r="H1619" s="8"/>
      <c r="I1619" s="8"/>
      <c r="J1619" s="8"/>
      <c r="K1619" s="8"/>
      <c r="L1619" s="8"/>
      <c r="M1619" s="8"/>
      <c r="N1619" s="8"/>
      <c r="O1619" s="8"/>
    </row>
    <row r="1620" ht="13.65" customHeight="1">
      <c r="A1620" s="8"/>
      <c r="B1620" s="8"/>
      <c r="C1620" s="8"/>
      <c r="D1620" s="8"/>
      <c r="E1620" s="8"/>
      <c r="F1620" s="8"/>
      <c r="G1620" s="8"/>
      <c r="H1620" s="8"/>
      <c r="I1620" s="8"/>
      <c r="J1620" s="8"/>
      <c r="K1620" s="8"/>
      <c r="L1620" s="8"/>
      <c r="M1620" s="8"/>
      <c r="N1620" s="8"/>
      <c r="O1620" s="8"/>
    </row>
    <row r="1621" ht="13.65" customHeight="1">
      <c r="A1621" s="8"/>
      <c r="B1621" s="8"/>
      <c r="C1621" s="8"/>
      <c r="D1621" s="8"/>
      <c r="E1621" s="8"/>
      <c r="F1621" s="8"/>
      <c r="G1621" s="8"/>
      <c r="H1621" s="8"/>
      <c r="I1621" s="8"/>
      <c r="J1621" s="8"/>
      <c r="K1621" s="8"/>
      <c r="L1621" s="8"/>
      <c r="M1621" s="8"/>
      <c r="N1621" s="8"/>
      <c r="O1621" s="8"/>
    </row>
    <row r="1622" ht="13.65" customHeight="1">
      <c r="A1622" s="8"/>
      <c r="B1622" s="8"/>
      <c r="C1622" s="8"/>
      <c r="D1622" s="8"/>
      <c r="E1622" s="8"/>
      <c r="F1622" s="8"/>
      <c r="G1622" s="8"/>
      <c r="H1622" s="8"/>
      <c r="I1622" s="8"/>
      <c r="J1622" s="8"/>
      <c r="K1622" s="8"/>
      <c r="L1622" s="8"/>
      <c r="M1622" s="8"/>
      <c r="N1622" s="8"/>
      <c r="O1622" s="8"/>
    </row>
    <row r="1623" ht="13.65" customHeight="1">
      <c r="A1623" s="8"/>
      <c r="B1623" s="8"/>
      <c r="C1623" s="8"/>
      <c r="D1623" s="8"/>
      <c r="E1623" s="8"/>
      <c r="F1623" s="8"/>
      <c r="G1623" s="8"/>
      <c r="H1623" s="8"/>
      <c r="I1623" s="8"/>
      <c r="J1623" s="8"/>
      <c r="K1623" s="8"/>
      <c r="L1623" s="8"/>
      <c r="M1623" s="8"/>
      <c r="N1623" s="8"/>
      <c r="O1623" s="8"/>
    </row>
    <row r="1624" ht="13.65" customHeight="1">
      <c r="A1624" s="8"/>
      <c r="B1624" s="8"/>
      <c r="C1624" s="8"/>
      <c r="D1624" s="8"/>
      <c r="E1624" s="8"/>
      <c r="F1624" s="8"/>
      <c r="G1624" s="8"/>
      <c r="H1624" s="8"/>
      <c r="I1624" s="8"/>
      <c r="J1624" s="8"/>
      <c r="K1624" s="8"/>
      <c r="L1624" s="8"/>
      <c r="M1624" s="8"/>
      <c r="N1624" s="8"/>
      <c r="O1624" s="8"/>
    </row>
    <row r="1625" ht="13.65" customHeight="1">
      <c r="A1625" s="8"/>
      <c r="B1625" s="8"/>
      <c r="C1625" s="8"/>
      <c r="D1625" s="8"/>
      <c r="E1625" s="8"/>
      <c r="F1625" s="8"/>
      <c r="G1625" s="8"/>
      <c r="H1625" s="8"/>
      <c r="I1625" s="8"/>
      <c r="J1625" s="8"/>
      <c r="K1625" s="8"/>
      <c r="L1625" s="8"/>
      <c r="M1625" s="8"/>
      <c r="N1625" s="8"/>
      <c r="O1625" s="8"/>
    </row>
    <row r="1626" ht="13.65" customHeight="1">
      <c r="A1626" s="8"/>
      <c r="B1626" s="8"/>
      <c r="C1626" s="8"/>
      <c r="D1626" s="8"/>
      <c r="E1626" s="8"/>
      <c r="F1626" s="8"/>
      <c r="G1626" s="8"/>
      <c r="H1626" s="8"/>
      <c r="I1626" s="8"/>
      <c r="J1626" s="8"/>
      <c r="K1626" s="8"/>
      <c r="L1626" s="8"/>
      <c r="M1626" s="8"/>
      <c r="N1626" s="8"/>
      <c r="O1626" s="8"/>
    </row>
    <row r="1627" ht="13.65" customHeight="1">
      <c r="A1627" s="8"/>
      <c r="B1627" s="8"/>
      <c r="C1627" s="8"/>
      <c r="D1627" s="8"/>
      <c r="E1627" s="8"/>
      <c r="F1627" s="8"/>
      <c r="G1627" s="8"/>
      <c r="H1627" s="8"/>
      <c r="I1627" s="8"/>
      <c r="J1627" s="8"/>
      <c r="K1627" s="8"/>
      <c r="L1627" s="8"/>
      <c r="M1627" s="8"/>
      <c r="N1627" s="8"/>
      <c r="O1627" s="8"/>
    </row>
    <row r="1628" ht="13.65" customHeight="1">
      <c r="A1628" s="8"/>
      <c r="B1628" s="8"/>
      <c r="C1628" s="8"/>
      <c r="D1628" s="8"/>
      <c r="E1628" s="8"/>
      <c r="F1628" s="8"/>
      <c r="G1628" s="8"/>
      <c r="H1628" s="8"/>
      <c r="I1628" s="8"/>
      <c r="J1628" s="8"/>
      <c r="K1628" s="8"/>
      <c r="L1628" s="8"/>
      <c r="M1628" s="8"/>
      <c r="N1628" s="8"/>
      <c r="O1628" s="8"/>
    </row>
    <row r="1629" ht="13.65" customHeight="1">
      <c r="A1629" s="8"/>
      <c r="B1629" s="8"/>
      <c r="C1629" s="8"/>
      <c r="D1629" s="8"/>
      <c r="E1629" s="8"/>
      <c r="F1629" s="8"/>
      <c r="G1629" s="8"/>
      <c r="H1629" s="8"/>
      <c r="I1629" s="8"/>
      <c r="J1629" s="8"/>
      <c r="K1629" s="8"/>
      <c r="L1629" s="8"/>
      <c r="M1629" s="8"/>
      <c r="N1629" s="8"/>
      <c r="O1629" s="8"/>
    </row>
    <row r="1630" ht="13.65" customHeight="1">
      <c r="A1630" s="8"/>
      <c r="B1630" s="8"/>
      <c r="C1630" s="8"/>
      <c r="D1630" s="8"/>
      <c r="E1630" s="8"/>
      <c r="F1630" s="8"/>
      <c r="G1630" s="8"/>
      <c r="H1630" s="8"/>
      <c r="I1630" s="8"/>
      <c r="J1630" s="8"/>
      <c r="K1630" s="8"/>
      <c r="L1630" s="8"/>
      <c r="M1630" s="8"/>
      <c r="N1630" s="8"/>
      <c r="O1630" s="8"/>
    </row>
    <row r="1631" ht="13.65" customHeight="1">
      <c r="A1631" s="8"/>
      <c r="B1631" s="8"/>
      <c r="C1631" s="8"/>
      <c r="D1631" s="8"/>
      <c r="E1631" s="8"/>
      <c r="F1631" s="8"/>
      <c r="G1631" s="8"/>
      <c r="H1631" s="8"/>
      <c r="I1631" s="8"/>
      <c r="J1631" s="8"/>
      <c r="K1631" s="8"/>
      <c r="L1631" s="8"/>
      <c r="M1631" s="8"/>
      <c r="N1631" s="8"/>
      <c r="O1631" s="8"/>
    </row>
    <row r="1632" ht="13.65" customHeight="1">
      <c r="A1632" s="8"/>
      <c r="B1632" s="8"/>
      <c r="C1632" s="8"/>
      <c r="D1632" s="8"/>
      <c r="E1632" s="8"/>
      <c r="F1632" s="8"/>
      <c r="G1632" s="8"/>
      <c r="H1632" s="8"/>
      <c r="I1632" s="8"/>
      <c r="J1632" s="8"/>
      <c r="K1632" s="8"/>
      <c r="L1632" s="8"/>
      <c r="M1632" s="8"/>
      <c r="N1632" s="8"/>
      <c r="O1632" s="8"/>
    </row>
    <row r="1633" ht="13.65" customHeight="1">
      <c r="A1633" s="8"/>
      <c r="B1633" s="8"/>
      <c r="C1633" s="8"/>
      <c r="D1633" s="8"/>
      <c r="E1633" s="8"/>
      <c r="F1633" s="8"/>
      <c r="G1633" s="8"/>
      <c r="H1633" s="8"/>
      <c r="I1633" s="8"/>
      <c r="J1633" s="8"/>
      <c r="K1633" s="8"/>
      <c r="L1633" s="8"/>
      <c r="M1633" s="8"/>
      <c r="N1633" s="8"/>
      <c r="O1633" s="8"/>
    </row>
    <row r="1634" ht="13.65" customHeight="1">
      <c r="A1634" s="8"/>
      <c r="B1634" s="8"/>
      <c r="C1634" s="8"/>
      <c r="D1634" s="8"/>
      <c r="E1634" s="8"/>
      <c r="F1634" s="8"/>
      <c r="G1634" s="8"/>
      <c r="H1634" s="8"/>
      <c r="I1634" s="8"/>
      <c r="J1634" s="8"/>
      <c r="K1634" s="8"/>
      <c r="L1634" s="8"/>
      <c r="M1634" s="8"/>
      <c r="N1634" s="8"/>
      <c r="O1634" s="8"/>
    </row>
    <row r="1635" ht="13.65" customHeight="1">
      <c r="A1635" s="8"/>
      <c r="B1635" s="8"/>
      <c r="C1635" s="8"/>
      <c r="D1635" s="8"/>
      <c r="E1635" s="8"/>
      <c r="F1635" s="8"/>
      <c r="G1635" s="8"/>
      <c r="H1635" s="8"/>
      <c r="I1635" s="8"/>
      <c r="J1635" s="8"/>
      <c r="K1635" s="8"/>
      <c r="L1635" s="8"/>
      <c r="M1635" s="8"/>
      <c r="N1635" s="8"/>
      <c r="O1635" s="8"/>
    </row>
    <row r="1636" ht="13.65" customHeight="1">
      <c r="A1636" s="8"/>
      <c r="B1636" s="8"/>
      <c r="C1636" s="8"/>
      <c r="D1636" s="8"/>
      <c r="E1636" s="8"/>
      <c r="F1636" s="8"/>
      <c r="G1636" s="8"/>
      <c r="H1636" s="8"/>
      <c r="I1636" s="8"/>
      <c r="J1636" s="8"/>
      <c r="K1636" s="8"/>
      <c r="L1636" s="8"/>
      <c r="M1636" s="8"/>
      <c r="N1636" s="8"/>
      <c r="O1636" s="8"/>
    </row>
    <row r="1637" ht="13.65" customHeight="1">
      <c r="A1637" s="8"/>
      <c r="B1637" s="8"/>
      <c r="C1637" s="8"/>
      <c r="D1637" s="8"/>
      <c r="E1637" s="8"/>
      <c r="F1637" s="8"/>
      <c r="G1637" s="8"/>
      <c r="H1637" s="8"/>
      <c r="I1637" s="8"/>
      <c r="J1637" s="8"/>
      <c r="K1637" s="8"/>
      <c r="L1637" s="8"/>
      <c r="M1637" s="8"/>
      <c r="N1637" s="8"/>
      <c r="O1637" s="8"/>
    </row>
    <row r="1638" ht="13.65" customHeight="1">
      <c r="A1638" s="8"/>
      <c r="B1638" s="8"/>
      <c r="C1638" s="8"/>
      <c r="D1638" s="8"/>
      <c r="E1638" s="8"/>
      <c r="F1638" s="8"/>
      <c r="G1638" s="8"/>
      <c r="H1638" s="8"/>
      <c r="I1638" s="8"/>
      <c r="J1638" s="8"/>
      <c r="K1638" s="8"/>
      <c r="L1638" s="8"/>
      <c r="M1638" s="8"/>
      <c r="N1638" s="8"/>
      <c r="O1638" s="8"/>
    </row>
    <row r="1639" ht="13.65" customHeight="1">
      <c r="A1639" s="8"/>
      <c r="B1639" s="8"/>
      <c r="C1639" s="8"/>
      <c r="D1639" s="8"/>
      <c r="E1639" s="8"/>
      <c r="F1639" s="8"/>
      <c r="G1639" s="8"/>
      <c r="H1639" s="8"/>
      <c r="I1639" s="8"/>
      <c r="J1639" s="8"/>
      <c r="K1639" s="8"/>
      <c r="L1639" s="8"/>
      <c r="M1639" s="8"/>
      <c r="N1639" s="8"/>
      <c r="O1639" s="8"/>
    </row>
    <row r="1640" ht="13.65" customHeight="1">
      <c r="A1640" s="8"/>
      <c r="B1640" s="8"/>
      <c r="C1640" s="8"/>
      <c r="D1640" s="8"/>
      <c r="E1640" s="8"/>
      <c r="F1640" s="8"/>
      <c r="G1640" s="8"/>
      <c r="H1640" s="8"/>
      <c r="I1640" s="8"/>
      <c r="J1640" s="8"/>
      <c r="K1640" s="8"/>
      <c r="L1640" s="8"/>
      <c r="M1640" s="8"/>
      <c r="N1640" s="8"/>
      <c r="O1640" s="8"/>
    </row>
    <row r="1641" ht="13.65" customHeight="1">
      <c r="A1641" s="8"/>
      <c r="B1641" s="8"/>
      <c r="C1641" s="8"/>
      <c r="D1641" s="8"/>
      <c r="E1641" s="8"/>
      <c r="F1641" s="8"/>
      <c r="G1641" s="8"/>
      <c r="H1641" s="8"/>
      <c r="I1641" s="8"/>
      <c r="J1641" s="8"/>
      <c r="K1641" s="8"/>
      <c r="L1641" s="8"/>
      <c r="M1641" s="8"/>
      <c r="N1641" s="8"/>
      <c r="O1641" s="8"/>
    </row>
    <row r="1642" ht="13.65" customHeight="1">
      <c r="A1642" s="8"/>
      <c r="B1642" s="8"/>
      <c r="C1642" s="8"/>
      <c r="D1642" s="8"/>
      <c r="E1642" s="8"/>
      <c r="F1642" s="8"/>
      <c r="G1642" s="8"/>
      <c r="H1642" s="8"/>
      <c r="I1642" s="8"/>
      <c r="J1642" s="8"/>
      <c r="K1642" s="8"/>
      <c r="L1642" s="8"/>
      <c r="M1642" s="8"/>
      <c r="N1642" s="8"/>
      <c r="O1642" s="8"/>
    </row>
    <row r="1643" ht="13.65" customHeight="1">
      <c r="A1643" s="8"/>
      <c r="B1643" s="8"/>
      <c r="C1643" s="8"/>
      <c r="D1643" s="8"/>
      <c r="E1643" s="8"/>
      <c r="F1643" s="8"/>
      <c r="G1643" s="8"/>
      <c r="H1643" s="8"/>
      <c r="I1643" s="8"/>
      <c r="J1643" s="8"/>
      <c r="K1643" s="8"/>
      <c r="L1643" s="8"/>
      <c r="M1643" s="8"/>
      <c r="N1643" s="8"/>
      <c r="O1643" s="8"/>
    </row>
    <row r="1644" ht="13.65" customHeight="1">
      <c r="A1644" s="8"/>
      <c r="B1644" s="8"/>
      <c r="C1644" s="8"/>
      <c r="D1644" s="8"/>
      <c r="E1644" s="8"/>
      <c r="F1644" s="8"/>
      <c r="G1644" s="8"/>
      <c r="H1644" s="8"/>
      <c r="I1644" s="8"/>
      <c r="J1644" s="8"/>
      <c r="K1644" s="8"/>
      <c r="L1644" s="8"/>
      <c r="M1644" s="8"/>
      <c r="N1644" s="8"/>
      <c r="O1644" s="8"/>
    </row>
    <row r="1645" ht="13.65" customHeight="1">
      <c r="A1645" s="8"/>
      <c r="B1645" s="8"/>
      <c r="C1645" s="8"/>
      <c r="D1645" s="8"/>
      <c r="E1645" s="8"/>
      <c r="F1645" s="8"/>
      <c r="G1645" s="8"/>
      <c r="H1645" s="8"/>
      <c r="I1645" s="8"/>
      <c r="J1645" s="8"/>
      <c r="K1645" s="8"/>
      <c r="L1645" s="8"/>
      <c r="M1645" s="8"/>
      <c r="N1645" s="8"/>
      <c r="O1645" s="8"/>
    </row>
    <row r="1646" ht="13.65" customHeight="1">
      <c r="A1646" s="8"/>
      <c r="B1646" s="8"/>
      <c r="C1646" s="8"/>
      <c r="D1646" s="8"/>
      <c r="E1646" s="8"/>
      <c r="F1646" s="8"/>
      <c r="G1646" s="8"/>
      <c r="H1646" s="8"/>
      <c r="I1646" s="8"/>
      <c r="J1646" s="8"/>
      <c r="K1646" s="8"/>
      <c r="L1646" s="8"/>
      <c r="M1646" s="8"/>
      <c r="N1646" s="8"/>
      <c r="O1646" s="8"/>
    </row>
    <row r="1647" ht="13.65" customHeight="1">
      <c r="A1647" s="8"/>
      <c r="B1647" s="8"/>
      <c r="C1647" s="8"/>
      <c r="D1647" s="8"/>
      <c r="E1647" s="8"/>
      <c r="F1647" s="8"/>
      <c r="G1647" s="8"/>
      <c r="H1647" s="8"/>
      <c r="I1647" s="8"/>
      <c r="J1647" s="8"/>
      <c r="K1647" s="8"/>
      <c r="L1647" s="8"/>
      <c r="M1647" s="8"/>
      <c r="N1647" s="8"/>
      <c r="O1647" s="8"/>
    </row>
    <row r="1648" ht="13.65" customHeight="1">
      <c r="A1648" s="8"/>
      <c r="B1648" s="8"/>
      <c r="C1648" s="8"/>
      <c r="D1648" s="8"/>
      <c r="E1648" s="8"/>
      <c r="F1648" s="8"/>
      <c r="G1648" s="8"/>
      <c r="H1648" s="8"/>
      <c r="I1648" s="8"/>
      <c r="J1648" s="8"/>
      <c r="K1648" s="8"/>
      <c r="L1648" s="8"/>
      <c r="M1648" s="8"/>
      <c r="N1648" s="8"/>
      <c r="O1648" s="8"/>
    </row>
    <row r="1649" ht="13.65" customHeight="1">
      <c r="A1649" s="8"/>
      <c r="B1649" s="8"/>
      <c r="C1649" s="8"/>
      <c r="D1649" s="8"/>
      <c r="E1649" s="8"/>
      <c r="F1649" s="8"/>
      <c r="G1649" s="8"/>
      <c r="H1649" s="8"/>
      <c r="I1649" s="8"/>
      <c r="J1649" s="8"/>
      <c r="K1649" s="8"/>
      <c r="L1649" s="8"/>
      <c r="M1649" s="8"/>
      <c r="N1649" s="8"/>
      <c r="O1649" s="8"/>
    </row>
    <row r="1650" ht="13.65" customHeight="1">
      <c r="A1650" s="8"/>
      <c r="B1650" s="8"/>
      <c r="C1650" s="8"/>
      <c r="D1650" s="8"/>
      <c r="E1650" s="8"/>
      <c r="F1650" s="8"/>
      <c r="G1650" s="8"/>
      <c r="H1650" s="8"/>
      <c r="I1650" s="8"/>
      <c r="J1650" s="8"/>
      <c r="K1650" s="8"/>
      <c r="L1650" s="8"/>
      <c r="M1650" s="8"/>
      <c r="N1650" s="8"/>
      <c r="O1650" s="8"/>
    </row>
    <row r="1651" ht="13.65" customHeight="1">
      <c r="A1651" s="8"/>
      <c r="B1651" s="8"/>
      <c r="C1651" s="8"/>
      <c r="D1651" s="8"/>
      <c r="E1651" s="8"/>
      <c r="F1651" s="8"/>
      <c r="G1651" s="8"/>
      <c r="H1651" s="8"/>
      <c r="I1651" s="8"/>
      <c r="J1651" s="8"/>
      <c r="K1651" s="8"/>
      <c r="L1651" s="8"/>
      <c r="M1651" s="8"/>
      <c r="N1651" s="8"/>
      <c r="O1651" s="8"/>
    </row>
    <row r="1652" ht="13.65" customHeight="1">
      <c r="A1652" s="8"/>
      <c r="B1652" s="8"/>
      <c r="C1652" s="8"/>
      <c r="D1652" s="8"/>
      <c r="E1652" s="8"/>
      <c r="F1652" s="8"/>
      <c r="G1652" s="8"/>
      <c r="H1652" s="8"/>
      <c r="I1652" s="8"/>
      <c r="J1652" s="8"/>
      <c r="K1652" s="8"/>
      <c r="L1652" s="8"/>
      <c r="M1652" s="8"/>
      <c r="N1652" s="8"/>
      <c r="O1652" s="8"/>
    </row>
    <row r="1653" ht="13.65" customHeight="1">
      <c r="A1653" s="8"/>
      <c r="B1653" s="8"/>
      <c r="C1653" s="8"/>
      <c r="D1653" s="8"/>
      <c r="E1653" s="8"/>
      <c r="F1653" s="8"/>
      <c r="G1653" s="8"/>
      <c r="H1653" s="8"/>
      <c r="I1653" s="8"/>
      <c r="J1653" s="8"/>
      <c r="K1653" s="8"/>
      <c r="L1653" s="8"/>
      <c r="M1653" s="8"/>
      <c r="N1653" s="8"/>
      <c r="O1653" s="8"/>
    </row>
    <row r="1654" ht="13.65" customHeight="1">
      <c r="A1654" s="8"/>
      <c r="B1654" s="8"/>
      <c r="C1654" s="8"/>
      <c r="D1654" s="8"/>
      <c r="E1654" s="8"/>
      <c r="F1654" s="8"/>
      <c r="G1654" s="8"/>
      <c r="H1654" s="8"/>
      <c r="I1654" s="8"/>
      <c r="J1654" s="8"/>
      <c r="K1654" s="8"/>
      <c r="L1654" s="8"/>
      <c r="M1654" s="8"/>
      <c r="N1654" s="8"/>
      <c r="O1654" s="8"/>
    </row>
    <row r="1655" ht="13.65" customHeight="1">
      <c r="A1655" s="8"/>
      <c r="B1655" s="8"/>
      <c r="C1655" s="8"/>
      <c r="D1655" s="8"/>
      <c r="E1655" s="8"/>
      <c r="F1655" s="8"/>
      <c r="G1655" s="8"/>
      <c r="H1655" s="8"/>
      <c r="I1655" s="8"/>
      <c r="J1655" s="8"/>
      <c r="K1655" s="8"/>
      <c r="L1655" s="8"/>
      <c r="M1655" s="8"/>
      <c r="N1655" s="8"/>
      <c r="O1655" s="8"/>
    </row>
    <row r="1656" ht="13.65" customHeight="1">
      <c r="A1656" s="8"/>
      <c r="B1656" s="8"/>
      <c r="C1656" s="8"/>
      <c r="D1656" s="8"/>
      <c r="E1656" s="8"/>
      <c r="F1656" s="8"/>
      <c r="G1656" s="8"/>
      <c r="H1656" s="8"/>
      <c r="I1656" s="8"/>
      <c r="J1656" s="8"/>
      <c r="K1656" s="8"/>
      <c r="L1656" s="8"/>
      <c r="M1656" s="8"/>
      <c r="N1656" s="8"/>
      <c r="O1656" s="8"/>
    </row>
    <row r="1657" ht="13.65" customHeight="1">
      <c r="A1657" s="8"/>
      <c r="B1657" s="8"/>
      <c r="C1657" s="8"/>
      <c r="D1657" s="8"/>
      <c r="E1657" s="8"/>
      <c r="F1657" s="8"/>
      <c r="G1657" s="8"/>
      <c r="H1657" s="8"/>
      <c r="I1657" s="8"/>
      <c r="J1657" s="8"/>
      <c r="K1657" s="8"/>
      <c r="L1657" s="8"/>
      <c r="M1657" s="8"/>
      <c r="N1657" s="8"/>
      <c r="O1657" s="8"/>
    </row>
    <row r="1658" ht="13.65" customHeight="1">
      <c r="A1658" s="8"/>
      <c r="B1658" s="8"/>
      <c r="C1658" s="8"/>
      <c r="D1658" s="8"/>
      <c r="E1658" s="8"/>
      <c r="F1658" s="8"/>
      <c r="G1658" s="8"/>
      <c r="H1658" s="8"/>
      <c r="I1658" s="8"/>
      <c r="J1658" s="8"/>
      <c r="K1658" s="8"/>
      <c r="L1658" s="8"/>
      <c r="M1658" s="8"/>
      <c r="N1658" s="8"/>
      <c r="O1658" s="8"/>
    </row>
    <row r="1659" ht="13.65" customHeight="1">
      <c r="A1659" s="8"/>
      <c r="B1659" s="8"/>
      <c r="C1659" s="8"/>
      <c r="D1659" s="8"/>
      <c r="E1659" s="8"/>
      <c r="F1659" s="8"/>
      <c r="G1659" s="8"/>
      <c r="H1659" s="8"/>
      <c r="I1659" s="8"/>
      <c r="J1659" s="8"/>
      <c r="K1659" s="8"/>
      <c r="L1659" s="8"/>
      <c r="M1659" s="8"/>
      <c r="N1659" s="8"/>
      <c r="O1659" s="8"/>
    </row>
    <row r="1660" ht="13.65" customHeight="1">
      <c r="A1660" s="8"/>
      <c r="B1660" s="8"/>
      <c r="C1660" s="8"/>
      <c r="D1660" s="8"/>
      <c r="E1660" s="8"/>
      <c r="F1660" s="8"/>
      <c r="G1660" s="8"/>
      <c r="H1660" s="8"/>
      <c r="I1660" s="8"/>
      <c r="J1660" s="8"/>
      <c r="K1660" s="8"/>
      <c r="L1660" s="8"/>
      <c r="M1660" s="8"/>
      <c r="N1660" s="8"/>
      <c r="O1660" s="8"/>
    </row>
    <row r="1661" ht="13.65" customHeight="1">
      <c r="A1661" s="8"/>
      <c r="B1661" s="8"/>
      <c r="C1661" s="8"/>
      <c r="D1661" s="8"/>
      <c r="E1661" s="8"/>
      <c r="F1661" s="8"/>
      <c r="G1661" s="8"/>
      <c r="H1661" s="8"/>
      <c r="I1661" s="8"/>
      <c r="J1661" s="8"/>
      <c r="K1661" s="8"/>
      <c r="L1661" s="8"/>
      <c r="M1661" s="8"/>
      <c r="N1661" s="8"/>
      <c r="O1661" s="8"/>
    </row>
    <row r="1662" ht="13.65" customHeight="1">
      <c r="A1662" s="8"/>
      <c r="B1662" s="8"/>
      <c r="C1662" s="8"/>
      <c r="D1662" s="8"/>
      <c r="E1662" s="8"/>
      <c r="F1662" s="8"/>
      <c r="G1662" s="8"/>
      <c r="H1662" s="8"/>
      <c r="I1662" s="8"/>
      <c r="J1662" s="8"/>
      <c r="K1662" s="8"/>
      <c r="L1662" s="8"/>
      <c r="M1662" s="8"/>
      <c r="N1662" s="8"/>
      <c r="O1662" s="8"/>
    </row>
    <row r="1663" ht="13.65" customHeight="1">
      <c r="A1663" s="8"/>
      <c r="B1663" s="8"/>
      <c r="C1663" s="8"/>
      <c r="D1663" s="8"/>
      <c r="E1663" s="8"/>
      <c r="F1663" s="8"/>
      <c r="G1663" s="8"/>
      <c r="H1663" s="8"/>
      <c r="I1663" s="8"/>
      <c r="J1663" s="8"/>
      <c r="K1663" s="8"/>
      <c r="L1663" s="8"/>
      <c r="M1663" s="8"/>
      <c r="N1663" s="8"/>
      <c r="O1663" s="8"/>
    </row>
    <row r="1664" ht="13.65" customHeight="1">
      <c r="A1664" s="8"/>
      <c r="B1664" s="8"/>
      <c r="C1664" s="8"/>
      <c r="D1664" s="8"/>
      <c r="E1664" s="8"/>
      <c r="F1664" s="8"/>
      <c r="G1664" s="8"/>
      <c r="H1664" s="8"/>
      <c r="I1664" s="8"/>
      <c r="J1664" s="8"/>
      <c r="K1664" s="8"/>
      <c r="L1664" s="8"/>
      <c r="M1664" s="8"/>
      <c r="N1664" s="8"/>
      <c r="O1664" s="8"/>
    </row>
    <row r="1665" ht="13.65" customHeight="1">
      <c r="A1665" s="8"/>
      <c r="B1665" s="8"/>
      <c r="C1665" s="8"/>
      <c r="D1665" s="8"/>
      <c r="E1665" s="8"/>
      <c r="F1665" s="8"/>
      <c r="G1665" s="8"/>
      <c r="H1665" s="8"/>
      <c r="I1665" s="8"/>
      <c r="J1665" s="8"/>
      <c r="K1665" s="8"/>
      <c r="L1665" s="8"/>
      <c r="M1665" s="8"/>
      <c r="N1665" s="8"/>
      <c r="O1665" s="8"/>
    </row>
    <row r="1666" ht="13.65" customHeight="1">
      <c r="A1666" s="8"/>
      <c r="B1666" s="8"/>
      <c r="C1666" s="8"/>
      <c r="D1666" s="8"/>
      <c r="E1666" s="8"/>
      <c r="F1666" s="8"/>
      <c r="G1666" s="8"/>
      <c r="H1666" s="8"/>
      <c r="I1666" s="8"/>
      <c r="J1666" s="8"/>
      <c r="K1666" s="8"/>
      <c r="L1666" s="8"/>
      <c r="M1666" s="8"/>
      <c r="N1666" s="8"/>
      <c r="O1666" s="8"/>
    </row>
    <row r="1667" ht="13.65" customHeight="1">
      <c r="A1667" s="8"/>
      <c r="B1667" s="8"/>
      <c r="C1667" s="8"/>
      <c r="D1667" s="8"/>
      <c r="E1667" s="8"/>
      <c r="F1667" s="8"/>
      <c r="G1667" s="8"/>
      <c r="H1667" s="8"/>
      <c r="I1667" s="8"/>
      <c r="J1667" s="8"/>
      <c r="K1667" s="8"/>
      <c r="L1667" s="8"/>
      <c r="M1667" s="8"/>
      <c r="N1667" s="8"/>
      <c r="O1667" s="8"/>
    </row>
    <row r="1668" ht="13.65" customHeight="1">
      <c r="A1668" s="8"/>
      <c r="B1668" s="8"/>
      <c r="C1668" s="8"/>
      <c r="D1668" s="8"/>
      <c r="E1668" s="8"/>
      <c r="F1668" s="8"/>
      <c r="G1668" s="8"/>
      <c r="H1668" s="8"/>
      <c r="I1668" s="8"/>
      <c r="J1668" s="8"/>
      <c r="K1668" s="8"/>
      <c r="L1668" s="8"/>
      <c r="M1668" s="8"/>
      <c r="N1668" s="8"/>
      <c r="O1668" s="8"/>
    </row>
    <row r="1669" ht="13.65" customHeight="1">
      <c r="A1669" s="8"/>
      <c r="B1669" s="8"/>
      <c r="C1669" s="8"/>
      <c r="D1669" s="8"/>
      <c r="E1669" s="8"/>
      <c r="F1669" s="8"/>
      <c r="G1669" s="8"/>
      <c r="H1669" s="8"/>
      <c r="I1669" s="8"/>
      <c r="J1669" s="8"/>
      <c r="K1669" s="8"/>
      <c r="L1669" s="8"/>
      <c r="M1669" s="8"/>
      <c r="N1669" s="8"/>
      <c r="O1669" s="8"/>
    </row>
    <row r="1670" ht="13.65" customHeight="1">
      <c r="A1670" s="8"/>
      <c r="B1670" s="8"/>
      <c r="C1670" s="8"/>
      <c r="D1670" s="8"/>
      <c r="E1670" s="8"/>
      <c r="F1670" s="8"/>
      <c r="G1670" s="8"/>
      <c r="H1670" s="8"/>
      <c r="I1670" s="8"/>
      <c r="J1670" s="8"/>
      <c r="K1670" s="8"/>
      <c r="L1670" s="8"/>
      <c r="M1670" s="8"/>
      <c r="N1670" s="8"/>
      <c r="O1670" s="8"/>
    </row>
    <row r="1671" ht="13.65" customHeight="1">
      <c r="A1671" s="8"/>
      <c r="B1671" s="8"/>
      <c r="C1671" s="8"/>
      <c r="D1671" s="8"/>
      <c r="E1671" s="8"/>
      <c r="F1671" s="8"/>
      <c r="G1671" s="8"/>
      <c r="H1671" s="8"/>
      <c r="I1671" s="8"/>
      <c r="J1671" s="8"/>
      <c r="K1671" s="8"/>
      <c r="L1671" s="8"/>
      <c r="M1671" s="8"/>
      <c r="N1671" s="8"/>
      <c r="O1671" s="8"/>
    </row>
    <row r="1672" ht="13.65" customHeight="1">
      <c r="A1672" s="8"/>
      <c r="B1672" s="8"/>
      <c r="C1672" s="8"/>
      <c r="D1672" s="8"/>
      <c r="E1672" s="8"/>
      <c r="F1672" s="8"/>
      <c r="G1672" s="8"/>
      <c r="H1672" s="8"/>
      <c r="I1672" s="8"/>
      <c r="J1672" s="8"/>
      <c r="K1672" s="8"/>
      <c r="L1672" s="8"/>
      <c r="M1672" s="8"/>
      <c r="N1672" s="8"/>
      <c r="O1672" s="8"/>
    </row>
    <row r="1673" ht="13.65" customHeight="1">
      <c r="A1673" s="8"/>
      <c r="B1673" s="8"/>
      <c r="C1673" s="8"/>
      <c r="D1673" s="8"/>
      <c r="E1673" s="8"/>
      <c r="F1673" s="8"/>
      <c r="G1673" s="8"/>
      <c r="H1673" s="8"/>
      <c r="I1673" s="8"/>
      <c r="J1673" s="8"/>
      <c r="K1673" s="8"/>
      <c r="L1673" s="8"/>
      <c r="M1673" s="8"/>
      <c r="N1673" s="8"/>
      <c r="O1673" s="8"/>
    </row>
    <row r="1674" ht="13.65" customHeight="1">
      <c r="A1674" s="8"/>
      <c r="B1674" s="8"/>
      <c r="C1674" s="8"/>
      <c r="D1674" s="8"/>
      <c r="E1674" s="8"/>
      <c r="F1674" s="8"/>
      <c r="G1674" s="8"/>
      <c r="H1674" s="8"/>
      <c r="I1674" s="8"/>
      <c r="J1674" s="8"/>
      <c r="K1674" s="8"/>
      <c r="L1674" s="8"/>
      <c r="M1674" s="8"/>
      <c r="N1674" s="8"/>
      <c r="O1674" s="8"/>
    </row>
    <row r="1675" ht="13.65" customHeight="1">
      <c r="A1675" s="8"/>
      <c r="B1675" s="8"/>
      <c r="C1675" s="8"/>
      <c r="D1675" s="8"/>
      <c r="E1675" s="8"/>
      <c r="F1675" s="8"/>
      <c r="G1675" s="8"/>
      <c r="H1675" s="8"/>
      <c r="I1675" s="8"/>
      <c r="J1675" s="8"/>
      <c r="K1675" s="8"/>
      <c r="L1675" s="8"/>
      <c r="M1675" s="8"/>
      <c r="N1675" s="8"/>
      <c r="O1675" s="8"/>
    </row>
    <row r="1676" ht="13.65" customHeight="1">
      <c r="A1676" s="8"/>
      <c r="B1676" s="8"/>
      <c r="C1676" s="8"/>
      <c r="D1676" s="8"/>
      <c r="E1676" s="8"/>
      <c r="F1676" s="8"/>
      <c r="G1676" s="8"/>
      <c r="H1676" s="8"/>
      <c r="I1676" s="8"/>
      <c r="J1676" s="8"/>
      <c r="K1676" s="8"/>
      <c r="L1676" s="8"/>
      <c r="M1676" s="8"/>
      <c r="N1676" s="8"/>
      <c r="O1676" s="8"/>
    </row>
    <row r="1677" ht="13.65" customHeight="1">
      <c r="A1677" s="8"/>
      <c r="B1677" s="8"/>
      <c r="C1677" s="8"/>
      <c r="D1677" s="8"/>
      <c r="E1677" s="8"/>
      <c r="F1677" s="8"/>
      <c r="G1677" s="8"/>
      <c r="H1677" s="8"/>
      <c r="I1677" s="8"/>
      <c r="J1677" s="8"/>
      <c r="K1677" s="8"/>
      <c r="L1677" s="8"/>
      <c r="M1677" s="8"/>
      <c r="N1677" s="8"/>
      <c r="O1677" s="8"/>
    </row>
    <row r="1678" ht="13.65" customHeight="1">
      <c r="A1678" s="8"/>
      <c r="B1678" s="8"/>
      <c r="C1678" s="8"/>
      <c r="D1678" s="8"/>
      <c r="E1678" s="8"/>
      <c r="F1678" s="8"/>
      <c r="G1678" s="8"/>
      <c r="H1678" s="8"/>
      <c r="I1678" s="8"/>
      <c r="J1678" s="8"/>
      <c r="K1678" s="8"/>
      <c r="L1678" s="8"/>
      <c r="M1678" s="8"/>
      <c r="N1678" s="8"/>
      <c r="O1678" s="8"/>
    </row>
    <row r="1679" ht="13.65" customHeight="1">
      <c r="A1679" s="8"/>
      <c r="B1679" s="8"/>
      <c r="C1679" s="8"/>
      <c r="D1679" s="8"/>
      <c r="E1679" s="8"/>
      <c r="F1679" s="8"/>
      <c r="G1679" s="8"/>
      <c r="H1679" s="8"/>
      <c r="I1679" s="8"/>
      <c r="J1679" s="8"/>
      <c r="K1679" s="8"/>
      <c r="L1679" s="8"/>
      <c r="M1679" s="8"/>
      <c r="N1679" s="8"/>
      <c r="O1679" s="8"/>
    </row>
    <row r="1680" ht="13.65" customHeight="1">
      <c r="A1680" s="8"/>
      <c r="B1680" s="8"/>
      <c r="C1680" s="8"/>
      <c r="D1680" s="8"/>
      <c r="E1680" s="8"/>
      <c r="F1680" s="8"/>
      <c r="G1680" s="8"/>
      <c r="H1680" s="8"/>
      <c r="I1680" s="8"/>
      <c r="J1680" s="8"/>
      <c r="K1680" s="8"/>
      <c r="L1680" s="8"/>
      <c r="M1680" s="8"/>
      <c r="N1680" s="8"/>
      <c r="O1680" s="8"/>
    </row>
    <row r="1681" ht="13.65" customHeight="1">
      <c r="A1681" s="8"/>
      <c r="B1681" s="8"/>
      <c r="C1681" s="8"/>
      <c r="D1681" s="8"/>
      <c r="E1681" s="8"/>
      <c r="F1681" s="8"/>
      <c r="G1681" s="8"/>
      <c r="H1681" s="8"/>
      <c r="I1681" s="8"/>
      <c r="J1681" s="8"/>
      <c r="K1681" s="8"/>
      <c r="L1681" s="8"/>
      <c r="M1681" s="8"/>
      <c r="N1681" s="8"/>
      <c r="O1681" s="8"/>
    </row>
    <row r="1682" ht="13.65" customHeight="1">
      <c r="A1682" s="8"/>
      <c r="B1682" s="8"/>
      <c r="C1682" s="8"/>
      <c r="D1682" s="8"/>
      <c r="E1682" s="8"/>
      <c r="F1682" s="8"/>
      <c r="G1682" s="8"/>
      <c r="H1682" s="8"/>
      <c r="I1682" s="8"/>
      <c r="J1682" s="8"/>
      <c r="K1682" s="8"/>
      <c r="L1682" s="8"/>
      <c r="M1682" s="8"/>
      <c r="N1682" s="8"/>
      <c r="O1682" s="8"/>
    </row>
    <row r="1683" ht="13.65" customHeight="1">
      <c r="A1683" s="8"/>
      <c r="B1683" s="8"/>
      <c r="C1683" s="8"/>
      <c r="D1683" s="8"/>
      <c r="E1683" s="8"/>
      <c r="F1683" s="8"/>
      <c r="G1683" s="8"/>
      <c r="H1683" s="8"/>
      <c r="I1683" s="8"/>
      <c r="J1683" s="8"/>
      <c r="K1683" s="8"/>
      <c r="L1683" s="8"/>
      <c r="M1683" s="8"/>
      <c r="N1683" s="8"/>
      <c r="O1683" s="8"/>
    </row>
    <row r="1684" ht="13.65" customHeight="1">
      <c r="A1684" s="8"/>
      <c r="B1684" s="8"/>
      <c r="C1684" s="8"/>
      <c r="D1684" s="8"/>
      <c r="E1684" s="8"/>
      <c r="F1684" s="8"/>
      <c r="G1684" s="8"/>
      <c r="H1684" s="8"/>
      <c r="I1684" s="8"/>
      <c r="J1684" s="8"/>
      <c r="K1684" s="8"/>
      <c r="L1684" s="8"/>
      <c r="M1684" s="8"/>
      <c r="N1684" s="8"/>
      <c r="O1684" s="8"/>
    </row>
    <row r="1685" ht="13.65" customHeight="1">
      <c r="A1685" s="8"/>
      <c r="B1685" s="8"/>
      <c r="C1685" s="8"/>
      <c r="D1685" s="8"/>
      <c r="E1685" s="8"/>
      <c r="F1685" s="8"/>
      <c r="G1685" s="8"/>
      <c r="H1685" s="8"/>
      <c r="I1685" s="8"/>
      <c r="J1685" s="8"/>
      <c r="K1685" s="8"/>
      <c r="L1685" s="8"/>
      <c r="M1685" s="8"/>
      <c r="N1685" s="8"/>
      <c r="O1685" s="8"/>
    </row>
    <row r="1686" ht="13.65" customHeight="1">
      <c r="A1686" s="8"/>
      <c r="B1686" s="8"/>
      <c r="C1686" s="8"/>
      <c r="D1686" s="8"/>
      <c r="E1686" s="8"/>
      <c r="F1686" s="8"/>
      <c r="G1686" s="8"/>
      <c r="H1686" s="8"/>
      <c r="I1686" s="8"/>
      <c r="J1686" s="8"/>
      <c r="K1686" s="8"/>
      <c r="L1686" s="8"/>
      <c r="M1686" s="8"/>
      <c r="N1686" s="8"/>
      <c r="O1686" s="8"/>
    </row>
    <row r="1687" ht="13.65" customHeight="1">
      <c r="A1687" s="8"/>
      <c r="B1687" s="8"/>
      <c r="C1687" s="8"/>
      <c r="D1687" s="8"/>
      <c r="E1687" s="8"/>
      <c r="F1687" s="8"/>
      <c r="G1687" s="8"/>
      <c r="H1687" s="8"/>
      <c r="I1687" s="8"/>
      <c r="J1687" s="8"/>
      <c r="K1687" s="8"/>
      <c r="L1687" s="8"/>
      <c r="M1687" s="8"/>
      <c r="N1687" s="8"/>
      <c r="O1687" s="8"/>
    </row>
    <row r="1688" ht="13.65" customHeight="1">
      <c r="A1688" s="8"/>
      <c r="B1688" s="8"/>
      <c r="C1688" s="8"/>
      <c r="D1688" s="8"/>
      <c r="E1688" s="8"/>
      <c r="F1688" s="8"/>
      <c r="G1688" s="8"/>
      <c r="H1688" s="8"/>
      <c r="I1688" s="8"/>
      <c r="J1688" s="8"/>
      <c r="K1688" s="8"/>
      <c r="L1688" s="8"/>
      <c r="M1688" s="8"/>
      <c r="N1688" s="8"/>
      <c r="O1688" s="8"/>
    </row>
    <row r="1689" ht="13.65" customHeight="1">
      <c r="A1689" s="8"/>
      <c r="B1689" s="8"/>
      <c r="C1689" s="8"/>
      <c r="D1689" s="8"/>
      <c r="E1689" s="8"/>
      <c r="F1689" s="8"/>
      <c r="G1689" s="8"/>
      <c r="H1689" s="8"/>
      <c r="I1689" s="8"/>
      <c r="J1689" s="8"/>
      <c r="K1689" s="8"/>
      <c r="L1689" s="8"/>
      <c r="M1689" s="8"/>
      <c r="N1689" s="8"/>
      <c r="O1689" s="8"/>
    </row>
    <row r="1690" ht="13.65" customHeight="1">
      <c r="A1690" s="8"/>
      <c r="B1690" s="8"/>
      <c r="C1690" s="8"/>
      <c r="D1690" s="8"/>
      <c r="E1690" s="8"/>
      <c r="F1690" s="8"/>
      <c r="G1690" s="8"/>
      <c r="H1690" s="8"/>
      <c r="I1690" s="8"/>
      <c r="J1690" s="8"/>
      <c r="K1690" s="8"/>
      <c r="L1690" s="8"/>
      <c r="M1690" s="8"/>
      <c r="N1690" s="8"/>
      <c r="O1690" s="8"/>
    </row>
    <row r="1691" ht="13.65" customHeight="1">
      <c r="A1691" s="8"/>
      <c r="B1691" s="8"/>
      <c r="C1691" s="8"/>
      <c r="D1691" s="8"/>
      <c r="E1691" s="8"/>
      <c r="F1691" s="8"/>
      <c r="G1691" s="8"/>
      <c r="H1691" s="8"/>
      <c r="I1691" s="8"/>
      <c r="J1691" s="8"/>
      <c r="K1691" s="8"/>
      <c r="L1691" s="8"/>
      <c r="M1691" s="8"/>
      <c r="N1691" s="8"/>
      <c r="O1691" s="8"/>
    </row>
    <row r="1692" ht="13.65" customHeight="1">
      <c r="A1692" s="8"/>
      <c r="B1692" s="8"/>
      <c r="C1692" s="8"/>
      <c r="D1692" s="8"/>
      <c r="E1692" s="8"/>
      <c r="F1692" s="8"/>
      <c r="G1692" s="8"/>
      <c r="H1692" s="8"/>
      <c r="I1692" s="8"/>
      <c r="J1692" s="8"/>
      <c r="K1692" s="8"/>
      <c r="L1692" s="8"/>
      <c r="M1692" s="8"/>
      <c r="N1692" s="8"/>
      <c r="O1692" s="8"/>
    </row>
    <row r="1693" ht="13.65" customHeight="1">
      <c r="A1693" s="8"/>
      <c r="B1693" s="8"/>
      <c r="C1693" s="8"/>
      <c r="D1693" s="8"/>
      <c r="E1693" s="8"/>
      <c r="F1693" s="8"/>
      <c r="G1693" s="8"/>
      <c r="H1693" s="8"/>
      <c r="I1693" s="8"/>
      <c r="J1693" s="8"/>
      <c r="K1693" s="8"/>
      <c r="L1693" s="8"/>
      <c r="M1693" s="8"/>
      <c r="N1693" s="8"/>
      <c r="O1693" s="8"/>
    </row>
    <row r="1694" ht="13.65" customHeight="1">
      <c r="A1694" s="8"/>
      <c r="B1694" s="8"/>
      <c r="C1694" s="8"/>
      <c r="D1694" s="8"/>
      <c r="E1694" s="8"/>
      <c r="F1694" s="8"/>
      <c r="G1694" s="8"/>
      <c r="H1694" s="8"/>
      <c r="I1694" s="8"/>
      <c r="J1694" s="8"/>
      <c r="K1694" s="8"/>
      <c r="L1694" s="8"/>
      <c r="M1694" s="8"/>
      <c r="N1694" s="8"/>
      <c r="O1694" s="8"/>
    </row>
    <row r="1695" ht="13.65" customHeight="1">
      <c r="A1695" s="8"/>
      <c r="B1695" s="8"/>
      <c r="C1695" s="8"/>
      <c r="D1695" s="8"/>
      <c r="E1695" s="8"/>
      <c r="F1695" s="8"/>
      <c r="G1695" s="8"/>
      <c r="H1695" s="8"/>
      <c r="I1695" s="8"/>
      <c r="J1695" s="8"/>
      <c r="K1695" s="8"/>
      <c r="L1695" s="8"/>
      <c r="M1695" s="8"/>
      <c r="N1695" s="8"/>
      <c r="O1695" s="8"/>
    </row>
    <row r="1696" ht="13.65" customHeight="1">
      <c r="A1696" s="8"/>
      <c r="B1696" s="8"/>
      <c r="C1696" s="8"/>
      <c r="D1696" s="8"/>
      <c r="E1696" s="8"/>
      <c r="F1696" s="8"/>
      <c r="G1696" s="8"/>
      <c r="H1696" s="8"/>
      <c r="I1696" s="8"/>
      <c r="J1696" s="8"/>
      <c r="K1696" s="8"/>
      <c r="L1696" s="8"/>
      <c r="M1696" s="8"/>
      <c r="N1696" s="8"/>
      <c r="O1696" s="8"/>
    </row>
    <row r="1697" ht="13.65" customHeight="1">
      <c r="A1697" s="8"/>
      <c r="B1697" s="8"/>
      <c r="C1697" s="8"/>
      <c r="D1697" s="8"/>
      <c r="E1697" s="8"/>
      <c r="F1697" s="8"/>
      <c r="G1697" s="8"/>
      <c r="H1697" s="8"/>
      <c r="I1697" s="8"/>
      <c r="J1697" s="8"/>
      <c r="K1697" s="8"/>
      <c r="L1697" s="8"/>
      <c r="M1697" s="8"/>
      <c r="N1697" s="8"/>
      <c r="O1697" s="8"/>
    </row>
    <row r="1698" ht="13.65" customHeight="1">
      <c r="A1698" s="8"/>
      <c r="B1698" s="8"/>
      <c r="C1698" s="8"/>
      <c r="D1698" s="8"/>
      <c r="E1698" s="8"/>
      <c r="F1698" s="8"/>
      <c r="G1698" s="8"/>
      <c r="H1698" s="8"/>
      <c r="I1698" s="8"/>
      <c r="J1698" s="8"/>
      <c r="K1698" s="8"/>
      <c r="L1698" s="8"/>
      <c r="M1698" s="8"/>
      <c r="N1698" s="8"/>
      <c r="O1698" s="8"/>
    </row>
    <row r="1699" ht="13.65" customHeight="1">
      <c r="A1699" s="8"/>
      <c r="B1699" s="8"/>
      <c r="C1699" s="8"/>
      <c r="D1699" s="8"/>
      <c r="E1699" s="8"/>
      <c r="F1699" s="8"/>
      <c r="G1699" s="8"/>
      <c r="H1699" s="8"/>
      <c r="I1699" s="8"/>
      <c r="J1699" s="8"/>
      <c r="K1699" s="8"/>
      <c r="L1699" s="8"/>
      <c r="M1699" s="8"/>
      <c r="N1699" s="8"/>
      <c r="O1699" s="8"/>
    </row>
    <row r="1700" ht="13.65" customHeight="1">
      <c r="A1700" s="8"/>
      <c r="B1700" s="8"/>
      <c r="C1700" s="8"/>
      <c r="D1700" s="8"/>
      <c r="E1700" s="8"/>
      <c r="F1700" s="8"/>
      <c r="G1700" s="8"/>
      <c r="H1700" s="8"/>
      <c r="I1700" s="8"/>
      <c r="J1700" s="8"/>
      <c r="K1700" s="8"/>
      <c r="L1700" s="8"/>
      <c r="M1700" s="8"/>
      <c r="N1700" s="8"/>
      <c r="O1700" s="8"/>
    </row>
    <row r="1701" ht="13.65" customHeight="1">
      <c r="A1701" s="8"/>
      <c r="B1701" s="8"/>
      <c r="C1701" s="8"/>
      <c r="D1701" s="8"/>
      <c r="E1701" s="8"/>
      <c r="F1701" s="8"/>
      <c r="G1701" s="8"/>
      <c r="H1701" s="8"/>
      <c r="I1701" s="8"/>
      <c r="J1701" s="8"/>
      <c r="K1701" s="8"/>
      <c r="L1701" s="8"/>
      <c r="M1701" s="8"/>
      <c r="N1701" s="8"/>
      <c r="O1701" s="8"/>
    </row>
    <row r="1702" ht="13.65" customHeight="1">
      <c r="A1702" s="8"/>
      <c r="B1702" s="8"/>
      <c r="C1702" s="8"/>
      <c r="D1702" s="8"/>
      <c r="E1702" s="8"/>
      <c r="F1702" s="8"/>
      <c r="G1702" s="8"/>
      <c r="H1702" s="8"/>
      <c r="I1702" s="8"/>
      <c r="J1702" s="8"/>
      <c r="K1702" s="8"/>
      <c r="L1702" s="8"/>
      <c r="M1702" s="8"/>
      <c r="N1702" s="8"/>
      <c r="O1702" s="8"/>
    </row>
    <row r="1703" ht="13.65" customHeight="1">
      <c r="A1703" s="8"/>
      <c r="B1703" s="8"/>
      <c r="C1703" s="8"/>
      <c r="D1703" s="8"/>
      <c r="E1703" s="8"/>
      <c r="F1703" s="8"/>
      <c r="G1703" s="8"/>
      <c r="H1703" s="8"/>
      <c r="I1703" s="8"/>
      <c r="J1703" s="8"/>
      <c r="K1703" s="8"/>
      <c r="L1703" s="8"/>
      <c r="M1703" s="8"/>
      <c r="N1703" s="8"/>
      <c r="O1703" s="8"/>
    </row>
    <row r="1704" ht="13.65" customHeight="1">
      <c r="A1704" s="8"/>
      <c r="B1704" s="8"/>
      <c r="C1704" s="8"/>
      <c r="D1704" s="8"/>
      <c r="E1704" s="8"/>
      <c r="F1704" s="8"/>
      <c r="G1704" s="8"/>
      <c r="H1704" s="8"/>
      <c r="I1704" s="8"/>
      <c r="J1704" s="8"/>
      <c r="K1704" s="8"/>
      <c r="L1704" s="8"/>
      <c r="M1704" s="8"/>
      <c r="N1704" s="8"/>
      <c r="O1704" s="8"/>
    </row>
    <row r="1705" ht="13.65" customHeight="1">
      <c r="A1705" s="8"/>
      <c r="B1705" s="8"/>
      <c r="C1705" s="8"/>
      <c r="D1705" s="8"/>
      <c r="E1705" s="8"/>
      <c r="F1705" s="8"/>
      <c r="G1705" s="8"/>
      <c r="H1705" s="8"/>
      <c r="I1705" s="8"/>
      <c r="J1705" s="8"/>
      <c r="K1705" s="8"/>
      <c r="L1705" s="8"/>
      <c r="M1705" s="8"/>
      <c r="N1705" s="8"/>
      <c r="O1705" s="8"/>
    </row>
    <row r="1706" ht="13.65" customHeight="1">
      <c r="A1706" s="8"/>
      <c r="B1706" s="8"/>
      <c r="C1706" s="8"/>
      <c r="D1706" s="8"/>
      <c r="E1706" s="8"/>
      <c r="F1706" s="8"/>
      <c r="G1706" s="8"/>
      <c r="H1706" s="8"/>
      <c r="I1706" s="8"/>
      <c r="J1706" s="8"/>
      <c r="K1706" s="8"/>
      <c r="L1706" s="8"/>
      <c r="M1706" s="8"/>
      <c r="N1706" s="8"/>
      <c r="O1706" s="8"/>
    </row>
    <row r="1707" ht="13.65" customHeight="1">
      <c r="A1707" s="8"/>
      <c r="B1707" s="8"/>
      <c r="C1707" s="8"/>
      <c r="D1707" s="8"/>
      <c r="E1707" s="8"/>
      <c r="F1707" s="8"/>
      <c r="G1707" s="8"/>
      <c r="H1707" s="8"/>
      <c r="I1707" s="8"/>
      <c r="J1707" s="8"/>
      <c r="K1707" s="8"/>
      <c r="L1707" s="8"/>
      <c r="M1707" s="8"/>
      <c r="N1707" s="8"/>
      <c r="O1707" s="8"/>
    </row>
    <row r="1708" ht="13.65" customHeight="1">
      <c r="A1708" s="8"/>
      <c r="B1708" s="8"/>
      <c r="C1708" s="8"/>
      <c r="D1708" s="8"/>
      <c r="E1708" s="8"/>
      <c r="F1708" s="8"/>
      <c r="G1708" s="8"/>
      <c r="H1708" s="8"/>
      <c r="I1708" s="8"/>
      <c r="J1708" s="8"/>
      <c r="K1708" s="8"/>
      <c r="L1708" s="8"/>
      <c r="M1708" s="8"/>
      <c r="N1708" s="8"/>
      <c r="O1708" s="8"/>
    </row>
    <row r="1709" ht="13.65" customHeight="1">
      <c r="A1709" s="8"/>
      <c r="B1709" s="8"/>
      <c r="C1709" s="8"/>
      <c r="D1709" s="8"/>
      <c r="E1709" s="8"/>
      <c r="F1709" s="8"/>
      <c r="G1709" s="8"/>
      <c r="H1709" s="8"/>
      <c r="I1709" s="8"/>
      <c r="J1709" s="8"/>
      <c r="K1709" s="8"/>
      <c r="L1709" s="8"/>
      <c r="M1709" s="8"/>
      <c r="N1709" s="8"/>
      <c r="O1709" s="8"/>
    </row>
    <row r="1710" ht="13.65" customHeight="1">
      <c r="A1710" s="8"/>
      <c r="B1710" s="8"/>
      <c r="C1710" s="8"/>
      <c r="D1710" s="8"/>
      <c r="E1710" s="8"/>
      <c r="F1710" s="8"/>
      <c r="G1710" s="8"/>
      <c r="H1710" s="8"/>
      <c r="I1710" s="8"/>
      <c r="J1710" s="8"/>
      <c r="K1710" s="8"/>
      <c r="L1710" s="8"/>
      <c r="M1710" s="8"/>
      <c r="N1710" s="8"/>
      <c r="O1710" s="8"/>
    </row>
    <row r="1711" ht="13.65" customHeight="1">
      <c r="A1711" s="8"/>
      <c r="B1711" s="8"/>
      <c r="C1711" s="8"/>
      <c r="D1711" s="8"/>
      <c r="E1711" s="8"/>
      <c r="F1711" s="8"/>
      <c r="G1711" s="8"/>
      <c r="H1711" s="8"/>
      <c r="I1711" s="8"/>
      <c r="J1711" s="8"/>
      <c r="K1711" s="8"/>
      <c r="L1711" s="8"/>
      <c r="M1711" s="8"/>
      <c r="N1711" s="8"/>
      <c r="O1711" s="8"/>
    </row>
    <row r="1712" ht="13.65" customHeight="1">
      <c r="A1712" s="8"/>
      <c r="B1712" s="8"/>
      <c r="C1712" s="8"/>
      <c r="D1712" s="8"/>
      <c r="E1712" s="8"/>
      <c r="F1712" s="8"/>
      <c r="G1712" s="8"/>
      <c r="H1712" s="8"/>
      <c r="I1712" s="8"/>
      <c r="J1712" s="8"/>
      <c r="K1712" s="8"/>
      <c r="L1712" s="8"/>
      <c r="M1712" s="8"/>
      <c r="N1712" s="8"/>
      <c r="O1712" s="8"/>
    </row>
    <row r="1713" ht="13.65" customHeight="1">
      <c r="A1713" s="8"/>
      <c r="B1713" s="8"/>
      <c r="C1713" s="8"/>
      <c r="D1713" s="8"/>
      <c r="E1713" s="8"/>
      <c r="F1713" s="8"/>
      <c r="G1713" s="8"/>
      <c r="H1713" s="8"/>
      <c r="I1713" s="8"/>
      <c r="J1713" s="8"/>
      <c r="K1713" s="8"/>
      <c r="L1713" s="8"/>
      <c r="M1713" s="8"/>
      <c r="N1713" s="8"/>
      <c r="O1713" s="8"/>
    </row>
    <row r="1714" ht="13.65" customHeight="1">
      <c r="A1714" s="8"/>
      <c r="B1714" s="8"/>
      <c r="C1714" s="8"/>
      <c r="D1714" s="8"/>
      <c r="E1714" s="8"/>
      <c r="F1714" s="8"/>
      <c r="G1714" s="8"/>
      <c r="H1714" s="8"/>
      <c r="I1714" s="8"/>
      <c r="J1714" s="8"/>
      <c r="K1714" s="8"/>
      <c r="L1714" s="8"/>
      <c r="M1714" s="8"/>
      <c r="N1714" s="8"/>
      <c r="O1714" s="8"/>
    </row>
    <row r="1715" ht="13.65" customHeight="1">
      <c r="A1715" s="8"/>
      <c r="B1715" s="8"/>
      <c r="C1715" s="8"/>
      <c r="D1715" s="8"/>
      <c r="E1715" s="8"/>
      <c r="F1715" s="8"/>
      <c r="G1715" s="8"/>
      <c r="H1715" s="8"/>
      <c r="I1715" s="8"/>
      <c r="J1715" s="8"/>
      <c r="K1715" s="8"/>
      <c r="L1715" s="8"/>
      <c r="M1715" s="8"/>
      <c r="N1715" s="8"/>
      <c r="O1715" s="8"/>
    </row>
    <row r="1716" ht="13.65" customHeight="1">
      <c r="A1716" s="8"/>
      <c r="B1716" s="8"/>
      <c r="C1716" s="8"/>
      <c r="D1716" s="8"/>
      <c r="E1716" s="8"/>
      <c r="F1716" s="8"/>
      <c r="G1716" s="8"/>
      <c r="H1716" s="8"/>
      <c r="I1716" s="8"/>
      <c r="J1716" s="8"/>
      <c r="K1716" s="8"/>
      <c r="L1716" s="8"/>
      <c r="M1716" s="8"/>
      <c r="N1716" s="8"/>
      <c r="O1716" s="8"/>
    </row>
    <row r="1717" ht="13.65" customHeight="1">
      <c r="A1717" s="8"/>
      <c r="B1717" s="8"/>
      <c r="C1717" s="8"/>
      <c r="D1717" s="8"/>
      <c r="E1717" s="8"/>
      <c r="F1717" s="8"/>
      <c r="G1717" s="8"/>
      <c r="H1717" s="8"/>
      <c r="I1717" s="8"/>
      <c r="J1717" s="8"/>
      <c r="K1717" s="8"/>
      <c r="L1717" s="8"/>
      <c r="M1717" s="8"/>
      <c r="N1717" s="8"/>
      <c r="O1717" s="8"/>
    </row>
    <row r="1718" ht="13.65" customHeight="1">
      <c r="A1718" s="8"/>
      <c r="B1718" s="8"/>
      <c r="C1718" s="8"/>
      <c r="D1718" s="8"/>
      <c r="E1718" s="8"/>
      <c r="F1718" s="8"/>
      <c r="G1718" s="8"/>
      <c r="H1718" s="8"/>
      <c r="I1718" s="8"/>
      <c r="J1718" s="8"/>
      <c r="K1718" s="8"/>
      <c r="L1718" s="8"/>
      <c r="M1718" s="8"/>
      <c r="N1718" s="8"/>
      <c r="O1718" s="8"/>
    </row>
    <row r="1719" ht="13.65" customHeight="1">
      <c r="A1719" s="8"/>
      <c r="B1719" s="8"/>
      <c r="C1719" s="8"/>
      <c r="D1719" s="8"/>
      <c r="E1719" s="8"/>
      <c r="F1719" s="8"/>
      <c r="G1719" s="8"/>
      <c r="H1719" s="8"/>
      <c r="I1719" s="8"/>
      <c r="J1719" s="8"/>
      <c r="K1719" s="8"/>
      <c r="L1719" s="8"/>
      <c r="M1719" s="8"/>
      <c r="N1719" s="8"/>
      <c r="O1719" s="8"/>
    </row>
    <row r="1720" ht="13.65" customHeight="1">
      <c r="A1720" s="8"/>
      <c r="B1720" s="8"/>
      <c r="C1720" s="8"/>
      <c r="D1720" s="8"/>
      <c r="E1720" s="8"/>
      <c r="F1720" s="8"/>
      <c r="G1720" s="8"/>
      <c r="H1720" s="8"/>
      <c r="I1720" s="8"/>
      <c r="J1720" s="8"/>
      <c r="K1720" s="8"/>
      <c r="L1720" s="8"/>
      <c r="M1720" s="8"/>
      <c r="N1720" s="8"/>
      <c r="O1720" s="8"/>
    </row>
    <row r="1721" ht="13.65" customHeight="1">
      <c r="A1721" s="8"/>
      <c r="B1721" s="8"/>
      <c r="C1721" s="8"/>
      <c r="D1721" s="8"/>
      <c r="E1721" s="8"/>
      <c r="F1721" s="8"/>
      <c r="G1721" s="8"/>
      <c r="H1721" s="8"/>
      <c r="I1721" s="8"/>
      <c r="J1721" s="8"/>
      <c r="K1721" s="8"/>
      <c r="L1721" s="8"/>
      <c r="M1721" s="8"/>
      <c r="N1721" s="8"/>
      <c r="O1721" s="8"/>
    </row>
    <row r="1722" ht="13.65" customHeight="1">
      <c r="A1722" s="8"/>
      <c r="B1722" s="8"/>
      <c r="C1722" s="8"/>
      <c r="D1722" s="8"/>
      <c r="E1722" s="8"/>
      <c r="F1722" s="8"/>
      <c r="G1722" s="8"/>
      <c r="H1722" s="8"/>
      <c r="I1722" s="8"/>
      <c r="J1722" s="8"/>
      <c r="K1722" s="8"/>
      <c r="L1722" s="8"/>
      <c r="M1722" s="8"/>
      <c r="N1722" s="8"/>
      <c r="O1722" s="8"/>
    </row>
    <row r="1723" ht="13.65" customHeight="1">
      <c r="A1723" s="8"/>
      <c r="B1723" s="8"/>
      <c r="C1723" s="8"/>
      <c r="D1723" s="8"/>
      <c r="E1723" s="8"/>
      <c r="F1723" s="8"/>
      <c r="G1723" s="8"/>
      <c r="H1723" s="8"/>
      <c r="I1723" s="8"/>
      <c r="J1723" s="8"/>
      <c r="K1723" s="8"/>
      <c r="L1723" s="8"/>
      <c r="M1723" s="8"/>
      <c r="N1723" s="8"/>
      <c r="O1723" s="8"/>
    </row>
    <row r="1724" ht="13.65" customHeight="1">
      <c r="A1724" s="8"/>
      <c r="B1724" s="8"/>
      <c r="C1724" s="8"/>
      <c r="D1724" s="8"/>
      <c r="E1724" s="8"/>
      <c r="F1724" s="8"/>
      <c r="G1724" s="8"/>
      <c r="H1724" s="8"/>
      <c r="I1724" s="8"/>
      <c r="J1724" s="8"/>
      <c r="K1724" s="8"/>
      <c r="L1724" s="8"/>
      <c r="M1724" s="8"/>
      <c r="N1724" s="8"/>
      <c r="O1724" s="8"/>
    </row>
    <row r="1725" ht="13.65" customHeight="1">
      <c r="A1725" s="8"/>
      <c r="B1725" s="8"/>
      <c r="C1725" s="8"/>
      <c r="D1725" s="8"/>
      <c r="E1725" s="8"/>
      <c r="F1725" s="8"/>
      <c r="G1725" s="8"/>
      <c r="H1725" s="8"/>
      <c r="I1725" s="8"/>
      <c r="J1725" s="8"/>
      <c r="K1725" s="8"/>
      <c r="L1725" s="8"/>
      <c r="M1725" s="8"/>
      <c r="N1725" s="8"/>
      <c r="O1725" s="8"/>
    </row>
    <row r="1726" ht="13.65" customHeight="1">
      <c r="A1726" s="8"/>
      <c r="B1726" s="8"/>
      <c r="C1726" s="8"/>
      <c r="D1726" s="8"/>
      <c r="E1726" s="8"/>
      <c r="F1726" s="8"/>
      <c r="G1726" s="8"/>
      <c r="H1726" s="8"/>
      <c r="I1726" s="8"/>
      <c r="J1726" s="8"/>
      <c r="K1726" s="8"/>
      <c r="L1726" s="8"/>
      <c r="M1726" s="8"/>
      <c r="N1726" s="8"/>
      <c r="O1726" s="8"/>
    </row>
    <row r="1727" ht="13.65" customHeight="1">
      <c r="A1727" s="8"/>
      <c r="B1727" s="8"/>
      <c r="C1727" s="8"/>
      <c r="D1727" s="8"/>
      <c r="E1727" s="8"/>
      <c r="F1727" s="8"/>
      <c r="G1727" s="8"/>
      <c r="H1727" s="8"/>
      <c r="I1727" s="8"/>
      <c r="J1727" s="8"/>
      <c r="K1727" s="8"/>
      <c r="L1727" s="8"/>
      <c r="M1727" s="8"/>
      <c r="N1727" s="8"/>
      <c r="O1727" s="8"/>
    </row>
    <row r="1728" ht="13.65" customHeight="1">
      <c r="A1728" s="8"/>
      <c r="B1728" s="8"/>
      <c r="C1728" s="8"/>
      <c r="D1728" s="8"/>
      <c r="E1728" s="8"/>
      <c r="F1728" s="8"/>
      <c r="G1728" s="8"/>
      <c r="H1728" s="8"/>
      <c r="I1728" s="8"/>
      <c r="J1728" s="8"/>
      <c r="K1728" s="8"/>
      <c r="L1728" s="8"/>
      <c r="M1728" s="8"/>
      <c r="N1728" s="8"/>
      <c r="O1728" s="8"/>
    </row>
    <row r="1729" ht="13.65" customHeight="1">
      <c r="A1729" s="8"/>
      <c r="B1729" s="8"/>
      <c r="C1729" s="8"/>
      <c r="D1729" s="8"/>
      <c r="E1729" s="8"/>
      <c r="F1729" s="8"/>
      <c r="G1729" s="8"/>
      <c r="H1729" s="8"/>
      <c r="I1729" s="8"/>
      <c r="J1729" s="8"/>
      <c r="K1729" s="8"/>
      <c r="L1729" s="8"/>
      <c r="M1729" s="8"/>
      <c r="N1729" s="8"/>
      <c r="O1729" s="8"/>
    </row>
    <row r="1730" ht="13.65" customHeight="1">
      <c r="A1730" s="8"/>
      <c r="B1730" s="8"/>
      <c r="C1730" s="8"/>
      <c r="D1730" s="8"/>
      <c r="E1730" s="8"/>
      <c r="F1730" s="8"/>
      <c r="G1730" s="8"/>
      <c r="H1730" s="8"/>
      <c r="I1730" s="8"/>
      <c r="J1730" s="8"/>
      <c r="K1730" s="8"/>
      <c r="L1730" s="8"/>
      <c r="M1730" s="8"/>
      <c r="N1730" s="8"/>
      <c r="O1730" s="8"/>
    </row>
    <row r="1731" ht="13.65" customHeight="1">
      <c r="A1731" s="8"/>
      <c r="B1731" s="8"/>
      <c r="C1731" s="8"/>
      <c r="D1731" s="8"/>
      <c r="E1731" s="8"/>
      <c r="F1731" s="8"/>
      <c r="G1731" s="8"/>
      <c r="H1731" s="8"/>
      <c r="I1731" s="8"/>
      <c r="J1731" s="8"/>
      <c r="K1731" s="8"/>
      <c r="L1731" s="8"/>
      <c r="M1731" s="8"/>
      <c r="N1731" s="8"/>
      <c r="O1731" s="8"/>
    </row>
    <row r="1732" ht="13.65" customHeight="1">
      <c r="A1732" s="8"/>
      <c r="B1732" s="8"/>
      <c r="C1732" s="8"/>
      <c r="D1732" s="8"/>
      <c r="E1732" s="8"/>
      <c r="F1732" s="8"/>
      <c r="G1732" s="8"/>
      <c r="H1732" s="8"/>
      <c r="I1732" s="8"/>
      <c r="J1732" s="8"/>
      <c r="K1732" s="8"/>
      <c r="L1732" s="8"/>
      <c r="M1732" s="8"/>
      <c r="N1732" s="8"/>
      <c r="O1732" s="8"/>
    </row>
    <row r="1733" ht="13.65" customHeight="1">
      <c r="A1733" s="8"/>
      <c r="B1733" s="8"/>
      <c r="C1733" s="8"/>
      <c r="D1733" s="8"/>
      <c r="E1733" s="8"/>
      <c r="F1733" s="8"/>
      <c r="G1733" s="8"/>
      <c r="H1733" s="8"/>
      <c r="I1733" s="8"/>
      <c r="J1733" s="8"/>
      <c r="K1733" s="8"/>
      <c r="L1733" s="8"/>
      <c r="M1733" s="8"/>
      <c r="N1733" s="8"/>
      <c r="O1733" s="8"/>
    </row>
    <row r="1734" ht="13.65" customHeight="1">
      <c r="A1734" s="8"/>
      <c r="B1734" s="8"/>
      <c r="C1734" s="8"/>
      <c r="D1734" s="8"/>
      <c r="E1734" s="8"/>
      <c r="F1734" s="8"/>
      <c r="G1734" s="8"/>
      <c r="H1734" s="8"/>
      <c r="I1734" s="8"/>
      <c r="J1734" s="8"/>
      <c r="K1734" s="8"/>
      <c r="L1734" s="8"/>
      <c r="M1734" s="8"/>
      <c r="N1734" s="8"/>
      <c r="O1734" s="8"/>
    </row>
    <row r="1735" ht="13.65" customHeight="1">
      <c r="A1735" s="8"/>
      <c r="B1735" s="8"/>
      <c r="C1735" s="8"/>
      <c r="D1735" s="8"/>
      <c r="E1735" s="8"/>
      <c r="F1735" s="8"/>
      <c r="G1735" s="8"/>
      <c r="H1735" s="8"/>
      <c r="I1735" s="8"/>
      <c r="J1735" s="8"/>
      <c r="K1735" s="8"/>
      <c r="L1735" s="8"/>
      <c r="M1735" s="8"/>
      <c r="N1735" s="8"/>
      <c r="O1735" s="8"/>
    </row>
    <row r="1736" ht="13.65" customHeight="1">
      <c r="A1736" s="8"/>
      <c r="B1736" s="8"/>
      <c r="C1736" s="8"/>
      <c r="D1736" s="8"/>
      <c r="E1736" s="8"/>
      <c r="F1736" s="8"/>
      <c r="G1736" s="8"/>
      <c r="H1736" s="8"/>
      <c r="I1736" s="8"/>
      <c r="J1736" s="8"/>
      <c r="K1736" s="8"/>
      <c r="L1736" s="8"/>
      <c r="M1736" s="8"/>
      <c r="N1736" s="8"/>
      <c r="O1736" s="8"/>
    </row>
    <row r="1737" ht="13.65" customHeight="1">
      <c r="A1737" s="8"/>
      <c r="B1737" s="8"/>
      <c r="C1737" s="8"/>
      <c r="D1737" s="8"/>
      <c r="E1737" s="8"/>
      <c r="F1737" s="8"/>
      <c r="G1737" s="8"/>
      <c r="H1737" s="8"/>
      <c r="I1737" s="8"/>
      <c r="J1737" s="8"/>
      <c r="K1737" s="8"/>
      <c r="L1737" s="8"/>
      <c r="M1737" s="8"/>
      <c r="N1737" s="8"/>
      <c r="O1737" s="8"/>
    </row>
    <row r="1738" ht="13.65" customHeight="1">
      <c r="A1738" s="8"/>
      <c r="B1738" s="8"/>
      <c r="C1738" s="8"/>
      <c r="D1738" s="8"/>
      <c r="E1738" s="8"/>
      <c r="F1738" s="8"/>
      <c r="G1738" s="8"/>
      <c r="H1738" s="8"/>
      <c r="I1738" s="8"/>
      <c r="J1738" s="8"/>
      <c r="K1738" s="8"/>
      <c r="L1738" s="8"/>
      <c r="M1738" s="8"/>
      <c r="N1738" s="8"/>
      <c r="O1738" s="8"/>
    </row>
    <row r="1739" ht="13.65" customHeight="1">
      <c r="A1739" s="8"/>
      <c r="B1739" s="8"/>
      <c r="C1739" s="8"/>
      <c r="D1739" s="8"/>
      <c r="E1739" s="8"/>
      <c r="F1739" s="8"/>
      <c r="G1739" s="8"/>
      <c r="H1739" s="8"/>
      <c r="I1739" s="8"/>
      <c r="J1739" s="8"/>
      <c r="K1739" s="8"/>
      <c r="L1739" s="8"/>
      <c r="M1739" s="8"/>
      <c r="N1739" s="8"/>
      <c r="O1739" s="8"/>
    </row>
    <row r="1740" ht="13.65" customHeight="1">
      <c r="A1740" s="8"/>
      <c r="B1740" s="8"/>
      <c r="C1740" s="8"/>
      <c r="D1740" s="8"/>
      <c r="E1740" s="8"/>
      <c r="F1740" s="8"/>
      <c r="G1740" s="8"/>
      <c r="H1740" s="8"/>
      <c r="I1740" s="8"/>
      <c r="J1740" s="8"/>
      <c r="K1740" s="8"/>
      <c r="L1740" s="8"/>
      <c r="M1740" s="8"/>
      <c r="N1740" s="8"/>
      <c r="O1740" s="8"/>
    </row>
    <row r="1741" ht="13.65" customHeight="1">
      <c r="A1741" s="8"/>
      <c r="B1741" s="8"/>
      <c r="C1741" s="8"/>
      <c r="D1741" s="8"/>
      <c r="E1741" s="8"/>
      <c r="F1741" s="8"/>
      <c r="G1741" s="8"/>
      <c r="H1741" s="8"/>
      <c r="I1741" s="8"/>
      <c r="J1741" s="8"/>
      <c r="K1741" s="8"/>
      <c r="L1741" s="8"/>
      <c r="M1741" s="8"/>
      <c r="N1741" s="8"/>
      <c r="O1741" s="8"/>
    </row>
    <row r="1742" ht="13.65" customHeight="1">
      <c r="A1742" s="8"/>
      <c r="B1742" s="8"/>
      <c r="C1742" s="8"/>
      <c r="D1742" s="8"/>
      <c r="E1742" s="8"/>
      <c r="F1742" s="8"/>
      <c r="G1742" s="8"/>
      <c r="H1742" s="8"/>
      <c r="I1742" s="8"/>
      <c r="J1742" s="8"/>
      <c r="K1742" s="8"/>
      <c r="L1742" s="8"/>
      <c r="M1742" s="8"/>
      <c r="N1742" s="8"/>
      <c r="O1742" s="8"/>
    </row>
    <row r="1743" ht="13.65" customHeight="1">
      <c r="A1743" s="8"/>
      <c r="B1743" s="8"/>
      <c r="C1743" s="8"/>
      <c r="D1743" s="8"/>
      <c r="E1743" s="8"/>
      <c r="F1743" s="8"/>
      <c r="G1743" s="8"/>
      <c r="H1743" s="8"/>
      <c r="I1743" s="8"/>
      <c r="J1743" s="8"/>
      <c r="K1743" s="8"/>
      <c r="L1743" s="8"/>
      <c r="M1743" s="8"/>
      <c r="N1743" s="8"/>
      <c r="O1743" s="8"/>
    </row>
    <row r="1744" ht="13.65" customHeight="1">
      <c r="A1744" s="8"/>
      <c r="B1744" s="8"/>
      <c r="C1744" s="8"/>
      <c r="D1744" s="8"/>
      <c r="E1744" s="8"/>
      <c r="F1744" s="8"/>
      <c r="G1744" s="8"/>
      <c r="H1744" s="8"/>
      <c r="I1744" s="8"/>
      <c r="J1744" s="8"/>
      <c r="K1744" s="8"/>
      <c r="L1744" s="8"/>
      <c r="M1744" s="8"/>
      <c r="N1744" s="8"/>
      <c r="O1744" s="8"/>
    </row>
    <row r="1745" ht="13.65" customHeight="1">
      <c r="A1745" s="8"/>
      <c r="B1745" s="8"/>
      <c r="C1745" s="8"/>
      <c r="D1745" s="8"/>
      <c r="E1745" s="8"/>
      <c r="F1745" s="8"/>
      <c r="G1745" s="8"/>
      <c r="H1745" s="8"/>
      <c r="I1745" s="8"/>
      <c r="J1745" s="8"/>
      <c r="K1745" s="8"/>
      <c r="L1745" s="8"/>
      <c r="M1745" s="8"/>
      <c r="N1745" s="8"/>
      <c r="O1745" s="8"/>
    </row>
    <row r="1746" ht="13.65" customHeight="1">
      <c r="A1746" s="8"/>
      <c r="B1746" s="8"/>
      <c r="C1746" s="8"/>
      <c r="D1746" s="8"/>
      <c r="E1746" s="8"/>
      <c r="F1746" s="8"/>
      <c r="G1746" s="8"/>
      <c r="H1746" s="8"/>
      <c r="I1746" s="8"/>
      <c r="J1746" s="8"/>
      <c r="K1746" s="8"/>
      <c r="L1746" s="8"/>
      <c r="M1746" s="8"/>
      <c r="N1746" s="8"/>
      <c r="O1746" s="8"/>
    </row>
    <row r="1747" ht="13.65" customHeight="1">
      <c r="A1747" s="8"/>
      <c r="B1747" s="8"/>
      <c r="C1747" s="8"/>
      <c r="D1747" s="8"/>
      <c r="E1747" s="8"/>
      <c r="F1747" s="8"/>
      <c r="G1747" s="8"/>
      <c r="H1747" s="8"/>
      <c r="I1747" s="8"/>
      <c r="J1747" s="8"/>
      <c r="K1747" s="8"/>
      <c r="L1747" s="8"/>
      <c r="M1747" s="8"/>
      <c r="N1747" s="8"/>
      <c r="O1747" s="8"/>
    </row>
    <row r="1748" ht="13.65" customHeight="1">
      <c r="A1748" s="8"/>
      <c r="B1748" s="8"/>
      <c r="C1748" s="8"/>
      <c r="D1748" s="8"/>
      <c r="E1748" s="8"/>
      <c r="F1748" s="8"/>
      <c r="G1748" s="8"/>
      <c r="H1748" s="8"/>
      <c r="I1748" s="8"/>
      <c r="J1748" s="8"/>
      <c r="K1748" s="8"/>
      <c r="L1748" s="8"/>
      <c r="M1748" s="8"/>
      <c r="N1748" s="8"/>
      <c r="O1748" s="8"/>
    </row>
    <row r="1749" ht="13.65" customHeight="1">
      <c r="A1749" s="8"/>
      <c r="B1749" s="8"/>
      <c r="C1749" s="8"/>
      <c r="D1749" s="8"/>
      <c r="E1749" s="8"/>
      <c r="F1749" s="8"/>
      <c r="G1749" s="8"/>
      <c r="H1749" s="8"/>
      <c r="I1749" s="8"/>
      <c r="J1749" s="8"/>
      <c r="K1749" s="8"/>
      <c r="L1749" s="8"/>
      <c r="M1749" s="8"/>
      <c r="N1749" s="8"/>
      <c r="O1749" s="8"/>
    </row>
    <row r="1750" ht="13.65" customHeight="1">
      <c r="A1750" s="8"/>
      <c r="B1750" s="8"/>
      <c r="C1750" s="8"/>
      <c r="D1750" s="8"/>
      <c r="E1750" s="8"/>
      <c r="F1750" s="8"/>
      <c r="G1750" s="8"/>
      <c r="H1750" s="8"/>
      <c r="I1750" s="8"/>
      <c r="J1750" s="8"/>
      <c r="K1750" s="8"/>
      <c r="L1750" s="8"/>
      <c r="M1750" s="8"/>
      <c r="N1750" s="8"/>
      <c r="O1750" s="8"/>
    </row>
    <row r="1751" ht="13.65" customHeight="1">
      <c r="A1751" s="8"/>
      <c r="B1751" s="8"/>
      <c r="C1751" s="8"/>
      <c r="D1751" s="8"/>
      <c r="E1751" s="8"/>
      <c r="F1751" s="8"/>
      <c r="G1751" s="8"/>
      <c r="H1751" s="8"/>
      <c r="I1751" s="8"/>
      <c r="J1751" s="8"/>
      <c r="K1751" s="8"/>
      <c r="L1751" s="8"/>
      <c r="M1751" s="8"/>
      <c r="N1751" s="8"/>
      <c r="O1751" s="8"/>
    </row>
    <row r="1752" ht="13.65" customHeight="1">
      <c r="A1752" s="8"/>
      <c r="B1752" s="8"/>
      <c r="C1752" s="8"/>
      <c r="D1752" s="8"/>
      <c r="E1752" s="8"/>
      <c r="F1752" s="8"/>
      <c r="G1752" s="8"/>
      <c r="H1752" s="8"/>
      <c r="I1752" s="8"/>
      <c r="J1752" s="8"/>
      <c r="K1752" s="8"/>
      <c r="L1752" s="8"/>
      <c r="M1752" s="8"/>
      <c r="N1752" s="8"/>
      <c r="O1752" s="8"/>
    </row>
    <row r="1753" ht="13.65" customHeight="1">
      <c r="A1753" s="8"/>
      <c r="B1753" s="8"/>
      <c r="C1753" s="8"/>
      <c r="D1753" s="8"/>
      <c r="E1753" s="8"/>
      <c r="F1753" s="8"/>
      <c r="G1753" s="8"/>
      <c r="H1753" s="8"/>
      <c r="I1753" s="8"/>
      <c r="J1753" s="8"/>
      <c r="K1753" s="8"/>
      <c r="L1753" s="8"/>
      <c r="M1753" s="8"/>
      <c r="N1753" s="8"/>
      <c r="O1753" s="8"/>
    </row>
    <row r="1754" ht="13.65" customHeight="1">
      <c r="A1754" s="8"/>
      <c r="B1754" s="8"/>
      <c r="C1754" s="8"/>
      <c r="D1754" s="8"/>
      <c r="E1754" s="8"/>
      <c r="F1754" s="8"/>
      <c r="G1754" s="8"/>
      <c r="H1754" s="8"/>
      <c r="I1754" s="8"/>
      <c r="J1754" s="8"/>
      <c r="K1754" s="8"/>
      <c r="L1754" s="8"/>
      <c r="M1754" s="8"/>
      <c r="N1754" s="8"/>
      <c r="O1754" s="8"/>
    </row>
    <row r="1755" ht="13.65" customHeight="1">
      <c r="A1755" s="8"/>
      <c r="B1755" s="8"/>
      <c r="C1755" s="8"/>
      <c r="D1755" s="8"/>
      <c r="E1755" s="8"/>
      <c r="F1755" s="8"/>
      <c r="G1755" s="8"/>
      <c r="H1755" s="8"/>
      <c r="I1755" s="8"/>
      <c r="J1755" s="8"/>
      <c r="K1755" s="8"/>
      <c r="L1755" s="8"/>
      <c r="M1755" s="8"/>
      <c r="N1755" s="8"/>
      <c r="O1755" s="8"/>
    </row>
    <row r="1756" ht="13.65" customHeight="1">
      <c r="A1756" s="8"/>
      <c r="B1756" s="8"/>
      <c r="C1756" s="8"/>
      <c r="D1756" s="8"/>
      <c r="E1756" s="8"/>
      <c r="F1756" s="8"/>
      <c r="G1756" s="8"/>
      <c r="H1756" s="8"/>
      <c r="I1756" s="8"/>
      <c r="J1756" s="8"/>
      <c r="K1756" s="8"/>
      <c r="L1756" s="8"/>
      <c r="M1756" s="8"/>
      <c r="N1756" s="8"/>
      <c r="O1756" s="8"/>
    </row>
    <row r="1757" ht="13.65" customHeight="1">
      <c r="A1757" s="8"/>
      <c r="B1757" s="8"/>
      <c r="C1757" s="8"/>
      <c r="D1757" s="8"/>
      <c r="E1757" s="8"/>
      <c r="F1757" s="8"/>
      <c r="G1757" s="8"/>
      <c r="H1757" s="8"/>
      <c r="I1757" s="8"/>
      <c r="J1757" s="8"/>
      <c r="K1757" s="8"/>
      <c r="L1757" s="8"/>
      <c r="M1757" s="8"/>
      <c r="N1757" s="8"/>
      <c r="O1757" s="8"/>
    </row>
    <row r="1758" ht="13.65" customHeight="1">
      <c r="A1758" s="8"/>
      <c r="B1758" s="8"/>
      <c r="C1758" s="8"/>
      <c r="D1758" s="8"/>
      <c r="E1758" s="8"/>
      <c r="F1758" s="8"/>
      <c r="G1758" s="8"/>
      <c r="H1758" s="8"/>
      <c r="I1758" s="8"/>
      <c r="J1758" s="8"/>
      <c r="K1758" s="8"/>
      <c r="L1758" s="8"/>
      <c r="M1758" s="8"/>
      <c r="N1758" s="8"/>
      <c r="O1758" s="8"/>
    </row>
    <row r="1759" ht="13.65" customHeight="1">
      <c r="A1759" s="8"/>
      <c r="B1759" s="8"/>
      <c r="C1759" s="8"/>
      <c r="D1759" s="8"/>
      <c r="E1759" s="8"/>
      <c r="F1759" s="8"/>
      <c r="G1759" s="8"/>
      <c r="H1759" s="8"/>
      <c r="I1759" s="8"/>
      <c r="J1759" s="8"/>
      <c r="K1759" s="8"/>
      <c r="L1759" s="8"/>
      <c r="M1759" s="8"/>
      <c r="N1759" s="8"/>
      <c r="O1759" s="8"/>
    </row>
    <row r="1760" ht="13.65" customHeight="1">
      <c r="A1760" s="8"/>
      <c r="B1760" s="8"/>
      <c r="C1760" s="8"/>
      <c r="D1760" s="8"/>
      <c r="E1760" s="8"/>
      <c r="F1760" s="8"/>
      <c r="G1760" s="8"/>
      <c r="H1760" s="8"/>
      <c r="I1760" s="8"/>
      <c r="J1760" s="8"/>
      <c r="K1760" s="8"/>
      <c r="L1760" s="8"/>
      <c r="M1760" s="8"/>
      <c r="N1760" s="8"/>
      <c r="O1760" s="8"/>
    </row>
    <row r="1761" ht="13.65" customHeight="1">
      <c r="A1761" s="8"/>
      <c r="B1761" s="8"/>
      <c r="C1761" s="8"/>
      <c r="D1761" s="8"/>
      <c r="E1761" s="8"/>
      <c r="F1761" s="8"/>
      <c r="G1761" s="8"/>
      <c r="H1761" s="8"/>
      <c r="I1761" s="8"/>
      <c r="J1761" s="8"/>
      <c r="K1761" s="8"/>
      <c r="L1761" s="8"/>
      <c r="M1761" s="8"/>
      <c r="N1761" s="8"/>
      <c r="O1761" s="8"/>
    </row>
    <row r="1762" ht="13.65" customHeight="1">
      <c r="A1762" s="8"/>
      <c r="B1762" s="8"/>
      <c r="C1762" s="8"/>
      <c r="D1762" s="8"/>
      <c r="E1762" s="8"/>
      <c r="F1762" s="8"/>
      <c r="G1762" s="8"/>
      <c r="H1762" s="8"/>
      <c r="I1762" s="8"/>
      <c r="J1762" s="8"/>
      <c r="K1762" s="8"/>
      <c r="L1762" s="8"/>
      <c r="M1762" s="8"/>
      <c r="N1762" s="8"/>
      <c r="O1762" s="8"/>
    </row>
    <row r="1763" ht="13.65" customHeight="1">
      <c r="A1763" s="8"/>
      <c r="B1763" s="8"/>
      <c r="C1763" s="8"/>
      <c r="D1763" s="8"/>
      <c r="E1763" s="8"/>
      <c r="F1763" s="8"/>
      <c r="G1763" s="8"/>
      <c r="H1763" s="8"/>
      <c r="I1763" s="8"/>
      <c r="J1763" s="8"/>
      <c r="K1763" s="8"/>
      <c r="L1763" s="8"/>
      <c r="M1763" s="8"/>
      <c r="N1763" s="8"/>
      <c r="O1763" s="8"/>
    </row>
    <row r="1764" ht="13.65" customHeight="1">
      <c r="A1764" s="8"/>
      <c r="B1764" s="8"/>
      <c r="C1764" s="8"/>
      <c r="D1764" s="8"/>
      <c r="E1764" s="8"/>
      <c r="F1764" s="8"/>
      <c r="G1764" s="8"/>
      <c r="H1764" s="8"/>
      <c r="I1764" s="8"/>
      <c r="J1764" s="8"/>
      <c r="K1764" s="8"/>
      <c r="L1764" s="8"/>
      <c r="M1764" s="8"/>
      <c r="N1764" s="8"/>
      <c r="O1764" s="8"/>
    </row>
    <row r="1765" ht="13.65" customHeight="1">
      <c r="A1765" s="8"/>
      <c r="B1765" s="8"/>
      <c r="C1765" s="8"/>
      <c r="D1765" s="8"/>
      <c r="E1765" s="8"/>
      <c r="F1765" s="8"/>
      <c r="G1765" s="8"/>
      <c r="H1765" s="8"/>
      <c r="I1765" s="8"/>
      <c r="J1765" s="8"/>
      <c r="K1765" s="8"/>
      <c r="L1765" s="8"/>
      <c r="M1765" s="8"/>
      <c r="N1765" s="8"/>
      <c r="O1765" s="8"/>
    </row>
    <row r="1766" ht="13.65" customHeight="1">
      <c r="A1766" s="8"/>
      <c r="B1766" s="8"/>
      <c r="C1766" s="8"/>
      <c r="D1766" s="8"/>
      <c r="E1766" s="8"/>
      <c r="F1766" s="8"/>
      <c r="G1766" s="8"/>
      <c r="H1766" s="8"/>
      <c r="I1766" s="8"/>
      <c r="J1766" s="8"/>
      <c r="K1766" s="8"/>
      <c r="L1766" s="8"/>
      <c r="M1766" s="8"/>
      <c r="N1766" s="8"/>
      <c r="O1766" s="8"/>
    </row>
    <row r="1767" ht="13.65" customHeight="1">
      <c r="A1767" s="8"/>
      <c r="B1767" s="8"/>
      <c r="C1767" s="8"/>
      <c r="D1767" s="8"/>
      <c r="E1767" s="8"/>
      <c r="F1767" s="8"/>
      <c r="G1767" s="8"/>
      <c r="H1767" s="8"/>
      <c r="I1767" s="8"/>
      <c r="J1767" s="8"/>
      <c r="K1767" s="8"/>
      <c r="L1767" s="8"/>
      <c r="M1767" s="8"/>
      <c r="N1767" s="8"/>
      <c r="O1767" s="8"/>
    </row>
    <row r="1768" ht="13.65" customHeight="1">
      <c r="A1768" s="8"/>
      <c r="B1768" s="8"/>
      <c r="C1768" s="8"/>
      <c r="D1768" s="8"/>
      <c r="E1768" s="8"/>
      <c r="F1768" s="8"/>
      <c r="G1768" s="8"/>
      <c r="H1768" s="8"/>
      <c r="I1768" s="8"/>
      <c r="J1768" s="8"/>
      <c r="K1768" s="8"/>
      <c r="L1768" s="8"/>
      <c r="M1768" s="8"/>
      <c r="N1768" s="8"/>
      <c r="O1768" s="8"/>
    </row>
    <row r="1769" ht="13.65" customHeight="1">
      <c r="A1769" s="8"/>
      <c r="B1769" s="8"/>
      <c r="C1769" s="8"/>
      <c r="D1769" s="8"/>
      <c r="E1769" s="8"/>
      <c r="F1769" s="8"/>
      <c r="G1769" s="8"/>
      <c r="H1769" s="8"/>
      <c r="I1769" s="8"/>
      <c r="J1769" s="8"/>
      <c r="K1769" s="8"/>
      <c r="L1769" s="8"/>
      <c r="M1769" s="8"/>
      <c r="N1769" s="8"/>
      <c r="O1769" s="8"/>
    </row>
    <row r="1770" ht="13.65" customHeight="1">
      <c r="A1770" s="8"/>
      <c r="B1770" s="8"/>
      <c r="C1770" s="8"/>
      <c r="D1770" s="8"/>
      <c r="E1770" s="8"/>
      <c r="F1770" s="8"/>
      <c r="G1770" s="8"/>
      <c r="H1770" s="8"/>
      <c r="I1770" s="8"/>
      <c r="J1770" s="8"/>
      <c r="K1770" s="8"/>
      <c r="L1770" s="8"/>
      <c r="M1770" s="8"/>
      <c r="N1770" s="8"/>
      <c r="O1770" s="8"/>
    </row>
    <row r="1771" ht="13.65" customHeight="1">
      <c r="A1771" s="8"/>
      <c r="B1771" s="8"/>
      <c r="C1771" s="8"/>
      <c r="D1771" s="8"/>
      <c r="E1771" s="8"/>
      <c r="F1771" s="8"/>
      <c r="G1771" s="8"/>
      <c r="H1771" s="8"/>
      <c r="I1771" s="8"/>
      <c r="J1771" s="8"/>
      <c r="K1771" s="8"/>
      <c r="L1771" s="8"/>
      <c r="M1771" s="8"/>
      <c r="N1771" s="8"/>
      <c r="O1771" s="8"/>
    </row>
    <row r="1772" ht="13.65" customHeight="1">
      <c r="A1772" s="8"/>
      <c r="B1772" s="8"/>
      <c r="C1772" s="8"/>
      <c r="D1772" s="8"/>
      <c r="E1772" s="8"/>
      <c r="F1772" s="8"/>
      <c r="G1772" s="8"/>
      <c r="H1772" s="8"/>
      <c r="I1772" s="8"/>
      <c r="J1772" s="8"/>
      <c r="K1772" s="8"/>
      <c r="L1772" s="8"/>
      <c r="M1772" s="8"/>
      <c r="N1772" s="8"/>
      <c r="O1772" s="8"/>
    </row>
    <row r="1773" ht="13.65" customHeight="1">
      <c r="A1773" s="8"/>
      <c r="B1773" s="8"/>
      <c r="C1773" s="8"/>
      <c r="D1773" s="8"/>
      <c r="E1773" s="8"/>
      <c r="F1773" s="8"/>
      <c r="G1773" s="8"/>
      <c r="H1773" s="8"/>
      <c r="I1773" s="8"/>
      <c r="J1773" s="8"/>
      <c r="K1773" s="8"/>
      <c r="L1773" s="8"/>
      <c r="M1773" s="8"/>
      <c r="N1773" s="8"/>
      <c r="O1773" s="8"/>
    </row>
    <row r="1774" ht="13.65" customHeight="1">
      <c r="A1774" s="8"/>
      <c r="B1774" s="8"/>
      <c r="C1774" s="8"/>
      <c r="D1774" s="8"/>
      <c r="E1774" s="8"/>
      <c r="F1774" s="8"/>
      <c r="G1774" s="8"/>
      <c r="H1774" s="8"/>
      <c r="I1774" s="8"/>
      <c r="J1774" s="8"/>
      <c r="K1774" s="8"/>
      <c r="L1774" s="8"/>
      <c r="M1774" s="8"/>
      <c r="N1774" s="8"/>
      <c r="O1774" s="8"/>
    </row>
    <row r="1775" ht="13.65" customHeight="1">
      <c r="A1775" s="8"/>
      <c r="B1775" s="8"/>
      <c r="C1775" s="8"/>
      <c r="D1775" s="8"/>
      <c r="E1775" s="8"/>
      <c r="F1775" s="8"/>
      <c r="G1775" s="8"/>
      <c r="H1775" s="8"/>
      <c r="I1775" s="8"/>
      <c r="J1775" s="8"/>
      <c r="K1775" s="8"/>
      <c r="L1775" s="8"/>
      <c r="M1775" s="8"/>
      <c r="N1775" s="8"/>
      <c r="O1775" s="8"/>
    </row>
    <row r="1776" ht="13.65" customHeight="1">
      <c r="A1776" s="8"/>
      <c r="B1776" s="8"/>
      <c r="C1776" s="8"/>
      <c r="D1776" s="8"/>
      <c r="E1776" s="8"/>
      <c r="F1776" s="8"/>
      <c r="G1776" s="8"/>
      <c r="H1776" s="8"/>
      <c r="I1776" s="8"/>
      <c r="J1776" s="8"/>
      <c r="K1776" s="8"/>
      <c r="L1776" s="8"/>
      <c r="M1776" s="8"/>
      <c r="N1776" s="8"/>
      <c r="O1776" s="8"/>
    </row>
    <row r="1777" ht="13.65" customHeight="1">
      <c r="A1777" s="8"/>
      <c r="B1777" s="8"/>
      <c r="C1777" s="8"/>
      <c r="D1777" s="8"/>
      <c r="E1777" s="8"/>
      <c r="F1777" s="8"/>
      <c r="G1777" s="8"/>
      <c r="H1777" s="8"/>
      <c r="I1777" s="8"/>
      <c r="J1777" s="8"/>
      <c r="K1777" s="8"/>
      <c r="L1777" s="8"/>
      <c r="M1777" s="8"/>
      <c r="N1777" s="8"/>
      <c r="O1777" s="8"/>
    </row>
    <row r="1778" ht="13.65" customHeight="1">
      <c r="A1778" s="8"/>
      <c r="B1778" s="8"/>
      <c r="C1778" s="8"/>
      <c r="D1778" s="8"/>
      <c r="E1778" s="8"/>
      <c r="F1778" s="8"/>
      <c r="G1778" s="8"/>
      <c r="H1778" s="8"/>
      <c r="I1778" s="8"/>
      <c r="J1778" s="8"/>
      <c r="K1778" s="8"/>
      <c r="L1778" s="8"/>
      <c r="M1778" s="8"/>
      <c r="N1778" s="8"/>
      <c r="O1778" s="8"/>
    </row>
    <row r="1779" ht="13.65" customHeight="1">
      <c r="A1779" s="8"/>
      <c r="B1779" s="8"/>
      <c r="C1779" s="8"/>
      <c r="D1779" s="8"/>
      <c r="E1779" s="8"/>
      <c r="F1779" s="8"/>
      <c r="G1779" s="8"/>
      <c r="H1779" s="8"/>
      <c r="I1779" s="8"/>
      <c r="J1779" s="8"/>
      <c r="K1779" s="8"/>
      <c r="L1779" s="8"/>
      <c r="M1779" s="8"/>
      <c r="N1779" s="8"/>
      <c r="O1779" s="8"/>
    </row>
    <row r="1780" ht="13.65" customHeight="1">
      <c r="A1780" s="8"/>
      <c r="B1780" s="8"/>
      <c r="C1780" s="8"/>
      <c r="D1780" s="8"/>
      <c r="E1780" s="8"/>
      <c r="F1780" s="8"/>
      <c r="G1780" s="8"/>
      <c r="H1780" s="8"/>
      <c r="I1780" s="8"/>
      <c r="J1780" s="8"/>
      <c r="K1780" s="8"/>
      <c r="L1780" s="8"/>
      <c r="M1780" s="8"/>
      <c r="N1780" s="8"/>
      <c r="O1780" s="8"/>
    </row>
    <row r="1781" ht="13.65" customHeight="1">
      <c r="A1781" s="8"/>
      <c r="B1781" s="8"/>
      <c r="C1781" s="8"/>
      <c r="D1781" s="8"/>
      <c r="E1781" s="8"/>
      <c r="F1781" s="8"/>
      <c r="G1781" s="8"/>
      <c r="H1781" s="8"/>
      <c r="I1781" s="8"/>
      <c r="J1781" s="8"/>
      <c r="K1781" s="8"/>
      <c r="L1781" s="8"/>
      <c r="M1781" s="8"/>
      <c r="N1781" s="8"/>
      <c r="O1781" s="8"/>
    </row>
    <row r="1782" ht="13.65" customHeight="1">
      <c r="A1782" s="8"/>
      <c r="B1782" s="8"/>
      <c r="C1782" s="8"/>
      <c r="D1782" s="8"/>
      <c r="E1782" s="8"/>
      <c r="F1782" s="8"/>
      <c r="G1782" s="8"/>
      <c r="H1782" s="8"/>
      <c r="I1782" s="8"/>
      <c r="J1782" s="8"/>
      <c r="K1782" s="8"/>
      <c r="L1782" s="8"/>
      <c r="M1782" s="8"/>
      <c r="N1782" s="8"/>
      <c r="O1782" s="8"/>
    </row>
    <row r="1783" ht="13.65" customHeight="1">
      <c r="A1783" s="8"/>
      <c r="B1783" s="8"/>
      <c r="C1783" s="8"/>
      <c r="D1783" s="8"/>
      <c r="E1783" s="8"/>
      <c r="F1783" s="8"/>
      <c r="G1783" s="8"/>
      <c r="H1783" s="8"/>
      <c r="I1783" s="8"/>
      <c r="J1783" s="8"/>
      <c r="K1783" s="8"/>
      <c r="L1783" s="8"/>
      <c r="M1783" s="8"/>
      <c r="N1783" s="8"/>
      <c r="O1783" s="8"/>
    </row>
    <row r="1784" ht="13.65" customHeight="1">
      <c r="A1784" s="8"/>
      <c r="B1784" s="8"/>
      <c r="C1784" s="8"/>
      <c r="D1784" s="8"/>
      <c r="E1784" s="8"/>
      <c r="F1784" s="8"/>
      <c r="G1784" s="8"/>
      <c r="H1784" s="8"/>
      <c r="I1784" s="8"/>
      <c r="J1784" s="8"/>
      <c r="K1784" s="8"/>
      <c r="L1784" s="8"/>
      <c r="M1784" s="8"/>
      <c r="N1784" s="8"/>
      <c r="O1784" s="8"/>
    </row>
    <row r="1785" ht="13.65" customHeight="1">
      <c r="A1785" s="8"/>
      <c r="B1785" s="8"/>
      <c r="C1785" s="8"/>
      <c r="D1785" s="8"/>
      <c r="E1785" s="8"/>
      <c r="F1785" s="8"/>
      <c r="G1785" s="8"/>
      <c r="H1785" s="8"/>
      <c r="I1785" s="8"/>
      <c r="J1785" s="8"/>
      <c r="K1785" s="8"/>
      <c r="L1785" s="8"/>
      <c r="M1785" s="8"/>
      <c r="N1785" s="8"/>
      <c r="O1785" s="8"/>
    </row>
    <row r="1786" ht="13.65" customHeight="1">
      <c r="A1786" s="8"/>
      <c r="B1786" s="8"/>
      <c r="C1786" s="8"/>
      <c r="D1786" s="8"/>
      <c r="E1786" s="8"/>
      <c r="F1786" s="8"/>
      <c r="G1786" s="8"/>
      <c r="H1786" s="8"/>
      <c r="I1786" s="8"/>
      <c r="J1786" s="8"/>
      <c r="K1786" s="8"/>
      <c r="L1786" s="8"/>
      <c r="M1786" s="8"/>
      <c r="N1786" s="8"/>
      <c r="O1786" s="8"/>
    </row>
    <row r="1787" ht="13.65" customHeight="1">
      <c r="A1787" s="8"/>
      <c r="B1787" s="8"/>
      <c r="C1787" s="8"/>
      <c r="D1787" s="8"/>
      <c r="E1787" s="8"/>
      <c r="F1787" s="8"/>
      <c r="G1787" s="8"/>
      <c r="H1787" s="8"/>
      <c r="I1787" s="8"/>
      <c r="J1787" s="8"/>
      <c r="K1787" s="8"/>
      <c r="L1787" s="8"/>
      <c r="M1787" s="8"/>
      <c r="N1787" s="8"/>
      <c r="O1787" s="8"/>
    </row>
    <row r="1788" ht="13.65" customHeight="1">
      <c r="A1788" s="8"/>
      <c r="B1788" s="8"/>
      <c r="C1788" s="8"/>
      <c r="D1788" s="8"/>
      <c r="E1788" s="8"/>
      <c r="F1788" s="8"/>
      <c r="G1788" s="8"/>
      <c r="H1788" s="8"/>
      <c r="I1788" s="8"/>
      <c r="J1788" s="8"/>
      <c r="K1788" s="8"/>
      <c r="L1788" s="8"/>
      <c r="M1788" s="8"/>
      <c r="N1788" s="8"/>
      <c r="O1788" s="8"/>
    </row>
    <row r="1789" ht="13.65" customHeight="1">
      <c r="A1789" s="8"/>
      <c r="B1789" s="8"/>
      <c r="C1789" s="8"/>
      <c r="D1789" s="8"/>
      <c r="E1789" s="8"/>
      <c r="F1789" s="8"/>
      <c r="G1789" s="8"/>
      <c r="H1789" s="8"/>
      <c r="I1789" s="8"/>
      <c r="J1789" s="8"/>
      <c r="K1789" s="8"/>
      <c r="L1789" s="8"/>
      <c r="M1789" s="8"/>
      <c r="N1789" s="8"/>
      <c r="O1789" s="8"/>
    </row>
    <row r="1790" ht="13.65" customHeight="1">
      <c r="A1790" s="8"/>
      <c r="B1790" s="8"/>
      <c r="C1790" s="8"/>
      <c r="D1790" s="8"/>
      <c r="E1790" s="8"/>
      <c r="F1790" s="8"/>
      <c r="G1790" s="8"/>
      <c r="H1790" s="8"/>
      <c r="I1790" s="8"/>
      <c r="J1790" s="8"/>
      <c r="K1790" s="8"/>
      <c r="L1790" s="8"/>
      <c r="M1790" s="8"/>
      <c r="N1790" s="8"/>
      <c r="O1790" s="8"/>
    </row>
    <row r="1791" ht="13.65" customHeight="1">
      <c r="A1791" s="8"/>
      <c r="B1791" s="8"/>
      <c r="C1791" s="8"/>
      <c r="D1791" s="8"/>
      <c r="E1791" s="8"/>
      <c r="F1791" s="8"/>
      <c r="G1791" s="8"/>
      <c r="H1791" s="8"/>
      <c r="I1791" s="8"/>
      <c r="J1791" s="8"/>
      <c r="K1791" s="8"/>
      <c r="L1791" s="8"/>
      <c r="M1791" s="8"/>
      <c r="N1791" s="8"/>
      <c r="O1791" s="8"/>
    </row>
    <row r="1792" ht="13.65" customHeight="1">
      <c r="A1792" s="8"/>
      <c r="B1792" s="8"/>
      <c r="C1792" s="8"/>
      <c r="D1792" s="8"/>
      <c r="E1792" s="8"/>
      <c r="F1792" s="8"/>
      <c r="G1792" s="8"/>
      <c r="H1792" s="8"/>
      <c r="I1792" s="8"/>
      <c r="J1792" s="8"/>
      <c r="K1792" s="8"/>
      <c r="L1792" s="8"/>
      <c r="M1792" s="8"/>
      <c r="N1792" s="8"/>
      <c r="O1792" s="8"/>
    </row>
    <row r="1793" ht="13.65" customHeight="1">
      <c r="A1793" s="8"/>
      <c r="B1793" s="8"/>
      <c r="C1793" s="8"/>
      <c r="D1793" s="8"/>
      <c r="E1793" s="8"/>
      <c r="F1793" s="8"/>
      <c r="G1793" s="8"/>
      <c r="H1793" s="8"/>
      <c r="I1793" s="8"/>
      <c r="J1793" s="8"/>
      <c r="K1793" s="8"/>
      <c r="L1793" s="8"/>
      <c r="M1793" s="8"/>
      <c r="N1793" s="8"/>
      <c r="O1793" s="8"/>
    </row>
    <row r="1794" ht="13.65" customHeight="1">
      <c r="A1794" s="8"/>
      <c r="B1794" s="8"/>
      <c r="C1794" s="8"/>
      <c r="D1794" s="8"/>
      <c r="E1794" s="8"/>
      <c r="F1794" s="8"/>
      <c r="G1794" s="8"/>
      <c r="H1794" s="8"/>
      <c r="I1794" s="8"/>
      <c r="J1794" s="8"/>
      <c r="K1794" s="8"/>
      <c r="L1794" s="8"/>
      <c r="M1794" s="8"/>
      <c r="N1794" s="8"/>
      <c r="O1794" s="8"/>
    </row>
    <row r="1795" ht="13.65" customHeight="1">
      <c r="A1795" s="8"/>
      <c r="B1795" s="8"/>
      <c r="C1795" s="8"/>
      <c r="D1795" s="8"/>
      <c r="E1795" s="8"/>
      <c r="F1795" s="8"/>
      <c r="G1795" s="8"/>
      <c r="H1795" s="8"/>
      <c r="I1795" s="8"/>
      <c r="J1795" s="8"/>
      <c r="K1795" s="8"/>
      <c r="L1795" s="8"/>
      <c r="M1795" s="8"/>
      <c r="N1795" s="8"/>
      <c r="O1795" s="8"/>
    </row>
    <row r="1796" ht="13.65" customHeight="1">
      <c r="A1796" s="8"/>
      <c r="B1796" s="8"/>
      <c r="C1796" s="8"/>
      <c r="D1796" s="8"/>
      <c r="E1796" s="8"/>
      <c r="F1796" s="8"/>
      <c r="G1796" s="8"/>
      <c r="H1796" s="8"/>
      <c r="I1796" s="8"/>
      <c r="J1796" s="8"/>
      <c r="K1796" s="8"/>
      <c r="L1796" s="8"/>
      <c r="M1796" s="8"/>
      <c r="N1796" s="8"/>
      <c r="O1796" s="8"/>
    </row>
    <row r="1797" ht="13.65" customHeight="1">
      <c r="A1797" s="8"/>
      <c r="B1797" s="8"/>
      <c r="C1797" s="8"/>
      <c r="D1797" s="8"/>
      <c r="E1797" s="8"/>
      <c r="F1797" s="8"/>
      <c r="G1797" s="8"/>
      <c r="H1797" s="8"/>
      <c r="I1797" s="8"/>
      <c r="J1797" s="8"/>
      <c r="K1797" s="8"/>
      <c r="L1797" s="8"/>
      <c r="M1797" s="8"/>
      <c r="N1797" s="8"/>
      <c r="O1797" s="8"/>
    </row>
    <row r="1798" ht="13.65" customHeight="1">
      <c r="A1798" s="8"/>
      <c r="B1798" s="8"/>
      <c r="C1798" s="8"/>
      <c r="D1798" s="8"/>
      <c r="E1798" s="8"/>
      <c r="F1798" s="8"/>
      <c r="G1798" s="8"/>
      <c r="H1798" s="8"/>
      <c r="I1798" s="8"/>
      <c r="J1798" s="8"/>
      <c r="K1798" s="8"/>
      <c r="L1798" s="8"/>
      <c r="M1798" s="8"/>
      <c r="N1798" s="8"/>
      <c r="O1798" s="8"/>
    </row>
    <row r="1799" ht="13.65" customHeight="1">
      <c r="A1799" s="8"/>
      <c r="B1799" s="8"/>
      <c r="C1799" s="8"/>
      <c r="D1799" s="8"/>
      <c r="E1799" s="8"/>
      <c r="F1799" s="8"/>
      <c r="G1799" s="8"/>
      <c r="H1799" s="8"/>
      <c r="I1799" s="8"/>
      <c r="J1799" s="8"/>
      <c r="K1799" s="8"/>
      <c r="L1799" s="8"/>
      <c r="M1799" s="8"/>
      <c r="N1799" s="8"/>
      <c r="O1799" s="8"/>
    </row>
    <row r="1800" ht="13.65" customHeight="1">
      <c r="A1800" s="8"/>
      <c r="B1800" s="8"/>
      <c r="C1800" s="8"/>
      <c r="D1800" s="8"/>
      <c r="E1800" s="8"/>
      <c r="F1800" s="8"/>
      <c r="G1800" s="8"/>
      <c r="H1800" s="8"/>
      <c r="I1800" s="8"/>
      <c r="J1800" s="8"/>
      <c r="K1800" s="8"/>
      <c r="L1800" s="8"/>
      <c r="M1800" s="8"/>
      <c r="N1800" s="8"/>
      <c r="O1800" s="8"/>
    </row>
    <row r="1801" ht="13.65" customHeight="1">
      <c r="A1801" s="8"/>
      <c r="B1801" s="8"/>
      <c r="C1801" s="8"/>
      <c r="D1801" s="8"/>
      <c r="E1801" s="8"/>
      <c r="F1801" s="8"/>
      <c r="G1801" s="8"/>
      <c r="H1801" s="8"/>
      <c r="I1801" s="8"/>
      <c r="J1801" s="8"/>
      <c r="K1801" s="8"/>
      <c r="L1801" s="8"/>
      <c r="M1801" s="8"/>
      <c r="N1801" s="8"/>
      <c r="O1801" s="8"/>
    </row>
    <row r="1802" ht="13.65" customHeight="1">
      <c r="A1802" s="8"/>
      <c r="B1802" s="8"/>
      <c r="C1802" s="8"/>
      <c r="D1802" s="8"/>
      <c r="E1802" s="8"/>
      <c r="F1802" s="8"/>
      <c r="G1802" s="8"/>
      <c r="H1802" s="8"/>
      <c r="I1802" s="8"/>
      <c r="J1802" s="8"/>
      <c r="K1802" s="8"/>
      <c r="L1802" s="8"/>
      <c r="M1802" s="8"/>
      <c r="N1802" s="8"/>
      <c r="O1802" s="8"/>
    </row>
    <row r="1803" ht="13.65" customHeight="1">
      <c r="A1803" s="8"/>
      <c r="B1803" s="8"/>
      <c r="C1803" s="8"/>
      <c r="D1803" s="8"/>
      <c r="E1803" s="8"/>
      <c r="F1803" s="8"/>
      <c r="G1803" s="8"/>
      <c r="H1803" s="8"/>
      <c r="I1803" s="8"/>
      <c r="J1803" s="8"/>
      <c r="K1803" s="8"/>
      <c r="L1803" s="8"/>
      <c r="M1803" s="8"/>
      <c r="N1803" s="8"/>
      <c r="O1803" s="8"/>
    </row>
    <row r="1804" ht="13.65" customHeight="1">
      <c r="A1804" s="8"/>
      <c r="B1804" s="8"/>
      <c r="C1804" s="8"/>
      <c r="D1804" s="8"/>
      <c r="E1804" s="8"/>
      <c r="F1804" s="8"/>
      <c r="G1804" s="8"/>
      <c r="H1804" s="8"/>
      <c r="I1804" s="8"/>
      <c r="J1804" s="8"/>
      <c r="K1804" s="8"/>
      <c r="L1804" s="8"/>
      <c r="M1804" s="8"/>
      <c r="N1804" s="8"/>
      <c r="O1804" s="8"/>
    </row>
    <row r="1805" ht="13.65" customHeight="1">
      <c r="A1805" s="8"/>
      <c r="B1805" s="8"/>
      <c r="C1805" s="8"/>
      <c r="D1805" s="8"/>
      <c r="E1805" s="8"/>
      <c r="F1805" s="8"/>
      <c r="G1805" s="8"/>
      <c r="H1805" s="8"/>
      <c r="I1805" s="8"/>
      <c r="J1805" s="8"/>
      <c r="K1805" s="8"/>
      <c r="L1805" s="8"/>
      <c r="M1805" s="8"/>
      <c r="N1805" s="8"/>
      <c r="O1805" s="8"/>
    </row>
    <row r="1806" ht="13.65" customHeight="1">
      <c r="A1806" s="8"/>
      <c r="B1806" s="8"/>
      <c r="C1806" s="8"/>
      <c r="D1806" s="8"/>
      <c r="E1806" s="8"/>
      <c r="F1806" s="8"/>
      <c r="G1806" s="8"/>
      <c r="H1806" s="8"/>
      <c r="I1806" s="8"/>
      <c r="J1806" s="8"/>
      <c r="K1806" s="8"/>
      <c r="L1806" s="8"/>
      <c r="M1806" s="8"/>
      <c r="N1806" s="8"/>
      <c r="O1806" s="8"/>
    </row>
    <row r="1807" ht="13.65" customHeight="1">
      <c r="A1807" s="8"/>
      <c r="B1807" s="8"/>
      <c r="C1807" s="8"/>
      <c r="D1807" s="8"/>
      <c r="E1807" s="8"/>
      <c r="F1807" s="8"/>
      <c r="G1807" s="8"/>
      <c r="H1807" s="8"/>
      <c r="I1807" s="8"/>
      <c r="J1807" s="8"/>
      <c r="K1807" s="8"/>
      <c r="L1807" s="8"/>
      <c r="M1807" s="8"/>
      <c r="N1807" s="8"/>
      <c r="O1807" s="8"/>
    </row>
    <row r="1808" ht="13.65" customHeight="1">
      <c r="A1808" s="8"/>
      <c r="B1808" s="8"/>
      <c r="C1808" s="8"/>
      <c r="D1808" s="8"/>
      <c r="E1808" s="8"/>
      <c r="F1808" s="8"/>
      <c r="G1808" s="8"/>
      <c r="H1808" s="8"/>
      <c r="I1808" s="8"/>
      <c r="J1808" s="8"/>
      <c r="K1808" s="8"/>
      <c r="L1808" s="8"/>
      <c r="M1808" s="8"/>
      <c r="N1808" s="8"/>
      <c r="O1808" s="8"/>
    </row>
    <row r="1809" ht="13.65" customHeight="1">
      <c r="A1809" s="8"/>
      <c r="B1809" s="8"/>
      <c r="C1809" s="8"/>
      <c r="D1809" s="8"/>
      <c r="E1809" s="8"/>
      <c r="F1809" s="8"/>
      <c r="G1809" s="8"/>
      <c r="H1809" s="8"/>
      <c r="I1809" s="8"/>
      <c r="J1809" s="8"/>
      <c r="K1809" s="8"/>
      <c r="L1809" s="8"/>
      <c r="M1809" s="8"/>
      <c r="N1809" s="8"/>
      <c r="O1809" s="8"/>
    </row>
    <row r="1810" ht="13.65" customHeight="1">
      <c r="A1810" s="8"/>
      <c r="B1810" s="8"/>
      <c r="C1810" s="8"/>
      <c r="D1810" s="8"/>
      <c r="E1810" s="8"/>
      <c r="F1810" s="8"/>
      <c r="G1810" s="8"/>
      <c r="H1810" s="8"/>
      <c r="I1810" s="8"/>
      <c r="J1810" s="8"/>
      <c r="K1810" s="8"/>
      <c r="L1810" s="8"/>
      <c r="M1810" s="8"/>
      <c r="N1810" s="8"/>
      <c r="O1810" s="8"/>
    </row>
    <row r="1811" ht="13.65" customHeight="1">
      <c r="A1811" s="8"/>
      <c r="B1811" s="8"/>
      <c r="C1811" s="8"/>
      <c r="D1811" s="8"/>
      <c r="E1811" s="8"/>
      <c r="F1811" s="8"/>
      <c r="G1811" s="8"/>
      <c r="H1811" s="8"/>
      <c r="I1811" s="8"/>
      <c r="J1811" s="8"/>
      <c r="K1811" s="8"/>
      <c r="L1811" s="8"/>
      <c r="M1811" s="8"/>
      <c r="N1811" s="8"/>
      <c r="O1811" s="8"/>
    </row>
    <row r="1812" ht="13.65" customHeight="1">
      <c r="A1812" s="8"/>
      <c r="B1812" s="8"/>
      <c r="C1812" s="8"/>
      <c r="D1812" s="8"/>
      <c r="E1812" s="8"/>
      <c r="F1812" s="8"/>
      <c r="G1812" s="8"/>
      <c r="H1812" s="8"/>
      <c r="I1812" s="8"/>
      <c r="J1812" s="8"/>
      <c r="K1812" s="8"/>
      <c r="L1812" s="8"/>
      <c r="M1812" s="8"/>
      <c r="N1812" s="8"/>
      <c r="O1812" s="8"/>
    </row>
    <row r="1813" ht="13.65" customHeight="1">
      <c r="A1813" s="8"/>
      <c r="B1813" s="8"/>
      <c r="C1813" s="8"/>
      <c r="D1813" s="8"/>
      <c r="E1813" s="8"/>
      <c r="F1813" s="8"/>
      <c r="G1813" s="8"/>
      <c r="H1813" s="8"/>
      <c r="I1813" s="8"/>
      <c r="J1813" s="8"/>
      <c r="K1813" s="8"/>
      <c r="L1813" s="8"/>
      <c r="M1813" s="8"/>
      <c r="N1813" s="8"/>
      <c r="O1813" s="8"/>
    </row>
    <row r="1814" ht="13.65" customHeight="1">
      <c r="A1814" s="8"/>
      <c r="B1814" s="8"/>
      <c r="C1814" s="8"/>
      <c r="D1814" s="8"/>
      <c r="E1814" s="8"/>
      <c r="F1814" s="8"/>
      <c r="G1814" s="8"/>
      <c r="H1814" s="8"/>
      <c r="I1814" s="8"/>
      <c r="J1814" s="8"/>
      <c r="K1814" s="8"/>
      <c r="L1814" s="8"/>
      <c r="M1814" s="8"/>
      <c r="N1814" s="8"/>
      <c r="O1814" s="8"/>
    </row>
    <row r="1815" ht="13.65" customHeight="1">
      <c r="A1815" s="8"/>
      <c r="B1815" s="8"/>
      <c r="C1815" s="8"/>
      <c r="D1815" s="8"/>
      <c r="E1815" s="8"/>
      <c r="F1815" s="8"/>
      <c r="G1815" s="8"/>
      <c r="H1815" s="8"/>
      <c r="I1815" s="8"/>
      <c r="J1815" s="8"/>
      <c r="K1815" s="8"/>
      <c r="L1815" s="8"/>
      <c r="M1815" s="8"/>
      <c r="N1815" s="8"/>
      <c r="O1815" s="8"/>
    </row>
    <row r="1816" ht="13.65" customHeight="1">
      <c r="A1816" s="8"/>
      <c r="B1816" s="8"/>
      <c r="C1816" s="8"/>
      <c r="D1816" s="8"/>
      <c r="E1816" s="8"/>
      <c r="F1816" s="8"/>
      <c r="G1816" s="8"/>
      <c r="H1816" s="8"/>
      <c r="I1816" s="8"/>
      <c r="J1816" s="8"/>
      <c r="K1816" s="8"/>
      <c r="L1816" s="8"/>
      <c r="M1816" s="8"/>
      <c r="N1816" s="8"/>
      <c r="O1816" s="8"/>
    </row>
    <row r="1817" ht="13.65" customHeight="1">
      <c r="A1817" s="8"/>
      <c r="B1817" s="8"/>
      <c r="C1817" s="8"/>
      <c r="D1817" s="8"/>
      <c r="E1817" s="8"/>
      <c r="F1817" s="8"/>
      <c r="G1817" s="8"/>
      <c r="H1817" s="8"/>
      <c r="I1817" s="8"/>
      <c r="J1817" s="8"/>
      <c r="K1817" s="8"/>
      <c r="L1817" s="8"/>
      <c r="M1817" s="8"/>
      <c r="N1817" s="8"/>
      <c r="O1817" s="8"/>
    </row>
    <row r="1818" ht="13.65" customHeight="1">
      <c r="A1818" s="8"/>
      <c r="B1818" s="8"/>
      <c r="C1818" s="8"/>
      <c r="D1818" s="8"/>
      <c r="E1818" s="8"/>
      <c r="F1818" s="8"/>
      <c r="G1818" s="8"/>
      <c r="H1818" s="8"/>
      <c r="I1818" s="8"/>
      <c r="J1818" s="8"/>
      <c r="K1818" s="8"/>
      <c r="L1818" s="8"/>
      <c r="M1818" s="8"/>
      <c r="N1818" s="8"/>
      <c r="O1818" s="8"/>
    </row>
    <row r="1819" ht="13.65" customHeight="1">
      <c r="A1819" s="8"/>
      <c r="B1819" s="8"/>
      <c r="C1819" s="8"/>
      <c r="D1819" s="8"/>
      <c r="E1819" s="8"/>
      <c r="F1819" s="8"/>
      <c r="G1819" s="8"/>
      <c r="H1819" s="8"/>
      <c r="I1819" s="8"/>
      <c r="J1819" s="8"/>
      <c r="K1819" s="8"/>
      <c r="L1819" s="8"/>
      <c r="M1819" s="8"/>
      <c r="N1819" s="8"/>
      <c r="O1819" s="8"/>
    </row>
    <row r="1820" ht="13.65" customHeight="1">
      <c r="A1820" s="8"/>
      <c r="B1820" s="8"/>
      <c r="C1820" s="8"/>
      <c r="D1820" s="8"/>
      <c r="E1820" s="8"/>
      <c r="F1820" s="8"/>
      <c r="G1820" s="8"/>
      <c r="H1820" s="8"/>
      <c r="I1820" s="8"/>
      <c r="J1820" s="8"/>
      <c r="K1820" s="8"/>
      <c r="L1820" s="8"/>
      <c r="M1820" s="8"/>
      <c r="N1820" s="8"/>
      <c r="O1820" s="8"/>
    </row>
    <row r="1821" ht="13.65" customHeight="1">
      <c r="A1821" s="8"/>
      <c r="B1821" s="8"/>
      <c r="C1821" s="8"/>
      <c r="D1821" s="8"/>
      <c r="E1821" s="8"/>
      <c r="F1821" s="8"/>
      <c r="G1821" s="8"/>
      <c r="H1821" s="8"/>
      <c r="I1821" s="8"/>
      <c r="J1821" s="8"/>
      <c r="K1821" s="8"/>
      <c r="L1821" s="8"/>
      <c r="M1821" s="8"/>
      <c r="N1821" s="8"/>
      <c r="O1821" s="8"/>
    </row>
    <row r="1822" ht="13.65" customHeight="1">
      <c r="A1822" s="8"/>
      <c r="B1822" s="8"/>
      <c r="C1822" s="8"/>
      <c r="D1822" s="8"/>
      <c r="E1822" s="8"/>
      <c r="F1822" s="8"/>
      <c r="G1822" s="8"/>
      <c r="H1822" s="8"/>
      <c r="I1822" s="8"/>
      <c r="J1822" s="8"/>
      <c r="K1822" s="8"/>
      <c r="L1822" s="8"/>
      <c r="M1822" s="8"/>
      <c r="N1822" s="8"/>
      <c r="O1822" s="8"/>
    </row>
    <row r="1823" ht="13.65" customHeight="1">
      <c r="A1823" s="8"/>
      <c r="B1823" s="8"/>
      <c r="C1823" s="8"/>
      <c r="D1823" s="8"/>
      <c r="E1823" s="8"/>
      <c r="F1823" s="8"/>
      <c r="G1823" s="8"/>
      <c r="H1823" s="8"/>
      <c r="I1823" s="8"/>
      <c r="J1823" s="8"/>
      <c r="K1823" s="8"/>
      <c r="L1823" s="8"/>
      <c r="M1823" s="8"/>
      <c r="N1823" s="8"/>
      <c r="O1823" s="8"/>
    </row>
    <row r="1824" ht="13.65" customHeight="1">
      <c r="A1824" s="8"/>
      <c r="B1824" s="8"/>
      <c r="C1824" s="8"/>
      <c r="D1824" s="8"/>
      <c r="E1824" s="8"/>
      <c r="F1824" s="8"/>
      <c r="G1824" s="8"/>
      <c r="H1824" s="8"/>
      <c r="I1824" s="8"/>
      <c r="J1824" s="8"/>
      <c r="K1824" s="8"/>
      <c r="L1824" s="8"/>
      <c r="M1824" s="8"/>
      <c r="N1824" s="8"/>
      <c r="O1824" s="8"/>
    </row>
    <row r="1825" ht="13.65" customHeight="1">
      <c r="A1825" s="8"/>
      <c r="B1825" s="8"/>
      <c r="C1825" s="8"/>
      <c r="D1825" s="8"/>
      <c r="E1825" s="8"/>
      <c r="F1825" s="8"/>
      <c r="G1825" s="8"/>
      <c r="H1825" s="8"/>
      <c r="I1825" s="8"/>
      <c r="J1825" s="8"/>
      <c r="K1825" s="8"/>
      <c r="L1825" s="8"/>
      <c r="M1825" s="8"/>
      <c r="N1825" s="8"/>
      <c r="O1825" s="8"/>
    </row>
    <row r="1826" ht="13.65" customHeight="1">
      <c r="A1826" s="8"/>
      <c r="B1826" s="8"/>
      <c r="C1826" s="8"/>
      <c r="D1826" s="8"/>
      <c r="E1826" s="8"/>
      <c r="F1826" s="8"/>
      <c r="G1826" s="8"/>
      <c r="H1826" s="8"/>
      <c r="I1826" s="8"/>
      <c r="J1826" s="8"/>
      <c r="K1826" s="8"/>
      <c r="L1826" s="8"/>
      <c r="M1826" s="8"/>
      <c r="N1826" s="8"/>
      <c r="O1826" s="8"/>
    </row>
    <row r="1827" ht="13.65" customHeight="1">
      <c r="A1827" s="8"/>
      <c r="B1827" s="8"/>
      <c r="C1827" s="8"/>
      <c r="D1827" s="8"/>
      <c r="E1827" s="8"/>
      <c r="F1827" s="8"/>
      <c r="G1827" s="8"/>
      <c r="H1827" s="8"/>
      <c r="I1827" s="8"/>
      <c r="J1827" s="8"/>
      <c r="K1827" s="8"/>
      <c r="L1827" s="8"/>
      <c r="M1827" s="8"/>
      <c r="N1827" s="8"/>
      <c r="O1827" s="8"/>
    </row>
    <row r="1828" ht="13.65" customHeight="1">
      <c r="A1828" s="8"/>
      <c r="B1828" s="8"/>
      <c r="C1828" s="8"/>
      <c r="D1828" s="8"/>
      <c r="E1828" s="8"/>
      <c r="F1828" s="8"/>
      <c r="G1828" s="8"/>
      <c r="H1828" s="8"/>
      <c r="I1828" s="8"/>
      <c r="J1828" s="8"/>
      <c r="K1828" s="8"/>
      <c r="L1828" s="8"/>
      <c r="M1828" s="8"/>
      <c r="N1828" s="8"/>
      <c r="O1828" s="8"/>
    </row>
    <row r="1829" ht="13.65" customHeight="1">
      <c r="A1829" s="8"/>
      <c r="B1829" s="8"/>
      <c r="C1829" s="8"/>
      <c r="D1829" s="8"/>
      <c r="E1829" s="8"/>
      <c r="F1829" s="8"/>
      <c r="G1829" s="8"/>
      <c r="H1829" s="8"/>
      <c r="I1829" s="8"/>
      <c r="J1829" s="8"/>
      <c r="K1829" s="8"/>
      <c r="L1829" s="8"/>
      <c r="M1829" s="8"/>
      <c r="N1829" s="8"/>
      <c r="O1829" s="8"/>
    </row>
    <row r="1830" ht="13.65" customHeight="1">
      <c r="A1830" s="8"/>
      <c r="B1830" s="8"/>
      <c r="C1830" s="8"/>
      <c r="D1830" s="8"/>
      <c r="E1830" s="8"/>
      <c r="F1830" s="8"/>
      <c r="G1830" s="8"/>
      <c r="H1830" s="8"/>
      <c r="I1830" s="8"/>
      <c r="J1830" s="8"/>
      <c r="K1830" s="8"/>
      <c r="L1830" s="8"/>
      <c r="M1830" s="8"/>
      <c r="N1830" s="8"/>
      <c r="O1830" s="8"/>
    </row>
    <row r="1831" ht="13.65" customHeight="1">
      <c r="A1831" s="8"/>
      <c r="B1831" s="8"/>
      <c r="C1831" s="8"/>
      <c r="D1831" s="8"/>
      <c r="E1831" s="8"/>
      <c r="F1831" s="8"/>
      <c r="G1831" s="8"/>
      <c r="H1831" s="8"/>
      <c r="I1831" s="8"/>
      <c r="J1831" s="8"/>
      <c r="K1831" s="8"/>
      <c r="L1831" s="8"/>
      <c r="M1831" s="8"/>
      <c r="N1831" s="8"/>
      <c r="O1831" s="8"/>
    </row>
    <row r="1832" ht="13.65" customHeight="1">
      <c r="A1832" s="8"/>
      <c r="B1832" s="8"/>
      <c r="C1832" s="8"/>
      <c r="D1832" s="8"/>
      <c r="E1832" s="8"/>
      <c r="F1832" s="8"/>
      <c r="G1832" s="8"/>
      <c r="H1832" s="8"/>
      <c r="I1832" s="8"/>
      <c r="J1832" s="8"/>
      <c r="K1832" s="8"/>
      <c r="L1832" s="8"/>
      <c r="M1832" s="8"/>
      <c r="N1832" s="8"/>
      <c r="O1832" s="8"/>
    </row>
    <row r="1833" ht="13.65" customHeight="1">
      <c r="A1833" s="8"/>
      <c r="B1833" s="8"/>
      <c r="C1833" s="8"/>
      <c r="D1833" s="8"/>
      <c r="E1833" s="8"/>
      <c r="F1833" s="8"/>
      <c r="G1833" s="8"/>
      <c r="H1833" s="8"/>
      <c r="I1833" s="8"/>
      <c r="J1833" s="8"/>
      <c r="K1833" s="8"/>
      <c r="L1833" s="8"/>
      <c r="M1833" s="8"/>
      <c r="N1833" s="8"/>
      <c r="O1833" s="8"/>
    </row>
    <row r="1834" ht="13.65" customHeight="1">
      <c r="A1834" s="8"/>
      <c r="B1834" s="8"/>
      <c r="C1834" s="8"/>
      <c r="D1834" s="8"/>
      <c r="E1834" s="8"/>
      <c r="F1834" s="8"/>
      <c r="G1834" s="8"/>
      <c r="H1834" s="8"/>
      <c r="I1834" s="8"/>
      <c r="J1834" s="8"/>
      <c r="K1834" s="8"/>
      <c r="L1834" s="8"/>
      <c r="M1834" s="8"/>
      <c r="N1834" s="8"/>
      <c r="O1834" s="8"/>
    </row>
    <row r="1835" ht="13.65" customHeight="1">
      <c r="A1835" s="8"/>
      <c r="B1835" s="8"/>
      <c r="C1835" s="8"/>
      <c r="D1835" s="8"/>
      <c r="E1835" s="8"/>
      <c r="F1835" s="8"/>
      <c r="G1835" s="8"/>
      <c r="H1835" s="8"/>
      <c r="I1835" s="8"/>
      <c r="J1835" s="8"/>
      <c r="K1835" s="8"/>
      <c r="L1835" s="8"/>
      <c r="M1835" s="8"/>
      <c r="N1835" s="8"/>
      <c r="O1835" s="8"/>
    </row>
    <row r="1836" ht="13.65" customHeight="1">
      <c r="A1836" s="8"/>
      <c r="B1836" s="8"/>
      <c r="C1836" s="8"/>
      <c r="D1836" s="8"/>
      <c r="E1836" s="8"/>
      <c r="F1836" s="8"/>
      <c r="G1836" s="8"/>
      <c r="H1836" s="8"/>
      <c r="I1836" s="8"/>
      <c r="J1836" s="8"/>
      <c r="K1836" s="8"/>
      <c r="L1836" s="8"/>
      <c r="M1836" s="8"/>
      <c r="N1836" s="8"/>
      <c r="O1836" s="8"/>
    </row>
    <row r="1837" ht="13.65" customHeight="1">
      <c r="A1837" s="8"/>
      <c r="B1837" s="8"/>
      <c r="C1837" s="8"/>
      <c r="D1837" s="8"/>
      <c r="E1837" s="8"/>
      <c r="F1837" s="8"/>
      <c r="G1837" s="8"/>
      <c r="H1837" s="8"/>
      <c r="I1837" s="8"/>
      <c r="J1837" s="8"/>
      <c r="K1837" s="8"/>
      <c r="L1837" s="8"/>
      <c r="M1837" s="8"/>
      <c r="N1837" s="8"/>
      <c r="O1837" s="8"/>
    </row>
    <row r="1838" ht="13.65" customHeight="1">
      <c r="A1838" s="8"/>
      <c r="B1838" s="8"/>
      <c r="C1838" s="8"/>
      <c r="D1838" s="8"/>
      <c r="E1838" s="8"/>
      <c r="F1838" s="8"/>
      <c r="G1838" s="8"/>
      <c r="H1838" s="8"/>
      <c r="I1838" s="8"/>
      <c r="J1838" s="8"/>
      <c r="K1838" s="8"/>
      <c r="L1838" s="8"/>
      <c r="M1838" s="8"/>
      <c r="N1838" s="8"/>
      <c r="O1838" s="8"/>
    </row>
    <row r="1839" ht="13.65" customHeight="1">
      <c r="A1839" s="8"/>
      <c r="B1839" s="8"/>
      <c r="C1839" s="8"/>
      <c r="D1839" s="8"/>
      <c r="E1839" s="8"/>
      <c r="F1839" s="8"/>
      <c r="G1839" s="8"/>
      <c r="H1839" s="8"/>
      <c r="I1839" s="8"/>
      <c r="J1839" s="8"/>
      <c r="K1839" s="8"/>
      <c r="L1839" s="8"/>
      <c r="M1839" s="8"/>
      <c r="N1839" s="8"/>
      <c r="O1839" s="8"/>
    </row>
    <row r="1840" ht="13.65" customHeight="1">
      <c r="A1840" s="8"/>
      <c r="B1840" s="8"/>
      <c r="C1840" s="8"/>
      <c r="D1840" s="8"/>
      <c r="E1840" s="8"/>
      <c r="F1840" s="8"/>
      <c r="G1840" s="8"/>
      <c r="H1840" s="8"/>
      <c r="I1840" s="8"/>
      <c r="J1840" s="8"/>
      <c r="K1840" s="8"/>
      <c r="L1840" s="8"/>
      <c r="M1840" s="8"/>
      <c r="N1840" s="8"/>
      <c r="O1840" s="8"/>
    </row>
    <row r="1841" ht="13.65" customHeight="1">
      <c r="A1841" s="8"/>
      <c r="B1841" s="8"/>
      <c r="C1841" s="8"/>
      <c r="D1841" s="8"/>
      <c r="E1841" s="8"/>
      <c r="F1841" s="8"/>
      <c r="G1841" s="8"/>
      <c r="H1841" s="8"/>
      <c r="I1841" s="8"/>
      <c r="J1841" s="8"/>
      <c r="K1841" s="8"/>
      <c r="L1841" s="8"/>
      <c r="M1841" s="8"/>
      <c r="N1841" s="8"/>
      <c r="O1841" s="8"/>
    </row>
    <row r="1842" ht="13.65" customHeight="1">
      <c r="A1842" s="8"/>
      <c r="B1842" s="8"/>
      <c r="C1842" s="8"/>
      <c r="D1842" s="8"/>
      <c r="E1842" s="8"/>
      <c r="F1842" s="8"/>
      <c r="G1842" s="8"/>
      <c r="H1842" s="8"/>
      <c r="I1842" s="8"/>
      <c r="J1842" s="8"/>
      <c r="K1842" s="8"/>
      <c r="L1842" s="8"/>
      <c r="M1842" s="8"/>
      <c r="N1842" s="8"/>
      <c r="O1842" s="8"/>
    </row>
    <row r="1843" ht="13.65" customHeight="1">
      <c r="A1843" s="8"/>
      <c r="B1843" s="8"/>
      <c r="C1843" s="8"/>
      <c r="D1843" s="8"/>
      <c r="E1843" s="8"/>
      <c r="F1843" s="8"/>
      <c r="G1843" s="8"/>
      <c r="H1843" s="8"/>
      <c r="I1843" s="8"/>
      <c r="J1843" s="8"/>
      <c r="K1843" s="8"/>
      <c r="L1843" s="8"/>
      <c r="M1843" s="8"/>
      <c r="N1843" s="8"/>
      <c r="O1843" s="8"/>
    </row>
    <row r="1844" ht="13.65" customHeight="1">
      <c r="A1844" s="8"/>
      <c r="B1844" s="8"/>
      <c r="C1844" s="8"/>
      <c r="D1844" s="8"/>
      <c r="E1844" s="8"/>
      <c r="F1844" s="8"/>
      <c r="G1844" s="8"/>
      <c r="H1844" s="8"/>
      <c r="I1844" s="8"/>
      <c r="J1844" s="8"/>
      <c r="K1844" s="8"/>
      <c r="L1844" s="8"/>
      <c r="M1844" s="8"/>
      <c r="N1844" s="8"/>
      <c r="O1844" s="8"/>
    </row>
    <row r="1845" ht="13.65" customHeight="1">
      <c r="A1845" s="8"/>
      <c r="B1845" s="8"/>
      <c r="C1845" s="8"/>
      <c r="D1845" s="8"/>
      <c r="E1845" s="8"/>
      <c r="F1845" s="8"/>
      <c r="G1845" s="8"/>
      <c r="H1845" s="8"/>
      <c r="I1845" s="8"/>
      <c r="J1845" s="8"/>
      <c r="K1845" s="8"/>
      <c r="L1845" s="8"/>
      <c r="M1845" s="8"/>
      <c r="N1845" s="8"/>
      <c r="O1845" s="8"/>
    </row>
    <row r="1846" ht="13.65" customHeight="1">
      <c r="A1846" s="8"/>
      <c r="B1846" s="8"/>
      <c r="C1846" s="8"/>
      <c r="D1846" s="8"/>
      <c r="E1846" s="8"/>
      <c r="F1846" s="8"/>
      <c r="G1846" s="8"/>
      <c r="H1846" s="8"/>
      <c r="I1846" s="8"/>
      <c r="J1846" s="8"/>
      <c r="K1846" s="8"/>
      <c r="L1846" s="8"/>
      <c r="M1846" s="8"/>
      <c r="N1846" s="8"/>
      <c r="O1846" s="8"/>
    </row>
    <row r="1847" ht="13.65" customHeight="1">
      <c r="A1847" s="8"/>
      <c r="B1847" s="8"/>
      <c r="C1847" s="8"/>
      <c r="D1847" s="8"/>
      <c r="E1847" s="8"/>
      <c r="F1847" s="8"/>
      <c r="G1847" s="8"/>
      <c r="H1847" s="8"/>
      <c r="I1847" s="8"/>
      <c r="J1847" s="8"/>
      <c r="K1847" s="8"/>
      <c r="L1847" s="8"/>
      <c r="M1847" s="8"/>
      <c r="N1847" s="8"/>
      <c r="O1847" s="8"/>
    </row>
    <row r="1848" ht="13.65" customHeight="1">
      <c r="A1848" s="8"/>
      <c r="B1848" s="8"/>
      <c r="C1848" s="8"/>
      <c r="D1848" s="8"/>
      <c r="E1848" s="8"/>
      <c r="F1848" s="8"/>
      <c r="G1848" s="8"/>
      <c r="H1848" s="8"/>
      <c r="I1848" s="8"/>
      <c r="J1848" s="8"/>
      <c r="K1848" s="8"/>
      <c r="L1848" s="8"/>
      <c r="M1848" s="8"/>
      <c r="N1848" s="8"/>
      <c r="O1848" s="8"/>
    </row>
    <row r="1849" ht="13.65" customHeight="1">
      <c r="A1849" s="8"/>
      <c r="B1849" s="8"/>
      <c r="C1849" s="8"/>
      <c r="D1849" s="8"/>
      <c r="E1849" s="8"/>
      <c r="F1849" s="8"/>
      <c r="G1849" s="8"/>
      <c r="H1849" s="8"/>
      <c r="I1849" s="8"/>
      <c r="J1849" s="8"/>
      <c r="K1849" s="8"/>
      <c r="L1849" s="8"/>
      <c r="M1849" s="8"/>
      <c r="N1849" s="8"/>
      <c r="O1849" s="8"/>
    </row>
    <row r="1850" ht="13.65" customHeight="1">
      <c r="A1850" s="8"/>
      <c r="B1850" s="8"/>
      <c r="C1850" s="8"/>
      <c r="D1850" s="8"/>
      <c r="E1850" s="8"/>
      <c r="F1850" s="8"/>
      <c r="G1850" s="8"/>
      <c r="H1850" s="8"/>
      <c r="I1850" s="8"/>
      <c r="J1850" s="8"/>
      <c r="K1850" s="8"/>
      <c r="L1850" s="8"/>
      <c r="M1850" s="8"/>
      <c r="N1850" s="8"/>
      <c r="O1850" s="8"/>
    </row>
    <row r="1851" ht="13.65" customHeight="1">
      <c r="A1851" s="8"/>
      <c r="B1851" s="8"/>
      <c r="C1851" s="8"/>
      <c r="D1851" s="8"/>
      <c r="E1851" s="8"/>
      <c r="F1851" s="8"/>
      <c r="G1851" s="8"/>
      <c r="H1851" s="8"/>
      <c r="I1851" s="8"/>
      <c r="J1851" s="8"/>
      <c r="K1851" s="8"/>
      <c r="L1851" s="8"/>
      <c r="M1851" s="8"/>
      <c r="N1851" s="8"/>
      <c r="O1851" s="8"/>
    </row>
    <row r="1852" ht="13.65" customHeight="1">
      <c r="A1852" s="8"/>
      <c r="B1852" s="8"/>
      <c r="C1852" s="8"/>
      <c r="D1852" s="8"/>
      <c r="E1852" s="8"/>
      <c r="F1852" s="8"/>
      <c r="G1852" s="8"/>
      <c r="H1852" s="8"/>
      <c r="I1852" s="8"/>
      <c r="J1852" s="8"/>
      <c r="K1852" s="8"/>
      <c r="L1852" s="8"/>
      <c r="M1852" s="8"/>
      <c r="N1852" s="8"/>
      <c r="O1852" s="8"/>
    </row>
    <row r="1853" ht="13.65" customHeight="1">
      <c r="A1853" s="8"/>
      <c r="B1853" s="8"/>
      <c r="C1853" s="8"/>
      <c r="D1853" s="8"/>
      <c r="E1853" s="8"/>
      <c r="F1853" s="8"/>
      <c r="G1853" s="8"/>
      <c r="H1853" s="8"/>
      <c r="I1853" s="8"/>
      <c r="J1853" s="8"/>
      <c r="K1853" s="8"/>
      <c r="L1853" s="8"/>
      <c r="M1853" s="8"/>
      <c r="N1853" s="8"/>
      <c r="O1853" s="8"/>
    </row>
    <row r="1854" ht="13.65" customHeight="1">
      <c r="A1854" s="8"/>
      <c r="B1854" s="8"/>
      <c r="C1854" s="8"/>
      <c r="D1854" s="8"/>
      <c r="E1854" s="8"/>
      <c r="F1854" s="8"/>
      <c r="G1854" s="8"/>
      <c r="H1854" s="8"/>
      <c r="I1854" s="8"/>
      <c r="J1854" s="8"/>
      <c r="K1854" s="8"/>
      <c r="L1854" s="8"/>
      <c r="M1854" s="8"/>
      <c r="N1854" s="8"/>
      <c r="O1854" s="8"/>
    </row>
    <row r="1855" ht="13.65" customHeight="1">
      <c r="A1855" s="8"/>
      <c r="B1855" s="8"/>
      <c r="C1855" s="8"/>
      <c r="D1855" s="8"/>
      <c r="E1855" s="8"/>
      <c r="F1855" s="8"/>
      <c r="G1855" s="8"/>
      <c r="H1855" s="8"/>
      <c r="I1855" s="8"/>
      <c r="J1855" s="8"/>
      <c r="K1855" s="8"/>
      <c r="L1855" s="8"/>
      <c r="M1855" s="8"/>
      <c r="N1855" s="8"/>
      <c r="O1855" s="8"/>
    </row>
    <row r="1856" ht="13.65" customHeight="1">
      <c r="A1856" s="8"/>
      <c r="B1856" s="8"/>
      <c r="C1856" s="8"/>
      <c r="D1856" s="8"/>
      <c r="E1856" s="8"/>
      <c r="F1856" s="8"/>
      <c r="G1856" s="8"/>
      <c r="H1856" s="8"/>
      <c r="I1856" s="8"/>
      <c r="J1856" s="8"/>
      <c r="K1856" s="8"/>
      <c r="L1856" s="8"/>
      <c r="M1856" s="8"/>
      <c r="N1856" s="8"/>
      <c r="O1856" s="8"/>
    </row>
    <row r="1857" ht="13.65" customHeight="1">
      <c r="A1857" s="8"/>
      <c r="B1857" s="8"/>
      <c r="C1857" s="8"/>
      <c r="D1857" s="8"/>
      <c r="E1857" s="8"/>
      <c r="F1857" s="8"/>
      <c r="G1857" s="8"/>
      <c r="H1857" s="8"/>
      <c r="I1857" s="8"/>
      <c r="J1857" s="8"/>
      <c r="K1857" s="8"/>
      <c r="L1857" s="8"/>
      <c r="M1857" s="8"/>
      <c r="N1857" s="8"/>
      <c r="O1857" s="8"/>
    </row>
    <row r="1858" ht="13.65" customHeight="1">
      <c r="A1858" s="8"/>
      <c r="B1858" s="8"/>
      <c r="C1858" s="8"/>
      <c r="D1858" s="8"/>
      <c r="E1858" s="8"/>
      <c r="F1858" s="8"/>
      <c r="G1858" s="8"/>
      <c r="H1858" s="8"/>
      <c r="I1858" s="8"/>
      <c r="J1858" s="8"/>
      <c r="K1858" s="8"/>
      <c r="L1858" s="8"/>
      <c r="M1858" s="8"/>
      <c r="N1858" s="8"/>
      <c r="O1858" s="8"/>
    </row>
    <row r="1859" ht="13.65" customHeight="1">
      <c r="A1859" s="8"/>
      <c r="B1859" s="8"/>
      <c r="C1859" s="8"/>
      <c r="D1859" s="8"/>
      <c r="E1859" s="8"/>
      <c r="F1859" s="8"/>
      <c r="G1859" s="8"/>
      <c r="H1859" s="8"/>
      <c r="I1859" s="8"/>
      <c r="J1859" s="8"/>
      <c r="K1859" s="8"/>
      <c r="L1859" s="8"/>
      <c r="M1859" s="8"/>
      <c r="N1859" s="8"/>
      <c r="O1859" s="8"/>
    </row>
    <row r="1860" ht="13.65" customHeight="1">
      <c r="A1860" s="8"/>
      <c r="B1860" s="8"/>
      <c r="C1860" s="8"/>
      <c r="D1860" s="8"/>
      <c r="E1860" s="8"/>
      <c r="F1860" s="8"/>
      <c r="G1860" s="8"/>
      <c r="H1860" s="8"/>
      <c r="I1860" s="8"/>
      <c r="J1860" s="8"/>
      <c r="K1860" s="8"/>
      <c r="L1860" s="8"/>
      <c r="M1860" s="8"/>
      <c r="N1860" s="8"/>
      <c r="O1860" s="8"/>
    </row>
    <row r="1861" ht="13.65" customHeight="1">
      <c r="A1861" s="8"/>
      <c r="B1861" s="8"/>
      <c r="C1861" s="8"/>
      <c r="D1861" s="8"/>
      <c r="E1861" s="8"/>
      <c r="F1861" s="8"/>
      <c r="G1861" s="8"/>
      <c r="H1861" s="8"/>
      <c r="I1861" s="8"/>
      <c r="J1861" s="8"/>
      <c r="K1861" s="8"/>
      <c r="L1861" s="8"/>
      <c r="M1861" s="8"/>
      <c r="N1861" s="8"/>
      <c r="O1861" s="8"/>
    </row>
    <row r="1862" ht="13.65" customHeight="1">
      <c r="A1862" s="8"/>
      <c r="B1862" s="8"/>
      <c r="C1862" s="8"/>
      <c r="D1862" s="8"/>
      <c r="E1862" s="8"/>
      <c r="F1862" s="8"/>
      <c r="G1862" s="8"/>
      <c r="H1862" s="8"/>
      <c r="I1862" s="8"/>
      <c r="J1862" s="8"/>
      <c r="K1862" s="8"/>
      <c r="L1862" s="8"/>
      <c r="M1862" s="8"/>
      <c r="N1862" s="8"/>
      <c r="O1862" s="8"/>
    </row>
    <row r="1863" ht="13.65" customHeight="1">
      <c r="A1863" s="8"/>
      <c r="B1863" s="8"/>
      <c r="C1863" s="8"/>
      <c r="D1863" s="8"/>
      <c r="E1863" s="8"/>
      <c r="F1863" s="8"/>
      <c r="G1863" s="8"/>
      <c r="H1863" s="8"/>
      <c r="I1863" s="8"/>
      <c r="J1863" s="8"/>
      <c r="K1863" s="8"/>
      <c r="L1863" s="8"/>
      <c r="M1863" s="8"/>
      <c r="N1863" s="8"/>
      <c r="O1863" s="8"/>
    </row>
    <row r="1864" ht="13.65" customHeight="1">
      <c r="A1864" s="8"/>
      <c r="B1864" s="8"/>
      <c r="C1864" s="8"/>
      <c r="D1864" s="8"/>
      <c r="E1864" s="8"/>
      <c r="F1864" s="8"/>
      <c r="G1864" s="8"/>
      <c r="H1864" s="8"/>
      <c r="I1864" s="8"/>
      <c r="J1864" s="8"/>
      <c r="K1864" s="8"/>
      <c r="L1864" s="8"/>
      <c r="M1864" s="8"/>
      <c r="N1864" s="8"/>
      <c r="O1864" s="8"/>
    </row>
    <row r="1865" ht="13.65" customHeight="1">
      <c r="A1865" s="8"/>
      <c r="B1865" s="8"/>
      <c r="C1865" s="8"/>
      <c r="D1865" s="8"/>
      <c r="E1865" s="8"/>
      <c r="F1865" s="8"/>
      <c r="G1865" s="8"/>
      <c r="H1865" s="8"/>
      <c r="I1865" s="8"/>
      <c r="J1865" s="8"/>
      <c r="K1865" s="8"/>
      <c r="L1865" s="8"/>
      <c r="M1865" s="8"/>
      <c r="N1865" s="8"/>
      <c r="O1865" s="8"/>
    </row>
    <row r="1866" ht="13.65" customHeight="1">
      <c r="A1866" s="8"/>
      <c r="B1866" s="8"/>
      <c r="C1866" s="8"/>
      <c r="D1866" s="8"/>
      <c r="E1866" s="8"/>
      <c r="F1866" s="8"/>
      <c r="G1866" s="8"/>
      <c r="H1866" s="8"/>
      <c r="I1866" s="8"/>
      <c r="J1866" s="8"/>
      <c r="K1866" s="8"/>
      <c r="L1866" s="8"/>
      <c r="M1866" s="8"/>
      <c r="N1866" s="8"/>
      <c r="O1866" s="8"/>
    </row>
    <row r="1867" ht="13.65" customHeight="1">
      <c r="A1867" s="8"/>
      <c r="B1867" s="8"/>
      <c r="C1867" s="8"/>
      <c r="D1867" s="8"/>
      <c r="E1867" s="8"/>
      <c r="F1867" s="8"/>
      <c r="G1867" s="8"/>
      <c r="H1867" s="8"/>
      <c r="I1867" s="8"/>
      <c r="J1867" s="8"/>
      <c r="K1867" s="8"/>
      <c r="L1867" s="8"/>
      <c r="M1867" s="8"/>
      <c r="N1867" s="8"/>
      <c r="O1867" s="8"/>
    </row>
    <row r="1868" ht="13.65" customHeight="1">
      <c r="A1868" s="8"/>
      <c r="B1868" s="8"/>
      <c r="C1868" s="8"/>
      <c r="D1868" s="8"/>
      <c r="E1868" s="8"/>
      <c r="F1868" s="8"/>
      <c r="G1868" s="8"/>
      <c r="H1868" s="8"/>
      <c r="I1868" s="8"/>
      <c r="J1868" s="8"/>
      <c r="K1868" s="8"/>
      <c r="L1868" s="8"/>
      <c r="M1868" s="8"/>
      <c r="N1868" s="8"/>
      <c r="O1868" s="8"/>
    </row>
    <row r="1869" ht="13.65" customHeight="1">
      <c r="A1869" s="8"/>
      <c r="B1869" s="8"/>
      <c r="C1869" s="8"/>
      <c r="D1869" s="8"/>
      <c r="E1869" s="8"/>
      <c r="F1869" s="8"/>
      <c r="G1869" s="8"/>
      <c r="H1869" s="8"/>
      <c r="I1869" s="8"/>
      <c r="J1869" s="8"/>
      <c r="K1869" s="8"/>
      <c r="L1869" s="8"/>
      <c r="M1869" s="8"/>
      <c r="N1869" s="8"/>
      <c r="O1869" s="8"/>
    </row>
    <row r="1870" ht="13.65" customHeight="1">
      <c r="A1870" s="8"/>
      <c r="B1870" s="8"/>
      <c r="C1870" s="8"/>
      <c r="D1870" s="8"/>
      <c r="E1870" s="8"/>
      <c r="F1870" s="8"/>
      <c r="G1870" s="8"/>
      <c r="H1870" s="8"/>
      <c r="I1870" s="8"/>
      <c r="J1870" s="8"/>
      <c r="K1870" s="8"/>
      <c r="L1870" s="8"/>
      <c r="M1870" s="8"/>
      <c r="N1870" s="8"/>
      <c r="O1870" s="8"/>
    </row>
    <row r="1871" ht="13.65" customHeight="1">
      <c r="A1871" s="8"/>
      <c r="B1871" s="8"/>
      <c r="C1871" s="8"/>
      <c r="D1871" s="8"/>
      <c r="E1871" s="8"/>
      <c r="F1871" s="8"/>
      <c r="G1871" s="8"/>
      <c r="H1871" s="8"/>
      <c r="I1871" s="8"/>
      <c r="J1871" s="8"/>
      <c r="K1871" s="8"/>
      <c r="L1871" s="8"/>
      <c r="M1871" s="8"/>
      <c r="N1871" s="8"/>
      <c r="O1871" s="8"/>
    </row>
    <row r="1872" ht="13.65" customHeight="1">
      <c r="A1872" s="8"/>
      <c r="B1872" s="8"/>
      <c r="C1872" s="8"/>
      <c r="D1872" s="8"/>
      <c r="E1872" s="8"/>
      <c r="F1872" s="8"/>
      <c r="G1872" s="8"/>
      <c r="H1872" s="8"/>
      <c r="I1872" s="8"/>
      <c r="J1872" s="8"/>
      <c r="K1872" s="8"/>
      <c r="L1872" s="8"/>
      <c r="M1872" s="8"/>
      <c r="N1872" s="8"/>
      <c r="O1872" s="8"/>
    </row>
    <row r="1873" ht="13.65" customHeight="1">
      <c r="A1873" s="8"/>
      <c r="B1873" s="8"/>
      <c r="C1873" s="8"/>
      <c r="D1873" s="8"/>
      <c r="E1873" s="8"/>
      <c r="F1873" s="8"/>
      <c r="G1873" s="8"/>
      <c r="H1873" s="8"/>
      <c r="I1873" s="8"/>
      <c r="J1873" s="8"/>
      <c r="K1873" s="8"/>
      <c r="L1873" s="8"/>
      <c r="M1873" s="8"/>
      <c r="N1873" s="8"/>
      <c r="O1873" s="8"/>
    </row>
    <row r="1874" ht="13.65" customHeight="1">
      <c r="A1874" s="8"/>
      <c r="B1874" s="8"/>
      <c r="C1874" s="8"/>
      <c r="D1874" s="8"/>
      <c r="E1874" s="8"/>
      <c r="F1874" s="8"/>
      <c r="G1874" s="8"/>
      <c r="H1874" s="8"/>
      <c r="I1874" s="8"/>
      <c r="J1874" s="8"/>
      <c r="K1874" s="8"/>
      <c r="L1874" s="8"/>
      <c r="M1874" s="8"/>
      <c r="N1874" s="8"/>
      <c r="O1874" s="8"/>
    </row>
    <row r="1875" ht="13.65" customHeight="1">
      <c r="A1875" s="8"/>
      <c r="B1875" s="8"/>
      <c r="C1875" s="8"/>
      <c r="D1875" s="8"/>
      <c r="E1875" s="8"/>
      <c r="F1875" s="8"/>
      <c r="G1875" s="8"/>
      <c r="H1875" s="8"/>
      <c r="I1875" s="8"/>
      <c r="J1875" s="8"/>
      <c r="K1875" s="8"/>
      <c r="L1875" s="8"/>
      <c r="M1875" s="8"/>
      <c r="N1875" s="8"/>
      <c r="O1875" s="8"/>
    </row>
    <row r="1876" ht="13.65" customHeight="1">
      <c r="A1876" s="8"/>
      <c r="B1876" s="8"/>
      <c r="C1876" s="8"/>
      <c r="D1876" s="8"/>
      <c r="E1876" s="8"/>
      <c r="F1876" s="8"/>
      <c r="G1876" s="8"/>
      <c r="H1876" s="8"/>
      <c r="I1876" s="8"/>
      <c r="J1876" s="8"/>
      <c r="K1876" s="8"/>
      <c r="L1876" s="8"/>
      <c r="M1876" s="8"/>
      <c r="N1876" s="8"/>
      <c r="O1876" s="8"/>
    </row>
    <row r="1877" ht="13.65" customHeight="1">
      <c r="A1877" s="8"/>
      <c r="B1877" s="8"/>
      <c r="C1877" s="8"/>
      <c r="D1877" s="8"/>
      <c r="E1877" s="8"/>
      <c r="F1877" s="8"/>
      <c r="G1877" s="8"/>
      <c r="H1877" s="8"/>
      <c r="I1877" s="8"/>
      <c r="J1877" s="8"/>
      <c r="K1877" s="8"/>
      <c r="L1877" s="8"/>
      <c r="M1877" s="8"/>
      <c r="N1877" s="8"/>
      <c r="O1877" s="8"/>
    </row>
    <row r="1878" ht="13.65" customHeight="1">
      <c r="A1878" s="8"/>
      <c r="B1878" s="8"/>
      <c r="C1878" s="8"/>
      <c r="D1878" s="8"/>
      <c r="E1878" s="8"/>
      <c r="F1878" s="8"/>
      <c r="G1878" s="8"/>
      <c r="H1878" s="8"/>
      <c r="I1878" s="8"/>
      <c r="J1878" s="8"/>
      <c r="K1878" s="8"/>
      <c r="L1878" s="8"/>
      <c r="M1878" s="8"/>
      <c r="N1878" s="8"/>
      <c r="O1878" s="8"/>
    </row>
    <row r="1879" ht="13.65" customHeight="1">
      <c r="A1879" s="8"/>
      <c r="B1879" s="8"/>
      <c r="C1879" s="8"/>
      <c r="D1879" s="8"/>
      <c r="E1879" s="8"/>
      <c r="F1879" s="8"/>
      <c r="G1879" s="8"/>
      <c r="H1879" s="8"/>
      <c r="I1879" s="8"/>
      <c r="J1879" s="8"/>
      <c r="K1879" s="8"/>
      <c r="L1879" s="8"/>
      <c r="M1879" s="8"/>
      <c r="N1879" s="8"/>
      <c r="O1879" s="8"/>
    </row>
    <row r="1880" ht="13.65" customHeight="1">
      <c r="A1880" s="8"/>
      <c r="B1880" s="8"/>
      <c r="C1880" s="8"/>
      <c r="D1880" s="8"/>
      <c r="E1880" s="8"/>
      <c r="F1880" s="8"/>
      <c r="G1880" s="8"/>
      <c r="H1880" s="8"/>
      <c r="I1880" s="8"/>
      <c r="J1880" s="8"/>
      <c r="K1880" s="8"/>
      <c r="L1880" s="8"/>
      <c r="M1880" s="8"/>
      <c r="N1880" s="8"/>
      <c r="O1880" s="8"/>
    </row>
    <row r="1881" ht="13.65" customHeight="1">
      <c r="A1881" s="8"/>
      <c r="B1881" s="8"/>
      <c r="C1881" s="8"/>
      <c r="D1881" s="8"/>
      <c r="E1881" s="8"/>
      <c r="F1881" s="8"/>
      <c r="G1881" s="8"/>
      <c r="H1881" s="8"/>
      <c r="I1881" s="8"/>
      <c r="J1881" s="8"/>
      <c r="K1881" s="8"/>
      <c r="L1881" s="8"/>
      <c r="M1881" s="8"/>
      <c r="N1881" s="8"/>
      <c r="O1881" s="8"/>
    </row>
    <row r="1882" ht="13.65" customHeight="1">
      <c r="A1882" s="8"/>
      <c r="B1882" s="8"/>
      <c r="C1882" s="8"/>
      <c r="D1882" s="8"/>
      <c r="E1882" s="8"/>
      <c r="F1882" s="8"/>
      <c r="G1882" s="8"/>
      <c r="H1882" s="8"/>
      <c r="I1882" s="8"/>
      <c r="J1882" s="8"/>
      <c r="K1882" s="8"/>
      <c r="L1882" s="8"/>
      <c r="M1882" s="8"/>
      <c r="N1882" s="8"/>
      <c r="O1882" s="8"/>
    </row>
    <row r="1883" ht="13.65" customHeight="1">
      <c r="A1883" s="8"/>
      <c r="B1883" s="8"/>
      <c r="C1883" s="8"/>
      <c r="D1883" s="8"/>
      <c r="E1883" s="8"/>
      <c r="F1883" s="8"/>
      <c r="G1883" s="8"/>
      <c r="H1883" s="8"/>
      <c r="I1883" s="8"/>
      <c r="J1883" s="8"/>
      <c r="K1883" s="8"/>
      <c r="L1883" s="8"/>
      <c r="M1883" s="8"/>
      <c r="N1883" s="8"/>
      <c r="O1883" s="8"/>
    </row>
    <row r="1884" ht="13.65" customHeight="1">
      <c r="A1884" s="8"/>
      <c r="B1884" s="8"/>
      <c r="C1884" s="8"/>
      <c r="D1884" s="8"/>
      <c r="E1884" s="8"/>
      <c r="F1884" s="8"/>
      <c r="G1884" s="8"/>
      <c r="H1884" s="8"/>
      <c r="I1884" s="8"/>
      <c r="J1884" s="8"/>
      <c r="K1884" s="8"/>
      <c r="L1884" s="8"/>
      <c r="M1884" s="8"/>
      <c r="N1884" s="8"/>
      <c r="O1884" s="8"/>
    </row>
    <row r="1885" ht="13.65" customHeight="1">
      <c r="A1885" s="8"/>
      <c r="B1885" s="8"/>
      <c r="C1885" s="8"/>
      <c r="D1885" s="8"/>
      <c r="E1885" s="8"/>
      <c r="F1885" s="8"/>
      <c r="G1885" s="8"/>
      <c r="H1885" s="8"/>
      <c r="I1885" s="8"/>
      <c r="J1885" s="8"/>
      <c r="K1885" s="8"/>
      <c r="L1885" s="8"/>
      <c r="M1885" s="8"/>
      <c r="N1885" s="8"/>
      <c r="O1885" s="8"/>
    </row>
    <row r="1886" ht="13.65" customHeight="1">
      <c r="A1886" s="8"/>
      <c r="B1886" s="8"/>
      <c r="C1886" s="8"/>
      <c r="D1886" s="8"/>
      <c r="E1886" s="8"/>
      <c r="F1886" s="8"/>
      <c r="G1886" s="8"/>
      <c r="H1886" s="8"/>
      <c r="I1886" s="8"/>
      <c r="J1886" s="8"/>
      <c r="K1886" s="8"/>
      <c r="L1886" s="8"/>
      <c r="M1886" s="8"/>
      <c r="N1886" s="8"/>
      <c r="O1886" s="8"/>
    </row>
    <row r="1887" ht="13.65" customHeight="1">
      <c r="A1887" s="8"/>
      <c r="B1887" s="8"/>
      <c r="C1887" s="8"/>
      <c r="D1887" s="8"/>
      <c r="E1887" s="8"/>
      <c r="F1887" s="8"/>
      <c r="G1887" s="8"/>
      <c r="H1887" s="8"/>
      <c r="I1887" s="8"/>
      <c r="J1887" s="8"/>
      <c r="K1887" s="8"/>
      <c r="L1887" s="8"/>
      <c r="M1887" s="8"/>
      <c r="N1887" s="8"/>
      <c r="O1887" s="8"/>
    </row>
    <row r="1888" ht="13.65" customHeight="1">
      <c r="A1888" s="8"/>
      <c r="B1888" s="8"/>
      <c r="C1888" s="8"/>
      <c r="D1888" s="8"/>
      <c r="E1888" s="8"/>
      <c r="F1888" s="8"/>
      <c r="G1888" s="8"/>
      <c r="H1888" s="8"/>
      <c r="I1888" s="8"/>
      <c r="J1888" s="8"/>
      <c r="K1888" s="8"/>
      <c r="L1888" s="8"/>
      <c r="M1888" s="8"/>
      <c r="N1888" s="8"/>
      <c r="O1888" s="8"/>
    </row>
    <row r="1889" ht="13.65" customHeight="1">
      <c r="A1889" s="8"/>
      <c r="B1889" s="8"/>
      <c r="C1889" s="8"/>
      <c r="D1889" s="8"/>
      <c r="E1889" s="8"/>
      <c r="F1889" s="8"/>
      <c r="G1889" s="8"/>
      <c r="H1889" s="8"/>
      <c r="I1889" s="8"/>
      <c r="J1889" s="8"/>
      <c r="K1889" s="8"/>
      <c r="L1889" s="8"/>
      <c r="M1889" s="8"/>
      <c r="N1889" s="8"/>
      <c r="O1889" s="8"/>
    </row>
    <row r="1890" ht="13.65" customHeight="1">
      <c r="A1890" s="8"/>
      <c r="B1890" s="8"/>
      <c r="C1890" s="8"/>
      <c r="D1890" s="8"/>
      <c r="E1890" s="8"/>
      <c r="F1890" s="8"/>
      <c r="G1890" s="8"/>
      <c r="H1890" s="8"/>
      <c r="I1890" s="8"/>
      <c r="J1890" s="8"/>
      <c r="K1890" s="8"/>
      <c r="L1890" s="8"/>
      <c r="M1890" s="8"/>
      <c r="N1890" s="8"/>
      <c r="O1890" s="8"/>
    </row>
    <row r="1891" ht="13.65" customHeight="1">
      <c r="A1891" s="8"/>
      <c r="B1891" s="8"/>
      <c r="C1891" s="8"/>
      <c r="D1891" s="8"/>
      <c r="E1891" s="8"/>
      <c r="F1891" s="8"/>
      <c r="G1891" s="8"/>
      <c r="H1891" s="8"/>
      <c r="I1891" s="8"/>
      <c r="J1891" s="8"/>
      <c r="K1891" s="8"/>
      <c r="L1891" s="8"/>
      <c r="M1891" s="8"/>
      <c r="N1891" s="8"/>
      <c r="O1891" s="8"/>
    </row>
    <row r="1892" ht="13.65" customHeight="1">
      <c r="A1892" s="8"/>
      <c r="B1892" s="8"/>
      <c r="C1892" s="8"/>
      <c r="D1892" s="8"/>
      <c r="E1892" s="8"/>
      <c r="F1892" s="8"/>
      <c r="G1892" s="8"/>
      <c r="H1892" s="8"/>
      <c r="I1892" s="8"/>
      <c r="J1892" s="8"/>
      <c r="K1892" s="8"/>
      <c r="L1892" s="8"/>
      <c r="M1892" s="8"/>
      <c r="N1892" s="8"/>
      <c r="O1892" s="8"/>
    </row>
    <row r="1893" ht="13.65" customHeight="1">
      <c r="A1893" s="8"/>
      <c r="B1893" s="8"/>
      <c r="C1893" s="8"/>
      <c r="D1893" s="8"/>
      <c r="E1893" s="8"/>
      <c r="F1893" s="8"/>
      <c r="G1893" s="8"/>
      <c r="H1893" s="8"/>
      <c r="I1893" s="8"/>
      <c r="J1893" s="8"/>
      <c r="K1893" s="8"/>
      <c r="L1893" s="8"/>
      <c r="M1893" s="8"/>
      <c r="N1893" s="8"/>
      <c r="O1893" s="8"/>
    </row>
    <row r="1894" ht="13.65" customHeight="1">
      <c r="A1894" s="8"/>
      <c r="B1894" s="8"/>
      <c r="C1894" s="8"/>
      <c r="D1894" s="8"/>
      <c r="E1894" s="8"/>
      <c r="F1894" s="8"/>
      <c r="G1894" s="8"/>
      <c r="H1894" s="8"/>
      <c r="I1894" s="8"/>
      <c r="J1894" s="8"/>
      <c r="K1894" s="8"/>
      <c r="L1894" s="8"/>
      <c r="M1894" s="8"/>
      <c r="N1894" s="8"/>
      <c r="O1894" s="8"/>
    </row>
    <row r="1895" ht="13.65" customHeight="1">
      <c r="A1895" s="8"/>
      <c r="B1895" s="8"/>
      <c r="C1895" s="8"/>
      <c r="D1895" s="8"/>
      <c r="E1895" s="8"/>
      <c r="F1895" s="8"/>
      <c r="G1895" s="8"/>
      <c r="H1895" s="8"/>
      <c r="I1895" s="8"/>
      <c r="J1895" s="8"/>
      <c r="K1895" s="8"/>
      <c r="L1895" s="8"/>
      <c r="M1895" s="8"/>
      <c r="N1895" s="8"/>
      <c r="O1895" s="8"/>
    </row>
    <row r="1896" ht="13.65" customHeight="1">
      <c r="A1896" s="8"/>
      <c r="B1896" s="8"/>
      <c r="C1896" s="8"/>
      <c r="D1896" s="8"/>
      <c r="E1896" s="8"/>
      <c r="F1896" s="8"/>
      <c r="G1896" s="8"/>
      <c r="H1896" s="8"/>
      <c r="I1896" s="8"/>
      <c r="J1896" s="8"/>
      <c r="K1896" s="8"/>
      <c r="L1896" s="8"/>
      <c r="M1896" s="8"/>
      <c r="N1896" s="8"/>
      <c r="O1896" s="8"/>
    </row>
    <row r="1897" ht="13.65" customHeight="1">
      <c r="A1897" s="8"/>
      <c r="B1897" s="8"/>
      <c r="C1897" s="8"/>
      <c r="D1897" s="8"/>
      <c r="E1897" s="8"/>
      <c r="F1897" s="8"/>
      <c r="G1897" s="8"/>
      <c r="H1897" s="8"/>
      <c r="I1897" s="8"/>
      <c r="J1897" s="8"/>
      <c r="K1897" s="8"/>
      <c r="L1897" s="8"/>
      <c r="M1897" s="8"/>
      <c r="N1897" s="8"/>
      <c r="O1897" s="8"/>
    </row>
    <row r="1898" ht="13.65" customHeight="1">
      <c r="A1898" s="8"/>
      <c r="B1898" s="8"/>
      <c r="C1898" s="8"/>
      <c r="D1898" s="8"/>
      <c r="E1898" s="8"/>
      <c r="F1898" s="8"/>
      <c r="G1898" s="8"/>
      <c r="H1898" s="8"/>
      <c r="I1898" s="8"/>
      <c r="J1898" s="8"/>
      <c r="K1898" s="8"/>
      <c r="L1898" s="8"/>
      <c r="M1898" s="8"/>
      <c r="N1898" s="8"/>
      <c r="O1898" s="8"/>
    </row>
    <row r="1899" ht="13.65" customHeight="1">
      <c r="A1899" s="8"/>
      <c r="B1899" s="8"/>
      <c r="C1899" s="8"/>
      <c r="D1899" s="8"/>
      <c r="E1899" s="8"/>
      <c r="F1899" s="8"/>
      <c r="G1899" s="8"/>
      <c r="H1899" s="8"/>
      <c r="I1899" s="8"/>
      <c r="J1899" s="8"/>
      <c r="K1899" s="8"/>
      <c r="L1899" s="8"/>
      <c r="M1899" s="8"/>
      <c r="N1899" s="8"/>
      <c r="O1899" s="8"/>
    </row>
    <row r="1900" ht="13.65" customHeight="1">
      <c r="A1900" s="8"/>
      <c r="B1900" s="8"/>
      <c r="C1900" s="8"/>
      <c r="D1900" s="8"/>
      <c r="E1900" s="8"/>
      <c r="F1900" s="8"/>
      <c r="G1900" s="8"/>
      <c r="H1900" s="8"/>
      <c r="I1900" s="8"/>
      <c r="J1900" s="8"/>
      <c r="K1900" s="8"/>
      <c r="L1900" s="8"/>
      <c r="M1900" s="8"/>
      <c r="N1900" s="8"/>
      <c r="O1900" s="8"/>
    </row>
    <row r="1901" ht="13.65" customHeight="1">
      <c r="A1901" s="8"/>
      <c r="B1901" s="8"/>
      <c r="C1901" s="8"/>
      <c r="D1901" s="8"/>
      <c r="E1901" s="8"/>
      <c r="F1901" s="8"/>
      <c r="G1901" s="8"/>
      <c r="H1901" s="8"/>
      <c r="I1901" s="8"/>
      <c r="J1901" s="8"/>
      <c r="K1901" s="8"/>
      <c r="L1901" s="8"/>
      <c r="M1901" s="8"/>
      <c r="N1901" s="8"/>
      <c r="O1901" s="8"/>
    </row>
    <row r="1902" ht="13.65" customHeight="1">
      <c r="A1902" s="8"/>
      <c r="B1902" s="8"/>
      <c r="C1902" s="8"/>
      <c r="D1902" s="8"/>
      <c r="E1902" s="8"/>
      <c r="F1902" s="8"/>
      <c r="G1902" s="8"/>
      <c r="H1902" s="8"/>
      <c r="I1902" s="8"/>
      <c r="J1902" s="8"/>
      <c r="K1902" s="8"/>
      <c r="L1902" s="8"/>
      <c r="M1902" s="8"/>
      <c r="N1902" s="8"/>
      <c r="O1902" s="8"/>
    </row>
    <row r="1903" ht="13.65" customHeight="1">
      <c r="A1903" s="8"/>
      <c r="B1903" s="8"/>
      <c r="C1903" s="8"/>
      <c r="D1903" s="8"/>
      <c r="E1903" s="8"/>
      <c r="F1903" s="8"/>
      <c r="G1903" s="8"/>
      <c r="H1903" s="8"/>
      <c r="I1903" s="8"/>
      <c r="J1903" s="8"/>
      <c r="K1903" s="8"/>
      <c r="L1903" s="8"/>
      <c r="M1903" s="8"/>
      <c r="N1903" s="8"/>
      <c r="O1903" s="8"/>
    </row>
    <row r="1904" ht="13.65" customHeight="1">
      <c r="A1904" s="8"/>
      <c r="B1904" s="8"/>
      <c r="C1904" s="8"/>
      <c r="D1904" s="8"/>
      <c r="E1904" s="8"/>
      <c r="F1904" s="8"/>
      <c r="G1904" s="8"/>
      <c r="H1904" s="8"/>
      <c r="I1904" s="8"/>
      <c r="J1904" s="8"/>
      <c r="K1904" s="8"/>
      <c r="L1904" s="8"/>
      <c r="M1904" s="8"/>
      <c r="N1904" s="8"/>
      <c r="O1904" s="8"/>
    </row>
    <row r="1905" ht="13.65" customHeight="1">
      <c r="A1905" s="8"/>
      <c r="B1905" s="8"/>
      <c r="C1905" s="8"/>
      <c r="D1905" s="8"/>
      <c r="E1905" s="8"/>
      <c r="F1905" s="8"/>
      <c r="G1905" s="8"/>
      <c r="H1905" s="8"/>
      <c r="I1905" s="8"/>
      <c r="J1905" s="8"/>
      <c r="K1905" s="8"/>
      <c r="L1905" s="8"/>
      <c r="M1905" s="8"/>
      <c r="N1905" s="8"/>
      <c r="O1905" s="8"/>
    </row>
    <row r="1906" ht="13.65" customHeight="1">
      <c r="A1906" s="8"/>
      <c r="B1906" s="8"/>
      <c r="C1906" s="8"/>
      <c r="D1906" s="8"/>
      <c r="E1906" s="8"/>
      <c r="F1906" s="8"/>
      <c r="G1906" s="8"/>
      <c r="H1906" s="8"/>
      <c r="I1906" s="8"/>
      <c r="J1906" s="8"/>
      <c r="K1906" s="8"/>
      <c r="L1906" s="8"/>
      <c r="M1906" s="8"/>
      <c r="N1906" s="8"/>
      <c r="O1906" s="8"/>
    </row>
    <row r="1907" ht="13.65" customHeight="1">
      <c r="A1907" s="8"/>
      <c r="B1907" s="8"/>
      <c r="C1907" s="8"/>
      <c r="D1907" s="8"/>
      <c r="E1907" s="8"/>
      <c r="F1907" s="8"/>
      <c r="G1907" s="8"/>
      <c r="H1907" s="8"/>
      <c r="I1907" s="8"/>
      <c r="J1907" s="8"/>
      <c r="K1907" s="8"/>
      <c r="L1907" s="8"/>
      <c r="M1907" s="8"/>
      <c r="N1907" s="8"/>
      <c r="O1907" s="8"/>
    </row>
    <row r="1908" ht="13.65" customHeight="1">
      <c r="A1908" s="8"/>
      <c r="B1908" s="8"/>
      <c r="C1908" s="8"/>
      <c r="D1908" s="8"/>
      <c r="E1908" s="8"/>
      <c r="F1908" s="8"/>
      <c r="G1908" s="8"/>
      <c r="H1908" s="8"/>
      <c r="I1908" s="8"/>
      <c r="J1908" s="8"/>
      <c r="K1908" s="8"/>
      <c r="L1908" s="8"/>
      <c r="M1908" s="8"/>
      <c r="N1908" s="8"/>
      <c r="O1908" s="8"/>
    </row>
    <row r="1909" ht="13.65" customHeight="1">
      <c r="A1909" s="8"/>
      <c r="B1909" s="8"/>
      <c r="C1909" s="8"/>
      <c r="D1909" s="8"/>
      <c r="E1909" s="8"/>
      <c r="F1909" s="8"/>
      <c r="G1909" s="8"/>
      <c r="H1909" s="8"/>
      <c r="I1909" s="8"/>
      <c r="J1909" s="8"/>
      <c r="K1909" s="8"/>
      <c r="L1909" s="8"/>
      <c r="M1909" s="8"/>
      <c r="N1909" s="8"/>
      <c r="O1909" s="8"/>
    </row>
    <row r="1910" ht="13.65" customHeight="1">
      <c r="A1910" s="8"/>
      <c r="B1910" s="8"/>
      <c r="C1910" s="8"/>
      <c r="D1910" s="8"/>
      <c r="E1910" s="8"/>
      <c r="F1910" s="8"/>
      <c r="G1910" s="8"/>
      <c r="H1910" s="8"/>
      <c r="I1910" s="8"/>
      <c r="J1910" s="8"/>
      <c r="K1910" s="8"/>
      <c r="L1910" s="8"/>
      <c r="M1910" s="8"/>
      <c r="N1910" s="8"/>
      <c r="O1910" s="8"/>
    </row>
    <row r="1911" ht="13.65" customHeight="1">
      <c r="A1911" s="8"/>
      <c r="B1911" s="8"/>
      <c r="C1911" s="8"/>
      <c r="D1911" s="8"/>
      <c r="E1911" s="8"/>
      <c r="F1911" s="8"/>
      <c r="G1911" s="8"/>
      <c r="H1911" s="8"/>
      <c r="I1911" s="8"/>
      <c r="J1911" s="8"/>
      <c r="K1911" s="8"/>
      <c r="L1911" s="8"/>
      <c r="M1911" s="8"/>
      <c r="N1911" s="8"/>
      <c r="O1911" s="8"/>
    </row>
    <row r="1912" ht="13.65" customHeight="1">
      <c r="A1912" s="8"/>
      <c r="B1912" s="8"/>
      <c r="C1912" s="8"/>
      <c r="D1912" s="8"/>
      <c r="E1912" s="8"/>
      <c r="F1912" s="8"/>
      <c r="G1912" s="8"/>
      <c r="H1912" s="8"/>
      <c r="I1912" s="8"/>
      <c r="J1912" s="8"/>
      <c r="K1912" s="8"/>
      <c r="L1912" s="8"/>
      <c r="M1912" s="8"/>
      <c r="N1912" s="8"/>
      <c r="O1912" s="8"/>
    </row>
    <row r="1913" ht="13.65" customHeight="1">
      <c r="A1913" s="8"/>
      <c r="B1913" s="8"/>
      <c r="C1913" s="8"/>
      <c r="D1913" s="8"/>
      <c r="E1913" s="8"/>
      <c r="F1913" s="8"/>
      <c r="G1913" s="8"/>
      <c r="H1913" s="8"/>
      <c r="I1913" s="8"/>
      <c r="J1913" s="8"/>
      <c r="K1913" s="8"/>
      <c r="L1913" s="8"/>
      <c r="M1913" s="8"/>
      <c r="N1913" s="8"/>
      <c r="O1913" s="8"/>
    </row>
    <row r="1914" ht="13.65" customHeight="1">
      <c r="A1914" s="8"/>
      <c r="B1914" s="8"/>
      <c r="C1914" s="8"/>
      <c r="D1914" s="8"/>
      <c r="E1914" s="8"/>
      <c r="F1914" s="8"/>
      <c r="G1914" s="8"/>
      <c r="H1914" s="8"/>
      <c r="I1914" s="8"/>
      <c r="J1914" s="8"/>
      <c r="K1914" s="8"/>
      <c r="L1914" s="8"/>
      <c r="M1914" s="8"/>
      <c r="N1914" s="8"/>
      <c r="O1914" s="8"/>
    </row>
    <row r="1915" ht="13.65" customHeight="1">
      <c r="A1915" s="8"/>
      <c r="B1915" s="8"/>
      <c r="C1915" s="8"/>
      <c r="D1915" s="8"/>
      <c r="E1915" s="8"/>
      <c r="F1915" s="8"/>
      <c r="G1915" s="8"/>
      <c r="H1915" s="8"/>
      <c r="I1915" s="8"/>
      <c r="J1915" s="8"/>
      <c r="K1915" s="8"/>
      <c r="L1915" s="8"/>
      <c r="M1915" s="8"/>
      <c r="N1915" s="8"/>
      <c r="O1915" s="8"/>
    </row>
    <row r="1916" ht="13.65" customHeight="1">
      <c r="A1916" s="8"/>
      <c r="B1916" s="8"/>
      <c r="C1916" s="8"/>
      <c r="D1916" s="8"/>
      <c r="E1916" s="8"/>
      <c r="F1916" s="8"/>
      <c r="G1916" s="8"/>
      <c r="H1916" s="8"/>
      <c r="I1916" s="8"/>
      <c r="J1916" s="8"/>
      <c r="K1916" s="8"/>
      <c r="L1916" s="8"/>
      <c r="M1916" s="8"/>
      <c r="N1916" s="8"/>
      <c r="O1916" s="8"/>
    </row>
    <row r="1917" ht="13.65" customHeight="1">
      <c r="A1917" s="8"/>
      <c r="B1917" s="8"/>
      <c r="C1917" s="8"/>
      <c r="D1917" s="8"/>
      <c r="E1917" s="8"/>
      <c r="F1917" s="8"/>
      <c r="G1917" s="8"/>
      <c r="H1917" s="8"/>
      <c r="I1917" s="8"/>
      <c r="J1917" s="8"/>
      <c r="K1917" s="8"/>
      <c r="L1917" s="8"/>
      <c r="M1917" s="8"/>
      <c r="N1917" s="8"/>
      <c r="O1917" s="8"/>
    </row>
    <row r="1918" ht="13.65" customHeight="1">
      <c r="A1918" s="8"/>
      <c r="B1918" s="8"/>
      <c r="C1918" s="8"/>
      <c r="D1918" s="8"/>
      <c r="E1918" s="8"/>
      <c r="F1918" s="8"/>
      <c r="G1918" s="8"/>
      <c r="H1918" s="8"/>
      <c r="I1918" s="8"/>
      <c r="J1918" s="8"/>
      <c r="K1918" s="8"/>
      <c r="L1918" s="8"/>
      <c r="M1918" s="8"/>
      <c r="N1918" s="8"/>
      <c r="O1918" s="8"/>
    </row>
    <row r="1919" ht="13.65" customHeight="1">
      <c r="A1919" s="8"/>
      <c r="B1919" s="8"/>
      <c r="C1919" s="8"/>
      <c r="D1919" s="8"/>
      <c r="E1919" s="8"/>
      <c r="F1919" s="8"/>
      <c r="G1919" s="8"/>
      <c r="H1919" s="8"/>
      <c r="I1919" s="8"/>
      <c r="J1919" s="8"/>
      <c r="K1919" s="8"/>
      <c r="L1919" s="8"/>
      <c r="M1919" s="8"/>
      <c r="N1919" s="8"/>
      <c r="O1919" s="8"/>
    </row>
    <row r="1920" ht="13.65" customHeight="1">
      <c r="A1920" s="8"/>
      <c r="B1920" s="8"/>
      <c r="C1920" s="8"/>
      <c r="D1920" s="8"/>
      <c r="E1920" s="8"/>
      <c r="F1920" s="8"/>
      <c r="G1920" s="8"/>
      <c r="H1920" s="8"/>
      <c r="I1920" s="8"/>
      <c r="J1920" s="8"/>
      <c r="K1920" s="8"/>
      <c r="L1920" s="8"/>
      <c r="M1920" s="8"/>
      <c r="N1920" s="8"/>
      <c r="O1920" s="8"/>
    </row>
    <row r="1921" ht="13.65" customHeight="1">
      <c r="A1921" s="8"/>
      <c r="B1921" s="8"/>
      <c r="C1921" s="8"/>
      <c r="D1921" s="8"/>
      <c r="E1921" s="8"/>
      <c r="F1921" s="8"/>
      <c r="G1921" s="8"/>
      <c r="H1921" s="8"/>
      <c r="I1921" s="8"/>
      <c r="J1921" s="8"/>
      <c r="K1921" s="8"/>
      <c r="L1921" s="8"/>
      <c r="M1921" s="8"/>
      <c r="N1921" s="8"/>
      <c r="O1921" s="8"/>
    </row>
    <row r="1922" ht="13.65" customHeight="1">
      <c r="A1922" s="8"/>
      <c r="B1922" s="8"/>
      <c r="C1922" s="8"/>
      <c r="D1922" s="8"/>
      <c r="E1922" s="8"/>
      <c r="F1922" s="8"/>
      <c r="G1922" s="8"/>
      <c r="H1922" s="8"/>
      <c r="I1922" s="8"/>
      <c r="J1922" s="8"/>
      <c r="K1922" s="8"/>
      <c r="L1922" s="8"/>
      <c r="M1922" s="8"/>
      <c r="N1922" s="8"/>
      <c r="O1922" s="8"/>
    </row>
    <row r="1923" ht="13.65" customHeight="1">
      <c r="A1923" s="8"/>
      <c r="B1923" s="8"/>
      <c r="C1923" s="8"/>
      <c r="D1923" s="8"/>
      <c r="E1923" s="8"/>
      <c r="F1923" s="8"/>
      <c r="G1923" s="8"/>
      <c r="H1923" s="8"/>
      <c r="I1923" s="8"/>
      <c r="J1923" s="8"/>
      <c r="K1923" s="8"/>
      <c r="L1923" s="8"/>
      <c r="M1923" s="8"/>
      <c r="N1923" s="8"/>
      <c r="O1923" s="8"/>
    </row>
    <row r="1924" ht="13.65" customHeight="1">
      <c r="A1924" s="8"/>
      <c r="B1924" s="8"/>
      <c r="C1924" s="8"/>
      <c r="D1924" s="8"/>
      <c r="E1924" s="8"/>
      <c r="F1924" s="8"/>
      <c r="G1924" s="8"/>
      <c r="H1924" s="8"/>
      <c r="I1924" s="8"/>
      <c r="J1924" s="8"/>
      <c r="K1924" s="8"/>
      <c r="L1924" s="8"/>
      <c r="M1924" s="8"/>
      <c r="N1924" s="8"/>
      <c r="O1924" s="8"/>
    </row>
    <row r="1925" ht="13.65" customHeight="1">
      <c r="A1925" s="8"/>
      <c r="B1925" s="8"/>
      <c r="C1925" s="8"/>
      <c r="D1925" s="8"/>
      <c r="E1925" s="8"/>
      <c r="F1925" s="8"/>
      <c r="G1925" s="8"/>
      <c r="H1925" s="8"/>
      <c r="I1925" s="8"/>
      <c r="J1925" s="8"/>
      <c r="K1925" s="8"/>
      <c r="L1925" s="8"/>
      <c r="M1925" s="8"/>
      <c r="N1925" s="8"/>
      <c r="O1925" s="8"/>
    </row>
    <row r="1926" ht="13.65" customHeight="1">
      <c r="A1926" s="8"/>
      <c r="B1926" s="8"/>
      <c r="C1926" s="8"/>
      <c r="D1926" s="8"/>
      <c r="E1926" s="8"/>
      <c r="F1926" s="8"/>
      <c r="G1926" s="8"/>
      <c r="H1926" s="8"/>
      <c r="I1926" s="8"/>
      <c r="J1926" s="8"/>
      <c r="K1926" s="8"/>
      <c r="L1926" s="8"/>
      <c r="M1926" s="8"/>
      <c r="N1926" s="8"/>
      <c r="O1926" s="8"/>
    </row>
    <row r="1927" ht="13.65" customHeight="1">
      <c r="A1927" s="8"/>
      <c r="B1927" s="8"/>
      <c r="C1927" s="8"/>
      <c r="D1927" s="8"/>
      <c r="E1927" s="8"/>
      <c r="F1927" s="8"/>
      <c r="G1927" s="8"/>
      <c r="H1927" s="8"/>
      <c r="I1927" s="8"/>
      <c r="J1927" s="8"/>
      <c r="K1927" s="8"/>
      <c r="L1927" s="8"/>
      <c r="M1927" s="8"/>
      <c r="N1927" s="8"/>
      <c r="O1927" s="8"/>
    </row>
    <row r="1928" ht="13.65" customHeight="1">
      <c r="A1928" s="8"/>
      <c r="B1928" s="8"/>
      <c r="C1928" s="8"/>
      <c r="D1928" s="8"/>
      <c r="E1928" s="8"/>
      <c r="F1928" s="8"/>
      <c r="G1928" s="8"/>
      <c r="H1928" s="8"/>
      <c r="I1928" s="8"/>
      <c r="J1928" s="8"/>
      <c r="K1928" s="8"/>
      <c r="L1928" s="8"/>
      <c r="M1928" s="8"/>
      <c r="N1928" s="8"/>
      <c r="O1928" s="8"/>
    </row>
    <row r="1929" ht="13.65" customHeight="1">
      <c r="A1929" s="8"/>
      <c r="B1929" s="8"/>
      <c r="C1929" s="8"/>
      <c r="D1929" s="8"/>
      <c r="E1929" s="8"/>
      <c r="F1929" s="8"/>
      <c r="G1929" s="8"/>
      <c r="H1929" s="8"/>
      <c r="I1929" s="8"/>
      <c r="J1929" s="8"/>
      <c r="K1929" s="8"/>
      <c r="L1929" s="8"/>
      <c r="M1929" s="8"/>
      <c r="N1929" s="8"/>
      <c r="O1929" s="8"/>
    </row>
    <row r="1930" ht="13.65" customHeight="1">
      <c r="A1930" s="8"/>
      <c r="B1930" s="8"/>
      <c r="C1930" s="8"/>
      <c r="D1930" s="8"/>
      <c r="E1930" s="8"/>
      <c r="F1930" s="8"/>
      <c r="G1930" s="8"/>
      <c r="H1930" s="8"/>
      <c r="I1930" s="8"/>
      <c r="J1930" s="8"/>
      <c r="K1930" s="8"/>
      <c r="L1930" s="8"/>
      <c r="M1930" s="8"/>
      <c r="N1930" s="8"/>
      <c r="O1930" s="8"/>
    </row>
    <row r="1931" ht="13.65" customHeight="1">
      <c r="A1931" s="8"/>
      <c r="B1931" s="8"/>
      <c r="C1931" s="8"/>
      <c r="D1931" s="8"/>
      <c r="E1931" s="8"/>
      <c r="F1931" s="8"/>
      <c r="G1931" s="8"/>
      <c r="H1931" s="8"/>
      <c r="I1931" s="8"/>
      <c r="J1931" s="8"/>
      <c r="K1931" s="8"/>
      <c r="L1931" s="8"/>
      <c r="M1931" s="8"/>
      <c r="N1931" s="8"/>
      <c r="O1931" s="8"/>
    </row>
    <row r="1932" ht="13.65" customHeight="1">
      <c r="A1932" s="8"/>
      <c r="B1932" s="8"/>
      <c r="C1932" s="8"/>
      <c r="D1932" s="8"/>
      <c r="E1932" s="8"/>
      <c r="F1932" s="8"/>
      <c r="G1932" s="8"/>
      <c r="H1932" s="8"/>
      <c r="I1932" s="8"/>
      <c r="J1932" s="8"/>
      <c r="K1932" s="8"/>
      <c r="L1932" s="8"/>
      <c r="M1932" s="8"/>
      <c r="N1932" s="8"/>
      <c r="O1932" s="8"/>
    </row>
    <row r="1933" ht="13.65" customHeight="1">
      <c r="A1933" s="8"/>
      <c r="B1933" s="8"/>
      <c r="C1933" s="8"/>
      <c r="D1933" s="8"/>
      <c r="E1933" s="8"/>
      <c r="F1933" s="8"/>
      <c r="G1933" s="8"/>
      <c r="H1933" s="8"/>
      <c r="I1933" s="8"/>
      <c r="J1933" s="8"/>
      <c r="K1933" s="8"/>
      <c r="L1933" s="8"/>
      <c r="M1933" s="8"/>
      <c r="N1933" s="8"/>
      <c r="O1933" s="8"/>
    </row>
    <row r="1934" ht="13.65" customHeight="1">
      <c r="A1934" s="8"/>
      <c r="B1934" s="8"/>
      <c r="C1934" s="8"/>
      <c r="D1934" s="8"/>
      <c r="E1934" s="8"/>
      <c r="F1934" s="8"/>
      <c r="G1934" s="8"/>
      <c r="H1934" s="8"/>
      <c r="I1934" s="8"/>
      <c r="J1934" s="8"/>
      <c r="K1934" s="8"/>
      <c r="L1934" s="8"/>
      <c r="M1934" s="8"/>
      <c r="N1934" s="8"/>
      <c r="O1934" s="8"/>
    </row>
    <row r="1935" ht="13.65" customHeight="1">
      <c r="A1935" s="8"/>
      <c r="B1935" s="8"/>
      <c r="C1935" s="8"/>
      <c r="D1935" s="8"/>
      <c r="E1935" s="8"/>
      <c r="F1935" s="8"/>
      <c r="G1935" s="8"/>
      <c r="H1935" s="8"/>
      <c r="I1935" s="8"/>
      <c r="J1935" s="8"/>
      <c r="K1935" s="8"/>
      <c r="L1935" s="8"/>
      <c r="M1935" s="8"/>
      <c r="N1935" s="8"/>
      <c r="O1935" s="8"/>
    </row>
    <row r="1936" ht="13.65" customHeight="1">
      <c r="A1936" s="8"/>
      <c r="B1936" s="8"/>
      <c r="C1936" s="8"/>
      <c r="D1936" s="8"/>
      <c r="E1936" s="8"/>
      <c r="F1936" s="8"/>
      <c r="G1936" s="8"/>
      <c r="H1936" s="8"/>
      <c r="I1936" s="8"/>
      <c r="J1936" s="8"/>
      <c r="K1936" s="8"/>
      <c r="L1936" s="8"/>
      <c r="M1936" s="8"/>
      <c r="N1936" s="8"/>
      <c r="O1936" s="8"/>
    </row>
    <row r="1937" ht="13.65" customHeight="1">
      <c r="A1937" s="8"/>
      <c r="B1937" s="8"/>
      <c r="C1937" s="8"/>
      <c r="D1937" s="8"/>
      <c r="E1937" s="8"/>
      <c r="F1937" s="8"/>
      <c r="G1937" s="8"/>
      <c r="H1937" s="8"/>
      <c r="I1937" s="8"/>
      <c r="J1937" s="8"/>
      <c r="K1937" s="8"/>
      <c r="L1937" s="8"/>
      <c r="M1937" s="8"/>
      <c r="N1937" s="8"/>
      <c r="O1937" s="8"/>
    </row>
    <row r="1938" ht="13.65" customHeight="1">
      <c r="A1938" s="8"/>
      <c r="B1938" s="8"/>
      <c r="C1938" s="8"/>
      <c r="D1938" s="8"/>
      <c r="E1938" s="8"/>
      <c r="F1938" s="8"/>
      <c r="G1938" s="8"/>
      <c r="H1938" s="8"/>
      <c r="I1938" s="8"/>
      <c r="J1938" s="8"/>
      <c r="K1938" s="8"/>
      <c r="L1938" s="8"/>
      <c r="M1938" s="8"/>
      <c r="N1938" s="8"/>
      <c r="O1938" s="8"/>
    </row>
    <row r="1939" ht="13.65" customHeight="1">
      <c r="A1939" s="8"/>
      <c r="B1939" s="8"/>
      <c r="C1939" s="8"/>
      <c r="D1939" s="8"/>
      <c r="E1939" s="8"/>
      <c r="F1939" s="8"/>
      <c r="G1939" s="8"/>
      <c r="H1939" s="8"/>
      <c r="I1939" s="8"/>
      <c r="J1939" s="8"/>
      <c r="K1939" s="8"/>
      <c r="L1939" s="8"/>
      <c r="M1939" s="8"/>
      <c r="N1939" s="8"/>
      <c r="O1939" s="8"/>
    </row>
    <row r="1940" ht="13.65" customHeight="1">
      <c r="A1940" s="8"/>
      <c r="B1940" s="8"/>
      <c r="C1940" s="8"/>
      <c r="D1940" s="8"/>
      <c r="E1940" s="8"/>
      <c r="F1940" s="8"/>
      <c r="G1940" s="8"/>
      <c r="H1940" s="8"/>
      <c r="I1940" s="8"/>
      <c r="J1940" s="8"/>
      <c r="K1940" s="8"/>
      <c r="L1940" s="8"/>
      <c r="M1940" s="8"/>
      <c r="N1940" s="8"/>
      <c r="O1940" s="8"/>
    </row>
    <row r="1941" ht="13.65" customHeight="1">
      <c r="A1941" s="8"/>
      <c r="B1941" s="8"/>
      <c r="C1941" s="8"/>
      <c r="D1941" s="8"/>
      <c r="E1941" s="8"/>
      <c r="F1941" s="8"/>
      <c r="G1941" s="8"/>
      <c r="H1941" s="8"/>
      <c r="I1941" s="8"/>
      <c r="J1941" s="8"/>
      <c r="K1941" s="8"/>
      <c r="L1941" s="8"/>
      <c r="M1941" s="8"/>
      <c r="N1941" s="8"/>
      <c r="O1941" s="8"/>
    </row>
    <row r="1942" ht="13.65" customHeight="1">
      <c r="A1942" s="8"/>
      <c r="B1942" s="8"/>
      <c r="C1942" s="8"/>
      <c r="D1942" s="8"/>
      <c r="E1942" s="8"/>
      <c r="F1942" s="8"/>
      <c r="G1942" s="8"/>
      <c r="H1942" s="8"/>
      <c r="I1942" s="8"/>
      <c r="J1942" s="8"/>
      <c r="K1942" s="8"/>
      <c r="L1942" s="8"/>
      <c r="M1942" s="8"/>
      <c r="N1942" s="8"/>
      <c r="O1942" s="8"/>
    </row>
    <row r="1943" ht="13.65" customHeight="1">
      <c r="A1943" s="8"/>
      <c r="B1943" s="8"/>
      <c r="C1943" s="8"/>
      <c r="D1943" s="8"/>
      <c r="E1943" s="8"/>
      <c r="F1943" s="8"/>
      <c r="G1943" s="8"/>
      <c r="H1943" s="8"/>
      <c r="I1943" s="8"/>
      <c r="J1943" s="8"/>
      <c r="K1943" s="8"/>
      <c r="L1943" s="8"/>
      <c r="M1943" s="8"/>
      <c r="N1943" s="8"/>
      <c r="O1943" s="8"/>
    </row>
    <row r="1944" ht="13.65" customHeight="1">
      <c r="A1944" s="8"/>
      <c r="B1944" s="8"/>
      <c r="C1944" s="8"/>
      <c r="D1944" s="8"/>
      <c r="E1944" s="8"/>
      <c r="F1944" s="8"/>
      <c r="G1944" s="8"/>
      <c r="H1944" s="8"/>
      <c r="I1944" s="8"/>
      <c r="J1944" s="8"/>
      <c r="K1944" s="8"/>
      <c r="L1944" s="8"/>
      <c r="M1944" s="8"/>
      <c r="N1944" s="8"/>
      <c r="O1944" s="8"/>
    </row>
    <row r="1945" ht="13.65" customHeight="1">
      <c r="A1945" s="8"/>
      <c r="B1945" s="8"/>
      <c r="C1945" s="8"/>
      <c r="D1945" s="8"/>
      <c r="E1945" s="8"/>
      <c r="F1945" s="8"/>
      <c r="G1945" s="8"/>
      <c r="H1945" s="8"/>
      <c r="I1945" s="8"/>
      <c r="J1945" s="8"/>
      <c r="K1945" s="8"/>
      <c r="L1945" s="8"/>
      <c r="M1945" s="8"/>
      <c r="N1945" s="8"/>
      <c r="O1945" s="8"/>
    </row>
    <row r="1946" ht="13.65" customHeight="1">
      <c r="A1946" s="8"/>
      <c r="B1946" s="8"/>
      <c r="C1946" s="8"/>
      <c r="D1946" s="8"/>
      <c r="E1946" s="8"/>
      <c r="F1946" s="8"/>
      <c r="G1946" s="8"/>
      <c r="H1946" s="8"/>
      <c r="I1946" s="8"/>
      <c r="J1946" s="8"/>
      <c r="K1946" s="8"/>
      <c r="L1946" s="8"/>
      <c r="M1946" s="8"/>
      <c r="N1946" s="8"/>
      <c r="O1946" s="8"/>
    </row>
    <row r="1947" ht="13.65" customHeight="1">
      <c r="A1947" s="8"/>
      <c r="B1947" s="8"/>
      <c r="C1947" s="8"/>
      <c r="D1947" s="8"/>
      <c r="E1947" s="8"/>
      <c r="F1947" s="8"/>
      <c r="G1947" s="8"/>
      <c r="H1947" s="8"/>
      <c r="I1947" s="8"/>
      <c r="J1947" s="8"/>
      <c r="K1947" s="8"/>
      <c r="L1947" s="8"/>
      <c r="M1947" s="8"/>
      <c r="N1947" s="8"/>
      <c r="O1947" s="8"/>
    </row>
    <row r="1948" ht="13.65" customHeight="1">
      <c r="A1948" s="8"/>
      <c r="B1948" s="8"/>
      <c r="C1948" s="8"/>
      <c r="D1948" s="8"/>
      <c r="E1948" s="8"/>
      <c r="F1948" s="8"/>
      <c r="G1948" s="8"/>
      <c r="H1948" s="8"/>
      <c r="I1948" s="8"/>
      <c r="J1948" s="8"/>
      <c r="K1948" s="8"/>
      <c r="L1948" s="8"/>
      <c r="M1948" s="8"/>
      <c r="N1948" s="8"/>
      <c r="O1948" s="8"/>
    </row>
    <row r="1949" ht="13.65" customHeight="1">
      <c r="A1949" s="8"/>
      <c r="B1949" s="8"/>
      <c r="C1949" s="8"/>
      <c r="D1949" s="8"/>
      <c r="E1949" s="8"/>
      <c r="F1949" s="8"/>
      <c r="G1949" s="8"/>
      <c r="H1949" s="8"/>
      <c r="I1949" s="8"/>
      <c r="J1949" s="8"/>
      <c r="K1949" s="8"/>
      <c r="L1949" s="8"/>
      <c r="M1949" s="8"/>
      <c r="N1949" s="8"/>
      <c r="O1949" s="8"/>
    </row>
    <row r="1950" ht="13.65" customHeight="1">
      <c r="A1950" s="8"/>
      <c r="B1950" s="8"/>
      <c r="C1950" s="8"/>
      <c r="D1950" s="8"/>
      <c r="E1950" s="8"/>
      <c r="F1950" s="8"/>
      <c r="G1950" s="8"/>
      <c r="H1950" s="8"/>
      <c r="I1950" s="8"/>
      <c r="J1950" s="8"/>
      <c r="K1950" s="8"/>
      <c r="L1950" s="8"/>
      <c r="M1950" s="8"/>
      <c r="N1950" s="8"/>
      <c r="O1950" s="8"/>
    </row>
    <row r="1951" ht="13.65" customHeight="1">
      <c r="A1951" s="8"/>
      <c r="B1951" s="8"/>
      <c r="C1951" s="8"/>
      <c r="D1951" s="8"/>
      <c r="E1951" s="8"/>
      <c r="F1951" s="8"/>
      <c r="G1951" s="8"/>
      <c r="H1951" s="8"/>
      <c r="I1951" s="8"/>
      <c r="J1951" s="8"/>
      <c r="K1951" s="8"/>
      <c r="L1951" s="8"/>
      <c r="M1951" s="8"/>
      <c r="N1951" s="8"/>
      <c r="O1951" s="8"/>
    </row>
    <row r="1952" ht="13.65" customHeight="1">
      <c r="A1952" s="8"/>
      <c r="B1952" s="8"/>
      <c r="C1952" s="8"/>
      <c r="D1952" s="8"/>
      <c r="E1952" s="8"/>
      <c r="F1952" s="8"/>
      <c r="G1952" s="8"/>
      <c r="H1952" s="8"/>
      <c r="I1952" s="8"/>
      <c r="J1952" s="8"/>
      <c r="K1952" s="8"/>
      <c r="L1952" s="8"/>
      <c r="M1952" s="8"/>
      <c r="N1952" s="8"/>
      <c r="O1952" s="8"/>
    </row>
    <row r="1953" ht="13.65" customHeight="1">
      <c r="A1953" s="8"/>
      <c r="B1953" s="8"/>
      <c r="C1953" s="8"/>
      <c r="D1953" s="8"/>
      <c r="E1953" s="8"/>
      <c r="F1953" s="8"/>
      <c r="G1953" s="8"/>
      <c r="H1953" s="8"/>
      <c r="I1953" s="8"/>
      <c r="J1953" s="8"/>
      <c r="K1953" s="8"/>
      <c r="L1953" s="8"/>
      <c r="M1953" s="8"/>
      <c r="N1953" s="8"/>
      <c r="O1953" s="8"/>
    </row>
    <row r="1954" ht="13.65" customHeight="1">
      <c r="A1954" s="8"/>
      <c r="B1954" s="8"/>
      <c r="C1954" s="8"/>
      <c r="D1954" s="8"/>
      <c r="E1954" s="8"/>
      <c r="F1954" s="8"/>
      <c r="G1954" s="8"/>
      <c r="H1954" s="8"/>
      <c r="I1954" s="8"/>
      <c r="J1954" s="8"/>
      <c r="K1954" s="8"/>
      <c r="L1954" s="8"/>
      <c r="M1954" s="8"/>
      <c r="N1954" s="8"/>
      <c r="O1954" s="8"/>
    </row>
    <row r="1955" ht="13.65" customHeight="1">
      <c r="A1955" s="8"/>
      <c r="B1955" s="8"/>
      <c r="C1955" s="8"/>
      <c r="D1955" s="8"/>
      <c r="E1955" s="8"/>
      <c r="F1955" s="8"/>
      <c r="G1955" s="8"/>
      <c r="H1955" s="8"/>
      <c r="I1955" s="8"/>
      <c r="J1955" s="8"/>
      <c r="K1955" s="8"/>
      <c r="L1955" s="8"/>
      <c r="M1955" s="8"/>
      <c r="N1955" s="8"/>
      <c r="O1955" s="8"/>
    </row>
    <row r="1956" ht="13.65" customHeight="1">
      <c r="A1956" s="8"/>
      <c r="B1956" s="8"/>
      <c r="C1956" s="8"/>
      <c r="D1956" s="8"/>
      <c r="E1956" s="8"/>
      <c r="F1956" s="8"/>
      <c r="G1956" s="8"/>
      <c r="H1956" s="8"/>
      <c r="I1956" s="8"/>
      <c r="J1956" s="8"/>
      <c r="K1956" s="8"/>
      <c r="L1956" s="8"/>
      <c r="M1956" s="8"/>
      <c r="N1956" s="8"/>
      <c r="O1956" s="8"/>
    </row>
    <row r="1957" ht="13.65" customHeight="1">
      <c r="A1957" s="8"/>
      <c r="B1957" s="8"/>
      <c r="C1957" s="8"/>
      <c r="D1957" s="8"/>
      <c r="E1957" s="8"/>
      <c r="F1957" s="8"/>
      <c r="G1957" s="8"/>
      <c r="H1957" s="8"/>
      <c r="I1957" s="8"/>
      <c r="J1957" s="8"/>
      <c r="K1957" s="8"/>
      <c r="L1957" s="8"/>
      <c r="M1957" s="8"/>
      <c r="N1957" s="8"/>
      <c r="O1957" s="8"/>
    </row>
    <row r="1958" ht="13.65" customHeight="1">
      <c r="A1958" s="8"/>
      <c r="B1958" s="8"/>
      <c r="C1958" s="8"/>
      <c r="D1958" s="8"/>
      <c r="E1958" s="8"/>
      <c r="F1958" s="8"/>
      <c r="G1958" s="8"/>
      <c r="H1958" s="8"/>
      <c r="I1958" s="8"/>
      <c r="J1958" s="8"/>
      <c r="K1958" s="8"/>
      <c r="L1958" s="8"/>
      <c r="M1958" s="8"/>
      <c r="N1958" s="8"/>
      <c r="O1958" s="8"/>
    </row>
    <row r="1959" ht="13.65" customHeight="1">
      <c r="A1959" s="8"/>
      <c r="B1959" s="8"/>
      <c r="C1959" s="8"/>
      <c r="D1959" s="8"/>
      <c r="E1959" s="8"/>
      <c r="F1959" s="8"/>
      <c r="G1959" s="8"/>
      <c r="H1959" s="8"/>
      <c r="I1959" s="8"/>
      <c r="J1959" s="8"/>
      <c r="K1959" s="8"/>
      <c r="L1959" s="8"/>
      <c r="M1959" s="8"/>
      <c r="N1959" s="8"/>
      <c r="O1959" s="8"/>
    </row>
    <row r="1960" ht="13.65" customHeight="1">
      <c r="A1960" s="8"/>
      <c r="B1960" s="8"/>
      <c r="C1960" s="8"/>
      <c r="D1960" s="8"/>
      <c r="E1960" s="8"/>
      <c r="F1960" s="8"/>
      <c r="G1960" s="8"/>
      <c r="H1960" s="8"/>
      <c r="I1960" s="8"/>
      <c r="J1960" s="8"/>
      <c r="K1960" s="8"/>
      <c r="L1960" s="8"/>
      <c r="M1960" s="8"/>
      <c r="N1960" s="8"/>
      <c r="O1960" s="8"/>
    </row>
    <row r="1961" ht="13.65" customHeight="1">
      <c r="A1961" s="8"/>
      <c r="B1961" s="8"/>
      <c r="C1961" s="8"/>
      <c r="D1961" s="8"/>
      <c r="E1961" s="8"/>
      <c r="F1961" s="8"/>
      <c r="G1961" s="8"/>
      <c r="H1961" s="8"/>
      <c r="I1961" s="8"/>
      <c r="J1961" s="8"/>
      <c r="K1961" s="8"/>
      <c r="L1961" s="8"/>
      <c r="M1961" s="8"/>
      <c r="N1961" s="8"/>
      <c r="O1961" s="8"/>
    </row>
    <row r="1962" ht="13.65" customHeight="1">
      <c r="A1962" s="8"/>
      <c r="B1962" s="8"/>
      <c r="C1962" s="8"/>
      <c r="D1962" s="8"/>
      <c r="E1962" s="8"/>
      <c r="F1962" s="8"/>
      <c r="G1962" s="8"/>
      <c r="H1962" s="8"/>
      <c r="I1962" s="8"/>
      <c r="J1962" s="8"/>
      <c r="K1962" s="8"/>
      <c r="L1962" s="8"/>
      <c r="M1962" s="8"/>
      <c r="N1962" s="8"/>
      <c r="O1962" s="8"/>
    </row>
    <row r="1963" ht="13.65" customHeight="1">
      <c r="A1963" s="8"/>
      <c r="B1963" s="8"/>
      <c r="C1963" s="8"/>
      <c r="D1963" s="8"/>
      <c r="E1963" s="8"/>
      <c r="F1963" s="8"/>
      <c r="G1963" s="8"/>
      <c r="H1963" s="8"/>
      <c r="I1963" s="8"/>
      <c r="J1963" s="8"/>
      <c r="K1963" s="8"/>
      <c r="L1963" s="8"/>
      <c r="M1963" s="8"/>
      <c r="N1963" s="8"/>
      <c r="O1963" s="8"/>
    </row>
    <row r="1964" ht="13.65" customHeight="1">
      <c r="A1964" s="8"/>
      <c r="B1964" s="8"/>
      <c r="C1964" s="8"/>
      <c r="D1964" s="8"/>
      <c r="E1964" s="8"/>
      <c r="F1964" s="8"/>
      <c r="G1964" s="8"/>
      <c r="H1964" s="8"/>
      <c r="I1964" s="8"/>
      <c r="J1964" s="8"/>
      <c r="K1964" s="8"/>
      <c r="L1964" s="8"/>
      <c r="M1964" s="8"/>
      <c r="N1964" s="8"/>
      <c r="O1964" s="8"/>
    </row>
    <row r="1965" ht="13.65" customHeight="1">
      <c r="A1965" s="8"/>
      <c r="B1965" s="8"/>
      <c r="C1965" s="8"/>
      <c r="D1965" s="8"/>
      <c r="E1965" s="8"/>
      <c r="F1965" s="8"/>
      <c r="G1965" s="8"/>
      <c r="H1965" s="8"/>
      <c r="I1965" s="8"/>
      <c r="J1965" s="8"/>
      <c r="K1965" s="8"/>
      <c r="L1965" s="8"/>
      <c r="M1965" s="8"/>
      <c r="N1965" s="8"/>
      <c r="O1965" s="8"/>
    </row>
    <row r="1966" ht="13.65" customHeight="1">
      <c r="A1966" s="8"/>
      <c r="B1966" s="8"/>
      <c r="C1966" s="8"/>
      <c r="D1966" s="8"/>
      <c r="E1966" s="8"/>
      <c r="F1966" s="8"/>
      <c r="G1966" s="8"/>
      <c r="H1966" s="8"/>
      <c r="I1966" s="8"/>
      <c r="J1966" s="8"/>
      <c r="K1966" s="8"/>
      <c r="L1966" s="8"/>
      <c r="M1966" s="8"/>
      <c r="N1966" s="8"/>
      <c r="O1966" s="8"/>
    </row>
    <row r="1967" ht="13.65" customHeight="1">
      <c r="A1967" s="8"/>
      <c r="B1967" s="8"/>
      <c r="C1967" s="8"/>
      <c r="D1967" s="8"/>
      <c r="E1967" s="8"/>
      <c r="F1967" s="8"/>
      <c r="G1967" s="8"/>
      <c r="H1967" s="8"/>
      <c r="I1967" s="8"/>
      <c r="J1967" s="8"/>
      <c r="K1967" s="8"/>
      <c r="L1967" s="8"/>
      <c r="M1967" s="8"/>
      <c r="N1967" s="8"/>
      <c r="O1967" s="8"/>
    </row>
    <row r="1968" ht="13.65" customHeight="1">
      <c r="A1968" s="8"/>
      <c r="B1968" s="8"/>
      <c r="C1968" s="8"/>
      <c r="D1968" s="8"/>
      <c r="E1968" s="8"/>
      <c r="F1968" s="8"/>
      <c r="G1968" s="8"/>
      <c r="H1968" s="8"/>
      <c r="I1968" s="8"/>
      <c r="J1968" s="8"/>
      <c r="K1968" s="8"/>
      <c r="L1968" s="8"/>
      <c r="M1968" s="8"/>
      <c r="N1968" s="8"/>
      <c r="O1968" s="8"/>
    </row>
    <row r="1969" ht="13.65" customHeight="1">
      <c r="A1969" s="8"/>
      <c r="B1969" s="8"/>
      <c r="C1969" s="8"/>
      <c r="D1969" s="8"/>
      <c r="E1969" s="8"/>
      <c r="F1969" s="8"/>
      <c r="G1969" s="8"/>
      <c r="H1969" s="8"/>
      <c r="I1969" s="8"/>
      <c r="J1969" s="8"/>
      <c r="K1969" s="8"/>
      <c r="L1969" s="8"/>
      <c r="M1969" s="8"/>
      <c r="N1969" s="8"/>
      <c r="O1969" s="8"/>
    </row>
    <row r="1970" ht="13.65" customHeight="1">
      <c r="A1970" s="8"/>
      <c r="B1970" s="8"/>
      <c r="C1970" s="8"/>
      <c r="D1970" s="8"/>
      <c r="E1970" s="8"/>
      <c r="F1970" s="8"/>
      <c r="G1970" s="8"/>
      <c r="H1970" s="8"/>
      <c r="I1970" s="8"/>
      <c r="J1970" s="8"/>
      <c r="K1970" s="8"/>
      <c r="L1970" s="8"/>
      <c r="M1970" s="8"/>
      <c r="N1970" s="8"/>
      <c r="O1970" s="8"/>
    </row>
    <row r="1971" ht="13.65" customHeight="1">
      <c r="A1971" s="8"/>
      <c r="B1971" s="8"/>
      <c r="C1971" s="8"/>
      <c r="D1971" s="8"/>
      <c r="E1971" s="8"/>
      <c r="F1971" s="8"/>
      <c r="G1971" s="8"/>
      <c r="H1971" s="8"/>
      <c r="I1971" s="8"/>
      <c r="J1971" s="8"/>
      <c r="K1971" s="8"/>
      <c r="L1971" s="8"/>
      <c r="M1971" s="8"/>
      <c r="N1971" s="8"/>
      <c r="O1971" s="8"/>
    </row>
    <row r="1972" ht="13.65" customHeight="1">
      <c r="A1972" s="8"/>
      <c r="B1972" s="8"/>
      <c r="C1972" s="8"/>
      <c r="D1972" s="8"/>
      <c r="E1972" s="8"/>
      <c r="F1972" s="8"/>
      <c r="G1972" s="8"/>
      <c r="H1972" s="8"/>
      <c r="I1972" s="8"/>
      <c r="J1972" s="8"/>
      <c r="K1972" s="8"/>
      <c r="L1972" s="8"/>
      <c r="M1972" s="8"/>
      <c r="N1972" s="8"/>
      <c r="O1972" s="8"/>
    </row>
    <row r="1973" ht="13.65" customHeight="1">
      <c r="A1973" s="8"/>
      <c r="B1973" s="8"/>
      <c r="C1973" s="8"/>
      <c r="D1973" s="8"/>
      <c r="E1973" s="8"/>
      <c r="F1973" s="8"/>
      <c r="G1973" s="8"/>
      <c r="H1973" s="8"/>
      <c r="I1973" s="8"/>
      <c r="J1973" s="8"/>
      <c r="K1973" s="8"/>
      <c r="L1973" s="8"/>
      <c r="M1973" s="8"/>
      <c r="N1973" s="8"/>
      <c r="O1973" s="8"/>
    </row>
    <row r="1974" ht="13.65" customHeight="1">
      <c r="A1974" s="8"/>
      <c r="B1974" s="8"/>
      <c r="C1974" s="8"/>
      <c r="D1974" s="8"/>
      <c r="E1974" s="8"/>
      <c r="F1974" s="8"/>
      <c r="G1974" s="8"/>
      <c r="H1974" s="8"/>
      <c r="I1974" s="8"/>
      <c r="J1974" s="8"/>
      <c r="K1974" s="8"/>
      <c r="L1974" s="8"/>
      <c r="M1974" s="8"/>
      <c r="N1974" s="8"/>
      <c r="O1974" s="8"/>
    </row>
    <row r="1975" ht="13.65" customHeight="1">
      <c r="A1975" s="8"/>
      <c r="B1975" s="8"/>
      <c r="C1975" s="8"/>
      <c r="D1975" s="8"/>
      <c r="E1975" s="8"/>
      <c r="F1975" s="8"/>
      <c r="G1975" s="8"/>
      <c r="H1975" s="8"/>
      <c r="I1975" s="8"/>
      <c r="J1975" s="8"/>
      <c r="K1975" s="8"/>
      <c r="L1975" s="8"/>
      <c r="M1975" s="8"/>
      <c r="N1975" s="8"/>
      <c r="O1975" s="8"/>
    </row>
    <row r="1976" ht="13.65" customHeight="1">
      <c r="A1976" s="8"/>
      <c r="B1976" s="8"/>
      <c r="C1976" s="8"/>
      <c r="D1976" s="8"/>
      <c r="E1976" s="8"/>
      <c r="F1976" s="8"/>
      <c r="G1976" s="8"/>
      <c r="H1976" s="8"/>
      <c r="I1976" s="8"/>
      <c r="J1976" s="8"/>
      <c r="K1976" s="8"/>
      <c r="L1976" s="8"/>
      <c r="M1976" s="8"/>
      <c r="N1976" s="8"/>
      <c r="O1976" s="8"/>
    </row>
    <row r="1977" ht="13.65" customHeight="1">
      <c r="A1977" s="8"/>
      <c r="B1977" s="8"/>
      <c r="C1977" s="8"/>
      <c r="D1977" s="8"/>
      <c r="E1977" s="8"/>
      <c r="F1977" s="8"/>
      <c r="G1977" s="8"/>
      <c r="H1977" s="8"/>
      <c r="I1977" s="8"/>
      <c r="J1977" s="8"/>
      <c r="K1977" s="8"/>
      <c r="L1977" s="8"/>
      <c r="M1977" s="8"/>
      <c r="N1977" s="8"/>
      <c r="O1977" s="8"/>
    </row>
    <row r="1978" ht="13.65" customHeight="1">
      <c r="A1978" s="8"/>
      <c r="B1978" s="8"/>
      <c r="C1978" s="8"/>
      <c r="D1978" s="8"/>
      <c r="E1978" s="8"/>
      <c r="F1978" s="8"/>
      <c r="G1978" s="8"/>
      <c r="H1978" s="8"/>
      <c r="I1978" s="8"/>
      <c r="J1978" s="8"/>
      <c r="K1978" s="8"/>
      <c r="L1978" s="8"/>
      <c r="M1978" s="8"/>
      <c r="N1978" s="8"/>
      <c r="O1978" s="8"/>
    </row>
    <row r="1979" ht="13.65" customHeight="1">
      <c r="A1979" s="8"/>
      <c r="B1979" s="8"/>
      <c r="C1979" s="8"/>
      <c r="D1979" s="8"/>
      <c r="E1979" s="8"/>
      <c r="F1979" s="8"/>
      <c r="G1979" s="8"/>
      <c r="H1979" s="8"/>
      <c r="I1979" s="8"/>
      <c r="J1979" s="8"/>
      <c r="K1979" s="8"/>
      <c r="L1979" s="8"/>
      <c r="M1979" s="8"/>
      <c r="N1979" s="8"/>
      <c r="O1979" s="8"/>
    </row>
    <row r="1980" ht="13.65" customHeight="1">
      <c r="A1980" s="8"/>
      <c r="B1980" s="8"/>
      <c r="C1980" s="8"/>
      <c r="D1980" s="8"/>
      <c r="E1980" s="8"/>
      <c r="F1980" s="8"/>
      <c r="G1980" s="8"/>
      <c r="H1980" s="8"/>
      <c r="I1980" s="8"/>
      <c r="J1980" s="8"/>
      <c r="K1980" s="8"/>
      <c r="L1980" s="8"/>
      <c r="M1980" s="8"/>
      <c r="N1980" s="8"/>
      <c r="O1980" s="8"/>
    </row>
    <row r="1981" ht="13.65" customHeight="1">
      <c r="A1981" s="8"/>
      <c r="B1981" s="8"/>
      <c r="C1981" s="8"/>
      <c r="D1981" s="8"/>
      <c r="E1981" s="8"/>
      <c r="F1981" s="8"/>
      <c r="G1981" s="8"/>
      <c r="H1981" s="8"/>
      <c r="I1981" s="8"/>
      <c r="J1981" s="8"/>
      <c r="K1981" s="8"/>
      <c r="L1981" s="8"/>
      <c r="M1981" s="8"/>
      <c r="N1981" s="8"/>
      <c r="O1981" s="8"/>
    </row>
    <row r="1982" ht="13.65" customHeight="1">
      <c r="A1982" s="8"/>
      <c r="B1982" s="8"/>
      <c r="C1982" s="8"/>
      <c r="D1982" s="8"/>
      <c r="E1982" s="8"/>
      <c r="F1982" s="8"/>
      <c r="G1982" s="8"/>
      <c r="H1982" s="8"/>
      <c r="I1982" s="8"/>
      <c r="J1982" s="8"/>
      <c r="K1982" s="8"/>
      <c r="L1982" s="8"/>
      <c r="M1982" s="8"/>
      <c r="N1982" s="8"/>
      <c r="O1982" s="8"/>
    </row>
    <row r="1983" ht="13.65" customHeight="1">
      <c r="A1983" s="8"/>
      <c r="B1983" s="8"/>
      <c r="C1983" s="8"/>
      <c r="D1983" s="8"/>
      <c r="E1983" s="8"/>
      <c r="F1983" s="8"/>
      <c r="G1983" s="8"/>
      <c r="H1983" s="8"/>
      <c r="I1983" s="8"/>
      <c r="J1983" s="8"/>
      <c r="K1983" s="8"/>
      <c r="L1983" s="8"/>
      <c r="M1983" s="8"/>
      <c r="N1983" s="8"/>
      <c r="O1983" s="8"/>
    </row>
    <row r="1984" ht="13.65" customHeight="1">
      <c r="A1984" s="8"/>
      <c r="B1984" s="8"/>
      <c r="C1984" s="8"/>
      <c r="D1984" s="8"/>
      <c r="E1984" s="8"/>
      <c r="F1984" s="8"/>
      <c r="G1984" s="8"/>
      <c r="H1984" s="8"/>
      <c r="I1984" s="8"/>
      <c r="J1984" s="8"/>
      <c r="K1984" s="8"/>
      <c r="L1984" s="8"/>
      <c r="M1984" s="8"/>
      <c r="N1984" s="8"/>
      <c r="O1984" s="8"/>
    </row>
    <row r="1985" ht="13.65" customHeight="1">
      <c r="A1985" s="8"/>
      <c r="B1985" s="8"/>
      <c r="C1985" s="8"/>
      <c r="D1985" s="8"/>
      <c r="E1985" s="8"/>
      <c r="F1985" s="8"/>
      <c r="G1985" s="8"/>
      <c r="H1985" s="8"/>
      <c r="I1985" s="8"/>
      <c r="J1985" s="8"/>
      <c r="K1985" s="8"/>
      <c r="L1985" s="8"/>
      <c r="M1985" s="8"/>
      <c r="N1985" s="8"/>
      <c r="O1985" s="8"/>
    </row>
    <row r="1986" ht="13.65" customHeight="1">
      <c r="A1986" s="8"/>
      <c r="B1986" s="8"/>
      <c r="C1986" s="8"/>
      <c r="D1986" s="8"/>
      <c r="E1986" s="8"/>
      <c r="F1986" s="8"/>
      <c r="G1986" s="8"/>
      <c r="H1986" s="8"/>
      <c r="I1986" s="8"/>
      <c r="J1986" s="8"/>
      <c r="K1986" s="8"/>
      <c r="L1986" s="8"/>
      <c r="M1986" s="8"/>
      <c r="N1986" s="8"/>
      <c r="O1986" s="8"/>
    </row>
    <row r="1987" ht="13.65" customHeight="1">
      <c r="A1987" s="8"/>
      <c r="B1987" s="8"/>
      <c r="C1987" s="8"/>
      <c r="D1987" s="8"/>
      <c r="E1987" s="8"/>
      <c r="F1987" s="8"/>
      <c r="G1987" s="8"/>
      <c r="H1987" s="8"/>
      <c r="I1987" s="8"/>
      <c r="J1987" s="8"/>
      <c r="K1987" s="8"/>
      <c r="L1987" s="8"/>
      <c r="M1987" s="8"/>
      <c r="N1987" s="8"/>
      <c r="O1987" s="8"/>
    </row>
    <row r="1988" ht="13.65" customHeight="1">
      <c r="A1988" s="8"/>
      <c r="B1988" s="8"/>
      <c r="C1988" s="8"/>
      <c r="D1988" s="8"/>
      <c r="E1988" s="8"/>
      <c r="F1988" s="8"/>
      <c r="G1988" s="8"/>
      <c r="H1988" s="8"/>
      <c r="I1988" s="8"/>
      <c r="J1988" s="8"/>
      <c r="K1988" s="8"/>
      <c r="L1988" s="8"/>
      <c r="M1988" s="8"/>
      <c r="N1988" s="8"/>
      <c r="O1988" s="8"/>
    </row>
    <row r="1989" ht="13.65" customHeight="1">
      <c r="A1989" s="8"/>
      <c r="B1989" s="8"/>
      <c r="C1989" s="8"/>
      <c r="D1989" s="8"/>
      <c r="E1989" s="8"/>
      <c r="F1989" s="8"/>
      <c r="G1989" s="8"/>
      <c r="H1989" s="8"/>
      <c r="I1989" s="8"/>
      <c r="J1989" s="8"/>
      <c r="K1989" s="8"/>
      <c r="L1989" s="8"/>
      <c r="M1989" s="8"/>
      <c r="N1989" s="8"/>
      <c r="O1989" s="8"/>
    </row>
    <row r="1990" ht="13.65" customHeight="1">
      <c r="A1990" s="8"/>
      <c r="B1990" s="8"/>
      <c r="C1990" s="8"/>
      <c r="D1990" s="8"/>
      <c r="E1990" s="8"/>
      <c r="F1990" s="8"/>
      <c r="G1990" s="8"/>
      <c r="H1990" s="8"/>
      <c r="I1990" s="8"/>
      <c r="J1990" s="8"/>
      <c r="K1990" s="8"/>
      <c r="L1990" s="8"/>
      <c r="M1990" s="8"/>
      <c r="N1990" s="8"/>
      <c r="O1990" s="8"/>
    </row>
    <row r="1991" ht="13.65" customHeight="1">
      <c r="A1991" s="8"/>
      <c r="B1991" s="8"/>
      <c r="C1991" s="8"/>
      <c r="D1991" s="8"/>
      <c r="E1991" s="8"/>
      <c r="F1991" s="8"/>
      <c r="G1991" s="8"/>
      <c r="H1991" s="8"/>
      <c r="I1991" s="8"/>
      <c r="J1991" s="8"/>
      <c r="K1991" s="8"/>
      <c r="L1991" s="8"/>
      <c r="M1991" s="8"/>
      <c r="N1991" s="8"/>
      <c r="O1991" s="8"/>
    </row>
    <row r="1992" ht="13.65" customHeight="1">
      <c r="A1992" s="8"/>
      <c r="B1992" s="8"/>
      <c r="C1992" s="8"/>
      <c r="D1992" s="8"/>
      <c r="E1992" s="8"/>
      <c r="F1992" s="8"/>
      <c r="G1992" s="8"/>
      <c r="H1992" s="8"/>
      <c r="I1992" s="8"/>
      <c r="J1992" s="8"/>
      <c r="K1992" s="8"/>
      <c r="L1992" s="8"/>
      <c r="M1992" s="8"/>
      <c r="N1992" s="8"/>
      <c r="O1992" s="8"/>
    </row>
    <row r="1993" ht="13.65" customHeight="1">
      <c r="A1993" s="8"/>
      <c r="B1993" s="8"/>
      <c r="C1993" s="8"/>
      <c r="D1993" s="8"/>
      <c r="E1993" s="8"/>
      <c r="F1993" s="8"/>
      <c r="G1993" s="8"/>
      <c r="H1993" s="8"/>
      <c r="I1993" s="8"/>
      <c r="J1993" s="8"/>
      <c r="K1993" s="8"/>
      <c r="L1993" s="8"/>
      <c r="M1993" s="8"/>
      <c r="N1993" s="8"/>
      <c r="O1993" s="8"/>
    </row>
    <row r="1994" ht="13.65" customHeight="1">
      <c r="A1994" s="8"/>
      <c r="B1994" s="8"/>
      <c r="C1994" s="8"/>
      <c r="D1994" s="8"/>
      <c r="E1994" s="8"/>
      <c r="F1994" s="8"/>
      <c r="G1994" s="8"/>
      <c r="H1994" s="8"/>
      <c r="I1994" s="8"/>
      <c r="J1994" s="8"/>
      <c r="K1994" s="8"/>
      <c r="L1994" s="8"/>
      <c r="M1994" s="8"/>
      <c r="N1994" s="8"/>
      <c r="O1994" s="8"/>
    </row>
    <row r="1995" ht="13.65" customHeight="1">
      <c r="A1995" s="8"/>
      <c r="B1995" s="8"/>
      <c r="C1995" s="8"/>
      <c r="D1995" s="8"/>
      <c r="E1995" s="8"/>
      <c r="F1995" s="8"/>
      <c r="G1995" s="8"/>
      <c r="H1995" s="8"/>
      <c r="I1995" s="8"/>
      <c r="J1995" s="8"/>
      <c r="K1995" s="8"/>
      <c r="L1995" s="8"/>
      <c r="M1995" s="8"/>
      <c r="N1995" s="8"/>
      <c r="O1995" s="8"/>
    </row>
    <row r="1996" ht="13.65" customHeight="1">
      <c r="A1996" s="8"/>
      <c r="B1996" s="8"/>
      <c r="C1996" s="8"/>
      <c r="D1996" s="8"/>
      <c r="E1996" s="8"/>
      <c r="F1996" s="8"/>
      <c r="G1996" s="8"/>
      <c r="H1996" s="8"/>
      <c r="I1996" s="8"/>
      <c r="J1996" s="8"/>
      <c r="K1996" s="8"/>
      <c r="L1996" s="8"/>
      <c r="M1996" s="8"/>
      <c r="N1996" s="8"/>
      <c r="O1996" s="8"/>
    </row>
    <row r="1997" ht="13.65" customHeight="1">
      <c r="A1997" s="8"/>
      <c r="B1997" s="8"/>
      <c r="C1997" s="8"/>
      <c r="D1997" s="8"/>
      <c r="E1997" s="8"/>
      <c r="F1997" s="8"/>
      <c r="G1997" s="8"/>
      <c r="H1997" s="8"/>
      <c r="I1997" s="8"/>
      <c r="J1997" s="8"/>
      <c r="K1997" s="8"/>
      <c r="L1997" s="8"/>
      <c r="M1997" s="8"/>
      <c r="N1997" s="8"/>
      <c r="O1997" s="8"/>
    </row>
    <row r="1998" ht="13.65" customHeight="1">
      <c r="A1998" s="8"/>
      <c r="B1998" s="8"/>
      <c r="C1998" s="8"/>
      <c r="D1998" s="8"/>
      <c r="E1998" s="8"/>
      <c r="F1998" s="8"/>
      <c r="G1998" s="8"/>
      <c r="H1998" s="8"/>
      <c r="I1998" s="8"/>
      <c r="J1998" s="8"/>
      <c r="K1998" s="8"/>
      <c r="L1998" s="8"/>
      <c r="M1998" s="8"/>
      <c r="N1998" s="8"/>
      <c r="O1998" s="8"/>
    </row>
    <row r="1999" ht="13.65" customHeight="1">
      <c r="A1999" s="8"/>
      <c r="B1999" s="8"/>
      <c r="C1999" s="8"/>
      <c r="D1999" s="8"/>
      <c r="E1999" s="8"/>
      <c r="F1999" s="8"/>
      <c r="G1999" s="8"/>
      <c r="H1999" s="8"/>
      <c r="I1999" s="8"/>
      <c r="J1999" s="8"/>
      <c r="K1999" s="8"/>
      <c r="L1999" s="8"/>
      <c r="M1999" s="8"/>
      <c r="N1999" s="8"/>
      <c r="O1999" s="8"/>
    </row>
    <row r="2000" ht="13.65" customHeight="1">
      <c r="A2000" s="8"/>
      <c r="B2000" s="8"/>
      <c r="C2000" s="8"/>
      <c r="D2000" s="8"/>
      <c r="E2000" s="8"/>
      <c r="F2000" s="8"/>
      <c r="G2000" s="8"/>
      <c r="H2000" s="8"/>
      <c r="I2000" s="8"/>
      <c r="J2000" s="8"/>
      <c r="K2000" s="8"/>
      <c r="L2000" s="8"/>
      <c r="M2000" s="8"/>
      <c r="N2000" s="8"/>
      <c r="O2000" s="8"/>
    </row>
    <row r="2001" ht="13.65" customHeight="1">
      <c r="A2001" s="8"/>
      <c r="B2001" s="8"/>
      <c r="C2001" s="8"/>
      <c r="D2001" s="8"/>
      <c r="E2001" s="8"/>
      <c r="F2001" s="8"/>
      <c r="G2001" s="8"/>
      <c r="H2001" s="8"/>
      <c r="I2001" s="8"/>
      <c r="J2001" s="8"/>
      <c r="K2001" s="8"/>
      <c r="L2001" s="8"/>
      <c r="M2001" s="8"/>
      <c r="N2001" s="8"/>
      <c r="O2001" s="8"/>
    </row>
    <row r="2002" ht="13.65" customHeight="1">
      <c r="A2002" s="8"/>
      <c r="B2002" s="8"/>
      <c r="C2002" s="8"/>
      <c r="D2002" s="8"/>
      <c r="E2002" s="8"/>
      <c r="F2002" s="8"/>
      <c r="G2002" s="8"/>
      <c r="H2002" s="8"/>
      <c r="I2002" s="8"/>
      <c r="J2002" s="8"/>
      <c r="K2002" s="8"/>
      <c r="L2002" s="8"/>
      <c r="M2002" s="8"/>
      <c r="N2002" s="8"/>
      <c r="O2002" s="8"/>
    </row>
    <row r="2003" ht="13.65" customHeight="1">
      <c r="A2003" s="8"/>
      <c r="B2003" s="8"/>
      <c r="C2003" s="8"/>
      <c r="D2003" s="8"/>
      <c r="E2003" s="8"/>
      <c r="F2003" s="8"/>
      <c r="G2003" s="8"/>
      <c r="H2003" s="8"/>
      <c r="I2003" s="8"/>
      <c r="J2003" s="8"/>
      <c r="K2003" s="8"/>
      <c r="L2003" s="8"/>
      <c r="M2003" s="8"/>
      <c r="N2003" s="8"/>
      <c r="O2003" s="8"/>
    </row>
    <row r="2004" ht="13.65" customHeight="1">
      <c r="A2004" s="8"/>
      <c r="B2004" s="8"/>
      <c r="C2004" s="8"/>
      <c r="D2004" s="8"/>
      <c r="E2004" s="8"/>
      <c r="F2004" s="8"/>
      <c r="G2004" s="8"/>
      <c r="H2004" s="8"/>
      <c r="I2004" s="8"/>
      <c r="J2004" s="8"/>
      <c r="K2004" s="8"/>
      <c r="L2004" s="8"/>
      <c r="M2004" s="8"/>
      <c r="N2004" s="8"/>
      <c r="O2004" s="8"/>
    </row>
    <row r="2005" ht="13.65" customHeight="1">
      <c r="A2005" s="8"/>
      <c r="B2005" s="8"/>
      <c r="C2005" s="8"/>
      <c r="D2005" s="8"/>
      <c r="E2005" s="8"/>
      <c r="F2005" s="8"/>
      <c r="G2005" s="8"/>
      <c r="H2005" s="8"/>
      <c r="I2005" s="8"/>
      <c r="J2005" s="8"/>
      <c r="K2005" s="8"/>
      <c r="L2005" s="8"/>
      <c r="M2005" s="8"/>
      <c r="N2005" s="8"/>
      <c r="O2005" s="8"/>
    </row>
    <row r="2006" ht="13.65" customHeight="1">
      <c r="A2006" s="8"/>
      <c r="B2006" s="8"/>
      <c r="C2006" s="8"/>
      <c r="D2006" s="8"/>
      <c r="E2006" s="8"/>
      <c r="F2006" s="8"/>
      <c r="G2006" s="8"/>
      <c r="H2006" s="8"/>
      <c r="I2006" s="8"/>
      <c r="J2006" s="8"/>
      <c r="K2006" s="8"/>
      <c r="L2006" s="8"/>
      <c r="M2006" s="8"/>
      <c r="N2006" s="8"/>
      <c r="O2006" s="8"/>
    </row>
    <row r="2007" ht="13.65" customHeight="1">
      <c r="A2007" s="8"/>
      <c r="B2007" s="8"/>
      <c r="C2007" s="8"/>
      <c r="D2007" s="8"/>
      <c r="E2007" s="8"/>
      <c r="F2007" s="8"/>
      <c r="G2007" s="8"/>
      <c r="H2007" s="8"/>
      <c r="I2007" s="8"/>
      <c r="J2007" s="8"/>
      <c r="K2007" s="8"/>
      <c r="L2007" s="8"/>
      <c r="M2007" s="8"/>
      <c r="N2007" s="8"/>
      <c r="O2007" s="8"/>
    </row>
    <row r="2008" ht="13.65" customHeight="1">
      <c r="A2008" s="8"/>
      <c r="B2008" s="8"/>
      <c r="C2008" s="8"/>
      <c r="D2008" s="8"/>
      <c r="E2008" s="8"/>
      <c r="F2008" s="8"/>
      <c r="G2008" s="8"/>
      <c r="H2008" s="8"/>
      <c r="I2008" s="8"/>
      <c r="J2008" s="8"/>
      <c r="K2008" s="8"/>
      <c r="L2008" s="8"/>
      <c r="M2008" s="8"/>
      <c r="N2008" s="8"/>
      <c r="O2008" s="8"/>
    </row>
    <row r="2009" ht="13.65" customHeight="1">
      <c r="A2009" s="8"/>
      <c r="B2009" s="8"/>
      <c r="C2009" s="8"/>
      <c r="D2009" s="8"/>
      <c r="E2009" s="8"/>
      <c r="F2009" s="8"/>
      <c r="G2009" s="8"/>
      <c r="H2009" s="8"/>
      <c r="I2009" s="8"/>
      <c r="J2009" s="8"/>
      <c r="K2009" s="8"/>
      <c r="L2009" s="8"/>
      <c r="M2009" s="8"/>
      <c r="N2009" s="8"/>
      <c r="O2009" s="8"/>
    </row>
    <row r="2010" ht="13.65" customHeight="1">
      <c r="A2010" s="8"/>
      <c r="B2010" s="8"/>
      <c r="C2010" s="8"/>
      <c r="D2010" s="8"/>
      <c r="E2010" s="8"/>
      <c r="F2010" s="8"/>
      <c r="G2010" s="8"/>
      <c r="H2010" s="8"/>
      <c r="I2010" s="8"/>
      <c r="J2010" s="8"/>
      <c r="K2010" s="8"/>
      <c r="L2010" s="8"/>
      <c r="M2010" s="8"/>
      <c r="N2010" s="8"/>
      <c r="O2010" s="8"/>
    </row>
    <row r="2011" ht="13.65" customHeight="1">
      <c r="A2011" s="8"/>
      <c r="B2011" s="8"/>
      <c r="C2011" s="8"/>
      <c r="D2011" s="8"/>
      <c r="E2011" s="8"/>
      <c r="F2011" s="8"/>
      <c r="G2011" s="8"/>
      <c r="H2011" s="8"/>
      <c r="I2011" s="8"/>
      <c r="J2011" s="8"/>
      <c r="K2011" s="8"/>
      <c r="L2011" s="8"/>
      <c r="M2011" s="8"/>
      <c r="N2011" s="8"/>
      <c r="O2011" s="8"/>
    </row>
    <row r="2012" ht="13.65" customHeight="1">
      <c r="A2012" s="8"/>
      <c r="B2012" s="8"/>
      <c r="C2012" s="8"/>
      <c r="D2012" s="8"/>
      <c r="E2012" s="8"/>
      <c r="F2012" s="8"/>
      <c r="G2012" s="8"/>
      <c r="H2012" s="8"/>
      <c r="I2012" s="8"/>
      <c r="J2012" s="8"/>
      <c r="K2012" s="8"/>
      <c r="L2012" s="8"/>
      <c r="M2012" s="8"/>
      <c r="N2012" s="8"/>
      <c r="O2012" s="8"/>
    </row>
    <row r="2013" ht="13.65" customHeight="1">
      <c r="A2013" s="8"/>
      <c r="B2013" s="8"/>
      <c r="C2013" s="8"/>
      <c r="D2013" s="8"/>
      <c r="E2013" s="8"/>
      <c r="F2013" s="8"/>
      <c r="G2013" s="8"/>
      <c r="H2013" s="8"/>
      <c r="I2013" s="8"/>
      <c r="J2013" s="8"/>
      <c r="K2013" s="8"/>
      <c r="L2013" s="8"/>
      <c r="M2013" s="8"/>
      <c r="N2013" s="8"/>
      <c r="O2013" s="8"/>
    </row>
    <row r="2014" ht="13.65" customHeight="1">
      <c r="A2014" s="8"/>
      <c r="B2014" s="8"/>
      <c r="C2014" s="8"/>
      <c r="D2014" s="8"/>
      <c r="E2014" s="8"/>
      <c r="F2014" s="8"/>
      <c r="G2014" s="8"/>
      <c r="H2014" s="8"/>
      <c r="I2014" s="8"/>
      <c r="J2014" s="8"/>
      <c r="K2014" s="8"/>
      <c r="L2014" s="8"/>
      <c r="M2014" s="8"/>
      <c r="N2014" s="8"/>
      <c r="O2014" s="8"/>
    </row>
    <row r="2015" ht="13.65" customHeight="1">
      <c r="A2015" s="8"/>
      <c r="B2015" s="8"/>
      <c r="C2015" s="8"/>
      <c r="D2015" s="8"/>
      <c r="E2015" s="8"/>
      <c r="F2015" s="8"/>
      <c r="G2015" s="8"/>
      <c r="H2015" s="8"/>
      <c r="I2015" s="8"/>
      <c r="J2015" s="8"/>
      <c r="K2015" s="8"/>
      <c r="L2015" s="8"/>
      <c r="M2015" s="8"/>
      <c r="N2015" s="8"/>
      <c r="O2015" s="8"/>
    </row>
    <row r="2016" ht="13.65" customHeight="1">
      <c r="A2016" s="8"/>
      <c r="B2016" s="8"/>
      <c r="C2016" s="8"/>
      <c r="D2016" s="8"/>
      <c r="E2016" s="8"/>
      <c r="F2016" s="8"/>
      <c r="G2016" s="8"/>
      <c r="H2016" s="8"/>
      <c r="I2016" s="8"/>
      <c r="J2016" s="8"/>
      <c r="K2016" s="8"/>
      <c r="L2016" s="8"/>
      <c r="M2016" s="8"/>
      <c r="N2016" s="8"/>
      <c r="O2016" s="8"/>
    </row>
    <row r="2017" ht="13.65" customHeight="1">
      <c r="A2017" s="8"/>
      <c r="B2017" s="8"/>
      <c r="C2017" s="8"/>
      <c r="D2017" s="8"/>
      <c r="E2017" s="8"/>
      <c r="F2017" s="8"/>
      <c r="G2017" s="8"/>
      <c r="H2017" s="8"/>
      <c r="I2017" s="8"/>
      <c r="J2017" s="8"/>
      <c r="K2017" s="8"/>
      <c r="L2017" s="8"/>
      <c r="M2017" s="8"/>
      <c r="N2017" s="8"/>
      <c r="O2017" s="8"/>
    </row>
    <row r="2018" ht="13.65" customHeight="1">
      <c r="A2018" s="8"/>
      <c r="B2018" s="8"/>
      <c r="C2018" s="8"/>
      <c r="D2018" s="8"/>
      <c r="E2018" s="8"/>
      <c r="F2018" s="8"/>
      <c r="G2018" s="8"/>
      <c r="H2018" s="8"/>
      <c r="I2018" s="8"/>
      <c r="J2018" s="8"/>
      <c r="K2018" s="8"/>
      <c r="L2018" s="8"/>
      <c r="M2018" s="8"/>
      <c r="N2018" s="8"/>
      <c r="O2018" s="8"/>
    </row>
    <row r="2019" ht="13.65" customHeight="1">
      <c r="A2019" s="8"/>
      <c r="B2019" s="8"/>
      <c r="C2019" s="8"/>
      <c r="D2019" s="8"/>
      <c r="E2019" s="8"/>
      <c r="F2019" s="8"/>
      <c r="G2019" s="8"/>
      <c r="H2019" s="8"/>
      <c r="I2019" s="8"/>
      <c r="J2019" s="8"/>
      <c r="K2019" s="8"/>
      <c r="L2019" s="8"/>
      <c r="M2019" s="8"/>
      <c r="N2019" s="8"/>
      <c r="O2019" s="8"/>
    </row>
    <row r="2020" ht="13.65" customHeight="1">
      <c r="A2020" s="8"/>
      <c r="B2020" s="8"/>
      <c r="C2020" s="8"/>
      <c r="D2020" s="8"/>
      <c r="E2020" s="8"/>
      <c r="F2020" s="8"/>
      <c r="G2020" s="8"/>
      <c r="H2020" s="8"/>
      <c r="I2020" s="8"/>
      <c r="J2020" s="8"/>
      <c r="K2020" s="8"/>
      <c r="L2020" s="8"/>
      <c r="M2020" s="8"/>
      <c r="N2020" s="8"/>
      <c r="O2020" s="8"/>
    </row>
    <row r="2021" ht="13.65" customHeight="1">
      <c r="A2021" s="8"/>
      <c r="B2021" s="8"/>
      <c r="C2021" s="8"/>
      <c r="D2021" s="8"/>
      <c r="E2021" s="8"/>
      <c r="F2021" s="8"/>
      <c r="G2021" s="8"/>
      <c r="H2021" s="8"/>
      <c r="I2021" s="8"/>
      <c r="J2021" s="8"/>
      <c r="K2021" s="8"/>
      <c r="L2021" s="8"/>
      <c r="M2021" s="8"/>
      <c r="N2021" s="8"/>
      <c r="O2021" s="8"/>
    </row>
    <row r="2022" ht="13.65" customHeight="1">
      <c r="A2022" s="8"/>
      <c r="B2022" s="8"/>
      <c r="C2022" s="8"/>
      <c r="D2022" s="8"/>
      <c r="E2022" s="8"/>
      <c r="F2022" s="8"/>
      <c r="G2022" s="8"/>
      <c r="H2022" s="8"/>
      <c r="I2022" s="8"/>
      <c r="J2022" s="8"/>
      <c r="K2022" s="8"/>
      <c r="L2022" s="8"/>
      <c r="M2022" s="8"/>
      <c r="N2022" s="8"/>
      <c r="O2022" s="8"/>
    </row>
    <row r="2023" ht="13.65" customHeight="1">
      <c r="A2023" s="8"/>
      <c r="B2023" s="8"/>
      <c r="C2023" s="8"/>
      <c r="D2023" s="8"/>
      <c r="E2023" s="8"/>
      <c r="F2023" s="8"/>
      <c r="G2023" s="8"/>
      <c r="H2023" s="8"/>
      <c r="I2023" s="8"/>
      <c r="J2023" s="8"/>
      <c r="K2023" s="8"/>
      <c r="L2023" s="8"/>
      <c r="M2023" s="8"/>
      <c r="N2023" s="8"/>
      <c r="O2023" s="8"/>
    </row>
    <row r="2024" ht="13.65" customHeight="1">
      <c r="A2024" s="8"/>
      <c r="B2024" s="8"/>
      <c r="C2024" s="8"/>
      <c r="D2024" s="8"/>
      <c r="E2024" s="8"/>
      <c r="F2024" s="8"/>
      <c r="G2024" s="8"/>
      <c r="H2024" s="8"/>
      <c r="I2024" s="8"/>
      <c r="J2024" s="8"/>
      <c r="K2024" s="8"/>
      <c r="L2024" s="8"/>
      <c r="M2024" s="8"/>
      <c r="N2024" s="8"/>
      <c r="O2024" s="8"/>
    </row>
    <row r="2025" ht="13.65" customHeight="1">
      <c r="A2025" s="8"/>
      <c r="B2025" s="8"/>
      <c r="C2025" s="8"/>
      <c r="D2025" s="8"/>
      <c r="E2025" s="8"/>
      <c r="F2025" s="8"/>
      <c r="G2025" s="8"/>
      <c r="H2025" s="8"/>
      <c r="I2025" s="8"/>
      <c r="J2025" s="8"/>
      <c r="K2025" s="8"/>
      <c r="L2025" s="8"/>
      <c r="M2025" s="8"/>
      <c r="N2025" s="8"/>
      <c r="O2025" s="8"/>
    </row>
    <row r="2026" ht="13.65" customHeight="1">
      <c r="A2026" s="8"/>
      <c r="B2026" s="8"/>
      <c r="C2026" s="8"/>
      <c r="D2026" s="8"/>
      <c r="E2026" s="8"/>
      <c r="F2026" s="8"/>
      <c r="G2026" s="8"/>
      <c r="H2026" s="8"/>
      <c r="I2026" s="8"/>
      <c r="J2026" s="8"/>
      <c r="K2026" s="8"/>
      <c r="L2026" s="8"/>
      <c r="M2026" s="8"/>
      <c r="N2026" s="8"/>
      <c r="O2026" s="8"/>
    </row>
    <row r="2027" ht="13.65" customHeight="1">
      <c r="A2027" s="8"/>
      <c r="B2027" s="8"/>
      <c r="C2027" s="8"/>
      <c r="D2027" s="8"/>
      <c r="E2027" s="8"/>
      <c r="F2027" s="8"/>
      <c r="G2027" s="8"/>
      <c r="H2027" s="8"/>
      <c r="I2027" s="8"/>
      <c r="J2027" s="8"/>
      <c r="K2027" s="8"/>
      <c r="L2027" s="8"/>
      <c r="M2027" s="8"/>
      <c r="N2027" s="8"/>
      <c r="O2027" s="8"/>
    </row>
    <row r="2028" ht="13.65" customHeight="1">
      <c r="A2028" s="8"/>
      <c r="B2028" s="8"/>
      <c r="C2028" s="8"/>
      <c r="D2028" s="8"/>
      <c r="E2028" s="8"/>
      <c r="F2028" s="8"/>
      <c r="G2028" s="8"/>
      <c r="H2028" s="8"/>
      <c r="I2028" s="8"/>
      <c r="J2028" s="8"/>
      <c r="K2028" s="8"/>
      <c r="L2028" s="8"/>
      <c r="M2028" s="8"/>
      <c r="N2028" s="8"/>
      <c r="O2028" s="8"/>
    </row>
    <row r="2029" ht="13.65" customHeight="1">
      <c r="A2029" s="8"/>
      <c r="B2029" s="8"/>
      <c r="C2029" s="8"/>
      <c r="D2029" s="8"/>
      <c r="E2029" s="8"/>
      <c r="F2029" s="8"/>
      <c r="G2029" s="8"/>
      <c r="H2029" s="8"/>
      <c r="I2029" s="8"/>
      <c r="J2029" s="8"/>
      <c r="K2029" s="8"/>
      <c r="L2029" s="8"/>
      <c r="M2029" s="8"/>
      <c r="N2029" s="8"/>
      <c r="O2029"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Z1002"/>
  <sheetViews>
    <sheetView workbookViewId="0" showGridLines="0" defaultGridColor="1"/>
  </sheetViews>
  <sheetFormatPr defaultColWidth="12.6667" defaultRowHeight="15.75" customHeight="1" outlineLevelRow="0" outlineLevelCol="0"/>
  <cols>
    <col min="1" max="1" width="17.1719" style="50" customWidth="1"/>
    <col min="2" max="2" width="12.3516" style="50" customWidth="1"/>
    <col min="3" max="26" width="12.6719" style="50" customWidth="1"/>
    <col min="27" max="16384" width="12.6719" style="50" customWidth="1"/>
  </cols>
  <sheetData>
    <row r="1" ht="13.65" customHeight="1">
      <c r="A1" t="s" s="7">
        <v>10054</v>
      </c>
      <c r="B1" s="8"/>
      <c r="C1" s="8"/>
      <c r="D1" s="8"/>
      <c r="E1" s="8"/>
      <c r="F1" s="8"/>
      <c r="G1" s="8"/>
      <c r="H1" s="8"/>
      <c r="I1" s="8"/>
      <c r="J1" s="8"/>
      <c r="K1" s="8"/>
      <c r="L1" s="8"/>
      <c r="M1" s="8"/>
      <c r="N1" s="8"/>
      <c r="O1" s="8"/>
      <c r="P1" s="8"/>
      <c r="Q1" s="8"/>
      <c r="R1" s="8"/>
      <c r="S1" s="8"/>
      <c r="T1" s="8"/>
      <c r="U1" s="8"/>
      <c r="V1" s="8"/>
      <c r="W1" s="8"/>
      <c r="X1" s="8"/>
      <c r="Y1" s="8"/>
      <c r="Z1" s="8"/>
    </row>
    <row r="2" ht="13.65" customHeight="1">
      <c r="A2" t="s" s="7">
        <v>6</v>
      </c>
      <c r="B2" s="8"/>
      <c r="C2" s="8"/>
      <c r="D2" s="8"/>
      <c r="E2" s="8"/>
      <c r="F2" s="8"/>
      <c r="G2" s="8"/>
      <c r="H2" s="8"/>
      <c r="I2" s="8"/>
      <c r="J2" s="8"/>
      <c r="K2" s="8"/>
      <c r="L2" s="8"/>
      <c r="M2" s="8"/>
      <c r="N2" s="8"/>
      <c r="O2" s="8"/>
      <c r="P2" s="8"/>
      <c r="Q2" s="8"/>
      <c r="R2" s="8"/>
      <c r="S2" s="8"/>
      <c r="T2" s="8"/>
      <c r="U2" s="8"/>
      <c r="V2" s="8"/>
      <c r="W2" s="8"/>
      <c r="X2" s="8"/>
      <c r="Y2" s="8"/>
      <c r="Z2" s="8"/>
    </row>
    <row r="3" ht="13.65" customHeight="1">
      <c r="A3" t="s" s="51">
        <v>1281</v>
      </c>
      <c r="B3" t="s" s="51">
        <v>10055</v>
      </c>
      <c r="C3" t="s" s="51">
        <v>10056</v>
      </c>
      <c r="D3" t="s" s="51">
        <v>10057</v>
      </c>
      <c r="E3" t="s" s="51">
        <v>10058</v>
      </c>
      <c r="F3" t="s" s="51">
        <v>10059</v>
      </c>
      <c r="G3" s="8"/>
      <c r="H3" s="8"/>
      <c r="I3" s="8"/>
      <c r="J3" s="8"/>
      <c r="K3" s="8"/>
      <c r="L3" s="8"/>
      <c r="M3" s="8"/>
      <c r="N3" s="8"/>
      <c r="O3" s="8"/>
      <c r="P3" s="8"/>
      <c r="Q3" s="8"/>
      <c r="R3" s="8"/>
      <c r="S3" s="8"/>
      <c r="T3" s="8"/>
      <c r="U3" s="8"/>
      <c r="V3" s="8"/>
      <c r="W3" s="8"/>
      <c r="X3" s="8"/>
      <c r="Y3" s="8"/>
      <c r="Z3" s="8"/>
    </row>
    <row r="4" ht="13.65" customHeight="1">
      <c r="A4" s="52">
        <v>44287</v>
      </c>
      <c r="B4" s="53">
        <v>2021</v>
      </c>
      <c r="C4" t="s" s="7">
        <v>10060</v>
      </c>
      <c r="D4" t="s" s="7">
        <v>10061</v>
      </c>
      <c r="E4" t="s" s="7">
        <v>10062</v>
      </c>
      <c r="F4" s="53">
        <v>2</v>
      </c>
      <c r="G4" s="8"/>
      <c r="H4" s="8"/>
      <c r="I4" s="8"/>
      <c r="J4" s="8"/>
      <c r="K4" s="8"/>
      <c r="L4" s="8"/>
      <c r="M4" s="8"/>
      <c r="N4" s="8"/>
      <c r="O4" s="8"/>
      <c r="P4" s="8"/>
      <c r="Q4" s="8"/>
      <c r="R4" s="8"/>
      <c r="S4" s="8"/>
      <c r="T4" s="8"/>
      <c r="U4" s="8"/>
      <c r="V4" s="8"/>
      <c r="W4" s="8"/>
      <c r="X4" s="8"/>
      <c r="Y4" s="8"/>
      <c r="Z4" s="8"/>
    </row>
    <row r="5" ht="13.65" customHeight="1">
      <c r="A5" s="52">
        <v>44348</v>
      </c>
      <c r="B5" s="53">
        <v>2021</v>
      </c>
      <c r="C5" t="s" s="7">
        <v>10060</v>
      </c>
      <c r="D5" t="s" s="7">
        <v>10063</v>
      </c>
      <c r="E5" t="s" s="7">
        <v>10062</v>
      </c>
      <c r="F5" s="53">
        <v>2</v>
      </c>
      <c r="G5" s="8"/>
      <c r="H5" s="8"/>
      <c r="I5" s="8"/>
      <c r="J5" s="8"/>
      <c r="K5" s="8"/>
      <c r="L5" s="8"/>
      <c r="M5" s="8"/>
      <c r="N5" s="8"/>
      <c r="O5" s="8"/>
      <c r="P5" s="8"/>
      <c r="Q5" s="8"/>
      <c r="R5" s="8"/>
      <c r="S5" s="8"/>
      <c r="T5" s="8"/>
      <c r="U5" s="8"/>
      <c r="V5" s="8"/>
      <c r="W5" s="8"/>
      <c r="X5" s="8"/>
      <c r="Y5" s="8"/>
      <c r="Z5" s="8"/>
    </row>
    <row r="6" ht="13.65" customHeight="1">
      <c r="A6" s="52">
        <v>44378</v>
      </c>
      <c r="B6" s="53">
        <v>2021</v>
      </c>
      <c r="C6" t="s" s="7">
        <v>10060</v>
      </c>
      <c r="D6" t="s" s="7">
        <v>10064</v>
      </c>
      <c r="E6" t="s" s="7">
        <v>10062</v>
      </c>
      <c r="F6" s="53">
        <v>2</v>
      </c>
      <c r="G6" s="8"/>
      <c r="H6" s="8"/>
      <c r="I6" s="8"/>
      <c r="J6" s="8"/>
      <c r="K6" s="8"/>
      <c r="L6" s="8"/>
      <c r="M6" s="8"/>
      <c r="N6" s="8"/>
      <c r="O6" s="8"/>
      <c r="P6" s="8"/>
      <c r="Q6" s="8"/>
      <c r="R6" s="8"/>
      <c r="S6" s="8"/>
      <c r="T6" s="8"/>
      <c r="U6" s="8"/>
      <c r="V6" s="8"/>
      <c r="W6" s="8"/>
      <c r="X6" s="8"/>
      <c r="Y6" s="8"/>
      <c r="Z6" s="8"/>
    </row>
    <row r="7" ht="13.65" customHeight="1">
      <c r="A7" s="52">
        <v>44378</v>
      </c>
      <c r="B7" s="53">
        <v>2021</v>
      </c>
      <c r="C7" t="s" s="7">
        <v>10060</v>
      </c>
      <c r="D7" t="s" s="7">
        <v>10065</v>
      </c>
      <c r="E7" t="s" s="7">
        <v>10062</v>
      </c>
      <c r="F7" s="53">
        <v>2</v>
      </c>
      <c r="G7" s="8"/>
      <c r="H7" s="8"/>
      <c r="I7" s="8"/>
      <c r="J7" s="8"/>
      <c r="K7" s="8"/>
      <c r="L7" s="8"/>
      <c r="M7" s="8"/>
      <c r="N7" s="8"/>
      <c r="O7" s="8"/>
      <c r="P7" s="8"/>
      <c r="Q7" s="8"/>
      <c r="R7" s="8"/>
      <c r="S7" s="8"/>
      <c r="T7" s="8"/>
      <c r="U7" s="8"/>
      <c r="V7" s="8"/>
      <c r="W7" s="8"/>
      <c r="X7" s="8"/>
      <c r="Y7" s="8"/>
      <c r="Z7" s="8"/>
    </row>
    <row r="8" ht="13.65" customHeight="1">
      <c r="A8" s="52">
        <v>44378</v>
      </c>
      <c r="B8" s="53">
        <v>2021</v>
      </c>
      <c r="C8" t="s" s="7">
        <v>10060</v>
      </c>
      <c r="D8" t="s" s="7">
        <v>10066</v>
      </c>
      <c r="E8" t="s" s="7">
        <v>10062</v>
      </c>
      <c r="F8" s="53">
        <v>2</v>
      </c>
      <c r="G8" s="8"/>
      <c r="H8" s="8"/>
      <c r="I8" s="8"/>
      <c r="J8" s="8"/>
      <c r="K8" s="8"/>
      <c r="L8" s="8"/>
      <c r="M8" s="8"/>
      <c r="N8" s="8"/>
      <c r="O8" s="8"/>
      <c r="P8" s="8"/>
      <c r="Q8" s="8"/>
      <c r="R8" s="8"/>
      <c r="S8" s="8"/>
      <c r="T8" s="8"/>
      <c r="U8" s="8"/>
      <c r="V8" s="8"/>
      <c r="W8" s="8"/>
      <c r="X8" s="8"/>
      <c r="Y8" s="8"/>
      <c r="Z8" s="8"/>
    </row>
    <row r="9" ht="13.65" customHeight="1">
      <c r="A9" s="52">
        <v>44470</v>
      </c>
      <c r="B9" s="53">
        <v>2021</v>
      </c>
      <c r="C9" t="s" s="7">
        <v>10060</v>
      </c>
      <c r="D9" t="s" s="7">
        <v>10067</v>
      </c>
      <c r="E9" t="s" s="7">
        <v>10062</v>
      </c>
      <c r="F9" s="53">
        <v>2</v>
      </c>
      <c r="G9" s="8"/>
      <c r="H9" s="8"/>
      <c r="I9" s="8"/>
      <c r="J9" s="8"/>
      <c r="K9" s="8"/>
      <c r="L9" s="8"/>
      <c r="M9" s="8"/>
      <c r="N9" s="8"/>
      <c r="O9" s="8"/>
      <c r="P9" s="8"/>
      <c r="Q9" s="8"/>
      <c r="R9" s="8"/>
      <c r="S9" s="8"/>
      <c r="T9" s="8"/>
      <c r="U9" s="8"/>
      <c r="V9" s="8"/>
      <c r="W9" s="8"/>
      <c r="X9" s="8"/>
      <c r="Y9" s="8"/>
      <c r="Z9" s="8"/>
    </row>
    <row r="10" ht="13.65" customHeight="1">
      <c r="A10" s="52">
        <v>44470</v>
      </c>
      <c r="B10" s="53">
        <v>2021</v>
      </c>
      <c r="C10" t="s" s="7">
        <v>10060</v>
      </c>
      <c r="D10" t="s" s="7">
        <v>10068</v>
      </c>
      <c r="E10" t="s" s="7">
        <v>10062</v>
      </c>
      <c r="F10" s="53">
        <v>2</v>
      </c>
      <c r="G10" s="8"/>
      <c r="H10" s="8"/>
      <c r="I10" s="8"/>
      <c r="J10" s="8"/>
      <c r="K10" s="8"/>
      <c r="L10" s="8"/>
      <c r="M10" s="8"/>
      <c r="N10" s="8"/>
      <c r="O10" s="8"/>
      <c r="P10" s="8"/>
      <c r="Q10" s="8"/>
      <c r="R10" s="8"/>
      <c r="S10" s="8"/>
      <c r="T10" s="8"/>
      <c r="U10" s="8"/>
      <c r="V10" s="8"/>
      <c r="W10" s="8"/>
      <c r="X10" s="8"/>
      <c r="Y10" s="8"/>
      <c r="Z10" s="8"/>
    </row>
    <row r="11" ht="13.65" customHeight="1">
      <c r="A11" s="52">
        <v>44470</v>
      </c>
      <c r="B11" s="53">
        <v>2021</v>
      </c>
      <c r="C11" t="s" s="7">
        <v>10060</v>
      </c>
      <c r="D11" t="s" s="7">
        <v>10069</v>
      </c>
      <c r="E11" t="s" s="7">
        <v>10070</v>
      </c>
      <c r="F11" s="53">
        <v>1</v>
      </c>
      <c r="G11" s="8"/>
      <c r="H11" s="8"/>
      <c r="I11" s="8"/>
      <c r="J11" s="8"/>
      <c r="K11" s="8"/>
      <c r="L11" s="8"/>
      <c r="M11" s="8"/>
      <c r="N11" s="8"/>
      <c r="O11" s="8"/>
      <c r="P11" s="8"/>
      <c r="Q11" s="8"/>
      <c r="R11" s="8"/>
      <c r="S11" s="8"/>
      <c r="T11" s="8"/>
      <c r="U11" s="8"/>
      <c r="V11" s="8"/>
      <c r="W11" s="8"/>
      <c r="X11" s="8"/>
      <c r="Y11" s="8"/>
      <c r="Z11" s="8"/>
    </row>
    <row r="12" ht="13.65" customHeight="1">
      <c r="A12" s="52">
        <v>44531</v>
      </c>
      <c r="B12" s="53">
        <v>2021</v>
      </c>
      <c r="C12" t="s" s="7">
        <v>10060</v>
      </c>
      <c r="D12" t="s" s="7">
        <v>10071</v>
      </c>
      <c r="E12" t="s" s="7">
        <v>10070</v>
      </c>
      <c r="F12" s="53">
        <v>1</v>
      </c>
      <c r="G12" s="8"/>
      <c r="H12" s="8"/>
      <c r="I12" s="8"/>
      <c r="J12" s="8"/>
      <c r="K12" s="8"/>
      <c r="L12" s="8"/>
      <c r="M12" s="8"/>
      <c r="N12" s="8"/>
      <c r="O12" s="8"/>
      <c r="P12" s="8"/>
      <c r="Q12" s="8"/>
      <c r="R12" s="8"/>
      <c r="S12" s="8"/>
      <c r="T12" s="8"/>
      <c r="U12" s="8"/>
      <c r="V12" s="8"/>
      <c r="W12" s="8"/>
      <c r="X12" s="8"/>
      <c r="Y12" s="8"/>
      <c r="Z12" s="8"/>
    </row>
    <row r="13" ht="13.65" customHeight="1">
      <c r="A13" s="52">
        <v>44621</v>
      </c>
      <c r="B13" s="53">
        <v>2022</v>
      </c>
      <c r="C13" t="s" s="7">
        <v>10060</v>
      </c>
      <c r="D13" t="s" s="7">
        <v>10072</v>
      </c>
      <c r="E13" t="s" s="7">
        <v>10070</v>
      </c>
      <c r="F13" s="53">
        <v>1</v>
      </c>
      <c r="G13" s="8"/>
      <c r="H13" s="8"/>
      <c r="I13" s="8"/>
      <c r="J13" s="8"/>
      <c r="K13" s="8"/>
      <c r="L13" s="8"/>
      <c r="M13" s="8"/>
      <c r="N13" s="8"/>
      <c r="O13" s="8"/>
      <c r="P13" s="8"/>
      <c r="Q13" s="8"/>
      <c r="R13" s="8"/>
      <c r="S13" s="8"/>
      <c r="T13" s="8"/>
      <c r="U13" s="8"/>
      <c r="V13" s="8"/>
      <c r="W13" s="8"/>
      <c r="X13" s="8"/>
      <c r="Y13" s="8"/>
      <c r="Z13" s="8"/>
    </row>
    <row r="14" ht="13.6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3.65" customHeight="1">
      <c r="A15" s="8"/>
      <c r="B15" s="8"/>
      <c r="C15" s="8"/>
      <c r="D15" s="8"/>
      <c r="E15" t="s" s="7">
        <v>10073</v>
      </c>
      <c r="F15" s="53" cm="1">
        <f t="array" ref="F15">AVERAGE(F4:F13)</f>
        <v>1.7</v>
      </c>
      <c r="G15" s="8"/>
      <c r="H15" s="8"/>
      <c r="I15" s="8"/>
      <c r="J15" s="8"/>
      <c r="K15" s="8"/>
      <c r="L15" s="8"/>
      <c r="M15" s="8"/>
      <c r="N15" s="8"/>
      <c r="O15" s="8"/>
      <c r="P15" s="8"/>
      <c r="Q15" s="8"/>
      <c r="R15" s="8"/>
      <c r="S15" s="8"/>
      <c r="T15" s="8"/>
      <c r="U15" s="8"/>
      <c r="V15" s="8"/>
      <c r="W15" s="8"/>
      <c r="X15" s="8"/>
      <c r="Y15" s="8"/>
      <c r="Z15" s="8"/>
    </row>
    <row r="16" ht="13.6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3.65" customHeight="1">
      <c r="A17" t="s" s="7">
        <v>277</v>
      </c>
      <c r="B17" s="8"/>
      <c r="C17" s="8"/>
      <c r="D17" s="8"/>
      <c r="E17" s="8"/>
      <c r="F17" s="8"/>
      <c r="G17" s="8"/>
      <c r="H17" s="8"/>
      <c r="I17" s="8"/>
      <c r="J17" s="8"/>
      <c r="K17" s="8"/>
      <c r="L17" s="8"/>
      <c r="M17" s="8"/>
      <c r="N17" s="8"/>
      <c r="O17" s="8"/>
      <c r="P17" s="8"/>
      <c r="Q17" s="8"/>
      <c r="R17" s="8"/>
      <c r="S17" s="8"/>
      <c r="T17" s="8"/>
      <c r="U17" s="8"/>
      <c r="V17" s="8"/>
      <c r="W17" s="8"/>
      <c r="X17" s="8"/>
      <c r="Y17" s="8"/>
      <c r="Z17" s="8"/>
    </row>
    <row r="18" ht="13.65" customHeight="1">
      <c r="A18" t="s" s="51">
        <v>10074</v>
      </c>
      <c r="B18" t="s" s="51">
        <v>1281</v>
      </c>
      <c r="C18" t="s" s="51">
        <v>10055</v>
      </c>
      <c r="D18" t="s" s="51">
        <v>10057</v>
      </c>
      <c r="E18" t="s" s="51">
        <v>10075</v>
      </c>
      <c r="F18" t="s" s="51">
        <v>10058</v>
      </c>
      <c r="G18" t="s" s="51">
        <v>10059</v>
      </c>
      <c r="H18" s="8"/>
      <c r="I18" s="8"/>
      <c r="J18" s="8"/>
      <c r="K18" s="8"/>
      <c r="L18" s="8"/>
      <c r="M18" s="8"/>
      <c r="N18" s="8"/>
      <c r="O18" s="8"/>
      <c r="P18" s="8"/>
      <c r="Q18" s="8"/>
      <c r="R18" s="8"/>
      <c r="S18" s="8"/>
      <c r="T18" s="8"/>
      <c r="U18" s="8"/>
      <c r="V18" s="8"/>
      <c r="W18" s="8"/>
      <c r="X18" s="8"/>
      <c r="Y18" s="8"/>
      <c r="Z18" s="8"/>
    </row>
    <row r="19" ht="13.65" customHeight="1">
      <c r="A19" s="53">
        <v>1</v>
      </c>
      <c r="B19" s="52">
        <v>44652</v>
      </c>
      <c r="C19" s="53">
        <v>2022</v>
      </c>
      <c r="D19" t="s" s="7">
        <v>10076</v>
      </c>
      <c r="E19" t="s" s="7">
        <v>10077</v>
      </c>
      <c r="F19" t="s" s="7">
        <v>10070</v>
      </c>
      <c r="G19" s="53" cm="1">
        <f t="array" ref="G19">1</f>
        <v>1</v>
      </c>
      <c r="H19" s="8"/>
      <c r="I19" s="8"/>
      <c r="J19" s="8"/>
      <c r="K19" s="8"/>
      <c r="L19" s="8"/>
      <c r="M19" s="8"/>
      <c r="N19" s="8"/>
      <c r="O19" s="8"/>
      <c r="P19" s="8"/>
      <c r="Q19" s="8"/>
      <c r="R19" s="8"/>
      <c r="S19" s="8"/>
      <c r="T19" s="8"/>
      <c r="U19" s="8"/>
      <c r="V19" s="8"/>
      <c r="W19" s="8"/>
      <c r="X19" s="8"/>
      <c r="Y19" s="8"/>
      <c r="Z19" s="8"/>
    </row>
    <row r="20" ht="18" customHeight="1">
      <c r="A20" s="53">
        <v>2</v>
      </c>
      <c r="B20" s="54">
        <v>44682</v>
      </c>
      <c r="C20" s="53">
        <v>2022</v>
      </c>
      <c r="D20" t="s" s="7">
        <v>10078</v>
      </c>
      <c r="E20" t="s" s="7">
        <v>10077</v>
      </c>
      <c r="F20" t="s" s="7">
        <v>10062</v>
      </c>
      <c r="G20" s="53" cm="1">
        <f t="array" ref="G20">2</f>
        <v>2</v>
      </c>
      <c r="H20" s="8"/>
      <c r="I20" s="8"/>
      <c r="J20" s="8"/>
      <c r="K20" s="8"/>
      <c r="L20" s="8"/>
      <c r="M20" s="8"/>
      <c r="N20" s="8"/>
      <c r="O20" s="8"/>
      <c r="P20" s="8"/>
      <c r="Q20" s="8"/>
      <c r="R20" s="8"/>
      <c r="S20" s="8"/>
      <c r="T20" s="8"/>
      <c r="U20" s="8"/>
      <c r="V20" s="8"/>
      <c r="W20" s="8"/>
      <c r="X20" s="8"/>
      <c r="Y20" s="8"/>
      <c r="Z20" s="8"/>
    </row>
    <row r="21" ht="13.65" customHeight="1">
      <c r="A21" s="53">
        <v>3</v>
      </c>
      <c r="B21" s="52">
        <v>44713</v>
      </c>
      <c r="C21" s="53">
        <v>2022</v>
      </c>
      <c r="D21" t="s" s="7">
        <v>10079</v>
      </c>
      <c r="E21" t="s" s="7">
        <v>10080</v>
      </c>
      <c r="F21" t="s" s="7">
        <v>10062</v>
      </c>
      <c r="G21" s="53" cm="1">
        <f t="array" ref="G21">2</f>
        <v>2</v>
      </c>
      <c r="H21" s="8"/>
      <c r="I21" s="8"/>
      <c r="J21" s="8"/>
      <c r="K21" s="8"/>
      <c r="L21" s="8"/>
      <c r="M21" s="8"/>
      <c r="N21" s="8"/>
      <c r="O21" s="8"/>
      <c r="P21" s="8"/>
      <c r="Q21" s="8"/>
      <c r="R21" s="8"/>
      <c r="S21" s="8"/>
      <c r="T21" s="8"/>
      <c r="U21" s="8"/>
      <c r="V21" s="8"/>
      <c r="W21" s="8"/>
      <c r="X21" s="8"/>
      <c r="Y21" s="8"/>
      <c r="Z21" s="8"/>
    </row>
    <row r="22" ht="13.65" customHeight="1">
      <c r="A22" s="53">
        <v>4</v>
      </c>
      <c r="B22" s="52">
        <v>44743</v>
      </c>
      <c r="C22" s="53">
        <v>2022</v>
      </c>
      <c r="D22" t="s" s="7">
        <v>10081</v>
      </c>
      <c r="E22" t="s" s="7">
        <v>10077</v>
      </c>
      <c r="F22" t="s" s="7">
        <v>10070</v>
      </c>
      <c r="G22" s="53" cm="1">
        <f t="array" ref="G22">1</f>
        <v>1</v>
      </c>
      <c r="H22" s="8"/>
      <c r="I22" s="8"/>
      <c r="J22" s="8"/>
      <c r="K22" s="8"/>
      <c r="L22" s="8"/>
      <c r="M22" s="8"/>
      <c r="N22" s="8"/>
      <c r="O22" s="8"/>
      <c r="P22" s="8"/>
      <c r="Q22" s="8"/>
      <c r="R22" s="8"/>
      <c r="S22" s="8"/>
      <c r="T22" s="8"/>
      <c r="U22" s="8"/>
      <c r="V22" s="8"/>
      <c r="W22" s="8"/>
      <c r="X22" s="8"/>
      <c r="Y22" s="8"/>
      <c r="Z22" s="8"/>
    </row>
    <row r="23" ht="13.65" customHeight="1">
      <c r="A23" s="53">
        <v>5</v>
      </c>
      <c r="B23" s="52">
        <v>44774</v>
      </c>
      <c r="C23" s="53">
        <v>2022</v>
      </c>
      <c r="D23" t="s" s="7">
        <v>10082</v>
      </c>
      <c r="E23" t="s" s="7">
        <v>10083</v>
      </c>
      <c r="F23" t="s" s="7">
        <v>10070</v>
      </c>
      <c r="G23" s="53" cm="1">
        <f t="array" ref="G23">1</f>
        <v>1</v>
      </c>
      <c r="H23" s="8"/>
      <c r="I23" s="8"/>
      <c r="J23" s="8"/>
      <c r="K23" s="8"/>
      <c r="L23" s="8"/>
      <c r="M23" s="8"/>
      <c r="N23" s="8"/>
      <c r="O23" s="8"/>
      <c r="P23" s="8"/>
      <c r="Q23" s="8"/>
      <c r="R23" s="8"/>
      <c r="S23" s="8"/>
      <c r="T23" s="8"/>
      <c r="U23" s="8"/>
      <c r="V23" s="8"/>
      <c r="W23" s="8"/>
      <c r="X23" s="8"/>
      <c r="Y23" s="8"/>
      <c r="Z23" s="8"/>
    </row>
    <row r="24" ht="13.65" customHeight="1">
      <c r="A24" s="53">
        <v>6</v>
      </c>
      <c r="B24" s="52">
        <v>44835</v>
      </c>
      <c r="C24" s="53">
        <v>2022</v>
      </c>
      <c r="D24" t="s" s="7">
        <v>10084</v>
      </c>
      <c r="E24" t="s" s="7">
        <v>10077</v>
      </c>
      <c r="F24" t="s" s="7">
        <v>10062</v>
      </c>
      <c r="G24" s="53" cm="1">
        <f t="array" ref="G24">2</f>
        <v>2</v>
      </c>
      <c r="H24" s="8"/>
      <c r="I24" s="8"/>
      <c r="J24" s="8"/>
      <c r="K24" s="8"/>
      <c r="L24" s="8"/>
      <c r="M24" s="8"/>
      <c r="N24" s="8"/>
      <c r="O24" s="8"/>
      <c r="P24" s="8"/>
      <c r="Q24" s="8"/>
      <c r="R24" s="8"/>
      <c r="S24" s="8"/>
      <c r="T24" s="8"/>
      <c r="U24" s="8"/>
      <c r="V24" s="8"/>
      <c r="W24" s="8"/>
      <c r="X24" s="8"/>
      <c r="Y24" s="8"/>
      <c r="Z24" s="8"/>
    </row>
    <row r="25" ht="13.65" customHeight="1">
      <c r="A25" s="53">
        <v>7</v>
      </c>
      <c r="B25" s="52">
        <v>44866</v>
      </c>
      <c r="C25" s="53">
        <v>2022</v>
      </c>
      <c r="D25" t="s" s="7">
        <v>10085</v>
      </c>
      <c r="E25" t="s" s="7">
        <v>10086</v>
      </c>
      <c r="F25" t="s" s="7">
        <v>10070</v>
      </c>
      <c r="G25" s="53" cm="1">
        <f t="array" ref="G25">1</f>
        <v>1</v>
      </c>
      <c r="H25" s="8"/>
      <c r="I25" s="8"/>
      <c r="J25" s="8"/>
      <c r="K25" s="8"/>
      <c r="L25" s="8"/>
      <c r="M25" s="8"/>
      <c r="N25" s="8"/>
      <c r="O25" s="8"/>
      <c r="P25" s="8"/>
      <c r="Q25" s="8"/>
      <c r="R25" s="8"/>
      <c r="S25" s="8"/>
      <c r="T25" s="8"/>
      <c r="U25" s="8"/>
      <c r="V25" s="8"/>
      <c r="W25" s="8"/>
      <c r="X25" s="8"/>
      <c r="Y25" s="8"/>
      <c r="Z25" s="8"/>
    </row>
    <row r="26" ht="13.65" customHeight="1">
      <c r="A26" s="53">
        <v>8</v>
      </c>
      <c r="B26" s="52">
        <v>44896</v>
      </c>
      <c r="C26" s="53">
        <v>2022</v>
      </c>
      <c r="D26" t="s" s="7">
        <v>10087</v>
      </c>
      <c r="E26" t="s" s="7">
        <v>10077</v>
      </c>
      <c r="F26" t="s" s="7">
        <v>10070</v>
      </c>
      <c r="G26" s="53" cm="1">
        <f t="array" ref="G26">1</f>
        <v>1</v>
      </c>
      <c r="H26" s="8"/>
      <c r="I26" s="8"/>
      <c r="J26" s="8"/>
      <c r="K26" s="8"/>
      <c r="L26" s="8"/>
      <c r="M26" s="8"/>
      <c r="N26" s="8"/>
      <c r="O26" s="8"/>
      <c r="P26" s="8"/>
      <c r="Q26" s="8"/>
      <c r="R26" s="8"/>
      <c r="S26" s="8"/>
      <c r="T26" s="8"/>
      <c r="U26" s="8"/>
      <c r="V26" s="8"/>
      <c r="W26" s="8"/>
      <c r="X26" s="8"/>
      <c r="Y26" s="8"/>
      <c r="Z26" s="8"/>
    </row>
    <row r="27" ht="13.65" customHeight="1">
      <c r="A27" s="53">
        <v>9</v>
      </c>
      <c r="B27" s="52">
        <v>44927</v>
      </c>
      <c r="C27" s="53">
        <v>2023</v>
      </c>
      <c r="D27" t="s" s="7">
        <v>10088</v>
      </c>
      <c r="E27" t="s" s="7">
        <v>10077</v>
      </c>
      <c r="F27" t="s" s="7">
        <v>10070</v>
      </c>
      <c r="G27" s="53" cm="1">
        <f t="array" ref="G27">1</f>
        <v>1</v>
      </c>
      <c r="H27" s="8"/>
      <c r="I27" s="8"/>
      <c r="J27" s="8"/>
      <c r="K27" s="8"/>
      <c r="L27" s="8"/>
      <c r="M27" s="8"/>
      <c r="N27" s="8"/>
      <c r="O27" s="8"/>
      <c r="P27" s="8"/>
      <c r="Q27" s="8"/>
      <c r="R27" s="8"/>
      <c r="S27" s="8"/>
      <c r="T27" s="8"/>
      <c r="U27" s="8"/>
      <c r="V27" s="8"/>
      <c r="W27" s="8"/>
      <c r="X27" s="8"/>
      <c r="Y27" s="8"/>
      <c r="Z27" s="8"/>
    </row>
    <row r="28" ht="13.65" customHeight="1">
      <c r="A28" s="53">
        <v>10</v>
      </c>
      <c r="B28" s="52">
        <v>44986</v>
      </c>
      <c r="C28" s="53">
        <v>2023</v>
      </c>
      <c r="D28" t="s" s="7">
        <v>10089</v>
      </c>
      <c r="E28" t="s" s="7">
        <v>10090</v>
      </c>
      <c r="F28" t="s" s="7">
        <v>10070</v>
      </c>
      <c r="G28" s="53" cm="1">
        <f t="array" ref="G28">1</f>
        <v>1</v>
      </c>
      <c r="H28" s="8"/>
      <c r="I28" s="8"/>
      <c r="J28" s="8"/>
      <c r="K28" s="8"/>
      <c r="L28" s="8"/>
      <c r="M28" s="8"/>
      <c r="N28" s="8"/>
      <c r="O28" s="8"/>
      <c r="P28" s="8"/>
      <c r="Q28" s="8"/>
      <c r="R28" s="8"/>
      <c r="S28" s="8"/>
      <c r="T28" s="8"/>
      <c r="U28" s="8"/>
      <c r="V28" s="8"/>
      <c r="W28" s="8"/>
      <c r="X28" s="8"/>
      <c r="Y28" s="8"/>
      <c r="Z28" s="8"/>
    </row>
    <row r="29" ht="13.6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3.65" customHeight="1">
      <c r="A30" s="8"/>
      <c r="B30" s="8"/>
      <c r="C30" s="8"/>
      <c r="D30" s="8"/>
      <c r="E30" s="8"/>
      <c r="F30" t="s" s="7">
        <v>10091</v>
      </c>
      <c r="G30" s="53" cm="1">
        <f t="array" ref="G30">AVERAGE(G19:G28)</f>
        <v>1.3</v>
      </c>
      <c r="H30" s="8"/>
      <c r="I30" s="8"/>
      <c r="J30" s="8"/>
      <c r="K30" s="8"/>
      <c r="L30" s="8"/>
      <c r="M30" s="8"/>
      <c r="N30" s="8"/>
      <c r="O30" s="8"/>
      <c r="P30" s="8"/>
      <c r="Q30" s="8"/>
      <c r="R30" s="8"/>
      <c r="S30" s="8"/>
      <c r="T30" s="8"/>
      <c r="U30" s="8"/>
      <c r="V30" s="8"/>
      <c r="W30" s="8"/>
      <c r="X30" s="8"/>
      <c r="Y30" s="8"/>
      <c r="Z30" s="8"/>
    </row>
    <row r="31" ht="13.6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3.65" customHeight="1">
      <c r="A32" t="s" s="7">
        <v>529</v>
      </c>
      <c r="B32" s="8"/>
      <c r="C32" s="8"/>
      <c r="D32" s="8"/>
      <c r="E32" s="8"/>
      <c r="F32" s="8"/>
      <c r="G32" s="8"/>
      <c r="H32" s="8"/>
      <c r="I32" s="8"/>
      <c r="J32" s="8"/>
      <c r="K32" s="8"/>
      <c r="L32" s="8"/>
      <c r="M32" s="8"/>
      <c r="N32" s="8"/>
      <c r="O32" s="8"/>
      <c r="P32" s="8"/>
      <c r="Q32" s="8"/>
      <c r="R32" s="8"/>
      <c r="S32" s="8"/>
      <c r="T32" s="8"/>
      <c r="U32" s="8"/>
      <c r="V32" s="8"/>
      <c r="W32" s="8"/>
      <c r="X32" s="8"/>
      <c r="Y32" s="8"/>
      <c r="Z32" s="8"/>
    </row>
    <row r="33" ht="13.65" customHeight="1">
      <c r="A33" t="s" s="51">
        <v>10074</v>
      </c>
      <c r="B33" t="s" s="51">
        <v>1281</v>
      </c>
      <c r="C33" t="s" s="51">
        <v>10055</v>
      </c>
      <c r="D33" t="s" s="51">
        <v>10056</v>
      </c>
      <c r="E33" t="s" s="51">
        <v>10057</v>
      </c>
      <c r="F33" t="s" s="51">
        <v>10075</v>
      </c>
      <c r="G33" t="s" s="51">
        <v>10058</v>
      </c>
      <c r="H33" t="s" s="51">
        <v>10059</v>
      </c>
      <c r="I33" s="8"/>
      <c r="J33" s="8"/>
      <c r="K33" s="8"/>
      <c r="L33" s="8"/>
      <c r="M33" s="8"/>
      <c r="N33" s="8"/>
      <c r="O33" s="8"/>
      <c r="P33" s="8"/>
      <c r="Q33" s="8"/>
      <c r="R33" s="8"/>
      <c r="S33" s="8"/>
      <c r="T33" s="8"/>
      <c r="U33" s="8"/>
      <c r="V33" s="8"/>
      <c r="W33" s="8"/>
      <c r="X33" s="8"/>
      <c r="Y33" s="8"/>
      <c r="Z33" s="8"/>
    </row>
    <row r="34" ht="13.65" customHeight="1">
      <c r="A34" s="53">
        <v>1</v>
      </c>
      <c r="B34" s="52">
        <v>45017</v>
      </c>
      <c r="C34" s="53">
        <v>2023</v>
      </c>
      <c r="D34" t="s" s="7">
        <v>10060</v>
      </c>
      <c r="E34" t="s" s="7">
        <v>10092</v>
      </c>
      <c r="F34" t="s" s="7">
        <v>10077</v>
      </c>
      <c r="G34" t="s" s="7">
        <v>10070</v>
      </c>
      <c r="H34" s="53" cm="1">
        <f t="array" ref="H34">1</f>
        <v>1</v>
      </c>
      <c r="I34" s="8"/>
      <c r="J34" s="8"/>
      <c r="K34" s="8"/>
      <c r="L34" s="8"/>
      <c r="M34" s="8"/>
      <c r="N34" s="8"/>
      <c r="O34" s="8"/>
      <c r="P34" s="8"/>
      <c r="Q34" s="8"/>
      <c r="R34" s="8"/>
      <c r="S34" s="8"/>
      <c r="T34" s="8"/>
      <c r="U34" s="8"/>
      <c r="V34" s="8"/>
      <c r="W34" s="8"/>
      <c r="X34" s="8"/>
      <c r="Y34" s="8"/>
      <c r="Z34" s="8"/>
    </row>
    <row r="35" ht="13.65" customHeight="1">
      <c r="A35" s="53">
        <v>2</v>
      </c>
      <c r="B35" s="52">
        <v>45108</v>
      </c>
      <c r="C35" s="53">
        <v>2023</v>
      </c>
      <c r="D35" t="s" s="7">
        <v>10060</v>
      </c>
      <c r="E35" t="s" s="7">
        <v>10093</v>
      </c>
      <c r="F35" t="s" s="7">
        <v>10077</v>
      </c>
      <c r="G35" t="s" s="7">
        <v>10070</v>
      </c>
      <c r="H35" s="53" cm="1">
        <f t="array" ref="H35">1</f>
        <v>1</v>
      </c>
      <c r="I35" s="8"/>
      <c r="J35" s="8"/>
      <c r="K35" s="8"/>
      <c r="L35" s="8"/>
      <c r="M35" s="8"/>
      <c r="N35" s="8"/>
      <c r="O35" s="8"/>
      <c r="P35" s="8"/>
      <c r="Q35" s="8"/>
      <c r="R35" s="8"/>
      <c r="S35" s="8"/>
      <c r="T35" s="8"/>
      <c r="U35" s="8"/>
      <c r="V35" s="8"/>
      <c r="W35" s="8"/>
      <c r="X35" s="8"/>
      <c r="Y35" s="8"/>
      <c r="Z35" s="8"/>
    </row>
    <row r="36" ht="13.65" customHeight="1">
      <c r="A36" s="53">
        <v>3</v>
      </c>
      <c r="B36" s="52">
        <v>45108</v>
      </c>
      <c r="C36" s="53">
        <v>2023</v>
      </c>
      <c r="D36" t="s" s="7">
        <v>10060</v>
      </c>
      <c r="E36" t="s" s="7">
        <v>10094</v>
      </c>
      <c r="F36" t="s" s="7">
        <v>10077</v>
      </c>
      <c r="G36" t="s" s="7">
        <v>10070</v>
      </c>
      <c r="H36" s="53" cm="1">
        <f t="array" ref="H36">1</f>
        <v>1</v>
      </c>
      <c r="I36" s="8"/>
      <c r="J36" s="8"/>
      <c r="K36" s="8"/>
      <c r="L36" s="8"/>
      <c r="M36" s="8"/>
      <c r="N36" s="8"/>
      <c r="O36" s="8"/>
      <c r="P36" s="8"/>
      <c r="Q36" s="8"/>
      <c r="R36" s="8"/>
      <c r="S36" s="8"/>
      <c r="T36" s="8"/>
      <c r="U36" s="8"/>
      <c r="V36" s="8"/>
      <c r="W36" s="8"/>
      <c r="X36" s="8"/>
      <c r="Y36" s="8"/>
      <c r="Z36" s="8"/>
    </row>
    <row r="37" ht="13.65" customHeight="1">
      <c r="A37" s="53">
        <v>4</v>
      </c>
      <c r="B37" s="52">
        <v>45139</v>
      </c>
      <c r="C37" s="53">
        <v>2023</v>
      </c>
      <c r="D37" t="s" s="7">
        <v>10060</v>
      </c>
      <c r="E37" t="s" s="7">
        <v>10095</v>
      </c>
      <c r="F37" t="s" s="7">
        <v>10090</v>
      </c>
      <c r="G37" t="s" s="7">
        <v>10062</v>
      </c>
      <c r="H37" s="53" cm="1">
        <f t="array" ref="H37">2</f>
        <v>2</v>
      </c>
      <c r="I37" s="8"/>
      <c r="J37" s="8"/>
      <c r="K37" s="8"/>
      <c r="L37" s="8"/>
      <c r="M37" s="8"/>
      <c r="N37" s="8"/>
      <c r="O37" s="8"/>
      <c r="P37" s="8"/>
      <c r="Q37" s="8"/>
      <c r="R37" s="8"/>
      <c r="S37" s="8"/>
      <c r="T37" s="8"/>
      <c r="U37" s="8"/>
      <c r="V37" s="8"/>
      <c r="W37" s="8"/>
      <c r="X37" s="8"/>
      <c r="Y37" s="8"/>
      <c r="Z37" s="8"/>
    </row>
    <row r="38" ht="13.65" customHeight="1">
      <c r="A38" s="53">
        <v>5</v>
      </c>
      <c r="B38" s="52">
        <v>45200</v>
      </c>
      <c r="C38" s="53">
        <v>2023</v>
      </c>
      <c r="D38" t="s" s="7">
        <v>10060</v>
      </c>
      <c r="E38" t="s" s="7">
        <v>10096</v>
      </c>
      <c r="F38" t="s" s="7">
        <v>10077</v>
      </c>
      <c r="G38" t="s" s="7">
        <v>10062</v>
      </c>
      <c r="H38" s="53" cm="1">
        <f t="array" ref="H38">2</f>
        <v>2</v>
      </c>
      <c r="I38" s="8"/>
      <c r="J38" s="8"/>
      <c r="K38" s="8"/>
      <c r="L38" s="8"/>
      <c r="M38" s="8"/>
      <c r="N38" s="8"/>
      <c r="O38" s="8"/>
      <c r="P38" s="8"/>
      <c r="Q38" s="8"/>
      <c r="R38" s="8"/>
      <c r="S38" s="8"/>
      <c r="T38" s="8"/>
      <c r="U38" s="8"/>
      <c r="V38" s="8"/>
      <c r="W38" s="8"/>
      <c r="X38" s="8"/>
      <c r="Y38" s="8"/>
      <c r="Z38" s="8"/>
    </row>
    <row r="39" ht="13.65" customHeight="1">
      <c r="A39" s="53">
        <v>6</v>
      </c>
      <c r="B39" s="52">
        <v>45231</v>
      </c>
      <c r="C39" s="53">
        <v>2023</v>
      </c>
      <c r="D39" t="s" s="7">
        <v>10060</v>
      </c>
      <c r="E39" t="s" s="7">
        <v>10097</v>
      </c>
      <c r="F39" t="s" s="7">
        <v>10080</v>
      </c>
      <c r="G39" t="s" s="7">
        <v>10070</v>
      </c>
      <c r="H39" s="53" cm="1">
        <f t="array" ref="H39">1</f>
        <v>1</v>
      </c>
      <c r="I39" s="8"/>
      <c r="J39" s="8"/>
      <c r="K39" s="8"/>
      <c r="L39" s="8"/>
      <c r="M39" s="8"/>
      <c r="N39" s="8"/>
      <c r="O39" s="8"/>
      <c r="P39" s="8"/>
      <c r="Q39" s="8"/>
      <c r="R39" s="8"/>
      <c r="S39" s="8"/>
      <c r="T39" s="8"/>
      <c r="U39" s="8"/>
      <c r="V39" s="8"/>
      <c r="W39" s="8"/>
      <c r="X39" s="8"/>
      <c r="Y39" s="8"/>
      <c r="Z39" s="8"/>
    </row>
    <row r="40" ht="13.65" customHeight="1">
      <c r="A40" s="53">
        <v>7</v>
      </c>
      <c r="B40" s="52">
        <v>45292</v>
      </c>
      <c r="C40" s="53">
        <v>2024</v>
      </c>
      <c r="D40" t="s" s="7">
        <v>10060</v>
      </c>
      <c r="E40" t="s" s="7">
        <v>10098</v>
      </c>
      <c r="F40" t="s" s="7">
        <v>10077</v>
      </c>
      <c r="G40" t="s" s="7">
        <v>10062</v>
      </c>
      <c r="H40" s="53" cm="1">
        <f t="array" ref="H40">2</f>
        <v>2</v>
      </c>
      <c r="I40" s="8"/>
      <c r="J40" s="8"/>
      <c r="K40" s="8"/>
      <c r="L40" s="8"/>
      <c r="M40" s="8"/>
      <c r="N40" s="8"/>
      <c r="O40" s="8"/>
      <c r="P40" s="8"/>
      <c r="Q40" s="8"/>
      <c r="R40" s="8"/>
      <c r="S40" s="8"/>
      <c r="T40" s="8"/>
      <c r="U40" s="8"/>
      <c r="V40" s="8"/>
      <c r="W40" s="8"/>
      <c r="X40" s="8"/>
      <c r="Y40" s="8"/>
      <c r="Z40" s="8"/>
    </row>
    <row r="41" ht="13.65" customHeight="1">
      <c r="A41" s="53">
        <v>8</v>
      </c>
      <c r="B41" s="52">
        <v>45323</v>
      </c>
      <c r="C41" s="53">
        <v>2024</v>
      </c>
      <c r="D41" t="s" s="7">
        <v>10060</v>
      </c>
      <c r="E41" t="s" s="7">
        <v>10099</v>
      </c>
      <c r="F41" t="s" s="7">
        <v>10086</v>
      </c>
      <c r="G41" t="s" s="7">
        <v>10070</v>
      </c>
      <c r="H41" s="53" cm="1">
        <f t="array" ref="H41">1</f>
        <v>1</v>
      </c>
      <c r="I41" s="8"/>
      <c r="J41" s="8"/>
      <c r="K41" s="8"/>
      <c r="L41" s="8"/>
      <c r="M41" s="8"/>
      <c r="N41" s="8"/>
      <c r="O41" s="8"/>
      <c r="P41" s="8"/>
      <c r="Q41" s="8"/>
      <c r="R41" s="8"/>
      <c r="S41" s="8"/>
      <c r="T41" s="8"/>
      <c r="U41" s="8"/>
      <c r="V41" s="8"/>
      <c r="W41" s="8"/>
      <c r="X41" s="8"/>
      <c r="Y41" s="8"/>
      <c r="Z41" s="8"/>
    </row>
    <row r="42" ht="13.65" customHeight="1">
      <c r="A42" s="53">
        <v>9</v>
      </c>
      <c r="B42" s="52">
        <v>45352</v>
      </c>
      <c r="C42" s="53">
        <v>2024</v>
      </c>
      <c r="D42" t="s" s="7">
        <v>10060</v>
      </c>
      <c r="E42" t="s" s="7">
        <v>10100</v>
      </c>
      <c r="F42" t="s" s="7">
        <v>10083</v>
      </c>
      <c r="G42" t="s" s="7">
        <v>10070</v>
      </c>
      <c r="H42" s="53" cm="1">
        <f t="array" ref="H42">1</f>
        <v>1</v>
      </c>
      <c r="I42" s="8"/>
      <c r="J42" s="8"/>
      <c r="K42" s="8"/>
      <c r="L42" s="8"/>
      <c r="M42" s="8"/>
      <c r="N42" s="8"/>
      <c r="O42" s="8"/>
      <c r="P42" s="8"/>
      <c r="Q42" s="8"/>
      <c r="R42" s="8"/>
      <c r="S42" s="8"/>
      <c r="T42" s="8"/>
      <c r="U42" s="8"/>
      <c r="V42" s="8"/>
      <c r="W42" s="8"/>
      <c r="X42" s="8"/>
      <c r="Y42" s="8"/>
      <c r="Z42" s="8"/>
    </row>
    <row r="43" ht="13.65" customHeight="1">
      <c r="A43" s="53">
        <v>10</v>
      </c>
      <c r="B43" s="52">
        <v>45352</v>
      </c>
      <c r="C43" s="53">
        <v>2024</v>
      </c>
      <c r="D43" t="s" s="7">
        <v>10060</v>
      </c>
      <c r="E43" t="s" s="7">
        <v>10101</v>
      </c>
      <c r="F43" t="s" s="7">
        <v>10090</v>
      </c>
      <c r="G43" t="s" s="7">
        <v>10070</v>
      </c>
      <c r="H43" s="53" cm="1">
        <f t="array" ref="H43">1</f>
        <v>1</v>
      </c>
      <c r="I43" s="8"/>
      <c r="J43" s="8"/>
      <c r="K43" s="8"/>
      <c r="L43" s="8"/>
      <c r="M43" s="8"/>
      <c r="N43" s="8"/>
      <c r="O43" s="8"/>
      <c r="P43" s="8"/>
      <c r="Q43" s="8"/>
      <c r="R43" s="8"/>
      <c r="S43" s="8"/>
      <c r="T43" s="8"/>
      <c r="U43" s="8"/>
      <c r="V43" s="8"/>
      <c r="W43" s="8"/>
      <c r="X43" s="8"/>
      <c r="Y43" s="8"/>
      <c r="Z43" s="8"/>
    </row>
    <row r="44" ht="13.6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3.65" customHeight="1">
      <c r="A45" s="8"/>
      <c r="B45" s="8"/>
      <c r="C45" s="8"/>
      <c r="D45" s="8"/>
      <c r="E45" s="8"/>
      <c r="F45" s="8"/>
      <c r="G45" t="s" s="7">
        <v>10091</v>
      </c>
      <c r="H45" s="53" cm="1">
        <f t="array" ref="H45">AVERAGE(H34:H43)</f>
        <v>1.3</v>
      </c>
      <c r="I45" s="8"/>
      <c r="J45" s="8"/>
      <c r="K45" s="8"/>
      <c r="L45" s="8"/>
      <c r="M45" s="8"/>
      <c r="N45" s="8"/>
      <c r="O45" s="8"/>
      <c r="P45" s="8"/>
      <c r="Q45" s="8"/>
      <c r="R45" s="8"/>
      <c r="S45" s="8"/>
      <c r="T45" s="8"/>
      <c r="U45" s="8"/>
      <c r="V45" s="8"/>
      <c r="W45" s="8"/>
      <c r="X45" s="8"/>
      <c r="Y45" s="8"/>
      <c r="Z45" s="8"/>
    </row>
    <row r="46" ht="13.6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3.6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3.65" customHeight="1">
      <c r="A48" t="s" s="7">
        <v>778</v>
      </c>
      <c r="B48" s="8"/>
      <c r="C48" s="8"/>
      <c r="D48" s="8"/>
      <c r="E48" s="8"/>
      <c r="F48" s="8"/>
      <c r="G48" s="8"/>
      <c r="H48" s="8"/>
      <c r="I48" s="8"/>
      <c r="J48" s="8"/>
      <c r="K48" s="8"/>
      <c r="L48" s="8"/>
      <c r="M48" s="8"/>
      <c r="N48" s="8"/>
      <c r="O48" s="8"/>
      <c r="P48" s="8"/>
      <c r="Q48" s="8"/>
      <c r="R48" s="8"/>
      <c r="S48" s="8"/>
      <c r="T48" s="8"/>
      <c r="U48" s="8"/>
      <c r="V48" s="8"/>
      <c r="W48" s="8"/>
      <c r="X48" s="8"/>
      <c r="Y48" s="8"/>
      <c r="Z48" s="8"/>
    </row>
    <row r="49" ht="13.65" customHeight="1">
      <c r="A49" t="s" s="51">
        <v>10074</v>
      </c>
      <c r="B49" t="s" s="51">
        <v>1281</v>
      </c>
      <c r="C49" t="s" s="51">
        <v>10055</v>
      </c>
      <c r="D49" t="s" s="51">
        <v>10056</v>
      </c>
      <c r="E49" t="s" s="51">
        <v>10057</v>
      </c>
      <c r="F49" t="s" s="51">
        <v>10075</v>
      </c>
      <c r="G49" t="s" s="51">
        <v>10058</v>
      </c>
      <c r="H49" t="s" s="51">
        <v>10059</v>
      </c>
      <c r="I49" s="8"/>
      <c r="J49" s="8"/>
      <c r="K49" s="8"/>
      <c r="L49" s="8"/>
      <c r="M49" s="8"/>
      <c r="N49" s="8"/>
      <c r="O49" s="8"/>
      <c r="P49" s="8"/>
      <c r="Q49" s="8"/>
      <c r="R49" s="8"/>
      <c r="S49" s="8"/>
      <c r="T49" s="8"/>
      <c r="U49" s="8"/>
      <c r="V49" s="8"/>
      <c r="W49" s="8"/>
      <c r="X49" s="8"/>
      <c r="Y49" s="8"/>
      <c r="Z49" s="8"/>
    </row>
    <row r="50" ht="13.65" customHeight="1">
      <c r="A50" s="53">
        <v>1</v>
      </c>
      <c r="B50" s="52">
        <v>45383</v>
      </c>
      <c r="C50" s="53">
        <v>2024</v>
      </c>
      <c r="D50" t="s" s="7">
        <v>10060</v>
      </c>
      <c r="E50" t="s" s="7">
        <v>10102</v>
      </c>
      <c r="F50" t="s" s="7">
        <v>10077</v>
      </c>
      <c r="G50" t="s" s="7">
        <v>10062</v>
      </c>
      <c r="H50" s="53" cm="1">
        <f t="array" ref="H50">2</f>
        <v>2</v>
      </c>
      <c r="I50" s="8"/>
      <c r="J50" s="8"/>
      <c r="K50" s="8"/>
      <c r="L50" s="8"/>
      <c r="M50" s="8"/>
      <c r="N50" s="8"/>
      <c r="O50" s="8"/>
      <c r="P50" s="8"/>
      <c r="Q50" s="8"/>
      <c r="R50" s="8"/>
      <c r="S50" s="8"/>
      <c r="T50" s="8"/>
      <c r="U50" s="8"/>
      <c r="V50" s="8"/>
      <c r="W50" s="8"/>
      <c r="X50" s="8"/>
      <c r="Y50" s="8"/>
      <c r="Z50" s="8"/>
    </row>
    <row r="51" ht="13.65" customHeight="1">
      <c r="A51" s="53">
        <v>2</v>
      </c>
      <c r="B51" s="54">
        <v>45413</v>
      </c>
      <c r="C51" s="53">
        <v>2024</v>
      </c>
      <c r="D51" t="s" s="7">
        <v>10060</v>
      </c>
      <c r="E51" t="s" s="7">
        <v>10103</v>
      </c>
      <c r="F51" t="s" s="7">
        <v>10090</v>
      </c>
      <c r="G51" t="s" s="7">
        <v>10070</v>
      </c>
      <c r="H51" s="53" cm="1">
        <f t="array" ref="H51">1</f>
        <v>1</v>
      </c>
      <c r="I51" s="8"/>
      <c r="J51" s="8"/>
      <c r="K51" s="8"/>
      <c r="L51" s="8"/>
      <c r="M51" s="8"/>
      <c r="N51" s="8"/>
      <c r="O51" s="8"/>
      <c r="P51" s="8"/>
      <c r="Q51" s="8"/>
      <c r="R51" s="8"/>
      <c r="S51" s="8"/>
      <c r="T51" s="8"/>
      <c r="U51" s="8"/>
      <c r="V51" s="8"/>
      <c r="W51" s="8"/>
      <c r="X51" s="8"/>
      <c r="Y51" s="8"/>
      <c r="Z51" s="8"/>
    </row>
    <row r="52" ht="13.65" customHeight="1">
      <c r="A52" s="53">
        <v>3</v>
      </c>
      <c r="B52" s="52">
        <v>45444</v>
      </c>
      <c r="C52" s="53">
        <v>2024</v>
      </c>
      <c r="D52" t="s" s="7">
        <v>10060</v>
      </c>
      <c r="E52" t="s" s="7">
        <v>10104</v>
      </c>
      <c r="F52" t="s" s="7">
        <v>10083</v>
      </c>
      <c r="G52" t="s" s="7">
        <v>10070</v>
      </c>
      <c r="H52" s="53" cm="1">
        <f t="array" ref="H52">1</f>
        <v>1</v>
      </c>
      <c r="I52" s="8"/>
      <c r="J52" s="8"/>
      <c r="K52" s="8"/>
      <c r="L52" s="8"/>
      <c r="M52" s="8"/>
      <c r="N52" s="8"/>
      <c r="O52" s="8"/>
      <c r="P52" s="8"/>
      <c r="Q52" s="8"/>
      <c r="R52" s="8"/>
      <c r="S52" s="8"/>
      <c r="T52" s="8"/>
      <c r="U52" s="8"/>
      <c r="V52" s="8"/>
      <c r="W52" s="8"/>
      <c r="X52" s="8"/>
      <c r="Y52" s="8"/>
      <c r="Z52" s="8"/>
    </row>
    <row r="53" ht="13.65" customHeight="1">
      <c r="A53" s="53">
        <v>4</v>
      </c>
      <c r="B53" s="52">
        <v>45474</v>
      </c>
      <c r="C53" s="53">
        <v>2024</v>
      </c>
      <c r="D53" t="s" s="7">
        <v>10060</v>
      </c>
      <c r="E53" t="s" s="7">
        <v>10105</v>
      </c>
      <c r="F53" t="s" s="7">
        <v>10077</v>
      </c>
      <c r="G53" t="s" s="7">
        <v>10062</v>
      </c>
      <c r="H53" s="53" cm="1">
        <f t="array" ref="H53">2</f>
        <v>2</v>
      </c>
      <c r="I53" s="8"/>
      <c r="J53" s="8"/>
      <c r="K53" s="8"/>
      <c r="L53" s="8"/>
      <c r="M53" s="8"/>
      <c r="N53" s="8"/>
      <c r="O53" s="8"/>
      <c r="P53" s="8"/>
      <c r="Q53" s="8"/>
      <c r="R53" s="8"/>
      <c r="S53" s="8"/>
      <c r="T53" s="8"/>
      <c r="U53" s="8"/>
      <c r="V53" s="8"/>
      <c r="W53" s="8"/>
      <c r="X53" s="8"/>
      <c r="Y53" s="8"/>
      <c r="Z53" s="8"/>
    </row>
    <row r="54" ht="13.65" customHeight="1">
      <c r="A54" s="53">
        <v>5</v>
      </c>
      <c r="B54" s="52">
        <v>45505</v>
      </c>
      <c r="C54" s="53">
        <v>2024</v>
      </c>
      <c r="D54" t="s" s="7">
        <v>10060</v>
      </c>
      <c r="E54" t="s" s="7">
        <v>10106</v>
      </c>
      <c r="F54" t="s" s="7">
        <v>10077</v>
      </c>
      <c r="G54" t="s" s="7">
        <v>10062</v>
      </c>
      <c r="H54" s="53" cm="1">
        <f t="array" ref="H54">2</f>
        <v>2</v>
      </c>
      <c r="I54" s="8"/>
      <c r="J54" s="8"/>
      <c r="K54" s="8"/>
      <c r="L54" s="8"/>
      <c r="M54" s="8"/>
      <c r="N54" s="8"/>
      <c r="O54" s="8"/>
      <c r="P54" s="8"/>
      <c r="Q54" s="8"/>
      <c r="R54" s="8"/>
      <c r="S54" s="8"/>
      <c r="T54" s="8"/>
      <c r="U54" s="8"/>
      <c r="V54" s="8"/>
      <c r="W54" s="8"/>
      <c r="X54" s="8"/>
      <c r="Y54" s="8"/>
      <c r="Z54" s="8"/>
    </row>
    <row r="55" ht="13.65" customHeight="1">
      <c r="A55" s="53">
        <v>6</v>
      </c>
      <c r="B55" s="52">
        <v>45536</v>
      </c>
      <c r="C55" s="53">
        <v>2024</v>
      </c>
      <c r="D55" t="s" s="7">
        <v>10060</v>
      </c>
      <c r="E55" t="s" s="7">
        <v>10107</v>
      </c>
      <c r="F55" t="s" s="7">
        <v>10077</v>
      </c>
      <c r="G55" t="s" s="7">
        <v>10062</v>
      </c>
      <c r="H55" s="53" cm="1">
        <f t="array" ref="H55">2</f>
        <v>2</v>
      </c>
      <c r="I55" s="8"/>
      <c r="J55" s="8"/>
      <c r="K55" s="8"/>
      <c r="L55" s="8"/>
      <c r="M55" s="8"/>
      <c r="N55" s="8"/>
      <c r="O55" s="8"/>
      <c r="P55" s="8"/>
      <c r="Q55" s="8"/>
      <c r="R55" s="8"/>
      <c r="S55" s="8"/>
      <c r="T55" s="8"/>
      <c r="U55" s="8"/>
      <c r="V55" s="8"/>
      <c r="W55" s="8"/>
      <c r="X55" s="8"/>
      <c r="Y55" s="8"/>
      <c r="Z55" s="8"/>
    </row>
    <row r="56" ht="13.65" customHeight="1">
      <c r="A56" s="53">
        <v>7</v>
      </c>
      <c r="B56" s="52">
        <v>45566</v>
      </c>
      <c r="C56" s="53">
        <v>2024</v>
      </c>
      <c r="D56" t="s" s="7">
        <v>10060</v>
      </c>
      <c r="E56" t="s" s="7">
        <v>10108</v>
      </c>
      <c r="F56" t="s" s="7">
        <v>10080</v>
      </c>
      <c r="G56" t="s" s="7">
        <v>10070</v>
      </c>
      <c r="H56" s="53" cm="1">
        <f t="array" ref="H56">1</f>
        <v>1</v>
      </c>
      <c r="I56" s="8"/>
      <c r="J56" s="8"/>
      <c r="K56" s="8"/>
      <c r="L56" s="8"/>
      <c r="M56" s="8"/>
      <c r="N56" s="8"/>
      <c r="O56" s="8"/>
      <c r="P56" s="8"/>
      <c r="Q56" s="8"/>
      <c r="R56" s="8"/>
      <c r="S56" s="8"/>
      <c r="T56" s="8"/>
      <c r="U56" s="8"/>
      <c r="V56" s="8"/>
      <c r="W56" s="8"/>
      <c r="X56" s="8"/>
      <c r="Y56" s="8"/>
      <c r="Z56" s="8"/>
    </row>
    <row r="57" ht="13.65" customHeight="1">
      <c r="A57" s="53">
        <v>8</v>
      </c>
      <c r="B57" s="52">
        <v>45627</v>
      </c>
      <c r="C57" s="53">
        <v>2024</v>
      </c>
      <c r="D57" t="s" s="7">
        <v>10060</v>
      </c>
      <c r="E57" t="s" s="7">
        <v>10109</v>
      </c>
      <c r="F57" t="s" s="7">
        <v>10086</v>
      </c>
      <c r="G57" t="s" s="7">
        <v>10070</v>
      </c>
      <c r="H57" s="53" cm="1">
        <f t="array" ref="H57">1</f>
        <v>1</v>
      </c>
      <c r="I57" s="8"/>
      <c r="J57" s="8"/>
      <c r="K57" s="8"/>
      <c r="L57" s="8"/>
      <c r="M57" s="8"/>
      <c r="N57" s="8"/>
      <c r="O57" s="8"/>
      <c r="P57" s="8"/>
      <c r="Q57" s="8"/>
      <c r="R57" s="8"/>
      <c r="S57" s="8"/>
      <c r="T57" s="8"/>
      <c r="U57" s="8"/>
      <c r="V57" s="8"/>
      <c r="W57" s="8"/>
      <c r="X57" s="8"/>
      <c r="Y57" s="8"/>
      <c r="Z57" s="8"/>
    </row>
    <row r="58" ht="13.65" customHeight="1">
      <c r="A58" s="53">
        <v>9</v>
      </c>
      <c r="B58" s="52">
        <v>45658</v>
      </c>
      <c r="C58" s="53">
        <v>2025</v>
      </c>
      <c r="D58" t="s" s="7">
        <v>10060</v>
      </c>
      <c r="E58" t="s" s="7">
        <v>10110</v>
      </c>
      <c r="F58" t="s" s="7">
        <v>10090</v>
      </c>
      <c r="G58" t="s" s="7">
        <v>10070</v>
      </c>
      <c r="H58" s="53" cm="1">
        <f t="array" ref="H58">1</f>
        <v>1</v>
      </c>
      <c r="I58" s="8"/>
      <c r="J58" s="8"/>
      <c r="K58" s="8"/>
      <c r="L58" s="8"/>
      <c r="M58" s="8"/>
      <c r="N58" s="8"/>
      <c r="O58" s="8"/>
      <c r="P58" s="8"/>
      <c r="Q58" s="8"/>
      <c r="R58" s="8"/>
      <c r="S58" s="8"/>
      <c r="T58" s="8"/>
      <c r="U58" s="8"/>
      <c r="V58" s="8"/>
      <c r="W58" s="8"/>
      <c r="X58" s="8"/>
      <c r="Y58" s="8"/>
      <c r="Z58" s="8"/>
    </row>
    <row r="59" ht="13.65" customHeight="1">
      <c r="A59" s="53">
        <v>10</v>
      </c>
      <c r="B59" s="52">
        <v>45717</v>
      </c>
      <c r="C59" s="53">
        <v>2025</v>
      </c>
      <c r="D59" t="s" s="7">
        <v>10060</v>
      </c>
      <c r="E59" t="s" s="7">
        <v>10111</v>
      </c>
      <c r="F59" t="s" s="7">
        <v>10083</v>
      </c>
      <c r="G59" t="s" s="7">
        <v>10070</v>
      </c>
      <c r="H59" s="53" cm="1">
        <f t="array" ref="H59">1</f>
        <v>1</v>
      </c>
      <c r="I59" s="8"/>
      <c r="J59" s="8"/>
      <c r="K59" s="8"/>
      <c r="L59" s="8"/>
      <c r="M59" s="8"/>
      <c r="N59" s="8"/>
      <c r="O59" s="8"/>
      <c r="P59" s="8"/>
      <c r="Q59" s="8"/>
      <c r="R59" s="8"/>
      <c r="S59" s="8"/>
      <c r="T59" s="8"/>
      <c r="U59" s="8"/>
      <c r="V59" s="8"/>
      <c r="W59" s="8"/>
      <c r="X59" s="8"/>
      <c r="Y59" s="8"/>
      <c r="Z59" s="8"/>
    </row>
    <row r="60" ht="13.6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3.65" customHeight="1">
      <c r="A61" s="8"/>
      <c r="B61" s="8"/>
      <c r="C61" s="8"/>
      <c r="D61" s="8"/>
      <c r="E61" s="8"/>
      <c r="F61" s="8"/>
      <c r="G61" t="s" s="7">
        <v>10112</v>
      </c>
      <c r="H61" s="53" cm="1">
        <f t="array" ref="H61">AVERAGE(H50:H59)</f>
        <v>1.4</v>
      </c>
      <c r="I61" s="8"/>
      <c r="J61" s="8"/>
      <c r="K61" s="8"/>
      <c r="L61" s="8"/>
      <c r="M61" s="8"/>
      <c r="N61" s="8"/>
      <c r="O61" s="8"/>
      <c r="P61" s="8"/>
      <c r="Q61" s="8"/>
      <c r="R61" s="8"/>
      <c r="S61" s="8"/>
      <c r="T61" s="8"/>
      <c r="U61" s="8"/>
      <c r="V61" s="8"/>
      <c r="W61" s="8"/>
      <c r="X61" s="8"/>
      <c r="Y61" s="8"/>
      <c r="Z61" s="8"/>
    </row>
    <row r="62" ht="13.6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3.65" customHeight="1">
      <c r="A63" t="s" s="7">
        <v>1029</v>
      </c>
      <c r="B63" s="8"/>
      <c r="C63" s="8"/>
      <c r="D63" s="8"/>
      <c r="E63" s="8"/>
      <c r="F63" s="8"/>
      <c r="G63" s="8"/>
      <c r="H63" s="8"/>
      <c r="I63" s="8"/>
      <c r="J63" s="8"/>
      <c r="K63" s="8"/>
      <c r="L63" s="8"/>
      <c r="M63" s="8"/>
      <c r="N63" s="8"/>
      <c r="O63" s="8"/>
      <c r="P63" s="8"/>
      <c r="Q63" s="8"/>
      <c r="R63" s="8"/>
      <c r="S63" s="8"/>
      <c r="T63" s="8"/>
      <c r="U63" s="8"/>
      <c r="V63" s="8"/>
      <c r="W63" s="8"/>
      <c r="X63" s="8"/>
      <c r="Y63" s="8"/>
      <c r="Z63" s="8"/>
    </row>
    <row r="64" ht="13.65" customHeight="1">
      <c r="A64" t="s" s="51">
        <v>10074</v>
      </c>
      <c r="B64" t="s" s="51">
        <v>1281</v>
      </c>
      <c r="C64" t="s" s="51">
        <v>10055</v>
      </c>
      <c r="D64" t="s" s="51">
        <v>10056</v>
      </c>
      <c r="E64" t="s" s="51">
        <v>10057</v>
      </c>
      <c r="F64" t="s" s="51">
        <v>10075</v>
      </c>
      <c r="G64" t="s" s="51">
        <v>10058</v>
      </c>
      <c r="H64" t="s" s="51">
        <v>10059</v>
      </c>
      <c r="I64" s="8"/>
      <c r="J64" s="8"/>
      <c r="K64" s="8"/>
      <c r="L64" s="8"/>
      <c r="M64" s="8"/>
      <c r="N64" s="8"/>
      <c r="O64" s="8"/>
      <c r="P64" s="8"/>
      <c r="Q64" s="8"/>
      <c r="R64" s="8"/>
      <c r="S64" s="8"/>
      <c r="T64" s="8"/>
      <c r="U64" s="8"/>
      <c r="V64" s="8"/>
      <c r="W64" s="8"/>
      <c r="X64" s="8"/>
      <c r="Y64" s="8"/>
      <c r="Z64" s="8"/>
    </row>
    <row r="65" ht="13.65" customHeight="1">
      <c r="A65" s="53">
        <v>1</v>
      </c>
      <c r="B65" s="52">
        <v>45748</v>
      </c>
      <c r="C65" s="53">
        <v>2025</v>
      </c>
      <c r="D65" t="s" s="7">
        <v>10060</v>
      </c>
      <c r="E65" t="s" s="7">
        <v>10113</v>
      </c>
      <c r="F65" t="s" s="7">
        <v>10090</v>
      </c>
      <c r="G65" t="s" s="7">
        <v>10070</v>
      </c>
      <c r="H65" s="53" cm="1">
        <f t="array" ref="H65">1</f>
        <v>1</v>
      </c>
      <c r="I65" s="8"/>
      <c r="J65" s="8"/>
      <c r="K65" s="8"/>
      <c r="L65" s="8"/>
      <c r="M65" s="8"/>
      <c r="N65" s="8"/>
      <c r="O65" s="8"/>
      <c r="P65" s="8"/>
      <c r="Q65" s="8"/>
      <c r="R65" s="8"/>
      <c r="S65" s="8"/>
      <c r="T65" s="8"/>
      <c r="U65" s="8"/>
      <c r="V65" s="8"/>
      <c r="W65" s="8"/>
      <c r="X65" s="8"/>
      <c r="Y65" s="8"/>
      <c r="Z65" s="8"/>
    </row>
    <row r="66" ht="13.65" customHeight="1">
      <c r="A66" s="53">
        <v>2</v>
      </c>
      <c r="B66" s="54">
        <v>45778</v>
      </c>
      <c r="C66" s="53">
        <v>2025</v>
      </c>
      <c r="D66" t="s" s="7">
        <v>10060</v>
      </c>
      <c r="E66" t="s" s="7">
        <v>10114</v>
      </c>
      <c r="F66" t="s" s="7">
        <v>10086</v>
      </c>
      <c r="G66" t="s" s="7">
        <v>10070</v>
      </c>
      <c r="H66" s="53" cm="1">
        <f t="array" ref="H66">1</f>
        <v>1</v>
      </c>
      <c r="I66" s="8"/>
      <c r="J66" s="8"/>
      <c r="K66" s="8"/>
      <c r="L66" s="8"/>
      <c r="M66" s="8"/>
      <c r="N66" s="8"/>
      <c r="O66" s="8"/>
      <c r="P66" s="8"/>
      <c r="Q66" s="8"/>
      <c r="R66" s="8"/>
      <c r="S66" s="8"/>
      <c r="T66" s="8"/>
      <c r="U66" s="8"/>
      <c r="V66" s="8"/>
      <c r="W66" s="8"/>
      <c r="X66" s="8"/>
      <c r="Y66" s="8"/>
      <c r="Z66" s="8"/>
    </row>
    <row r="67" ht="13.65" customHeight="1">
      <c r="A67" s="53">
        <v>3</v>
      </c>
      <c r="B67" s="52">
        <v>45809</v>
      </c>
      <c r="C67" s="53">
        <v>2025</v>
      </c>
      <c r="D67" t="s" s="7">
        <v>10060</v>
      </c>
      <c r="E67" t="s" s="7">
        <v>10115</v>
      </c>
      <c r="F67" t="s" s="7">
        <v>10083</v>
      </c>
      <c r="G67" t="s" s="7">
        <v>10062</v>
      </c>
      <c r="H67" s="53" cm="1">
        <f t="array" ref="H67">2</f>
        <v>2</v>
      </c>
      <c r="I67" s="8"/>
      <c r="J67" s="8"/>
      <c r="K67" s="8"/>
      <c r="L67" s="8"/>
      <c r="M67" s="8"/>
      <c r="N67" s="8"/>
      <c r="O67" s="8"/>
      <c r="P67" s="8"/>
      <c r="Q67" s="8"/>
      <c r="R67" s="8"/>
      <c r="S67" s="8"/>
      <c r="T67" s="8"/>
      <c r="U67" s="8"/>
      <c r="V67" s="8"/>
      <c r="W67" s="8"/>
      <c r="X67" s="8"/>
      <c r="Y67" s="8"/>
      <c r="Z67" s="8"/>
    </row>
    <row r="68" ht="13.65" customHeight="1">
      <c r="A68" s="53">
        <v>4</v>
      </c>
      <c r="B68" s="52">
        <v>45839</v>
      </c>
      <c r="C68" s="53">
        <v>2025</v>
      </c>
      <c r="D68" t="s" s="7">
        <v>10060</v>
      </c>
      <c r="E68" t="s" s="7">
        <v>10116</v>
      </c>
      <c r="F68" t="s" s="7">
        <v>10080</v>
      </c>
      <c r="G68" t="s" s="7">
        <v>10070</v>
      </c>
      <c r="H68" s="53" cm="1">
        <f t="array" ref="H68">1</f>
        <v>1</v>
      </c>
      <c r="I68" s="8"/>
      <c r="J68" s="8"/>
      <c r="K68" s="8"/>
      <c r="L68" s="8"/>
      <c r="M68" s="8"/>
      <c r="N68" s="8"/>
      <c r="O68" s="8"/>
      <c r="P68" s="8"/>
      <c r="Q68" s="8"/>
      <c r="R68" s="8"/>
      <c r="S68" s="8"/>
      <c r="T68" s="8"/>
      <c r="U68" s="8"/>
      <c r="V68" s="8"/>
      <c r="W68" s="8"/>
      <c r="X68" s="8"/>
      <c r="Y68" s="8"/>
      <c r="Z68" s="8"/>
    </row>
    <row r="69" ht="13.65" customHeight="1">
      <c r="A69" s="53">
        <v>5</v>
      </c>
      <c r="B69" s="52">
        <v>45870</v>
      </c>
      <c r="C69" s="53">
        <v>2025</v>
      </c>
      <c r="D69" t="s" s="7">
        <v>10060</v>
      </c>
      <c r="E69" t="s" s="7">
        <v>10117</v>
      </c>
      <c r="F69" t="s" s="7">
        <v>10077</v>
      </c>
      <c r="G69" t="s" s="7">
        <v>10062</v>
      </c>
      <c r="H69" s="53" cm="1">
        <f t="array" ref="H69">2</f>
        <v>2</v>
      </c>
      <c r="I69" s="8"/>
      <c r="J69" s="8"/>
      <c r="K69" s="8"/>
      <c r="L69" s="8"/>
      <c r="M69" s="8"/>
      <c r="N69" s="8"/>
      <c r="O69" s="8"/>
      <c r="P69" s="8"/>
      <c r="Q69" s="8"/>
      <c r="R69" s="8"/>
      <c r="S69" s="8"/>
      <c r="T69" s="8"/>
      <c r="U69" s="8"/>
      <c r="V69" s="8"/>
      <c r="W69" s="8"/>
      <c r="X69" s="8"/>
      <c r="Y69" s="8"/>
      <c r="Z69" s="8"/>
    </row>
    <row r="70" ht="13.65" customHeight="1">
      <c r="A70" s="53">
        <v>6</v>
      </c>
      <c r="B70" s="52">
        <v>45901</v>
      </c>
      <c r="C70" s="53">
        <v>2025</v>
      </c>
      <c r="D70" t="s" s="7">
        <v>10060</v>
      </c>
      <c r="E70" t="s" s="7">
        <v>10118</v>
      </c>
      <c r="F70" t="s" s="7">
        <v>10090</v>
      </c>
      <c r="G70" t="s" s="7">
        <v>10070</v>
      </c>
      <c r="H70" s="53" cm="1">
        <f t="array" ref="H70">1</f>
        <v>1</v>
      </c>
      <c r="I70" s="8"/>
      <c r="J70" s="8"/>
      <c r="K70" s="8"/>
      <c r="L70" s="8"/>
      <c r="M70" s="8"/>
      <c r="N70" s="8"/>
      <c r="O70" s="8"/>
      <c r="P70" s="8"/>
      <c r="Q70" s="8"/>
      <c r="R70" s="8"/>
      <c r="S70" s="8"/>
      <c r="T70" s="8"/>
      <c r="U70" s="8"/>
      <c r="V70" s="8"/>
      <c r="W70" s="8"/>
      <c r="X70" s="8"/>
      <c r="Y70" s="8"/>
      <c r="Z70" s="8"/>
    </row>
    <row r="71" ht="13.65" customHeight="1">
      <c r="A71" s="53">
        <v>7</v>
      </c>
      <c r="B71" s="52">
        <v>45931</v>
      </c>
      <c r="C71" s="53">
        <v>2025</v>
      </c>
      <c r="D71" t="s" s="7">
        <v>10060</v>
      </c>
      <c r="E71" t="s" s="7">
        <v>10119</v>
      </c>
      <c r="F71" t="s" s="7">
        <v>10077</v>
      </c>
      <c r="G71" t="s" s="7">
        <v>10062</v>
      </c>
      <c r="H71" s="53" cm="1">
        <f t="array" ref="H71">2</f>
        <v>2</v>
      </c>
      <c r="I71" s="8"/>
      <c r="J71" s="8"/>
      <c r="K71" s="8"/>
      <c r="L71" s="8"/>
      <c r="M71" s="8"/>
      <c r="N71" s="8"/>
      <c r="O71" s="8"/>
      <c r="P71" s="8"/>
      <c r="Q71" s="8"/>
      <c r="R71" s="8"/>
      <c r="S71" s="8"/>
      <c r="T71" s="8"/>
      <c r="U71" s="8"/>
      <c r="V71" s="8"/>
      <c r="W71" s="8"/>
      <c r="X71" s="8"/>
      <c r="Y71" s="8"/>
      <c r="Z71" s="8"/>
    </row>
    <row r="72" ht="13.65" customHeight="1">
      <c r="A72" s="53">
        <v>8</v>
      </c>
      <c r="B72" s="52">
        <v>45992</v>
      </c>
      <c r="C72" s="53">
        <v>2025</v>
      </c>
      <c r="D72" t="s" s="7">
        <v>10060</v>
      </c>
      <c r="E72" t="s" s="7">
        <v>10120</v>
      </c>
      <c r="F72" t="s" s="7">
        <v>10083</v>
      </c>
      <c r="G72" t="s" s="7">
        <v>10070</v>
      </c>
      <c r="H72" s="53" cm="1">
        <f t="array" ref="H72">1</f>
        <v>1</v>
      </c>
      <c r="I72" s="8"/>
      <c r="J72" s="8"/>
      <c r="K72" s="8"/>
      <c r="L72" s="8"/>
      <c r="M72" s="8"/>
      <c r="N72" s="8"/>
      <c r="O72" s="8"/>
      <c r="P72" s="8"/>
      <c r="Q72" s="8"/>
      <c r="R72" s="8"/>
      <c r="S72" s="8"/>
      <c r="T72" s="8"/>
      <c r="U72" s="8"/>
      <c r="V72" s="8"/>
      <c r="W72" s="8"/>
      <c r="X72" s="8"/>
      <c r="Y72" s="8"/>
      <c r="Z72" s="8"/>
    </row>
    <row r="73" ht="13.65" customHeight="1">
      <c r="A73" s="53">
        <v>9</v>
      </c>
      <c r="B73" s="52">
        <v>46023</v>
      </c>
      <c r="C73" s="53">
        <v>2026</v>
      </c>
      <c r="D73" t="s" s="7">
        <v>10060</v>
      </c>
      <c r="E73" t="s" s="7">
        <v>10121</v>
      </c>
      <c r="F73" t="s" s="7">
        <v>10086</v>
      </c>
      <c r="G73" t="s" s="7">
        <v>10070</v>
      </c>
      <c r="H73" s="53" cm="1">
        <f t="array" ref="H73">1</f>
        <v>1</v>
      </c>
      <c r="I73" s="8"/>
      <c r="J73" s="8"/>
      <c r="K73" s="8"/>
      <c r="L73" s="8"/>
      <c r="M73" s="8"/>
      <c r="N73" s="8"/>
      <c r="O73" s="8"/>
      <c r="P73" s="8"/>
      <c r="Q73" s="8"/>
      <c r="R73" s="8"/>
      <c r="S73" s="8"/>
      <c r="T73" s="8"/>
      <c r="U73" s="8"/>
      <c r="V73" s="8"/>
      <c r="W73" s="8"/>
      <c r="X73" s="8"/>
      <c r="Y73" s="8"/>
      <c r="Z73" s="8"/>
    </row>
    <row r="74" ht="13.65" customHeight="1">
      <c r="A74" s="53">
        <v>10</v>
      </c>
      <c r="B74" s="52">
        <v>46082</v>
      </c>
      <c r="C74" s="53">
        <v>2026</v>
      </c>
      <c r="D74" t="s" s="7">
        <v>10060</v>
      </c>
      <c r="E74" t="s" s="7">
        <v>10122</v>
      </c>
      <c r="F74" t="s" s="7">
        <v>10123</v>
      </c>
      <c r="G74" t="s" s="7">
        <v>10124</v>
      </c>
      <c r="H74" s="53">
        <v>0</v>
      </c>
      <c r="I74" s="8"/>
      <c r="J74" s="8"/>
      <c r="K74" s="8"/>
      <c r="L74" s="8"/>
      <c r="M74" s="8"/>
      <c r="N74" s="8"/>
      <c r="O74" s="8"/>
      <c r="P74" s="8"/>
      <c r="Q74" s="8"/>
      <c r="R74" s="8"/>
      <c r="S74" s="8"/>
      <c r="T74" s="8"/>
      <c r="U74" s="8"/>
      <c r="V74" s="8"/>
      <c r="W74" s="8"/>
      <c r="X74" s="8"/>
      <c r="Y74" s="8"/>
      <c r="Z74" s="8"/>
    </row>
    <row r="75" ht="13.6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3.65" customHeight="1">
      <c r="A76" s="8"/>
      <c r="B76" s="8"/>
      <c r="C76" s="8"/>
      <c r="D76" s="8"/>
      <c r="E76" s="8"/>
      <c r="F76" s="8"/>
      <c r="G76" t="s" s="7">
        <v>10091</v>
      </c>
      <c r="H76" s="53" cm="1">
        <f t="array" ref="H76">AVERAGE(H65:H74)</f>
        <v>1.2</v>
      </c>
      <c r="I76" s="8"/>
      <c r="J76" s="8"/>
      <c r="K76" s="8"/>
      <c r="L76" s="8"/>
      <c r="M76" s="8"/>
      <c r="N76" s="8"/>
      <c r="O76" s="8"/>
      <c r="P76" s="8"/>
      <c r="Q76" s="8"/>
      <c r="R76" s="8"/>
      <c r="S76" s="8"/>
      <c r="T76" s="8"/>
      <c r="U76" s="8"/>
      <c r="V76" s="8"/>
      <c r="W76" s="8"/>
      <c r="X76" s="8"/>
      <c r="Y76" s="8"/>
      <c r="Z76" s="8"/>
    </row>
    <row r="77" ht="13.6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3.6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3.65" customHeight="1">
      <c r="A79" t="s" s="55">
        <v>1278</v>
      </c>
      <c r="B79" s="8"/>
      <c r="C79" s="8"/>
      <c r="D79" s="8"/>
      <c r="E79" s="8"/>
      <c r="F79" s="8"/>
      <c r="G79" s="8"/>
      <c r="H79" s="8"/>
      <c r="I79" s="8"/>
      <c r="J79" s="8"/>
      <c r="K79" s="8"/>
      <c r="L79" s="8"/>
      <c r="M79" s="8"/>
      <c r="N79" s="8"/>
      <c r="O79" s="8"/>
      <c r="P79" s="8"/>
      <c r="Q79" s="8"/>
      <c r="R79" s="8"/>
      <c r="S79" s="8"/>
      <c r="T79" s="8"/>
      <c r="U79" s="8"/>
      <c r="V79" s="8"/>
      <c r="W79" s="8"/>
      <c r="X79" s="8"/>
      <c r="Y79" s="8"/>
      <c r="Z79" s="8"/>
    </row>
    <row r="80" ht="13.65" customHeight="1">
      <c r="A80" t="s" s="7">
        <v>6</v>
      </c>
      <c r="B80" s="8"/>
      <c r="C80" s="8"/>
      <c r="D80" s="8"/>
      <c r="E80" s="8"/>
      <c r="F80" s="8"/>
      <c r="G80" s="8"/>
      <c r="H80" s="8"/>
      <c r="I80" s="8"/>
      <c r="J80" s="8"/>
      <c r="K80" s="8"/>
      <c r="L80" s="8"/>
      <c r="M80" s="8"/>
      <c r="N80" s="8"/>
      <c r="O80" s="8"/>
      <c r="P80" s="8"/>
      <c r="Q80" s="8"/>
      <c r="R80" s="8"/>
      <c r="S80" s="8"/>
      <c r="T80" s="8"/>
      <c r="U80" s="8"/>
      <c r="V80" s="8"/>
      <c r="W80" s="8"/>
      <c r="X80" s="8"/>
      <c r="Y80" s="8"/>
      <c r="Z80" s="8"/>
    </row>
    <row r="81" ht="13.65" customHeight="1">
      <c r="A81" t="s" s="51">
        <v>1281</v>
      </c>
      <c r="B81" t="s" s="51">
        <v>10055</v>
      </c>
      <c r="C81" t="s" s="51">
        <v>10056</v>
      </c>
      <c r="D81" t="s" s="51">
        <v>10057</v>
      </c>
      <c r="E81" t="s" s="51">
        <v>10075</v>
      </c>
      <c r="F81" t="s" s="51">
        <v>10058</v>
      </c>
      <c r="G81" t="s" s="51">
        <v>10059</v>
      </c>
      <c r="H81" s="8"/>
      <c r="I81" s="8"/>
      <c r="J81" s="8"/>
      <c r="K81" s="8"/>
      <c r="L81" s="8"/>
      <c r="M81" s="8"/>
      <c r="N81" s="8"/>
      <c r="O81" s="8"/>
      <c r="P81" s="8"/>
      <c r="Q81" s="8"/>
      <c r="R81" s="8"/>
      <c r="S81" s="8"/>
      <c r="T81" s="8"/>
      <c r="U81" s="8"/>
      <c r="V81" s="8"/>
      <c r="W81" s="8"/>
      <c r="X81" s="8"/>
      <c r="Y81" s="8"/>
      <c r="Z81" s="8"/>
    </row>
    <row r="82" ht="13.65" customHeight="1">
      <c r="A82" s="52">
        <v>44287</v>
      </c>
      <c r="B82" s="53">
        <v>2021</v>
      </c>
      <c r="C82" t="s" s="7">
        <v>10125</v>
      </c>
      <c r="D82" t="s" s="7">
        <v>10126</v>
      </c>
      <c r="E82" t="s" s="7">
        <v>10077</v>
      </c>
      <c r="F82" t="s" s="7">
        <v>10070</v>
      </c>
      <c r="G82" s="53" cm="1">
        <f t="array" ref="G82">1</f>
        <v>1</v>
      </c>
      <c r="H82" s="8"/>
      <c r="I82" s="8"/>
      <c r="J82" s="8"/>
      <c r="K82" s="8"/>
      <c r="L82" s="8"/>
      <c r="M82" s="8"/>
      <c r="N82" s="8"/>
      <c r="O82" s="8"/>
      <c r="P82" s="8"/>
      <c r="Q82" s="8"/>
      <c r="R82" s="8"/>
      <c r="S82" s="8"/>
      <c r="T82" s="8"/>
      <c r="U82" s="8"/>
      <c r="V82" s="8"/>
      <c r="W82" s="8"/>
      <c r="X82" s="8"/>
      <c r="Y82" s="8"/>
      <c r="Z82" s="8"/>
    </row>
    <row r="83" ht="13.65" customHeight="1">
      <c r="A83" s="52">
        <v>44317</v>
      </c>
      <c r="B83" s="53">
        <v>2021</v>
      </c>
      <c r="C83" t="s" s="7">
        <v>10125</v>
      </c>
      <c r="D83" t="s" s="7">
        <v>10127</v>
      </c>
      <c r="E83" t="s" s="7">
        <v>10090</v>
      </c>
      <c r="F83" t="s" s="7">
        <v>10070</v>
      </c>
      <c r="G83" s="53" cm="1">
        <f t="array" ref="G83">1</f>
        <v>1</v>
      </c>
      <c r="H83" s="8"/>
      <c r="I83" s="8"/>
      <c r="J83" s="8"/>
      <c r="K83" s="8"/>
      <c r="L83" s="8"/>
      <c r="M83" s="8"/>
      <c r="N83" s="8"/>
      <c r="O83" s="8"/>
      <c r="P83" s="8"/>
      <c r="Q83" s="8"/>
      <c r="R83" s="8"/>
      <c r="S83" s="8"/>
      <c r="T83" s="8"/>
      <c r="U83" s="8"/>
      <c r="V83" s="8"/>
      <c r="W83" s="8"/>
      <c r="X83" s="8"/>
      <c r="Y83" s="8"/>
      <c r="Z83" s="8"/>
    </row>
    <row r="84" ht="13.65" customHeight="1">
      <c r="A84" s="52">
        <v>44348</v>
      </c>
      <c r="B84" s="53">
        <v>2021</v>
      </c>
      <c r="C84" t="s" s="7">
        <v>10125</v>
      </c>
      <c r="D84" t="s" s="7">
        <v>10128</v>
      </c>
      <c r="E84" t="s" s="7">
        <v>10086</v>
      </c>
      <c r="F84" t="s" s="7">
        <v>10070</v>
      </c>
      <c r="G84" s="53" cm="1">
        <f t="array" ref="G84">1</f>
        <v>1</v>
      </c>
      <c r="H84" s="8"/>
      <c r="I84" s="8"/>
      <c r="J84" s="8"/>
      <c r="K84" s="8"/>
      <c r="L84" s="8"/>
      <c r="M84" s="8"/>
      <c r="N84" s="8"/>
      <c r="O84" s="8"/>
      <c r="P84" s="8"/>
      <c r="Q84" s="8"/>
      <c r="R84" s="8"/>
      <c r="S84" s="8"/>
      <c r="T84" s="8"/>
      <c r="U84" s="8"/>
      <c r="V84" s="8"/>
      <c r="W84" s="8"/>
      <c r="X84" s="8"/>
      <c r="Y84" s="8"/>
      <c r="Z84" s="8"/>
    </row>
    <row r="85" ht="13.65" customHeight="1">
      <c r="A85" s="52">
        <v>44378</v>
      </c>
      <c r="B85" s="53">
        <v>2021</v>
      </c>
      <c r="C85" t="s" s="7">
        <v>10125</v>
      </c>
      <c r="D85" t="s" s="7">
        <v>10129</v>
      </c>
      <c r="E85" t="s" s="7">
        <v>10077</v>
      </c>
      <c r="F85" t="s" s="7">
        <v>10062</v>
      </c>
      <c r="G85" s="53" cm="1">
        <f t="array" ref="G85">2</f>
        <v>2</v>
      </c>
      <c r="H85" s="8"/>
      <c r="I85" s="8"/>
      <c r="J85" s="8"/>
      <c r="K85" s="8"/>
      <c r="L85" s="8"/>
      <c r="M85" s="8"/>
      <c r="N85" s="8"/>
      <c r="O85" s="8"/>
      <c r="P85" s="8"/>
      <c r="Q85" s="8"/>
      <c r="R85" s="8"/>
      <c r="S85" s="8"/>
      <c r="T85" s="8"/>
      <c r="U85" s="8"/>
      <c r="V85" s="8"/>
      <c r="W85" s="8"/>
      <c r="X85" s="8"/>
      <c r="Y85" s="8"/>
      <c r="Z85" s="8"/>
    </row>
    <row r="86" ht="13.65" customHeight="1">
      <c r="A86" s="52">
        <v>44409</v>
      </c>
      <c r="B86" s="53">
        <v>2021</v>
      </c>
      <c r="C86" t="s" s="7">
        <v>10125</v>
      </c>
      <c r="D86" t="s" s="7">
        <v>10130</v>
      </c>
      <c r="E86" t="s" s="7">
        <v>10080</v>
      </c>
      <c r="F86" t="s" s="7">
        <v>10070</v>
      </c>
      <c r="G86" s="53" cm="1">
        <f t="array" ref="G86">1</f>
        <v>1</v>
      </c>
      <c r="H86" s="8"/>
      <c r="I86" s="8"/>
      <c r="J86" s="8"/>
      <c r="K86" s="8"/>
      <c r="L86" s="8"/>
      <c r="M86" s="8"/>
      <c r="N86" s="8"/>
      <c r="O86" s="8"/>
      <c r="P86" s="8"/>
      <c r="Q86" s="8"/>
      <c r="R86" s="8"/>
      <c r="S86" s="8"/>
      <c r="T86" s="8"/>
      <c r="U86" s="8"/>
      <c r="V86" s="8"/>
      <c r="W86" s="8"/>
      <c r="X86" s="8"/>
      <c r="Y86" s="8"/>
      <c r="Z86" s="8"/>
    </row>
    <row r="87" ht="13.65" customHeight="1">
      <c r="A87" s="52">
        <v>44440</v>
      </c>
      <c r="B87" s="53">
        <v>2021</v>
      </c>
      <c r="C87" t="s" s="7">
        <v>10125</v>
      </c>
      <c r="D87" t="s" s="7">
        <v>10131</v>
      </c>
      <c r="E87" t="s" s="7">
        <v>10083</v>
      </c>
      <c r="F87" t="s" s="7">
        <v>10070</v>
      </c>
      <c r="G87" s="53" cm="1">
        <f t="array" ref="G87">1</f>
        <v>1</v>
      </c>
      <c r="H87" s="8"/>
      <c r="I87" s="8"/>
      <c r="J87" s="8"/>
      <c r="K87" s="8"/>
      <c r="L87" s="8"/>
      <c r="M87" s="8"/>
      <c r="N87" s="8"/>
      <c r="O87" s="8"/>
      <c r="P87" s="8"/>
      <c r="Q87" s="8"/>
      <c r="R87" s="8"/>
      <c r="S87" s="8"/>
      <c r="T87" s="8"/>
      <c r="U87" s="8"/>
      <c r="V87" s="8"/>
      <c r="W87" s="8"/>
      <c r="X87" s="8"/>
      <c r="Y87" s="8"/>
      <c r="Z87" s="8"/>
    </row>
    <row r="88" ht="13.65" customHeight="1">
      <c r="A88" s="52">
        <v>44470</v>
      </c>
      <c r="B88" s="53">
        <v>2021</v>
      </c>
      <c r="C88" t="s" s="7">
        <v>10125</v>
      </c>
      <c r="D88" t="s" s="7">
        <v>10132</v>
      </c>
      <c r="E88" t="s" s="7">
        <v>10090</v>
      </c>
      <c r="F88" t="s" s="7">
        <v>10070</v>
      </c>
      <c r="G88" s="53" cm="1">
        <f t="array" ref="G88">1</f>
        <v>1</v>
      </c>
      <c r="H88" s="8"/>
      <c r="I88" s="8"/>
      <c r="J88" s="8"/>
      <c r="K88" s="8"/>
      <c r="L88" s="8"/>
      <c r="M88" s="8"/>
      <c r="N88" s="8"/>
      <c r="O88" s="8"/>
      <c r="P88" s="8"/>
      <c r="Q88" s="8"/>
      <c r="R88" s="8"/>
      <c r="S88" s="8"/>
      <c r="T88" s="8"/>
      <c r="U88" s="8"/>
      <c r="V88" s="8"/>
      <c r="W88" s="8"/>
      <c r="X88" s="8"/>
      <c r="Y88" s="8"/>
      <c r="Z88" s="8"/>
    </row>
    <row r="89" ht="13.65" customHeight="1">
      <c r="A89" s="52">
        <v>44531</v>
      </c>
      <c r="B89" s="53">
        <v>2021</v>
      </c>
      <c r="C89" t="s" s="7">
        <v>10125</v>
      </c>
      <c r="D89" t="s" s="7">
        <v>10133</v>
      </c>
      <c r="E89" t="s" s="7">
        <v>10086</v>
      </c>
      <c r="F89" t="s" s="7">
        <v>10070</v>
      </c>
      <c r="G89" s="53" cm="1">
        <f t="array" ref="G89">1</f>
        <v>1</v>
      </c>
      <c r="H89" s="8"/>
      <c r="I89" s="8"/>
      <c r="J89" s="8"/>
      <c r="K89" s="8"/>
      <c r="L89" s="8"/>
      <c r="M89" s="8"/>
      <c r="N89" s="8"/>
      <c r="O89" s="8"/>
      <c r="P89" s="8"/>
      <c r="Q89" s="8"/>
      <c r="R89" s="8"/>
      <c r="S89" s="8"/>
      <c r="T89" s="8"/>
      <c r="U89" s="8"/>
      <c r="V89" s="8"/>
      <c r="W89" s="8"/>
      <c r="X89" s="8"/>
      <c r="Y89" s="8"/>
      <c r="Z89" s="8"/>
    </row>
    <row r="90" ht="13.65" customHeight="1">
      <c r="A90" s="52">
        <v>44562</v>
      </c>
      <c r="B90" s="53">
        <v>2022</v>
      </c>
      <c r="C90" t="s" s="7">
        <v>10125</v>
      </c>
      <c r="D90" t="s" s="7">
        <v>10134</v>
      </c>
      <c r="E90" t="s" s="7">
        <v>10077</v>
      </c>
      <c r="F90" t="s" s="7">
        <v>10062</v>
      </c>
      <c r="G90" s="53" cm="1">
        <f t="array" ref="G90">2</f>
        <v>2</v>
      </c>
      <c r="H90" s="8"/>
      <c r="I90" s="8"/>
      <c r="J90" s="8"/>
      <c r="K90" s="8"/>
      <c r="L90" s="8"/>
      <c r="M90" s="8"/>
      <c r="N90" s="8"/>
      <c r="O90" s="8"/>
      <c r="P90" s="8"/>
      <c r="Q90" s="8"/>
      <c r="R90" s="8"/>
      <c r="S90" s="8"/>
      <c r="T90" s="8"/>
      <c r="U90" s="8"/>
      <c r="V90" s="8"/>
      <c r="W90" s="8"/>
      <c r="X90" s="8"/>
      <c r="Y90" s="8"/>
      <c r="Z90" s="8"/>
    </row>
    <row r="91" ht="13.65" customHeight="1">
      <c r="A91" s="52">
        <v>44621</v>
      </c>
      <c r="B91" s="53">
        <v>2022</v>
      </c>
      <c r="C91" t="s" s="7">
        <v>10125</v>
      </c>
      <c r="D91" t="s" s="7">
        <v>10135</v>
      </c>
      <c r="E91" t="s" s="7">
        <v>10080</v>
      </c>
      <c r="F91" t="s" s="7">
        <v>10070</v>
      </c>
      <c r="G91" s="53" cm="1">
        <f t="array" ref="G91">1</f>
        <v>1</v>
      </c>
      <c r="H91" s="8"/>
      <c r="I91" s="8"/>
      <c r="J91" s="8"/>
      <c r="K91" s="8"/>
      <c r="L91" s="8"/>
      <c r="M91" s="8"/>
      <c r="N91" s="8"/>
      <c r="O91" s="8"/>
      <c r="P91" s="8"/>
      <c r="Q91" s="8"/>
      <c r="R91" s="8"/>
      <c r="S91" s="8"/>
      <c r="T91" s="8"/>
      <c r="U91" s="8"/>
      <c r="V91" s="8"/>
      <c r="W91" s="8"/>
      <c r="X91" s="8"/>
      <c r="Y91" s="8"/>
      <c r="Z91" s="8"/>
    </row>
    <row r="92" ht="13.6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3.65" customHeight="1">
      <c r="A93" s="8"/>
      <c r="B93" s="8"/>
      <c r="C93" s="8"/>
      <c r="D93" s="8"/>
      <c r="E93" s="8"/>
      <c r="F93" t="s" s="7">
        <v>10136</v>
      </c>
      <c r="G93" s="53" cm="1">
        <f t="array" ref="G93">AVERAGE(G82:G91)</f>
        <v>1.2</v>
      </c>
      <c r="H93" s="8"/>
      <c r="I93" s="8"/>
      <c r="J93" s="8"/>
      <c r="K93" s="8"/>
      <c r="L93" s="8"/>
      <c r="M93" s="8"/>
      <c r="N93" s="8"/>
      <c r="O93" s="8"/>
      <c r="P93" s="8"/>
      <c r="Q93" s="8"/>
      <c r="R93" s="8"/>
      <c r="S93" s="8"/>
      <c r="T93" s="8"/>
      <c r="U93" s="8"/>
      <c r="V93" s="8"/>
      <c r="W93" s="8"/>
      <c r="X93" s="8"/>
      <c r="Y93" s="8"/>
      <c r="Z93" s="8"/>
    </row>
    <row r="94" ht="13.6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3.65" customHeight="1">
      <c r="A95" t="s" s="7">
        <v>277</v>
      </c>
      <c r="B95" s="8"/>
      <c r="C95" s="8"/>
      <c r="D95" s="8"/>
      <c r="E95" s="8"/>
      <c r="F95" s="8"/>
      <c r="G95" s="8"/>
      <c r="H95" s="8"/>
      <c r="I95" s="8"/>
      <c r="J95" s="8"/>
      <c r="K95" s="8"/>
      <c r="L95" s="8"/>
      <c r="M95" s="8"/>
      <c r="N95" s="8"/>
      <c r="O95" s="8"/>
      <c r="P95" s="8"/>
      <c r="Q95" s="8"/>
      <c r="R95" s="8"/>
      <c r="S95" s="8"/>
      <c r="T95" s="8"/>
      <c r="U95" s="8"/>
      <c r="V95" s="8"/>
      <c r="W95" s="8"/>
      <c r="X95" s="8"/>
      <c r="Y95" s="8"/>
      <c r="Z95" s="8"/>
    </row>
    <row r="96" ht="13.65" customHeight="1">
      <c r="A96" t="s" s="51">
        <v>1281</v>
      </c>
      <c r="B96" t="s" s="51">
        <v>10055</v>
      </c>
      <c r="C96" t="s" s="51">
        <v>10056</v>
      </c>
      <c r="D96" t="s" s="51">
        <v>10057</v>
      </c>
      <c r="E96" t="s" s="51">
        <v>10075</v>
      </c>
      <c r="F96" t="s" s="51">
        <v>10058</v>
      </c>
      <c r="G96" t="s" s="51">
        <v>10059</v>
      </c>
      <c r="H96" s="8"/>
      <c r="I96" s="8"/>
      <c r="J96" s="8"/>
      <c r="K96" s="8"/>
      <c r="L96" s="8"/>
      <c r="M96" s="8"/>
      <c r="N96" s="8"/>
      <c r="O96" s="8"/>
      <c r="P96" s="8"/>
      <c r="Q96" s="8"/>
      <c r="R96" s="8"/>
      <c r="S96" s="8"/>
      <c r="T96" s="8"/>
      <c r="U96" s="8"/>
      <c r="V96" s="8"/>
      <c r="W96" s="8"/>
      <c r="X96" s="8"/>
      <c r="Y96" s="8"/>
      <c r="Z96" s="8"/>
    </row>
    <row r="97" ht="13.65" customHeight="1">
      <c r="A97" s="52">
        <v>44652</v>
      </c>
      <c r="B97" s="53">
        <v>2022</v>
      </c>
      <c r="C97" t="s" s="7">
        <v>10125</v>
      </c>
      <c r="D97" t="s" s="7">
        <v>10137</v>
      </c>
      <c r="E97" t="s" s="7">
        <v>10086</v>
      </c>
      <c r="F97" t="s" s="7">
        <v>10062</v>
      </c>
      <c r="G97" s="53" cm="1">
        <f t="array" ref="G97">2</f>
        <v>2</v>
      </c>
      <c r="H97" s="8"/>
      <c r="I97" s="8"/>
      <c r="J97" s="8"/>
      <c r="K97" s="8"/>
      <c r="L97" s="8"/>
      <c r="M97" s="8"/>
      <c r="N97" s="8"/>
      <c r="O97" s="8"/>
      <c r="P97" s="8"/>
      <c r="Q97" s="8"/>
      <c r="R97" s="8"/>
      <c r="S97" s="8"/>
      <c r="T97" s="8"/>
      <c r="U97" s="8"/>
      <c r="V97" s="8"/>
      <c r="W97" s="8"/>
      <c r="X97" s="8"/>
      <c r="Y97" s="8"/>
      <c r="Z97" s="8"/>
    </row>
    <row r="98" ht="13.65" customHeight="1">
      <c r="A98" s="54">
        <v>44682</v>
      </c>
      <c r="B98" s="53">
        <v>2022</v>
      </c>
      <c r="C98" t="s" s="7">
        <v>10125</v>
      </c>
      <c r="D98" t="s" s="7">
        <v>10138</v>
      </c>
      <c r="E98" t="s" s="7">
        <v>10090</v>
      </c>
      <c r="F98" t="s" s="7">
        <v>10062</v>
      </c>
      <c r="G98" s="53" cm="1">
        <f t="array" ref="G98">2</f>
        <v>2</v>
      </c>
      <c r="H98" s="8"/>
      <c r="I98" s="8"/>
      <c r="J98" s="8"/>
      <c r="K98" s="8"/>
      <c r="L98" s="8"/>
      <c r="M98" s="8"/>
      <c r="N98" s="8"/>
      <c r="O98" s="8"/>
      <c r="P98" s="8"/>
      <c r="Q98" s="8"/>
      <c r="R98" s="8"/>
      <c r="S98" s="8"/>
      <c r="T98" s="8"/>
      <c r="U98" s="8"/>
      <c r="V98" s="8"/>
      <c r="W98" s="8"/>
      <c r="X98" s="8"/>
      <c r="Y98" s="8"/>
      <c r="Z98" s="8"/>
    </row>
    <row r="99" ht="13.65" customHeight="1">
      <c r="A99" s="52">
        <v>44713</v>
      </c>
      <c r="B99" s="53">
        <v>2022</v>
      </c>
      <c r="C99" t="s" s="7">
        <v>10125</v>
      </c>
      <c r="D99" t="s" s="7">
        <v>10139</v>
      </c>
      <c r="E99" t="s" s="7">
        <v>10080</v>
      </c>
      <c r="F99" t="s" s="7">
        <v>10070</v>
      </c>
      <c r="G99" s="53" cm="1">
        <f t="array" ref="G99">1</f>
        <v>1</v>
      </c>
      <c r="H99" s="8"/>
      <c r="I99" s="8"/>
      <c r="J99" s="8"/>
      <c r="K99" s="8"/>
      <c r="L99" s="8"/>
      <c r="M99" s="8"/>
      <c r="N99" s="8"/>
      <c r="O99" s="8"/>
      <c r="P99" s="8"/>
      <c r="Q99" s="8"/>
      <c r="R99" s="8"/>
      <c r="S99" s="8"/>
      <c r="T99" s="8"/>
      <c r="U99" s="8"/>
      <c r="V99" s="8"/>
      <c r="W99" s="8"/>
      <c r="X99" s="8"/>
      <c r="Y99" s="8"/>
      <c r="Z99" s="8"/>
    </row>
    <row r="100" ht="13.65" customHeight="1">
      <c r="A100" s="52">
        <v>44743</v>
      </c>
      <c r="B100" s="53">
        <v>2022</v>
      </c>
      <c r="C100" t="s" s="7">
        <v>10125</v>
      </c>
      <c r="D100" t="s" s="7">
        <v>10140</v>
      </c>
      <c r="E100" t="s" s="7">
        <v>10077</v>
      </c>
      <c r="F100" t="s" s="7">
        <v>10062</v>
      </c>
      <c r="G100" s="53" cm="1">
        <f t="array" ref="G100">2</f>
        <v>2</v>
      </c>
      <c r="H100" s="8"/>
      <c r="I100" s="8"/>
      <c r="J100" s="8"/>
      <c r="K100" s="8"/>
      <c r="L100" s="8"/>
      <c r="M100" s="8"/>
      <c r="N100" s="8"/>
      <c r="O100" s="8"/>
      <c r="P100" s="8"/>
      <c r="Q100" s="8"/>
      <c r="R100" s="8"/>
      <c r="S100" s="8"/>
      <c r="T100" s="8"/>
      <c r="U100" s="8"/>
      <c r="V100" s="8"/>
      <c r="W100" s="8"/>
      <c r="X100" s="8"/>
      <c r="Y100" s="8"/>
      <c r="Z100" s="8"/>
    </row>
    <row r="101" ht="13.65" customHeight="1">
      <c r="A101" s="52">
        <v>44774</v>
      </c>
      <c r="B101" s="53">
        <v>2022</v>
      </c>
      <c r="C101" t="s" s="7">
        <v>10125</v>
      </c>
      <c r="D101" t="s" s="7">
        <v>10141</v>
      </c>
      <c r="E101" t="s" s="7">
        <v>10083</v>
      </c>
      <c r="F101" t="s" s="7">
        <v>10070</v>
      </c>
      <c r="G101" s="53" cm="1">
        <f t="array" ref="G101">1</f>
        <v>1</v>
      </c>
      <c r="H101" s="8"/>
      <c r="I101" s="8"/>
      <c r="J101" s="8"/>
      <c r="K101" s="8"/>
      <c r="L101" s="8"/>
      <c r="M101" s="8"/>
      <c r="N101" s="8"/>
      <c r="O101" s="8"/>
      <c r="P101" s="8"/>
      <c r="Q101" s="8"/>
      <c r="R101" s="8"/>
      <c r="S101" s="8"/>
      <c r="T101" s="8"/>
      <c r="U101" s="8"/>
      <c r="V101" s="8"/>
      <c r="W101" s="8"/>
      <c r="X101" s="8"/>
      <c r="Y101" s="8"/>
      <c r="Z101" s="8"/>
    </row>
    <row r="102" ht="13.65" customHeight="1">
      <c r="A102" s="52">
        <v>44805</v>
      </c>
      <c r="B102" s="53">
        <v>2022</v>
      </c>
      <c r="C102" t="s" s="7">
        <v>10125</v>
      </c>
      <c r="D102" t="s" s="7">
        <v>10142</v>
      </c>
      <c r="E102" t="s" s="7">
        <v>10090</v>
      </c>
      <c r="F102" t="s" s="7">
        <v>10070</v>
      </c>
      <c r="G102" s="53" cm="1">
        <f t="array" ref="G102">1</f>
        <v>1</v>
      </c>
      <c r="H102" s="8"/>
      <c r="I102" s="8"/>
      <c r="J102" s="8"/>
      <c r="K102" s="8"/>
      <c r="L102" s="8"/>
      <c r="M102" s="8"/>
      <c r="N102" s="8"/>
      <c r="O102" s="8"/>
      <c r="P102" s="8"/>
      <c r="Q102" s="8"/>
      <c r="R102" s="8"/>
      <c r="S102" s="8"/>
      <c r="T102" s="8"/>
      <c r="U102" s="8"/>
      <c r="V102" s="8"/>
      <c r="W102" s="8"/>
      <c r="X102" s="8"/>
      <c r="Y102" s="8"/>
      <c r="Z102" s="8"/>
    </row>
    <row r="103" ht="13.65" customHeight="1">
      <c r="A103" s="52">
        <v>44835</v>
      </c>
      <c r="B103" s="53">
        <v>2022</v>
      </c>
      <c r="C103" t="s" s="7">
        <v>10125</v>
      </c>
      <c r="D103" t="s" s="7">
        <v>10143</v>
      </c>
      <c r="E103" t="s" s="7">
        <v>10086</v>
      </c>
      <c r="F103" t="s" s="7">
        <v>10070</v>
      </c>
      <c r="G103" s="53" cm="1">
        <f t="array" ref="G103">1</f>
        <v>1</v>
      </c>
      <c r="H103" s="8"/>
      <c r="I103" s="8"/>
      <c r="J103" s="8"/>
      <c r="K103" s="8"/>
      <c r="L103" s="8"/>
      <c r="M103" s="8"/>
      <c r="N103" s="8"/>
      <c r="O103" s="8"/>
      <c r="P103" s="8"/>
      <c r="Q103" s="8"/>
      <c r="R103" s="8"/>
      <c r="S103" s="8"/>
      <c r="T103" s="8"/>
      <c r="U103" s="8"/>
      <c r="V103" s="8"/>
      <c r="W103" s="8"/>
      <c r="X103" s="8"/>
      <c r="Y103" s="8"/>
      <c r="Z103" s="8"/>
    </row>
    <row r="104" ht="13.65" customHeight="1">
      <c r="A104" s="52">
        <v>44896</v>
      </c>
      <c r="B104" s="53">
        <v>2022</v>
      </c>
      <c r="C104" t="s" s="7">
        <v>10125</v>
      </c>
      <c r="D104" t="s" s="7">
        <v>10144</v>
      </c>
      <c r="E104" t="s" s="7">
        <v>10080</v>
      </c>
      <c r="F104" t="s" s="7">
        <v>10070</v>
      </c>
      <c r="G104" s="53" cm="1">
        <f t="array" ref="G104">1</f>
        <v>1</v>
      </c>
      <c r="H104" s="8"/>
      <c r="I104" s="8"/>
      <c r="J104" s="8"/>
      <c r="K104" s="8"/>
      <c r="L104" s="8"/>
      <c r="M104" s="8"/>
      <c r="N104" s="8"/>
      <c r="O104" s="8"/>
      <c r="P104" s="8"/>
      <c r="Q104" s="8"/>
      <c r="R104" s="8"/>
      <c r="S104" s="8"/>
      <c r="T104" s="8"/>
      <c r="U104" s="8"/>
      <c r="V104" s="8"/>
      <c r="W104" s="8"/>
      <c r="X104" s="8"/>
      <c r="Y104" s="8"/>
      <c r="Z104" s="8"/>
    </row>
    <row r="105" ht="13.65" customHeight="1">
      <c r="A105" s="52">
        <v>44927</v>
      </c>
      <c r="B105" s="53">
        <v>2023</v>
      </c>
      <c r="C105" t="s" s="7">
        <v>10125</v>
      </c>
      <c r="D105" t="s" s="7">
        <v>10145</v>
      </c>
      <c r="E105" t="s" s="7">
        <v>10077</v>
      </c>
      <c r="F105" t="s" s="7">
        <v>10062</v>
      </c>
      <c r="G105" s="53" cm="1">
        <f t="array" ref="G105">2</f>
        <v>2</v>
      </c>
      <c r="H105" s="8"/>
      <c r="I105" s="8"/>
      <c r="J105" s="8"/>
      <c r="K105" s="8"/>
      <c r="L105" s="8"/>
      <c r="M105" s="8"/>
      <c r="N105" s="8"/>
      <c r="O105" s="8"/>
      <c r="P105" s="8"/>
      <c r="Q105" s="8"/>
      <c r="R105" s="8"/>
      <c r="S105" s="8"/>
      <c r="T105" s="8"/>
      <c r="U105" s="8"/>
      <c r="V105" s="8"/>
      <c r="W105" s="8"/>
      <c r="X105" s="8"/>
      <c r="Y105" s="8"/>
      <c r="Z105" s="8"/>
    </row>
    <row r="106" ht="13.65" customHeight="1">
      <c r="A106" s="52">
        <v>44986</v>
      </c>
      <c r="B106" s="53">
        <v>2023</v>
      </c>
      <c r="C106" t="s" s="7">
        <v>10125</v>
      </c>
      <c r="D106" t="s" s="7">
        <v>10146</v>
      </c>
      <c r="E106" t="s" s="7">
        <v>10090</v>
      </c>
      <c r="F106" t="s" s="7">
        <v>10070</v>
      </c>
      <c r="G106" s="53" cm="1">
        <f t="array" ref="G106">1</f>
        <v>1</v>
      </c>
      <c r="H106" s="8"/>
      <c r="I106" s="8"/>
      <c r="J106" s="8"/>
      <c r="K106" s="8"/>
      <c r="L106" s="8"/>
      <c r="M106" s="8"/>
      <c r="N106" s="8"/>
      <c r="O106" s="8"/>
      <c r="P106" s="8"/>
      <c r="Q106" s="8"/>
      <c r="R106" s="8"/>
      <c r="S106" s="8"/>
      <c r="T106" s="8"/>
      <c r="U106" s="8"/>
      <c r="V106" s="8"/>
      <c r="W106" s="8"/>
      <c r="X106" s="8"/>
      <c r="Y106" s="8"/>
      <c r="Z106" s="8"/>
    </row>
    <row r="107" ht="13.65" customHeight="1">
      <c r="A107" s="8"/>
      <c r="B107" s="8"/>
      <c r="C107" s="8"/>
      <c r="D107" s="8"/>
      <c r="E107" s="8"/>
      <c r="F107" t="s" s="7">
        <v>10136</v>
      </c>
      <c r="G107" s="53" cm="1">
        <f t="array" ref="G107">AVERAGE(G97:G106)</f>
        <v>1.4</v>
      </c>
      <c r="H107" s="8"/>
      <c r="I107" s="8"/>
      <c r="J107" s="8"/>
      <c r="K107" s="8"/>
      <c r="L107" s="8"/>
      <c r="M107" s="8"/>
      <c r="N107" s="8"/>
      <c r="O107" s="8"/>
      <c r="P107" s="8"/>
      <c r="Q107" s="8"/>
      <c r="R107" s="8"/>
      <c r="S107" s="8"/>
      <c r="T107" s="8"/>
      <c r="U107" s="8"/>
      <c r="V107" s="8"/>
      <c r="W107" s="8"/>
      <c r="X107" s="8"/>
      <c r="Y107" s="8"/>
      <c r="Z107" s="8"/>
    </row>
    <row r="108" ht="13.6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3.65" customHeight="1">
      <c r="A109" t="s" s="7">
        <v>529</v>
      </c>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3.65" customHeight="1">
      <c r="A110" t="s" s="51">
        <v>1281</v>
      </c>
      <c r="B110" t="s" s="51">
        <v>10055</v>
      </c>
      <c r="C110" t="s" s="51">
        <v>10056</v>
      </c>
      <c r="D110" t="s" s="51">
        <v>10057</v>
      </c>
      <c r="E110" t="s" s="51">
        <v>10075</v>
      </c>
      <c r="F110" t="s" s="51">
        <v>10058</v>
      </c>
      <c r="G110" t="s" s="51">
        <v>10059</v>
      </c>
      <c r="H110" s="8"/>
      <c r="I110" s="8"/>
      <c r="J110" s="8"/>
      <c r="K110" s="8"/>
      <c r="L110" s="8"/>
      <c r="M110" s="8"/>
      <c r="N110" s="8"/>
      <c r="O110" s="8"/>
      <c r="P110" s="8"/>
      <c r="Q110" s="8"/>
      <c r="R110" s="8"/>
      <c r="S110" s="8"/>
      <c r="T110" s="8"/>
      <c r="U110" s="8"/>
      <c r="V110" s="8"/>
      <c r="W110" s="8"/>
      <c r="X110" s="8"/>
      <c r="Y110" s="8"/>
      <c r="Z110" s="8"/>
    </row>
    <row r="111" ht="13.65" customHeight="1">
      <c r="A111" s="52">
        <v>45017</v>
      </c>
      <c r="B111" s="53">
        <v>2023</v>
      </c>
      <c r="C111" t="s" s="7">
        <v>10125</v>
      </c>
      <c r="D111" t="s" s="7">
        <v>10147</v>
      </c>
      <c r="E111" t="s" s="7">
        <v>10086</v>
      </c>
      <c r="F111" t="s" s="7">
        <v>10070</v>
      </c>
      <c r="G111" s="53" cm="1">
        <f t="array" ref="G111">1</f>
        <v>1</v>
      </c>
      <c r="H111" s="8"/>
      <c r="I111" s="8"/>
      <c r="J111" s="8"/>
      <c r="K111" s="8"/>
      <c r="L111" s="8"/>
      <c r="M111" s="8"/>
      <c r="N111" s="8"/>
      <c r="O111" s="8"/>
      <c r="P111" s="8"/>
      <c r="Q111" s="8"/>
      <c r="R111" s="8"/>
      <c r="S111" s="8"/>
      <c r="T111" s="8"/>
      <c r="U111" s="8"/>
      <c r="V111" s="8"/>
      <c r="W111" s="8"/>
      <c r="X111" s="8"/>
      <c r="Y111" s="8"/>
      <c r="Z111" s="8"/>
    </row>
    <row r="112" ht="13.65" customHeight="1">
      <c r="A112" s="52">
        <v>45108</v>
      </c>
      <c r="B112" s="53">
        <v>2023</v>
      </c>
      <c r="C112" t="s" s="7">
        <v>10125</v>
      </c>
      <c r="D112" t="s" s="7">
        <v>10148</v>
      </c>
      <c r="E112" t="s" s="7">
        <v>10086</v>
      </c>
      <c r="F112" t="s" s="7">
        <v>10062</v>
      </c>
      <c r="G112" s="53" cm="1">
        <f t="array" ref="G112">2</f>
        <v>2</v>
      </c>
      <c r="H112" s="8"/>
      <c r="I112" s="8"/>
      <c r="J112" s="8"/>
      <c r="K112" s="8"/>
      <c r="L112" s="8"/>
      <c r="M112" s="8"/>
      <c r="N112" s="8"/>
      <c r="O112" s="8"/>
      <c r="P112" s="8"/>
      <c r="Q112" s="8"/>
      <c r="R112" s="8"/>
      <c r="S112" s="8"/>
      <c r="T112" s="8"/>
      <c r="U112" s="8"/>
      <c r="V112" s="8"/>
      <c r="W112" s="8"/>
      <c r="X112" s="8"/>
      <c r="Y112" s="8"/>
      <c r="Z112" s="8"/>
    </row>
    <row r="113" ht="13.65" customHeight="1">
      <c r="A113" s="52">
        <v>45108</v>
      </c>
      <c r="B113" s="53">
        <v>2023</v>
      </c>
      <c r="C113" t="s" s="7">
        <v>10125</v>
      </c>
      <c r="D113" t="s" s="7">
        <v>10149</v>
      </c>
      <c r="E113" t="s" s="7">
        <v>10090</v>
      </c>
      <c r="F113" t="s" s="7">
        <v>10062</v>
      </c>
      <c r="G113" s="53" cm="1">
        <f t="array" ref="G113">2</f>
        <v>2</v>
      </c>
      <c r="H113" s="8"/>
      <c r="I113" s="8"/>
      <c r="J113" s="8"/>
      <c r="K113" s="8"/>
      <c r="L113" s="8"/>
      <c r="M113" s="8"/>
      <c r="N113" s="8"/>
      <c r="O113" s="8"/>
      <c r="P113" s="8"/>
      <c r="Q113" s="8"/>
      <c r="R113" s="8"/>
      <c r="S113" s="8"/>
      <c r="T113" s="8"/>
      <c r="U113" s="8"/>
      <c r="V113" s="8"/>
      <c r="W113" s="8"/>
      <c r="X113" s="8"/>
      <c r="Y113" s="8"/>
      <c r="Z113" s="8"/>
    </row>
    <row r="114" ht="13.65" customHeight="1">
      <c r="A114" s="52">
        <v>45139</v>
      </c>
      <c r="B114" s="53">
        <v>2023</v>
      </c>
      <c r="C114" t="s" s="7">
        <v>10125</v>
      </c>
      <c r="D114" t="s" s="7">
        <v>10150</v>
      </c>
      <c r="E114" t="s" s="7">
        <v>10080</v>
      </c>
      <c r="F114" t="s" s="7">
        <v>10070</v>
      </c>
      <c r="G114" s="53" cm="1">
        <f t="array" ref="G114">1</f>
        <v>1</v>
      </c>
      <c r="H114" s="8"/>
      <c r="I114" s="8"/>
      <c r="J114" s="8"/>
      <c r="K114" s="8"/>
      <c r="L114" s="8"/>
      <c r="M114" s="8"/>
      <c r="N114" s="8"/>
      <c r="O114" s="8"/>
      <c r="P114" s="8"/>
      <c r="Q114" s="8"/>
      <c r="R114" s="8"/>
      <c r="S114" s="8"/>
      <c r="T114" s="8"/>
      <c r="U114" s="8"/>
      <c r="V114" s="8"/>
      <c r="W114" s="8"/>
      <c r="X114" s="8"/>
      <c r="Y114" s="8"/>
      <c r="Z114" s="8"/>
    </row>
    <row r="115" ht="13.65" customHeight="1">
      <c r="A115" s="52">
        <v>45200</v>
      </c>
      <c r="B115" s="53">
        <v>2023</v>
      </c>
      <c r="C115" t="s" s="7">
        <v>10125</v>
      </c>
      <c r="D115" t="s" s="7">
        <v>10151</v>
      </c>
      <c r="E115" t="s" s="7">
        <v>10077</v>
      </c>
      <c r="F115" t="s" s="7">
        <v>10062</v>
      </c>
      <c r="G115" s="53" cm="1">
        <f t="array" ref="G115">2</f>
        <v>2</v>
      </c>
      <c r="H115" s="8"/>
      <c r="I115" s="8"/>
      <c r="J115" s="8"/>
      <c r="K115" s="8"/>
      <c r="L115" s="8"/>
      <c r="M115" s="8"/>
      <c r="N115" s="8"/>
      <c r="O115" s="8"/>
      <c r="P115" s="8"/>
      <c r="Q115" s="8"/>
      <c r="R115" s="8"/>
      <c r="S115" s="8"/>
      <c r="T115" s="8"/>
      <c r="U115" s="8"/>
      <c r="V115" s="8"/>
      <c r="W115" s="8"/>
      <c r="X115" s="8"/>
      <c r="Y115" s="8"/>
      <c r="Z115" s="8"/>
    </row>
    <row r="116" ht="13.65" customHeight="1">
      <c r="A116" s="52">
        <v>45231</v>
      </c>
      <c r="B116" s="53">
        <v>2023</v>
      </c>
      <c r="C116" t="s" s="7">
        <v>10125</v>
      </c>
      <c r="D116" t="s" s="7">
        <v>10152</v>
      </c>
      <c r="E116" t="s" s="7">
        <v>10083</v>
      </c>
      <c r="F116" t="s" s="7">
        <v>10070</v>
      </c>
      <c r="G116" s="53" cm="1">
        <f t="array" ref="G116">1</f>
        <v>1</v>
      </c>
      <c r="H116" s="8"/>
      <c r="I116" s="8"/>
      <c r="J116" s="8"/>
      <c r="K116" s="8"/>
      <c r="L116" s="8"/>
      <c r="M116" s="8"/>
      <c r="N116" s="8"/>
      <c r="O116" s="8"/>
      <c r="P116" s="8"/>
      <c r="Q116" s="8"/>
      <c r="R116" s="8"/>
      <c r="S116" s="8"/>
      <c r="T116" s="8"/>
      <c r="U116" s="8"/>
      <c r="V116" s="8"/>
      <c r="W116" s="8"/>
      <c r="X116" s="8"/>
      <c r="Y116" s="8"/>
      <c r="Z116" s="8"/>
    </row>
    <row r="117" ht="13.65" customHeight="1">
      <c r="A117" s="52">
        <v>45292</v>
      </c>
      <c r="B117" s="53">
        <v>2024</v>
      </c>
      <c r="C117" t="s" s="7">
        <v>10125</v>
      </c>
      <c r="D117" t="s" s="7">
        <v>10153</v>
      </c>
      <c r="E117" t="s" s="7">
        <v>10086</v>
      </c>
      <c r="F117" t="s" s="7">
        <v>10070</v>
      </c>
      <c r="G117" s="53" cm="1">
        <f t="array" ref="G117">1</f>
        <v>1</v>
      </c>
      <c r="H117" s="8"/>
      <c r="I117" s="8"/>
      <c r="J117" s="8"/>
      <c r="K117" s="8"/>
      <c r="L117" s="8"/>
      <c r="M117" s="8"/>
      <c r="N117" s="8"/>
      <c r="O117" s="8"/>
      <c r="P117" s="8"/>
      <c r="Q117" s="8"/>
      <c r="R117" s="8"/>
      <c r="S117" s="8"/>
      <c r="T117" s="8"/>
      <c r="U117" s="8"/>
      <c r="V117" s="8"/>
      <c r="W117" s="8"/>
      <c r="X117" s="8"/>
      <c r="Y117" s="8"/>
      <c r="Z117" s="8"/>
    </row>
    <row r="118" ht="13.65" customHeight="1">
      <c r="A118" s="52">
        <v>45323</v>
      </c>
      <c r="B118" s="53">
        <v>2024</v>
      </c>
      <c r="C118" t="s" s="7">
        <v>10125</v>
      </c>
      <c r="D118" t="s" s="7">
        <v>10154</v>
      </c>
      <c r="E118" t="s" s="7">
        <v>10090</v>
      </c>
      <c r="F118" t="s" s="7">
        <v>10070</v>
      </c>
      <c r="G118" s="53" cm="1">
        <f t="array" ref="G118">1</f>
        <v>1</v>
      </c>
      <c r="H118" s="8"/>
      <c r="I118" s="8"/>
      <c r="J118" s="8"/>
      <c r="K118" s="8"/>
      <c r="L118" s="8"/>
      <c r="M118" s="8"/>
      <c r="N118" s="8"/>
      <c r="O118" s="8"/>
      <c r="P118" s="8"/>
      <c r="Q118" s="8"/>
      <c r="R118" s="8"/>
      <c r="S118" s="8"/>
      <c r="T118" s="8"/>
      <c r="U118" s="8"/>
      <c r="V118" s="8"/>
      <c r="W118" s="8"/>
      <c r="X118" s="8"/>
      <c r="Y118" s="8"/>
      <c r="Z118" s="8"/>
    </row>
    <row r="119" ht="13.65" customHeight="1">
      <c r="A119" s="52">
        <v>45352</v>
      </c>
      <c r="B119" s="53">
        <v>2024</v>
      </c>
      <c r="C119" t="s" s="7">
        <v>10125</v>
      </c>
      <c r="D119" t="s" s="7">
        <v>10155</v>
      </c>
      <c r="E119" t="s" s="7">
        <v>10123</v>
      </c>
      <c r="F119" t="s" s="7">
        <v>10070</v>
      </c>
      <c r="G119" s="53" cm="1">
        <f t="array" ref="G119">1</f>
        <v>1</v>
      </c>
      <c r="H119" s="8"/>
      <c r="I119" s="8"/>
      <c r="J119" s="8"/>
      <c r="K119" s="8"/>
      <c r="L119" s="8"/>
      <c r="M119" s="8"/>
      <c r="N119" s="8"/>
      <c r="O119" s="8"/>
      <c r="P119" s="8"/>
      <c r="Q119" s="8"/>
      <c r="R119" s="8"/>
      <c r="S119" s="8"/>
      <c r="T119" s="8"/>
      <c r="U119" s="8"/>
      <c r="V119" s="8"/>
      <c r="W119" s="8"/>
      <c r="X119" s="8"/>
      <c r="Y119" s="8"/>
      <c r="Z119" s="8"/>
    </row>
    <row r="120" ht="13.65" customHeight="1">
      <c r="A120" s="52">
        <v>45352</v>
      </c>
      <c r="B120" s="53">
        <v>2024</v>
      </c>
      <c r="C120" t="s" s="7">
        <v>10125</v>
      </c>
      <c r="D120" t="s" s="7">
        <v>10156</v>
      </c>
      <c r="E120" t="s" s="7">
        <v>10077</v>
      </c>
      <c r="F120" t="s" s="7">
        <v>10070</v>
      </c>
      <c r="G120" s="53" cm="1">
        <f t="array" ref="G120">1</f>
        <v>1</v>
      </c>
      <c r="H120" s="8"/>
      <c r="I120" s="8"/>
      <c r="J120" s="8"/>
      <c r="K120" s="8"/>
      <c r="L120" s="8"/>
      <c r="M120" s="8"/>
      <c r="N120" s="8"/>
      <c r="O120" s="8"/>
      <c r="P120" s="8"/>
      <c r="Q120" s="8"/>
      <c r="R120" s="8"/>
      <c r="S120" s="8"/>
      <c r="T120" s="8"/>
      <c r="U120" s="8"/>
      <c r="V120" s="8"/>
      <c r="W120" s="8"/>
      <c r="X120" s="8"/>
      <c r="Y120" s="8"/>
      <c r="Z120" s="8"/>
    </row>
    <row r="121" ht="13.6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3.65" customHeight="1">
      <c r="A122" s="8"/>
      <c r="B122" s="8"/>
      <c r="C122" s="8"/>
      <c r="D122" s="8"/>
      <c r="E122" s="8"/>
      <c r="F122" t="s" s="7">
        <v>10136</v>
      </c>
      <c r="G122" s="53" cm="1">
        <f t="array" ref="G122">AVERAGE(G111:G120)</f>
        <v>1.3</v>
      </c>
      <c r="H122" s="8"/>
      <c r="I122" s="8"/>
      <c r="J122" s="8"/>
      <c r="K122" s="8"/>
      <c r="L122" s="8"/>
      <c r="M122" s="8"/>
      <c r="N122" s="8"/>
      <c r="O122" s="8"/>
      <c r="P122" s="8"/>
      <c r="Q122" s="8"/>
      <c r="R122" s="8"/>
      <c r="S122" s="8"/>
      <c r="T122" s="8"/>
      <c r="U122" s="8"/>
      <c r="V122" s="8"/>
      <c r="W122" s="8"/>
      <c r="X122" s="8"/>
      <c r="Y122" s="8"/>
      <c r="Z122" s="8"/>
    </row>
    <row r="123" ht="13.65" customHeight="1">
      <c r="A123" t="s" s="7">
        <v>778</v>
      </c>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3.65" customHeight="1">
      <c r="A124" t="s" s="51">
        <v>1281</v>
      </c>
      <c r="B124" t="s" s="51">
        <v>10055</v>
      </c>
      <c r="C124" t="s" s="51">
        <v>10056</v>
      </c>
      <c r="D124" t="s" s="51">
        <v>10057</v>
      </c>
      <c r="E124" t="s" s="51">
        <v>10075</v>
      </c>
      <c r="F124" t="s" s="51">
        <v>10058</v>
      </c>
      <c r="G124" t="s" s="51">
        <v>10059</v>
      </c>
      <c r="H124" s="8"/>
      <c r="I124" s="8"/>
      <c r="J124" s="8"/>
      <c r="K124" s="8"/>
      <c r="L124" s="8"/>
      <c r="M124" s="8"/>
      <c r="N124" s="8"/>
      <c r="O124" s="8"/>
      <c r="P124" s="8"/>
      <c r="Q124" s="8"/>
      <c r="R124" s="8"/>
      <c r="S124" s="8"/>
      <c r="T124" s="8"/>
      <c r="U124" s="8"/>
      <c r="V124" s="8"/>
      <c r="W124" s="8"/>
      <c r="X124" s="8"/>
      <c r="Y124" s="8"/>
      <c r="Z124" s="8"/>
    </row>
    <row r="125" ht="13.65" customHeight="1">
      <c r="A125" s="52">
        <v>45383</v>
      </c>
      <c r="B125" s="53">
        <v>2024</v>
      </c>
      <c r="C125" t="s" s="7">
        <v>10125</v>
      </c>
      <c r="D125" t="s" s="7">
        <v>10157</v>
      </c>
      <c r="E125" t="s" s="7">
        <v>10083</v>
      </c>
      <c r="F125" t="s" s="7">
        <v>10070</v>
      </c>
      <c r="G125" s="53" cm="1">
        <f t="array" ref="G125">1</f>
        <v>1</v>
      </c>
      <c r="H125" s="8"/>
      <c r="I125" s="8"/>
      <c r="J125" s="8"/>
      <c r="K125" s="8"/>
      <c r="L125" s="8"/>
      <c r="M125" s="8"/>
      <c r="N125" s="8"/>
      <c r="O125" s="8"/>
      <c r="P125" s="8"/>
      <c r="Q125" s="8"/>
      <c r="R125" s="8"/>
      <c r="S125" s="8"/>
      <c r="T125" s="8"/>
      <c r="U125" s="8"/>
      <c r="V125" s="8"/>
      <c r="W125" s="8"/>
      <c r="X125" s="8"/>
      <c r="Y125" s="8"/>
      <c r="Z125" s="8"/>
    </row>
    <row r="126" ht="13.65" customHeight="1">
      <c r="A126" s="54">
        <v>45413</v>
      </c>
      <c r="B126" s="53">
        <v>2024</v>
      </c>
      <c r="C126" t="s" s="7">
        <v>10125</v>
      </c>
      <c r="D126" t="s" s="7">
        <v>10158</v>
      </c>
      <c r="E126" t="s" s="7">
        <v>10090</v>
      </c>
      <c r="F126" t="s" s="7">
        <v>10070</v>
      </c>
      <c r="G126" s="53" cm="1">
        <f t="array" ref="G126">1</f>
        <v>1</v>
      </c>
      <c r="H126" s="8"/>
      <c r="I126" s="8"/>
      <c r="J126" s="8"/>
      <c r="K126" s="8"/>
      <c r="L126" s="8"/>
      <c r="M126" s="8"/>
      <c r="N126" s="8"/>
      <c r="O126" s="8"/>
      <c r="P126" s="8"/>
      <c r="Q126" s="8"/>
      <c r="R126" s="8"/>
      <c r="S126" s="8"/>
      <c r="T126" s="8"/>
      <c r="U126" s="8"/>
      <c r="V126" s="8"/>
      <c r="W126" s="8"/>
      <c r="X126" s="8"/>
      <c r="Y126" s="8"/>
      <c r="Z126" s="8"/>
    </row>
    <row r="127" ht="13.65" customHeight="1">
      <c r="A127" s="52">
        <v>45474</v>
      </c>
      <c r="B127" s="53">
        <v>2024</v>
      </c>
      <c r="C127" t="s" s="7">
        <v>10125</v>
      </c>
      <c r="D127" t="s" s="7">
        <v>10159</v>
      </c>
      <c r="E127" t="s" s="7">
        <v>10077</v>
      </c>
      <c r="F127" t="s" s="7">
        <v>10070</v>
      </c>
      <c r="G127" s="53" cm="1">
        <f t="array" ref="G127">1</f>
        <v>1</v>
      </c>
      <c r="H127" s="8"/>
      <c r="I127" s="8"/>
      <c r="J127" s="8"/>
      <c r="K127" s="8"/>
      <c r="L127" s="8"/>
      <c r="M127" s="8"/>
      <c r="N127" s="8"/>
      <c r="O127" s="8"/>
      <c r="P127" s="8"/>
      <c r="Q127" s="8"/>
      <c r="R127" s="8"/>
      <c r="S127" s="8"/>
      <c r="T127" s="8"/>
      <c r="U127" s="8"/>
      <c r="V127" s="8"/>
      <c r="W127" s="8"/>
      <c r="X127" s="8"/>
      <c r="Y127" s="8"/>
      <c r="Z127" s="8"/>
    </row>
    <row r="128" ht="13.65" customHeight="1">
      <c r="A128" s="52">
        <v>45505</v>
      </c>
      <c r="B128" s="53">
        <v>2024</v>
      </c>
      <c r="C128" t="s" s="7">
        <v>10125</v>
      </c>
      <c r="D128" t="s" s="7">
        <v>10160</v>
      </c>
      <c r="E128" t="s" s="7">
        <v>10086</v>
      </c>
      <c r="F128" t="s" s="7">
        <v>10070</v>
      </c>
      <c r="G128" s="53" cm="1">
        <f t="array" ref="G128">1</f>
        <v>1</v>
      </c>
      <c r="H128" s="8"/>
      <c r="I128" s="8"/>
      <c r="J128" s="8"/>
      <c r="K128" s="8"/>
      <c r="L128" s="8"/>
      <c r="M128" s="8"/>
      <c r="N128" s="8"/>
      <c r="O128" s="8"/>
      <c r="P128" s="8"/>
      <c r="Q128" s="8"/>
      <c r="R128" s="8"/>
      <c r="S128" s="8"/>
      <c r="T128" s="8"/>
      <c r="U128" s="8"/>
      <c r="V128" s="8"/>
      <c r="W128" s="8"/>
      <c r="X128" s="8"/>
      <c r="Y128" s="8"/>
      <c r="Z128" s="8"/>
    </row>
    <row r="129" ht="13.65" customHeight="1">
      <c r="A129" s="52">
        <v>45566</v>
      </c>
      <c r="B129" s="53">
        <v>2024</v>
      </c>
      <c r="C129" t="s" s="7">
        <v>10125</v>
      </c>
      <c r="D129" t="s" s="7">
        <v>10161</v>
      </c>
      <c r="E129" t="s" s="7">
        <v>10086</v>
      </c>
      <c r="F129" t="s" s="7">
        <v>10070</v>
      </c>
      <c r="G129" s="53" cm="1">
        <f t="array" ref="G129">1</f>
        <v>1</v>
      </c>
      <c r="H129" s="8"/>
      <c r="I129" s="8"/>
      <c r="J129" s="8"/>
      <c r="K129" s="8"/>
      <c r="L129" s="8"/>
      <c r="M129" s="8"/>
      <c r="N129" s="8"/>
      <c r="O129" s="8"/>
      <c r="P129" s="8"/>
      <c r="Q129" s="8"/>
      <c r="R129" s="8"/>
      <c r="S129" s="8"/>
      <c r="T129" s="8"/>
      <c r="U129" s="8"/>
      <c r="V129" s="8"/>
      <c r="W129" s="8"/>
      <c r="X129" s="8"/>
      <c r="Y129" s="8"/>
      <c r="Z129" s="8"/>
    </row>
    <row r="130" ht="13.65" customHeight="1">
      <c r="A130" s="52">
        <v>45597</v>
      </c>
      <c r="B130" s="53">
        <v>2024</v>
      </c>
      <c r="C130" t="s" s="7">
        <v>10125</v>
      </c>
      <c r="D130" t="s" s="7">
        <v>10162</v>
      </c>
      <c r="E130" t="s" s="7">
        <v>10080</v>
      </c>
      <c r="F130" t="s" s="7">
        <v>10070</v>
      </c>
      <c r="G130" s="53" cm="1">
        <f t="array" ref="G130">1</f>
        <v>1</v>
      </c>
      <c r="H130" s="8"/>
      <c r="I130" s="8"/>
      <c r="J130" s="8"/>
      <c r="K130" s="8"/>
      <c r="L130" s="8"/>
      <c r="M130" s="8"/>
      <c r="N130" s="8"/>
      <c r="O130" s="8"/>
      <c r="P130" s="8"/>
      <c r="Q130" s="8"/>
      <c r="R130" s="8"/>
      <c r="S130" s="8"/>
      <c r="T130" s="8"/>
      <c r="U130" s="8"/>
      <c r="V130" s="8"/>
      <c r="W130" s="8"/>
      <c r="X130" s="8"/>
      <c r="Y130" s="8"/>
      <c r="Z130" s="8"/>
    </row>
    <row r="131" ht="13.65" customHeight="1">
      <c r="A131" s="52">
        <v>45627</v>
      </c>
      <c r="B131" s="53">
        <v>2024</v>
      </c>
      <c r="C131" t="s" s="7">
        <v>10125</v>
      </c>
      <c r="D131" t="s" s="7">
        <v>10163</v>
      </c>
      <c r="E131" t="s" s="7">
        <v>10083</v>
      </c>
      <c r="F131" t="s" s="7">
        <v>10070</v>
      </c>
      <c r="G131" s="53" cm="1">
        <f t="array" ref="G131">1</f>
        <v>1</v>
      </c>
      <c r="H131" s="8"/>
      <c r="I131" s="8"/>
      <c r="J131" s="8"/>
      <c r="K131" s="8"/>
      <c r="L131" s="8"/>
      <c r="M131" s="8"/>
      <c r="N131" s="8"/>
      <c r="O131" s="8"/>
      <c r="P131" s="8"/>
      <c r="Q131" s="8"/>
      <c r="R131" s="8"/>
      <c r="S131" s="8"/>
      <c r="T131" s="8"/>
      <c r="U131" s="8"/>
      <c r="V131" s="8"/>
      <c r="W131" s="8"/>
      <c r="X131" s="8"/>
      <c r="Y131" s="8"/>
      <c r="Z131" s="8"/>
    </row>
    <row r="132" ht="13.65" customHeight="1">
      <c r="A132" s="52">
        <v>45658</v>
      </c>
      <c r="B132" s="53">
        <v>2025</v>
      </c>
      <c r="C132" t="s" s="7">
        <v>10125</v>
      </c>
      <c r="D132" t="s" s="7">
        <v>10164</v>
      </c>
      <c r="E132" t="s" s="7">
        <v>10077</v>
      </c>
      <c r="F132" t="s" s="7">
        <v>10062</v>
      </c>
      <c r="G132" s="53" cm="1">
        <f t="array" ref="G132">2</f>
        <v>2</v>
      </c>
      <c r="H132" s="8"/>
      <c r="I132" s="8"/>
      <c r="J132" s="8"/>
      <c r="K132" s="8"/>
      <c r="L132" s="8"/>
      <c r="M132" s="8"/>
      <c r="N132" s="8"/>
      <c r="O132" s="8"/>
      <c r="P132" s="8"/>
      <c r="Q132" s="8"/>
      <c r="R132" s="8"/>
      <c r="S132" s="8"/>
      <c r="T132" s="8"/>
      <c r="U132" s="8"/>
      <c r="V132" s="8"/>
      <c r="W132" s="8"/>
      <c r="X132" s="8"/>
      <c r="Y132" s="8"/>
      <c r="Z132" s="8"/>
    </row>
    <row r="133" ht="13.65" customHeight="1">
      <c r="A133" s="52">
        <v>45689</v>
      </c>
      <c r="B133" s="53">
        <v>2025</v>
      </c>
      <c r="C133" t="s" s="7">
        <v>10125</v>
      </c>
      <c r="D133" t="s" s="7">
        <v>10165</v>
      </c>
      <c r="E133" t="s" s="7">
        <v>10090</v>
      </c>
      <c r="F133" t="s" s="7">
        <v>10062</v>
      </c>
      <c r="G133" s="53" cm="1">
        <f t="array" ref="G133">2</f>
        <v>2</v>
      </c>
      <c r="H133" s="8"/>
      <c r="I133" s="8"/>
      <c r="J133" s="8"/>
      <c r="K133" s="8"/>
      <c r="L133" s="8"/>
      <c r="M133" s="8"/>
      <c r="N133" s="8"/>
      <c r="O133" s="8"/>
      <c r="P133" s="8"/>
      <c r="Q133" s="8"/>
      <c r="R133" s="8"/>
      <c r="S133" s="8"/>
      <c r="T133" s="8"/>
      <c r="U133" s="8"/>
      <c r="V133" s="8"/>
      <c r="W133" s="8"/>
      <c r="X133" s="8"/>
      <c r="Y133" s="8"/>
      <c r="Z133" s="8"/>
    </row>
    <row r="134" ht="13.65" customHeight="1">
      <c r="A134" s="52">
        <v>45717</v>
      </c>
      <c r="B134" s="53">
        <v>2025</v>
      </c>
      <c r="C134" t="s" s="7">
        <v>10125</v>
      </c>
      <c r="D134" t="s" s="7">
        <v>10166</v>
      </c>
      <c r="E134" t="s" s="7">
        <v>10086</v>
      </c>
      <c r="F134" t="s" s="7">
        <v>10070</v>
      </c>
      <c r="G134" s="53" cm="1">
        <f t="array" ref="G134">1</f>
        <v>1</v>
      </c>
      <c r="H134" s="8"/>
      <c r="I134" s="8"/>
      <c r="J134" s="8"/>
      <c r="K134" s="8"/>
      <c r="L134" s="8"/>
      <c r="M134" s="8"/>
      <c r="N134" s="8"/>
      <c r="O134" s="8"/>
      <c r="P134" s="8"/>
      <c r="Q134" s="8"/>
      <c r="R134" s="8"/>
      <c r="S134" s="8"/>
      <c r="T134" s="8"/>
      <c r="U134" s="8"/>
      <c r="V134" s="8"/>
      <c r="W134" s="8"/>
      <c r="X134" s="8"/>
      <c r="Y134" s="8"/>
      <c r="Z134" s="8"/>
    </row>
    <row r="135" ht="13.6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3.65" customHeight="1">
      <c r="A136" s="8"/>
      <c r="B136" s="8"/>
      <c r="C136" s="8"/>
      <c r="D136" s="8"/>
      <c r="E136" s="8"/>
      <c r="F136" t="s" s="7">
        <v>10136</v>
      </c>
      <c r="G136" s="53" cm="1">
        <f t="array" ref="G136">AVERAGE(G125:G134)</f>
        <v>1.2</v>
      </c>
      <c r="H136" s="8"/>
      <c r="I136" s="8"/>
      <c r="J136" s="8"/>
      <c r="K136" s="8"/>
      <c r="L136" s="8"/>
      <c r="M136" s="8"/>
      <c r="N136" s="8"/>
      <c r="O136" s="8"/>
      <c r="P136" s="8"/>
      <c r="Q136" s="8"/>
      <c r="R136" s="8"/>
      <c r="S136" s="8"/>
      <c r="T136" s="8"/>
      <c r="U136" s="8"/>
      <c r="V136" s="8"/>
      <c r="W136" s="8"/>
      <c r="X136" s="8"/>
      <c r="Y136" s="8"/>
      <c r="Z136" s="8"/>
    </row>
    <row r="137" ht="13.65" customHeight="1">
      <c r="A137" t="s" s="7">
        <v>1029</v>
      </c>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3.65" customHeight="1">
      <c r="A138" t="s" s="51">
        <v>1281</v>
      </c>
      <c r="B138" t="s" s="51">
        <v>10055</v>
      </c>
      <c r="C138" t="s" s="51">
        <v>10056</v>
      </c>
      <c r="D138" t="s" s="51">
        <v>10057</v>
      </c>
      <c r="E138" t="s" s="51">
        <v>10075</v>
      </c>
      <c r="F138" t="s" s="51">
        <v>10058</v>
      </c>
      <c r="G138" t="s" s="51">
        <v>10059</v>
      </c>
      <c r="H138" s="8"/>
      <c r="I138" s="8"/>
      <c r="J138" s="8"/>
      <c r="K138" s="8"/>
      <c r="L138" s="8"/>
      <c r="M138" s="8"/>
      <c r="N138" s="8"/>
      <c r="O138" s="8"/>
      <c r="P138" s="8"/>
      <c r="Q138" s="8"/>
      <c r="R138" s="8"/>
      <c r="S138" s="8"/>
      <c r="T138" s="8"/>
      <c r="U138" s="8"/>
      <c r="V138" s="8"/>
      <c r="W138" s="8"/>
      <c r="X138" s="8"/>
      <c r="Y138" s="8"/>
      <c r="Z138" s="8"/>
    </row>
    <row r="139" ht="13.65" customHeight="1">
      <c r="A139" s="52">
        <v>45748</v>
      </c>
      <c r="B139" s="53">
        <v>2025</v>
      </c>
      <c r="C139" t="s" s="7">
        <v>10125</v>
      </c>
      <c r="D139" t="s" s="7">
        <v>10167</v>
      </c>
      <c r="E139" t="s" s="7">
        <v>10086</v>
      </c>
      <c r="F139" t="s" s="7">
        <v>10070</v>
      </c>
      <c r="G139" s="53" cm="1">
        <f t="array" ref="G139">1</f>
        <v>1</v>
      </c>
      <c r="H139" s="8"/>
      <c r="I139" s="8"/>
      <c r="J139" s="8"/>
      <c r="K139" s="8"/>
      <c r="L139" s="8"/>
      <c r="M139" s="8"/>
      <c r="N139" s="8"/>
      <c r="O139" s="8"/>
      <c r="P139" s="8"/>
      <c r="Q139" s="8"/>
      <c r="R139" s="8"/>
      <c r="S139" s="8"/>
      <c r="T139" s="8"/>
      <c r="U139" s="8"/>
      <c r="V139" s="8"/>
      <c r="W139" s="8"/>
      <c r="X139" s="8"/>
      <c r="Y139" s="8"/>
      <c r="Z139" s="8"/>
    </row>
    <row r="140" ht="13.65" customHeight="1">
      <c r="A140" s="54">
        <v>45778</v>
      </c>
      <c r="B140" s="53">
        <v>2025</v>
      </c>
      <c r="C140" t="s" s="7">
        <v>10125</v>
      </c>
      <c r="D140" t="s" s="7">
        <v>10168</v>
      </c>
      <c r="E140" t="s" s="7">
        <v>10090</v>
      </c>
      <c r="F140" t="s" s="7">
        <v>10070</v>
      </c>
      <c r="G140" s="53" cm="1">
        <f t="array" ref="G140">1</f>
        <v>1</v>
      </c>
      <c r="H140" s="8"/>
      <c r="I140" s="8"/>
      <c r="J140" s="8"/>
      <c r="K140" s="8"/>
      <c r="L140" s="8"/>
      <c r="M140" s="8"/>
      <c r="N140" s="8"/>
      <c r="O140" s="8"/>
      <c r="P140" s="8"/>
      <c r="Q140" s="8"/>
      <c r="R140" s="8"/>
      <c r="S140" s="8"/>
      <c r="T140" s="8"/>
      <c r="U140" s="8"/>
      <c r="V140" s="8"/>
      <c r="W140" s="8"/>
      <c r="X140" s="8"/>
      <c r="Y140" s="8"/>
      <c r="Z140" s="8"/>
    </row>
    <row r="141" ht="13.65" customHeight="1">
      <c r="A141" s="52">
        <v>45839</v>
      </c>
      <c r="B141" s="53">
        <v>2025</v>
      </c>
      <c r="C141" t="s" s="7">
        <v>10125</v>
      </c>
      <c r="D141" t="s" s="7">
        <v>10169</v>
      </c>
      <c r="E141" t="s" s="7">
        <v>10077</v>
      </c>
      <c r="F141" t="s" s="7">
        <v>10070</v>
      </c>
      <c r="G141" s="53" cm="1">
        <f t="array" ref="G141">1</f>
        <v>1</v>
      </c>
      <c r="H141" s="8"/>
      <c r="I141" s="8"/>
      <c r="J141" s="8"/>
      <c r="K141" s="8"/>
      <c r="L141" s="8"/>
      <c r="M141" s="8"/>
      <c r="N141" s="8"/>
      <c r="O141" s="8"/>
      <c r="P141" s="8"/>
      <c r="Q141" s="8"/>
      <c r="R141" s="8"/>
      <c r="S141" s="8"/>
      <c r="T141" s="8"/>
      <c r="U141" s="8"/>
      <c r="V141" s="8"/>
      <c r="W141" s="8"/>
      <c r="X141" s="8"/>
      <c r="Y141" s="8"/>
      <c r="Z141" s="8"/>
    </row>
    <row r="142" ht="13.65" customHeight="1">
      <c r="A142" s="52">
        <v>45870</v>
      </c>
      <c r="B142" s="53">
        <v>2025</v>
      </c>
      <c r="C142" t="s" s="7">
        <v>10125</v>
      </c>
      <c r="D142" t="s" s="7">
        <v>10170</v>
      </c>
      <c r="E142" t="s" s="7">
        <v>10080</v>
      </c>
      <c r="F142" t="s" s="7">
        <v>10070</v>
      </c>
      <c r="G142" s="53" cm="1">
        <f t="array" ref="G142">1</f>
        <v>1</v>
      </c>
      <c r="H142" s="8"/>
      <c r="I142" s="8"/>
      <c r="J142" s="8"/>
      <c r="K142" s="8"/>
      <c r="L142" s="8"/>
      <c r="M142" s="8"/>
      <c r="N142" s="8"/>
      <c r="O142" s="8"/>
      <c r="P142" s="8"/>
      <c r="Q142" s="8"/>
      <c r="R142" s="8"/>
      <c r="S142" s="8"/>
      <c r="T142" s="8"/>
      <c r="U142" s="8"/>
      <c r="V142" s="8"/>
      <c r="W142" s="8"/>
      <c r="X142" s="8"/>
      <c r="Y142" s="8"/>
      <c r="Z142" s="8"/>
    </row>
    <row r="143" ht="13.65" customHeight="1">
      <c r="A143" s="52">
        <v>45931</v>
      </c>
      <c r="B143" s="53">
        <v>2025</v>
      </c>
      <c r="C143" t="s" s="7">
        <v>10125</v>
      </c>
      <c r="D143" t="s" s="7">
        <v>10171</v>
      </c>
      <c r="E143" t="s" s="7">
        <v>10090</v>
      </c>
      <c r="F143" t="s" s="7">
        <v>10070</v>
      </c>
      <c r="G143" s="53" cm="1">
        <f t="array" ref="G143">1</f>
        <v>1</v>
      </c>
      <c r="H143" s="8"/>
      <c r="I143" s="8"/>
      <c r="J143" s="8"/>
      <c r="K143" s="8"/>
      <c r="L143" s="8"/>
      <c r="M143" s="8"/>
      <c r="N143" s="8"/>
      <c r="O143" s="8"/>
      <c r="P143" s="8"/>
      <c r="Q143" s="8"/>
      <c r="R143" s="8"/>
      <c r="S143" s="8"/>
      <c r="T143" s="8"/>
      <c r="U143" s="8"/>
      <c r="V143" s="8"/>
      <c r="W143" s="8"/>
      <c r="X143" s="8"/>
      <c r="Y143" s="8"/>
      <c r="Z143" s="8"/>
    </row>
    <row r="144" ht="13.65" customHeight="1">
      <c r="A144" s="52">
        <v>45962</v>
      </c>
      <c r="B144" s="53">
        <v>2025</v>
      </c>
      <c r="C144" t="s" s="7">
        <v>10125</v>
      </c>
      <c r="D144" t="s" s="7">
        <v>10172</v>
      </c>
      <c r="E144" t="s" s="7">
        <v>10086</v>
      </c>
      <c r="F144" t="s" s="7">
        <v>10070</v>
      </c>
      <c r="G144" s="53" cm="1">
        <f t="array" ref="G144">1</f>
        <v>1</v>
      </c>
      <c r="H144" s="8"/>
      <c r="I144" s="8"/>
      <c r="J144" s="8"/>
      <c r="K144" s="8"/>
      <c r="L144" s="8"/>
      <c r="M144" s="8"/>
      <c r="N144" s="8"/>
      <c r="O144" s="8"/>
      <c r="P144" s="8"/>
      <c r="Q144" s="8"/>
      <c r="R144" s="8"/>
      <c r="S144" s="8"/>
      <c r="T144" s="8"/>
      <c r="U144" s="8"/>
      <c r="V144" s="8"/>
      <c r="W144" s="8"/>
      <c r="X144" s="8"/>
      <c r="Y144" s="8"/>
      <c r="Z144" s="8"/>
    </row>
    <row r="145" ht="13.65" customHeight="1">
      <c r="A145" s="52">
        <v>46023</v>
      </c>
      <c r="B145" s="53">
        <v>2026</v>
      </c>
      <c r="C145" t="s" s="7">
        <v>10125</v>
      </c>
      <c r="D145" t="s" s="7">
        <v>10173</v>
      </c>
      <c r="E145" t="s" s="7">
        <v>10086</v>
      </c>
      <c r="F145" t="s" s="7">
        <v>10062</v>
      </c>
      <c r="G145" s="53" cm="1">
        <f t="array" ref="G145">2</f>
        <v>2</v>
      </c>
      <c r="H145" s="8"/>
      <c r="I145" s="8"/>
      <c r="J145" s="8"/>
      <c r="K145" s="8"/>
      <c r="L145" s="8"/>
      <c r="M145" s="8"/>
      <c r="N145" s="8"/>
      <c r="O145" s="8"/>
      <c r="P145" s="8"/>
      <c r="Q145" s="8"/>
      <c r="R145" s="8"/>
      <c r="S145" s="8"/>
      <c r="T145" s="8"/>
      <c r="U145" s="8"/>
      <c r="V145" s="8"/>
      <c r="W145" s="8"/>
      <c r="X145" s="8"/>
      <c r="Y145" s="8"/>
      <c r="Z145" s="8"/>
    </row>
    <row r="146" ht="13.65" customHeight="1">
      <c r="A146" s="52">
        <v>46054</v>
      </c>
      <c r="B146" s="53">
        <v>2026</v>
      </c>
      <c r="C146" t="s" s="7">
        <v>10125</v>
      </c>
      <c r="D146" t="s" s="7">
        <v>10174</v>
      </c>
      <c r="E146" t="s" s="7">
        <v>10123</v>
      </c>
      <c r="F146" t="s" s="7">
        <v>10070</v>
      </c>
      <c r="G146" s="53" cm="1">
        <f t="array" ref="G146">1</f>
        <v>1</v>
      </c>
      <c r="H146" s="8"/>
      <c r="I146" s="8"/>
      <c r="J146" s="8"/>
      <c r="K146" s="8"/>
      <c r="L146" s="8"/>
      <c r="M146" s="8"/>
      <c r="N146" s="8"/>
      <c r="O146" s="8"/>
      <c r="P146" s="8"/>
      <c r="Q146" s="8"/>
      <c r="R146" s="8"/>
      <c r="S146" s="8"/>
      <c r="T146" s="8"/>
      <c r="U146" s="8"/>
      <c r="V146" s="8"/>
      <c r="W146" s="8"/>
      <c r="X146" s="8"/>
      <c r="Y146" s="8"/>
      <c r="Z146" s="8"/>
    </row>
    <row r="147" ht="13.65" customHeight="1">
      <c r="A147" s="52">
        <v>46082</v>
      </c>
      <c r="B147" s="53">
        <v>2026</v>
      </c>
      <c r="C147" t="s" s="7">
        <v>10125</v>
      </c>
      <c r="D147" t="s" s="7">
        <v>10175</v>
      </c>
      <c r="E147" t="s" s="7">
        <v>10077</v>
      </c>
      <c r="F147" t="s" s="7">
        <v>10070</v>
      </c>
      <c r="G147" s="53" cm="1">
        <f t="array" ref="G147">1</f>
        <v>1</v>
      </c>
      <c r="H147" s="8"/>
      <c r="I147" s="8"/>
      <c r="J147" s="8"/>
      <c r="K147" s="8"/>
      <c r="L147" s="8"/>
      <c r="M147" s="8"/>
      <c r="N147" s="8"/>
      <c r="O147" s="8"/>
      <c r="P147" s="8"/>
      <c r="Q147" s="8"/>
      <c r="R147" s="8"/>
      <c r="S147" s="8"/>
      <c r="T147" s="8"/>
      <c r="U147" s="8"/>
      <c r="V147" s="8"/>
      <c r="W147" s="8"/>
      <c r="X147" s="8"/>
      <c r="Y147" s="8"/>
      <c r="Z147" s="8"/>
    </row>
    <row r="148" ht="13.65" customHeight="1">
      <c r="A148" s="52">
        <v>46082</v>
      </c>
      <c r="B148" s="53">
        <v>2026</v>
      </c>
      <c r="C148" t="s" s="7">
        <v>10125</v>
      </c>
      <c r="D148" t="s" s="7">
        <v>10176</v>
      </c>
      <c r="E148" t="s" s="7">
        <v>10090</v>
      </c>
      <c r="F148" t="s" s="7">
        <v>10070</v>
      </c>
      <c r="G148" s="53" cm="1">
        <f t="array" ref="G148">1</f>
        <v>1</v>
      </c>
      <c r="H148" s="8"/>
      <c r="I148" s="8"/>
      <c r="J148" s="8"/>
      <c r="K148" s="8"/>
      <c r="L148" s="8"/>
      <c r="M148" s="8"/>
      <c r="N148" s="8"/>
      <c r="O148" s="8"/>
      <c r="P148" s="8"/>
      <c r="Q148" s="8"/>
      <c r="R148" s="8"/>
      <c r="S148" s="8"/>
      <c r="T148" s="8"/>
      <c r="U148" s="8"/>
      <c r="V148" s="8"/>
      <c r="W148" s="8"/>
      <c r="X148" s="8"/>
      <c r="Y148" s="8"/>
      <c r="Z148" s="8"/>
    </row>
    <row r="149" ht="13.6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3.65" customHeight="1">
      <c r="A150" s="8"/>
      <c r="B150" s="8"/>
      <c r="C150" s="8"/>
      <c r="D150" s="8"/>
      <c r="E150" s="8"/>
      <c r="F150" t="s" s="7">
        <v>10136</v>
      </c>
      <c r="G150" s="53" cm="1">
        <f t="array" ref="G150">AVERAGE(G139:G148)</f>
        <v>1.1</v>
      </c>
      <c r="H150" s="8"/>
      <c r="I150" s="8"/>
      <c r="J150" s="8"/>
      <c r="K150" s="8"/>
      <c r="L150" s="8"/>
      <c r="M150" s="8"/>
      <c r="N150" s="8"/>
      <c r="O150" s="8"/>
      <c r="P150" s="8"/>
      <c r="Q150" s="8"/>
      <c r="R150" s="8"/>
      <c r="S150" s="8"/>
      <c r="T150" s="8"/>
      <c r="U150" s="8"/>
      <c r="V150" s="8"/>
      <c r="W150" s="8"/>
      <c r="X150" s="8"/>
      <c r="Y150" s="8"/>
      <c r="Z150" s="8"/>
    </row>
    <row r="151" ht="13.6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3.65" customHeight="1">
      <c r="A152" t="s" s="55">
        <v>6324</v>
      </c>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3.6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3.65" customHeight="1">
      <c r="A154" t="s" s="51">
        <v>1281</v>
      </c>
      <c r="B154" t="s" s="51">
        <v>10055</v>
      </c>
      <c r="C154" t="s" s="51">
        <v>10056</v>
      </c>
      <c r="D154" t="s" s="51">
        <v>10057</v>
      </c>
      <c r="E154" t="s" s="51">
        <v>10075</v>
      </c>
      <c r="F154" t="s" s="51">
        <v>10058</v>
      </c>
      <c r="G154" t="s" s="51">
        <v>10059</v>
      </c>
      <c r="H154" s="8"/>
      <c r="I154" s="8"/>
      <c r="J154" s="8"/>
      <c r="K154" s="8"/>
      <c r="L154" s="8"/>
      <c r="M154" s="8"/>
      <c r="N154" s="8"/>
      <c r="O154" s="8"/>
      <c r="P154" s="8"/>
      <c r="Q154" s="8"/>
      <c r="R154" s="8"/>
      <c r="S154" s="8"/>
      <c r="T154" s="8"/>
      <c r="U154" s="8"/>
      <c r="V154" s="8"/>
      <c r="W154" s="8"/>
      <c r="X154" s="8"/>
      <c r="Y154" s="8"/>
      <c r="Z154" s="8"/>
    </row>
    <row r="155" ht="13.65" customHeight="1">
      <c r="A155" s="52">
        <v>44287</v>
      </c>
      <c r="B155" s="53">
        <v>2021</v>
      </c>
      <c r="C155" t="s" s="7">
        <v>10177</v>
      </c>
      <c r="D155" t="s" s="7">
        <v>10178</v>
      </c>
      <c r="E155" t="s" s="7">
        <v>10077</v>
      </c>
      <c r="F155" t="s" s="7">
        <v>10070</v>
      </c>
      <c r="G155" s="53" cm="1">
        <f t="array" ref="G155">1</f>
        <v>1</v>
      </c>
      <c r="H155" s="8"/>
      <c r="I155" s="8"/>
      <c r="J155" s="8"/>
      <c r="K155" s="8"/>
      <c r="L155" s="8"/>
      <c r="M155" s="8"/>
      <c r="N155" s="8"/>
      <c r="O155" s="8"/>
      <c r="P155" s="8"/>
      <c r="Q155" s="8"/>
      <c r="R155" s="8"/>
      <c r="S155" s="8"/>
      <c r="T155" s="8"/>
      <c r="U155" s="8"/>
      <c r="V155" s="8"/>
      <c r="W155" s="8"/>
      <c r="X155" s="8"/>
      <c r="Y155" s="8"/>
      <c r="Z155" s="8"/>
    </row>
    <row r="156" ht="13.65" customHeight="1">
      <c r="A156" s="54">
        <v>44317</v>
      </c>
      <c r="B156" s="53">
        <v>2021</v>
      </c>
      <c r="C156" t="s" s="7">
        <v>10177</v>
      </c>
      <c r="D156" t="s" s="7">
        <v>10179</v>
      </c>
      <c r="E156" t="s" s="7">
        <v>10090</v>
      </c>
      <c r="F156" t="s" s="7">
        <v>10070</v>
      </c>
      <c r="G156" s="53" cm="1">
        <f t="array" ref="G156">1</f>
        <v>1</v>
      </c>
      <c r="H156" s="8"/>
      <c r="I156" s="8"/>
      <c r="J156" s="8"/>
      <c r="K156" s="8"/>
      <c r="L156" s="8"/>
      <c r="M156" s="8"/>
      <c r="N156" s="8"/>
      <c r="O156" s="8"/>
      <c r="P156" s="8"/>
      <c r="Q156" s="8"/>
      <c r="R156" s="8"/>
      <c r="S156" s="8"/>
      <c r="T156" s="8"/>
      <c r="U156" s="8"/>
      <c r="V156" s="8"/>
      <c r="W156" s="8"/>
      <c r="X156" s="8"/>
      <c r="Y156" s="8"/>
      <c r="Z156" s="8"/>
    </row>
    <row r="157" ht="13.65" customHeight="1">
      <c r="A157" s="52">
        <v>44348</v>
      </c>
      <c r="B157" s="53">
        <v>2021</v>
      </c>
      <c r="C157" t="s" s="7">
        <v>10177</v>
      </c>
      <c r="D157" t="s" s="7">
        <v>10180</v>
      </c>
      <c r="E157" t="s" s="7">
        <v>10080</v>
      </c>
      <c r="F157" t="s" s="7">
        <v>10070</v>
      </c>
      <c r="G157" s="53" cm="1">
        <f t="array" ref="G157">1</f>
        <v>1</v>
      </c>
      <c r="H157" s="8"/>
      <c r="I157" s="8"/>
      <c r="J157" s="8"/>
      <c r="K157" s="8"/>
      <c r="L157" s="8"/>
      <c r="M157" s="8"/>
      <c r="N157" s="8"/>
      <c r="O157" s="8"/>
      <c r="P157" s="8"/>
      <c r="Q157" s="8"/>
      <c r="R157" s="8"/>
      <c r="S157" s="8"/>
      <c r="T157" s="8"/>
      <c r="U157" s="8"/>
      <c r="V157" s="8"/>
      <c r="W157" s="8"/>
      <c r="X157" s="8"/>
      <c r="Y157" s="8"/>
      <c r="Z157" s="8"/>
    </row>
    <row r="158" ht="13.65" customHeight="1">
      <c r="A158" s="52">
        <v>44378</v>
      </c>
      <c r="B158" s="53">
        <v>2021</v>
      </c>
      <c r="C158" t="s" s="7">
        <v>10177</v>
      </c>
      <c r="D158" t="s" s="7">
        <v>10181</v>
      </c>
      <c r="E158" t="s" s="7">
        <v>10077</v>
      </c>
      <c r="F158" t="s" s="7">
        <v>10062</v>
      </c>
      <c r="G158" s="53" cm="1">
        <f t="array" ref="G158">2</f>
        <v>2</v>
      </c>
      <c r="H158" s="8"/>
      <c r="I158" s="8"/>
      <c r="J158" s="8"/>
      <c r="K158" s="8"/>
      <c r="L158" s="8"/>
      <c r="M158" s="8"/>
      <c r="N158" s="8"/>
      <c r="O158" s="8"/>
      <c r="P158" s="8"/>
      <c r="Q158" s="8"/>
      <c r="R158" s="8"/>
      <c r="S158" s="8"/>
      <c r="T158" s="8"/>
      <c r="U158" s="8"/>
      <c r="V158" s="8"/>
      <c r="W158" s="8"/>
      <c r="X158" s="8"/>
      <c r="Y158" s="8"/>
      <c r="Z158" s="8"/>
    </row>
    <row r="159" ht="13.65" customHeight="1">
      <c r="A159" s="52">
        <v>44409</v>
      </c>
      <c r="B159" s="53">
        <v>2021</v>
      </c>
      <c r="C159" t="s" s="7">
        <v>10177</v>
      </c>
      <c r="D159" t="s" s="7">
        <v>10182</v>
      </c>
      <c r="E159" t="s" s="7">
        <v>10083</v>
      </c>
      <c r="F159" t="s" s="7">
        <v>10070</v>
      </c>
      <c r="G159" s="53" cm="1">
        <f t="array" ref="G159">1</f>
        <v>1</v>
      </c>
      <c r="H159" s="8"/>
      <c r="I159" s="8"/>
      <c r="J159" s="8"/>
      <c r="K159" s="8"/>
      <c r="L159" s="8"/>
      <c r="M159" s="8"/>
      <c r="N159" s="8"/>
      <c r="O159" s="8"/>
      <c r="P159" s="8"/>
      <c r="Q159" s="8"/>
      <c r="R159" s="8"/>
      <c r="S159" s="8"/>
      <c r="T159" s="8"/>
      <c r="U159" s="8"/>
      <c r="V159" s="8"/>
      <c r="W159" s="8"/>
      <c r="X159" s="8"/>
      <c r="Y159" s="8"/>
      <c r="Z159" s="8"/>
    </row>
    <row r="160" ht="13.65" customHeight="1">
      <c r="A160" s="52">
        <v>44440</v>
      </c>
      <c r="B160" s="53">
        <v>2021</v>
      </c>
      <c r="C160" t="s" s="7">
        <v>10177</v>
      </c>
      <c r="D160" t="s" s="7">
        <v>10183</v>
      </c>
      <c r="E160" t="s" s="7">
        <v>10086</v>
      </c>
      <c r="F160" t="s" s="7">
        <v>10070</v>
      </c>
      <c r="G160" s="53" cm="1">
        <f t="array" ref="G160">1</f>
        <v>1</v>
      </c>
      <c r="H160" s="8"/>
      <c r="I160" s="8"/>
      <c r="J160" s="8"/>
      <c r="K160" s="8"/>
      <c r="L160" s="8"/>
      <c r="M160" s="8"/>
      <c r="N160" s="8"/>
      <c r="O160" s="8"/>
      <c r="P160" s="8"/>
      <c r="Q160" s="8"/>
      <c r="R160" s="8"/>
      <c r="S160" s="8"/>
      <c r="T160" s="8"/>
      <c r="U160" s="8"/>
      <c r="V160" s="8"/>
      <c r="W160" s="8"/>
      <c r="X160" s="8"/>
      <c r="Y160" s="8"/>
      <c r="Z160" s="8"/>
    </row>
    <row r="161" ht="13.65" customHeight="1">
      <c r="A161" s="52">
        <v>44470</v>
      </c>
      <c r="B161" s="53">
        <v>2021</v>
      </c>
      <c r="C161" t="s" s="7">
        <v>10177</v>
      </c>
      <c r="D161" t="s" s="7">
        <v>10184</v>
      </c>
      <c r="E161" t="s" s="7">
        <v>10090</v>
      </c>
      <c r="F161" t="s" s="7">
        <v>10070</v>
      </c>
      <c r="G161" s="53" cm="1">
        <f t="array" ref="G161">1</f>
        <v>1</v>
      </c>
      <c r="H161" s="8"/>
      <c r="I161" s="8"/>
      <c r="J161" s="8"/>
      <c r="K161" s="8"/>
      <c r="L161" s="8"/>
      <c r="M161" s="8"/>
      <c r="N161" s="8"/>
      <c r="O161" s="8"/>
      <c r="P161" s="8"/>
      <c r="Q161" s="8"/>
      <c r="R161" s="8"/>
      <c r="S161" s="8"/>
      <c r="T161" s="8"/>
      <c r="U161" s="8"/>
      <c r="V161" s="8"/>
      <c r="W161" s="8"/>
      <c r="X161" s="8"/>
      <c r="Y161" s="8"/>
      <c r="Z161" s="8"/>
    </row>
    <row r="162" ht="13.65" customHeight="1">
      <c r="A162" s="52">
        <v>44531</v>
      </c>
      <c r="B162" s="53">
        <v>2021</v>
      </c>
      <c r="C162" t="s" s="7">
        <v>10177</v>
      </c>
      <c r="D162" t="s" s="7">
        <v>10185</v>
      </c>
      <c r="E162" t="s" s="7">
        <v>10080</v>
      </c>
      <c r="F162" t="s" s="7">
        <v>10070</v>
      </c>
      <c r="G162" s="53" cm="1">
        <f t="array" ref="G162">1</f>
        <v>1</v>
      </c>
      <c r="H162" s="8"/>
      <c r="I162" s="8"/>
      <c r="J162" s="8"/>
      <c r="K162" s="8"/>
      <c r="L162" s="8"/>
      <c r="M162" s="8"/>
      <c r="N162" s="8"/>
      <c r="O162" s="8"/>
      <c r="P162" s="8"/>
      <c r="Q162" s="8"/>
      <c r="R162" s="8"/>
      <c r="S162" s="8"/>
      <c r="T162" s="8"/>
      <c r="U162" s="8"/>
      <c r="V162" s="8"/>
      <c r="W162" s="8"/>
      <c r="X162" s="8"/>
      <c r="Y162" s="8"/>
      <c r="Z162" s="8"/>
    </row>
    <row r="163" ht="13.65" customHeight="1">
      <c r="A163" s="52">
        <v>44562</v>
      </c>
      <c r="B163" s="53">
        <v>2022</v>
      </c>
      <c r="C163" t="s" s="7">
        <v>10177</v>
      </c>
      <c r="D163" t="s" s="7">
        <v>10186</v>
      </c>
      <c r="E163" t="s" s="7">
        <v>10077</v>
      </c>
      <c r="F163" t="s" s="7">
        <v>10062</v>
      </c>
      <c r="G163" s="53" cm="1">
        <f t="array" ref="G163">2</f>
        <v>2</v>
      </c>
      <c r="H163" s="8"/>
      <c r="I163" s="8"/>
      <c r="J163" s="8"/>
      <c r="K163" s="8"/>
      <c r="L163" s="8"/>
      <c r="M163" s="8"/>
      <c r="N163" s="8"/>
      <c r="O163" s="8"/>
      <c r="P163" s="8"/>
      <c r="Q163" s="8"/>
      <c r="R163" s="8"/>
      <c r="S163" s="8"/>
      <c r="T163" s="8"/>
      <c r="U163" s="8"/>
      <c r="V163" s="8"/>
      <c r="W163" s="8"/>
      <c r="X163" s="8"/>
      <c r="Y163" s="8"/>
      <c r="Z163" s="8"/>
    </row>
    <row r="164" ht="13.65" customHeight="1">
      <c r="A164" s="52">
        <v>44621</v>
      </c>
      <c r="B164" s="53">
        <v>2022</v>
      </c>
      <c r="C164" t="s" s="7">
        <v>10177</v>
      </c>
      <c r="D164" t="s" s="7">
        <v>10187</v>
      </c>
      <c r="E164" t="s" s="7">
        <v>10083</v>
      </c>
      <c r="F164" t="s" s="7">
        <v>10070</v>
      </c>
      <c r="G164" s="53" cm="1">
        <f t="array" ref="G164">1</f>
        <v>1</v>
      </c>
      <c r="H164" s="8"/>
      <c r="I164" s="8"/>
      <c r="J164" s="8"/>
      <c r="K164" s="8"/>
      <c r="L164" s="8"/>
      <c r="M164" s="8"/>
      <c r="N164" s="8"/>
      <c r="O164" s="8"/>
      <c r="P164" s="8"/>
      <c r="Q164" s="8"/>
      <c r="R164" s="8"/>
      <c r="S164" s="8"/>
      <c r="T164" s="8"/>
      <c r="U164" s="8"/>
      <c r="V164" s="8"/>
      <c r="W164" s="8"/>
      <c r="X164" s="8"/>
      <c r="Y164" s="8"/>
      <c r="Z164" s="8"/>
    </row>
    <row r="165" ht="13.6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3.65" customHeight="1">
      <c r="A166" s="8"/>
      <c r="B166" s="8"/>
      <c r="C166" s="8"/>
      <c r="D166" s="8"/>
      <c r="E166" s="8"/>
      <c r="F166" t="s" s="7">
        <v>10136</v>
      </c>
      <c r="G166" s="53" cm="1">
        <f t="array" ref="G166">AVERAGE(G155:G164)</f>
        <v>1.2</v>
      </c>
      <c r="H166" s="8"/>
      <c r="I166" s="8"/>
      <c r="J166" s="8"/>
      <c r="K166" s="8"/>
      <c r="L166" s="8"/>
      <c r="M166" s="8"/>
      <c r="N166" s="8"/>
      <c r="O166" s="8"/>
      <c r="P166" s="8"/>
      <c r="Q166" s="8"/>
      <c r="R166" s="8"/>
      <c r="S166" s="8"/>
      <c r="T166" s="8"/>
      <c r="U166" s="8"/>
      <c r="V166" s="8"/>
      <c r="W166" s="8"/>
      <c r="X166" s="8"/>
      <c r="Y166" s="8"/>
      <c r="Z166" s="8"/>
    </row>
    <row r="167" ht="13.6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3.65" customHeight="1">
      <c r="A168" t="s" s="51">
        <v>1281</v>
      </c>
      <c r="B168" t="s" s="51">
        <v>10055</v>
      </c>
      <c r="C168" t="s" s="51">
        <v>10056</v>
      </c>
      <c r="D168" t="s" s="51">
        <v>10057</v>
      </c>
      <c r="E168" t="s" s="51">
        <v>10075</v>
      </c>
      <c r="F168" t="s" s="51">
        <v>10058</v>
      </c>
      <c r="G168" t="s" s="51">
        <v>10059</v>
      </c>
      <c r="H168" s="8"/>
      <c r="I168" s="8"/>
      <c r="J168" s="8"/>
      <c r="K168" s="8"/>
      <c r="L168" s="8"/>
      <c r="M168" s="8"/>
      <c r="N168" s="8"/>
      <c r="O168" s="8"/>
      <c r="P168" s="8"/>
      <c r="Q168" s="8"/>
      <c r="R168" s="8"/>
      <c r="S168" s="8"/>
      <c r="T168" s="8"/>
      <c r="U168" s="8"/>
      <c r="V168" s="8"/>
      <c r="W168" s="8"/>
      <c r="X168" s="8"/>
      <c r="Y168" s="8"/>
      <c r="Z168" s="8"/>
    </row>
    <row r="169" ht="13.65" customHeight="1">
      <c r="A169" s="52">
        <v>44652</v>
      </c>
      <c r="B169" s="53">
        <v>2022</v>
      </c>
      <c r="C169" t="s" s="7">
        <v>10177</v>
      </c>
      <c r="D169" t="s" s="7">
        <v>10188</v>
      </c>
      <c r="E169" t="s" s="7">
        <v>10090</v>
      </c>
      <c r="F169" t="s" s="7">
        <v>10070</v>
      </c>
      <c r="G169" s="53" cm="1">
        <f t="array" ref="G169">1</f>
        <v>1</v>
      </c>
      <c r="H169" s="8"/>
      <c r="I169" s="8"/>
      <c r="J169" s="8"/>
      <c r="K169" s="8"/>
      <c r="L169" s="8"/>
      <c r="M169" s="8"/>
      <c r="N169" s="8"/>
      <c r="O169" s="8"/>
      <c r="P169" s="8"/>
      <c r="Q169" s="8"/>
      <c r="R169" s="8"/>
      <c r="S169" s="8"/>
      <c r="T169" s="8"/>
      <c r="U169" s="8"/>
      <c r="V169" s="8"/>
      <c r="W169" s="8"/>
      <c r="X169" s="8"/>
      <c r="Y169" s="8"/>
      <c r="Z169" s="8"/>
    </row>
    <row r="170" ht="13.65" customHeight="1">
      <c r="A170" s="54">
        <v>44682</v>
      </c>
      <c r="B170" s="53">
        <v>2022</v>
      </c>
      <c r="C170" t="s" s="7">
        <v>10177</v>
      </c>
      <c r="D170" t="s" s="7">
        <v>10189</v>
      </c>
      <c r="E170" t="s" s="7">
        <v>10077</v>
      </c>
      <c r="F170" t="s" s="7">
        <v>10062</v>
      </c>
      <c r="G170" s="53" cm="1">
        <f t="array" ref="G170">2</f>
        <v>2</v>
      </c>
      <c r="H170" s="8"/>
      <c r="I170" s="8"/>
      <c r="J170" s="8"/>
      <c r="K170" s="8"/>
      <c r="L170" s="8"/>
      <c r="M170" s="8"/>
      <c r="N170" s="8"/>
      <c r="O170" s="8"/>
      <c r="P170" s="8"/>
      <c r="Q170" s="8"/>
      <c r="R170" s="8"/>
      <c r="S170" s="8"/>
      <c r="T170" s="8"/>
      <c r="U170" s="8"/>
      <c r="V170" s="8"/>
      <c r="W170" s="8"/>
      <c r="X170" s="8"/>
      <c r="Y170" s="8"/>
      <c r="Z170" s="8"/>
    </row>
    <row r="171" ht="13.65" customHeight="1">
      <c r="A171" s="52">
        <v>44713</v>
      </c>
      <c r="B171" s="53">
        <v>2022</v>
      </c>
      <c r="C171" t="s" s="7">
        <v>10177</v>
      </c>
      <c r="D171" t="s" s="7">
        <v>10190</v>
      </c>
      <c r="E171" t="s" s="7">
        <v>10080</v>
      </c>
      <c r="F171" t="s" s="7">
        <v>10070</v>
      </c>
      <c r="G171" s="53" cm="1">
        <f t="array" ref="G171">1</f>
        <v>1</v>
      </c>
      <c r="H171" s="8"/>
      <c r="I171" s="8"/>
      <c r="J171" s="8"/>
      <c r="K171" s="8"/>
      <c r="L171" s="8"/>
      <c r="M171" s="8"/>
      <c r="N171" s="8"/>
      <c r="O171" s="8"/>
      <c r="P171" s="8"/>
      <c r="Q171" s="8"/>
      <c r="R171" s="8"/>
      <c r="S171" s="8"/>
      <c r="T171" s="8"/>
      <c r="U171" s="8"/>
      <c r="V171" s="8"/>
      <c r="W171" s="8"/>
      <c r="X171" s="8"/>
      <c r="Y171" s="8"/>
      <c r="Z171" s="8"/>
    </row>
    <row r="172" ht="13.65" customHeight="1">
      <c r="A172" s="52">
        <v>44743</v>
      </c>
      <c r="B172" s="53">
        <v>2022</v>
      </c>
      <c r="C172" t="s" s="7">
        <v>10177</v>
      </c>
      <c r="D172" t="s" s="7">
        <v>10191</v>
      </c>
      <c r="E172" t="s" s="7">
        <v>10086</v>
      </c>
      <c r="F172" t="s" s="7">
        <v>10070</v>
      </c>
      <c r="G172" s="53" cm="1">
        <f t="array" ref="G172">1</f>
        <v>1</v>
      </c>
      <c r="H172" s="8"/>
      <c r="I172" s="8"/>
      <c r="J172" s="8"/>
      <c r="K172" s="8"/>
      <c r="L172" s="8"/>
      <c r="M172" s="8"/>
      <c r="N172" s="8"/>
      <c r="O172" s="8"/>
      <c r="P172" s="8"/>
      <c r="Q172" s="8"/>
      <c r="R172" s="8"/>
      <c r="S172" s="8"/>
      <c r="T172" s="8"/>
      <c r="U172" s="8"/>
      <c r="V172" s="8"/>
      <c r="W172" s="8"/>
      <c r="X172" s="8"/>
      <c r="Y172" s="8"/>
      <c r="Z172" s="8"/>
    </row>
    <row r="173" ht="13.65" customHeight="1">
      <c r="A173" s="52">
        <v>44774</v>
      </c>
      <c r="B173" s="53">
        <v>2022</v>
      </c>
      <c r="C173" t="s" s="7">
        <v>10177</v>
      </c>
      <c r="D173" t="s" s="7">
        <v>10192</v>
      </c>
      <c r="E173" t="s" s="7">
        <v>10083</v>
      </c>
      <c r="F173" t="s" s="7">
        <v>10070</v>
      </c>
      <c r="G173" s="53" cm="1">
        <f t="array" ref="G173">1</f>
        <v>1</v>
      </c>
      <c r="H173" s="8"/>
      <c r="I173" s="8"/>
      <c r="J173" s="8"/>
      <c r="K173" s="8"/>
      <c r="L173" s="8"/>
      <c r="M173" s="8"/>
      <c r="N173" s="8"/>
      <c r="O173" s="8"/>
      <c r="P173" s="8"/>
      <c r="Q173" s="8"/>
      <c r="R173" s="8"/>
      <c r="S173" s="8"/>
      <c r="T173" s="8"/>
      <c r="U173" s="8"/>
      <c r="V173" s="8"/>
      <c r="W173" s="8"/>
      <c r="X173" s="8"/>
      <c r="Y173" s="8"/>
      <c r="Z173" s="8"/>
    </row>
    <row r="174" ht="13.65" customHeight="1">
      <c r="A174" s="52">
        <v>44805</v>
      </c>
      <c r="B174" s="53">
        <v>2022</v>
      </c>
      <c r="C174" t="s" s="7">
        <v>10177</v>
      </c>
      <c r="D174" t="s" s="7">
        <v>10193</v>
      </c>
      <c r="E174" t="s" s="7">
        <v>10090</v>
      </c>
      <c r="F174" t="s" s="7">
        <v>10070</v>
      </c>
      <c r="G174" s="53" cm="1">
        <f t="array" ref="G174">1</f>
        <v>1</v>
      </c>
      <c r="H174" s="8"/>
      <c r="I174" s="8"/>
      <c r="J174" s="8"/>
      <c r="K174" s="8"/>
      <c r="L174" s="8"/>
      <c r="M174" s="8"/>
      <c r="N174" s="8"/>
      <c r="O174" s="8"/>
      <c r="P174" s="8"/>
      <c r="Q174" s="8"/>
      <c r="R174" s="8"/>
      <c r="S174" s="8"/>
      <c r="T174" s="8"/>
      <c r="U174" s="8"/>
      <c r="V174" s="8"/>
      <c r="W174" s="8"/>
      <c r="X174" s="8"/>
      <c r="Y174" s="8"/>
      <c r="Z174" s="8"/>
    </row>
    <row r="175" ht="13.65" customHeight="1">
      <c r="A175" s="52">
        <v>44835</v>
      </c>
      <c r="B175" s="53">
        <v>2022</v>
      </c>
      <c r="C175" t="s" s="7">
        <v>10177</v>
      </c>
      <c r="D175" t="s" s="7">
        <v>10194</v>
      </c>
      <c r="E175" t="s" s="7">
        <v>10077</v>
      </c>
      <c r="F175" t="s" s="7">
        <v>10070</v>
      </c>
      <c r="G175" s="53" cm="1">
        <f t="array" ref="G175">1</f>
        <v>1</v>
      </c>
      <c r="H175" s="8"/>
      <c r="I175" s="8"/>
      <c r="J175" s="8"/>
      <c r="K175" s="8"/>
      <c r="L175" s="8"/>
      <c r="M175" s="8"/>
      <c r="N175" s="8"/>
      <c r="O175" s="8"/>
      <c r="P175" s="8"/>
      <c r="Q175" s="8"/>
      <c r="R175" s="8"/>
      <c r="S175" s="8"/>
      <c r="T175" s="8"/>
      <c r="U175" s="8"/>
      <c r="V175" s="8"/>
      <c r="W175" s="8"/>
      <c r="X175" s="8"/>
      <c r="Y175" s="8"/>
      <c r="Z175" s="8"/>
    </row>
    <row r="176" ht="13.65" customHeight="1">
      <c r="A176" s="52">
        <v>44896</v>
      </c>
      <c r="B176" s="53">
        <v>2022</v>
      </c>
      <c r="C176" t="s" s="7">
        <v>10177</v>
      </c>
      <c r="D176" t="s" s="7">
        <v>10195</v>
      </c>
      <c r="E176" t="s" s="7">
        <v>10086</v>
      </c>
      <c r="F176" t="s" s="7">
        <v>10070</v>
      </c>
      <c r="G176" s="53" cm="1">
        <f t="array" ref="G176">1</f>
        <v>1</v>
      </c>
      <c r="H176" s="8"/>
      <c r="I176" s="8"/>
      <c r="J176" s="8"/>
      <c r="K176" s="8"/>
      <c r="L176" s="8"/>
      <c r="M176" s="8"/>
      <c r="N176" s="8"/>
      <c r="O176" s="8"/>
      <c r="P176" s="8"/>
      <c r="Q176" s="8"/>
      <c r="R176" s="8"/>
      <c r="S176" s="8"/>
      <c r="T176" s="8"/>
      <c r="U176" s="8"/>
      <c r="V176" s="8"/>
      <c r="W176" s="8"/>
      <c r="X176" s="8"/>
      <c r="Y176" s="8"/>
      <c r="Z176" s="8"/>
    </row>
    <row r="177" ht="13.65" customHeight="1">
      <c r="A177" s="52">
        <v>44927</v>
      </c>
      <c r="B177" s="53">
        <v>2023</v>
      </c>
      <c r="C177" t="s" s="7">
        <v>10177</v>
      </c>
      <c r="D177" t="s" s="7">
        <v>10196</v>
      </c>
      <c r="E177" t="s" s="7">
        <v>10077</v>
      </c>
      <c r="F177" t="s" s="7">
        <v>10062</v>
      </c>
      <c r="G177" s="53" cm="1">
        <f t="array" ref="G177">2</f>
        <v>2</v>
      </c>
      <c r="H177" s="8"/>
      <c r="I177" s="8"/>
      <c r="J177" s="8"/>
      <c r="K177" s="8"/>
      <c r="L177" s="8"/>
      <c r="M177" s="8"/>
      <c r="N177" s="8"/>
      <c r="O177" s="8"/>
      <c r="P177" s="8"/>
      <c r="Q177" s="8"/>
      <c r="R177" s="8"/>
      <c r="S177" s="8"/>
      <c r="T177" s="8"/>
      <c r="U177" s="8"/>
      <c r="V177" s="8"/>
      <c r="W177" s="8"/>
      <c r="X177" s="8"/>
      <c r="Y177" s="8"/>
      <c r="Z177" s="8"/>
    </row>
    <row r="178" ht="13.65" customHeight="1">
      <c r="A178" s="52">
        <v>44986</v>
      </c>
      <c r="B178" s="53">
        <v>2023</v>
      </c>
      <c r="C178" t="s" s="7">
        <v>10177</v>
      </c>
      <c r="D178" t="s" s="7">
        <v>10197</v>
      </c>
      <c r="E178" t="s" s="7">
        <v>10090</v>
      </c>
      <c r="F178" t="s" s="7">
        <v>10070</v>
      </c>
      <c r="G178" s="53" cm="1">
        <f t="array" ref="G178">1</f>
        <v>1</v>
      </c>
      <c r="H178" s="8"/>
      <c r="I178" s="8"/>
      <c r="J178" s="8"/>
      <c r="K178" s="8"/>
      <c r="L178" s="8"/>
      <c r="M178" s="8"/>
      <c r="N178" s="8"/>
      <c r="O178" s="8"/>
      <c r="P178" s="8"/>
      <c r="Q178" s="8"/>
      <c r="R178" s="8"/>
      <c r="S178" s="8"/>
      <c r="T178" s="8"/>
      <c r="U178" s="8"/>
      <c r="V178" s="8"/>
      <c r="W178" s="8"/>
      <c r="X178" s="8"/>
      <c r="Y178" s="8"/>
      <c r="Z178" s="8"/>
    </row>
    <row r="179" ht="13.6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3.65" customHeight="1">
      <c r="A180" s="8"/>
      <c r="B180" s="8"/>
      <c r="C180" s="8"/>
      <c r="D180" s="8"/>
      <c r="E180" s="8"/>
      <c r="F180" t="s" s="7">
        <v>10136</v>
      </c>
      <c r="G180" s="53" cm="1">
        <f t="array" ref="G180">AVERAGE(G169:G178)</f>
        <v>1.2</v>
      </c>
      <c r="H180" s="8"/>
      <c r="I180" s="8"/>
      <c r="J180" s="8"/>
      <c r="K180" s="8"/>
      <c r="L180" s="8"/>
      <c r="M180" s="8"/>
      <c r="N180" s="8"/>
      <c r="O180" s="8"/>
      <c r="P180" s="8"/>
      <c r="Q180" s="8"/>
      <c r="R180" s="8"/>
      <c r="S180" s="8"/>
      <c r="T180" s="8"/>
      <c r="U180" s="8"/>
      <c r="V180" s="8"/>
      <c r="W180" s="8"/>
      <c r="X180" s="8"/>
      <c r="Y180" s="8"/>
      <c r="Z180" s="8"/>
    </row>
    <row r="181" ht="13.6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3.65" customHeight="1">
      <c r="A182" t="s" s="51">
        <v>1281</v>
      </c>
      <c r="B182" t="s" s="51">
        <v>10055</v>
      </c>
      <c r="C182" t="s" s="51">
        <v>10056</v>
      </c>
      <c r="D182" t="s" s="51">
        <v>10057</v>
      </c>
      <c r="E182" t="s" s="51">
        <v>10075</v>
      </c>
      <c r="F182" t="s" s="51">
        <v>10058</v>
      </c>
      <c r="G182" t="s" s="51">
        <v>10059</v>
      </c>
      <c r="H182" s="8"/>
      <c r="I182" s="8"/>
      <c r="J182" s="8"/>
      <c r="K182" s="8"/>
      <c r="L182" s="8"/>
      <c r="M182" s="8"/>
      <c r="N182" s="8"/>
      <c r="O182" s="8"/>
      <c r="P182" s="8"/>
      <c r="Q182" s="8"/>
      <c r="R182" s="8"/>
      <c r="S182" s="8"/>
      <c r="T182" s="8"/>
      <c r="U182" s="8"/>
      <c r="V182" s="8"/>
      <c r="W182" s="8"/>
      <c r="X182" s="8"/>
      <c r="Y182" s="8"/>
      <c r="Z182" s="8"/>
    </row>
    <row r="183" ht="13.65" customHeight="1">
      <c r="A183" s="52">
        <v>45017</v>
      </c>
      <c r="B183" s="53">
        <v>2023</v>
      </c>
      <c r="C183" t="s" s="7">
        <v>10177</v>
      </c>
      <c r="D183" t="s" s="7">
        <v>10198</v>
      </c>
      <c r="E183" t="s" s="7">
        <v>10080</v>
      </c>
      <c r="F183" t="s" s="7">
        <v>10070</v>
      </c>
      <c r="G183" s="53" cm="1">
        <f t="array" ref="G183">1</f>
        <v>1</v>
      </c>
      <c r="H183" s="8"/>
      <c r="I183" s="8"/>
      <c r="J183" s="8"/>
      <c r="K183" s="8"/>
      <c r="L183" s="8"/>
      <c r="M183" s="8"/>
      <c r="N183" s="8"/>
      <c r="O183" s="8"/>
      <c r="P183" s="8"/>
      <c r="Q183" s="8"/>
      <c r="R183" s="8"/>
      <c r="S183" s="8"/>
      <c r="T183" s="8"/>
      <c r="U183" s="8"/>
      <c r="V183" s="8"/>
      <c r="W183" s="8"/>
      <c r="X183" s="8"/>
      <c r="Y183" s="8"/>
      <c r="Z183" s="8"/>
    </row>
    <row r="184" ht="13.65" customHeight="1">
      <c r="A184" s="54">
        <v>45047</v>
      </c>
      <c r="B184" s="53">
        <v>2023</v>
      </c>
      <c r="C184" t="s" s="7">
        <v>10177</v>
      </c>
      <c r="D184" t="s" s="7">
        <v>10199</v>
      </c>
      <c r="E184" t="s" s="7">
        <v>10077</v>
      </c>
      <c r="F184" t="s" s="7">
        <v>10070</v>
      </c>
      <c r="G184" s="53" cm="1">
        <f t="array" ref="G184">1</f>
        <v>1</v>
      </c>
      <c r="H184" s="8"/>
      <c r="I184" s="8"/>
      <c r="J184" s="8"/>
      <c r="K184" s="8"/>
      <c r="L184" s="8"/>
      <c r="M184" s="8"/>
      <c r="N184" s="8"/>
      <c r="O184" s="8"/>
      <c r="P184" s="8"/>
      <c r="Q184" s="8"/>
      <c r="R184" s="8"/>
      <c r="S184" s="8"/>
      <c r="T184" s="8"/>
      <c r="U184" s="8"/>
      <c r="V184" s="8"/>
      <c r="W184" s="8"/>
      <c r="X184" s="8"/>
      <c r="Y184" s="8"/>
      <c r="Z184" s="8"/>
    </row>
    <row r="185" ht="13.65" customHeight="1">
      <c r="A185" s="52">
        <v>45078</v>
      </c>
      <c r="B185" s="53">
        <v>2023</v>
      </c>
      <c r="C185" t="s" s="7">
        <v>10177</v>
      </c>
      <c r="D185" t="s" s="7">
        <v>10200</v>
      </c>
      <c r="E185" t="s" s="7">
        <v>10090</v>
      </c>
      <c r="F185" t="s" s="7">
        <v>10070</v>
      </c>
      <c r="G185" s="53" cm="1">
        <f t="array" ref="G185">1</f>
        <v>1</v>
      </c>
      <c r="H185" s="8"/>
      <c r="I185" s="8"/>
      <c r="J185" s="8"/>
      <c r="K185" s="8"/>
      <c r="L185" s="8"/>
      <c r="M185" s="8"/>
      <c r="N185" s="8"/>
      <c r="O185" s="8"/>
      <c r="P185" s="8"/>
      <c r="Q185" s="8"/>
      <c r="R185" s="8"/>
      <c r="S185" s="8"/>
      <c r="T185" s="8"/>
      <c r="U185" s="8"/>
      <c r="V185" s="8"/>
      <c r="W185" s="8"/>
      <c r="X185" s="8"/>
      <c r="Y185" s="8"/>
      <c r="Z185" s="8"/>
    </row>
    <row r="186" ht="13.65" customHeight="1">
      <c r="A186" s="52">
        <v>45108</v>
      </c>
      <c r="B186" s="53">
        <v>2023</v>
      </c>
      <c r="C186" t="s" s="7">
        <v>10177</v>
      </c>
      <c r="D186" t="s" s="7">
        <v>10201</v>
      </c>
      <c r="E186" t="s" s="7">
        <v>10083</v>
      </c>
      <c r="F186" t="s" s="7">
        <v>10070</v>
      </c>
      <c r="G186" s="53" cm="1">
        <f t="array" ref="G186">1</f>
        <v>1</v>
      </c>
      <c r="H186" s="8"/>
      <c r="I186" s="8"/>
      <c r="J186" s="8"/>
      <c r="K186" s="8"/>
      <c r="L186" s="8"/>
      <c r="M186" s="8"/>
      <c r="N186" s="8"/>
      <c r="O186" s="8"/>
      <c r="P186" s="8"/>
      <c r="Q186" s="8"/>
      <c r="R186" s="8"/>
      <c r="S186" s="8"/>
      <c r="T186" s="8"/>
      <c r="U186" s="8"/>
      <c r="V186" s="8"/>
      <c r="W186" s="8"/>
      <c r="X186" s="8"/>
      <c r="Y186" s="8"/>
      <c r="Z186" s="8"/>
    </row>
    <row r="187" ht="13.65" customHeight="1">
      <c r="A187" s="52">
        <v>45139</v>
      </c>
      <c r="B187" s="53">
        <v>2023</v>
      </c>
      <c r="C187" t="s" s="7">
        <v>10177</v>
      </c>
      <c r="D187" t="s" s="7">
        <v>10202</v>
      </c>
      <c r="E187" t="s" s="7">
        <v>10086</v>
      </c>
      <c r="F187" t="s" s="7">
        <v>10070</v>
      </c>
      <c r="G187" s="53" cm="1">
        <f t="array" ref="G187">1</f>
        <v>1</v>
      </c>
      <c r="H187" s="8"/>
      <c r="I187" s="8"/>
      <c r="J187" s="8"/>
      <c r="K187" s="8"/>
      <c r="L187" s="8"/>
      <c r="M187" s="8"/>
      <c r="N187" s="8"/>
      <c r="O187" s="8"/>
      <c r="P187" s="8"/>
      <c r="Q187" s="8"/>
      <c r="R187" s="8"/>
      <c r="S187" s="8"/>
      <c r="T187" s="8"/>
      <c r="U187" s="8"/>
      <c r="V187" s="8"/>
      <c r="W187" s="8"/>
      <c r="X187" s="8"/>
      <c r="Y187" s="8"/>
      <c r="Z187" s="8"/>
    </row>
    <row r="188" ht="13.65" customHeight="1">
      <c r="A188" s="52">
        <v>45200</v>
      </c>
      <c r="B188" s="53">
        <v>2023</v>
      </c>
      <c r="C188" t="s" s="7">
        <v>10177</v>
      </c>
      <c r="D188" t="s" s="7">
        <v>10203</v>
      </c>
      <c r="E188" t="s" s="7">
        <v>10077</v>
      </c>
      <c r="F188" t="s" s="7">
        <v>10062</v>
      </c>
      <c r="G188" s="53" cm="1">
        <f t="array" ref="G188">2</f>
        <v>2</v>
      </c>
      <c r="H188" s="8"/>
      <c r="I188" s="8"/>
      <c r="J188" s="8"/>
      <c r="K188" s="8"/>
      <c r="L188" s="8"/>
      <c r="M188" s="8"/>
      <c r="N188" s="8"/>
      <c r="O188" s="8"/>
      <c r="P188" s="8"/>
      <c r="Q188" s="8"/>
      <c r="R188" s="8"/>
      <c r="S188" s="8"/>
      <c r="T188" s="8"/>
      <c r="U188" s="8"/>
      <c r="V188" s="8"/>
      <c r="W188" s="8"/>
      <c r="X188" s="8"/>
      <c r="Y188" s="8"/>
      <c r="Z188" s="8"/>
    </row>
    <row r="189" ht="13.65" customHeight="1">
      <c r="A189" s="52">
        <v>45231</v>
      </c>
      <c r="B189" s="53">
        <v>2023</v>
      </c>
      <c r="C189" t="s" s="7">
        <v>10177</v>
      </c>
      <c r="D189" t="s" s="7">
        <v>10204</v>
      </c>
      <c r="E189" t="s" s="7">
        <v>10090</v>
      </c>
      <c r="F189" t="s" s="7">
        <v>10070</v>
      </c>
      <c r="G189" s="53" cm="1">
        <f t="array" ref="G189">1</f>
        <v>1</v>
      </c>
      <c r="H189" s="8"/>
      <c r="I189" s="8"/>
      <c r="J189" s="8"/>
      <c r="K189" s="8"/>
      <c r="L189" s="8"/>
      <c r="M189" s="8"/>
      <c r="N189" s="8"/>
      <c r="O189" s="8"/>
      <c r="P189" s="8"/>
      <c r="Q189" s="8"/>
      <c r="R189" s="8"/>
      <c r="S189" s="8"/>
      <c r="T189" s="8"/>
      <c r="U189" s="8"/>
      <c r="V189" s="8"/>
      <c r="W189" s="8"/>
      <c r="X189" s="8"/>
      <c r="Y189" s="8"/>
      <c r="Z189" s="8"/>
    </row>
    <row r="190" ht="13.65" customHeight="1">
      <c r="A190" s="52">
        <v>45292</v>
      </c>
      <c r="B190" s="53">
        <v>2024</v>
      </c>
      <c r="C190" t="s" s="7">
        <v>10177</v>
      </c>
      <c r="D190" t="s" s="7">
        <v>10205</v>
      </c>
      <c r="E190" t="s" s="7">
        <v>10077</v>
      </c>
      <c r="F190" t="s" s="7">
        <v>10062</v>
      </c>
      <c r="G190" s="53" cm="1">
        <f t="array" ref="G190">2</f>
        <v>2</v>
      </c>
      <c r="H190" s="8"/>
      <c r="I190" s="8"/>
      <c r="J190" s="8"/>
      <c r="K190" s="8"/>
      <c r="L190" s="8"/>
      <c r="M190" s="8"/>
      <c r="N190" s="8"/>
      <c r="O190" s="8"/>
      <c r="P190" s="8"/>
      <c r="Q190" s="8"/>
      <c r="R190" s="8"/>
      <c r="S190" s="8"/>
      <c r="T190" s="8"/>
      <c r="U190" s="8"/>
      <c r="V190" s="8"/>
      <c r="W190" s="8"/>
      <c r="X190" s="8"/>
      <c r="Y190" s="8"/>
      <c r="Z190" s="8"/>
    </row>
    <row r="191" ht="13.65" customHeight="1">
      <c r="A191" s="52">
        <v>45323</v>
      </c>
      <c r="B191" s="53">
        <v>2024</v>
      </c>
      <c r="C191" t="s" s="7">
        <v>10177</v>
      </c>
      <c r="D191" t="s" s="7">
        <v>10206</v>
      </c>
      <c r="E191" t="s" s="7">
        <v>10123</v>
      </c>
      <c r="F191" t="s" s="7">
        <v>10070</v>
      </c>
      <c r="G191" s="53" cm="1">
        <f t="array" ref="G191">1</f>
        <v>1</v>
      </c>
      <c r="H191" s="8"/>
      <c r="I191" s="8"/>
      <c r="J191" s="8"/>
      <c r="K191" s="8"/>
      <c r="L191" s="8"/>
      <c r="M191" s="8"/>
      <c r="N191" s="8"/>
      <c r="O191" s="8"/>
      <c r="P191" s="8"/>
      <c r="Q191" s="8"/>
      <c r="R191" s="8"/>
      <c r="S191" s="8"/>
      <c r="T191" s="8"/>
      <c r="U191" s="8"/>
      <c r="V191" s="8"/>
      <c r="W191" s="8"/>
      <c r="X191" s="8"/>
      <c r="Y191" s="8"/>
      <c r="Z191" s="8"/>
    </row>
    <row r="192" ht="13.65" customHeight="1">
      <c r="A192" s="52">
        <v>45352</v>
      </c>
      <c r="B192" s="53">
        <v>2024</v>
      </c>
      <c r="C192" t="s" s="7">
        <v>10177</v>
      </c>
      <c r="D192" t="s" s="7">
        <v>10207</v>
      </c>
      <c r="E192" t="s" s="7">
        <v>10080</v>
      </c>
      <c r="F192" t="s" s="7">
        <v>10070</v>
      </c>
      <c r="G192" s="53" cm="1">
        <f t="array" ref="G192">1</f>
        <v>1</v>
      </c>
      <c r="H192" s="8"/>
      <c r="I192" s="8"/>
      <c r="J192" s="8"/>
      <c r="K192" s="8"/>
      <c r="L192" s="8"/>
      <c r="M192" s="8"/>
      <c r="N192" s="8"/>
      <c r="O192" s="8"/>
      <c r="P192" s="8"/>
      <c r="Q192" s="8"/>
      <c r="R192" s="8"/>
      <c r="S192" s="8"/>
      <c r="T192" s="8"/>
      <c r="U192" s="8"/>
      <c r="V192" s="8"/>
      <c r="W192" s="8"/>
      <c r="X192" s="8"/>
      <c r="Y192" s="8"/>
      <c r="Z192" s="8"/>
    </row>
    <row r="193" ht="13.6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3.65" customHeight="1">
      <c r="A194" s="8"/>
      <c r="B194" s="8"/>
      <c r="C194" s="8"/>
      <c r="D194" s="8"/>
      <c r="E194" s="8"/>
      <c r="F194" t="s" s="7">
        <v>10136</v>
      </c>
      <c r="G194" s="53" cm="1">
        <f t="array" ref="G194">AVERAGE(G183:G192)</f>
        <v>1.2</v>
      </c>
      <c r="H194" s="8"/>
      <c r="I194" s="8"/>
      <c r="J194" s="8"/>
      <c r="K194" s="8"/>
      <c r="L194" s="8"/>
      <c r="M194" s="8"/>
      <c r="N194" s="8"/>
      <c r="O194" s="8"/>
      <c r="P194" s="8"/>
      <c r="Q194" s="8"/>
      <c r="R194" s="8"/>
      <c r="S194" s="8"/>
      <c r="T194" s="8"/>
      <c r="U194" s="8"/>
      <c r="V194" s="8"/>
      <c r="W194" s="8"/>
      <c r="X194" s="8"/>
      <c r="Y194" s="8"/>
      <c r="Z194" s="8"/>
    </row>
    <row r="195" ht="13.65" customHeight="1">
      <c r="A195" t="s" s="7">
        <v>778</v>
      </c>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3.65" customHeight="1">
      <c r="A196" t="s" s="51">
        <v>1281</v>
      </c>
      <c r="B196" t="s" s="51">
        <v>10055</v>
      </c>
      <c r="C196" t="s" s="51">
        <v>10056</v>
      </c>
      <c r="D196" t="s" s="51">
        <v>10057</v>
      </c>
      <c r="E196" t="s" s="51">
        <v>10075</v>
      </c>
      <c r="F196" t="s" s="51">
        <v>10058</v>
      </c>
      <c r="G196" t="s" s="51">
        <v>10059</v>
      </c>
      <c r="H196" s="8"/>
      <c r="I196" s="8"/>
      <c r="J196" s="8"/>
      <c r="K196" s="8"/>
      <c r="L196" s="8"/>
      <c r="M196" s="8"/>
      <c r="N196" s="8"/>
      <c r="O196" s="8"/>
      <c r="P196" s="8"/>
      <c r="Q196" s="8"/>
      <c r="R196" s="8"/>
      <c r="S196" s="8"/>
      <c r="T196" s="8"/>
      <c r="U196" s="8"/>
      <c r="V196" s="8"/>
      <c r="W196" s="8"/>
      <c r="X196" s="8"/>
      <c r="Y196" s="8"/>
      <c r="Z196" s="8"/>
    </row>
    <row r="197" ht="13.65" customHeight="1">
      <c r="A197" s="52">
        <v>45383</v>
      </c>
      <c r="B197" s="53">
        <v>2024</v>
      </c>
      <c r="C197" t="s" s="7">
        <v>10177</v>
      </c>
      <c r="D197" t="s" s="7">
        <v>10208</v>
      </c>
      <c r="E197" t="s" s="7">
        <v>10090</v>
      </c>
      <c r="F197" t="s" s="7">
        <v>10070</v>
      </c>
      <c r="G197" s="53" cm="1">
        <f t="array" ref="G197">1</f>
        <v>1</v>
      </c>
      <c r="H197" s="8"/>
      <c r="I197" s="8"/>
      <c r="J197" s="8"/>
      <c r="K197" s="8"/>
      <c r="L197" s="8"/>
      <c r="M197" s="8"/>
      <c r="N197" s="8"/>
      <c r="O197" s="8"/>
      <c r="P197" s="8"/>
      <c r="Q197" s="8"/>
      <c r="R197" s="8"/>
      <c r="S197" s="8"/>
      <c r="T197" s="8"/>
      <c r="U197" s="8"/>
      <c r="V197" s="8"/>
      <c r="W197" s="8"/>
      <c r="X197" s="8"/>
      <c r="Y197" s="8"/>
      <c r="Z197" s="8"/>
    </row>
    <row r="198" ht="13.65" customHeight="1">
      <c r="A198" s="54">
        <v>45413</v>
      </c>
      <c r="B198" s="53">
        <v>2024</v>
      </c>
      <c r="C198" t="s" s="7">
        <v>10177</v>
      </c>
      <c r="D198" t="s" s="7">
        <v>10209</v>
      </c>
      <c r="E198" t="s" s="7">
        <v>10077</v>
      </c>
      <c r="F198" t="s" s="7">
        <v>10062</v>
      </c>
      <c r="G198" s="53" cm="1">
        <f t="array" ref="G198">2</f>
        <v>2</v>
      </c>
      <c r="H198" s="8"/>
      <c r="I198" s="8"/>
      <c r="J198" s="8"/>
      <c r="K198" s="8"/>
      <c r="L198" s="8"/>
      <c r="M198" s="8"/>
      <c r="N198" s="8"/>
      <c r="O198" s="8"/>
      <c r="P198" s="8"/>
      <c r="Q198" s="8"/>
      <c r="R198" s="8"/>
      <c r="S198" s="8"/>
      <c r="T198" s="8"/>
      <c r="U198" s="8"/>
      <c r="V198" s="8"/>
      <c r="W198" s="8"/>
      <c r="X198" s="8"/>
      <c r="Y198" s="8"/>
      <c r="Z198" s="8"/>
    </row>
    <row r="199" ht="13.65" customHeight="1">
      <c r="A199" s="52">
        <v>45444</v>
      </c>
      <c r="B199" s="53">
        <v>2024</v>
      </c>
      <c r="C199" t="s" s="7">
        <v>10177</v>
      </c>
      <c r="D199" t="s" s="7">
        <v>10210</v>
      </c>
      <c r="E199" t="s" s="7">
        <v>10083</v>
      </c>
      <c r="F199" t="s" s="7">
        <v>10070</v>
      </c>
      <c r="G199" s="53" cm="1">
        <f t="array" ref="G199">1</f>
        <v>1</v>
      </c>
      <c r="H199" s="8"/>
      <c r="I199" s="8"/>
      <c r="J199" s="8"/>
      <c r="K199" s="8"/>
      <c r="L199" s="8"/>
      <c r="M199" s="8"/>
      <c r="N199" s="8"/>
      <c r="O199" s="8"/>
      <c r="P199" s="8"/>
      <c r="Q199" s="8"/>
      <c r="R199" s="8"/>
      <c r="S199" s="8"/>
      <c r="T199" s="8"/>
      <c r="U199" s="8"/>
      <c r="V199" s="8"/>
      <c r="W199" s="8"/>
      <c r="X199" s="8"/>
      <c r="Y199" s="8"/>
      <c r="Z199" s="8"/>
    </row>
    <row r="200" ht="13.65" customHeight="1">
      <c r="A200" s="52">
        <v>45474</v>
      </c>
      <c r="B200" s="53">
        <v>2024</v>
      </c>
      <c r="C200" t="s" s="7">
        <v>10177</v>
      </c>
      <c r="D200" t="s" s="7">
        <v>10211</v>
      </c>
      <c r="E200" t="s" s="7">
        <v>10086</v>
      </c>
      <c r="F200" t="s" s="7">
        <v>10070</v>
      </c>
      <c r="G200" s="53" cm="1">
        <f t="array" ref="G200">1</f>
        <v>1</v>
      </c>
      <c r="H200" s="8"/>
      <c r="I200" s="8"/>
      <c r="J200" s="8"/>
      <c r="K200" s="8"/>
      <c r="L200" s="8"/>
      <c r="M200" s="8"/>
      <c r="N200" s="8"/>
      <c r="O200" s="8"/>
      <c r="P200" s="8"/>
      <c r="Q200" s="8"/>
      <c r="R200" s="8"/>
      <c r="S200" s="8"/>
      <c r="T200" s="8"/>
      <c r="U200" s="8"/>
      <c r="V200" s="8"/>
      <c r="W200" s="8"/>
      <c r="X200" s="8"/>
      <c r="Y200" s="8"/>
      <c r="Z200" s="8"/>
    </row>
    <row r="201" ht="13.65" customHeight="1">
      <c r="A201" s="52">
        <v>45505</v>
      </c>
      <c r="B201" s="53">
        <v>2024</v>
      </c>
      <c r="C201" t="s" s="7">
        <v>10177</v>
      </c>
      <c r="D201" t="s" s="7">
        <v>10212</v>
      </c>
      <c r="E201" t="s" s="7">
        <v>10080</v>
      </c>
      <c r="F201" t="s" s="7">
        <v>10070</v>
      </c>
      <c r="G201" s="53" cm="1">
        <f t="array" ref="G201">1</f>
        <v>1</v>
      </c>
      <c r="H201" s="8"/>
      <c r="I201" s="8"/>
      <c r="J201" s="8"/>
      <c r="K201" s="8"/>
      <c r="L201" s="8"/>
      <c r="M201" s="8"/>
      <c r="N201" s="8"/>
      <c r="O201" s="8"/>
      <c r="P201" s="8"/>
      <c r="Q201" s="8"/>
      <c r="R201" s="8"/>
      <c r="S201" s="8"/>
      <c r="T201" s="8"/>
      <c r="U201" s="8"/>
      <c r="V201" s="8"/>
      <c r="W201" s="8"/>
      <c r="X201" s="8"/>
      <c r="Y201" s="8"/>
      <c r="Z201" s="8"/>
    </row>
    <row r="202" ht="13.65" customHeight="1">
      <c r="A202" s="52">
        <v>45566</v>
      </c>
      <c r="B202" s="53">
        <v>2024</v>
      </c>
      <c r="C202" t="s" s="7">
        <v>10177</v>
      </c>
      <c r="D202" t="s" s="7">
        <v>10213</v>
      </c>
      <c r="E202" t="s" s="7">
        <v>10077</v>
      </c>
      <c r="F202" t="s" s="7">
        <v>10062</v>
      </c>
      <c r="G202" s="53" cm="1">
        <f t="array" ref="G202">2</f>
        <v>2</v>
      </c>
      <c r="H202" s="8"/>
      <c r="I202" s="8"/>
      <c r="J202" s="8"/>
      <c r="K202" s="8"/>
      <c r="L202" s="8"/>
      <c r="M202" s="8"/>
      <c r="N202" s="8"/>
      <c r="O202" s="8"/>
      <c r="P202" s="8"/>
      <c r="Q202" s="8"/>
      <c r="R202" s="8"/>
      <c r="S202" s="8"/>
      <c r="T202" s="8"/>
      <c r="U202" s="8"/>
      <c r="V202" s="8"/>
      <c r="W202" s="8"/>
      <c r="X202" s="8"/>
      <c r="Y202" s="8"/>
      <c r="Z202" s="8"/>
    </row>
    <row r="203" ht="13.65" customHeight="1">
      <c r="A203" s="52">
        <v>45597</v>
      </c>
      <c r="B203" s="53">
        <v>2024</v>
      </c>
      <c r="C203" t="s" s="7">
        <v>10177</v>
      </c>
      <c r="D203" t="s" s="7">
        <v>10214</v>
      </c>
      <c r="E203" t="s" s="7">
        <v>10090</v>
      </c>
      <c r="F203" t="s" s="7">
        <v>10070</v>
      </c>
      <c r="G203" s="53" cm="1">
        <f t="array" ref="G203">1</f>
        <v>1</v>
      </c>
      <c r="H203" s="8"/>
      <c r="I203" s="8"/>
      <c r="J203" s="8"/>
      <c r="K203" s="8"/>
      <c r="L203" s="8"/>
      <c r="M203" s="8"/>
      <c r="N203" s="8"/>
      <c r="O203" s="8"/>
      <c r="P203" s="8"/>
      <c r="Q203" s="8"/>
      <c r="R203" s="8"/>
      <c r="S203" s="8"/>
      <c r="T203" s="8"/>
      <c r="U203" s="8"/>
      <c r="V203" s="8"/>
      <c r="W203" s="8"/>
      <c r="X203" s="8"/>
      <c r="Y203" s="8"/>
      <c r="Z203" s="8"/>
    </row>
    <row r="204" ht="13.65" customHeight="1">
      <c r="A204" s="52">
        <v>45658</v>
      </c>
      <c r="B204" s="53">
        <v>2025</v>
      </c>
      <c r="C204" t="s" s="7">
        <v>10177</v>
      </c>
      <c r="D204" t="s" s="7">
        <v>10215</v>
      </c>
      <c r="E204" t="s" s="7">
        <v>10077</v>
      </c>
      <c r="F204" t="s" s="7">
        <v>10070</v>
      </c>
      <c r="G204" s="53" cm="1">
        <f t="array" ref="G204">1</f>
        <v>1</v>
      </c>
      <c r="H204" s="8"/>
      <c r="I204" s="8"/>
      <c r="J204" s="8"/>
      <c r="K204" s="8"/>
      <c r="L204" s="8"/>
      <c r="M204" s="8"/>
      <c r="N204" s="8"/>
      <c r="O204" s="8"/>
      <c r="P204" s="8"/>
      <c r="Q204" s="8"/>
      <c r="R204" s="8"/>
      <c r="S204" s="8"/>
      <c r="T204" s="8"/>
      <c r="U204" s="8"/>
      <c r="V204" s="8"/>
      <c r="W204" s="8"/>
      <c r="X204" s="8"/>
      <c r="Y204" s="8"/>
      <c r="Z204" s="8"/>
    </row>
    <row r="205" ht="13.65" customHeight="1">
      <c r="A205" s="52">
        <v>45689</v>
      </c>
      <c r="B205" s="53">
        <v>2025</v>
      </c>
      <c r="C205" t="s" s="7">
        <v>10177</v>
      </c>
      <c r="D205" t="s" s="7">
        <v>10216</v>
      </c>
      <c r="E205" t="s" s="7">
        <v>10086</v>
      </c>
      <c r="F205" t="s" s="7">
        <v>10070</v>
      </c>
      <c r="G205" s="53" cm="1">
        <f t="array" ref="G205">1</f>
        <v>1</v>
      </c>
      <c r="H205" s="8"/>
      <c r="I205" s="8"/>
      <c r="J205" s="8"/>
      <c r="K205" s="8"/>
      <c r="L205" s="8"/>
      <c r="M205" s="8"/>
      <c r="N205" s="8"/>
      <c r="O205" s="8"/>
      <c r="P205" s="8"/>
      <c r="Q205" s="8"/>
      <c r="R205" s="8"/>
      <c r="S205" s="8"/>
      <c r="T205" s="8"/>
      <c r="U205" s="8"/>
      <c r="V205" s="8"/>
      <c r="W205" s="8"/>
      <c r="X205" s="8"/>
      <c r="Y205" s="8"/>
      <c r="Z205" s="8"/>
    </row>
    <row r="206" ht="13.65" customHeight="1">
      <c r="A206" s="52">
        <v>45717</v>
      </c>
      <c r="B206" s="53">
        <v>2025</v>
      </c>
      <c r="C206" t="s" s="7">
        <v>10177</v>
      </c>
      <c r="D206" t="s" s="7">
        <v>10217</v>
      </c>
      <c r="E206" t="s" s="7">
        <v>10083</v>
      </c>
      <c r="F206" t="s" s="7">
        <v>10070</v>
      </c>
      <c r="G206" s="53" cm="1">
        <f t="array" ref="G206">1</f>
        <v>1</v>
      </c>
      <c r="H206" s="8"/>
      <c r="I206" s="8"/>
      <c r="J206" s="8"/>
      <c r="K206" s="8"/>
      <c r="L206" s="8"/>
      <c r="M206" s="8"/>
      <c r="N206" s="8"/>
      <c r="O206" s="8"/>
      <c r="P206" s="8"/>
      <c r="Q206" s="8"/>
      <c r="R206" s="8"/>
      <c r="S206" s="8"/>
      <c r="T206" s="8"/>
      <c r="U206" s="8"/>
      <c r="V206" s="8"/>
      <c r="W206" s="8"/>
      <c r="X206" s="8"/>
      <c r="Y206" s="8"/>
      <c r="Z206" s="8"/>
    </row>
    <row r="207" ht="13.6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3.65" customHeight="1">
      <c r="A208" s="8"/>
      <c r="B208" s="8"/>
      <c r="C208" s="8"/>
      <c r="D208" s="8"/>
      <c r="E208" s="8"/>
      <c r="F208" t="s" s="7">
        <v>10136</v>
      </c>
      <c r="G208" s="53" cm="1">
        <f t="array" ref="G208">AVERAGE(G197:G206)</f>
        <v>1.2</v>
      </c>
      <c r="H208" s="8"/>
      <c r="I208" s="8"/>
      <c r="J208" s="8"/>
      <c r="K208" s="8"/>
      <c r="L208" s="8"/>
      <c r="M208" s="8"/>
      <c r="N208" s="8"/>
      <c r="O208" s="8"/>
      <c r="P208" s="8"/>
      <c r="Q208" s="8"/>
      <c r="R208" s="8"/>
      <c r="S208" s="8"/>
      <c r="T208" s="8"/>
      <c r="U208" s="8"/>
      <c r="V208" s="8"/>
      <c r="W208" s="8"/>
      <c r="X208" s="8"/>
      <c r="Y208" s="8"/>
      <c r="Z208" s="8"/>
    </row>
    <row r="209" ht="13.65" customHeight="1">
      <c r="A209" t="s" s="7">
        <v>1029</v>
      </c>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3.65" customHeight="1">
      <c r="A210" t="s" s="51">
        <v>1281</v>
      </c>
      <c r="B210" t="s" s="51">
        <v>10055</v>
      </c>
      <c r="C210" t="s" s="51">
        <v>10056</v>
      </c>
      <c r="D210" t="s" s="51">
        <v>10057</v>
      </c>
      <c r="E210" t="s" s="51">
        <v>10075</v>
      </c>
      <c r="F210" t="s" s="51">
        <v>10058</v>
      </c>
      <c r="G210" t="s" s="51">
        <v>10059</v>
      </c>
      <c r="H210" s="8"/>
      <c r="I210" s="8"/>
      <c r="J210" s="8"/>
      <c r="K210" s="8"/>
      <c r="L210" s="8"/>
      <c r="M210" s="8"/>
      <c r="N210" s="8"/>
      <c r="O210" s="8"/>
      <c r="P210" s="8"/>
      <c r="Q210" s="8"/>
      <c r="R210" s="8"/>
      <c r="S210" s="8"/>
      <c r="T210" s="8"/>
      <c r="U210" s="8"/>
      <c r="V210" s="8"/>
      <c r="W210" s="8"/>
      <c r="X210" s="8"/>
      <c r="Y210" s="8"/>
      <c r="Z210" s="8"/>
    </row>
    <row r="211" ht="13.65" customHeight="1">
      <c r="A211" s="52">
        <v>45748</v>
      </c>
      <c r="B211" s="53">
        <v>2025</v>
      </c>
      <c r="C211" t="s" s="7">
        <v>10177</v>
      </c>
      <c r="D211" t="s" s="7">
        <v>10218</v>
      </c>
      <c r="E211" t="s" s="7">
        <v>10090</v>
      </c>
      <c r="F211" t="s" s="7">
        <v>10070</v>
      </c>
      <c r="G211" s="53" cm="1">
        <f t="array" ref="G211">1</f>
        <v>1</v>
      </c>
      <c r="H211" s="8"/>
      <c r="I211" s="8"/>
      <c r="J211" s="8"/>
      <c r="K211" s="8"/>
      <c r="L211" s="8"/>
      <c r="M211" s="8"/>
      <c r="N211" s="8"/>
      <c r="O211" s="8"/>
      <c r="P211" s="8"/>
      <c r="Q211" s="8"/>
      <c r="R211" s="8"/>
      <c r="S211" s="8"/>
      <c r="T211" s="8"/>
      <c r="U211" s="8"/>
      <c r="V211" s="8"/>
      <c r="W211" s="8"/>
      <c r="X211" s="8"/>
      <c r="Y211" s="8"/>
      <c r="Z211" s="8"/>
    </row>
    <row r="212" ht="13.65" customHeight="1">
      <c r="A212" s="54">
        <v>45778</v>
      </c>
      <c r="B212" s="53">
        <v>2025</v>
      </c>
      <c r="C212" t="s" s="7">
        <v>10177</v>
      </c>
      <c r="D212" t="s" s="7">
        <v>10219</v>
      </c>
      <c r="E212" t="s" s="7">
        <v>10077</v>
      </c>
      <c r="F212" t="s" s="7">
        <v>10070</v>
      </c>
      <c r="G212" s="53" cm="1">
        <f t="array" ref="G212">1</f>
        <v>1</v>
      </c>
      <c r="H212" s="8"/>
      <c r="I212" s="8"/>
      <c r="J212" s="8"/>
      <c r="K212" s="8"/>
      <c r="L212" s="8"/>
      <c r="M212" s="8"/>
      <c r="N212" s="8"/>
      <c r="O212" s="8"/>
      <c r="P212" s="8"/>
      <c r="Q212" s="8"/>
      <c r="R212" s="8"/>
      <c r="S212" s="8"/>
      <c r="T212" s="8"/>
      <c r="U212" s="8"/>
      <c r="V212" s="8"/>
      <c r="W212" s="8"/>
      <c r="X212" s="8"/>
      <c r="Y212" s="8"/>
      <c r="Z212" s="8"/>
    </row>
    <row r="213" ht="13.65" customHeight="1">
      <c r="A213" s="52">
        <v>45809</v>
      </c>
      <c r="B213" s="53">
        <v>2025</v>
      </c>
      <c r="C213" t="s" s="7">
        <v>10177</v>
      </c>
      <c r="D213" t="s" s="7">
        <v>10220</v>
      </c>
      <c r="E213" t="s" s="7">
        <v>10080</v>
      </c>
      <c r="F213" t="s" s="7">
        <v>10070</v>
      </c>
      <c r="G213" s="53" cm="1">
        <f t="array" ref="G213">1</f>
        <v>1</v>
      </c>
      <c r="H213" s="8"/>
      <c r="I213" s="8"/>
      <c r="J213" s="8"/>
      <c r="K213" s="8"/>
      <c r="L213" s="8"/>
      <c r="M213" s="8"/>
      <c r="N213" s="8"/>
      <c r="O213" s="8"/>
      <c r="P213" s="8"/>
      <c r="Q213" s="8"/>
      <c r="R213" s="8"/>
      <c r="S213" s="8"/>
      <c r="T213" s="8"/>
      <c r="U213" s="8"/>
      <c r="V213" s="8"/>
      <c r="W213" s="8"/>
      <c r="X213" s="8"/>
      <c r="Y213" s="8"/>
      <c r="Z213" s="8"/>
    </row>
    <row r="214" ht="13.65" customHeight="1">
      <c r="A214" s="52">
        <v>45839</v>
      </c>
      <c r="B214" s="53">
        <v>2025</v>
      </c>
      <c r="C214" t="s" s="7">
        <v>10177</v>
      </c>
      <c r="D214" t="s" s="7">
        <v>10221</v>
      </c>
      <c r="E214" t="s" s="7">
        <v>10086</v>
      </c>
      <c r="F214" t="s" s="7">
        <v>10070</v>
      </c>
      <c r="G214" s="53" cm="1">
        <f t="array" ref="G214">1</f>
        <v>1</v>
      </c>
      <c r="H214" s="8"/>
      <c r="I214" s="8"/>
      <c r="J214" s="8"/>
      <c r="K214" s="8"/>
      <c r="L214" s="8"/>
      <c r="M214" s="8"/>
      <c r="N214" s="8"/>
      <c r="O214" s="8"/>
      <c r="P214" s="8"/>
      <c r="Q214" s="8"/>
      <c r="R214" s="8"/>
      <c r="S214" s="8"/>
      <c r="T214" s="8"/>
      <c r="U214" s="8"/>
      <c r="V214" s="8"/>
      <c r="W214" s="8"/>
      <c r="X214" s="8"/>
      <c r="Y214" s="8"/>
      <c r="Z214" s="8"/>
    </row>
    <row r="215" ht="13.65" customHeight="1">
      <c r="A215" s="52">
        <v>45870</v>
      </c>
      <c r="B215" s="53">
        <v>2025</v>
      </c>
      <c r="C215" t="s" s="7">
        <v>10177</v>
      </c>
      <c r="D215" t="s" s="7">
        <v>10222</v>
      </c>
      <c r="E215" t="s" s="7">
        <v>10083</v>
      </c>
      <c r="F215" t="s" s="7">
        <v>10070</v>
      </c>
      <c r="G215" s="53" cm="1">
        <f t="array" ref="G215">1</f>
        <v>1</v>
      </c>
      <c r="H215" s="8"/>
      <c r="I215" s="8"/>
      <c r="J215" s="8"/>
      <c r="K215" s="8"/>
      <c r="L215" s="8"/>
      <c r="M215" s="8"/>
      <c r="N215" s="8"/>
      <c r="O215" s="8"/>
      <c r="P215" s="8"/>
      <c r="Q215" s="8"/>
      <c r="R215" s="8"/>
      <c r="S215" s="8"/>
      <c r="T215" s="8"/>
      <c r="U215" s="8"/>
      <c r="V215" s="8"/>
      <c r="W215" s="8"/>
      <c r="X215" s="8"/>
      <c r="Y215" s="8"/>
      <c r="Z215" s="8"/>
    </row>
    <row r="216" ht="13.65" customHeight="1">
      <c r="A216" s="52">
        <v>45931</v>
      </c>
      <c r="B216" s="53">
        <v>2025</v>
      </c>
      <c r="C216" t="s" s="7">
        <v>10177</v>
      </c>
      <c r="D216" t="s" s="7">
        <v>10223</v>
      </c>
      <c r="E216" t="s" s="7">
        <v>10077</v>
      </c>
      <c r="F216" t="s" s="7">
        <v>10062</v>
      </c>
      <c r="G216" s="53" cm="1">
        <f t="array" ref="G216">2</f>
        <v>2</v>
      </c>
      <c r="H216" s="8"/>
      <c r="I216" s="8"/>
      <c r="J216" s="8"/>
      <c r="K216" s="8"/>
      <c r="L216" s="8"/>
      <c r="M216" s="8"/>
      <c r="N216" s="8"/>
      <c r="O216" s="8"/>
      <c r="P216" s="8"/>
      <c r="Q216" s="8"/>
      <c r="R216" s="8"/>
      <c r="S216" s="8"/>
      <c r="T216" s="8"/>
      <c r="U216" s="8"/>
      <c r="V216" s="8"/>
      <c r="W216" s="8"/>
      <c r="X216" s="8"/>
      <c r="Y216" s="8"/>
      <c r="Z216" s="8"/>
    </row>
    <row r="217" ht="13.65" customHeight="1">
      <c r="A217" s="52">
        <v>45962</v>
      </c>
      <c r="B217" s="53">
        <v>2025</v>
      </c>
      <c r="C217" t="s" s="7">
        <v>10177</v>
      </c>
      <c r="D217" t="s" s="7">
        <v>10224</v>
      </c>
      <c r="E217" t="s" s="7">
        <v>10090</v>
      </c>
      <c r="F217" t="s" s="7">
        <v>10070</v>
      </c>
      <c r="G217" s="53" cm="1">
        <f t="array" ref="G217">1</f>
        <v>1</v>
      </c>
      <c r="H217" s="8"/>
      <c r="I217" s="8"/>
      <c r="J217" s="8"/>
      <c r="K217" s="8"/>
      <c r="L217" s="8"/>
      <c r="M217" s="8"/>
      <c r="N217" s="8"/>
      <c r="O217" s="8"/>
      <c r="P217" s="8"/>
      <c r="Q217" s="8"/>
      <c r="R217" s="8"/>
      <c r="S217" s="8"/>
      <c r="T217" s="8"/>
      <c r="U217" s="8"/>
      <c r="V217" s="8"/>
      <c r="W217" s="8"/>
      <c r="X217" s="8"/>
      <c r="Y217" s="8"/>
      <c r="Z217" s="8"/>
    </row>
    <row r="218" ht="13.65" customHeight="1">
      <c r="A218" s="52">
        <v>46023</v>
      </c>
      <c r="B218" s="53">
        <v>2026</v>
      </c>
      <c r="C218" t="s" s="7">
        <v>10177</v>
      </c>
      <c r="D218" t="s" s="7">
        <v>10225</v>
      </c>
      <c r="E218" t="s" s="7">
        <v>10077</v>
      </c>
      <c r="F218" t="s" s="7">
        <v>10070</v>
      </c>
      <c r="G218" s="53" cm="1">
        <f t="array" ref="G218">1</f>
        <v>1</v>
      </c>
      <c r="H218" s="8"/>
      <c r="I218" s="8"/>
      <c r="J218" s="8"/>
      <c r="K218" s="8"/>
      <c r="L218" s="8"/>
      <c r="M218" s="8"/>
      <c r="N218" s="8"/>
      <c r="O218" s="8"/>
      <c r="P218" s="8"/>
      <c r="Q218" s="8"/>
      <c r="R218" s="8"/>
      <c r="S218" s="8"/>
      <c r="T218" s="8"/>
      <c r="U218" s="8"/>
      <c r="V218" s="8"/>
      <c r="W218" s="8"/>
      <c r="X218" s="8"/>
      <c r="Y218" s="8"/>
      <c r="Z218" s="8"/>
    </row>
    <row r="219" ht="13.65" customHeight="1">
      <c r="A219" s="52">
        <v>46054</v>
      </c>
      <c r="B219" s="53">
        <v>2026</v>
      </c>
      <c r="C219" t="s" s="7">
        <v>10177</v>
      </c>
      <c r="D219" t="s" s="7">
        <v>10226</v>
      </c>
      <c r="E219" t="s" s="7">
        <v>10123</v>
      </c>
      <c r="F219" t="s" s="7">
        <v>10070</v>
      </c>
      <c r="G219" s="53" cm="1">
        <f t="array" ref="G219">1</f>
        <v>1</v>
      </c>
      <c r="H219" s="8"/>
      <c r="I219" s="8"/>
      <c r="J219" s="8"/>
      <c r="K219" s="8"/>
      <c r="L219" s="8"/>
      <c r="M219" s="8"/>
      <c r="N219" s="8"/>
      <c r="O219" s="8"/>
      <c r="P219" s="8"/>
      <c r="Q219" s="8"/>
      <c r="R219" s="8"/>
      <c r="S219" s="8"/>
      <c r="T219" s="8"/>
      <c r="U219" s="8"/>
      <c r="V219" s="8"/>
      <c r="W219" s="8"/>
      <c r="X219" s="8"/>
      <c r="Y219" s="8"/>
      <c r="Z219" s="8"/>
    </row>
    <row r="220" ht="13.65" customHeight="1">
      <c r="A220" s="52">
        <v>46082</v>
      </c>
      <c r="B220" s="53">
        <v>2026</v>
      </c>
      <c r="C220" t="s" s="7">
        <v>10177</v>
      </c>
      <c r="D220" t="s" s="7">
        <v>10227</v>
      </c>
      <c r="E220" t="s" s="7">
        <v>10086</v>
      </c>
      <c r="F220" t="s" s="7">
        <v>10070</v>
      </c>
      <c r="G220" s="53" cm="1">
        <f t="array" ref="G220">1</f>
        <v>1</v>
      </c>
      <c r="H220" s="8"/>
      <c r="I220" s="8"/>
      <c r="J220" s="8"/>
      <c r="K220" s="8"/>
      <c r="L220" s="8"/>
      <c r="M220" s="8"/>
      <c r="N220" s="8"/>
      <c r="O220" s="8"/>
      <c r="P220" s="8"/>
      <c r="Q220" s="8"/>
      <c r="R220" s="8"/>
      <c r="S220" s="8"/>
      <c r="T220" s="8"/>
      <c r="U220" s="8"/>
      <c r="V220" s="8"/>
      <c r="W220" s="8"/>
      <c r="X220" s="8"/>
      <c r="Y220" s="8"/>
      <c r="Z220" s="8"/>
    </row>
    <row r="221" ht="13.6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3.65" customHeight="1">
      <c r="A222" s="8"/>
      <c r="B222" s="8"/>
      <c r="C222" s="8"/>
      <c r="D222" s="8"/>
      <c r="E222" s="8"/>
      <c r="F222" t="s" s="7">
        <v>10136</v>
      </c>
      <c r="G222" s="53" cm="1">
        <f t="array" ref="G222">AVERAGE(G209:G220)</f>
        <v>1.1</v>
      </c>
      <c r="H222" s="8"/>
      <c r="I222" s="8"/>
      <c r="J222" s="8"/>
      <c r="K222" s="8"/>
      <c r="L222" s="8"/>
      <c r="M222" s="8"/>
      <c r="N222" s="8"/>
      <c r="O222" s="8"/>
      <c r="P222" s="8"/>
      <c r="Q222" s="8"/>
      <c r="R222" s="8"/>
      <c r="S222" s="8"/>
      <c r="T222" s="8"/>
      <c r="U222" s="8"/>
      <c r="V222" s="8"/>
      <c r="W222" s="8"/>
      <c r="X222" s="8"/>
      <c r="Y222" s="8"/>
      <c r="Z222" s="8"/>
    </row>
    <row r="223" ht="13.6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3.65" customHeight="1">
      <c r="A224" t="s" s="55">
        <v>10228</v>
      </c>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3.65" customHeight="1">
      <c r="A225" t="s" s="7">
        <v>6</v>
      </c>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3.65" customHeight="1">
      <c r="A226" t="s" s="51">
        <v>1281</v>
      </c>
      <c r="B226" t="s" s="51">
        <v>10055</v>
      </c>
      <c r="C226" t="s" s="51">
        <v>10056</v>
      </c>
      <c r="D226" t="s" s="51">
        <v>10057</v>
      </c>
      <c r="E226" t="s" s="51">
        <v>10075</v>
      </c>
      <c r="F226" t="s" s="51">
        <v>10058</v>
      </c>
      <c r="G226" t="s" s="51">
        <v>10059</v>
      </c>
      <c r="H226" s="8"/>
      <c r="I226" s="8"/>
      <c r="J226" s="8"/>
      <c r="K226" s="8"/>
      <c r="L226" s="8"/>
      <c r="M226" s="8"/>
      <c r="N226" s="8"/>
      <c r="O226" s="8"/>
      <c r="P226" s="8"/>
      <c r="Q226" s="8"/>
      <c r="R226" s="8"/>
      <c r="S226" s="8"/>
      <c r="T226" s="8"/>
      <c r="U226" s="8"/>
      <c r="V226" s="8"/>
      <c r="W226" s="8"/>
      <c r="X226" s="8"/>
      <c r="Y226" s="8"/>
      <c r="Z226" s="8"/>
    </row>
    <row r="227" ht="13.65" customHeight="1">
      <c r="A227" s="52">
        <v>44287</v>
      </c>
      <c r="B227" s="53">
        <v>2021</v>
      </c>
      <c r="C227" t="s" s="7">
        <v>10229</v>
      </c>
      <c r="D227" t="s" s="7">
        <v>10230</v>
      </c>
      <c r="E227" t="s" s="7">
        <v>10077</v>
      </c>
      <c r="F227" t="s" s="7">
        <v>10062</v>
      </c>
      <c r="G227" s="53" cm="1">
        <f t="array" ref="G227">2</f>
        <v>2</v>
      </c>
      <c r="H227" s="8"/>
      <c r="I227" s="8"/>
      <c r="J227" s="8"/>
      <c r="K227" s="8"/>
      <c r="L227" s="8"/>
      <c r="M227" s="8"/>
      <c r="N227" s="8"/>
      <c r="O227" s="8"/>
      <c r="P227" s="8"/>
      <c r="Q227" s="8"/>
      <c r="R227" s="8"/>
      <c r="S227" s="8"/>
      <c r="T227" s="8"/>
      <c r="U227" s="8"/>
      <c r="V227" s="8"/>
      <c r="W227" s="8"/>
      <c r="X227" s="8"/>
      <c r="Y227" s="8"/>
      <c r="Z227" s="8"/>
    </row>
    <row r="228" ht="13.65" customHeight="1">
      <c r="A228" s="54">
        <v>44317</v>
      </c>
      <c r="B228" s="53">
        <v>2021</v>
      </c>
      <c r="C228" t="s" s="7">
        <v>10229</v>
      </c>
      <c r="D228" t="s" s="7">
        <v>10231</v>
      </c>
      <c r="E228" t="s" s="7">
        <v>10090</v>
      </c>
      <c r="F228" t="s" s="7">
        <v>10070</v>
      </c>
      <c r="G228" s="53" cm="1">
        <f t="array" ref="G228">1</f>
        <v>1</v>
      </c>
      <c r="H228" s="8"/>
      <c r="I228" s="8"/>
      <c r="J228" s="8"/>
      <c r="K228" s="8"/>
      <c r="L228" s="8"/>
      <c r="M228" s="8"/>
      <c r="N228" s="8"/>
      <c r="O228" s="8"/>
      <c r="P228" s="8"/>
      <c r="Q228" s="8"/>
      <c r="R228" s="8"/>
      <c r="S228" s="8"/>
      <c r="T228" s="8"/>
      <c r="U228" s="8"/>
      <c r="V228" s="8"/>
      <c r="W228" s="8"/>
      <c r="X228" s="8"/>
      <c r="Y228" s="8"/>
      <c r="Z228" s="8"/>
    </row>
    <row r="229" ht="13.65" customHeight="1">
      <c r="A229" s="52">
        <v>44348</v>
      </c>
      <c r="B229" s="53">
        <v>2021</v>
      </c>
      <c r="C229" t="s" s="7">
        <v>10229</v>
      </c>
      <c r="D229" t="s" s="7">
        <v>10232</v>
      </c>
      <c r="E229" t="s" s="7">
        <v>10080</v>
      </c>
      <c r="F229" t="s" s="7">
        <v>10062</v>
      </c>
      <c r="G229" s="53" cm="1">
        <f t="array" ref="G229">2</f>
        <v>2</v>
      </c>
      <c r="H229" s="8"/>
      <c r="I229" s="8"/>
      <c r="J229" s="8"/>
      <c r="K229" s="8"/>
      <c r="L229" s="8"/>
      <c r="M229" s="8"/>
      <c r="N229" s="8"/>
      <c r="O229" s="8"/>
      <c r="P229" s="8"/>
      <c r="Q229" s="8"/>
      <c r="R229" s="8"/>
      <c r="S229" s="8"/>
      <c r="T229" s="8"/>
      <c r="U229" s="8"/>
      <c r="V229" s="8"/>
      <c r="W229" s="8"/>
      <c r="X229" s="8"/>
      <c r="Y229" s="8"/>
      <c r="Z229" s="8"/>
    </row>
    <row r="230" ht="13.65" customHeight="1">
      <c r="A230" s="52">
        <v>44378</v>
      </c>
      <c r="B230" s="53">
        <v>2021</v>
      </c>
      <c r="C230" t="s" s="7">
        <v>10229</v>
      </c>
      <c r="D230" t="s" s="7">
        <v>10233</v>
      </c>
      <c r="E230" t="s" s="7">
        <v>10083</v>
      </c>
      <c r="F230" t="s" s="7">
        <v>10070</v>
      </c>
      <c r="G230" s="53" cm="1">
        <f t="array" ref="G230">1</f>
        <v>1</v>
      </c>
      <c r="H230" s="8"/>
      <c r="I230" s="8"/>
      <c r="J230" s="8"/>
      <c r="K230" s="8"/>
      <c r="L230" s="8"/>
      <c r="M230" s="8"/>
      <c r="N230" s="8"/>
      <c r="O230" s="8"/>
      <c r="P230" s="8"/>
      <c r="Q230" s="8"/>
      <c r="R230" s="8"/>
      <c r="S230" s="8"/>
      <c r="T230" s="8"/>
      <c r="U230" s="8"/>
      <c r="V230" s="8"/>
      <c r="W230" s="8"/>
      <c r="X230" s="8"/>
      <c r="Y230" s="8"/>
      <c r="Z230" s="8"/>
    </row>
    <row r="231" ht="13.65" customHeight="1">
      <c r="A231" s="52">
        <v>44409</v>
      </c>
      <c r="B231" s="53">
        <v>2021</v>
      </c>
      <c r="C231" t="s" s="7">
        <v>10229</v>
      </c>
      <c r="D231" t="s" s="7">
        <v>10234</v>
      </c>
      <c r="E231" t="s" s="7">
        <v>10086</v>
      </c>
      <c r="F231" t="s" s="7">
        <v>10070</v>
      </c>
      <c r="G231" s="53" cm="1">
        <f t="array" ref="G231">1</f>
        <v>1</v>
      </c>
      <c r="H231" s="8"/>
      <c r="I231" s="8"/>
      <c r="J231" s="8"/>
      <c r="K231" s="8"/>
      <c r="L231" s="8"/>
      <c r="M231" s="8"/>
      <c r="N231" s="8"/>
      <c r="O231" s="8"/>
      <c r="P231" s="8"/>
      <c r="Q231" s="8"/>
      <c r="R231" s="8"/>
      <c r="S231" s="8"/>
      <c r="T231" s="8"/>
      <c r="U231" s="8"/>
      <c r="V231" s="8"/>
      <c r="W231" s="8"/>
      <c r="X231" s="8"/>
      <c r="Y231" s="8"/>
      <c r="Z231" s="8"/>
    </row>
    <row r="232" ht="13.65" customHeight="1">
      <c r="A232" s="52">
        <v>44440</v>
      </c>
      <c r="B232" s="53">
        <v>2021</v>
      </c>
      <c r="C232" t="s" s="7">
        <v>10229</v>
      </c>
      <c r="D232" t="s" s="7">
        <v>10235</v>
      </c>
      <c r="E232" t="s" s="7">
        <v>10077</v>
      </c>
      <c r="F232" t="s" s="7">
        <v>10062</v>
      </c>
      <c r="G232" s="53" cm="1">
        <f t="array" ref="G232">2</f>
        <v>2</v>
      </c>
      <c r="H232" s="8"/>
      <c r="I232" s="8"/>
      <c r="J232" s="8"/>
      <c r="K232" s="8"/>
      <c r="L232" s="8"/>
      <c r="M232" s="8"/>
      <c r="N232" s="8"/>
      <c r="O232" s="8"/>
      <c r="P232" s="8"/>
      <c r="Q232" s="8"/>
      <c r="R232" s="8"/>
      <c r="S232" s="8"/>
      <c r="T232" s="8"/>
      <c r="U232" s="8"/>
      <c r="V232" s="8"/>
      <c r="W232" s="8"/>
      <c r="X232" s="8"/>
      <c r="Y232" s="8"/>
      <c r="Z232" s="8"/>
    </row>
    <row r="233" ht="13.65" customHeight="1">
      <c r="A233" s="52">
        <v>44470</v>
      </c>
      <c r="B233" s="53">
        <v>2021</v>
      </c>
      <c r="C233" t="s" s="7">
        <v>10229</v>
      </c>
      <c r="D233" t="s" s="7">
        <v>10236</v>
      </c>
      <c r="E233" t="s" s="7">
        <v>10077</v>
      </c>
      <c r="F233" t="s" s="7">
        <v>10062</v>
      </c>
      <c r="G233" s="53" cm="1">
        <f t="array" ref="G233">2</f>
        <v>2</v>
      </c>
      <c r="H233" s="8"/>
      <c r="I233" s="8"/>
      <c r="J233" s="8"/>
      <c r="K233" s="8"/>
      <c r="L233" s="8"/>
      <c r="M233" s="8"/>
      <c r="N233" s="8"/>
      <c r="O233" s="8"/>
      <c r="P233" s="8"/>
      <c r="Q233" s="8"/>
      <c r="R233" s="8"/>
      <c r="S233" s="8"/>
      <c r="T233" s="8"/>
      <c r="U233" s="8"/>
      <c r="V233" s="8"/>
      <c r="W233" s="8"/>
      <c r="X233" s="8"/>
      <c r="Y233" s="8"/>
      <c r="Z233" s="8"/>
    </row>
    <row r="234" ht="13.65" customHeight="1">
      <c r="A234" s="52">
        <v>44531</v>
      </c>
      <c r="B234" s="53">
        <v>2021</v>
      </c>
      <c r="C234" t="s" s="7">
        <v>10229</v>
      </c>
      <c r="D234" t="s" s="7">
        <v>10237</v>
      </c>
      <c r="E234" t="s" s="7">
        <v>10090</v>
      </c>
      <c r="F234" t="s" s="7">
        <v>10070</v>
      </c>
      <c r="G234" s="53" cm="1">
        <f t="array" ref="G234">1</f>
        <v>1</v>
      </c>
      <c r="H234" s="8"/>
      <c r="I234" s="8"/>
      <c r="J234" s="8"/>
      <c r="K234" s="8"/>
      <c r="L234" s="8"/>
      <c r="M234" s="8"/>
      <c r="N234" s="8"/>
      <c r="O234" s="8"/>
      <c r="P234" s="8"/>
      <c r="Q234" s="8"/>
      <c r="R234" s="8"/>
      <c r="S234" s="8"/>
      <c r="T234" s="8"/>
      <c r="U234" s="8"/>
      <c r="V234" s="8"/>
      <c r="W234" s="8"/>
      <c r="X234" s="8"/>
      <c r="Y234" s="8"/>
      <c r="Z234" s="8"/>
    </row>
    <row r="235" ht="13.65" customHeight="1">
      <c r="A235" s="52">
        <v>44562</v>
      </c>
      <c r="B235" s="53">
        <v>2022</v>
      </c>
      <c r="C235" t="s" s="7">
        <v>10229</v>
      </c>
      <c r="D235" t="s" s="7">
        <v>10238</v>
      </c>
      <c r="E235" t="s" s="7">
        <v>10080</v>
      </c>
      <c r="F235" t="s" s="7">
        <v>10070</v>
      </c>
      <c r="G235" s="53" cm="1">
        <f t="array" ref="G235">1</f>
        <v>1</v>
      </c>
      <c r="H235" s="8"/>
      <c r="I235" s="8"/>
      <c r="J235" s="8"/>
      <c r="K235" s="8"/>
      <c r="L235" s="8"/>
      <c r="M235" s="8"/>
      <c r="N235" s="8"/>
      <c r="O235" s="8"/>
      <c r="P235" s="8"/>
      <c r="Q235" s="8"/>
      <c r="R235" s="8"/>
      <c r="S235" s="8"/>
      <c r="T235" s="8"/>
      <c r="U235" s="8"/>
      <c r="V235" s="8"/>
      <c r="W235" s="8"/>
      <c r="X235" s="8"/>
      <c r="Y235" s="8"/>
      <c r="Z235" s="8"/>
    </row>
    <row r="236" ht="13.65" customHeight="1">
      <c r="A236" s="52">
        <v>44621</v>
      </c>
      <c r="B236" s="53">
        <v>2022</v>
      </c>
      <c r="C236" t="s" s="7">
        <v>10229</v>
      </c>
      <c r="D236" t="s" s="7">
        <v>10239</v>
      </c>
      <c r="E236" t="s" s="7">
        <v>10086</v>
      </c>
      <c r="F236" t="s" s="7">
        <v>10070</v>
      </c>
      <c r="G236" s="53" cm="1">
        <f t="array" ref="G236">1</f>
        <v>1</v>
      </c>
      <c r="H236" s="8"/>
      <c r="I236" s="8"/>
      <c r="J236" s="8"/>
      <c r="K236" s="8"/>
      <c r="L236" s="8"/>
      <c r="M236" s="8"/>
      <c r="N236" s="8"/>
      <c r="O236" s="8"/>
      <c r="P236" s="8"/>
      <c r="Q236" s="8"/>
      <c r="R236" s="8"/>
      <c r="S236" s="8"/>
      <c r="T236" s="8"/>
      <c r="U236" s="8"/>
      <c r="V236" s="8"/>
      <c r="W236" s="8"/>
      <c r="X236" s="8"/>
      <c r="Y236" s="8"/>
      <c r="Z236" s="8"/>
    </row>
    <row r="237" ht="13.6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3.65" customHeight="1">
      <c r="A238" s="8"/>
      <c r="B238" s="8"/>
      <c r="C238" s="8"/>
      <c r="D238" s="8"/>
      <c r="E238" s="8"/>
      <c r="F238" t="s" s="7">
        <v>10240</v>
      </c>
      <c r="G238" s="53" cm="1">
        <f t="array" ref="G238">AVERAGE(G227:G236)</f>
        <v>1.4</v>
      </c>
      <c r="H238" s="8"/>
      <c r="I238" s="8"/>
      <c r="J238" s="8"/>
      <c r="K238" s="8"/>
      <c r="L238" s="8"/>
      <c r="M238" s="8"/>
      <c r="N238" s="8"/>
      <c r="O238" s="8"/>
      <c r="P238" s="8"/>
      <c r="Q238" s="8"/>
      <c r="R238" s="8"/>
      <c r="S238" s="8"/>
      <c r="T238" s="8"/>
      <c r="U238" s="8"/>
      <c r="V238" s="8"/>
      <c r="W238" s="8"/>
      <c r="X238" s="8"/>
      <c r="Y238" s="8"/>
      <c r="Z238" s="8"/>
    </row>
    <row r="239" ht="13.6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3.65" customHeight="1">
      <c r="A240" t="s" s="51">
        <v>1281</v>
      </c>
      <c r="B240" t="s" s="51">
        <v>10055</v>
      </c>
      <c r="C240" t="s" s="51">
        <v>10056</v>
      </c>
      <c r="D240" t="s" s="51">
        <v>10057</v>
      </c>
      <c r="E240" t="s" s="51">
        <v>10075</v>
      </c>
      <c r="F240" t="s" s="51">
        <v>10058</v>
      </c>
      <c r="G240" t="s" s="51">
        <v>10059</v>
      </c>
      <c r="H240" s="8"/>
      <c r="I240" s="8"/>
      <c r="J240" s="8"/>
      <c r="K240" s="8"/>
      <c r="L240" s="8"/>
      <c r="M240" s="8"/>
      <c r="N240" s="8"/>
      <c r="O240" s="8"/>
      <c r="P240" s="8"/>
      <c r="Q240" s="8"/>
      <c r="R240" s="8"/>
      <c r="S240" s="8"/>
      <c r="T240" s="8"/>
      <c r="U240" s="8"/>
      <c r="V240" s="8"/>
      <c r="W240" s="8"/>
      <c r="X240" s="8"/>
      <c r="Y240" s="8"/>
      <c r="Z240" s="8"/>
    </row>
    <row r="241" ht="13.65" customHeight="1">
      <c r="A241" s="52">
        <v>44652</v>
      </c>
      <c r="B241" s="53">
        <v>2022</v>
      </c>
      <c r="C241" t="s" s="7">
        <v>10229</v>
      </c>
      <c r="D241" t="s" s="7">
        <v>10241</v>
      </c>
      <c r="E241" t="s" s="7">
        <v>10077</v>
      </c>
      <c r="F241" t="s" s="7">
        <v>10062</v>
      </c>
      <c r="G241" s="53" cm="1">
        <f t="array" ref="G241">2</f>
        <v>2</v>
      </c>
      <c r="H241" s="8"/>
      <c r="I241" s="8"/>
      <c r="J241" s="8"/>
      <c r="K241" s="8"/>
      <c r="L241" s="8"/>
      <c r="M241" s="8"/>
      <c r="N241" s="8"/>
      <c r="O241" s="8"/>
      <c r="P241" s="8"/>
      <c r="Q241" s="8"/>
      <c r="R241" s="8"/>
      <c r="S241" s="8"/>
      <c r="T241" s="8"/>
      <c r="U241" s="8"/>
      <c r="V241" s="8"/>
      <c r="W241" s="8"/>
      <c r="X241" s="8"/>
      <c r="Y241" s="8"/>
      <c r="Z241" s="8"/>
    </row>
    <row r="242" ht="13.65" customHeight="1">
      <c r="A242" s="54">
        <v>44682</v>
      </c>
      <c r="B242" s="53">
        <v>2022</v>
      </c>
      <c r="C242" t="s" s="7">
        <v>10229</v>
      </c>
      <c r="D242" t="s" s="7">
        <v>10242</v>
      </c>
      <c r="E242" t="s" s="7">
        <v>10090</v>
      </c>
      <c r="F242" t="s" s="7">
        <v>10070</v>
      </c>
      <c r="G242" s="53" cm="1">
        <f t="array" ref="G242">1</f>
        <v>1</v>
      </c>
      <c r="H242" s="8"/>
      <c r="I242" s="8"/>
      <c r="J242" s="8"/>
      <c r="K242" s="8"/>
      <c r="L242" s="8"/>
      <c r="M242" s="8"/>
      <c r="N242" s="8"/>
      <c r="O242" s="8"/>
      <c r="P242" s="8"/>
      <c r="Q242" s="8"/>
      <c r="R242" s="8"/>
      <c r="S242" s="8"/>
      <c r="T242" s="8"/>
      <c r="U242" s="8"/>
      <c r="V242" s="8"/>
      <c r="W242" s="8"/>
      <c r="X242" s="8"/>
      <c r="Y242" s="8"/>
      <c r="Z242" s="8"/>
    </row>
    <row r="243" ht="13.65" customHeight="1">
      <c r="A243" s="52">
        <v>44713</v>
      </c>
      <c r="B243" s="53">
        <v>2022</v>
      </c>
      <c r="C243" t="s" s="7">
        <v>10229</v>
      </c>
      <c r="D243" t="s" s="7">
        <v>10243</v>
      </c>
      <c r="E243" t="s" s="7">
        <v>10083</v>
      </c>
      <c r="F243" t="s" s="7">
        <v>10070</v>
      </c>
      <c r="G243" s="53" cm="1">
        <f t="array" ref="G243">1</f>
        <v>1</v>
      </c>
      <c r="H243" s="8"/>
      <c r="I243" s="8"/>
      <c r="J243" s="8"/>
      <c r="K243" s="8"/>
      <c r="L243" s="8"/>
      <c r="M243" s="8"/>
      <c r="N243" s="8"/>
      <c r="O243" s="8"/>
      <c r="P243" s="8"/>
      <c r="Q243" s="8"/>
      <c r="R243" s="8"/>
      <c r="S243" s="8"/>
      <c r="T243" s="8"/>
      <c r="U243" s="8"/>
      <c r="V243" s="8"/>
      <c r="W243" s="8"/>
      <c r="X243" s="8"/>
      <c r="Y243" s="8"/>
      <c r="Z243" s="8"/>
    </row>
    <row r="244" ht="13.65" customHeight="1">
      <c r="A244" s="52">
        <v>44743</v>
      </c>
      <c r="B244" s="53">
        <v>2022</v>
      </c>
      <c r="C244" t="s" s="7">
        <v>10229</v>
      </c>
      <c r="D244" t="s" s="7">
        <v>10244</v>
      </c>
      <c r="E244" t="s" s="7">
        <v>10086</v>
      </c>
      <c r="F244" t="s" s="7">
        <v>10070</v>
      </c>
      <c r="G244" s="53" cm="1">
        <f t="array" ref="G244">1</f>
        <v>1</v>
      </c>
      <c r="H244" s="8"/>
      <c r="I244" s="8"/>
      <c r="J244" s="8"/>
      <c r="K244" s="8"/>
      <c r="L244" s="8"/>
      <c r="M244" s="8"/>
      <c r="N244" s="8"/>
      <c r="O244" s="8"/>
      <c r="P244" s="8"/>
      <c r="Q244" s="8"/>
      <c r="R244" s="8"/>
      <c r="S244" s="8"/>
      <c r="T244" s="8"/>
      <c r="U244" s="8"/>
      <c r="V244" s="8"/>
      <c r="W244" s="8"/>
      <c r="X244" s="8"/>
      <c r="Y244" s="8"/>
      <c r="Z244" s="8"/>
    </row>
    <row r="245" ht="13.65" customHeight="1">
      <c r="A245" s="52">
        <v>44774</v>
      </c>
      <c r="B245" s="53">
        <v>2022</v>
      </c>
      <c r="C245" t="s" s="7">
        <v>10229</v>
      </c>
      <c r="D245" t="s" s="7">
        <v>10245</v>
      </c>
      <c r="E245" t="s" s="7">
        <v>10080</v>
      </c>
      <c r="F245" t="s" s="7">
        <v>10070</v>
      </c>
      <c r="G245" s="53" cm="1">
        <f t="array" ref="G245">1</f>
        <v>1</v>
      </c>
      <c r="H245" s="8"/>
      <c r="I245" s="8"/>
      <c r="J245" s="8"/>
      <c r="K245" s="8"/>
      <c r="L245" s="8"/>
      <c r="M245" s="8"/>
      <c r="N245" s="8"/>
      <c r="O245" s="8"/>
      <c r="P245" s="8"/>
      <c r="Q245" s="8"/>
      <c r="R245" s="8"/>
      <c r="S245" s="8"/>
      <c r="T245" s="8"/>
      <c r="U245" s="8"/>
      <c r="V245" s="8"/>
      <c r="W245" s="8"/>
      <c r="X245" s="8"/>
      <c r="Y245" s="8"/>
      <c r="Z245" s="8"/>
    </row>
    <row r="246" ht="13.65" customHeight="1">
      <c r="A246" s="52">
        <v>44835</v>
      </c>
      <c r="B246" s="53">
        <v>2022</v>
      </c>
      <c r="C246" t="s" s="7">
        <v>10229</v>
      </c>
      <c r="D246" t="s" s="7">
        <v>10246</v>
      </c>
      <c r="E246" t="s" s="7">
        <v>10077</v>
      </c>
      <c r="F246" t="s" s="7">
        <v>10124</v>
      </c>
      <c r="G246" s="53">
        <v>0</v>
      </c>
      <c r="H246" s="8"/>
      <c r="I246" s="8"/>
      <c r="J246" s="8"/>
      <c r="K246" s="8"/>
      <c r="L246" s="8"/>
      <c r="M246" s="8"/>
      <c r="N246" s="8"/>
      <c r="O246" s="8"/>
      <c r="P246" s="8"/>
      <c r="Q246" s="8"/>
      <c r="R246" s="8"/>
      <c r="S246" s="8"/>
      <c r="T246" s="8"/>
      <c r="U246" s="8"/>
      <c r="V246" s="8"/>
      <c r="W246" s="8"/>
      <c r="X246" s="8"/>
      <c r="Y246" s="8"/>
      <c r="Z246" s="8"/>
    </row>
    <row r="247" ht="13.65" customHeight="1">
      <c r="A247" s="52">
        <v>44866</v>
      </c>
      <c r="B247" s="53">
        <v>2022</v>
      </c>
      <c r="C247" t="s" s="7">
        <v>10229</v>
      </c>
      <c r="D247" t="s" s="7">
        <v>10247</v>
      </c>
      <c r="E247" t="s" s="7">
        <v>10090</v>
      </c>
      <c r="F247" t="s" s="7">
        <v>10070</v>
      </c>
      <c r="G247" s="53" cm="1">
        <f t="array" ref="G247">1</f>
        <v>1</v>
      </c>
      <c r="H247" s="8"/>
      <c r="I247" s="8"/>
      <c r="J247" s="8"/>
      <c r="K247" s="8"/>
      <c r="L247" s="8"/>
      <c r="M247" s="8"/>
      <c r="N247" s="8"/>
      <c r="O247" s="8"/>
      <c r="P247" s="8"/>
      <c r="Q247" s="8"/>
      <c r="R247" s="8"/>
      <c r="S247" s="8"/>
      <c r="T247" s="8"/>
      <c r="U247" s="8"/>
      <c r="V247" s="8"/>
      <c r="W247" s="8"/>
      <c r="X247" s="8"/>
      <c r="Y247" s="8"/>
      <c r="Z247" s="8"/>
    </row>
    <row r="248" ht="13.65" customHeight="1">
      <c r="A248" s="52">
        <v>44896</v>
      </c>
      <c r="B248" s="53">
        <v>2022</v>
      </c>
      <c r="C248" t="s" s="7">
        <v>10229</v>
      </c>
      <c r="D248" t="s" s="7">
        <v>10248</v>
      </c>
      <c r="E248" t="s" s="7">
        <v>10086</v>
      </c>
      <c r="F248" t="s" s="7">
        <v>10070</v>
      </c>
      <c r="G248" s="53" cm="1">
        <f t="array" ref="G248">1</f>
        <v>1</v>
      </c>
      <c r="H248" s="8"/>
      <c r="I248" s="8"/>
      <c r="J248" s="8"/>
      <c r="K248" s="8"/>
      <c r="L248" s="8"/>
      <c r="M248" s="8"/>
      <c r="N248" s="8"/>
      <c r="O248" s="8"/>
      <c r="P248" s="8"/>
      <c r="Q248" s="8"/>
      <c r="R248" s="8"/>
      <c r="S248" s="8"/>
      <c r="T248" s="8"/>
      <c r="U248" s="8"/>
      <c r="V248" s="8"/>
      <c r="W248" s="8"/>
      <c r="X248" s="8"/>
      <c r="Y248" s="8"/>
      <c r="Z248" s="8"/>
    </row>
    <row r="249" ht="13.65" customHeight="1">
      <c r="A249" s="52">
        <v>44927</v>
      </c>
      <c r="B249" s="53">
        <v>2023</v>
      </c>
      <c r="C249" t="s" s="7">
        <v>10229</v>
      </c>
      <c r="D249" t="s" s="7">
        <v>10249</v>
      </c>
      <c r="E249" t="s" s="7">
        <v>10077</v>
      </c>
      <c r="F249" t="s" s="7">
        <v>10124</v>
      </c>
      <c r="G249" s="53">
        <v>0</v>
      </c>
      <c r="H249" s="8"/>
      <c r="I249" s="8"/>
      <c r="J249" s="8"/>
      <c r="K249" s="8"/>
      <c r="L249" s="8"/>
      <c r="M249" s="8"/>
      <c r="N249" s="8"/>
      <c r="O249" s="8"/>
      <c r="P249" s="8"/>
      <c r="Q249" s="8"/>
      <c r="R249" s="8"/>
      <c r="S249" s="8"/>
      <c r="T249" s="8"/>
      <c r="U249" s="8"/>
      <c r="V249" s="8"/>
      <c r="W249" s="8"/>
      <c r="X249" s="8"/>
      <c r="Y249" s="8"/>
      <c r="Z249" s="8"/>
    </row>
    <row r="250" ht="13.65" customHeight="1">
      <c r="A250" s="52">
        <v>44986</v>
      </c>
      <c r="B250" s="53">
        <v>2023</v>
      </c>
      <c r="C250" t="s" s="7">
        <v>10229</v>
      </c>
      <c r="D250" t="s" s="7">
        <v>10250</v>
      </c>
      <c r="E250" t="s" s="7">
        <v>10083</v>
      </c>
      <c r="F250" t="s" s="7">
        <v>10070</v>
      </c>
      <c r="G250" s="53" cm="1">
        <f t="array" ref="G250">1</f>
        <v>1</v>
      </c>
      <c r="H250" s="8"/>
      <c r="I250" s="8"/>
      <c r="J250" s="8"/>
      <c r="K250" s="8"/>
      <c r="L250" s="8"/>
      <c r="M250" s="8"/>
      <c r="N250" s="8"/>
      <c r="O250" s="8"/>
      <c r="P250" s="8"/>
      <c r="Q250" s="8"/>
      <c r="R250" s="8"/>
      <c r="S250" s="8"/>
      <c r="T250" s="8"/>
      <c r="U250" s="8"/>
      <c r="V250" s="8"/>
      <c r="W250" s="8"/>
      <c r="X250" s="8"/>
      <c r="Y250" s="8"/>
      <c r="Z250" s="8"/>
    </row>
    <row r="251" ht="13.6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3.65" customHeight="1">
      <c r="A252" s="8"/>
      <c r="B252" s="8"/>
      <c r="C252" s="8"/>
      <c r="D252" s="8"/>
      <c r="E252" s="8"/>
      <c r="F252" t="s" s="7">
        <v>10136</v>
      </c>
      <c r="G252" s="53" cm="1">
        <f t="array" ref="G252">AVERAGE(G241:G250)</f>
        <v>0.9</v>
      </c>
      <c r="H252" s="8"/>
      <c r="I252" s="8"/>
      <c r="J252" s="8"/>
      <c r="K252" s="8"/>
      <c r="L252" s="8"/>
      <c r="M252" s="8"/>
      <c r="N252" s="8"/>
      <c r="O252" s="8"/>
      <c r="P252" s="8"/>
      <c r="Q252" s="8"/>
      <c r="R252" s="8"/>
      <c r="S252" s="8"/>
      <c r="T252" s="8"/>
      <c r="U252" s="8"/>
      <c r="V252" s="8"/>
      <c r="W252" s="8"/>
      <c r="X252" s="8"/>
      <c r="Y252" s="8"/>
      <c r="Z252" s="8"/>
    </row>
    <row r="253" ht="13.65" customHeight="1">
      <c r="A253" t="s" s="7">
        <v>529</v>
      </c>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3.65" customHeight="1">
      <c r="A254" t="s" s="51">
        <v>1281</v>
      </c>
      <c r="B254" t="s" s="51">
        <v>10055</v>
      </c>
      <c r="C254" t="s" s="51">
        <v>10056</v>
      </c>
      <c r="D254" t="s" s="51">
        <v>10057</v>
      </c>
      <c r="E254" t="s" s="51">
        <v>10075</v>
      </c>
      <c r="F254" t="s" s="51">
        <v>10058</v>
      </c>
      <c r="G254" t="s" s="51">
        <v>10059</v>
      </c>
      <c r="H254" s="8"/>
      <c r="I254" s="8"/>
      <c r="J254" s="8"/>
      <c r="K254" s="8"/>
      <c r="L254" s="8"/>
      <c r="M254" s="8"/>
      <c r="N254" s="8"/>
      <c r="O254" s="8"/>
      <c r="P254" s="8"/>
      <c r="Q254" s="8"/>
      <c r="R254" s="8"/>
      <c r="S254" s="8"/>
      <c r="T254" s="8"/>
      <c r="U254" s="8"/>
      <c r="V254" s="8"/>
      <c r="W254" s="8"/>
      <c r="X254" s="8"/>
      <c r="Y254" s="8"/>
      <c r="Z254" s="8"/>
    </row>
    <row r="255" ht="13.65" customHeight="1">
      <c r="A255" s="52">
        <v>45017</v>
      </c>
      <c r="B255" s="53">
        <v>2023</v>
      </c>
      <c r="C255" t="s" s="7">
        <v>10229</v>
      </c>
      <c r="D255" t="s" s="7">
        <v>10251</v>
      </c>
      <c r="E255" t="s" s="7">
        <v>10086</v>
      </c>
      <c r="F255" t="s" s="7">
        <v>10070</v>
      </c>
      <c r="G255" s="53" cm="1">
        <f t="array" ref="G255">1</f>
        <v>1</v>
      </c>
      <c r="H255" s="8"/>
      <c r="I255" s="8"/>
      <c r="J255" s="8"/>
      <c r="K255" s="8"/>
      <c r="L255" s="8"/>
      <c r="M255" s="8"/>
      <c r="N255" s="8"/>
      <c r="O255" s="8"/>
      <c r="P255" s="8"/>
      <c r="Q255" s="8"/>
      <c r="R255" s="8"/>
      <c r="S255" s="8"/>
      <c r="T255" s="8"/>
      <c r="U255" s="8"/>
      <c r="V255" s="8"/>
      <c r="W255" s="8"/>
      <c r="X255" s="8"/>
      <c r="Y255" s="8"/>
      <c r="Z255" s="8"/>
    </row>
    <row r="256" ht="13.65" customHeight="1">
      <c r="A256" s="54">
        <v>45047</v>
      </c>
      <c r="B256" s="53">
        <v>2023</v>
      </c>
      <c r="C256" t="s" s="7">
        <v>10229</v>
      </c>
      <c r="D256" t="s" s="7">
        <v>10252</v>
      </c>
      <c r="E256" t="s" s="7">
        <v>10077</v>
      </c>
      <c r="F256" t="s" s="7">
        <v>10124</v>
      </c>
      <c r="G256" s="53">
        <v>0</v>
      </c>
      <c r="H256" s="8"/>
      <c r="I256" s="8"/>
      <c r="J256" s="8"/>
      <c r="K256" s="8"/>
      <c r="L256" s="8"/>
      <c r="M256" s="8"/>
      <c r="N256" s="8"/>
      <c r="O256" s="8"/>
      <c r="P256" s="8"/>
      <c r="Q256" s="8"/>
      <c r="R256" s="8"/>
      <c r="S256" s="8"/>
      <c r="T256" s="8"/>
      <c r="U256" s="8"/>
      <c r="V256" s="8"/>
      <c r="W256" s="8"/>
      <c r="X256" s="8"/>
      <c r="Y256" s="8"/>
      <c r="Z256" s="8"/>
    </row>
    <row r="257" ht="13.65" customHeight="1">
      <c r="A257" s="52">
        <v>45078</v>
      </c>
      <c r="B257" s="53">
        <v>2023</v>
      </c>
      <c r="C257" t="s" s="7">
        <v>10229</v>
      </c>
      <c r="D257" t="s" s="7">
        <v>10253</v>
      </c>
      <c r="E257" t="s" s="7">
        <v>10080</v>
      </c>
      <c r="F257" t="s" s="7">
        <v>10070</v>
      </c>
      <c r="G257" s="53" cm="1">
        <f t="array" ref="G257">1</f>
        <v>1</v>
      </c>
      <c r="H257" s="8"/>
      <c r="I257" s="8"/>
      <c r="J257" s="8"/>
      <c r="K257" s="8"/>
      <c r="L257" s="8"/>
      <c r="M257" s="8"/>
      <c r="N257" s="8"/>
      <c r="O257" s="8"/>
      <c r="P257" s="8"/>
      <c r="Q257" s="8"/>
      <c r="R257" s="8"/>
      <c r="S257" s="8"/>
      <c r="T257" s="8"/>
      <c r="U257" s="8"/>
      <c r="V257" s="8"/>
      <c r="W257" s="8"/>
      <c r="X257" s="8"/>
      <c r="Y257" s="8"/>
      <c r="Z257" s="8"/>
    </row>
    <row r="258" ht="13.65" customHeight="1">
      <c r="A258" s="52">
        <v>45108</v>
      </c>
      <c r="B258" s="53">
        <v>2023</v>
      </c>
      <c r="C258" t="s" s="7">
        <v>10229</v>
      </c>
      <c r="D258" t="s" s="7">
        <v>10254</v>
      </c>
      <c r="E258" t="s" s="7">
        <v>10090</v>
      </c>
      <c r="F258" t="s" s="7">
        <v>10070</v>
      </c>
      <c r="G258" s="53" cm="1">
        <f t="array" ref="G258">1</f>
        <v>1</v>
      </c>
      <c r="H258" s="8"/>
      <c r="I258" s="8"/>
      <c r="J258" s="8"/>
      <c r="K258" s="8"/>
      <c r="L258" s="8"/>
      <c r="M258" s="8"/>
      <c r="N258" s="8"/>
      <c r="O258" s="8"/>
      <c r="P258" s="8"/>
      <c r="Q258" s="8"/>
      <c r="R258" s="8"/>
      <c r="S258" s="8"/>
      <c r="T258" s="8"/>
      <c r="U258" s="8"/>
      <c r="V258" s="8"/>
      <c r="W258" s="8"/>
      <c r="X258" s="8"/>
      <c r="Y258" s="8"/>
      <c r="Z258" s="8"/>
    </row>
    <row r="259" ht="13.65" customHeight="1">
      <c r="A259" s="52">
        <v>45139</v>
      </c>
      <c r="B259" s="53">
        <v>2023</v>
      </c>
      <c r="C259" t="s" s="7">
        <v>10229</v>
      </c>
      <c r="D259" t="s" s="7">
        <v>10255</v>
      </c>
      <c r="E259" t="s" s="7">
        <v>10086</v>
      </c>
      <c r="F259" t="s" s="7">
        <v>10070</v>
      </c>
      <c r="G259" s="53" cm="1">
        <f t="array" ref="G259">1</f>
        <v>1</v>
      </c>
      <c r="H259" s="8"/>
      <c r="I259" s="8"/>
      <c r="J259" s="8"/>
      <c r="K259" s="8"/>
      <c r="L259" s="8"/>
      <c r="M259" s="8"/>
      <c r="N259" s="8"/>
      <c r="O259" s="8"/>
      <c r="P259" s="8"/>
      <c r="Q259" s="8"/>
      <c r="R259" s="8"/>
      <c r="S259" s="8"/>
      <c r="T259" s="8"/>
      <c r="U259" s="8"/>
      <c r="V259" s="8"/>
      <c r="W259" s="8"/>
      <c r="X259" s="8"/>
      <c r="Y259" s="8"/>
      <c r="Z259" s="8"/>
    </row>
    <row r="260" ht="13.65" customHeight="1">
      <c r="A260" s="52">
        <v>45200</v>
      </c>
      <c r="B260" s="53">
        <v>2023</v>
      </c>
      <c r="C260" t="s" s="7">
        <v>10229</v>
      </c>
      <c r="D260" t="s" s="7">
        <v>10256</v>
      </c>
      <c r="E260" t="s" s="7">
        <v>10077</v>
      </c>
      <c r="F260" t="s" s="7">
        <v>10070</v>
      </c>
      <c r="G260" s="53" cm="1">
        <f t="array" ref="G260">1</f>
        <v>1</v>
      </c>
      <c r="H260" s="8"/>
      <c r="I260" s="8"/>
      <c r="J260" s="8"/>
      <c r="K260" s="8"/>
      <c r="L260" s="8"/>
      <c r="M260" s="8"/>
      <c r="N260" s="8"/>
      <c r="O260" s="8"/>
      <c r="P260" s="8"/>
      <c r="Q260" s="8"/>
      <c r="R260" s="8"/>
      <c r="S260" s="8"/>
      <c r="T260" s="8"/>
      <c r="U260" s="8"/>
      <c r="V260" s="8"/>
      <c r="W260" s="8"/>
      <c r="X260" s="8"/>
      <c r="Y260" s="8"/>
      <c r="Z260" s="8"/>
    </row>
    <row r="261" ht="13.65" customHeight="1">
      <c r="A261" s="52">
        <v>45231</v>
      </c>
      <c r="B261" s="53">
        <v>2023</v>
      </c>
      <c r="C261" t="s" s="7">
        <v>10229</v>
      </c>
      <c r="D261" t="s" s="7">
        <v>10257</v>
      </c>
      <c r="E261" t="s" s="7">
        <v>10083</v>
      </c>
      <c r="F261" t="s" s="7">
        <v>10070</v>
      </c>
      <c r="G261" s="53" cm="1">
        <f t="array" ref="G261">1</f>
        <v>1</v>
      </c>
      <c r="H261" s="8"/>
      <c r="I261" s="8"/>
      <c r="J261" s="8"/>
      <c r="K261" s="8"/>
      <c r="L261" s="8"/>
      <c r="M261" s="8"/>
      <c r="N261" s="8"/>
      <c r="O261" s="8"/>
      <c r="P261" s="8"/>
      <c r="Q261" s="8"/>
      <c r="R261" s="8"/>
      <c r="S261" s="8"/>
      <c r="T261" s="8"/>
      <c r="U261" s="8"/>
      <c r="V261" s="8"/>
      <c r="W261" s="8"/>
      <c r="X261" s="8"/>
      <c r="Y261" s="8"/>
      <c r="Z261" s="8"/>
    </row>
    <row r="262" ht="13.65" customHeight="1">
      <c r="A262" s="52">
        <v>45292</v>
      </c>
      <c r="B262" s="53">
        <v>2024</v>
      </c>
      <c r="C262" t="s" s="7">
        <v>10229</v>
      </c>
      <c r="D262" t="s" s="7">
        <v>10258</v>
      </c>
      <c r="E262" t="s" s="7">
        <v>10077</v>
      </c>
      <c r="F262" t="s" s="7">
        <v>10070</v>
      </c>
      <c r="G262" s="53" cm="1">
        <f t="array" ref="G262">1</f>
        <v>1</v>
      </c>
      <c r="H262" s="8"/>
      <c r="I262" s="8"/>
      <c r="J262" s="8"/>
      <c r="K262" s="8"/>
      <c r="L262" s="8"/>
      <c r="M262" s="8"/>
      <c r="N262" s="8"/>
      <c r="O262" s="8"/>
      <c r="P262" s="8"/>
      <c r="Q262" s="8"/>
      <c r="R262" s="8"/>
      <c r="S262" s="8"/>
      <c r="T262" s="8"/>
      <c r="U262" s="8"/>
      <c r="V262" s="8"/>
      <c r="W262" s="8"/>
      <c r="X262" s="8"/>
      <c r="Y262" s="8"/>
      <c r="Z262" s="8"/>
    </row>
    <row r="263" ht="13.65" customHeight="1">
      <c r="A263" s="52">
        <v>45323</v>
      </c>
      <c r="B263" s="53">
        <v>2024</v>
      </c>
      <c r="C263" t="s" s="7">
        <v>10229</v>
      </c>
      <c r="D263" t="s" s="7">
        <v>10259</v>
      </c>
      <c r="E263" t="s" s="7">
        <v>10090</v>
      </c>
      <c r="F263" t="s" s="7">
        <v>10070</v>
      </c>
      <c r="G263" s="53" cm="1">
        <f t="array" ref="G263">1</f>
        <v>1</v>
      </c>
      <c r="H263" s="8"/>
      <c r="I263" s="8"/>
      <c r="J263" s="8"/>
      <c r="K263" s="8"/>
      <c r="L263" s="8"/>
      <c r="M263" s="8"/>
      <c r="N263" s="8"/>
      <c r="O263" s="8"/>
      <c r="P263" s="8"/>
      <c r="Q263" s="8"/>
      <c r="R263" s="8"/>
      <c r="S263" s="8"/>
      <c r="T263" s="8"/>
      <c r="U263" s="8"/>
      <c r="V263" s="8"/>
      <c r="W263" s="8"/>
      <c r="X263" s="8"/>
      <c r="Y263" s="8"/>
      <c r="Z263" s="8"/>
    </row>
    <row r="264" ht="13.65" customHeight="1">
      <c r="A264" s="52">
        <v>45352</v>
      </c>
      <c r="B264" s="53">
        <v>2024</v>
      </c>
      <c r="C264" t="s" s="7">
        <v>10229</v>
      </c>
      <c r="D264" t="s" s="7">
        <v>10260</v>
      </c>
      <c r="E264" t="s" s="7">
        <v>10123</v>
      </c>
      <c r="F264" t="s" s="7">
        <v>10070</v>
      </c>
      <c r="G264" s="53" cm="1">
        <f t="array" ref="G264">1</f>
        <v>1</v>
      </c>
      <c r="H264" s="8"/>
      <c r="I264" s="8"/>
      <c r="J264" s="8"/>
      <c r="K264" s="8"/>
      <c r="L264" s="8"/>
      <c r="M264" s="8"/>
      <c r="N264" s="8"/>
      <c r="O264" s="8"/>
      <c r="P264" s="8"/>
      <c r="Q264" s="8"/>
      <c r="R264" s="8"/>
      <c r="S264" s="8"/>
      <c r="T264" s="8"/>
      <c r="U264" s="8"/>
      <c r="V264" s="8"/>
      <c r="W264" s="8"/>
      <c r="X264" s="8"/>
      <c r="Y264" s="8"/>
      <c r="Z264" s="8"/>
    </row>
    <row r="265" ht="13.6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3.65" customHeight="1">
      <c r="A266" s="8"/>
      <c r="B266" s="8"/>
      <c r="C266" s="8"/>
      <c r="D266" s="8"/>
      <c r="E266" s="8"/>
      <c r="F266" t="s" s="7">
        <v>10136</v>
      </c>
      <c r="G266" s="53" cm="1">
        <f t="array" ref="G266">AVERAGE(G255:G264)</f>
        <v>0.9</v>
      </c>
      <c r="H266" s="8"/>
      <c r="I266" s="8"/>
      <c r="J266" s="8"/>
      <c r="K266" s="8"/>
      <c r="L266" s="8"/>
      <c r="M266" s="8"/>
      <c r="N266" s="8"/>
      <c r="O266" s="8"/>
      <c r="P266" s="8"/>
      <c r="Q266" s="8"/>
      <c r="R266" s="8"/>
      <c r="S266" s="8"/>
      <c r="T266" s="8"/>
      <c r="U266" s="8"/>
      <c r="V266" s="8"/>
      <c r="W266" s="8"/>
      <c r="X266" s="8"/>
      <c r="Y266" s="8"/>
      <c r="Z266" s="8"/>
    </row>
    <row r="267" ht="13.65" customHeight="1">
      <c r="A267" t="s" s="7">
        <v>778</v>
      </c>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3.65" customHeight="1">
      <c r="A268" t="s" s="51">
        <v>1281</v>
      </c>
      <c r="B268" t="s" s="51">
        <v>10055</v>
      </c>
      <c r="C268" t="s" s="51">
        <v>10056</v>
      </c>
      <c r="D268" t="s" s="51">
        <v>10057</v>
      </c>
      <c r="E268" t="s" s="51">
        <v>10075</v>
      </c>
      <c r="F268" t="s" s="51">
        <v>10058</v>
      </c>
      <c r="G268" t="s" s="51">
        <v>10059</v>
      </c>
      <c r="H268" s="8"/>
      <c r="I268" s="8"/>
      <c r="J268" s="8"/>
      <c r="K268" s="8"/>
      <c r="L268" s="8"/>
      <c r="M268" s="8"/>
      <c r="N268" s="8"/>
      <c r="O268" s="8"/>
      <c r="P268" s="8"/>
      <c r="Q268" s="8"/>
      <c r="R268" s="8"/>
      <c r="S268" s="8"/>
      <c r="T268" s="8"/>
      <c r="U268" s="8"/>
      <c r="V268" s="8"/>
      <c r="W268" s="8"/>
      <c r="X268" s="8"/>
      <c r="Y268" s="8"/>
      <c r="Z268" s="8"/>
    </row>
    <row r="269" ht="13.65" customHeight="1">
      <c r="A269" s="52">
        <v>45383</v>
      </c>
      <c r="B269" s="53">
        <v>2024</v>
      </c>
      <c r="C269" t="s" s="7">
        <v>10229</v>
      </c>
      <c r="D269" t="s" s="7">
        <v>10261</v>
      </c>
      <c r="E269" t="s" s="7">
        <v>10086</v>
      </c>
      <c r="F269" t="s" s="7">
        <v>10070</v>
      </c>
      <c r="G269" s="53" cm="1">
        <f t="array" ref="G269">1</f>
        <v>1</v>
      </c>
      <c r="H269" s="8"/>
      <c r="I269" s="8"/>
      <c r="J269" s="8"/>
      <c r="K269" s="8"/>
      <c r="L269" s="8"/>
      <c r="M269" s="8"/>
      <c r="N269" s="8"/>
      <c r="O269" s="8"/>
      <c r="P269" s="8"/>
      <c r="Q269" s="8"/>
      <c r="R269" s="8"/>
      <c r="S269" s="8"/>
      <c r="T269" s="8"/>
      <c r="U269" s="8"/>
      <c r="V269" s="8"/>
      <c r="W269" s="8"/>
      <c r="X269" s="8"/>
      <c r="Y269" s="8"/>
      <c r="Z269" s="8"/>
    </row>
    <row r="270" ht="13.65" customHeight="1">
      <c r="A270" s="54">
        <v>45413</v>
      </c>
      <c r="B270" s="53">
        <v>2024</v>
      </c>
      <c r="C270" t="s" s="7">
        <v>10229</v>
      </c>
      <c r="D270" t="s" s="7">
        <v>10262</v>
      </c>
      <c r="E270" t="s" s="7">
        <v>10077</v>
      </c>
      <c r="F270" t="s" s="7">
        <v>10070</v>
      </c>
      <c r="G270" s="53" cm="1">
        <f t="array" ref="G270">1</f>
        <v>1</v>
      </c>
      <c r="H270" s="8"/>
      <c r="I270" s="8"/>
      <c r="J270" s="8"/>
      <c r="K270" s="8"/>
      <c r="L270" s="8"/>
      <c r="M270" s="8"/>
      <c r="N270" s="8"/>
      <c r="O270" s="8"/>
      <c r="P270" s="8"/>
      <c r="Q270" s="8"/>
      <c r="R270" s="8"/>
      <c r="S270" s="8"/>
      <c r="T270" s="8"/>
      <c r="U270" s="8"/>
      <c r="V270" s="8"/>
      <c r="W270" s="8"/>
      <c r="X270" s="8"/>
      <c r="Y270" s="8"/>
      <c r="Z270" s="8"/>
    </row>
    <row r="271" ht="13.65" customHeight="1">
      <c r="A271" s="52">
        <v>45444</v>
      </c>
      <c r="B271" s="53">
        <v>2024</v>
      </c>
      <c r="C271" t="s" s="7">
        <v>10229</v>
      </c>
      <c r="D271" t="s" s="7">
        <v>10263</v>
      </c>
      <c r="E271" t="s" s="7">
        <v>10090</v>
      </c>
      <c r="F271" t="s" s="7">
        <v>10070</v>
      </c>
      <c r="G271" s="53" cm="1">
        <f t="array" ref="G271">1</f>
        <v>1</v>
      </c>
      <c r="H271" s="8"/>
      <c r="I271" s="8"/>
      <c r="J271" s="8"/>
      <c r="K271" s="8"/>
      <c r="L271" s="8"/>
      <c r="M271" s="8"/>
      <c r="N271" s="8"/>
      <c r="O271" s="8"/>
      <c r="P271" s="8"/>
      <c r="Q271" s="8"/>
      <c r="R271" s="8"/>
      <c r="S271" s="8"/>
      <c r="T271" s="8"/>
      <c r="U271" s="8"/>
      <c r="V271" s="8"/>
      <c r="W271" s="8"/>
      <c r="X271" s="8"/>
      <c r="Y271" s="8"/>
      <c r="Z271" s="8"/>
    </row>
    <row r="272" ht="13.65" customHeight="1">
      <c r="A272" s="52">
        <v>45474</v>
      </c>
      <c r="B272" s="53">
        <v>2024</v>
      </c>
      <c r="C272" t="s" s="7">
        <v>10229</v>
      </c>
      <c r="D272" t="s" s="7">
        <v>10264</v>
      </c>
      <c r="E272" t="s" s="7">
        <v>10083</v>
      </c>
      <c r="F272" t="s" s="7">
        <v>10070</v>
      </c>
      <c r="G272" s="53" cm="1">
        <f t="array" ref="G272">1</f>
        <v>1</v>
      </c>
      <c r="H272" s="8"/>
      <c r="I272" s="8"/>
      <c r="J272" s="8"/>
      <c r="K272" s="8"/>
      <c r="L272" s="8"/>
      <c r="M272" s="8"/>
      <c r="N272" s="8"/>
      <c r="O272" s="8"/>
      <c r="P272" s="8"/>
      <c r="Q272" s="8"/>
      <c r="R272" s="8"/>
      <c r="S272" s="8"/>
      <c r="T272" s="8"/>
      <c r="U272" s="8"/>
      <c r="V272" s="8"/>
      <c r="W272" s="8"/>
      <c r="X272" s="8"/>
      <c r="Y272" s="8"/>
      <c r="Z272" s="8"/>
    </row>
    <row r="273" ht="13.65" customHeight="1">
      <c r="A273" s="52">
        <v>45505</v>
      </c>
      <c r="B273" s="53">
        <v>2024</v>
      </c>
      <c r="C273" t="s" s="7">
        <v>10229</v>
      </c>
      <c r="D273" t="s" s="7">
        <v>10265</v>
      </c>
      <c r="E273" t="s" s="7">
        <v>10080</v>
      </c>
      <c r="F273" t="s" s="7">
        <v>10070</v>
      </c>
      <c r="G273" s="53" cm="1">
        <f t="array" ref="G273">1</f>
        <v>1</v>
      </c>
      <c r="H273" s="8"/>
      <c r="I273" s="8"/>
      <c r="J273" s="8"/>
      <c r="K273" s="8"/>
      <c r="L273" s="8"/>
      <c r="M273" s="8"/>
      <c r="N273" s="8"/>
      <c r="O273" s="8"/>
      <c r="P273" s="8"/>
      <c r="Q273" s="8"/>
      <c r="R273" s="8"/>
      <c r="S273" s="8"/>
      <c r="T273" s="8"/>
      <c r="U273" s="8"/>
      <c r="V273" s="8"/>
      <c r="W273" s="8"/>
      <c r="X273" s="8"/>
      <c r="Y273" s="8"/>
      <c r="Z273" s="8"/>
    </row>
    <row r="274" ht="13.65" customHeight="1">
      <c r="A274" s="52">
        <v>45566</v>
      </c>
      <c r="B274" s="53">
        <v>2024</v>
      </c>
      <c r="C274" t="s" s="7">
        <v>10229</v>
      </c>
      <c r="D274" t="s" s="7">
        <v>10266</v>
      </c>
      <c r="E274" t="s" s="7">
        <v>10077</v>
      </c>
      <c r="F274" t="s" s="7">
        <v>10062</v>
      </c>
      <c r="G274" s="53" cm="1">
        <f t="array" ref="G274">2</f>
        <v>2</v>
      </c>
      <c r="H274" s="8"/>
      <c r="I274" s="8"/>
      <c r="J274" s="8"/>
      <c r="K274" s="8"/>
      <c r="L274" s="8"/>
      <c r="M274" s="8"/>
      <c r="N274" s="8"/>
      <c r="O274" s="8"/>
      <c r="P274" s="8"/>
      <c r="Q274" s="8"/>
      <c r="R274" s="8"/>
      <c r="S274" s="8"/>
      <c r="T274" s="8"/>
      <c r="U274" s="8"/>
      <c r="V274" s="8"/>
      <c r="W274" s="8"/>
      <c r="X274" s="8"/>
      <c r="Y274" s="8"/>
      <c r="Z274" s="8"/>
    </row>
    <row r="275" ht="13.65" customHeight="1">
      <c r="A275" s="52">
        <v>45597</v>
      </c>
      <c r="B275" s="53">
        <v>2024</v>
      </c>
      <c r="C275" t="s" s="7">
        <v>10229</v>
      </c>
      <c r="D275" t="s" s="7">
        <v>10267</v>
      </c>
      <c r="E275" t="s" s="7">
        <v>10086</v>
      </c>
      <c r="F275" t="s" s="7">
        <v>10070</v>
      </c>
      <c r="G275" s="53" cm="1">
        <f t="array" ref="G275">1</f>
        <v>1</v>
      </c>
      <c r="H275" s="8"/>
      <c r="I275" s="8"/>
      <c r="J275" s="8"/>
      <c r="K275" s="8"/>
      <c r="L275" s="8"/>
      <c r="M275" s="8"/>
      <c r="N275" s="8"/>
      <c r="O275" s="8"/>
      <c r="P275" s="8"/>
      <c r="Q275" s="8"/>
      <c r="R275" s="8"/>
      <c r="S275" s="8"/>
      <c r="T275" s="8"/>
      <c r="U275" s="8"/>
      <c r="V275" s="8"/>
      <c r="W275" s="8"/>
      <c r="X275" s="8"/>
      <c r="Y275" s="8"/>
      <c r="Z275" s="8"/>
    </row>
    <row r="276" ht="13.65" customHeight="1">
      <c r="A276" s="52">
        <v>45658</v>
      </c>
      <c r="B276" s="53">
        <v>2025</v>
      </c>
      <c r="C276" t="s" s="7">
        <v>10229</v>
      </c>
      <c r="D276" t="s" s="7">
        <v>10268</v>
      </c>
      <c r="E276" t="s" s="7">
        <v>10077</v>
      </c>
      <c r="F276" t="s" s="7">
        <v>10070</v>
      </c>
      <c r="G276" s="53" cm="1">
        <f t="array" ref="G276">1</f>
        <v>1</v>
      </c>
      <c r="H276" s="8"/>
      <c r="I276" s="8"/>
      <c r="J276" s="8"/>
      <c r="K276" s="8"/>
      <c r="L276" s="8"/>
      <c r="M276" s="8"/>
      <c r="N276" s="8"/>
      <c r="O276" s="8"/>
      <c r="P276" s="8"/>
      <c r="Q276" s="8"/>
      <c r="R276" s="8"/>
      <c r="S276" s="8"/>
      <c r="T276" s="8"/>
      <c r="U276" s="8"/>
      <c r="V276" s="8"/>
      <c r="W276" s="8"/>
      <c r="X276" s="8"/>
      <c r="Y276" s="8"/>
      <c r="Z276" s="8"/>
    </row>
    <row r="277" ht="13.65" customHeight="1">
      <c r="A277" s="52">
        <v>45689</v>
      </c>
      <c r="B277" s="53">
        <v>2025</v>
      </c>
      <c r="C277" t="s" s="7">
        <v>10229</v>
      </c>
      <c r="D277" t="s" s="7">
        <v>10269</v>
      </c>
      <c r="E277" t="s" s="7">
        <v>10090</v>
      </c>
      <c r="F277" t="s" s="7">
        <v>10070</v>
      </c>
      <c r="G277" s="53" cm="1">
        <f t="array" ref="G277">1</f>
        <v>1</v>
      </c>
      <c r="H277" s="8"/>
      <c r="I277" s="8"/>
      <c r="J277" s="8"/>
      <c r="K277" s="8"/>
      <c r="L277" s="8"/>
      <c r="M277" s="8"/>
      <c r="N277" s="8"/>
      <c r="O277" s="8"/>
      <c r="P277" s="8"/>
      <c r="Q277" s="8"/>
      <c r="R277" s="8"/>
      <c r="S277" s="8"/>
      <c r="T277" s="8"/>
      <c r="U277" s="8"/>
      <c r="V277" s="8"/>
      <c r="W277" s="8"/>
      <c r="X277" s="8"/>
      <c r="Y277" s="8"/>
      <c r="Z277" s="8"/>
    </row>
    <row r="278" ht="13.65" customHeight="1">
      <c r="A278" s="52">
        <v>45717</v>
      </c>
      <c r="B278" s="53">
        <v>2025</v>
      </c>
      <c r="C278" t="s" s="7">
        <v>10229</v>
      </c>
      <c r="D278" t="s" s="7">
        <v>10270</v>
      </c>
      <c r="E278" t="s" s="7">
        <v>10083</v>
      </c>
      <c r="F278" t="s" s="7">
        <v>10070</v>
      </c>
      <c r="G278" s="53" cm="1">
        <f t="array" ref="G278">1</f>
        <v>1</v>
      </c>
      <c r="H278" s="8"/>
      <c r="I278" s="8"/>
      <c r="J278" s="8"/>
      <c r="K278" s="8"/>
      <c r="L278" s="8"/>
      <c r="M278" s="8"/>
      <c r="N278" s="8"/>
      <c r="O278" s="8"/>
      <c r="P278" s="8"/>
      <c r="Q278" s="8"/>
      <c r="R278" s="8"/>
      <c r="S278" s="8"/>
      <c r="T278" s="8"/>
      <c r="U278" s="8"/>
      <c r="V278" s="8"/>
      <c r="W278" s="8"/>
      <c r="X278" s="8"/>
      <c r="Y278" s="8"/>
      <c r="Z278" s="8"/>
    </row>
    <row r="279" ht="13.6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3.65" customHeight="1">
      <c r="A280" s="8"/>
      <c r="B280" s="8"/>
      <c r="C280" s="8"/>
      <c r="D280" s="8"/>
      <c r="E280" s="8"/>
      <c r="F280" t="s" s="7">
        <v>10136</v>
      </c>
      <c r="G280" s="53" cm="1">
        <f t="array" ref="G280">AVERAGE(G269:G278)</f>
        <v>1.1</v>
      </c>
      <c r="H280" s="8"/>
      <c r="I280" s="8"/>
      <c r="J280" s="8"/>
      <c r="K280" s="8"/>
      <c r="L280" s="8"/>
      <c r="M280" s="8"/>
      <c r="N280" s="8"/>
      <c r="O280" s="8"/>
      <c r="P280" s="8"/>
      <c r="Q280" s="8"/>
      <c r="R280" s="8"/>
      <c r="S280" s="8"/>
      <c r="T280" s="8"/>
      <c r="U280" s="8"/>
      <c r="V280" s="8"/>
      <c r="W280" s="8"/>
      <c r="X280" s="8"/>
      <c r="Y280" s="8"/>
      <c r="Z280" s="8"/>
    </row>
    <row r="281" ht="13.65" customHeight="1">
      <c r="A281" t="s" s="7">
        <v>1029</v>
      </c>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3.65" customHeight="1">
      <c r="A282" t="s" s="51">
        <v>1281</v>
      </c>
      <c r="B282" t="s" s="51">
        <v>10055</v>
      </c>
      <c r="C282" t="s" s="51">
        <v>10056</v>
      </c>
      <c r="D282" t="s" s="51">
        <v>10057</v>
      </c>
      <c r="E282" t="s" s="51">
        <v>10075</v>
      </c>
      <c r="F282" t="s" s="51">
        <v>10058</v>
      </c>
      <c r="G282" t="s" s="51">
        <v>10059</v>
      </c>
      <c r="H282" s="8"/>
      <c r="I282" s="8"/>
      <c r="J282" s="8"/>
      <c r="K282" s="8"/>
      <c r="L282" s="8"/>
      <c r="M282" s="8"/>
      <c r="N282" s="8"/>
      <c r="O282" s="8"/>
      <c r="P282" s="8"/>
      <c r="Q282" s="8"/>
      <c r="R282" s="8"/>
      <c r="S282" s="8"/>
      <c r="T282" s="8"/>
      <c r="U282" s="8"/>
      <c r="V282" s="8"/>
      <c r="W282" s="8"/>
      <c r="X282" s="8"/>
      <c r="Y282" s="8"/>
      <c r="Z282" s="8"/>
    </row>
    <row r="283" ht="13.65" customHeight="1">
      <c r="A283" s="52">
        <v>45748</v>
      </c>
      <c r="B283" s="53">
        <v>2025</v>
      </c>
      <c r="C283" t="s" s="7">
        <v>10229</v>
      </c>
      <c r="D283" t="s" s="7">
        <v>10271</v>
      </c>
      <c r="E283" t="s" s="7">
        <v>10086</v>
      </c>
      <c r="F283" t="s" s="7">
        <v>10070</v>
      </c>
      <c r="G283" s="53" cm="1">
        <f t="array" ref="G283">1</f>
        <v>1</v>
      </c>
      <c r="H283" s="8"/>
      <c r="I283" s="8"/>
      <c r="J283" s="8"/>
      <c r="K283" s="8"/>
      <c r="L283" s="8"/>
      <c r="M283" s="8"/>
      <c r="N283" s="8"/>
      <c r="O283" s="8"/>
      <c r="P283" s="8"/>
      <c r="Q283" s="8"/>
      <c r="R283" s="8"/>
      <c r="S283" s="8"/>
      <c r="T283" s="8"/>
      <c r="U283" s="8"/>
      <c r="V283" s="8"/>
      <c r="W283" s="8"/>
      <c r="X283" s="8"/>
      <c r="Y283" s="8"/>
      <c r="Z283" s="8"/>
    </row>
    <row r="284" ht="13.65" customHeight="1">
      <c r="A284" s="54">
        <v>45778</v>
      </c>
      <c r="B284" s="53">
        <v>2025</v>
      </c>
      <c r="C284" t="s" s="7">
        <v>10229</v>
      </c>
      <c r="D284" t="s" s="7">
        <v>10272</v>
      </c>
      <c r="E284" t="s" s="7">
        <v>10077</v>
      </c>
      <c r="F284" t="s" s="7">
        <v>10070</v>
      </c>
      <c r="G284" s="53" cm="1">
        <f t="array" ref="G284">1</f>
        <v>1</v>
      </c>
      <c r="H284" s="8"/>
      <c r="I284" s="8"/>
      <c r="J284" s="8"/>
      <c r="K284" s="8"/>
      <c r="L284" s="8"/>
      <c r="M284" s="8"/>
      <c r="N284" s="8"/>
      <c r="O284" s="8"/>
      <c r="P284" s="8"/>
      <c r="Q284" s="8"/>
      <c r="R284" s="8"/>
      <c r="S284" s="8"/>
      <c r="T284" s="8"/>
      <c r="U284" s="8"/>
      <c r="V284" s="8"/>
      <c r="W284" s="8"/>
      <c r="X284" s="8"/>
      <c r="Y284" s="8"/>
      <c r="Z284" s="8"/>
    </row>
    <row r="285" ht="13.65" customHeight="1">
      <c r="A285" s="52">
        <v>45809</v>
      </c>
      <c r="B285" s="53">
        <v>2025</v>
      </c>
      <c r="C285" t="s" s="7">
        <v>10229</v>
      </c>
      <c r="D285" t="s" s="7">
        <v>10273</v>
      </c>
      <c r="E285" t="s" s="7">
        <v>10080</v>
      </c>
      <c r="F285" t="s" s="7">
        <v>10070</v>
      </c>
      <c r="G285" s="53" cm="1">
        <f t="array" ref="G285">1</f>
        <v>1</v>
      </c>
      <c r="H285" s="8"/>
      <c r="I285" s="8"/>
      <c r="J285" s="8"/>
      <c r="K285" s="8"/>
      <c r="L285" s="8"/>
      <c r="M285" s="8"/>
      <c r="N285" s="8"/>
      <c r="O285" s="8"/>
      <c r="P285" s="8"/>
      <c r="Q285" s="8"/>
      <c r="R285" s="8"/>
      <c r="S285" s="8"/>
      <c r="T285" s="8"/>
      <c r="U285" s="8"/>
      <c r="V285" s="8"/>
      <c r="W285" s="8"/>
      <c r="X285" s="8"/>
      <c r="Y285" s="8"/>
      <c r="Z285" s="8"/>
    </row>
    <row r="286" ht="13.65" customHeight="1">
      <c r="A286" s="52">
        <v>45839</v>
      </c>
      <c r="B286" s="53">
        <v>2025</v>
      </c>
      <c r="C286" t="s" s="7">
        <v>10229</v>
      </c>
      <c r="D286" t="s" s="7">
        <v>10274</v>
      </c>
      <c r="E286" t="s" s="7">
        <v>10090</v>
      </c>
      <c r="F286" t="s" s="7">
        <v>10070</v>
      </c>
      <c r="G286" s="53" cm="1">
        <f t="array" ref="G286">1</f>
        <v>1</v>
      </c>
      <c r="H286" s="8"/>
      <c r="I286" s="8"/>
      <c r="J286" s="8"/>
      <c r="K286" s="8"/>
      <c r="L286" s="8"/>
      <c r="M286" s="8"/>
      <c r="N286" s="8"/>
      <c r="O286" s="8"/>
      <c r="P286" s="8"/>
      <c r="Q286" s="8"/>
      <c r="R286" s="8"/>
      <c r="S286" s="8"/>
      <c r="T286" s="8"/>
      <c r="U286" s="8"/>
      <c r="V286" s="8"/>
      <c r="W286" s="8"/>
      <c r="X286" s="8"/>
      <c r="Y286" s="8"/>
      <c r="Z286" s="8"/>
    </row>
    <row r="287" ht="13.65" customHeight="1">
      <c r="A287" s="52">
        <v>45870</v>
      </c>
      <c r="B287" s="53">
        <v>2025</v>
      </c>
      <c r="C287" t="s" s="7">
        <v>10229</v>
      </c>
      <c r="D287" t="s" s="7">
        <v>10275</v>
      </c>
      <c r="E287" t="s" s="7">
        <v>10086</v>
      </c>
      <c r="F287" t="s" s="7">
        <v>10070</v>
      </c>
      <c r="G287" s="53" cm="1">
        <f t="array" ref="G287">1</f>
        <v>1</v>
      </c>
      <c r="H287" s="8"/>
      <c r="I287" s="8"/>
      <c r="J287" s="8"/>
      <c r="K287" s="8"/>
      <c r="L287" s="8"/>
      <c r="M287" s="8"/>
      <c r="N287" s="8"/>
      <c r="O287" s="8"/>
      <c r="P287" s="8"/>
      <c r="Q287" s="8"/>
      <c r="R287" s="8"/>
      <c r="S287" s="8"/>
      <c r="T287" s="8"/>
      <c r="U287" s="8"/>
      <c r="V287" s="8"/>
      <c r="W287" s="8"/>
      <c r="X287" s="8"/>
      <c r="Y287" s="8"/>
      <c r="Z287" s="8"/>
    </row>
    <row r="288" ht="13.65" customHeight="1">
      <c r="A288" s="52">
        <v>45931</v>
      </c>
      <c r="B288" s="53">
        <v>2025</v>
      </c>
      <c r="C288" t="s" s="7">
        <v>10229</v>
      </c>
      <c r="D288" t="s" s="7">
        <v>10276</v>
      </c>
      <c r="E288" t="s" s="7">
        <v>10077</v>
      </c>
      <c r="F288" t="s" s="7">
        <v>10062</v>
      </c>
      <c r="G288" s="53" cm="1">
        <f t="array" ref="G288">2</f>
        <v>2</v>
      </c>
      <c r="H288" s="8"/>
      <c r="I288" s="8"/>
      <c r="J288" s="8"/>
      <c r="K288" s="8"/>
      <c r="L288" s="8"/>
      <c r="M288" s="8"/>
      <c r="N288" s="8"/>
      <c r="O288" s="8"/>
      <c r="P288" s="8"/>
      <c r="Q288" s="8"/>
      <c r="R288" s="8"/>
      <c r="S288" s="8"/>
      <c r="T288" s="8"/>
      <c r="U288" s="8"/>
      <c r="V288" s="8"/>
      <c r="W288" s="8"/>
      <c r="X288" s="8"/>
      <c r="Y288" s="8"/>
      <c r="Z288" s="8"/>
    </row>
    <row r="289" ht="13.65" customHeight="1">
      <c r="A289" s="52">
        <v>45962</v>
      </c>
      <c r="B289" s="53">
        <v>2025</v>
      </c>
      <c r="C289" t="s" s="7">
        <v>10229</v>
      </c>
      <c r="D289" t="s" s="7">
        <v>10277</v>
      </c>
      <c r="E289" t="s" s="7">
        <v>10083</v>
      </c>
      <c r="F289" t="s" s="7">
        <v>10070</v>
      </c>
      <c r="G289" s="53" cm="1">
        <f t="array" ref="G289">1</f>
        <v>1</v>
      </c>
      <c r="H289" s="8"/>
      <c r="I289" s="8"/>
      <c r="J289" s="8"/>
      <c r="K289" s="8"/>
      <c r="L289" s="8"/>
      <c r="M289" s="8"/>
      <c r="N289" s="8"/>
      <c r="O289" s="8"/>
      <c r="P289" s="8"/>
      <c r="Q289" s="8"/>
      <c r="R289" s="8"/>
      <c r="S289" s="8"/>
      <c r="T289" s="8"/>
      <c r="U289" s="8"/>
      <c r="V289" s="8"/>
      <c r="W289" s="8"/>
      <c r="X289" s="8"/>
      <c r="Y289" s="8"/>
      <c r="Z289" s="8"/>
    </row>
    <row r="290" ht="13.65" customHeight="1">
      <c r="A290" s="52">
        <v>46023</v>
      </c>
      <c r="B290" s="53">
        <v>2026</v>
      </c>
      <c r="C290" t="s" s="7">
        <v>10229</v>
      </c>
      <c r="D290" t="s" s="7">
        <v>10278</v>
      </c>
      <c r="E290" t="s" s="7">
        <v>10077</v>
      </c>
      <c r="F290" t="s" s="7">
        <v>10070</v>
      </c>
      <c r="G290" s="53" cm="1">
        <f t="array" ref="G290">1</f>
        <v>1</v>
      </c>
      <c r="H290" s="8"/>
      <c r="I290" s="8"/>
      <c r="J290" s="8"/>
      <c r="K290" s="8"/>
      <c r="L290" s="8"/>
      <c r="M290" s="8"/>
      <c r="N290" s="8"/>
      <c r="O290" s="8"/>
      <c r="P290" s="8"/>
      <c r="Q290" s="8"/>
      <c r="R290" s="8"/>
      <c r="S290" s="8"/>
      <c r="T290" s="8"/>
      <c r="U290" s="8"/>
      <c r="V290" s="8"/>
      <c r="W290" s="8"/>
      <c r="X290" s="8"/>
      <c r="Y290" s="8"/>
      <c r="Z290" s="8"/>
    </row>
    <row r="291" ht="13.65" customHeight="1">
      <c r="A291" s="52">
        <v>46054</v>
      </c>
      <c r="B291" s="53">
        <v>2026</v>
      </c>
      <c r="C291" t="s" s="7">
        <v>10229</v>
      </c>
      <c r="D291" t="s" s="7">
        <v>10279</v>
      </c>
      <c r="E291" t="s" s="7">
        <v>10090</v>
      </c>
      <c r="F291" t="s" s="7">
        <v>10070</v>
      </c>
      <c r="G291" s="53" cm="1">
        <f t="array" ref="G291">1</f>
        <v>1</v>
      </c>
      <c r="H291" s="8"/>
      <c r="I291" s="8"/>
      <c r="J291" s="8"/>
      <c r="K291" s="8"/>
      <c r="L291" s="8"/>
      <c r="M291" s="8"/>
      <c r="N291" s="8"/>
      <c r="O291" s="8"/>
      <c r="P291" s="8"/>
      <c r="Q291" s="8"/>
      <c r="R291" s="8"/>
      <c r="S291" s="8"/>
      <c r="T291" s="8"/>
      <c r="U291" s="8"/>
      <c r="V291" s="8"/>
      <c r="W291" s="8"/>
      <c r="X291" s="8"/>
      <c r="Y291" s="8"/>
      <c r="Z291" s="8"/>
    </row>
    <row r="292" ht="13.65" customHeight="1">
      <c r="A292" s="52">
        <v>46082</v>
      </c>
      <c r="B292" s="53">
        <v>2026</v>
      </c>
      <c r="C292" t="s" s="7">
        <v>10229</v>
      </c>
      <c r="D292" t="s" s="7">
        <v>10280</v>
      </c>
      <c r="E292" t="s" s="7">
        <v>10123</v>
      </c>
      <c r="F292" t="s" s="7">
        <v>10070</v>
      </c>
      <c r="G292" s="53" cm="1">
        <f t="array" ref="G292">1</f>
        <v>1</v>
      </c>
      <c r="H292" s="8"/>
      <c r="I292" s="8"/>
      <c r="J292" s="8"/>
      <c r="K292" s="8"/>
      <c r="L292" s="8"/>
      <c r="M292" s="8"/>
      <c r="N292" s="8"/>
      <c r="O292" s="8"/>
      <c r="P292" s="8"/>
      <c r="Q292" s="8"/>
      <c r="R292" s="8"/>
      <c r="S292" s="8"/>
      <c r="T292" s="8"/>
      <c r="U292" s="8"/>
      <c r="V292" s="8"/>
      <c r="W292" s="8"/>
      <c r="X292" s="8"/>
      <c r="Y292" s="8"/>
      <c r="Z292" s="8"/>
    </row>
    <row r="293" ht="13.6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3.65" customHeight="1">
      <c r="A294" s="8"/>
      <c r="B294" s="8"/>
      <c r="C294" s="8"/>
      <c r="D294" s="8"/>
      <c r="E294" s="8"/>
      <c r="F294" t="s" s="7">
        <v>10136</v>
      </c>
      <c r="G294" s="53" cm="1">
        <f t="array" ref="G294">AVERAGE(G283:G292)</f>
        <v>1.1</v>
      </c>
      <c r="H294" s="8"/>
      <c r="I294" s="8"/>
      <c r="J294" s="8"/>
      <c r="K294" s="8"/>
      <c r="L294" s="8"/>
      <c r="M294" s="8"/>
      <c r="N294" s="8"/>
      <c r="O294" s="8"/>
      <c r="P294" s="8"/>
      <c r="Q294" s="8"/>
      <c r="R294" s="8"/>
      <c r="S294" s="8"/>
      <c r="T294" s="8"/>
      <c r="U294" s="8"/>
      <c r="V294" s="8"/>
      <c r="W294" s="8"/>
      <c r="X294" s="8"/>
      <c r="Y294" s="8"/>
      <c r="Z294" s="8"/>
    </row>
    <row r="295" ht="13.65" customHeight="1">
      <c r="A295" t="s" s="55">
        <v>8810</v>
      </c>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3.65" customHeight="1">
      <c r="A296" t="s" s="7">
        <v>6</v>
      </c>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3.65" customHeight="1">
      <c r="A297" t="s" s="51">
        <v>1281</v>
      </c>
      <c r="B297" t="s" s="51">
        <v>10055</v>
      </c>
      <c r="C297" t="s" s="51">
        <v>10056</v>
      </c>
      <c r="D297" t="s" s="51">
        <v>10057</v>
      </c>
      <c r="E297" t="s" s="51">
        <v>10075</v>
      </c>
      <c r="F297" t="s" s="51">
        <v>10058</v>
      </c>
      <c r="G297" t="s" s="51">
        <v>10059</v>
      </c>
      <c r="H297" s="8"/>
      <c r="I297" s="8"/>
      <c r="J297" s="8"/>
      <c r="K297" s="8"/>
      <c r="L297" s="8"/>
      <c r="M297" s="8"/>
      <c r="N297" s="8"/>
      <c r="O297" s="8"/>
      <c r="P297" s="8"/>
      <c r="Q297" s="8"/>
      <c r="R297" s="8"/>
      <c r="S297" s="8"/>
      <c r="T297" s="8"/>
      <c r="U297" s="8"/>
      <c r="V297" s="8"/>
      <c r="W297" s="8"/>
      <c r="X297" s="8"/>
      <c r="Y297" s="8"/>
      <c r="Z297" s="8"/>
    </row>
    <row r="298" ht="13.65" customHeight="1">
      <c r="A298" s="52">
        <v>44652</v>
      </c>
      <c r="B298" s="53">
        <v>2022</v>
      </c>
      <c r="C298" t="s" s="7">
        <v>8810</v>
      </c>
      <c r="D298" t="s" s="7">
        <v>10281</v>
      </c>
      <c r="E298" t="s" s="7">
        <v>10077</v>
      </c>
      <c r="F298" t="s" s="7">
        <v>10062</v>
      </c>
      <c r="G298" s="53" cm="1">
        <f t="array" ref="G298">2</f>
        <v>2</v>
      </c>
      <c r="H298" s="8"/>
      <c r="I298" s="8"/>
      <c r="J298" s="8"/>
      <c r="K298" s="8"/>
      <c r="L298" s="8"/>
      <c r="M298" s="8"/>
      <c r="N298" s="8"/>
      <c r="O298" s="8"/>
      <c r="P298" s="8"/>
      <c r="Q298" s="8"/>
      <c r="R298" s="8"/>
      <c r="S298" s="8"/>
      <c r="T298" s="8"/>
      <c r="U298" s="8"/>
      <c r="V298" s="8"/>
      <c r="W298" s="8"/>
      <c r="X298" s="8"/>
      <c r="Y298" s="8"/>
      <c r="Z298" s="8"/>
    </row>
    <row r="299" ht="13.65" customHeight="1">
      <c r="A299" s="54">
        <v>44682</v>
      </c>
      <c r="B299" s="53">
        <v>2022</v>
      </c>
      <c r="C299" t="s" s="7">
        <v>8810</v>
      </c>
      <c r="D299" t="s" s="7">
        <v>10282</v>
      </c>
      <c r="E299" t="s" s="7">
        <v>10090</v>
      </c>
      <c r="F299" t="s" s="7">
        <v>10062</v>
      </c>
      <c r="G299" s="53" cm="1">
        <f t="array" ref="G299">2</f>
        <v>2</v>
      </c>
      <c r="H299" s="8"/>
      <c r="I299" s="8"/>
      <c r="J299" s="8"/>
      <c r="K299" s="8"/>
      <c r="L299" s="8"/>
      <c r="M299" s="8"/>
      <c r="N299" s="8"/>
      <c r="O299" s="8"/>
      <c r="P299" s="8"/>
      <c r="Q299" s="8"/>
      <c r="R299" s="8"/>
      <c r="S299" s="8"/>
      <c r="T299" s="8"/>
      <c r="U299" s="8"/>
      <c r="V299" s="8"/>
      <c r="W299" s="8"/>
      <c r="X299" s="8"/>
      <c r="Y299" s="8"/>
      <c r="Z299" s="8"/>
    </row>
    <row r="300" ht="13.65" customHeight="1">
      <c r="A300" s="52">
        <v>44713</v>
      </c>
      <c r="B300" s="53">
        <v>2022</v>
      </c>
      <c r="C300" t="s" s="7">
        <v>8810</v>
      </c>
      <c r="D300" t="s" s="7">
        <v>10283</v>
      </c>
      <c r="E300" t="s" s="7">
        <v>10080</v>
      </c>
      <c r="F300" t="s" s="7">
        <v>10070</v>
      </c>
      <c r="G300" s="53" cm="1">
        <f t="array" ref="G300">1</f>
        <v>1</v>
      </c>
      <c r="H300" s="8"/>
      <c r="I300" s="8"/>
      <c r="J300" s="8"/>
      <c r="K300" s="8"/>
      <c r="L300" s="8"/>
      <c r="M300" s="8"/>
      <c r="N300" s="8"/>
      <c r="O300" s="8"/>
      <c r="P300" s="8"/>
      <c r="Q300" s="8"/>
      <c r="R300" s="8"/>
      <c r="S300" s="8"/>
      <c r="T300" s="8"/>
      <c r="U300" s="8"/>
      <c r="V300" s="8"/>
      <c r="W300" s="8"/>
      <c r="X300" s="8"/>
      <c r="Y300" s="8"/>
      <c r="Z300" s="8"/>
    </row>
    <row r="301" ht="13.65" customHeight="1">
      <c r="A301" s="52">
        <v>44743</v>
      </c>
      <c r="B301" s="53">
        <v>2022</v>
      </c>
      <c r="C301" t="s" s="7">
        <v>8810</v>
      </c>
      <c r="D301" t="s" s="7">
        <v>10284</v>
      </c>
      <c r="E301" t="s" s="7">
        <v>10083</v>
      </c>
      <c r="F301" t="s" s="7">
        <v>10070</v>
      </c>
      <c r="G301" s="53" cm="1">
        <f t="array" ref="G301">1</f>
        <v>1</v>
      </c>
      <c r="H301" s="8"/>
      <c r="I301" s="8"/>
      <c r="J301" s="8"/>
      <c r="K301" s="8"/>
      <c r="L301" s="8"/>
      <c r="M301" s="8"/>
      <c r="N301" s="8"/>
      <c r="O301" s="8"/>
      <c r="P301" s="8"/>
      <c r="Q301" s="8"/>
      <c r="R301" s="8"/>
      <c r="S301" s="8"/>
      <c r="T301" s="8"/>
      <c r="U301" s="8"/>
      <c r="V301" s="8"/>
      <c r="W301" s="8"/>
      <c r="X301" s="8"/>
      <c r="Y301" s="8"/>
      <c r="Z301" s="8"/>
    </row>
    <row r="302" ht="13.65" customHeight="1">
      <c r="A302" s="52">
        <v>44774</v>
      </c>
      <c r="B302" s="53">
        <v>2022</v>
      </c>
      <c r="C302" t="s" s="7">
        <v>8810</v>
      </c>
      <c r="D302" t="s" s="7">
        <v>10285</v>
      </c>
      <c r="E302" t="s" s="7">
        <v>10086</v>
      </c>
      <c r="F302" t="s" s="7">
        <v>10062</v>
      </c>
      <c r="G302" s="53" cm="1">
        <f t="array" ref="G302">2</f>
        <v>2</v>
      </c>
      <c r="H302" s="8"/>
      <c r="I302" s="8"/>
      <c r="J302" s="8"/>
      <c r="K302" s="8"/>
      <c r="L302" s="8"/>
      <c r="M302" s="8"/>
      <c r="N302" s="8"/>
      <c r="O302" s="8"/>
      <c r="P302" s="8"/>
      <c r="Q302" s="8"/>
      <c r="R302" s="8"/>
      <c r="S302" s="8"/>
      <c r="T302" s="8"/>
      <c r="U302" s="8"/>
      <c r="V302" s="8"/>
      <c r="W302" s="8"/>
      <c r="X302" s="8"/>
      <c r="Y302" s="8"/>
      <c r="Z302" s="8"/>
    </row>
    <row r="303" ht="13.65" customHeight="1">
      <c r="A303" s="52">
        <v>44805</v>
      </c>
      <c r="B303" s="53">
        <v>2022</v>
      </c>
      <c r="C303" t="s" s="7">
        <v>8810</v>
      </c>
      <c r="D303" t="s" s="7">
        <v>10286</v>
      </c>
      <c r="E303" t="s" s="7">
        <v>10090</v>
      </c>
      <c r="F303" t="s" s="7">
        <v>10070</v>
      </c>
      <c r="G303" s="53" cm="1">
        <f t="array" ref="G303">1</f>
        <v>1</v>
      </c>
      <c r="H303" s="8"/>
      <c r="I303" s="8"/>
      <c r="J303" s="8"/>
      <c r="K303" s="8"/>
      <c r="L303" s="8"/>
      <c r="M303" s="8"/>
      <c r="N303" s="8"/>
      <c r="O303" s="8"/>
      <c r="P303" s="8"/>
      <c r="Q303" s="8"/>
      <c r="R303" s="8"/>
      <c r="S303" s="8"/>
      <c r="T303" s="8"/>
      <c r="U303" s="8"/>
      <c r="V303" s="8"/>
      <c r="W303" s="8"/>
      <c r="X303" s="8"/>
      <c r="Y303" s="8"/>
      <c r="Z303" s="8"/>
    </row>
    <row r="304" ht="13.65" customHeight="1">
      <c r="A304" s="52">
        <v>44835</v>
      </c>
      <c r="B304" s="53">
        <v>2022</v>
      </c>
      <c r="C304" t="s" s="7">
        <v>8810</v>
      </c>
      <c r="D304" t="s" s="7">
        <v>10287</v>
      </c>
      <c r="E304" t="s" s="7">
        <v>10077</v>
      </c>
      <c r="F304" t="s" s="7">
        <v>10062</v>
      </c>
      <c r="G304" s="53" cm="1">
        <f t="array" ref="G304">2</f>
        <v>2</v>
      </c>
      <c r="H304" s="8"/>
      <c r="I304" s="8"/>
      <c r="J304" s="8"/>
      <c r="K304" s="8"/>
      <c r="L304" s="8"/>
      <c r="M304" s="8"/>
      <c r="N304" s="8"/>
      <c r="O304" s="8"/>
      <c r="P304" s="8"/>
      <c r="Q304" s="8"/>
      <c r="R304" s="8"/>
      <c r="S304" s="8"/>
      <c r="T304" s="8"/>
      <c r="U304" s="8"/>
      <c r="V304" s="8"/>
      <c r="W304" s="8"/>
      <c r="X304" s="8"/>
      <c r="Y304" s="8"/>
      <c r="Z304" s="8"/>
    </row>
    <row r="305" ht="13.65" customHeight="1">
      <c r="A305" s="52">
        <v>44896</v>
      </c>
      <c r="B305" s="53">
        <v>2022</v>
      </c>
      <c r="C305" t="s" s="7">
        <v>8810</v>
      </c>
      <c r="D305" t="s" s="7">
        <v>10288</v>
      </c>
      <c r="E305" t="s" s="7">
        <v>10080</v>
      </c>
      <c r="F305" t="s" s="7">
        <v>10070</v>
      </c>
      <c r="G305" s="53" cm="1">
        <f t="array" ref="G305">1</f>
        <v>1</v>
      </c>
      <c r="H305" s="8"/>
      <c r="I305" s="8"/>
      <c r="J305" s="8"/>
      <c r="K305" s="8"/>
      <c r="L305" s="8"/>
      <c r="M305" s="8"/>
      <c r="N305" s="8"/>
      <c r="O305" s="8"/>
      <c r="P305" s="8"/>
      <c r="Q305" s="8"/>
      <c r="R305" s="8"/>
      <c r="S305" s="8"/>
      <c r="T305" s="8"/>
      <c r="U305" s="8"/>
      <c r="V305" s="8"/>
      <c r="W305" s="8"/>
      <c r="X305" s="8"/>
      <c r="Y305" s="8"/>
      <c r="Z305" s="8"/>
    </row>
    <row r="306" ht="13.65" customHeight="1">
      <c r="A306" s="52">
        <v>44927</v>
      </c>
      <c r="B306" s="53">
        <v>2023</v>
      </c>
      <c r="C306" t="s" s="7">
        <v>8810</v>
      </c>
      <c r="D306" t="s" s="7">
        <v>10289</v>
      </c>
      <c r="E306" t="s" s="7">
        <v>10077</v>
      </c>
      <c r="F306" t="s" s="7">
        <v>10070</v>
      </c>
      <c r="G306" s="53" cm="1">
        <f t="array" ref="G306">1</f>
        <v>1</v>
      </c>
      <c r="H306" s="8"/>
      <c r="I306" s="8"/>
      <c r="J306" s="8"/>
      <c r="K306" s="8"/>
      <c r="L306" s="8"/>
      <c r="M306" s="8"/>
      <c r="N306" s="8"/>
      <c r="O306" s="8"/>
      <c r="P306" s="8"/>
      <c r="Q306" s="8"/>
      <c r="R306" s="8"/>
      <c r="S306" s="8"/>
      <c r="T306" s="8"/>
      <c r="U306" s="8"/>
      <c r="V306" s="8"/>
      <c r="W306" s="8"/>
      <c r="X306" s="8"/>
      <c r="Y306" s="8"/>
      <c r="Z306" s="8"/>
    </row>
    <row r="307" ht="13.65" customHeight="1">
      <c r="A307" s="52">
        <v>44986</v>
      </c>
      <c r="B307" s="53">
        <v>2023</v>
      </c>
      <c r="C307" t="s" s="7">
        <v>8810</v>
      </c>
      <c r="D307" t="s" s="7">
        <v>10290</v>
      </c>
      <c r="E307" t="s" s="7">
        <v>10086</v>
      </c>
      <c r="F307" t="s" s="7">
        <v>10070</v>
      </c>
      <c r="G307" s="53" cm="1">
        <f t="array" ref="G307">1</f>
        <v>1</v>
      </c>
      <c r="H307" s="8"/>
      <c r="I307" s="8"/>
      <c r="J307" s="8"/>
      <c r="K307" s="8"/>
      <c r="L307" s="8"/>
      <c r="M307" s="8"/>
      <c r="N307" s="8"/>
      <c r="O307" s="8"/>
      <c r="P307" s="8"/>
      <c r="Q307" s="8"/>
      <c r="R307" s="8"/>
      <c r="S307" s="8"/>
      <c r="T307" s="8"/>
      <c r="U307" s="8"/>
      <c r="V307" s="8"/>
      <c r="W307" s="8"/>
      <c r="X307" s="8"/>
      <c r="Y307" s="8"/>
      <c r="Z307" s="8"/>
    </row>
    <row r="308" ht="13.6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3.65" customHeight="1">
      <c r="A309" s="8"/>
      <c r="B309" s="8"/>
      <c r="C309" s="8"/>
      <c r="D309" s="8"/>
      <c r="E309" s="8"/>
      <c r="F309" t="s" s="7">
        <v>10136</v>
      </c>
      <c r="G309" s="53" cm="1">
        <f t="array" ref="G309">AVERAGE(G298:G307)</f>
        <v>1.4</v>
      </c>
      <c r="H309" s="8"/>
      <c r="I309" s="8"/>
      <c r="J309" s="8"/>
      <c r="K309" s="8"/>
      <c r="L309" s="8"/>
      <c r="M309" s="8"/>
      <c r="N309" s="8"/>
      <c r="O309" s="8"/>
      <c r="P309" s="8"/>
      <c r="Q309" s="8"/>
      <c r="R309" s="8"/>
      <c r="S309" s="8"/>
      <c r="T309" s="8"/>
      <c r="U309" s="8"/>
      <c r="V309" s="8"/>
      <c r="W309" s="8"/>
      <c r="X309" s="8"/>
      <c r="Y309" s="8"/>
      <c r="Z309" s="8"/>
    </row>
    <row r="310" ht="13.6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3.65" customHeight="1">
      <c r="A311" t="s" s="51">
        <v>1281</v>
      </c>
      <c r="B311" t="s" s="51">
        <v>10055</v>
      </c>
      <c r="C311" t="s" s="51">
        <v>10056</v>
      </c>
      <c r="D311" t="s" s="51">
        <v>10057</v>
      </c>
      <c r="E311" t="s" s="51">
        <v>10075</v>
      </c>
      <c r="F311" t="s" s="51">
        <v>10058</v>
      </c>
      <c r="G311" t="s" s="51">
        <v>10059</v>
      </c>
      <c r="H311" s="8"/>
      <c r="I311" s="8"/>
      <c r="J311" s="8"/>
      <c r="K311" s="8"/>
      <c r="L311" s="8"/>
      <c r="M311" s="8"/>
      <c r="N311" s="8"/>
      <c r="O311" s="8"/>
      <c r="P311" s="8"/>
      <c r="Q311" s="8"/>
      <c r="R311" s="8"/>
      <c r="S311" s="8"/>
      <c r="T311" s="8"/>
      <c r="U311" s="8"/>
      <c r="V311" s="8"/>
      <c r="W311" s="8"/>
      <c r="X311" s="8"/>
      <c r="Y311" s="8"/>
      <c r="Z311" s="8"/>
    </row>
    <row r="312" ht="13.65" customHeight="1">
      <c r="A312" s="52">
        <v>44652</v>
      </c>
      <c r="B312" s="53">
        <v>2022</v>
      </c>
      <c r="C312" t="s" s="7">
        <v>8810</v>
      </c>
      <c r="D312" t="s" s="7">
        <v>10281</v>
      </c>
      <c r="E312" t="s" s="7">
        <v>10077</v>
      </c>
      <c r="F312" t="s" s="7">
        <v>10062</v>
      </c>
      <c r="G312" s="53" cm="1">
        <f t="array" ref="G312">2</f>
        <v>2</v>
      </c>
      <c r="H312" s="8"/>
      <c r="I312" s="8"/>
      <c r="J312" s="8"/>
      <c r="K312" s="8"/>
      <c r="L312" s="8"/>
      <c r="M312" s="8"/>
      <c r="N312" s="8"/>
      <c r="O312" s="8"/>
      <c r="P312" s="8"/>
      <c r="Q312" s="8"/>
      <c r="R312" s="8"/>
      <c r="S312" s="8"/>
      <c r="T312" s="8"/>
      <c r="U312" s="8"/>
      <c r="V312" s="8"/>
      <c r="W312" s="8"/>
      <c r="X312" s="8"/>
      <c r="Y312" s="8"/>
      <c r="Z312" s="8"/>
    </row>
    <row r="313" ht="13.65" customHeight="1">
      <c r="A313" s="54">
        <v>44682</v>
      </c>
      <c r="B313" s="53">
        <v>2022</v>
      </c>
      <c r="C313" t="s" s="7">
        <v>8810</v>
      </c>
      <c r="D313" t="s" s="7">
        <v>10282</v>
      </c>
      <c r="E313" t="s" s="7">
        <v>10090</v>
      </c>
      <c r="F313" t="s" s="7">
        <v>10062</v>
      </c>
      <c r="G313" s="53" cm="1">
        <f t="array" ref="G313">2</f>
        <v>2</v>
      </c>
      <c r="H313" s="8"/>
      <c r="I313" s="8"/>
      <c r="J313" s="8"/>
      <c r="K313" s="8"/>
      <c r="L313" s="8"/>
      <c r="M313" s="8"/>
      <c r="N313" s="8"/>
      <c r="O313" s="8"/>
      <c r="P313" s="8"/>
      <c r="Q313" s="8"/>
      <c r="R313" s="8"/>
      <c r="S313" s="8"/>
      <c r="T313" s="8"/>
      <c r="U313" s="8"/>
      <c r="V313" s="8"/>
      <c r="W313" s="8"/>
      <c r="X313" s="8"/>
      <c r="Y313" s="8"/>
      <c r="Z313" s="8"/>
    </row>
    <row r="314" ht="13.65" customHeight="1">
      <c r="A314" s="52">
        <v>44713</v>
      </c>
      <c r="B314" s="53">
        <v>2022</v>
      </c>
      <c r="C314" t="s" s="7">
        <v>8810</v>
      </c>
      <c r="D314" t="s" s="7">
        <v>10283</v>
      </c>
      <c r="E314" t="s" s="7">
        <v>10080</v>
      </c>
      <c r="F314" t="s" s="7">
        <v>10070</v>
      </c>
      <c r="G314" s="53" cm="1">
        <f t="array" ref="G314">1</f>
        <v>1</v>
      </c>
      <c r="H314" s="8"/>
      <c r="I314" s="8"/>
      <c r="J314" s="8"/>
      <c r="K314" s="8"/>
      <c r="L314" s="8"/>
      <c r="M314" s="8"/>
      <c r="N314" s="8"/>
      <c r="O314" s="8"/>
      <c r="P314" s="8"/>
      <c r="Q314" s="8"/>
      <c r="R314" s="8"/>
      <c r="S314" s="8"/>
      <c r="T314" s="8"/>
      <c r="U314" s="8"/>
      <c r="V314" s="8"/>
      <c r="W314" s="8"/>
      <c r="X314" s="8"/>
      <c r="Y314" s="8"/>
      <c r="Z314" s="8"/>
    </row>
    <row r="315" ht="13.65" customHeight="1">
      <c r="A315" s="52">
        <v>44743</v>
      </c>
      <c r="B315" s="53">
        <v>2022</v>
      </c>
      <c r="C315" t="s" s="7">
        <v>8810</v>
      </c>
      <c r="D315" t="s" s="7">
        <v>10284</v>
      </c>
      <c r="E315" t="s" s="7">
        <v>10083</v>
      </c>
      <c r="F315" t="s" s="7">
        <v>10070</v>
      </c>
      <c r="G315" s="53" cm="1">
        <f t="array" ref="G315">1</f>
        <v>1</v>
      </c>
      <c r="H315" s="8"/>
      <c r="I315" s="8"/>
      <c r="J315" s="8"/>
      <c r="K315" s="8"/>
      <c r="L315" s="8"/>
      <c r="M315" s="8"/>
      <c r="N315" s="8"/>
      <c r="O315" s="8"/>
      <c r="P315" s="8"/>
      <c r="Q315" s="8"/>
      <c r="R315" s="8"/>
      <c r="S315" s="8"/>
      <c r="T315" s="8"/>
      <c r="U315" s="8"/>
      <c r="V315" s="8"/>
      <c r="W315" s="8"/>
      <c r="X315" s="8"/>
      <c r="Y315" s="8"/>
      <c r="Z315" s="8"/>
    </row>
    <row r="316" ht="13.65" customHeight="1">
      <c r="A316" s="52">
        <v>44774</v>
      </c>
      <c r="B316" s="53">
        <v>2022</v>
      </c>
      <c r="C316" t="s" s="7">
        <v>8810</v>
      </c>
      <c r="D316" t="s" s="7">
        <v>10285</v>
      </c>
      <c r="E316" t="s" s="7">
        <v>10086</v>
      </c>
      <c r="F316" t="s" s="7">
        <v>10062</v>
      </c>
      <c r="G316" s="53" cm="1">
        <f t="array" ref="G316">2</f>
        <v>2</v>
      </c>
      <c r="H316" s="8"/>
      <c r="I316" s="8"/>
      <c r="J316" s="8"/>
      <c r="K316" s="8"/>
      <c r="L316" s="8"/>
      <c r="M316" s="8"/>
      <c r="N316" s="8"/>
      <c r="O316" s="8"/>
      <c r="P316" s="8"/>
      <c r="Q316" s="8"/>
      <c r="R316" s="8"/>
      <c r="S316" s="8"/>
      <c r="T316" s="8"/>
      <c r="U316" s="8"/>
      <c r="V316" s="8"/>
      <c r="W316" s="8"/>
      <c r="X316" s="8"/>
      <c r="Y316" s="8"/>
      <c r="Z316" s="8"/>
    </row>
    <row r="317" ht="13.65" customHeight="1">
      <c r="A317" s="52">
        <v>44805</v>
      </c>
      <c r="B317" s="53">
        <v>2022</v>
      </c>
      <c r="C317" t="s" s="7">
        <v>8810</v>
      </c>
      <c r="D317" t="s" s="7">
        <v>10286</v>
      </c>
      <c r="E317" t="s" s="7">
        <v>10090</v>
      </c>
      <c r="F317" t="s" s="7">
        <v>10070</v>
      </c>
      <c r="G317" s="53" cm="1">
        <f t="array" ref="G317">1</f>
        <v>1</v>
      </c>
      <c r="H317" s="8"/>
      <c r="I317" s="8"/>
      <c r="J317" s="8"/>
      <c r="K317" s="8"/>
      <c r="L317" s="8"/>
      <c r="M317" s="8"/>
      <c r="N317" s="8"/>
      <c r="O317" s="8"/>
      <c r="P317" s="8"/>
      <c r="Q317" s="8"/>
      <c r="R317" s="8"/>
      <c r="S317" s="8"/>
      <c r="T317" s="8"/>
      <c r="U317" s="8"/>
      <c r="V317" s="8"/>
      <c r="W317" s="8"/>
      <c r="X317" s="8"/>
      <c r="Y317" s="8"/>
      <c r="Z317" s="8"/>
    </row>
    <row r="318" ht="13.65" customHeight="1">
      <c r="A318" s="52">
        <v>44835</v>
      </c>
      <c r="B318" s="53">
        <v>2022</v>
      </c>
      <c r="C318" t="s" s="7">
        <v>8810</v>
      </c>
      <c r="D318" t="s" s="7">
        <v>10287</v>
      </c>
      <c r="E318" t="s" s="7">
        <v>10077</v>
      </c>
      <c r="F318" t="s" s="7">
        <v>10062</v>
      </c>
      <c r="G318" s="53" cm="1">
        <f t="array" ref="G318">2</f>
        <v>2</v>
      </c>
      <c r="H318" s="8"/>
      <c r="I318" s="8"/>
      <c r="J318" s="8"/>
      <c r="K318" s="8"/>
      <c r="L318" s="8"/>
      <c r="M318" s="8"/>
      <c r="N318" s="8"/>
      <c r="O318" s="8"/>
      <c r="P318" s="8"/>
      <c r="Q318" s="8"/>
      <c r="R318" s="8"/>
      <c r="S318" s="8"/>
      <c r="T318" s="8"/>
      <c r="U318" s="8"/>
      <c r="V318" s="8"/>
      <c r="W318" s="8"/>
      <c r="X318" s="8"/>
      <c r="Y318" s="8"/>
      <c r="Z318" s="8"/>
    </row>
    <row r="319" ht="13.65" customHeight="1">
      <c r="A319" s="52">
        <v>44896</v>
      </c>
      <c r="B319" s="53">
        <v>2022</v>
      </c>
      <c r="C319" t="s" s="7">
        <v>8810</v>
      </c>
      <c r="D319" t="s" s="7">
        <v>10288</v>
      </c>
      <c r="E319" t="s" s="7">
        <v>10080</v>
      </c>
      <c r="F319" t="s" s="7">
        <v>10070</v>
      </c>
      <c r="G319" s="53" cm="1">
        <f t="array" ref="G319">1</f>
        <v>1</v>
      </c>
      <c r="H319" s="8"/>
      <c r="I319" s="8"/>
      <c r="J319" s="8"/>
      <c r="K319" s="8"/>
      <c r="L319" s="8"/>
      <c r="M319" s="8"/>
      <c r="N319" s="8"/>
      <c r="O319" s="8"/>
      <c r="P319" s="8"/>
      <c r="Q319" s="8"/>
      <c r="R319" s="8"/>
      <c r="S319" s="8"/>
      <c r="T319" s="8"/>
      <c r="U319" s="8"/>
      <c r="V319" s="8"/>
      <c r="W319" s="8"/>
      <c r="X319" s="8"/>
      <c r="Y319" s="8"/>
      <c r="Z319" s="8"/>
    </row>
    <row r="320" ht="13.65" customHeight="1">
      <c r="A320" s="52">
        <v>44927</v>
      </c>
      <c r="B320" s="53">
        <v>2023</v>
      </c>
      <c r="C320" t="s" s="7">
        <v>8810</v>
      </c>
      <c r="D320" t="s" s="7">
        <v>10289</v>
      </c>
      <c r="E320" t="s" s="7">
        <v>10077</v>
      </c>
      <c r="F320" t="s" s="7">
        <v>10070</v>
      </c>
      <c r="G320" s="53" cm="1">
        <f t="array" ref="G320">1</f>
        <v>1</v>
      </c>
      <c r="H320" s="8"/>
      <c r="I320" s="8"/>
      <c r="J320" s="8"/>
      <c r="K320" s="8"/>
      <c r="L320" s="8"/>
      <c r="M320" s="8"/>
      <c r="N320" s="8"/>
      <c r="O320" s="8"/>
      <c r="P320" s="8"/>
      <c r="Q320" s="8"/>
      <c r="R320" s="8"/>
      <c r="S320" s="8"/>
      <c r="T320" s="8"/>
      <c r="U320" s="8"/>
      <c r="V320" s="8"/>
      <c r="W320" s="8"/>
      <c r="X320" s="8"/>
      <c r="Y320" s="8"/>
      <c r="Z320" s="8"/>
    </row>
    <row r="321" ht="13.65" customHeight="1">
      <c r="A321" s="52">
        <v>44986</v>
      </c>
      <c r="B321" s="53">
        <v>2023</v>
      </c>
      <c r="C321" t="s" s="7">
        <v>8810</v>
      </c>
      <c r="D321" t="s" s="7">
        <v>10290</v>
      </c>
      <c r="E321" t="s" s="7">
        <v>10086</v>
      </c>
      <c r="F321" t="s" s="7">
        <v>10070</v>
      </c>
      <c r="G321" s="53" cm="1">
        <f t="array" ref="G321">1</f>
        <v>1</v>
      </c>
      <c r="H321" s="8"/>
      <c r="I321" s="8"/>
      <c r="J321" s="8"/>
      <c r="K321" s="8"/>
      <c r="L321" s="8"/>
      <c r="M321" s="8"/>
      <c r="N321" s="8"/>
      <c r="O321" s="8"/>
      <c r="P321" s="8"/>
      <c r="Q321" s="8"/>
      <c r="R321" s="8"/>
      <c r="S321" s="8"/>
      <c r="T321" s="8"/>
      <c r="U321" s="8"/>
      <c r="V321" s="8"/>
      <c r="W321" s="8"/>
      <c r="X321" s="8"/>
      <c r="Y321" s="8"/>
      <c r="Z321" s="8"/>
    </row>
    <row r="322" ht="13.6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3.65" customHeight="1">
      <c r="A323" s="8"/>
      <c r="B323" s="8"/>
      <c r="C323" s="8"/>
      <c r="D323" s="8"/>
      <c r="E323" s="8"/>
      <c r="F323" t="s" s="7">
        <v>10136</v>
      </c>
      <c r="G323" s="53" cm="1">
        <f t="array" ref="G323">AVERAGE(G312:G321)</f>
        <v>1.4</v>
      </c>
      <c r="H323" s="8"/>
      <c r="I323" s="8"/>
      <c r="J323" s="8"/>
      <c r="K323" s="8"/>
      <c r="L323" s="8"/>
      <c r="M323" s="8"/>
      <c r="N323" s="8"/>
      <c r="O323" s="8"/>
      <c r="P323" s="8"/>
      <c r="Q323" s="8"/>
      <c r="R323" s="8"/>
      <c r="S323" s="8"/>
      <c r="T323" s="8"/>
      <c r="U323" s="8"/>
      <c r="V323" s="8"/>
      <c r="W323" s="8"/>
      <c r="X323" s="8"/>
      <c r="Y323" s="8"/>
      <c r="Z323" s="8"/>
    </row>
    <row r="324" ht="13.6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3.65" customHeight="1">
      <c r="A325" t="s" s="7">
        <v>529</v>
      </c>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3.65" customHeight="1">
      <c r="A326" t="s" s="51">
        <v>1281</v>
      </c>
      <c r="B326" t="s" s="51">
        <v>10055</v>
      </c>
      <c r="C326" t="s" s="51">
        <v>10056</v>
      </c>
      <c r="D326" t="s" s="51">
        <v>10057</v>
      </c>
      <c r="E326" t="s" s="51">
        <v>10075</v>
      </c>
      <c r="F326" t="s" s="51">
        <v>10058</v>
      </c>
      <c r="G326" t="s" s="51">
        <v>10059</v>
      </c>
      <c r="H326" s="8"/>
      <c r="I326" s="8"/>
      <c r="J326" s="8"/>
      <c r="K326" s="8"/>
      <c r="L326" s="8"/>
      <c r="M326" s="8"/>
      <c r="N326" s="8"/>
      <c r="O326" s="8"/>
      <c r="P326" s="8"/>
      <c r="Q326" s="8"/>
      <c r="R326" s="8"/>
      <c r="S326" s="8"/>
      <c r="T326" s="8"/>
      <c r="U326" s="8"/>
      <c r="V326" s="8"/>
      <c r="W326" s="8"/>
      <c r="X326" s="8"/>
      <c r="Y326" s="8"/>
      <c r="Z326" s="8"/>
    </row>
    <row r="327" ht="13.65" customHeight="1">
      <c r="A327" s="52">
        <v>45017</v>
      </c>
      <c r="B327" s="53">
        <v>2023</v>
      </c>
      <c r="C327" t="s" s="7">
        <v>8810</v>
      </c>
      <c r="D327" t="s" s="7">
        <v>10291</v>
      </c>
      <c r="E327" t="s" s="7">
        <v>10090</v>
      </c>
      <c r="F327" t="s" s="7">
        <v>10070</v>
      </c>
      <c r="G327" s="53" cm="1">
        <f t="array" ref="G327">1</f>
        <v>1</v>
      </c>
      <c r="H327" s="8"/>
      <c r="I327" s="8"/>
      <c r="J327" s="8"/>
      <c r="K327" s="8"/>
      <c r="L327" s="8"/>
      <c r="M327" s="8"/>
      <c r="N327" s="8"/>
      <c r="O327" s="8"/>
      <c r="P327" s="8"/>
      <c r="Q327" s="8"/>
      <c r="R327" s="8"/>
      <c r="S327" s="8"/>
      <c r="T327" s="8"/>
      <c r="U327" s="8"/>
      <c r="V327" s="8"/>
      <c r="W327" s="8"/>
      <c r="X327" s="8"/>
      <c r="Y327" s="8"/>
      <c r="Z327" s="8"/>
    </row>
    <row r="328" ht="13.65" customHeight="1">
      <c r="A328" s="54">
        <v>45047</v>
      </c>
      <c r="B328" s="53">
        <v>2023</v>
      </c>
      <c r="C328" t="s" s="7">
        <v>8810</v>
      </c>
      <c r="D328" t="s" s="7">
        <v>10292</v>
      </c>
      <c r="E328" t="s" s="7">
        <v>10077</v>
      </c>
      <c r="F328" t="s" s="7">
        <v>10062</v>
      </c>
      <c r="G328" s="53" cm="1">
        <f t="array" ref="G328">2</f>
        <v>2</v>
      </c>
      <c r="H328" s="8"/>
      <c r="I328" s="8"/>
      <c r="J328" s="8"/>
      <c r="K328" s="8"/>
      <c r="L328" s="8"/>
      <c r="M328" s="8"/>
      <c r="N328" s="8"/>
      <c r="O328" s="8"/>
      <c r="P328" s="8"/>
      <c r="Q328" s="8"/>
      <c r="R328" s="8"/>
      <c r="S328" s="8"/>
      <c r="T328" s="8"/>
      <c r="U328" s="8"/>
      <c r="V328" s="8"/>
      <c r="W328" s="8"/>
      <c r="X328" s="8"/>
      <c r="Y328" s="8"/>
      <c r="Z328" s="8"/>
    </row>
    <row r="329" ht="13.65" customHeight="1">
      <c r="A329" s="52">
        <v>45078</v>
      </c>
      <c r="B329" s="53">
        <v>2023</v>
      </c>
      <c r="C329" t="s" s="7">
        <v>8810</v>
      </c>
      <c r="D329" t="s" s="7">
        <v>10293</v>
      </c>
      <c r="E329" t="s" s="7">
        <v>10080</v>
      </c>
      <c r="F329" t="s" s="7">
        <v>10062</v>
      </c>
      <c r="G329" s="53" cm="1">
        <f t="array" ref="G329">2</f>
        <v>2</v>
      </c>
      <c r="H329" s="8"/>
      <c r="I329" s="8"/>
      <c r="J329" s="8"/>
      <c r="K329" s="8"/>
      <c r="L329" s="8"/>
      <c r="M329" s="8"/>
      <c r="N329" s="8"/>
      <c r="O329" s="8"/>
      <c r="P329" s="8"/>
      <c r="Q329" s="8"/>
      <c r="R329" s="8"/>
      <c r="S329" s="8"/>
      <c r="T329" s="8"/>
      <c r="U329" s="8"/>
      <c r="V329" s="8"/>
      <c r="W329" s="8"/>
      <c r="X329" s="8"/>
      <c r="Y329" s="8"/>
      <c r="Z329" s="8"/>
    </row>
    <row r="330" ht="13.65" customHeight="1">
      <c r="A330" s="52">
        <v>45108</v>
      </c>
      <c r="B330" s="53">
        <v>2023</v>
      </c>
      <c r="C330" t="s" s="7">
        <v>8810</v>
      </c>
      <c r="D330" t="s" s="7">
        <v>10294</v>
      </c>
      <c r="E330" t="s" s="7">
        <v>10086</v>
      </c>
      <c r="F330" t="s" s="7">
        <v>10070</v>
      </c>
      <c r="G330" s="53" cm="1">
        <f t="array" ref="G330">1</f>
        <v>1</v>
      </c>
      <c r="H330" s="8"/>
      <c r="I330" s="8"/>
      <c r="J330" s="8"/>
      <c r="K330" s="8"/>
      <c r="L330" s="8"/>
      <c r="M330" s="8"/>
      <c r="N330" s="8"/>
      <c r="O330" s="8"/>
      <c r="P330" s="8"/>
      <c r="Q330" s="8"/>
      <c r="R330" s="8"/>
      <c r="S330" s="8"/>
      <c r="T330" s="8"/>
      <c r="U330" s="8"/>
      <c r="V330" s="8"/>
      <c r="W330" s="8"/>
      <c r="X330" s="8"/>
      <c r="Y330" s="8"/>
      <c r="Z330" s="8"/>
    </row>
    <row r="331" ht="13.65" customHeight="1">
      <c r="A331" s="52">
        <v>45139</v>
      </c>
      <c r="B331" s="53">
        <v>2023</v>
      </c>
      <c r="C331" t="s" s="7">
        <v>8810</v>
      </c>
      <c r="D331" t="s" s="7">
        <v>10295</v>
      </c>
      <c r="E331" t="s" s="7">
        <v>10090</v>
      </c>
      <c r="F331" t="s" s="7">
        <v>10070</v>
      </c>
      <c r="G331" s="53" cm="1">
        <f t="array" ref="G331">1</f>
        <v>1</v>
      </c>
      <c r="H331" s="8"/>
      <c r="I331" s="8"/>
      <c r="J331" s="8"/>
      <c r="K331" s="8"/>
      <c r="L331" s="8"/>
      <c r="M331" s="8"/>
      <c r="N331" s="8"/>
      <c r="O331" s="8"/>
      <c r="P331" s="8"/>
      <c r="Q331" s="8"/>
      <c r="R331" s="8"/>
      <c r="S331" s="8"/>
      <c r="T331" s="8"/>
      <c r="U331" s="8"/>
      <c r="V331" s="8"/>
      <c r="W331" s="8"/>
      <c r="X331" s="8"/>
      <c r="Y331" s="8"/>
      <c r="Z331" s="8"/>
    </row>
    <row r="332" ht="13.65" customHeight="1">
      <c r="A332" s="52">
        <v>45200</v>
      </c>
      <c r="B332" s="53">
        <v>2023</v>
      </c>
      <c r="C332" t="s" s="7">
        <v>8810</v>
      </c>
      <c r="D332" t="s" s="7">
        <v>10296</v>
      </c>
      <c r="E332" t="s" s="7">
        <v>10077</v>
      </c>
      <c r="F332" t="s" s="7">
        <v>10062</v>
      </c>
      <c r="G332" s="53" cm="1">
        <f t="array" ref="G332">2</f>
        <v>2</v>
      </c>
      <c r="H332" s="8"/>
      <c r="I332" s="8"/>
      <c r="J332" s="8"/>
      <c r="K332" s="8"/>
      <c r="L332" s="8"/>
      <c r="M332" s="8"/>
      <c r="N332" s="8"/>
      <c r="O332" s="8"/>
      <c r="P332" s="8"/>
      <c r="Q332" s="8"/>
      <c r="R332" s="8"/>
      <c r="S332" s="8"/>
      <c r="T332" s="8"/>
      <c r="U332" s="8"/>
      <c r="V332" s="8"/>
      <c r="W332" s="8"/>
      <c r="X332" s="8"/>
      <c r="Y332" s="8"/>
      <c r="Z332" s="8"/>
    </row>
    <row r="333" ht="13.65" customHeight="1">
      <c r="A333" s="52">
        <v>45231</v>
      </c>
      <c r="B333" s="53">
        <v>2023</v>
      </c>
      <c r="C333" t="s" s="7">
        <v>8810</v>
      </c>
      <c r="D333" t="s" s="7">
        <v>10297</v>
      </c>
      <c r="E333" t="s" s="7">
        <v>10083</v>
      </c>
      <c r="F333" t="s" s="7">
        <v>10070</v>
      </c>
      <c r="G333" s="53" cm="1">
        <f t="array" ref="G333">1</f>
        <v>1</v>
      </c>
      <c r="H333" s="8"/>
      <c r="I333" s="8"/>
      <c r="J333" s="8"/>
      <c r="K333" s="8"/>
      <c r="L333" s="8"/>
      <c r="M333" s="8"/>
      <c r="N333" s="8"/>
      <c r="O333" s="8"/>
      <c r="P333" s="8"/>
      <c r="Q333" s="8"/>
      <c r="R333" s="8"/>
      <c r="S333" s="8"/>
      <c r="T333" s="8"/>
      <c r="U333" s="8"/>
      <c r="V333" s="8"/>
      <c r="W333" s="8"/>
      <c r="X333" s="8"/>
      <c r="Y333" s="8"/>
      <c r="Z333" s="8"/>
    </row>
    <row r="334" ht="13.65" customHeight="1">
      <c r="A334" s="52">
        <v>45292</v>
      </c>
      <c r="B334" s="53">
        <v>2024</v>
      </c>
      <c r="C334" t="s" s="7">
        <v>8810</v>
      </c>
      <c r="D334" t="s" s="7">
        <v>10298</v>
      </c>
      <c r="E334" t="s" s="7">
        <v>10077</v>
      </c>
      <c r="F334" t="s" s="7">
        <v>10070</v>
      </c>
      <c r="G334" s="53" cm="1">
        <f t="array" ref="G334">1</f>
        <v>1</v>
      </c>
      <c r="H334" s="8"/>
      <c r="I334" s="8"/>
      <c r="J334" s="8"/>
      <c r="K334" s="8"/>
      <c r="L334" s="8"/>
      <c r="M334" s="8"/>
      <c r="N334" s="8"/>
      <c r="O334" s="8"/>
      <c r="P334" s="8"/>
      <c r="Q334" s="8"/>
      <c r="R334" s="8"/>
      <c r="S334" s="8"/>
      <c r="T334" s="8"/>
      <c r="U334" s="8"/>
      <c r="V334" s="8"/>
      <c r="W334" s="8"/>
      <c r="X334" s="8"/>
      <c r="Y334" s="8"/>
      <c r="Z334" s="8"/>
    </row>
    <row r="335" ht="13.65" customHeight="1">
      <c r="A335" s="52">
        <v>45323</v>
      </c>
      <c r="B335" s="53">
        <v>2024</v>
      </c>
      <c r="C335" t="s" s="7">
        <v>8810</v>
      </c>
      <c r="D335" t="s" s="7">
        <v>10299</v>
      </c>
      <c r="E335" t="s" s="7">
        <v>10123</v>
      </c>
      <c r="F335" t="s" s="7">
        <v>10070</v>
      </c>
      <c r="G335" s="53" cm="1">
        <f t="array" ref="G335">1</f>
        <v>1</v>
      </c>
      <c r="H335" s="8"/>
      <c r="I335" s="8"/>
      <c r="J335" s="8"/>
      <c r="K335" s="8"/>
      <c r="L335" s="8"/>
      <c r="M335" s="8"/>
      <c r="N335" s="8"/>
      <c r="O335" s="8"/>
      <c r="P335" s="8"/>
      <c r="Q335" s="8"/>
      <c r="R335" s="8"/>
      <c r="S335" s="8"/>
      <c r="T335" s="8"/>
      <c r="U335" s="8"/>
      <c r="V335" s="8"/>
      <c r="W335" s="8"/>
      <c r="X335" s="8"/>
      <c r="Y335" s="8"/>
      <c r="Z335" s="8"/>
    </row>
    <row r="336" ht="13.65" customHeight="1">
      <c r="A336" s="52">
        <v>45352</v>
      </c>
      <c r="B336" s="53">
        <v>2024</v>
      </c>
      <c r="C336" t="s" s="7">
        <v>8810</v>
      </c>
      <c r="D336" t="s" s="7">
        <v>10300</v>
      </c>
      <c r="E336" t="s" s="7">
        <v>10086</v>
      </c>
      <c r="F336" t="s" s="7">
        <v>10070</v>
      </c>
      <c r="G336" s="53" cm="1">
        <f t="array" ref="G336">1</f>
        <v>1</v>
      </c>
      <c r="H336" s="8"/>
      <c r="I336" s="8"/>
      <c r="J336" s="8"/>
      <c r="K336" s="8"/>
      <c r="L336" s="8"/>
      <c r="M336" s="8"/>
      <c r="N336" s="8"/>
      <c r="O336" s="8"/>
      <c r="P336" s="8"/>
      <c r="Q336" s="8"/>
      <c r="R336" s="8"/>
      <c r="S336" s="8"/>
      <c r="T336" s="8"/>
      <c r="U336" s="8"/>
      <c r="V336" s="8"/>
      <c r="W336" s="8"/>
      <c r="X336" s="8"/>
      <c r="Y336" s="8"/>
      <c r="Z336" s="8"/>
    </row>
    <row r="337" ht="13.6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3.65" customHeight="1">
      <c r="A338" s="8"/>
      <c r="B338" s="8"/>
      <c r="C338" s="8"/>
      <c r="D338" s="8"/>
      <c r="E338" s="8"/>
      <c r="F338" t="s" s="7">
        <v>10091</v>
      </c>
      <c r="G338" s="53" cm="1">
        <f t="array" ref="G338">AVERAGE(G327:G336)</f>
        <v>1.3</v>
      </c>
      <c r="H338" s="8"/>
      <c r="I338" s="8"/>
      <c r="J338" s="8"/>
      <c r="K338" s="8"/>
      <c r="L338" s="8"/>
      <c r="M338" s="8"/>
      <c r="N338" s="8"/>
      <c r="O338" s="8"/>
      <c r="P338" s="8"/>
      <c r="Q338" s="8"/>
      <c r="R338" s="8"/>
      <c r="S338" s="8"/>
      <c r="T338" s="8"/>
      <c r="U338" s="8"/>
      <c r="V338" s="8"/>
      <c r="W338" s="8"/>
      <c r="X338" s="8"/>
      <c r="Y338" s="8"/>
      <c r="Z338" s="8"/>
    </row>
    <row r="339" ht="13.6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3.65" customHeight="1">
      <c r="A340" t="s" s="7">
        <v>778</v>
      </c>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3.65" customHeight="1">
      <c r="A341" t="s" s="51">
        <v>1281</v>
      </c>
      <c r="B341" t="s" s="51">
        <v>10055</v>
      </c>
      <c r="C341" t="s" s="51">
        <v>10056</v>
      </c>
      <c r="D341" t="s" s="51">
        <v>10057</v>
      </c>
      <c r="E341" t="s" s="51">
        <v>10075</v>
      </c>
      <c r="F341" t="s" s="51">
        <v>10058</v>
      </c>
      <c r="G341" t="s" s="51">
        <v>10059</v>
      </c>
      <c r="H341" s="8"/>
      <c r="I341" s="8"/>
      <c r="J341" s="8"/>
      <c r="K341" s="8"/>
      <c r="L341" s="8"/>
      <c r="M341" s="8"/>
      <c r="N341" s="8"/>
      <c r="O341" s="8"/>
      <c r="P341" s="8"/>
      <c r="Q341" s="8"/>
      <c r="R341" s="8"/>
      <c r="S341" s="8"/>
      <c r="T341" s="8"/>
      <c r="U341" s="8"/>
      <c r="V341" s="8"/>
      <c r="W341" s="8"/>
      <c r="X341" s="8"/>
      <c r="Y341" s="8"/>
      <c r="Z341" s="8"/>
    </row>
    <row r="342" ht="13.65" customHeight="1">
      <c r="A342" s="52">
        <v>45383</v>
      </c>
      <c r="B342" s="53">
        <v>2024</v>
      </c>
      <c r="C342" t="s" s="7">
        <v>8810</v>
      </c>
      <c r="D342" t="s" s="7">
        <v>10301</v>
      </c>
      <c r="E342" t="s" s="7">
        <v>10090</v>
      </c>
      <c r="F342" t="s" s="7">
        <v>10070</v>
      </c>
      <c r="G342" s="53" cm="1">
        <f t="array" ref="G342">1</f>
        <v>1</v>
      </c>
      <c r="H342" s="8"/>
      <c r="I342" s="8"/>
      <c r="J342" s="8"/>
      <c r="K342" s="8"/>
      <c r="L342" s="8"/>
      <c r="M342" s="8"/>
      <c r="N342" s="8"/>
      <c r="O342" s="8"/>
      <c r="P342" s="8"/>
      <c r="Q342" s="8"/>
      <c r="R342" s="8"/>
      <c r="S342" s="8"/>
      <c r="T342" s="8"/>
      <c r="U342" s="8"/>
      <c r="V342" s="8"/>
      <c r="W342" s="8"/>
      <c r="X342" s="8"/>
      <c r="Y342" s="8"/>
      <c r="Z342" s="8"/>
    </row>
    <row r="343" ht="13.65" customHeight="1">
      <c r="A343" s="54">
        <v>45413</v>
      </c>
      <c r="B343" s="53">
        <v>2024</v>
      </c>
      <c r="C343" t="s" s="7">
        <v>8810</v>
      </c>
      <c r="D343" t="s" s="7">
        <v>10302</v>
      </c>
      <c r="E343" t="s" s="7">
        <v>10077</v>
      </c>
      <c r="F343" t="s" s="7">
        <v>10070</v>
      </c>
      <c r="G343" s="53" cm="1">
        <f t="array" ref="G343">1</f>
        <v>1</v>
      </c>
      <c r="H343" s="8"/>
      <c r="I343" s="8"/>
      <c r="J343" s="8"/>
      <c r="K343" s="8"/>
      <c r="L343" s="8"/>
      <c r="M343" s="8"/>
      <c r="N343" s="8"/>
      <c r="O343" s="8"/>
      <c r="P343" s="8"/>
      <c r="Q343" s="8"/>
      <c r="R343" s="8"/>
      <c r="S343" s="8"/>
      <c r="T343" s="8"/>
      <c r="U343" s="8"/>
      <c r="V343" s="8"/>
      <c r="W343" s="8"/>
      <c r="X343" s="8"/>
      <c r="Y343" s="8"/>
      <c r="Z343" s="8"/>
    </row>
    <row r="344" ht="13.65" customHeight="1">
      <c r="A344" s="52">
        <v>45444</v>
      </c>
      <c r="B344" s="53">
        <v>2024</v>
      </c>
      <c r="C344" t="s" s="7">
        <v>8810</v>
      </c>
      <c r="D344" t="s" s="7">
        <v>10303</v>
      </c>
      <c r="E344" t="s" s="7">
        <v>10080</v>
      </c>
      <c r="F344" t="s" s="7">
        <v>10070</v>
      </c>
      <c r="G344" s="53" cm="1">
        <f t="array" ref="G344">1</f>
        <v>1</v>
      </c>
      <c r="H344" s="8"/>
      <c r="I344" s="8"/>
      <c r="J344" s="8"/>
      <c r="K344" s="8"/>
      <c r="L344" s="8"/>
      <c r="M344" s="8"/>
      <c r="N344" s="8"/>
      <c r="O344" s="8"/>
      <c r="P344" s="8"/>
      <c r="Q344" s="8"/>
      <c r="R344" s="8"/>
      <c r="S344" s="8"/>
      <c r="T344" s="8"/>
      <c r="U344" s="8"/>
      <c r="V344" s="8"/>
      <c r="W344" s="8"/>
      <c r="X344" s="8"/>
      <c r="Y344" s="8"/>
      <c r="Z344" s="8"/>
    </row>
    <row r="345" ht="13.65" customHeight="1">
      <c r="A345" s="52">
        <v>45474</v>
      </c>
      <c r="B345" s="53">
        <v>2024</v>
      </c>
      <c r="C345" t="s" s="7">
        <v>8810</v>
      </c>
      <c r="D345" t="s" s="7">
        <v>10304</v>
      </c>
      <c r="E345" t="s" s="7">
        <v>10086</v>
      </c>
      <c r="F345" t="s" s="7">
        <v>10070</v>
      </c>
      <c r="G345" s="53" cm="1">
        <f t="array" ref="G345">1</f>
        <v>1</v>
      </c>
      <c r="H345" s="8"/>
      <c r="I345" s="8"/>
      <c r="J345" s="8"/>
      <c r="K345" s="8"/>
      <c r="L345" s="8"/>
      <c r="M345" s="8"/>
      <c r="N345" s="8"/>
      <c r="O345" s="8"/>
      <c r="P345" s="8"/>
      <c r="Q345" s="8"/>
      <c r="R345" s="8"/>
      <c r="S345" s="8"/>
      <c r="T345" s="8"/>
      <c r="U345" s="8"/>
      <c r="V345" s="8"/>
      <c r="W345" s="8"/>
      <c r="X345" s="8"/>
      <c r="Y345" s="8"/>
      <c r="Z345" s="8"/>
    </row>
    <row r="346" ht="13.65" customHeight="1">
      <c r="A346" s="52">
        <v>45505</v>
      </c>
      <c r="B346" s="53">
        <v>2024</v>
      </c>
      <c r="C346" t="s" s="7">
        <v>8810</v>
      </c>
      <c r="D346" t="s" s="7">
        <v>10305</v>
      </c>
      <c r="E346" t="s" s="7">
        <v>10083</v>
      </c>
      <c r="F346" t="s" s="7">
        <v>10070</v>
      </c>
      <c r="G346" s="53" cm="1">
        <f t="array" ref="G346">1</f>
        <v>1</v>
      </c>
      <c r="H346" s="8"/>
      <c r="I346" s="8"/>
      <c r="J346" s="8"/>
      <c r="K346" s="8"/>
      <c r="L346" s="8"/>
      <c r="M346" s="8"/>
      <c r="N346" s="8"/>
      <c r="O346" s="8"/>
      <c r="P346" s="8"/>
      <c r="Q346" s="8"/>
      <c r="R346" s="8"/>
      <c r="S346" s="8"/>
      <c r="T346" s="8"/>
      <c r="U346" s="8"/>
      <c r="V346" s="8"/>
      <c r="W346" s="8"/>
      <c r="X346" s="8"/>
      <c r="Y346" s="8"/>
      <c r="Z346" s="8"/>
    </row>
    <row r="347" ht="13.65" customHeight="1">
      <c r="A347" s="52">
        <v>45566</v>
      </c>
      <c r="B347" s="53">
        <v>2024</v>
      </c>
      <c r="C347" t="s" s="7">
        <v>8810</v>
      </c>
      <c r="D347" t="s" s="7">
        <v>10306</v>
      </c>
      <c r="E347" t="s" s="7">
        <v>10077</v>
      </c>
      <c r="F347" t="s" s="7">
        <v>10062</v>
      </c>
      <c r="G347" s="53" cm="1">
        <f t="array" ref="G347">2</f>
        <v>2</v>
      </c>
      <c r="H347" s="8"/>
      <c r="I347" s="8"/>
      <c r="J347" s="8"/>
      <c r="K347" s="8"/>
      <c r="L347" s="8"/>
      <c r="M347" s="8"/>
      <c r="N347" s="8"/>
      <c r="O347" s="8"/>
      <c r="P347" s="8"/>
      <c r="Q347" s="8"/>
      <c r="R347" s="8"/>
      <c r="S347" s="8"/>
      <c r="T347" s="8"/>
      <c r="U347" s="8"/>
      <c r="V347" s="8"/>
      <c r="W347" s="8"/>
      <c r="X347" s="8"/>
      <c r="Y347" s="8"/>
      <c r="Z347" s="8"/>
    </row>
    <row r="348" ht="13.65" customHeight="1">
      <c r="A348" s="52">
        <v>45597</v>
      </c>
      <c r="B348" s="53">
        <v>2024</v>
      </c>
      <c r="C348" t="s" s="7">
        <v>8810</v>
      </c>
      <c r="D348" t="s" s="7">
        <v>10307</v>
      </c>
      <c r="E348" t="s" s="7">
        <v>10090</v>
      </c>
      <c r="F348" t="s" s="7">
        <v>10070</v>
      </c>
      <c r="G348" s="53" cm="1">
        <f t="array" ref="G348">1</f>
        <v>1</v>
      </c>
      <c r="H348" s="8"/>
      <c r="I348" s="8"/>
      <c r="J348" s="8"/>
      <c r="K348" s="8"/>
      <c r="L348" s="8"/>
      <c r="M348" s="8"/>
      <c r="N348" s="8"/>
      <c r="O348" s="8"/>
      <c r="P348" s="8"/>
      <c r="Q348" s="8"/>
      <c r="R348" s="8"/>
      <c r="S348" s="8"/>
      <c r="T348" s="8"/>
      <c r="U348" s="8"/>
      <c r="V348" s="8"/>
      <c r="W348" s="8"/>
      <c r="X348" s="8"/>
      <c r="Y348" s="8"/>
      <c r="Z348" s="8"/>
    </row>
    <row r="349" ht="13.65" customHeight="1">
      <c r="A349" s="52">
        <v>45658</v>
      </c>
      <c r="B349" s="53">
        <v>2025</v>
      </c>
      <c r="C349" t="s" s="7">
        <v>8810</v>
      </c>
      <c r="D349" t="s" s="7">
        <v>10308</v>
      </c>
      <c r="E349" t="s" s="7">
        <v>10077</v>
      </c>
      <c r="F349" t="s" s="7">
        <v>10070</v>
      </c>
      <c r="G349" s="53" cm="1">
        <f t="array" ref="G349">1</f>
        <v>1</v>
      </c>
      <c r="H349" s="8"/>
      <c r="I349" s="8"/>
      <c r="J349" s="8"/>
      <c r="K349" s="8"/>
      <c r="L349" s="8"/>
      <c r="M349" s="8"/>
      <c r="N349" s="8"/>
      <c r="O349" s="8"/>
      <c r="P349" s="8"/>
      <c r="Q349" s="8"/>
      <c r="R349" s="8"/>
      <c r="S349" s="8"/>
      <c r="T349" s="8"/>
      <c r="U349" s="8"/>
      <c r="V349" s="8"/>
      <c r="W349" s="8"/>
      <c r="X349" s="8"/>
      <c r="Y349" s="8"/>
      <c r="Z349" s="8"/>
    </row>
    <row r="350" ht="13.65" customHeight="1">
      <c r="A350" s="52">
        <v>45689</v>
      </c>
      <c r="B350" s="53">
        <v>2025</v>
      </c>
      <c r="C350" t="s" s="7">
        <v>8810</v>
      </c>
      <c r="D350" t="s" s="7">
        <v>10309</v>
      </c>
      <c r="E350" t="s" s="7">
        <v>10086</v>
      </c>
      <c r="F350" t="s" s="7">
        <v>10070</v>
      </c>
      <c r="G350" s="53" cm="1">
        <f t="array" ref="G350">1</f>
        <v>1</v>
      </c>
      <c r="H350" s="8"/>
      <c r="I350" s="8"/>
      <c r="J350" s="8"/>
      <c r="K350" s="8"/>
      <c r="L350" s="8"/>
      <c r="M350" s="8"/>
      <c r="N350" s="8"/>
      <c r="O350" s="8"/>
      <c r="P350" s="8"/>
      <c r="Q350" s="8"/>
      <c r="R350" s="8"/>
      <c r="S350" s="8"/>
      <c r="T350" s="8"/>
      <c r="U350" s="8"/>
      <c r="V350" s="8"/>
      <c r="W350" s="8"/>
      <c r="X350" s="8"/>
      <c r="Y350" s="8"/>
      <c r="Z350" s="8"/>
    </row>
    <row r="351" ht="13.65" customHeight="1">
      <c r="A351" s="52">
        <v>45717</v>
      </c>
      <c r="B351" s="53">
        <v>2025</v>
      </c>
      <c r="C351" t="s" s="7">
        <v>8810</v>
      </c>
      <c r="D351" t="s" s="7">
        <v>10310</v>
      </c>
      <c r="E351" t="s" s="7">
        <v>10080</v>
      </c>
      <c r="F351" t="s" s="7">
        <v>10070</v>
      </c>
      <c r="G351" s="53" cm="1">
        <f t="array" ref="G351">1</f>
        <v>1</v>
      </c>
      <c r="H351" s="8"/>
      <c r="I351" s="8"/>
      <c r="J351" s="8"/>
      <c r="K351" s="8"/>
      <c r="L351" s="8"/>
      <c r="M351" s="8"/>
      <c r="N351" s="8"/>
      <c r="O351" s="8"/>
      <c r="P351" s="8"/>
      <c r="Q351" s="8"/>
      <c r="R351" s="8"/>
      <c r="S351" s="8"/>
      <c r="T351" s="8"/>
      <c r="U351" s="8"/>
      <c r="V351" s="8"/>
      <c r="W351" s="8"/>
      <c r="X351" s="8"/>
      <c r="Y351" s="8"/>
      <c r="Z351" s="8"/>
    </row>
    <row r="352" ht="13.6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3.65" customHeight="1">
      <c r="A353" s="8"/>
      <c r="B353" s="8"/>
      <c r="C353" s="8"/>
      <c r="D353" s="8"/>
      <c r="E353" s="8"/>
      <c r="F353" t="s" s="7">
        <v>10091</v>
      </c>
      <c r="G353" s="53" cm="1">
        <f t="array" ref="G353">AVERAGE(G342:G351)</f>
        <v>1.1</v>
      </c>
      <c r="H353" s="8"/>
      <c r="I353" s="8"/>
      <c r="J353" s="8"/>
      <c r="K353" s="8"/>
      <c r="L353" s="8"/>
      <c r="M353" s="8"/>
      <c r="N353" s="8"/>
      <c r="O353" s="8"/>
      <c r="P353" s="8"/>
      <c r="Q353" s="8"/>
      <c r="R353" s="8"/>
      <c r="S353" s="8"/>
      <c r="T353" s="8"/>
      <c r="U353" s="8"/>
      <c r="V353" s="8"/>
      <c r="W353" s="8"/>
      <c r="X353" s="8"/>
      <c r="Y353" s="8"/>
      <c r="Z353" s="8"/>
    </row>
    <row r="354" ht="13.65" customHeight="1">
      <c r="A354" t="s" s="7">
        <v>1029</v>
      </c>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3.65" customHeight="1">
      <c r="A355" t="s" s="51">
        <v>1281</v>
      </c>
      <c r="B355" t="s" s="51">
        <v>10055</v>
      </c>
      <c r="C355" t="s" s="51">
        <v>10056</v>
      </c>
      <c r="D355" t="s" s="51">
        <v>10057</v>
      </c>
      <c r="E355" t="s" s="51">
        <v>10075</v>
      </c>
      <c r="F355" t="s" s="51">
        <v>10058</v>
      </c>
      <c r="G355" t="s" s="51">
        <v>10059</v>
      </c>
      <c r="H355" s="8"/>
      <c r="I355" s="8"/>
      <c r="J355" s="8"/>
      <c r="K355" s="8"/>
      <c r="L355" s="8"/>
      <c r="M355" s="8"/>
      <c r="N355" s="8"/>
      <c r="O355" s="8"/>
      <c r="P355" s="8"/>
      <c r="Q355" s="8"/>
      <c r="R355" s="8"/>
      <c r="S355" s="8"/>
      <c r="T355" s="8"/>
      <c r="U355" s="8"/>
      <c r="V355" s="8"/>
      <c r="W355" s="8"/>
      <c r="X355" s="8"/>
      <c r="Y355" s="8"/>
      <c r="Z355" s="8"/>
    </row>
    <row r="356" ht="13.65" customHeight="1">
      <c r="A356" s="52">
        <v>45748</v>
      </c>
      <c r="B356" s="53">
        <v>2025</v>
      </c>
      <c r="C356" t="s" s="7">
        <v>8810</v>
      </c>
      <c r="D356" t="s" s="7">
        <v>10311</v>
      </c>
      <c r="E356" t="s" s="7">
        <v>10086</v>
      </c>
      <c r="F356" t="s" s="7">
        <v>10070</v>
      </c>
      <c r="G356" s="53" cm="1">
        <f t="array" ref="G356">1</f>
        <v>1</v>
      </c>
      <c r="H356" s="8"/>
      <c r="I356" s="8"/>
      <c r="J356" s="8"/>
      <c r="K356" s="8"/>
      <c r="L356" s="8"/>
      <c r="M356" s="8"/>
      <c r="N356" s="8"/>
      <c r="O356" s="8"/>
      <c r="P356" s="8"/>
      <c r="Q356" s="8"/>
      <c r="R356" s="8"/>
      <c r="S356" s="8"/>
      <c r="T356" s="8"/>
      <c r="U356" s="8"/>
      <c r="V356" s="8"/>
      <c r="W356" s="8"/>
      <c r="X356" s="8"/>
      <c r="Y356" s="8"/>
      <c r="Z356" s="8"/>
    </row>
    <row r="357" ht="13.65" customHeight="1">
      <c r="A357" s="54">
        <v>45778</v>
      </c>
      <c r="B357" s="53">
        <v>2025</v>
      </c>
      <c r="C357" t="s" s="7">
        <v>8810</v>
      </c>
      <c r="D357" t="s" s="7">
        <v>10312</v>
      </c>
      <c r="E357" t="s" s="7">
        <v>10077</v>
      </c>
      <c r="F357" t="s" s="7">
        <v>10070</v>
      </c>
      <c r="G357" s="53" cm="1">
        <f t="array" ref="G357">1</f>
        <v>1</v>
      </c>
      <c r="H357" s="8"/>
      <c r="I357" s="8"/>
      <c r="J357" s="8"/>
      <c r="K357" s="8"/>
      <c r="L357" s="8"/>
      <c r="M357" s="8"/>
      <c r="N357" s="8"/>
      <c r="O357" s="8"/>
      <c r="P357" s="8"/>
      <c r="Q357" s="8"/>
      <c r="R357" s="8"/>
      <c r="S357" s="8"/>
      <c r="T357" s="8"/>
      <c r="U357" s="8"/>
      <c r="V357" s="8"/>
      <c r="W357" s="8"/>
      <c r="X357" s="8"/>
      <c r="Y357" s="8"/>
      <c r="Z357" s="8"/>
    </row>
    <row r="358" ht="13.65" customHeight="1">
      <c r="A358" s="52">
        <v>45809</v>
      </c>
      <c r="B358" s="53">
        <v>2025</v>
      </c>
      <c r="C358" t="s" s="7">
        <v>8810</v>
      </c>
      <c r="D358" t="s" s="7">
        <v>10313</v>
      </c>
      <c r="E358" t="s" s="7">
        <v>10090</v>
      </c>
      <c r="F358" t="s" s="7">
        <v>10070</v>
      </c>
      <c r="G358" s="53" cm="1">
        <f t="array" ref="G358">1</f>
        <v>1</v>
      </c>
      <c r="H358" s="8"/>
      <c r="I358" s="8"/>
      <c r="J358" s="8"/>
      <c r="K358" s="8"/>
      <c r="L358" s="8"/>
      <c r="M358" s="8"/>
      <c r="N358" s="8"/>
      <c r="O358" s="8"/>
      <c r="P358" s="8"/>
      <c r="Q358" s="8"/>
      <c r="R358" s="8"/>
      <c r="S358" s="8"/>
      <c r="T358" s="8"/>
      <c r="U358" s="8"/>
      <c r="V358" s="8"/>
      <c r="W358" s="8"/>
      <c r="X358" s="8"/>
      <c r="Y358" s="8"/>
      <c r="Z358" s="8"/>
    </row>
    <row r="359" ht="13.65" customHeight="1">
      <c r="A359" s="52">
        <v>45839</v>
      </c>
      <c r="B359" s="53">
        <v>2025</v>
      </c>
      <c r="C359" t="s" s="7">
        <v>8810</v>
      </c>
      <c r="D359" t="s" s="7">
        <v>10314</v>
      </c>
      <c r="E359" t="s" s="7">
        <v>10080</v>
      </c>
      <c r="F359" t="s" s="7">
        <v>10070</v>
      </c>
      <c r="G359" s="53" cm="1">
        <f t="array" ref="G359">1</f>
        <v>1</v>
      </c>
      <c r="H359" s="8"/>
      <c r="I359" s="8"/>
      <c r="J359" s="8"/>
      <c r="K359" s="8"/>
      <c r="L359" s="8"/>
      <c r="M359" s="8"/>
      <c r="N359" s="8"/>
      <c r="O359" s="8"/>
      <c r="P359" s="8"/>
      <c r="Q359" s="8"/>
      <c r="R359" s="8"/>
      <c r="S359" s="8"/>
      <c r="T359" s="8"/>
      <c r="U359" s="8"/>
      <c r="V359" s="8"/>
      <c r="W359" s="8"/>
      <c r="X359" s="8"/>
      <c r="Y359" s="8"/>
      <c r="Z359" s="8"/>
    </row>
    <row r="360" ht="13.65" customHeight="1">
      <c r="A360" s="52">
        <v>45870</v>
      </c>
      <c r="B360" s="53">
        <v>2025</v>
      </c>
      <c r="C360" t="s" s="7">
        <v>8810</v>
      </c>
      <c r="D360" t="s" s="7">
        <v>10315</v>
      </c>
      <c r="E360" t="s" s="7">
        <v>10083</v>
      </c>
      <c r="F360" t="s" s="7">
        <v>10070</v>
      </c>
      <c r="G360" s="53" cm="1">
        <f t="array" ref="G360">1</f>
        <v>1</v>
      </c>
      <c r="H360" s="8"/>
      <c r="I360" s="8"/>
      <c r="J360" s="8"/>
      <c r="K360" s="8"/>
      <c r="L360" s="8"/>
      <c r="M360" s="8"/>
      <c r="N360" s="8"/>
      <c r="O360" s="8"/>
      <c r="P360" s="8"/>
      <c r="Q360" s="8"/>
      <c r="R360" s="8"/>
      <c r="S360" s="8"/>
      <c r="T360" s="8"/>
      <c r="U360" s="8"/>
      <c r="V360" s="8"/>
      <c r="W360" s="8"/>
      <c r="X360" s="8"/>
      <c r="Y360" s="8"/>
      <c r="Z360" s="8"/>
    </row>
    <row r="361" ht="13.65" customHeight="1">
      <c r="A361" s="52">
        <v>45931</v>
      </c>
      <c r="B361" s="53">
        <v>2025</v>
      </c>
      <c r="C361" t="s" s="7">
        <v>8810</v>
      </c>
      <c r="D361" t="s" s="7">
        <v>10316</v>
      </c>
      <c r="E361" t="s" s="7">
        <v>10077</v>
      </c>
      <c r="F361" t="s" s="7">
        <v>10062</v>
      </c>
      <c r="G361" s="53" cm="1">
        <f t="array" ref="G361">2</f>
        <v>2</v>
      </c>
      <c r="H361" s="8"/>
      <c r="I361" s="8"/>
      <c r="J361" s="8"/>
      <c r="K361" s="8"/>
      <c r="L361" s="8"/>
      <c r="M361" s="8"/>
      <c r="N361" s="8"/>
      <c r="O361" s="8"/>
      <c r="P361" s="8"/>
      <c r="Q361" s="8"/>
      <c r="R361" s="8"/>
      <c r="S361" s="8"/>
      <c r="T361" s="8"/>
      <c r="U361" s="8"/>
      <c r="V361" s="8"/>
      <c r="W361" s="8"/>
      <c r="X361" s="8"/>
      <c r="Y361" s="8"/>
      <c r="Z361" s="8"/>
    </row>
    <row r="362" ht="13.65" customHeight="1">
      <c r="A362" s="52">
        <v>45962</v>
      </c>
      <c r="B362" s="53">
        <v>2025</v>
      </c>
      <c r="C362" t="s" s="7">
        <v>8810</v>
      </c>
      <c r="D362" t="s" s="7">
        <v>10317</v>
      </c>
      <c r="E362" t="s" s="7">
        <v>10086</v>
      </c>
      <c r="F362" t="s" s="7">
        <v>10070</v>
      </c>
      <c r="G362" s="53" cm="1">
        <f t="array" ref="G362">1</f>
        <v>1</v>
      </c>
      <c r="H362" s="8"/>
      <c r="I362" s="8"/>
      <c r="J362" s="8"/>
      <c r="K362" s="8"/>
      <c r="L362" s="8"/>
      <c r="M362" s="8"/>
      <c r="N362" s="8"/>
      <c r="O362" s="8"/>
      <c r="P362" s="8"/>
      <c r="Q362" s="8"/>
      <c r="R362" s="8"/>
      <c r="S362" s="8"/>
      <c r="T362" s="8"/>
      <c r="U362" s="8"/>
      <c r="V362" s="8"/>
      <c r="W362" s="8"/>
      <c r="X362" s="8"/>
      <c r="Y362" s="8"/>
      <c r="Z362" s="8"/>
    </row>
    <row r="363" ht="13.65" customHeight="1">
      <c r="A363" s="52">
        <v>46023</v>
      </c>
      <c r="B363" s="53">
        <v>2026</v>
      </c>
      <c r="C363" t="s" s="7">
        <v>8810</v>
      </c>
      <c r="D363" t="s" s="7">
        <v>10318</v>
      </c>
      <c r="E363" t="s" s="7">
        <v>10077</v>
      </c>
      <c r="F363" t="s" s="7">
        <v>10070</v>
      </c>
      <c r="G363" s="53" cm="1">
        <f t="array" ref="G363">1</f>
        <v>1</v>
      </c>
      <c r="H363" s="8"/>
      <c r="I363" s="8"/>
      <c r="J363" s="8"/>
      <c r="K363" s="8"/>
      <c r="L363" s="8"/>
      <c r="M363" s="8"/>
      <c r="N363" s="8"/>
      <c r="O363" s="8"/>
      <c r="P363" s="8"/>
      <c r="Q363" s="8"/>
      <c r="R363" s="8"/>
      <c r="S363" s="8"/>
      <c r="T363" s="8"/>
      <c r="U363" s="8"/>
      <c r="V363" s="8"/>
      <c r="W363" s="8"/>
      <c r="X363" s="8"/>
      <c r="Y363" s="8"/>
      <c r="Z363" s="8"/>
    </row>
    <row r="364" ht="13.65" customHeight="1">
      <c r="A364" s="52">
        <v>46054</v>
      </c>
      <c r="B364" s="53">
        <v>2026</v>
      </c>
      <c r="C364" t="s" s="7">
        <v>8810</v>
      </c>
      <c r="D364" t="s" s="7">
        <v>10319</v>
      </c>
      <c r="E364" t="s" s="7">
        <v>10123</v>
      </c>
      <c r="F364" t="s" s="7">
        <v>10070</v>
      </c>
      <c r="G364" s="53" cm="1">
        <f t="array" ref="G364">1</f>
        <v>1</v>
      </c>
      <c r="H364" s="8"/>
      <c r="I364" s="8"/>
      <c r="J364" s="8"/>
      <c r="K364" s="8"/>
      <c r="L364" s="8"/>
      <c r="M364" s="8"/>
      <c r="N364" s="8"/>
      <c r="O364" s="8"/>
      <c r="P364" s="8"/>
      <c r="Q364" s="8"/>
      <c r="R364" s="8"/>
      <c r="S364" s="8"/>
      <c r="T364" s="8"/>
      <c r="U364" s="8"/>
      <c r="V364" s="8"/>
      <c r="W364" s="8"/>
      <c r="X364" s="8"/>
      <c r="Y364" s="8"/>
      <c r="Z364" s="8"/>
    </row>
    <row r="365" ht="13.65" customHeight="1">
      <c r="A365" s="52">
        <v>46082</v>
      </c>
      <c r="B365" s="53">
        <v>2026</v>
      </c>
      <c r="C365" t="s" s="7">
        <v>8810</v>
      </c>
      <c r="D365" t="s" s="7">
        <v>10320</v>
      </c>
      <c r="E365" t="s" s="7">
        <v>10090</v>
      </c>
      <c r="F365" t="s" s="7">
        <v>10070</v>
      </c>
      <c r="G365" s="53" cm="1">
        <f t="array" ref="G365">1</f>
        <v>1</v>
      </c>
      <c r="H365" s="8"/>
      <c r="I365" s="8"/>
      <c r="J365" s="8"/>
      <c r="K365" s="8"/>
      <c r="L365" s="8"/>
      <c r="M365" s="8"/>
      <c r="N365" s="8"/>
      <c r="O365" s="8"/>
      <c r="P365" s="8"/>
      <c r="Q365" s="8"/>
      <c r="R365" s="8"/>
      <c r="S365" s="8"/>
      <c r="T365" s="8"/>
      <c r="U365" s="8"/>
      <c r="V365" s="8"/>
      <c r="W365" s="8"/>
      <c r="X365" s="8"/>
      <c r="Y365" s="8"/>
      <c r="Z365" s="8"/>
    </row>
    <row r="366" ht="13.6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3.65" customHeight="1">
      <c r="A367" s="8"/>
      <c r="B367" s="8"/>
      <c r="C367" s="8"/>
      <c r="D367" s="8"/>
      <c r="E367" s="8"/>
      <c r="F367" t="s" s="7">
        <v>10091</v>
      </c>
      <c r="G367" s="53" cm="1">
        <f t="array" ref="G367">AVERAGE(G356:G365)</f>
        <v>1.1</v>
      </c>
      <c r="H367" s="8"/>
      <c r="I367" s="8"/>
      <c r="J367" s="8"/>
      <c r="K367" s="8"/>
      <c r="L367" s="8"/>
      <c r="M367" s="8"/>
      <c r="N367" s="8"/>
      <c r="O367" s="8"/>
      <c r="P367" s="8"/>
      <c r="Q367" s="8"/>
      <c r="R367" s="8"/>
      <c r="S367" s="8"/>
      <c r="T367" s="8"/>
      <c r="U367" s="8"/>
      <c r="V367" s="8"/>
      <c r="W367" s="8"/>
      <c r="X367" s="8"/>
      <c r="Y367" s="8"/>
      <c r="Z367" s="8"/>
    </row>
    <row r="368" ht="13.6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3.6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3.6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3.6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3.6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3.6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3.6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3.6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3.6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3.6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3.6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3.6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3.6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3.6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3.6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3.6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3.6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3.6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3.6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3.6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3.6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3.6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3.6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3.6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3.6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3.6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3.6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3.6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3.6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3.6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3.6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3.6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3.6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3.6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3.6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3.6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3.6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3.6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3.6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3.6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3.6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3.6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3.6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3.6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3.6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3.6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3.6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3.6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3.6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3.6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3.6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3.6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3.6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3.6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3.6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3.6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3.6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3.6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3.6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3.6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3.6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3.6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3.6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3.6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3.6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3.6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3.6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3.6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3.6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3.6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3.6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3.6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3.6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3.6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3.6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3.6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3.6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3.6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3.6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3.6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3.6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3.6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3.6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3.6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3.6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3.6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3.6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3.6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3.6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3.6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3.6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3.6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3.6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3.6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3.6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3.6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3.6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3.6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3.6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3.6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3.6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3.6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3.6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3.6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3.6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3.6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3.6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3.6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3.6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3.6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3.6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3.6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3.6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3.6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3.6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3.6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3.6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3.6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3.6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3.6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3.6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3.6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3.6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3.6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3.6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3.6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3.6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3.6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3.6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3.6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3.6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3.6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3.6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3.6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3.6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3.6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3.6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3.6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3.6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3.6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3.6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3.6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3.6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3.6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3.6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3.6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3.6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3.6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3.6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3.6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3.6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3.6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3.6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3.6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3.6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3.6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3.6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3.6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3.6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3.6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3.6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3.6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3.6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3.6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3.6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3.6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3.6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3.6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3.6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3.6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3.6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3.6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3.6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3.6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3.6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3.6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3.6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3.6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3.6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3.6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3.6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3.6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3.6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3.6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3.6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3.6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3.6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3.6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3.6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3.6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3.6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3.6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3.6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3.6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3.6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3.6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3.6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3.6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3.6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3.6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3.6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3.6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3.6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3.6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3.6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3.6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3.6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3.6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3.6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3.6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3.6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3.6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3.6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3.6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3.6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3.6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3.6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3.6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3.6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3.6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3.6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3.6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3.6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3.6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3.6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3.6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3.6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3.6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3.6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3.6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3.6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3.6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3.6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3.6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3.6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3.6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3.6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3.6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3.6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3.6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3.6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3.6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3.6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3.6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3.6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3.6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3.6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3.6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3.6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3.6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3.6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3.6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3.6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3.6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3.6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3.6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3.6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3.6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3.6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3.6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3.6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3.6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3.6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3.6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3.6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3.6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3.6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3.6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3.6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3.6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3.6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3.6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3.6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3.6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3.6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3.6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3.6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3.6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3.6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3.6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3.6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3.6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3.6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3.6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3.6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3.6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3.6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3.6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3.6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3.6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3.6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3.6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3.6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3.6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3.6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3.6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3.6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3.6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3.6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3.6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3.6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3.6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3.6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3.6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3.6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3.6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3.6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3.6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3.6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3.6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3.6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3.6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3.6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3.6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3.6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3.6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3.6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3.6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3.6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3.6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3.6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3.6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3.6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3.6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3.6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3.6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3.6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3.6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3.6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3.6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3.6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3.6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3.6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3.6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3.6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3.6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3.6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3.6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3.6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3.6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3.6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3.6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3.6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3.6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3.6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3.6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3.6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3.6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3.6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3.6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3.6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3.6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3.6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3.6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3.6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3.6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3.6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3.6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3.6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3.6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3.6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3.6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3.6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3.6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3.6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3.6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3.6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3.6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3.6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3.6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3.6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3.6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3.6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3.6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3.6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3.6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3.6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3.6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3.6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3.6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3.6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3.6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3.6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3.6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3.6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3.6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3.6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3.6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3.6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3.6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3.6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3.6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3.6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3.6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3.6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3.6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3.6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3.6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3.6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3.6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3.6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3.6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3.6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3.6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3.6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3.6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3.6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3.6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3.6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3.6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3.6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3.6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3.6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3.6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3.6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3.6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3.6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3.6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3.6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3.6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3.6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3.6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3.6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3.6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3.6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3.6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3.6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3.6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3.6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3.6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3.6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3.6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3.6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3.6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3.6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3.6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3.6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3.6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3.6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3.6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3.6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3.6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3.6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3.6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3.6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3.6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3.6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3.6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3.6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3.6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3.6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3.6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3.6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3.6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3.6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3.6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3.6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3.6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3.6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3.6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3.6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3.6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3.6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3.6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3.6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3.6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3.6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3.6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3.6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3.6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3.6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3.6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3.6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3.6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3.6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3.6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3.6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3.6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3.6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3.6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3.6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3.6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3.6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3.6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3.6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3.6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3.6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3.6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3.6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3.6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3.6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3.6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3.6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3.6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3.6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3.6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3.6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3.6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3.6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3.6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3.6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3.6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3.6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3.6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3.6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3.6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3.6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3.6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3.6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3.6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3.6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3.6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3.6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3.6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3.6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3.6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3.6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3.6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3.6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3.6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3.6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3.6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3.6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3.6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3.6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3.6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3.6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3.6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3.6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3.6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3.6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3.6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3.6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3.6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3.6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3.6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3.6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3.6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3.6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3.6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3.6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3.6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3.6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3.6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3.6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3.6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3.6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3.6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3.6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3.6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3.6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3.6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3.6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3.6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3.6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3.6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3.6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3.6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3.6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3.6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3.6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3.6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3.6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3.6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3.6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3.6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3.6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3.6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3.6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3.6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3.6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3.6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3.6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3.6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3.6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3.6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3.6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3.6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3.6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3.6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3.6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3.6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3.6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3.6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3.6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3.6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3.6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3.6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3.6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3.6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3.6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3.6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3.6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3.6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3.6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3.6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3.6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3.6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3.6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3.6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3.6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3.6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3.6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3.6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3.6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3.6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3.6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3.6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3.6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3.6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3.6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3.6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3.6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3.6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3.6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3.6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3.6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3.6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3.6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3.6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3.6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3.6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3.6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3.6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3.6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3.6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3.6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3.6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3.6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3.6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3.6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3.6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3.6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3.6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3.6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I94"/>
  <sheetViews>
    <sheetView workbookViewId="0" showGridLines="0" defaultGridColor="1"/>
  </sheetViews>
  <sheetFormatPr defaultColWidth="12.6667" defaultRowHeight="15.75" customHeight="1" outlineLevelRow="0" outlineLevelCol="0"/>
  <cols>
    <col min="1" max="1" width="14.5" style="56" customWidth="1"/>
    <col min="2" max="2" width="12.6719" style="56" customWidth="1"/>
    <col min="3" max="3" width="19.5" style="56" customWidth="1"/>
    <col min="4" max="4" width="22.8516" style="56" customWidth="1"/>
    <col min="5" max="5" width="21.3516" style="56" customWidth="1"/>
    <col min="6" max="6" width="17.6719" style="56" customWidth="1"/>
    <col min="7" max="7" width="20" style="56" customWidth="1"/>
    <col min="8" max="9" width="12.6719" style="56" customWidth="1"/>
    <col min="10" max="16384" width="12.6719" style="56" customWidth="1"/>
  </cols>
  <sheetData>
    <row r="1" ht="22.5" customHeight="1">
      <c r="A1" t="s" s="57">
        <v>10322</v>
      </c>
      <c r="B1" t="s" s="58">
        <v>10323</v>
      </c>
      <c r="C1" t="s" s="58">
        <v>1028</v>
      </c>
      <c r="D1" t="s" s="58">
        <v>273</v>
      </c>
      <c r="E1" t="s" s="58">
        <v>10324</v>
      </c>
      <c r="F1" t="s" s="58">
        <v>10325</v>
      </c>
      <c r="G1" t="s" s="59">
        <v>10326</v>
      </c>
      <c r="H1" s="60"/>
      <c r="I1" s="8"/>
    </row>
    <row r="2" ht="22.5" customHeight="1">
      <c r="A2" t="s" s="61">
        <v>10327</v>
      </c>
      <c r="B2" s="62"/>
      <c r="C2" s="63">
        <v>0.0012</v>
      </c>
      <c r="D2" s="63">
        <v>0.0159</v>
      </c>
      <c r="E2" s="63">
        <v>6896304.586</v>
      </c>
      <c r="F2" s="63">
        <v>1.7</v>
      </c>
      <c r="G2" s="64">
        <v>1</v>
      </c>
      <c r="H2" s="60"/>
      <c r="I2" s="8"/>
    </row>
    <row r="3" ht="22.5" customHeight="1">
      <c r="A3" t="s" s="65">
        <v>10328</v>
      </c>
      <c r="B3" s="66"/>
      <c r="C3" s="67">
        <v>-0.0004</v>
      </c>
      <c r="D3" s="67">
        <v>0.016</v>
      </c>
      <c r="E3" s="67">
        <v>6558226.301</v>
      </c>
      <c r="F3" s="67">
        <v>1.3</v>
      </c>
      <c r="G3" s="68">
        <v>-1</v>
      </c>
      <c r="H3" s="60"/>
      <c r="I3" s="8"/>
    </row>
    <row r="4" ht="22.5" customHeight="1">
      <c r="A4" t="s" s="61">
        <v>529</v>
      </c>
      <c r="B4" t="s" s="69">
        <v>10329</v>
      </c>
      <c r="C4" s="63">
        <v>0.0011</v>
      </c>
      <c r="D4" s="63">
        <v>0.0124</v>
      </c>
      <c r="E4" s="63">
        <v>6110370.182</v>
      </c>
      <c r="F4" s="63">
        <v>1.3</v>
      </c>
      <c r="G4" s="64">
        <v>1</v>
      </c>
      <c r="H4" s="60"/>
      <c r="I4" s="8"/>
    </row>
    <row r="5" ht="22.5" customHeight="1">
      <c r="A5" t="s" s="65">
        <v>778</v>
      </c>
      <c r="B5" s="66"/>
      <c r="C5" s="67">
        <v>-0.0026</v>
      </c>
      <c r="D5" s="67">
        <v>0.0343</v>
      </c>
      <c r="E5" s="67">
        <v>9426582.124</v>
      </c>
      <c r="F5" s="67">
        <v>1.4</v>
      </c>
      <c r="G5" s="68">
        <v>-1</v>
      </c>
      <c r="H5" s="60"/>
      <c r="I5" s="8"/>
    </row>
    <row r="6" ht="22.5" customHeight="1">
      <c r="A6" t="s" s="61">
        <v>1029</v>
      </c>
      <c r="B6" s="62"/>
      <c r="C6" s="63">
        <v>0.0004</v>
      </c>
      <c r="D6" s="63">
        <v>0.0131</v>
      </c>
      <c r="E6" s="63">
        <v>11921699.19</v>
      </c>
      <c r="F6" s="63">
        <v>1.2</v>
      </c>
      <c r="G6" s="64">
        <v>1</v>
      </c>
      <c r="H6" s="60"/>
      <c r="I6" s="8"/>
    </row>
    <row r="7" ht="22.5" customHeight="1">
      <c r="A7" s="70"/>
      <c r="B7" s="66"/>
      <c r="C7" s="71"/>
      <c r="D7" s="71"/>
      <c r="E7" s="71"/>
      <c r="F7" s="66"/>
      <c r="G7" s="72"/>
      <c r="H7" s="60"/>
      <c r="I7" s="8"/>
    </row>
    <row r="8" ht="22.5" customHeight="1">
      <c r="A8" t="s" s="61">
        <v>10327</v>
      </c>
      <c r="B8" s="62"/>
      <c r="C8" s="63">
        <v>0.0002</v>
      </c>
      <c r="D8" s="63">
        <v>0.0143</v>
      </c>
      <c r="E8" s="63">
        <v>7200339.056</v>
      </c>
      <c r="F8" s="63">
        <v>1.2</v>
      </c>
      <c r="G8" s="64">
        <v>1</v>
      </c>
      <c r="H8" s="60"/>
      <c r="I8" s="8"/>
    </row>
    <row r="9" ht="22.5" customHeight="1">
      <c r="A9" t="s" s="65">
        <v>10328</v>
      </c>
      <c r="B9" s="66"/>
      <c r="C9" s="67">
        <v>0.0004</v>
      </c>
      <c r="D9" s="67">
        <v>0.0146</v>
      </c>
      <c r="E9" s="67">
        <v>8120662.961</v>
      </c>
      <c r="F9" s="67">
        <v>1.4</v>
      </c>
      <c r="G9" s="68">
        <v>1</v>
      </c>
      <c r="H9" s="60"/>
      <c r="I9" s="8"/>
    </row>
    <row r="10" ht="22.5" customHeight="1">
      <c r="A10" t="s" s="61">
        <v>529</v>
      </c>
      <c r="B10" t="s" s="69">
        <v>1278</v>
      </c>
      <c r="C10" s="63">
        <v>0.0528</v>
      </c>
      <c r="D10" s="63">
        <v>0.4042</v>
      </c>
      <c r="E10" s="63">
        <v>19946620.45</v>
      </c>
      <c r="F10" s="63">
        <v>1.3</v>
      </c>
      <c r="G10" s="64">
        <v>-1</v>
      </c>
      <c r="H10" s="60"/>
      <c r="I10" s="8"/>
    </row>
    <row r="11" ht="22.5" customHeight="1">
      <c r="A11" t="s" s="65">
        <v>778</v>
      </c>
      <c r="B11" s="66"/>
      <c r="C11" s="67">
        <v>0.0008</v>
      </c>
      <c r="D11" s="67">
        <v>0.0128</v>
      </c>
      <c r="E11" s="67">
        <v>17468932.58</v>
      </c>
      <c r="F11" s="67">
        <v>1.2</v>
      </c>
      <c r="G11" s="68">
        <v>1</v>
      </c>
      <c r="H11" s="60"/>
      <c r="I11" s="8"/>
    </row>
    <row r="12" ht="22.5" customHeight="1">
      <c r="A12" t="s" s="61">
        <v>1029</v>
      </c>
      <c r="B12" s="62"/>
      <c r="C12" s="63">
        <v>-0.0026</v>
      </c>
      <c r="D12" s="63">
        <v>0.0336</v>
      </c>
      <c r="E12" s="63">
        <v>20341602.96</v>
      </c>
      <c r="F12" s="63">
        <v>1.1</v>
      </c>
      <c r="G12" s="64">
        <v>-1</v>
      </c>
      <c r="H12" s="60"/>
      <c r="I12" s="8"/>
    </row>
    <row r="13" ht="22.5" customHeight="1">
      <c r="A13" s="70"/>
      <c r="B13" s="66"/>
      <c r="C13" s="71"/>
      <c r="D13" s="71"/>
      <c r="E13" s="71"/>
      <c r="F13" s="66"/>
      <c r="G13" s="72"/>
      <c r="H13" s="60"/>
      <c r="I13" s="8"/>
    </row>
    <row r="14" ht="22.5" customHeight="1">
      <c r="A14" t="s" s="61">
        <v>10327</v>
      </c>
      <c r="B14" s="62"/>
      <c r="C14" s="63">
        <v>0.0009</v>
      </c>
      <c r="D14" s="63">
        <v>0.017</v>
      </c>
      <c r="E14" s="63">
        <v>1341429.221</v>
      </c>
      <c r="F14" s="63">
        <v>1.2</v>
      </c>
      <c r="G14" s="64">
        <v>1</v>
      </c>
      <c r="H14" s="60"/>
      <c r="I14" s="8"/>
    </row>
    <row r="15" ht="22.5" customHeight="1">
      <c r="A15" t="s" s="65">
        <v>10328</v>
      </c>
      <c r="B15" s="66"/>
      <c r="C15" s="67">
        <v>-0.0044</v>
      </c>
      <c r="D15" s="67">
        <v>0.06510000000000001</v>
      </c>
      <c r="E15" s="67">
        <v>1143603.707</v>
      </c>
      <c r="F15" s="67">
        <v>1.2</v>
      </c>
      <c r="G15" s="68">
        <v>-1</v>
      </c>
      <c r="H15" s="60"/>
      <c r="I15" s="8"/>
    </row>
    <row r="16" ht="22.5" customHeight="1">
      <c r="A16" t="s" s="61">
        <v>529</v>
      </c>
      <c r="B16" t="s" s="69">
        <v>10330</v>
      </c>
      <c r="C16" s="63">
        <v>0.0002</v>
      </c>
      <c r="D16" s="63">
        <v>0.0103</v>
      </c>
      <c r="E16" s="63">
        <v>966192.2955</v>
      </c>
      <c r="F16" s="63">
        <v>1.2</v>
      </c>
      <c r="G16" s="64">
        <v>1</v>
      </c>
      <c r="H16" s="60"/>
      <c r="I16" s="8"/>
    </row>
    <row r="17" ht="22.5" customHeight="1">
      <c r="A17" t="s" s="65">
        <v>778</v>
      </c>
      <c r="B17" s="66"/>
      <c r="C17" s="67">
        <v>-0.0008</v>
      </c>
      <c r="D17" s="67">
        <v>0.0138</v>
      </c>
      <c r="E17" s="67">
        <v>1314142.152</v>
      </c>
      <c r="F17" s="67">
        <v>1.2</v>
      </c>
      <c r="G17" s="68">
        <v>-1</v>
      </c>
      <c r="H17" s="60"/>
      <c r="I17" s="8"/>
    </row>
    <row r="18" ht="22.5" customHeight="1">
      <c r="A18" t="s" s="61">
        <v>1029</v>
      </c>
      <c r="B18" s="62"/>
      <c r="C18" s="63">
        <v>-0.0001</v>
      </c>
      <c r="D18" s="63">
        <v>0.0142</v>
      </c>
      <c r="E18" s="63">
        <v>1207768.782</v>
      </c>
      <c r="F18" s="63">
        <v>1.1</v>
      </c>
      <c r="G18" s="64">
        <v>-1</v>
      </c>
      <c r="H18" s="60"/>
      <c r="I18" s="8"/>
    </row>
    <row r="19" ht="22.5" customHeight="1">
      <c r="A19" s="70"/>
      <c r="B19" s="66"/>
      <c r="C19" s="71"/>
      <c r="D19" s="71"/>
      <c r="E19" s="71"/>
      <c r="F19" s="66"/>
      <c r="G19" s="72"/>
      <c r="H19" s="60"/>
      <c r="I19" s="8"/>
    </row>
    <row r="20" ht="22.5" customHeight="1">
      <c r="A20" t="s" s="61">
        <v>10327</v>
      </c>
      <c r="B20" s="62"/>
      <c r="C20" s="63">
        <v>0.002</v>
      </c>
      <c r="D20" s="63">
        <v>0.0253</v>
      </c>
      <c r="E20" s="63">
        <v>12542894.67</v>
      </c>
      <c r="F20" s="63">
        <v>1.4</v>
      </c>
      <c r="G20" s="64">
        <v>1</v>
      </c>
      <c r="H20" s="60"/>
      <c r="I20" s="8"/>
    </row>
    <row r="21" ht="22.5" customHeight="1">
      <c r="A21" t="s" s="65">
        <v>10328</v>
      </c>
      <c r="B21" s="66"/>
      <c r="C21" s="67">
        <v>-0.0045</v>
      </c>
      <c r="D21" s="67">
        <v>0.061</v>
      </c>
      <c r="E21" s="67">
        <v>38491768.97</v>
      </c>
      <c r="F21" s="67">
        <v>0.9</v>
      </c>
      <c r="G21" s="68">
        <v>-1</v>
      </c>
      <c r="H21" s="60"/>
      <c r="I21" s="8"/>
    </row>
    <row r="22" ht="22.5" customHeight="1">
      <c r="A22" t="s" s="61">
        <v>529</v>
      </c>
      <c r="B22" t="s" s="69">
        <v>10228</v>
      </c>
      <c r="C22" s="63">
        <v>0.0019</v>
      </c>
      <c r="D22" s="63">
        <v>0.0154</v>
      </c>
      <c r="E22" s="63">
        <v>37214829.26</v>
      </c>
      <c r="F22" s="63">
        <v>0.9</v>
      </c>
      <c r="G22" s="64">
        <v>1</v>
      </c>
      <c r="H22" s="60"/>
      <c r="I22" s="8"/>
    </row>
    <row r="23" ht="22.5" customHeight="1">
      <c r="A23" t="s" s="65">
        <v>778</v>
      </c>
      <c r="B23" s="66"/>
      <c r="C23" s="67">
        <v>-0.0001</v>
      </c>
      <c r="D23" s="67">
        <v>0.0176</v>
      </c>
      <c r="E23" s="67">
        <v>41781050.45</v>
      </c>
      <c r="F23" s="67">
        <v>1.1</v>
      </c>
      <c r="G23" s="68">
        <v>-1</v>
      </c>
      <c r="H23" s="60"/>
      <c r="I23" s="8"/>
    </row>
    <row r="24" ht="22.5" customHeight="1">
      <c r="A24" t="s" s="61">
        <v>1029</v>
      </c>
      <c r="B24" s="62"/>
      <c r="C24" s="63">
        <v>0.0012</v>
      </c>
      <c r="D24" s="63">
        <v>0.0192</v>
      </c>
      <c r="E24" s="63">
        <v>29144497.96</v>
      </c>
      <c r="F24" s="63">
        <v>1.1</v>
      </c>
      <c r="G24" s="64">
        <v>1</v>
      </c>
      <c r="H24" s="60"/>
      <c r="I24" s="8"/>
    </row>
    <row r="25" ht="22.5" customHeight="1">
      <c r="A25" s="70"/>
      <c r="B25" s="66"/>
      <c r="C25" s="71"/>
      <c r="D25" s="71"/>
      <c r="E25" s="71"/>
      <c r="F25" s="66"/>
      <c r="G25" s="72"/>
      <c r="H25" s="60"/>
      <c r="I25" s="8"/>
    </row>
    <row r="26" ht="22.5" customHeight="1">
      <c r="A26" t="s" s="61">
        <v>10327</v>
      </c>
      <c r="B26" s="62"/>
      <c r="C26" s="63">
        <v>0.0007</v>
      </c>
      <c r="D26" s="63">
        <v>0.0153</v>
      </c>
      <c r="E26" s="63">
        <v>23662467.1</v>
      </c>
      <c r="F26" s="63">
        <v>1.4</v>
      </c>
      <c r="G26" s="64">
        <v>1</v>
      </c>
      <c r="H26" s="60"/>
      <c r="I26" s="8"/>
    </row>
    <row r="27" ht="22.5" customHeight="1">
      <c r="A27" t="s" s="65">
        <v>10328</v>
      </c>
      <c r="B27" s="66"/>
      <c r="C27" s="67">
        <v>0.0018</v>
      </c>
      <c r="D27" s="67">
        <v>0.0028</v>
      </c>
      <c r="E27" s="67">
        <v>14335377.48</v>
      </c>
      <c r="F27" s="67">
        <v>1.4</v>
      </c>
      <c r="G27" s="68">
        <v>1</v>
      </c>
      <c r="H27" s="60"/>
      <c r="I27" s="8"/>
    </row>
    <row r="28" ht="22.5" customHeight="1">
      <c r="A28" t="s" s="61">
        <v>529</v>
      </c>
      <c r="B28" t="s" s="69">
        <v>8810</v>
      </c>
      <c r="C28" s="63">
        <v>0.0005</v>
      </c>
      <c r="D28" s="63">
        <v>0.0112</v>
      </c>
      <c r="E28" s="63">
        <v>12545716.81</v>
      </c>
      <c r="F28" s="63">
        <v>1.3</v>
      </c>
      <c r="G28" s="64">
        <v>1</v>
      </c>
      <c r="H28" s="60"/>
      <c r="I28" s="8"/>
    </row>
    <row r="29" ht="22.5" customHeight="1">
      <c r="A29" t="s" s="65">
        <v>778</v>
      </c>
      <c r="B29" s="66"/>
      <c r="C29" s="67">
        <v>-0.0001</v>
      </c>
      <c r="D29" s="67">
        <v>0.0128</v>
      </c>
      <c r="E29" s="67">
        <v>14330865.88</v>
      </c>
      <c r="F29" s="67">
        <v>1.1</v>
      </c>
      <c r="G29" s="68">
        <v>-1</v>
      </c>
      <c r="H29" s="60"/>
      <c r="I29" s="8"/>
    </row>
    <row r="30" ht="22.5" customHeight="1">
      <c r="A30" t="s" s="73">
        <v>1029</v>
      </c>
      <c r="B30" s="74"/>
      <c r="C30" s="75">
        <v>-0.0013</v>
      </c>
      <c r="D30" s="75">
        <v>0.0123</v>
      </c>
      <c r="E30" s="75">
        <v>19014667.14</v>
      </c>
      <c r="F30" s="75">
        <v>1.1</v>
      </c>
      <c r="G30" s="76">
        <v>-1</v>
      </c>
      <c r="H30" s="60"/>
      <c r="I30" s="8"/>
    </row>
    <row r="31" ht="13.65" customHeight="1">
      <c r="A31" s="77"/>
      <c r="B31" s="77"/>
      <c r="C31" s="77"/>
      <c r="D31" s="77"/>
      <c r="E31" s="77"/>
      <c r="F31" s="77"/>
      <c r="G31" s="77"/>
      <c r="H31" s="8"/>
      <c r="I31" s="8"/>
    </row>
    <row r="32" ht="13.65" customHeight="1">
      <c r="A32" s="8"/>
      <c r="B32" s="8"/>
      <c r="C32" s="8"/>
      <c r="D32" s="8"/>
      <c r="E32" s="8"/>
      <c r="F32" s="8"/>
      <c r="G32" s="8"/>
      <c r="H32" s="8"/>
      <c r="I32" s="8"/>
    </row>
    <row r="33" ht="13.65" customHeight="1">
      <c r="A33" s="8"/>
      <c r="B33" s="8"/>
      <c r="C33" s="8"/>
      <c r="D33" s="8"/>
      <c r="E33" s="8"/>
      <c r="F33" s="8"/>
      <c r="G33" s="8"/>
      <c r="H33" s="8"/>
      <c r="I33" s="8"/>
    </row>
    <row r="34" ht="13.65" customHeight="1">
      <c r="A34" t="s" s="55">
        <v>10331</v>
      </c>
      <c r="B34" s="8"/>
      <c r="C34" s="8"/>
      <c r="D34" s="8"/>
      <c r="E34" s="8"/>
      <c r="F34" s="8"/>
      <c r="G34" s="8"/>
      <c r="H34" s="8"/>
      <c r="I34" s="8"/>
    </row>
    <row r="35" ht="13.65" customHeight="1">
      <c r="A35" s="78"/>
      <c r="B35" s="79"/>
      <c r="C35" s="79"/>
      <c r="D35" s="79"/>
      <c r="E35" s="79"/>
      <c r="F35" s="8"/>
      <c r="G35" s="8"/>
      <c r="H35" s="8"/>
      <c r="I35" s="8"/>
    </row>
    <row r="36" ht="13.65" customHeight="1">
      <c r="A36" t="s" s="80">
        <v>10332</v>
      </c>
      <c r="B36" t="s" s="80">
        <v>6323</v>
      </c>
      <c r="C36" t="s" s="80">
        <v>10333</v>
      </c>
      <c r="D36" t="s" s="80">
        <v>10334</v>
      </c>
      <c r="E36" t="s" s="80">
        <v>10058</v>
      </c>
      <c r="F36" s="81"/>
      <c r="G36" s="8"/>
      <c r="H36" s="8"/>
      <c r="I36" s="8"/>
    </row>
    <row r="37" ht="13.65" customHeight="1">
      <c r="A37" t="s" s="82">
        <v>6323</v>
      </c>
      <c r="B37" s="83" cm="1">
        <f t="array" ref="B37">CORREL(C2:C30,C2:C30)</f>
        <v>1</v>
      </c>
      <c r="C37" s="84" cm="1">
        <f t="array" ref="C37">CORREL(C2:C30,D2:D30)</f>
        <v>0.944440792419512</v>
      </c>
      <c r="D37" s="84" cm="1">
        <f t="array" ref="D37">CORREL(C2:C30,E2:E30)</f>
        <v>0.0870063072530768</v>
      </c>
      <c r="E37" s="84" cm="1">
        <f t="array" ref="E37">CORREL(C2:C30,F2:F30)</f>
        <v>0.139063807846917</v>
      </c>
      <c r="F37" s="8"/>
      <c r="G37" s="8"/>
      <c r="H37" s="8"/>
      <c r="I37" s="8"/>
    </row>
    <row r="38" ht="13.65" customHeight="1">
      <c r="A38" t="s" s="82">
        <v>10333</v>
      </c>
      <c r="B38" s="85" cm="1">
        <f t="array" ref="B38">CORREL(D2:D30,C2:C30)</f>
        <v>0.944440792419512</v>
      </c>
      <c r="C38" s="23">
        <v>1</v>
      </c>
      <c r="D38" s="86" cm="1">
        <f t="array" ref="D38">CORREL(D2:D30,E2:E30)</f>
        <v>0.122541869909474</v>
      </c>
      <c r="E38" s="86" cm="1">
        <f t="array" ref="E38">CORREL(D2:D30,F2:F30)</f>
        <v>0.0375755242230259</v>
      </c>
      <c r="F38" s="8"/>
      <c r="G38" s="8"/>
      <c r="H38" s="8"/>
      <c r="I38" s="8"/>
    </row>
    <row r="39" ht="13.65" customHeight="1">
      <c r="A39" t="s" s="82">
        <v>10334</v>
      </c>
      <c r="B39" s="85" cm="1">
        <f t="array" ref="B39">CORREL(E2:E30,C2:C30)</f>
        <v>0.0870063072530768</v>
      </c>
      <c r="C39" s="86" cm="1">
        <f t="array" ref="C39">CORREL(E2:E30,D2:D30)</f>
        <v>0.122541869909474</v>
      </c>
      <c r="D39" s="23">
        <v>1</v>
      </c>
      <c r="E39" s="86" cm="1">
        <f t="array" ref="E39">CORREL(E2:E30,F2:F30)</f>
        <v>-0.483155305976628</v>
      </c>
      <c r="F39" s="8"/>
      <c r="G39" s="8"/>
      <c r="H39" s="8"/>
      <c r="I39" s="8"/>
    </row>
    <row r="40" ht="13.65" customHeight="1">
      <c r="A40" t="s" s="82">
        <v>10058</v>
      </c>
      <c r="B40" s="85" cm="1">
        <f t="array" ref="B40">CORREL(F2:F30,C2:C30)</f>
        <v>0.139063807846917</v>
      </c>
      <c r="C40" s="86" cm="1">
        <f t="array" ref="C40">CORREL(F2:F30,D2:D30)</f>
        <v>0.0375755242230259</v>
      </c>
      <c r="D40" s="86" cm="1">
        <f t="array" ref="D40">CORREL(F2:F30,E2:E30)</f>
        <v>-0.483155305976628</v>
      </c>
      <c r="E40" s="23" cm="1">
        <f t="array" ref="E40">CORREL(F2:F30,F2:F30)</f>
        <v>1</v>
      </c>
      <c r="F40" s="8"/>
      <c r="G40" s="8"/>
      <c r="H40" s="8"/>
      <c r="I40" s="8"/>
    </row>
    <row r="41" ht="13.65" customHeight="1">
      <c r="A41" s="87"/>
      <c r="B41" s="8"/>
      <c r="C41" s="8"/>
      <c r="D41" s="8"/>
      <c r="E41" s="8"/>
      <c r="F41" s="8"/>
      <c r="G41" s="8"/>
      <c r="H41" s="8"/>
      <c r="I41" s="8"/>
    </row>
    <row r="42" ht="13.65" customHeight="1">
      <c r="A42" s="88"/>
      <c r="B42" s="88"/>
      <c r="C42" s="88"/>
      <c r="D42" s="88"/>
      <c r="E42" s="88"/>
      <c r="F42" s="88"/>
      <c r="G42" s="88"/>
      <c r="H42" s="88"/>
      <c r="I42" s="88"/>
    </row>
    <row r="43" ht="13.65" customHeight="1">
      <c r="A43" t="s" s="89">
        <v>10335</v>
      </c>
      <c r="B43" s="90"/>
      <c r="C43" s="90"/>
      <c r="D43" s="90"/>
      <c r="E43" s="90"/>
      <c r="F43" s="90"/>
      <c r="G43" s="90"/>
      <c r="H43" s="90"/>
      <c r="I43" s="90"/>
    </row>
    <row r="44" ht="14.15" customHeight="1">
      <c r="A44" s="91"/>
      <c r="B44" s="91"/>
      <c r="C44" s="90"/>
      <c r="D44" s="90"/>
      <c r="E44" s="90"/>
      <c r="F44" s="90"/>
      <c r="G44" s="90"/>
      <c r="H44" s="90"/>
      <c r="I44" s="90"/>
    </row>
    <row r="45" ht="14.15" customHeight="1">
      <c r="A45" t="s" s="92">
        <v>10336</v>
      </c>
      <c r="B45" s="93"/>
      <c r="C45" s="90"/>
      <c r="D45" s="90"/>
      <c r="E45" s="90"/>
      <c r="F45" s="90"/>
      <c r="G45" s="90"/>
      <c r="H45" s="90"/>
      <c r="I45" s="90"/>
    </row>
    <row r="46" ht="13.65" customHeight="1">
      <c r="A46" t="s" s="94">
        <v>10337</v>
      </c>
      <c r="B46" s="95">
        <v>0.964800772703722</v>
      </c>
      <c r="C46" s="90"/>
      <c r="D46" s="90"/>
      <c r="E46" s="90"/>
      <c r="F46" s="90"/>
      <c r="G46" s="90"/>
      <c r="H46" s="90"/>
      <c r="I46" s="90"/>
    </row>
    <row r="47" ht="13.65" customHeight="1">
      <c r="A47" t="s" s="89">
        <v>10338</v>
      </c>
      <c r="B47" s="96">
        <v>0.930840531009699</v>
      </c>
      <c r="C47" s="90"/>
      <c r="D47" s="90"/>
      <c r="E47" s="90"/>
      <c r="F47" s="90"/>
      <c r="G47" s="90"/>
      <c r="H47" s="90"/>
      <c r="I47" s="90"/>
    </row>
    <row r="48" ht="13.65" customHeight="1">
      <c r="A48" t="s" s="89">
        <v>10339</v>
      </c>
      <c r="B48" s="96">
        <v>0.9170086372116391</v>
      </c>
      <c r="C48" s="90"/>
      <c r="D48" s="90"/>
      <c r="E48" s="90"/>
      <c r="F48" s="90"/>
      <c r="G48" s="90"/>
      <c r="H48" s="90"/>
      <c r="I48" s="90"/>
    </row>
    <row r="49" ht="13.65" customHeight="1">
      <c r="A49" t="s" s="89">
        <v>10340</v>
      </c>
      <c r="B49" s="96">
        <v>0.00309168414371491</v>
      </c>
      <c r="C49" s="90"/>
      <c r="D49" s="90"/>
      <c r="E49" s="90"/>
      <c r="F49" s="90"/>
      <c r="G49" s="90"/>
      <c r="H49" s="90"/>
      <c r="I49" s="90"/>
    </row>
    <row r="50" ht="14.15" customHeight="1">
      <c r="A50" t="s" s="97">
        <v>10341</v>
      </c>
      <c r="B50" s="98">
        <v>25</v>
      </c>
      <c r="C50" s="90"/>
      <c r="D50" s="90"/>
      <c r="E50" s="90"/>
      <c r="F50" s="90"/>
      <c r="G50" s="90"/>
      <c r="H50" s="90"/>
      <c r="I50" s="90"/>
    </row>
    <row r="51" ht="14.15" customHeight="1">
      <c r="A51" s="99"/>
      <c r="B51" s="99"/>
      <c r="C51" s="90"/>
      <c r="D51" s="90"/>
      <c r="E51" s="90"/>
      <c r="F51" s="90"/>
      <c r="G51" s="90"/>
      <c r="H51" s="90"/>
      <c r="I51" s="90"/>
    </row>
    <row r="52" ht="14.15" customHeight="1">
      <c r="A52" t="s" s="97">
        <v>10342</v>
      </c>
      <c r="B52" s="91"/>
      <c r="C52" s="91"/>
      <c r="D52" s="91"/>
      <c r="E52" s="91"/>
      <c r="F52" s="91"/>
      <c r="G52" s="90"/>
      <c r="H52" s="90"/>
      <c r="I52" s="90"/>
    </row>
    <row r="53" ht="14.15" customHeight="1">
      <c r="A53" s="100"/>
      <c r="B53" t="s" s="101">
        <v>10343</v>
      </c>
      <c r="C53" t="s" s="101">
        <v>10344</v>
      </c>
      <c r="D53" t="s" s="101">
        <v>10345</v>
      </c>
      <c r="E53" t="s" s="101">
        <v>10346</v>
      </c>
      <c r="F53" t="s" s="101">
        <v>10347</v>
      </c>
      <c r="G53" s="90"/>
      <c r="H53" s="90"/>
      <c r="I53" s="90"/>
    </row>
    <row r="54" ht="13.65" customHeight="1">
      <c r="A54" t="s" s="94">
        <v>10348</v>
      </c>
      <c r="B54" s="95">
        <v>4</v>
      </c>
      <c r="C54" s="95">
        <v>0.00257302418311004</v>
      </c>
      <c r="D54" s="95">
        <v>0.000643256045777509</v>
      </c>
      <c r="E54" s="95">
        <v>67.2966800207965</v>
      </c>
      <c r="F54" s="95">
        <v>2.58052450053877e-11</v>
      </c>
      <c r="G54" s="90"/>
      <c r="H54" s="90"/>
      <c r="I54" s="90"/>
    </row>
    <row r="55" ht="13.65" customHeight="1">
      <c r="A55" t="s" s="89">
        <v>10349</v>
      </c>
      <c r="B55" s="96">
        <v>20</v>
      </c>
      <c r="C55" s="96">
        <v>0.000191170216889964</v>
      </c>
      <c r="D55" s="96">
        <v>9.5585108444982e-06</v>
      </c>
      <c r="E55" s="90"/>
      <c r="F55" s="90"/>
      <c r="G55" s="90"/>
      <c r="H55" s="90"/>
      <c r="I55" s="90"/>
    </row>
    <row r="56" ht="14.15" customHeight="1">
      <c r="A56" t="s" s="97">
        <v>10350</v>
      </c>
      <c r="B56" s="98">
        <v>24</v>
      </c>
      <c r="C56" s="98">
        <v>0.0027641944</v>
      </c>
      <c r="D56" s="91"/>
      <c r="E56" s="91"/>
      <c r="F56" s="91"/>
      <c r="G56" s="90"/>
      <c r="H56" s="90"/>
      <c r="I56" s="90"/>
    </row>
    <row r="57" ht="14.65" customHeight="1">
      <c r="A57" s="102"/>
      <c r="B57" s="102"/>
      <c r="C57" s="102"/>
      <c r="D57" s="102"/>
      <c r="E57" s="102"/>
      <c r="F57" s="102"/>
      <c r="G57" s="91"/>
      <c r="H57" s="91"/>
      <c r="I57" s="91"/>
    </row>
    <row r="58" ht="14.15" customHeight="1">
      <c r="A58" s="100"/>
      <c r="B58" t="s" s="101">
        <v>10351</v>
      </c>
      <c r="C58" t="s" s="101">
        <v>10340</v>
      </c>
      <c r="D58" t="s" s="101">
        <v>10352</v>
      </c>
      <c r="E58" t="s" s="101">
        <v>10353</v>
      </c>
      <c r="F58" t="s" s="101">
        <v>10354</v>
      </c>
      <c r="G58" t="s" s="101">
        <v>10355</v>
      </c>
      <c r="H58" t="s" s="101">
        <v>10356</v>
      </c>
      <c r="I58" t="s" s="101">
        <v>10357</v>
      </c>
    </row>
    <row r="59" ht="13" customHeight="1">
      <c r="A59" t="s" s="94">
        <v>10358</v>
      </c>
      <c r="B59" s="95">
        <v>-0.00599929824549183</v>
      </c>
      <c r="C59" s="95">
        <v>0.00605629469102177</v>
      </c>
      <c r="D59" s="95">
        <v>-0.990588891651122</v>
      </c>
      <c r="E59" s="95">
        <v>0.333720391787319</v>
      </c>
      <c r="F59" s="95">
        <v>-0.0186325075968336</v>
      </c>
      <c r="G59" s="95">
        <v>0.0066339111058499</v>
      </c>
      <c r="H59" s="95">
        <v>-0.0186325075968336</v>
      </c>
      <c r="I59" s="95">
        <v>0.0066339111058499</v>
      </c>
    </row>
    <row r="60" ht="13" customHeight="1">
      <c r="A60" t="s" s="89">
        <v>10359</v>
      </c>
      <c r="B60" s="96">
        <v>0.137504840014866</v>
      </c>
      <c r="C60" s="96">
        <v>0.008782848550367621</v>
      </c>
      <c r="D60" s="96">
        <v>15.6560641147695</v>
      </c>
      <c r="E60" s="96">
        <v>1.09001879632108e-12</v>
      </c>
      <c r="F60" s="96">
        <v>0.119184138975927</v>
      </c>
      <c r="G60" s="96">
        <v>0.155825541053805</v>
      </c>
      <c r="H60" s="96">
        <v>0.119184138975927</v>
      </c>
      <c r="I60" s="96">
        <v>0.155825541053805</v>
      </c>
    </row>
    <row r="61" ht="13" customHeight="1">
      <c r="A61" t="s" s="89">
        <v>10360</v>
      </c>
      <c r="B61" s="96">
        <v>2.42427368872137e-13</v>
      </c>
      <c r="C61" s="96">
        <v>6.17132236262019e-11</v>
      </c>
      <c r="D61" s="96">
        <v>0.0039282888597835</v>
      </c>
      <c r="E61" s="96">
        <v>0.99690460641486</v>
      </c>
      <c r="F61" s="96">
        <v>-1.28489101328329e-10</v>
      </c>
      <c r="G61" s="96">
        <v>1.28973956066074e-10</v>
      </c>
      <c r="H61" s="96">
        <v>-1.28489101328329e-10</v>
      </c>
      <c r="I61" s="96">
        <v>1.28973956066074e-10</v>
      </c>
    </row>
    <row r="62" ht="13" customHeight="1">
      <c r="A62" t="s" s="89">
        <v>10361</v>
      </c>
      <c r="B62" s="96">
        <v>0.00232705400238493</v>
      </c>
      <c r="C62" s="96">
        <v>0.00457845250383205</v>
      </c>
      <c r="D62" s="96">
        <v>0.508262125780979</v>
      </c>
      <c r="E62" s="96">
        <v>0.616829901903876</v>
      </c>
      <c r="F62" s="96">
        <v>-0.00722343056565162</v>
      </c>
      <c r="G62" s="96">
        <v>0.0118775385704215</v>
      </c>
      <c r="H62" s="96">
        <v>-0.00722343056565162</v>
      </c>
      <c r="I62" s="96">
        <v>0.0118775385704215</v>
      </c>
    </row>
    <row r="63" ht="13.5" customHeight="1">
      <c r="A63" t="s" s="97">
        <v>10362</v>
      </c>
      <c r="B63" s="98">
        <v>0.00201028639987748</v>
      </c>
      <c r="C63" s="98">
        <v>0.00071300236090881</v>
      </c>
      <c r="D63" s="98">
        <v>2.81946668074861</v>
      </c>
      <c r="E63" s="98">
        <v>0.0105907490931975</v>
      </c>
      <c r="F63" s="98">
        <v>0.000522989537207442</v>
      </c>
      <c r="G63" s="98">
        <v>0.00349758326254752</v>
      </c>
      <c r="H63" s="98">
        <v>0.000522989537207442</v>
      </c>
      <c r="I63" s="98">
        <v>0.00349758326254752</v>
      </c>
    </row>
    <row r="64" ht="14.15" customHeight="1">
      <c r="A64" s="99"/>
      <c r="B64" s="99"/>
      <c r="C64" s="99"/>
      <c r="D64" s="99"/>
      <c r="E64" s="99"/>
      <c r="F64" s="99"/>
      <c r="G64" s="99"/>
      <c r="H64" s="99"/>
      <c r="I64" s="99"/>
    </row>
    <row r="65" ht="13.65" customHeight="1">
      <c r="A65" s="90"/>
      <c r="B65" s="90"/>
      <c r="C65" s="90"/>
      <c r="D65" s="90"/>
      <c r="E65" s="90"/>
      <c r="F65" s="90"/>
      <c r="G65" s="90"/>
      <c r="H65" s="90"/>
      <c r="I65" s="90"/>
    </row>
    <row r="66" ht="13.65" customHeight="1">
      <c r="A66" s="90"/>
      <c r="B66" s="90"/>
      <c r="C66" s="90"/>
      <c r="D66" s="90"/>
      <c r="E66" s="90"/>
      <c r="F66" s="90"/>
      <c r="G66" s="90"/>
      <c r="H66" s="90"/>
      <c r="I66" s="90"/>
    </row>
    <row r="67" ht="13.65" customHeight="1">
      <c r="A67" t="s" s="89">
        <v>10363</v>
      </c>
      <c r="B67" s="90"/>
      <c r="C67" s="90"/>
      <c r="D67" s="90"/>
      <c r="E67" s="90"/>
      <c r="F67" s="90"/>
      <c r="G67" s="90"/>
      <c r="H67" s="90"/>
      <c r="I67" s="90"/>
    </row>
    <row r="68" ht="14.15" customHeight="1">
      <c r="A68" s="91"/>
      <c r="B68" s="91"/>
      <c r="C68" s="91"/>
      <c r="D68" s="90"/>
      <c r="E68" s="90"/>
      <c r="F68" s="90"/>
      <c r="G68" s="90"/>
      <c r="H68" s="90"/>
      <c r="I68" s="90"/>
    </row>
    <row r="69" ht="14.15" customHeight="1">
      <c r="A69" t="s" s="101">
        <v>10364</v>
      </c>
      <c r="B69" t="s" s="101">
        <v>10365</v>
      </c>
      <c r="C69" t="s" s="101">
        <v>10366</v>
      </c>
      <c r="D69" s="90"/>
      <c r="E69" s="90"/>
      <c r="F69" s="90"/>
      <c r="G69" s="90"/>
      <c r="H69" s="90"/>
      <c r="I69" s="90"/>
    </row>
    <row r="70" ht="13.65" customHeight="1">
      <c r="A70" s="95">
        <v>1</v>
      </c>
      <c r="B70" s="95">
        <v>0.00215497876765212</v>
      </c>
      <c r="C70" s="95">
        <v>-0.000954978767652117</v>
      </c>
      <c r="D70" s="90"/>
      <c r="E70" s="90"/>
      <c r="F70" s="90"/>
      <c r="G70" s="90"/>
      <c r="H70" s="90"/>
      <c r="I70" s="90"/>
    </row>
    <row r="71" ht="13.65" customHeight="1">
      <c r="A71" s="96">
        <v>2</v>
      </c>
      <c r="B71" s="96">
        <v>-0.00278274710848444</v>
      </c>
      <c r="C71" s="96">
        <v>0.00238274710848444</v>
      </c>
      <c r="D71" s="90"/>
      <c r="E71" s="90"/>
      <c r="F71" s="90"/>
      <c r="G71" s="90"/>
      <c r="H71" s="90"/>
      <c r="I71" s="90"/>
    </row>
    <row r="72" ht="13.65" customHeight="1">
      <c r="A72" s="96">
        <v>3</v>
      </c>
      <c r="B72" s="96">
        <v>0.000742699694636448</v>
      </c>
      <c r="C72" s="96">
        <v>0.000357300305363552</v>
      </c>
      <c r="D72" s="90"/>
      <c r="E72" s="90"/>
      <c r="F72" s="90"/>
      <c r="G72" s="90"/>
      <c r="H72" s="90"/>
      <c r="I72" s="90"/>
    </row>
    <row r="73" ht="13.65" customHeight="1">
      <c r="A73" s="96">
        <v>4</v>
      </c>
      <c r="B73" s="96">
        <v>-3.30077680187443e-05</v>
      </c>
      <c r="C73" s="96">
        <v>-0.00256699223198126</v>
      </c>
      <c r="D73" s="90"/>
      <c r="E73" s="90"/>
      <c r="F73" s="90"/>
      <c r="G73" s="90"/>
      <c r="H73" s="90"/>
      <c r="I73" s="90"/>
    </row>
    <row r="74" ht="13.65" customHeight="1">
      <c r="A74" s="96">
        <v>5</v>
      </c>
      <c r="B74" s="96">
        <v>0.000607656507609421</v>
      </c>
      <c r="C74" s="96">
        <v>-0.000207656507609421</v>
      </c>
      <c r="D74" s="90"/>
      <c r="E74" s="90"/>
      <c r="F74" s="90"/>
      <c r="G74" s="90"/>
      <c r="H74" s="90"/>
      <c r="I74" s="90"/>
    </row>
    <row r="75" ht="13.65" customHeight="1">
      <c r="A75" s="96">
        <v>6</v>
      </c>
      <c r="B75" s="96">
        <v>0.000771517728712477</v>
      </c>
      <c r="C75" s="96">
        <v>-0.000571517728712477</v>
      </c>
      <c r="D75" s="90"/>
      <c r="E75" s="90"/>
      <c r="F75" s="90"/>
      <c r="G75" s="90"/>
      <c r="H75" s="90"/>
      <c r="I75" s="90"/>
    </row>
    <row r="76" ht="13.65" customHeight="1">
      <c r="A76" s="96">
        <v>7</v>
      </c>
      <c r="B76" s="96">
        <v>0.00127840309289672</v>
      </c>
      <c r="C76" s="96">
        <v>-0.000878403092896721</v>
      </c>
      <c r="D76" s="90"/>
      <c r="E76" s="90"/>
      <c r="F76" s="90"/>
      <c r="G76" s="90"/>
      <c r="H76" s="90"/>
      <c r="I76" s="90"/>
    </row>
    <row r="77" ht="13.65" customHeight="1">
      <c r="A77" s="96">
        <v>8</v>
      </c>
      <c r="B77" s="96">
        <v>0.0505998774984534</v>
      </c>
      <c r="C77" s="96">
        <v>0.00220012250154658</v>
      </c>
      <c r="D77" s="90"/>
      <c r="E77" s="90"/>
      <c r="F77" s="90"/>
      <c r="G77" s="90"/>
      <c r="H77" s="90"/>
      <c r="I77" s="90"/>
    </row>
    <row r="78" ht="13.65" customHeight="1">
      <c r="A78" s="96">
        <v>9</v>
      </c>
      <c r="B78" s="96">
        <v>0.000567749856800218</v>
      </c>
      <c r="C78" s="96">
        <v>0.000232250143199782</v>
      </c>
      <c r="D78" s="90"/>
      <c r="E78" s="90"/>
      <c r="F78" s="90"/>
      <c r="G78" s="90"/>
      <c r="H78" s="90"/>
      <c r="I78" s="90"/>
    </row>
    <row r="79" ht="13.65" customHeight="1">
      <c r="A79" s="96">
        <v>10</v>
      </c>
      <c r="B79" s="96">
        <v>-0.000824731256962172</v>
      </c>
      <c r="C79" s="96">
        <v>-0.00177526874303783</v>
      </c>
      <c r="D79" s="90"/>
      <c r="E79" s="90"/>
      <c r="F79" s="90"/>
      <c r="G79" s="90"/>
      <c r="H79" s="90"/>
      <c r="I79" s="90"/>
    </row>
    <row r="80" ht="13.65" customHeight="1">
      <c r="A80" s="96">
        <v>11</v>
      </c>
      <c r="B80" s="96">
        <v>0.00114136043665686</v>
      </c>
      <c r="C80" s="96">
        <v>-0.000241360436656856</v>
      </c>
      <c r="D80" s="90"/>
      <c r="E80" s="90"/>
      <c r="F80" s="90"/>
      <c r="G80" s="90"/>
      <c r="H80" s="90"/>
      <c r="I80" s="90"/>
    </row>
    <row r="81" ht="13.65" customHeight="1">
      <c r="A81" s="96">
        <v>12</v>
      </c>
      <c r="B81" s="96">
        <v>0.00373472248329808</v>
      </c>
      <c r="C81" s="96">
        <v>-0.008134722483298081</v>
      </c>
      <c r="D81" s="90"/>
      <c r="E81" s="90"/>
      <c r="F81" s="90"/>
      <c r="G81" s="90"/>
      <c r="H81" s="90"/>
      <c r="I81" s="90"/>
    </row>
    <row r="82" ht="13.65" customHeight="1">
      <c r="A82" s="96">
        <v>13</v>
      </c>
      <c r="B82" s="96">
        <v>0.000219987040856702</v>
      </c>
      <c r="C82" s="96">
        <v>-1.99870408567022e-05</v>
      </c>
      <c r="D82" s="90"/>
      <c r="E82" s="90"/>
      <c r="F82" s="90"/>
      <c r="G82" s="90"/>
      <c r="H82" s="90"/>
      <c r="I82" s="90"/>
    </row>
    <row r="83" ht="13.65" customHeight="1">
      <c r="A83" s="96">
        <v>14</v>
      </c>
      <c r="B83" s="96">
        <v>-0.00331923446627802</v>
      </c>
      <c r="C83" s="96">
        <v>0.00251923446627802</v>
      </c>
      <c r="D83" s="90"/>
      <c r="E83" s="90"/>
      <c r="F83" s="90"/>
      <c r="G83" s="90"/>
      <c r="H83" s="90"/>
      <c r="I83" s="90"/>
    </row>
    <row r="84" ht="13.65" customHeight="1">
      <c r="A84" s="96">
        <v>15</v>
      </c>
      <c r="B84" s="96">
        <v>-0.00349696371832678</v>
      </c>
      <c r="C84" s="96">
        <v>0.00339696371832678</v>
      </c>
      <c r="D84" s="90"/>
      <c r="E84" s="90"/>
      <c r="F84" s="90"/>
      <c r="G84" s="90"/>
      <c r="H84" s="90"/>
      <c r="I84" s="90"/>
    </row>
    <row r="85" ht="13.65" customHeight="1">
      <c r="A85" s="96">
        <v>16</v>
      </c>
      <c r="B85" s="96">
        <v>0.00275077695105354</v>
      </c>
      <c r="C85" s="96">
        <v>-0.00075077695105354</v>
      </c>
      <c r="D85" s="90"/>
      <c r="E85" s="90"/>
      <c r="F85" s="90"/>
      <c r="G85" s="90"/>
      <c r="H85" s="90"/>
      <c r="I85" s="90"/>
    </row>
    <row r="86" ht="13.65" customHeight="1">
      <c r="A86" s="96">
        <v>17</v>
      </c>
      <c r="B86" s="96">
        <v>0.00248189065595856</v>
      </c>
      <c r="C86" s="96">
        <v>-0.00698189065595856</v>
      </c>
      <c r="D86" s="90"/>
      <c r="E86" s="90"/>
      <c r="F86" s="90"/>
      <c r="G86" s="90"/>
      <c r="H86" s="90"/>
      <c r="I86" s="90"/>
    </row>
    <row r="87" ht="13.65" customHeight="1">
      <c r="A87" s="96">
        <v>18</v>
      </c>
      <c r="B87" s="96">
        <v>0.000231933185901546</v>
      </c>
      <c r="C87" s="96">
        <v>0.00166806681409845</v>
      </c>
      <c r="D87" s="90"/>
      <c r="E87" s="90"/>
      <c r="F87" s="90"/>
      <c r="G87" s="90"/>
      <c r="H87" s="90"/>
      <c r="I87" s="90"/>
    </row>
    <row r="88" ht="13.65" customHeight="1">
      <c r="A88" s="96">
        <v>19</v>
      </c>
      <c r="B88" s="96">
        <v>-0.00301961118835495</v>
      </c>
      <c r="C88" s="96">
        <v>0.00291961118835495</v>
      </c>
      <c r="D88" s="90"/>
      <c r="E88" s="90"/>
      <c r="F88" s="90"/>
      <c r="G88" s="90"/>
      <c r="H88" s="90"/>
      <c r="I88" s="90"/>
    </row>
    <row r="89" ht="13.65" customHeight="1">
      <c r="A89" s="96">
        <v>20</v>
      </c>
      <c r="B89" s="96">
        <v>0.00121790590925204</v>
      </c>
      <c r="C89" s="96">
        <v>-1.79059092520353e-05</v>
      </c>
      <c r="D89" s="90"/>
      <c r="E89" s="90"/>
      <c r="F89" s="90"/>
      <c r="G89" s="90"/>
      <c r="H89" s="90"/>
      <c r="I89" s="90"/>
    </row>
    <row r="90" ht="13.65" customHeight="1">
      <c r="A90" s="96">
        <v>21</v>
      </c>
      <c r="B90" s="96">
        <v>0.00137842423959207</v>
      </c>
      <c r="C90" s="96">
        <v>-0.000678424239592071</v>
      </c>
      <c r="D90" s="90"/>
      <c r="E90" s="90"/>
      <c r="F90" s="90"/>
      <c r="G90" s="90"/>
      <c r="H90" s="90"/>
      <c r="I90" s="90"/>
    </row>
    <row r="91" ht="13.65" customHeight="1">
      <c r="A91" s="96">
        <v>22</v>
      </c>
      <c r="B91" s="96">
        <v>-0.000342647402389563</v>
      </c>
      <c r="C91" s="96">
        <v>0.00214264740238956</v>
      </c>
      <c r="D91" s="90"/>
      <c r="E91" s="90"/>
      <c r="F91" s="90"/>
      <c r="G91" s="90"/>
      <c r="H91" s="90"/>
      <c r="I91" s="90"/>
    </row>
    <row r="92" ht="13.65" customHeight="1">
      <c r="A92" s="96">
        <v>23</v>
      </c>
      <c r="B92" s="96">
        <v>0.000579253990769415</v>
      </c>
      <c r="C92" s="96">
        <v>-7.92539907694153e-05</v>
      </c>
      <c r="D92" s="90"/>
      <c r="E92" s="90"/>
      <c r="F92" s="90"/>
      <c r="G92" s="90"/>
      <c r="H92" s="90"/>
      <c r="I92" s="90"/>
    </row>
    <row r="93" ht="13.65" customHeight="1">
      <c r="A93" s="96">
        <v>24</v>
      </c>
      <c r="B93" s="96">
        <v>-0.00368628909644667</v>
      </c>
      <c r="C93" s="96">
        <v>0.00358628909644667</v>
      </c>
      <c r="D93" s="90"/>
      <c r="E93" s="90"/>
      <c r="F93" s="90"/>
      <c r="G93" s="90"/>
      <c r="H93" s="90"/>
      <c r="I93" s="90"/>
    </row>
    <row r="94" ht="14.15" customHeight="1">
      <c r="A94" s="98">
        <v>25</v>
      </c>
      <c r="B94" s="98">
        <v>-0.00375390603483832</v>
      </c>
      <c r="C94" s="98">
        <v>0.00245390603483832</v>
      </c>
      <c r="D94" s="90"/>
      <c r="E94" s="90"/>
      <c r="F94" s="90"/>
      <c r="G94" s="90"/>
      <c r="H94" s="90"/>
      <c r="I94" s="90"/>
    </row>
  </sheetData>
  <mergeCells count="1">
    <mergeCell ref="A45:B45"/>
  </mergeCells>
  <dataValidations count="1">
    <dataValidation type="list" allowBlank="1" showInputMessage="1" showErrorMessage="1" sqref="A2:A30">
      <formula1>"2021–2022,2022–2023,2023-2024,2024-2025,2025-2026"</formula1>
    </dataValidation>
  </dataValidation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F81"/>
  <sheetViews>
    <sheetView workbookViewId="0" showGridLines="0" defaultGridColor="1"/>
  </sheetViews>
  <sheetFormatPr defaultColWidth="12.6667" defaultRowHeight="15.75" customHeight="1" outlineLevelRow="0" outlineLevelCol="0"/>
  <cols>
    <col min="1" max="3" width="12.6719" style="103" customWidth="1"/>
    <col min="4" max="4" width="17.3516" style="103" customWidth="1"/>
    <col min="5" max="5" width="19.3516" style="103" customWidth="1"/>
    <col min="6" max="6" width="12.6719" style="103" customWidth="1"/>
    <col min="7" max="16384" width="12.6719" style="103" customWidth="1"/>
  </cols>
  <sheetData>
    <row r="1" ht="13.65" customHeight="1">
      <c r="A1" s="104"/>
      <c r="B1" s="105"/>
      <c r="C1" s="105"/>
      <c r="D1" s="105"/>
      <c r="E1" s="105"/>
      <c r="F1" s="106"/>
    </row>
    <row r="2" ht="13.65" customHeight="1">
      <c r="A2" t="s" s="80">
        <v>10368</v>
      </c>
      <c r="B2" s="107"/>
      <c r="C2" s="107"/>
      <c r="D2" s="107"/>
      <c r="E2" s="107"/>
      <c r="F2" s="108"/>
    </row>
    <row r="3" ht="13.65" customHeight="1">
      <c r="A3" t="s" s="82">
        <v>10056</v>
      </c>
      <c r="B3" t="s" s="82">
        <v>10055</v>
      </c>
      <c r="C3" t="s" s="82">
        <v>10369</v>
      </c>
      <c r="D3" t="s" s="109">
        <v>10370</v>
      </c>
      <c r="E3" t="s" s="110">
        <v>10371</v>
      </c>
      <c r="F3" t="s" s="110">
        <v>10372</v>
      </c>
    </row>
    <row r="4" ht="13.65" customHeight="1">
      <c r="A4" t="s" s="111">
        <v>10368</v>
      </c>
      <c r="B4" t="s" s="111">
        <v>6</v>
      </c>
      <c r="C4" s="112">
        <v>0.3136</v>
      </c>
      <c r="D4" t="s" s="113">
        <v>10373</v>
      </c>
      <c r="E4" s="114"/>
      <c r="F4" s="115"/>
    </row>
    <row r="5" ht="13.65" customHeight="1">
      <c r="A5" s="8"/>
      <c r="B5" t="s" s="7">
        <v>277</v>
      </c>
      <c r="C5" s="22">
        <v>-0.1223</v>
      </c>
      <c r="D5" s="116">
        <v>0.3136</v>
      </c>
      <c r="E5" s="114"/>
      <c r="F5" s="115"/>
    </row>
    <row r="6" ht="13.65" customHeight="1">
      <c r="A6" s="8"/>
      <c r="B6" t="s" s="7">
        <v>529</v>
      </c>
      <c r="C6" s="22">
        <v>0.2737</v>
      </c>
      <c r="D6" s="116">
        <v>-0.1223</v>
      </c>
      <c r="E6" s="114"/>
      <c r="F6" s="115"/>
    </row>
    <row r="7" ht="13.65" customHeight="1">
      <c r="A7" s="8"/>
      <c r="B7" t="s" s="7">
        <v>778</v>
      </c>
      <c r="C7" s="22">
        <v>-0.5782</v>
      </c>
      <c r="D7" s="116">
        <v>0.2737</v>
      </c>
      <c r="E7" s="114"/>
      <c r="F7" s="115"/>
    </row>
    <row r="8" ht="13.65" customHeight="1">
      <c r="A8" s="8"/>
      <c r="B8" t="s" s="7">
        <v>1029</v>
      </c>
      <c r="C8" s="22">
        <v>0.0931</v>
      </c>
      <c r="D8" s="116">
        <v>-0.5782</v>
      </c>
      <c r="E8" s="114"/>
      <c r="F8" s="115"/>
    </row>
    <row r="9" ht="13.65" customHeight="1">
      <c r="A9" s="8"/>
      <c r="B9" s="8"/>
      <c r="C9" s="8"/>
      <c r="D9" s="8"/>
      <c r="E9" s="117"/>
      <c r="F9" s="117"/>
    </row>
    <row r="10" ht="13.65" customHeight="1">
      <c r="A10" t="s" s="7">
        <v>1278</v>
      </c>
      <c r="B10" t="s" s="7">
        <v>6</v>
      </c>
      <c r="C10" s="22">
        <v>0.0129</v>
      </c>
      <c r="D10" t="s" s="113">
        <v>10373</v>
      </c>
      <c r="E10" s="114"/>
      <c r="F10" s="115"/>
    </row>
    <row r="11" ht="13.65" customHeight="1">
      <c r="A11" s="8"/>
      <c r="B11" t="s" s="7">
        <v>277</v>
      </c>
      <c r="C11" s="22">
        <v>0.0688</v>
      </c>
      <c r="D11" s="116">
        <v>0.0129</v>
      </c>
      <c r="E11" s="114"/>
      <c r="F11" s="115"/>
    </row>
    <row r="12" ht="13.65" customHeight="1">
      <c r="A12" s="8"/>
      <c r="B12" t="s" s="7">
        <v>529</v>
      </c>
      <c r="C12" s="22">
        <v>-0.08699999999999999</v>
      </c>
      <c r="D12" s="116">
        <v>0.0688</v>
      </c>
      <c r="E12" s="114"/>
      <c r="F12" s="115"/>
    </row>
    <row r="13" ht="13.65" customHeight="1">
      <c r="A13" s="8"/>
      <c r="B13" t="s" s="7">
        <v>778</v>
      </c>
      <c r="C13" s="22">
        <v>0.2022</v>
      </c>
      <c r="D13" s="116">
        <v>-0.08699999999999999</v>
      </c>
      <c r="E13" s="114"/>
      <c r="F13" s="115"/>
    </row>
    <row r="14" ht="13.65" customHeight="1">
      <c r="A14" s="8"/>
      <c r="B14" t="s" s="7">
        <v>1029</v>
      </c>
      <c r="C14" s="22">
        <v>-0.5800999999999999</v>
      </c>
      <c r="D14" s="116">
        <v>0.2022</v>
      </c>
      <c r="E14" s="114"/>
      <c r="F14" s="115"/>
    </row>
    <row r="15" ht="13.65" customHeight="1">
      <c r="A15" s="8"/>
      <c r="B15" s="8"/>
      <c r="C15" s="8"/>
      <c r="D15" s="8"/>
      <c r="E15" s="117"/>
      <c r="F15" s="117"/>
    </row>
    <row r="16" ht="13.65" customHeight="1">
      <c r="A16" t="s" s="7">
        <v>6324</v>
      </c>
      <c r="B16" t="s" s="7">
        <v>6</v>
      </c>
      <c r="C16" s="22">
        <v>0.2204</v>
      </c>
      <c r="D16" t="s" s="113">
        <v>10373</v>
      </c>
      <c r="E16" s="114"/>
      <c r="F16" s="115"/>
    </row>
    <row r="17" ht="13.65" customHeight="1">
      <c r="A17" s="8"/>
      <c r="B17" t="s" s="7">
        <v>277</v>
      </c>
      <c r="C17" s="22">
        <v>-0.1132</v>
      </c>
      <c r="D17" s="116">
        <v>0.2204</v>
      </c>
      <c r="E17" s="114"/>
      <c r="F17" s="115"/>
    </row>
    <row r="18" ht="13.65" customHeight="1">
      <c r="A18" s="8"/>
      <c r="B18" t="s" s="7">
        <v>529</v>
      </c>
      <c r="C18" s="22">
        <v>0.0338</v>
      </c>
      <c r="D18" s="116">
        <v>-0.1132</v>
      </c>
      <c r="E18" s="114"/>
      <c r="F18" s="115"/>
    </row>
    <row r="19" ht="13.65" customHeight="1">
      <c r="A19" s="8"/>
      <c r="B19" t="s" s="7">
        <v>778</v>
      </c>
      <c r="C19" s="22">
        <v>-0.1933</v>
      </c>
      <c r="D19" s="116">
        <v>0.0338</v>
      </c>
      <c r="E19" s="114"/>
      <c r="F19" s="115"/>
    </row>
    <row r="20" ht="13.65" customHeight="1">
      <c r="A20" s="8"/>
      <c r="B20" t="s" s="7">
        <v>1029</v>
      </c>
      <c r="C20" s="22">
        <v>-0.0389</v>
      </c>
      <c r="D20" s="116">
        <v>-0.1933</v>
      </c>
      <c r="E20" s="114"/>
      <c r="F20" s="115"/>
    </row>
    <row r="21" ht="13.65" customHeight="1">
      <c r="A21" s="8"/>
      <c r="B21" s="8"/>
      <c r="C21" s="8"/>
      <c r="D21" s="8"/>
      <c r="E21" s="117"/>
      <c r="F21" s="117"/>
    </row>
    <row r="22" ht="13.65" customHeight="1">
      <c r="A22" t="s" s="7">
        <v>10228</v>
      </c>
      <c r="B22" t="s" s="7">
        <v>6</v>
      </c>
      <c r="C22" s="22">
        <v>0.5261</v>
      </c>
      <c r="D22" t="s" s="113">
        <v>10373</v>
      </c>
      <c r="E22" s="114"/>
      <c r="F22" s="115"/>
    </row>
    <row r="23" ht="13.65" customHeight="1">
      <c r="A23" s="8"/>
      <c r="B23" t="s" s="7">
        <v>277</v>
      </c>
      <c r="C23" s="22">
        <v>-0.9207</v>
      </c>
      <c r="D23" s="116">
        <v>0.5261</v>
      </c>
      <c r="E23" s="114"/>
      <c r="F23" s="115"/>
    </row>
    <row r="24" ht="13.65" customHeight="1">
      <c r="A24" s="8"/>
      <c r="B24" t="s" s="7">
        <v>529</v>
      </c>
      <c r="C24" s="22">
        <v>0.5672</v>
      </c>
      <c r="D24" s="116">
        <v>-0.9207</v>
      </c>
      <c r="E24" s="114"/>
      <c r="F24" s="115"/>
    </row>
    <row r="25" ht="13.65" customHeight="1">
      <c r="A25" s="8"/>
      <c r="B25" t="s" s="7">
        <v>778</v>
      </c>
      <c r="C25" s="22">
        <v>-0.0615</v>
      </c>
      <c r="D25" s="116">
        <v>0.5672</v>
      </c>
      <c r="E25" s="114"/>
      <c r="F25" s="115"/>
    </row>
    <row r="26" ht="13.65" customHeight="1">
      <c r="A26" s="8"/>
      <c r="B26" t="s" s="7">
        <v>1029</v>
      </c>
      <c r="C26" s="22">
        <v>0.2709</v>
      </c>
      <c r="D26" s="116">
        <v>-0.0615</v>
      </c>
      <c r="E26" s="114"/>
      <c r="F26" s="115"/>
    </row>
    <row r="27" ht="13.65" customHeight="1">
      <c r="A27" s="8"/>
      <c r="B27" s="8"/>
      <c r="C27" s="8"/>
      <c r="D27" s="8"/>
      <c r="E27" s="117"/>
      <c r="F27" s="117"/>
    </row>
    <row r="28" ht="13.65" customHeight="1">
      <c r="A28" t="s" s="7">
        <v>8810</v>
      </c>
      <c r="B28" t="s" s="7">
        <v>6</v>
      </c>
      <c r="C28" s="22">
        <v>0.1511</v>
      </c>
      <c r="D28" t="s" s="113">
        <v>10373</v>
      </c>
      <c r="E28" s="114"/>
      <c r="F28" s="115"/>
    </row>
    <row r="29" ht="13.65" customHeight="1">
      <c r="A29" s="8"/>
      <c r="B29" t="s" s="7">
        <v>277</v>
      </c>
      <c r="C29" s="22">
        <v>0.514</v>
      </c>
      <c r="D29" s="116">
        <v>0.1511</v>
      </c>
      <c r="E29" s="114"/>
      <c r="F29" s="115"/>
    </row>
    <row r="30" ht="13.65" customHeight="1">
      <c r="A30" s="8"/>
      <c r="B30" t="s" s="7">
        <v>529</v>
      </c>
      <c r="C30" s="22">
        <v>0.1262</v>
      </c>
      <c r="D30" s="116">
        <v>0.514</v>
      </c>
      <c r="E30" s="114"/>
      <c r="F30" s="115"/>
    </row>
    <row r="31" ht="13.65" customHeight="1">
      <c r="A31" s="8"/>
      <c r="B31" t="s" s="7">
        <v>778</v>
      </c>
      <c r="C31" s="22">
        <v>-0.047</v>
      </c>
      <c r="D31" s="116">
        <v>0.1262</v>
      </c>
      <c r="E31" s="114"/>
      <c r="F31" s="115"/>
    </row>
    <row r="32" ht="13.65" customHeight="1">
      <c r="A32" s="8"/>
      <c r="B32" t="s" s="7">
        <v>1029</v>
      </c>
      <c r="C32" s="22">
        <v>-0.2827</v>
      </c>
      <c r="D32" s="116">
        <v>-0.047</v>
      </c>
      <c r="E32" s="118"/>
      <c r="F32" s="119"/>
    </row>
    <row r="33" ht="13.65" customHeight="1">
      <c r="A33" s="8"/>
      <c r="B33" s="8"/>
      <c r="C33" s="8"/>
      <c r="D33" s="8"/>
      <c r="E33" s="120"/>
      <c r="F33" s="120"/>
    </row>
    <row r="34" ht="13.65" customHeight="1">
      <c r="A34" s="8"/>
      <c r="B34" s="8"/>
      <c r="C34" s="8"/>
      <c r="D34" s="8"/>
      <c r="E34" s="8"/>
      <c r="F34" s="8"/>
    </row>
    <row r="35" ht="13.65" customHeight="1">
      <c r="A35" s="8"/>
      <c r="B35" s="8"/>
      <c r="C35" s="8"/>
      <c r="D35" s="8"/>
      <c r="E35" s="8"/>
      <c r="F35" s="8"/>
    </row>
    <row r="36" ht="13.65" customHeight="1">
      <c r="A36" s="8"/>
      <c r="B36" s="8"/>
      <c r="C36" s="8"/>
      <c r="D36" s="8"/>
      <c r="E36" s="8"/>
      <c r="F36" s="8"/>
    </row>
    <row r="37" ht="13.65" customHeight="1">
      <c r="A37" s="8"/>
      <c r="B37" s="8"/>
      <c r="C37" s="8"/>
      <c r="D37" s="8"/>
      <c r="E37" s="8"/>
      <c r="F37" s="8"/>
    </row>
    <row r="38" ht="13.65" customHeight="1">
      <c r="A38" s="8"/>
      <c r="B38" s="8"/>
      <c r="C38" s="8"/>
      <c r="D38" s="8"/>
      <c r="E38" s="8"/>
      <c r="F38" s="8"/>
    </row>
    <row r="39" ht="13.65" customHeight="1">
      <c r="A39" s="8"/>
      <c r="B39" s="8"/>
      <c r="C39" s="8"/>
      <c r="D39" s="8"/>
      <c r="E39" s="8"/>
      <c r="F39" s="8"/>
    </row>
    <row r="40" ht="13.65" customHeight="1">
      <c r="A40" s="8"/>
      <c r="B40" s="8"/>
      <c r="C40" s="8"/>
      <c r="D40" s="8"/>
      <c r="E40" s="8"/>
      <c r="F40" s="8"/>
    </row>
    <row r="41" ht="13.65" customHeight="1">
      <c r="A41" s="8"/>
      <c r="B41" s="8"/>
      <c r="C41" s="8"/>
      <c r="D41" s="8"/>
      <c r="E41" s="8"/>
      <c r="F41" s="8"/>
    </row>
    <row r="42" ht="13.65" customHeight="1">
      <c r="A42" s="79"/>
      <c r="B42" s="79"/>
      <c r="C42" s="79"/>
      <c r="D42" s="79"/>
      <c r="E42" s="79"/>
      <c r="F42" s="79"/>
    </row>
    <row r="43" ht="13.65" customHeight="1">
      <c r="A43" s="107"/>
      <c r="B43" s="107"/>
      <c r="C43" s="107"/>
      <c r="D43" s="107"/>
      <c r="E43" s="107"/>
      <c r="F43" s="107"/>
    </row>
    <row r="44" ht="13.65" customHeight="1">
      <c r="A44" s="121"/>
      <c r="B44" s="121"/>
      <c r="C44" s="121"/>
      <c r="D44" s="121"/>
      <c r="E44" s="121"/>
      <c r="F44" s="121"/>
    </row>
    <row r="45" ht="13.65" customHeight="1">
      <c r="A45" s="87"/>
      <c r="B45" s="87"/>
      <c r="C45" s="87"/>
      <c r="D45" s="87"/>
      <c r="E45" s="87"/>
      <c r="F45" s="87"/>
    </row>
    <row r="46" ht="13.65" customHeight="1">
      <c r="A46" s="8"/>
      <c r="B46" s="8"/>
      <c r="C46" s="8"/>
      <c r="D46" s="8"/>
      <c r="E46" s="8"/>
      <c r="F46" s="8"/>
    </row>
    <row r="47" ht="13.65" customHeight="1">
      <c r="A47" s="8"/>
      <c r="B47" s="8"/>
      <c r="C47" s="8"/>
      <c r="D47" s="8"/>
      <c r="E47" s="8"/>
      <c r="F47" s="8"/>
    </row>
    <row r="48" ht="13.65" customHeight="1">
      <c r="A48" s="79"/>
      <c r="B48" s="79"/>
      <c r="C48" s="79"/>
      <c r="D48" s="79"/>
      <c r="E48" s="8"/>
      <c r="F48" s="8"/>
    </row>
    <row r="49" ht="13.65" customHeight="1">
      <c r="A49" t="s" s="80">
        <v>10374</v>
      </c>
      <c r="B49" t="s" s="80">
        <v>10375</v>
      </c>
      <c r="C49" t="s" s="80">
        <v>10376</v>
      </c>
      <c r="D49" t="s" s="80">
        <v>10377</v>
      </c>
      <c r="E49" s="81"/>
      <c r="F49" s="8"/>
    </row>
    <row r="50" ht="13.65" customHeight="1">
      <c r="A50" t="s" s="82">
        <v>10378</v>
      </c>
      <c r="B50" s="121"/>
      <c r="C50" s="121"/>
      <c r="D50" s="121"/>
      <c r="E50" s="81"/>
      <c r="F50" s="8"/>
    </row>
    <row r="51" ht="13.65" customHeight="1">
      <c r="A51" t="s" s="82">
        <v>10379</v>
      </c>
      <c r="B51" s="121"/>
      <c r="C51" s="121"/>
      <c r="D51" s="121"/>
      <c r="E51" s="81"/>
      <c r="F51" s="8"/>
    </row>
    <row r="52" ht="13.65" customHeight="1">
      <c r="A52" t="s" s="82">
        <v>10380</v>
      </c>
      <c r="B52" s="121"/>
      <c r="C52" s="122"/>
      <c r="D52" s="87"/>
      <c r="E52" s="8"/>
      <c r="F52" s="8"/>
    </row>
    <row r="53" ht="13.65" customHeight="1">
      <c r="A53" s="87"/>
      <c r="B53" s="87"/>
      <c r="C53" s="8"/>
      <c r="D53" s="8"/>
      <c r="E53" s="8"/>
      <c r="F53" s="8"/>
    </row>
    <row r="54" ht="13.65" customHeight="1">
      <c r="A54" s="8"/>
      <c r="B54" s="8"/>
      <c r="C54" s="8"/>
      <c r="D54" s="8"/>
      <c r="E54" s="8"/>
      <c r="F54" s="8"/>
    </row>
    <row r="55" ht="13.65" customHeight="1">
      <c r="A55" s="8"/>
      <c r="B55" s="8"/>
      <c r="C55" s="8"/>
      <c r="D55" s="8"/>
      <c r="E55" s="8"/>
      <c r="F55" s="8"/>
    </row>
    <row r="56" ht="13.65" customHeight="1">
      <c r="A56" s="8"/>
      <c r="B56" s="8"/>
      <c r="C56" s="8"/>
      <c r="D56" s="8"/>
      <c r="E56" s="8"/>
      <c r="F56" s="8"/>
    </row>
    <row r="57" ht="13.65" customHeight="1">
      <c r="A57" s="8"/>
      <c r="B57" s="8"/>
      <c r="C57" s="8"/>
      <c r="D57" s="8"/>
      <c r="E57" s="8"/>
      <c r="F57" s="8"/>
    </row>
    <row r="58" ht="13.65" customHeight="1">
      <c r="A58" s="8"/>
      <c r="B58" s="8"/>
      <c r="C58" s="8"/>
      <c r="D58" s="8"/>
      <c r="E58" s="8"/>
      <c r="F58" s="8"/>
    </row>
    <row r="59" ht="13.65" customHeight="1">
      <c r="A59" s="8"/>
      <c r="B59" s="8"/>
      <c r="C59" s="8"/>
      <c r="D59" s="8"/>
      <c r="E59" s="8"/>
      <c r="F59" s="8"/>
    </row>
    <row r="60" ht="13.65" customHeight="1">
      <c r="A60" s="8"/>
      <c r="B60" s="8"/>
      <c r="C60" s="8"/>
      <c r="D60" s="8"/>
      <c r="E60" s="8"/>
      <c r="F60" s="8"/>
    </row>
    <row r="61" ht="13.65" customHeight="1">
      <c r="A61" s="8"/>
      <c r="B61" s="8"/>
      <c r="C61" s="8"/>
      <c r="D61" s="8"/>
      <c r="E61" s="8"/>
      <c r="F61" s="8"/>
    </row>
    <row r="62" ht="13.65" customHeight="1">
      <c r="A62" s="79"/>
      <c r="B62" s="79"/>
      <c r="C62" s="79"/>
      <c r="D62" s="79"/>
      <c r="E62" s="79"/>
      <c r="F62" s="8"/>
    </row>
    <row r="63" ht="13.65" customHeight="1">
      <c r="A63" s="107"/>
      <c r="B63" s="107"/>
      <c r="C63" s="107"/>
      <c r="D63" s="107"/>
      <c r="E63" s="107"/>
      <c r="F63" s="81"/>
    </row>
    <row r="64" ht="13.65" customHeight="1">
      <c r="A64" s="121"/>
      <c r="B64" s="121"/>
      <c r="C64" s="121"/>
      <c r="D64" s="121"/>
      <c r="E64" s="121"/>
      <c r="F64" s="81"/>
    </row>
    <row r="65" ht="13.65" customHeight="1">
      <c r="A65" s="121"/>
      <c r="B65" s="121"/>
      <c r="C65" s="121"/>
      <c r="D65" s="121"/>
      <c r="E65" s="121"/>
      <c r="F65" s="81"/>
    </row>
    <row r="66" ht="13.65" customHeight="1">
      <c r="A66" s="121"/>
      <c r="B66" s="121"/>
      <c r="C66" s="121"/>
      <c r="D66" s="121"/>
      <c r="E66" s="121"/>
      <c r="F66" s="81"/>
    </row>
    <row r="67" ht="13.65" customHeight="1">
      <c r="A67" s="121"/>
      <c r="B67" s="121"/>
      <c r="C67" s="121"/>
      <c r="D67" s="121"/>
      <c r="E67" s="121"/>
      <c r="F67" s="81"/>
    </row>
    <row r="68" ht="13.65" customHeight="1">
      <c r="A68" s="87"/>
      <c r="B68" s="87"/>
      <c r="C68" s="87"/>
      <c r="D68" s="87"/>
      <c r="E68" s="87"/>
      <c r="F68" s="8"/>
    </row>
    <row r="69" ht="13.65" customHeight="1">
      <c r="A69" s="79"/>
      <c r="B69" s="79"/>
      <c r="C69" s="79"/>
      <c r="D69" s="79"/>
      <c r="E69" s="8"/>
      <c r="F69" s="8"/>
    </row>
    <row r="70" ht="13.65" customHeight="1">
      <c r="A70" s="107"/>
      <c r="B70" s="107"/>
      <c r="C70" s="107"/>
      <c r="D70" s="107"/>
      <c r="E70" s="81"/>
      <c r="F70" s="8"/>
    </row>
    <row r="71" ht="13.65" customHeight="1">
      <c r="A71" s="121"/>
      <c r="B71" s="121"/>
      <c r="C71" s="121"/>
      <c r="D71" s="121"/>
      <c r="E71" s="81"/>
      <c r="F71" s="8"/>
    </row>
    <row r="72" ht="13.65" customHeight="1">
      <c r="A72" s="121"/>
      <c r="B72" s="121"/>
      <c r="C72" s="121"/>
      <c r="D72" s="121"/>
      <c r="E72" s="81"/>
      <c r="F72" s="8"/>
    </row>
    <row r="73" ht="13.65" customHeight="1">
      <c r="A73" s="121"/>
      <c r="B73" s="121"/>
      <c r="C73" s="121"/>
      <c r="D73" s="121"/>
      <c r="E73" s="81"/>
      <c r="F73" s="8"/>
    </row>
    <row r="74" ht="13.65" customHeight="1">
      <c r="A74" s="121"/>
      <c r="B74" s="121"/>
      <c r="C74" s="121"/>
      <c r="D74" s="121"/>
      <c r="E74" s="81"/>
      <c r="F74" s="8"/>
    </row>
    <row r="75" ht="13.65" customHeight="1">
      <c r="A75" s="87"/>
      <c r="B75" s="87"/>
      <c r="C75" s="87"/>
      <c r="D75" s="87"/>
      <c r="E75" s="8"/>
      <c r="F75" s="8"/>
    </row>
    <row r="76" ht="13.65" customHeight="1">
      <c r="A76" s="8"/>
      <c r="B76" s="8"/>
      <c r="C76" s="8"/>
      <c r="D76" s="8"/>
      <c r="E76" s="8"/>
      <c r="F76" s="8"/>
    </row>
    <row r="77" ht="13.65" customHeight="1">
      <c r="A77" s="79"/>
      <c r="B77" s="79"/>
      <c r="C77" s="8"/>
      <c r="D77" s="8"/>
      <c r="E77" s="8"/>
      <c r="F77" s="8"/>
    </row>
    <row r="78" ht="13.65" customHeight="1">
      <c r="A78" s="107"/>
      <c r="B78" s="107"/>
      <c r="C78" s="81"/>
      <c r="D78" s="8"/>
      <c r="E78" s="8"/>
      <c r="F78" s="8"/>
    </row>
    <row r="79" ht="13.65" customHeight="1">
      <c r="A79" s="121"/>
      <c r="B79" s="121"/>
      <c r="C79" s="81"/>
      <c r="D79" s="8"/>
      <c r="E79" s="8"/>
      <c r="F79" s="8"/>
    </row>
    <row r="80" ht="13.65" customHeight="1">
      <c r="A80" s="121"/>
      <c r="B80" s="121"/>
      <c r="C80" s="81"/>
      <c r="D80" s="8"/>
      <c r="E80" s="8"/>
      <c r="F80" s="8"/>
    </row>
    <row r="81" ht="13.65" customHeight="1">
      <c r="A81" s="121"/>
      <c r="B81" s="121"/>
      <c r="C81" s="81"/>
      <c r="D81" s="8"/>
      <c r="E81" s="8"/>
      <c r="F81"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F14"/>
  <sheetViews>
    <sheetView workbookViewId="0" showGridLines="0" defaultGridColor="1"/>
  </sheetViews>
  <sheetFormatPr defaultColWidth="12.6667" defaultRowHeight="15.75" customHeight="1" outlineLevelRow="0" outlineLevelCol="0"/>
  <cols>
    <col min="1" max="3" width="12.6719" style="123" customWidth="1"/>
    <col min="4" max="4" width="16.3516" style="123" customWidth="1"/>
    <col min="5" max="5" width="17.5" style="123" customWidth="1"/>
    <col min="6" max="6" width="16.3516" style="123" customWidth="1"/>
    <col min="7" max="16384" width="12.6719" style="123" customWidth="1"/>
  </cols>
  <sheetData>
    <row r="1" ht="13.65" customHeight="1">
      <c r="A1" s="8"/>
      <c r="B1" s="8"/>
      <c r="C1" s="8"/>
      <c r="D1" s="8"/>
      <c r="E1" s="8"/>
      <c r="F1" s="8"/>
    </row>
    <row r="2" ht="13.65" customHeight="1">
      <c r="A2" s="8"/>
      <c r="B2" s="9"/>
      <c r="C2" s="9"/>
      <c r="D2" s="9"/>
      <c r="E2" s="9"/>
      <c r="F2" s="9"/>
    </row>
    <row r="3" ht="13.65" customHeight="1">
      <c r="A3" s="124"/>
      <c r="B3" s="125"/>
      <c r="C3" s="126"/>
      <c r="D3" s="127"/>
      <c r="E3" s="127"/>
      <c r="F3" s="128"/>
    </row>
    <row r="4" ht="13.65" customHeight="1">
      <c r="A4" s="124"/>
      <c r="B4" s="16"/>
      <c r="C4" s="8"/>
      <c r="D4" s="129"/>
      <c r="E4" s="130"/>
      <c r="F4" s="131"/>
    </row>
    <row r="5" ht="13.65" customHeight="1">
      <c r="A5" s="124"/>
      <c r="B5" s="16"/>
      <c r="C5" s="8"/>
      <c r="D5" s="129"/>
      <c r="E5" s="129"/>
      <c r="F5" s="132"/>
    </row>
    <row r="6" ht="13.65" customHeight="1">
      <c r="A6" s="124"/>
      <c r="B6" s="16"/>
      <c r="C6" s="8"/>
      <c r="D6" s="129"/>
      <c r="E6" s="129"/>
      <c r="F6" s="132"/>
    </row>
    <row r="7" ht="13.65" customHeight="1">
      <c r="A7" s="124"/>
      <c r="B7" s="16"/>
      <c r="C7" s="8"/>
      <c r="D7" s="129"/>
      <c r="E7" s="129"/>
      <c r="F7" s="132"/>
    </row>
    <row r="8" ht="13.65" customHeight="1">
      <c r="A8" s="124"/>
      <c r="B8" s="133"/>
      <c r="C8" s="9"/>
      <c r="D8" s="134"/>
      <c r="E8" s="134"/>
      <c r="F8" s="135"/>
    </row>
    <row r="9" ht="13.65" customHeight="1">
      <c r="A9" s="8"/>
      <c r="B9" s="21"/>
      <c r="C9" s="21"/>
      <c r="D9" s="21"/>
      <c r="E9" s="21"/>
      <c r="F9" s="21"/>
    </row>
    <row r="10" ht="13.65" customHeight="1">
      <c r="A10" s="8"/>
      <c r="B10" s="8"/>
      <c r="C10" s="8"/>
      <c r="D10" s="8"/>
      <c r="E10" s="8"/>
      <c r="F10" s="8"/>
    </row>
    <row r="11" ht="13.65" customHeight="1">
      <c r="A11" s="8"/>
      <c r="B11" s="8"/>
      <c r="C11" s="8"/>
      <c r="D11" s="8"/>
      <c r="E11" s="8"/>
      <c r="F11" s="8"/>
    </row>
    <row r="12" ht="13.65" customHeight="1">
      <c r="A12" s="8"/>
      <c r="B12" s="8"/>
      <c r="C12" s="8"/>
      <c r="D12" s="8"/>
      <c r="E12" s="8"/>
      <c r="F12" s="8"/>
    </row>
    <row r="13" ht="13.65" customHeight="1">
      <c r="A13" s="8"/>
      <c r="B13" s="8"/>
      <c r="C13" s="8"/>
      <c r="D13" s="8"/>
      <c r="E13" s="8"/>
      <c r="F13" s="9"/>
    </row>
    <row r="14" ht="13.65" customHeight="1">
      <c r="A14" s="8"/>
      <c r="B14" s="8"/>
      <c r="C14" s="8"/>
      <c r="D14" s="8"/>
      <c r="E14" s="124"/>
      <c r="F14" s="13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